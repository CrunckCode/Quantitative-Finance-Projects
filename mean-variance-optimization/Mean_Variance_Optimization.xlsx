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s" sheetId="1" state="visible" r:id="rId3"/>
    <sheet name="Prices" sheetId="2" state="visible" r:id="rId4"/>
    <sheet name="Returns" sheetId="3" state="visible" r:id="rId5"/>
    <sheet name="Fronti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<sst xmlns="http://schemas.openxmlformats.org/spreadsheetml/2006/main" count="67" uniqueCount="38">
  <si>
    <t xml:space="preserve">Markowitz mean-variance optimization: JPM, GS, MS, daily data for 2024 (Yahoo Finance)</t>
  </si>
  <si>
    <t xml:space="preserve">Risk-free rate (assumed)</t>
  </si>
  <si>
    <t xml:space="preserve">Trading days per year</t>
  </si>
  <si>
    <t xml:space="preserve">Statistic</t>
  </si>
  <si>
    <t xml:space="preserve">JPM</t>
  </si>
  <si>
    <t xml:space="preserve">GS</t>
  </si>
  <si>
    <t xml:space="preserve">MS</t>
  </si>
  <si>
    <t xml:space="preserve">Annualized mean return</t>
  </si>
  <si>
    <t xml:space="preserve">Annualized volatility</t>
  </si>
  <si>
    <t xml:space="preserve">Sharpe ratio</t>
  </si>
  <si>
    <t xml:space="preserve">Excess return over risk-free</t>
  </si>
  <si>
    <t xml:space="preserve">Annualized covariance</t>
  </si>
  <si>
    <t xml:space="preserve">Correlation</t>
  </si>
  <si>
    <t xml:space="preserve">Inverse of covariance (array formula)</t>
  </si>
  <si>
    <t xml:space="preserve">Closed-form portfolios</t>
  </si>
  <si>
    <t xml:space="preserve">Return</t>
  </si>
  <si>
    <t xml:space="preserve">Volatility</t>
  </si>
  <si>
    <t xml:space="preserve">Sharpe</t>
  </si>
  <si>
    <t xml:space="preserve">Global minimum variance</t>
  </si>
  <si>
    <t xml:space="preserve">Maximum Sharpe (tangency)</t>
  </si>
  <si>
    <t xml:space="preserve">Equal-weight check</t>
  </si>
  <si>
    <t xml:space="preserve">Weights</t>
  </si>
  <si>
    <t xml:space="preserve">Equal weight</t>
  </si>
  <si>
    <t xml:space="preserve">Long-only, no-constraint closed forms may include negative weights; the random portfolios below are long-only.</t>
  </si>
  <si>
    <t xml:space="preserve">Date</t>
  </si>
  <si>
    <t xml:space="preserve">JPM log ret</t>
  </si>
  <si>
    <t xml:space="preserve">GS log ret</t>
  </si>
  <si>
    <t xml:space="preserve">MS log ret</t>
  </si>
  <si>
    <t xml:space="preserve">u1</t>
  </si>
  <si>
    <t xml:space="preserve">u2</t>
  </si>
  <si>
    <t xml:space="preserve">u3</t>
  </si>
  <si>
    <t xml:space="preserve">w1 JPM</t>
  </si>
  <si>
    <t xml:space="preserve">w2 GS</t>
  </si>
  <si>
    <t xml:space="preserve">w3 MS</t>
  </si>
  <si>
    <t xml:space="preserve">Max Sharpe (random)</t>
  </si>
  <si>
    <t xml:space="preserve">  return</t>
  </si>
  <si>
    <t xml:space="preserve">  volatility</t>
  </si>
  <si>
    <t xml:space="preserve">Min volatility (random)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</si>
</sst>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Random long-only portfolios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"Portfolios"</c:f>
              <c:strCache>
                <c:ptCount val="1"/>
                <c:pt idx="0">
                  <c:v>Portfolios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Frontier!$H$2:$H$5001</c:f>
              <c:numCache>
                <c:formatCode>General</c:formatCode>
                <c:ptCount val="5000"/>
                <c:pt idx="0">
                  <c:v>0.232699707680352</c:v>
                </c:pt>
                <c:pt idx="1">
                  <c:v>0.222706204876436</c:v>
                </c:pt>
                <c:pt idx="2">
                  <c:v>0.240864433058026</c:v>
                </c:pt>
                <c:pt idx="3">
                  <c:v>0.226323674874301</c:v>
                </c:pt>
                <c:pt idx="4">
                  <c:v>0.223191111430392</c:v>
                </c:pt>
                <c:pt idx="5">
                  <c:v>0.233179055274338</c:v>
                </c:pt>
                <c:pt idx="6">
                  <c:v>0.226812957053972</c:v>
                </c:pt>
                <c:pt idx="7">
                  <c:v>0.232968904293323</c:v>
                </c:pt>
                <c:pt idx="8">
                  <c:v>0.23049713198539</c:v>
                </c:pt>
                <c:pt idx="9">
                  <c:v>0.229407360477004</c:v>
                </c:pt>
                <c:pt idx="10">
                  <c:v>0.225109147584847</c:v>
                </c:pt>
                <c:pt idx="11">
                  <c:v>0.226091046809356</c:v>
                </c:pt>
                <c:pt idx="12">
                  <c:v>0.231442236756202</c:v>
                </c:pt>
                <c:pt idx="13">
                  <c:v>0.224396789393982</c:v>
                </c:pt>
                <c:pt idx="14">
                  <c:v>0.244380382644809</c:v>
                </c:pt>
                <c:pt idx="15">
                  <c:v>0.223156541149734</c:v>
                </c:pt>
                <c:pt idx="16">
                  <c:v>0.228629886021688</c:v>
                </c:pt>
                <c:pt idx="17">
                  <c:v>0.22759080679995</c:v>
                </c:pt>
                <c:pt idx="18">
                  <c:v>0.231226583438206</c:v>
                </c:pt>
                <c:pt idx="19">
                  <c:v>0.228026483553953</c:v>
                </c:pt>
                <c:pt idx="20">
                  <c:v>0.230390341004899</c:v>
                </c:pt>
                <c:pt idx="21">
                  <c:v>0.227551881566048</c:v>
                </c:pt>
                <c:pt idx="22">
                  <c:v>0.241925649079477</c:v>
                </c:pt>
                <c:pt idx="23">
                  <c:v>0.225889487447921</c:v>
                </c:pt>
                <c:pt idx="24">
                  <c:v>0.242992372137276</c:v>
                </c:pt>
                <c:pt idx="25">
                  <c:v>0.228687313106705</c:v>
                </c:pt>
                <c:pt idx="26">
                  <c:v>0.23230941244945</c:v>
                </c:pt>
                <c:pt idx="27">
                  <c:v>0.225636301027958</c:v>
                </c:pt>
                <c:pt idx="28">
                  <c:v>0.231324174902456</c:v>
                </c:pt>
                <c:pt idx="29">
                  <c:v>0.228019037310499</c:v>
                </c:pt>
                <c:pt idx="30">
                  <c:v>0.238513721340162</c:v>
                </c:pt>
                <c:pt idx="31">
                  <c:v>0.227925978026712</c:v>
                </c:pt>
                <c:pt idx="32">
                  <c:v>0.227903199273287</c:v>
                </c:pt>
                <c:pt idx="33">
                  <c:v>0.243899204767477</c:v>
                </c:pt>
                <c:pt idx="34">
                  <c:v>0.233233448502387</c:v>
                </c:pt>
                <c:pt idx="35">
                  <c:v>0.233622036392014</c:v>
                </c:pt>
                <c:pt idx="36">
                  <c:v>0.225383668012031</c:v>
                </c:pt>
                <c:pt idx="37">
                  <c:v>0.237827882351791</c:v>
                </c:pt>
                <c:pt idx="38">
                  <c:v>0.228468817658394</c:v>
                </c:pt>
                <c:pt idx="39">
                  <c:v>0.236586538508125</c:v>
                </c:pt>
                <c:pt idx="40">
                  <c:v>0.22697766280457</c:v>
                </c:pt>
                <c:pt idx="41">
                  <c:v>0.235569705428709</c:v>
                </c:pt>
                <c:pt idx="42">
                  <c:v>0.229846966615307</c:v>
                </c:pt>
                <c:pt idx="43">
                  <c:v>0.224886160297747</c:v>
                </c:pt>
                <c:pt idx="44">
                  <c:v>0.241102633731118</c:v>
                </c:pt>
                <c:pt idx="45">
                  <c:v>0.231303378275281</c:v>
                </c:pt>
                <c:pt idx="46">
                  <c:v>0.233711667767814</c:v>
                </c:pt>
                <c:pt idx="47">
                  <c:v>0.230599157019106</c:v>
                </c:pt>
                <c:pt idx="48">
                  <c:v>0.23138912519528</c:v>
                </c:pt>
                <c:pt idx="49">
                  <c:v>0.221299611204118</c:v>
                </c:pt>
                <c:pt idx="50">
                  <c:v>0.224094070050398</c:v>
                </c:pt>
                <c:pt idx="51">
                  <c:v>0.231771594485161</c:v>
                </c:pt>
                <c:pt idx="52">
                  <c:v>0.227301161901286</c:v>
                </c:pt>
                <c:pt idx="53">
                  <c:v>0.223636276164305</c:v>
                </c:pt>
                <c:pt idx="54">
                  <c:v>0.226873582987105</c:v>
                </c:pt>
                <c:pt idx="55">
                  <c:v>0.223443987879377</c:v>
                </c:pt>
                <c:pt idx="56">
                  <c:v>0.241467901096659</c:v>
                </c:pt>
                <c:pt idx="57">
                  <c:v>0.243010759055246</c:v>
                </c:pt>
                <c:pt idx="58">
                  <c:v>0.224037495405549</c:v>
                </c:pt>
                <c:pt idx="59">
                  <c:v>0.234262932657349</c:v>
                </c:pt>
                <c:pt idx="60">
                  <c:v>0.233809090183174</c:v>
                </c:pt>
                <c:pt idx="61">
                  <c:v>0.22232914464752</c:v>
                </c:pt>
                <c:pt idx="62">
                  <c:v>0.223900826561276</c:v>
                </c:pt>
                <c:pt idx="63">
                  <c:v>0.237728768822594</c:v>
                </c:pt>
                <c:pt idx="64">
                  <c:v>0.224296222952396</c:v>
                </c:pt>
                <c:pt idx="65">
                  <c:v>0.232836315220665</c:v>
                </c:pt>
                <c:pt idx="66">
                  <c:v>0.225153776451286</c:v>
                </c:pt>
                <c:pt idx="67">
                  <c:v>0.245490717906073</c:v>
                </c:pt>
                <c:pt idx="68">
                  <c:v>0.225479586198183</c:v>
                </c:pt>
                <c:pt idx="69">
                  <c:v>0.223767323475853</c:v>
                </c:pt>
                <c:pt idx="70">
                  <c:v>0.227860458324619</c:v>
                </c:pt>
                <c:pt idx="71">
                  <c:v>0.234690779248606</c:v>
                </c:pt>
                <c:pt idx="72">
                  <c:v>0.232224834590562</c:v>
                </c:pt>
                <c:pt idx="73">
                  <c:v>0.224483102578399</c:v>
                </c:pt>
                <c:pt idx="74">
                  <c:v>0.235507002096348</c:v>
                </c:pt>
                <c:pt idx="75">
                  <c:v>0.235912944276293</c:v>
                </c:pt>
                <c:pt idx="76">
                  <c:v>0.224630811792237</c:v>
                </c:pt>
                <c:pt idx="77">
                  <c:v>0.226951742147704</c:v>
                </c:pt>
                <c:pt idx="78">
                  <c:v>0.235481638760918</c:v>
                </c:pt>
                <c:pt idx="79">
                  <c:v>0.244534039189601</c:v>
                </c:pt>
                <c:pt idx="80">
                  <c:v>0.226312376468442</c:v>
                </c:pt>
                <c:pt idx="81">
                  <c:v>0.233911742371439</c:v>
                </c:pt>
                <c:pt idx="82">
                  <c:v>0.23252069398317</c:v>
                </c:pt>
                <c:pt idx="83">
                  <c:v>0.221997180707525</c:v>
                </c:pt>
                <c:pt idx="84">
                  <c:v>0.223680109552135</c:v>
                </c:pt>
                <c:pt idx="85">
                  <c:v>0.22956216902591</c:v>
                </c:pt>
                <c:pt idx="86">
                  <c:v>0.223995127513882</c:v>
                </c:pt>
                <c:pt idx="87">
                  <c:v>0.221317705895305</c:v>
                </c:pt>
                <c:pt idx="88">
                  <c:v>0.225071620329003</c:v>
                </c:pt>
                <c:pt idx="89">
                  <c:v>0.222950974750506</c:v>
                </c:pt>
                <c:pt idx="90">
                  <c:v>0.226504637711028</c:v>
                </c:pt>
                <c:pt idx="91">
                  <c:v>0.22311398874395</c:v>
                </c:pt>
                <c:pt idx="92">
                  <c:v>0.225113080825603</c:v>
                </c:pt>
                <c:pt idx="93">
                  <c:v>0.226923838992595</c:v>
                </c:pt>
                <c:pt idx="94">
                  <c:v>0.227192547157074</c:v>
                </c:pt>
                <c:pt idx="95">
                  <c:v>0.241280469253483</c:v>
                </c:pt>
                <c:pt idx="96">
                  <c:v>0.234319888400092</c:v>
                </c:pt>
                <c:pt idx="97">
                  <c:v>0.242500652611552</c:v>
                </c:pt>
                <c:pt idx="98">
                  <c:v>0.238244049986158</c:v>
                </c:pt>
                <c:pt idx="99">
                  <c:v>0.235861889960847</c:v>
                </c:pt>
                <c:pt idx="100">
                  <c:v>0.240303683807306</c:v>
                </c:pt>
                <c:pt idx="101">
                  <c:v>0.22843381908206</c:v>
                </c:pt>
                <c:pt idx="102">
                  <c:v>0.227362079966698</c:v>
                </c:pt>
                <c:pt idx="103">
                  <c:v>0.230667766511457</c:v>
                </c:pt>
                <c:pt idx="104">
                  <c:v>0.242302800144723</c:v>
                </c:pt>
                <c:pt idx="105">
                  <c:v>0.224249227956288</c:v>
                </c:pt>
                <c:pt idx="106">
                  <c:v>0.234880123010999</c:v>
                </c:pt>
                <c:pt idx="107">
                  <c:v>0.225738204429319</c:v>
                </c:pt>
                <c:pt idx="108">
                  <c:v>0.224422799300053</c:v>
                </c:pt>
                <c:pt idx="109">
                  <c:v>0.224089117210296</c:v>
                </c:pt>
                <c:pt idx="110">
                  <c:v>0.235223492973809</c:v>
                </c:pt>
                <c:pt idx="111">
                  <c:v>0.222546349047231</c:v>
                </c:pt>
                <c:pt idx="112">
                  <c:v>0.224743832397752</c:v>
                </c:pt>
                <c:pt idx="113">
                  <c:v>0.237408617552915</c:v>
                </c:pt>
                <c:pt idx="114">
                  <c:v>0.23301288260456</c:v>
                </c:pt>
                <c:pt idx="115">
                  <c:v>0.228845444834501</c:v>
                </c:pt>
                <c:pt idx="116">
                  <c:v>0.229644395401028</c:v>
                </c:pt>
                <c:pt idx="117">
                  <c:v>0.225901257346222</c:v>
                </c:pt>
                <c:pt idx="118">
                  <c:v>0.246243321878829</c:v>
                </c:pt>
                <c:pt idx="119">
                  <c:v>0.229047622228612</c:v>
                </c:pt>
                <c:pt idx="120">
                  <c:v>0.229397591362354</c:v>
                </c:pt>
                <c:pt idx="121">
                  <c:v>0.229776299092186</c:v>
                </c:pt>
                <c:pt idx="122">
                  <c:v>0.226938122098797</c:v>
                </c:pt>
                <c:pt idx="123">
                  <c:v>0.229841920967462</c:v>
                </c:pt>
                <c:pt idx="124">
                  <c:v>0.243194377449881</c:v>
                </c:pt>
                <c:pt idx="125">
                  <c:v>0.237067290929917</c:v>
                </c:pt>
                <c:pt idx="126">
                  <c:v>0.224390363661679</c:v>
                </c:pt>
                <c:pt idx="127">
                  <c:v>0.226753614007032</c:v>
                </c:pt>
                <c:pt idx="128">
                  <c:v>0.226906529150431</c:v>
                </c:pt>
                <c:pt idx="129">
                  <c:v>0.236869839870354</c:v>
                </c:pt>
                <c:pt idx="130">
                  <c:v>0.222544936699465</c:v>
                </c:pt>
                <c:pt idx="131">
                  <c:v>0.225131163364493</c:v>
                </c:pt>
                <c:pt idx="132">
                  <c:v>0.223641419234178</c:v>
                </c:pt>
                <c:pt idx="133">
                  <c:v>0.224834692373139</c:v>
                </c:pt>
                <c:pt idx="134">
                  <c:v>0.22945088127519</c:v>
                </c:pt>
                <c:pt idx="135">
                  <c:v>0.22725201072126</c:v>
                </c:pt>
                <c:pt idx="136">
                  <c:v>0.221852981410632</c:v>
                </c:pt>
                <c:pt idx="137">
                  <c:v>0.225836018997308</c:v>
                </c:pt>
                <c:pt idx="138">
                  <c:v>0.224110627959149</c:v>
                </c:pt>
                <c:pt idx="139">
                  <c:v>0.232241040574163</c:v>
                </c:pt>
                <c:pt idx="140">
                  <c:v>0.228149412062474</c:v>
                </c:pt>
                <c:pt idx="141">
                  <c:v>0.224228820123471</c:v>
                </c:pt>
                <c:pt idx="142">
                  <c:v>0.230970500212271</c:v>
                </c:pt>
                <c:pt idx="143">
                  <c:v>0.24194701763721</c:v>
                </c:pt>
                <c:pt idx="144">
                  <c:v>0.224859364429241</c:v>
                </c:pt>
                <c:pt idx="145">
                  <c:v>0.224684808310667</c:v>
                </c:pt>
                <c:pt idx="146">
                  <c:v>0.225640288185045</c:v>
                </c:pt>
                <c:pt idx="147">
                  <c:v>0.222358052259125</c:v>
                </c:pt>
                <c:pt idx="148">
                  <c:v>0.227552320973494</c:v>
                </c:pt>
                <c:pt idx="149">
                  <c:v>0.225371596456786</c:v>
                </c:pt>
                <c:pt idx="150">
                  <c:v>0.224087138149241</c:v>
                </c:pt>
                <c:pt idx="151">
                  <c:v>0.22130553011271</c:v>
                </c:pt>
                <c:pt idx="152">
                  <c:v>0.248470869124945</c:v>
                </c:pt>
                <c:pt idx="153">
                  <c:v>0.24058002383715</c:v>
                </c:pt>
                <c:pt idx="154">
                  <c:v>0.226493411685776</c:v>
                </c:pt>
                <c:pt idx="155">
                  <c:v>0.231220387924826</c:v>
                </c:pt>
                <c:pt idx="156">
                  <c:v>0.241829555441956</c:v>
                </c:pt>
                <c:pt idx="157">
                  <c:v>0.222918143527903</c:v>
                </c:pt>
                <c:pt idx="158">
                  <c:v>0.233152286228887</c:v>
                </c:pt>
                <c:pt idx="159">
                  <c:v>0.229685433038243</c:v>
                </c:pt>
                <c:pt idx="160">
                  <c:v>0.226444780356894</c:v>
                </c:pt>
                <c:pt idx="161">
                  <c:v>0.227526992647903</c:v>
                </c:pt>
                <c:pt idx="162">
                  <c:v>0.246020736711802</c:v>
                </c:pt>
                <c:pt idx="163">
                  <c:v>0.223072802145626</c:v>
                </c:pt>
                <c:pt idx="164">
                  <c:v>0.228108534660869</c:v>
                </c:pt>
                <c:pt idx="165">
                  <c:v>0.231297920168474</c:v>
                </c:pt>
                <c:pt idx="166">
                  <c:v>0.225909990182033</c:v>
                </c:pt>
                <c:pt idx="167">
                  <c:v>0.227177246227833</c:v>
                </c:pt>
                <c:pt idx="168">
                  <c:v>0.2257606805348</c:v>
                </c:pt>
                <c:pt idx="169">
                  <c:v>0.22683594208773</c:v>
                </c:pt>
                <c:pt idx="170">
                  <c:v>0.22734968983208</c:v>
                </c:pt>
                <c:pt idx="171">
                  <c:v>0.230100425056253</c:v>
                </c:pt>
                <c:pt idx="172">
                  <c:v>0.233027349300246</c:v>
                </c:pt>
                <c:pt idx="173">
                  <c:v>0.235468183037751</c:v>
                </c:pt>
                <c:pt idx="174">
                  <c:v>0.225346724346372</c:v>
                </c:pt>
                <c:pt idx="175">
                  <c:v>0.225125991695374</c:v>
                </c:pt>
                <c:pt idx="176">
                  <c:v>0.241111575426941</c:v>
                </c:pt>
                <c:pt idx="177">
                  <c:v>0.225852455011284</c:v>
                </c:pt>
                <c:pt idx="178">
                  <c:v>0.227551925135386</c:v>
                </c:pt>
                <c:pt idx="179">
                  <c:v>0.230714170949248</c:v>
                </c:pt>
                <c:pt idx="180">
                  <c:v>0.224617784528081</c:v>
                </c:pt>
                <c:pt idx="181">
                  <c:v>0.225388268155332</c:v>
                </c:pt>
                <c:pt idx="182">
                  <c:v>0.237772010970988</c:v>
                </c:pt>
                <c:pt idx="183">
                  <c:v>0.225317886482907</c:v>
                </c:pt>
                <c:pt idx="184">
                  <c:v>0.228335507826506</c:v>
                </c:pt>
                <c:pt idx="185">
                  <c:v>0.225851724634376</c:v>
                </c:pt>
                <c:pt idx="186">
                  <c:v>0.225297953140232</c:v>
                </c:pt>
                <c:pt idx="187">
                  <c:v>0.226663890724971</c:v>
                </c:pt>
                <c:pt idx="188">
                  <c:v>0.229445596298459</c:v>
                </c:pt>
                <c:pt idx="189">
                  <c:v>0.231214083918492</c:v>
                </c:pt>
                <c:pt idx="190">
                  <c:v>0.228693274582864</c:v>
                </c:pt>
                <c:pt idx="191">
                  <c:v>0.229109558548496</c:v>
                </c:pt>
                <c:pt idx="192">
                  <c:v>0.238106684546896</c:v>
                </c:pt>
                <c:pt idx="193">
                  <c:v>0.235488471848308</c:v>
                </c:pt>
                <c:pt idx="194">
                  <c:v>0.22615021355429</c:v>
                </c:pt>
                <c:pt idx="195">
                  <c:v>0.221837048383056</c:v>
                </c:pt>
                <c:pt idx="196">
                  <c:v>0.227329563271667</c:v>
                </c:pt>
                <c:pt idx="197">
                  <c:v>0.221710180672627</c:v>
                </c:pt>
                <c:pt idx="198">
                  <c:v>0.22329175042652</c:v>
                </c:pt>
                <c:pt idx="199">
                  <c:v>0.227855811822797</c:v>
                </c:pt>
                <c:pt idx="200">
                  <c:v>0.229264920287924</c:v>
                </c:pt>
                <c:pt idx="201">
                  <c:v>0.239156243833887</c:v>
                </c:pt>
                <c:pt idx="202">
                  <c:v>0.232185486141988</c:v>
                </c:pt>
                <c:pt idx="203">
                  <c:v>0.224633136380161</c:v>
                </c:pt>
                <c:pt idx="204">
                  <c:v>0.226276742975378</c:v>
                </c:pt>
                <c:pt idx="205">
                  <c:v>0.222449317513688</c:v>
                </c:pt>
                <c:pt idx="206">
                  <c:v>0.226647239667744</c:v>
                </c:pt>
                <c:pt idx="207">
                  <c:v>0.231887574289522</c:v>
                </c:pt>
                <c:pt idx="208">
                  <c:v>0.223646984264311</c:v>
                </c:pt>
                <c:pt idx="209">
                  <c:v>0.22212416090011</c:v>
                </c:pt>
                <c:pt idx="210">
                  <c:v>0.227284682776537</c:v>
                </c:pt>
                <c:pt idx="211">
                  <c:v>0.222522994638358</c:v>
                </c:pt>
                <c:pt idx="212">
                  <c:v>0.222512657308066</c:v>
                </c:pt>
                <c:pt idx="213">
                  <c:v>0.222492639866252</c:v>
                </c:pt>
                <c:pt idx="214">
                  <c:v>0.229130060997319</c:v>
                </c:pt>
                <c:pt idx="215">
                  <c:v>0.224049857023006</c:v>
                </c:pt>
                <c:pt idx="216">
                  <c:v>0.22598891293182</c:v>
                </c:pt>
                <c:pt idx="217">
                  <c:v>0.227822222644091</c:v>
                </c:pt>
                <c:pt idx="218">
                  <c:v>0.221987390007782</c:v>
                </c:pt>
                <c:pt idx="219">
                  <c:v>0.23034054068957</c:v>
                </c:pt>
                <c:pt idx="220">
                  <c:v>0.233098397376625</c:v>
                </c:pt>
                <c:pt idx="221">
                  <c:v>0.222530171221617</c:v>
                </c:pt>
                <c:pt idx="222">
                  <c:v>0.223969618082322</c:v>
                </c:pt>
                <c:pt idx="223">
                  <c:v>0.234939219004125</c:v>
                </c:pt>
                <c:pt idx="224">
                  <c:v>0.238231742106391</c:v>
                </c:pt>
                <c:pt idx="225">
                  <c:v>0.221530508579236</c:v>
                </c:pt>
                <c:pt idx="226">
                  <c:v>0.225425211292669</c:v>
                </c:pt>
                <c:pt idx="227">
                  <c:v>0.232535264539175</c:v>
                </c:pt>
                <c:pt idx="228">
                  <c:v>0.223393055284452</c:v>
                </c:pt>
                <c:pt idx="229">
                  <c:v>0.234251195664602</c:v>
                </c:pt>
                <c:pt idx="230">
                  <c:v>0.229022478691978</c:v>
                </c:pt>
                <c:pt idx="231">
                  <c:v>0.232516049162094</c:v>
                </c:pt>
                <c:pt idx="232">
                  <c:v>0.231625442225542</c:v>
                </c:pt>
                <c:pt idx="233">
                  <c:v>0.228932876396786</c:v>
                </c:pt>
                <c:pt idx="234">
                  <c:v>0.223904995197428</c:v>
                </c:pt>
                <c:pt idx="235">
                  <c:v>0.222730496873846</c:v>
                </c:pt>
                <c:pt idx="236">
                  <c:v>0.234184853090036</c:v>
                </c:pt>
                <c:pt idx="237">
                  <c:v>0.224610553639438</c:v>
                </c:pt>
                <c:pt idx="238">
                  <c:v>0.23337332405862</c:v>
                </c:pt>
                <c:pt idx="239">
                  <c:v>0.221975988916666</c:v>
                </c:pt>
                <c:pt idx="240">
                  <c:v>0.226423791479654</c:v>
                </c:pt>
                <c:pt idx="241">
                  <c:v>0.22582311588319</c:v>
                </c:pt>
                <c:pt idx="242">
                  <c:v>0.23926232341621</c:v>
                </c:pt>
                <c:pt idx="243">
                  <c:v>0.239462653836611</c:v>
                </c:pt>
                <c:pt idx="244">
                  <c:v>0.224521306604512</c:v>
                </c:pt>
                <c:pt idx="245">
                  <c:v>0.223697305393659</c:v>
                </c:pt>
                <c:pt idx="246">
                  <c:v>0.225846634709861</c:v>
                </c:pt>
                <c:pt idx="247">
                  <c:v>0.23235858207591</c:v>
                </c:pt>
                <c:pt idx="248">
                  <c:v>0.235632885484003</c:v>
                </c:pt>
                <c:pt idx="249">
                  <c:v>0.229408952157633</c:v>
                </c:pt>
                <c:pt idx="250">
                  <c:v>0.239004627924933</c:v>
                </c:pt>
                <c:pt idx="251">
                  <c:v>0.231896488613562</c:v>
                </c:pt>
                <c:pt idx="252">
                  <c:v>0.227364992451472</c:v>
                </c:pt>
                <c:pt idx="253">
                  <c:v>0.221633309060406</c:v>
                </c:pt>
                <c:pt idx="254">
                  <c:v>0.237810087170923</c:v>
                </c:pt>
                <c:pt idx="255">
                  <c:v>0.229004028569784</c:v>
                </c:pt>
                <c:pt idx="256">
                  <c:v>0.234347940006052</c:v>
                </c:pt>
                <c:pt idx="257">
                  <c:v>0.221363381776481</c:v>
                </c:pt>
                <c:pt idx="258">
                  <c:v>0.222361671585521</c:v>
                </c:pt>
                <c:pt idx="259">
                  <c:v>0.226047874340445</c:v>
                </c:pt>
                <c:pt idx="260">
                  <c:v>0.224881222484525</c:v>
                </c:pt>
                <c:pt idx="261">
                  <c:v>0.232925469053331</c:v>
                </c:pt>
                <c:pt idx="262">
                  <c:v>0.224233498431343</c:v>
                </c:pt>
                <c:pt idx="263">
                  <c:v>0.221493318253082</c:v>
                </c:pt>
                <c:pt idx="264">
                  <c:v>0.23039901559379</c:v>
                </c:pt>
                <c:pt idx="265">
                  <c:v>0.22623162821092</c:v>
                </c:pt>
                <c:pt idx="266">
                  <c:v>0.227817077980657</c:v>
                </c:pt>
                <c:pt idx="267">
                  <c:v>0.236155440255741</c:v>
                </c:pt>
                <c:pt idx="268">
                  <c:v>0.23157212406294</c:v>
                </c:pt>
                <c:pt idx="269">
                  <c:v>0.22514535560391</c:v>
                </c:pt>
                <c:pt idx="270">
                  <c:v>0.227087495655608</c:v>
                </c:pt>
                <c:pt idx="271">
                  <c:v>0.225514029889153</c:v>
                </c:pt>
                <c:pt idx="272">
                  <c:v>0.226466138659091</c:v>
                </c:pt>
                <c:pt idx="273">
                  <c:v>0.236604859240377</c:v>
                </c:pt>
                <c:pt idx="274">
                  <c:v>0.228841981847477</c:v>
                </c:pt>
                <c:pt idx="275">
                  <c:v>0.222338718110456</c:v>
                </c:pt>
                <c:pt idx="276">
                  <c:v>0.224036161813217</c:v>
                </c:pt>
                <c:pt idx="277">
                  <c:v>0.222005340956545</c:v>
                </c:pt>
                <c:pt idx="278">
                  <c:v>0.229072129750943</c:v>
                </c:pt>
                <c:pt idx="279">
                  <c:v>0.23021668492503</c:v>
                </c:pt>
                <c:pt idx="280">
                  <c:v>0.245496625012603</c:v>
                </c:pt>
                <c:pt idx="281">
                  <c:v>0.221451714403441</c:v>
                </c:pt>
                <c:pt idx="282">
                  <c:v>0.2406075674777</c:v>
                </c:pt>
                <c:pt idx="283">
                  <c:v>0.225323628993409</c:v>
                </c:pt>
                <c:pt idx="284">
                  <c:v>0.237706907891219</c:v>
                </c:pt>
                <c:pt idx="285">
                  <c:v>0.233090277298323</c:v>
                </c:pt>
                <c:pt idx="286">
                  <c:v>0.226162643015396</c:v>
                </c:pt>
                <c:pt idx="287">
                  <c:v>0.226981149276312</c:v>
                </c:pt>
                <c:pt idx="288">
                  <c:v>0.228831292895464</c:v>
                </c:pt>
                <c:pt idx="289">
                  <c:v>0.237541066825451</c:v>
                </c:pt>
                <c:pt idx="290">
                  <c:v>0.228426749297894</c:v>
                </c:pt>
                <c:pt idx="291">
                  <c:v>0.221726102818949</c:v>
                </c:pt>
                <c:pt idx="292">
                  <c:v>0.228650565625708</c:v>
                </c:pt>
                <c:pt idx="293">
                  <c:v>0.233806320429015</c:v>
                </c:pt>
                <c:pt idx="294">
                  <c:v>0.251687008103333</c:v>
                </c:pt>
                <c:pt idx="295">
                  <c:v>0.235515474227595</c:v>
                </c:pt>
                <c:pt idx="296">
                  <c:v>0.24083070578232</c:v>
                </c:pt>
                <c:pt idx="297">
                  <c:v>0.225836100969562</c:v>
                </c:pt>
                <c:pt idx="298">
                  <c:v>0.221853002658434</c:v>
                </c:pt>
                <c:pt idx="299">
                  <c:v>0.227985157608154</c:v>
                </c:pt>
                <c:pt idx="300">
                  <c:v>0.222614025132781</c:v>
                </c:pt>
                <c:pt idx="301">
                  <c:v>0.227473975361141</c:v>
                </c:pt>
                <c:pt idx="302">
                  <c:v>0.222831710413051</c:v>
                </c:pt>
                <c:pt idx="303">
                  <c:v>0.228909588754532</c:v>
                </c:pt>
                <c:pt idx="304">
                  <c:v>0.224367407900961</c:v>
                </c:pt>
                <c:pt idx="305">
                  <c:v>0.230600763217755</c:v>
                </c:pt>
                <c:pt idx="306">
                  <c:v>0.224406450197582</c:v>
                </c:pt>
                <c:pt idx="307">
                  <c:v>0.230611472862637</c:v>
                </c:pt>
                <c:pt idx="308">
                  <c:v>0.221447077546785</c:v>
                </c:pt>
                <c:pt idx="309">
                  <c:v>0.22710060463252</c:v>
                </c:pt>
                <c:pt idx="310">
                  <c:v>0.238901764624127</c:v>
                </c:pt>
                <c:pt idx="311">
                  <c:v>0.221873969624358</c:v>
                </c:pt>
                <c:pt idx="312">
                  <c:v>0.248463658197581</c:v>
                </c:pt>
                <c:pt idx="313">
                  <c:v>0.223944639032551</c:v>
                </c:pt>
                <c:pt idx="314">
                  <c:v>0.22840146524158</c:v>
                </c:pt>
                <c:pt idx="315">
                  <c:v>0.251951790842956</c:v>
                </c:pt>
                <c:pt idx="316">
                  <c:v>0.223983283222787</c:v>
                </c:pt>
                <c:pt idx="317">
                  <c:v>0.22606592100399</c:v>
                </c:pt>
                <c:pt idx="318">
                  <c:v>0.226719577785104</c:v>
                </c:pt>
                <c:pt idx="319">
                  <c:v>0.246392193646602</c:v>
                </c:pt>
                <c:pt idx="320">
                  <c:v>0.239273458447394</c:v>
                </c:pt>
                <c:pt idx="321">
                  <c:v>0.224864659378795</c:v>
                </c:pt>
                <c:pt idx="322">
                  <c:v>0.222921953496112</c:v>
                </c:pt>
                <c:pt idx="323">
                  <c:v>0.230381048457485</c:v>
                </c:pt>
                <c:pt idx="324">
                  <c:v>0.226690747292284</c:v>
                </c:pt>
                <c:pt idx="325">
                  <c:v>0.234575823385571</c:v>
                </c:pt>
                <c:pt idx="326">
                  <c:v>0.227004783964846</c:v>
                </c:pt>
                <c:pt idx="327">
                  <c:v>0.226084938425651</c:v>
                </c:pt>
                <c:pt idx="328">
                  <c:v>0.224697956429461</c:v>
                </c:pt>
                <c:pt idx="329">
                  <c:v>0.229155615332539</c:v>
                </c:pt>
                <c:pt idx="330">
                  <c:v>0.225572123071509</c:v>
                </c:pt>
                <c:pt idx="331">
                  <c:v>0.225301710842793</c:v>
                </c:pt>
                <c:pt idx="332">
                  <c:v>0.223691351341673</c:v>
                </c:pt>
                <c:pt idx="333">
                  <c:v>0.225179958837614</c:v>
                </c:pt>
                <c:pt idx="334">
                  <c:v>0.22535579346505</c:v>
                </c:pt>
                <c:pt idx="335">
                  <c:v>0.227361259675092</c:v>
                </c:pt>
                <c:pt idx="336">
                  <c:v>0.230635031505242</c:v>
                </c:pt>
                <c:pt idx="337">
                  <c:v>0.228829475831368</c:v>
                </c:pt>
                <c:pt idx="338">
                  <c:v>0.229004384713952</c:v>
                </c:pt>
                <c:pt idx="339">
                  <c:v>0.232454728337845</c:v>
                </c:pt>
                <c:pt idx="340">
                  <c:v>0.225863447735091</c:v>
                </c:pt>
                <c:pt idx="341">
                  <c:v>0.225797899632954</c:v>
                </c:pt>
                <c:pt idx="342">
                  <c:v>0.226199530908311</c:v>
                </c:pt>
                <c:pt idx="343">
                  <c:v>0.221773386584139</c:v>
                </c:pt>
                <c:pt idx="344">
                  <c:v>0.223326309661768</c:v>
                </c:pt>
                <c:pt idx="345">
                  <c:v>0.224388174565329</c:v>
                </c:pt>
                <c:pt idx="346">
                  <c:v>0.239952290481241</c:v>
                </c:pt>
                <c:pt idx="347">
                  <c:v>0.222896569721075</c:v>
                </c:pt>
                <c:pt idx="348">
                  <c:v>0.224830315498276</c:v>
                </c:pt>
                <c:pt idx="349">
                  <c:v>0.251559304059461</c:v>
                </c:pt>
                <c:pt idx="350">
                  <c:v>0.224939198605735</c:v>
                </c:pt>
                <c:pt idx="351">
                  <c:v>0.227717258919833</c:v>
                </c:pt>
                <c:pt idx="352">
                  <c:v>0.222984583613805</c:v>
                </c:pt>
                <c:pt idx="353">
                  <c:v>0.229236263484185</c:v>
                </c:pt>
                <c:pt idx="354">
                  <c:v>0.223019005553367</c:v>
                </c:pt>
                <c:pt idx="355">
                  <c:v>0.224282561260212</c:v>
                </c:pt>
                <c:pt idx="356">
                  <c:v>0.224980329372059</c:v>
                </c:pt>
                <c:pt idx="357">
                  <c:v>0.226353328442274</c:v>
                </c:pt>
                <c:pt idx="358">
                  <c:v>0.222584845683741</c:v>
                </c:pt>
                <c:pt idx="359">
                  <c:v>0.226227063129574</c:v>
                </c:pt>
                <c:pt idx="360">
                  <c:v>0.221291293073566</c:v>
                </c:pt>
                <c:pt idx="361">
                  <c:v>0.226377838042557</c:v>
                </c:pt>
                <c:pt idx="362">
                  <c:v>0.227682968200682</c:v>
                </c:pt>
                <c:pt idx="363">
                  <c:v>0.235683854597065</c:v>
                </c:pt>
                <c:pt idx="364">
                  <c:v>0.225236054667841</c:v>
                </c:pt>
                <c:pt idx="365">
                  <c:v>0.227546619708807</c:v>
                </c:pt>
                <c:pt idx="366">
                  <c:v>0.225866651526317</c:v>
                </c:pt>
                <c:pt idx="367">
                  <c:v>0.225793882325367</c:v>
                </c:pt>
                <c:pt idx="368">
                  <c:v>0.22159363377272</c:v>
                </c:pt>
                <c:pt idx="369">
                  <c:v>0.226782426892475</c:v>
                </c:pt>
                <c:pt idx="370">
                  <c:v>0.222601677903864</c:v>
                </c:pt>
                <c:pt idx="371">
                  <c:v>0.226969332221784</c:v>
                </c:pt>
                <c:pt idx="372">
                  <c:v>0.241316442203805</c:v>
                </c:pt>
                <c:pt idx="373">
                  <c:v>0.239113740841658</c:v>
                </c:pt>
                <c:pt idx="374">
                  <c:v>0.225535734990005</c:v>
                </c:pt>
                <c:pt idx="375">
                  <c:v>0.2219389524329</c:v>
                </c:pt>
                <c:pt idx="376">
                  <c:v>0.229466463288472</c:v>
                </c:pt>
                <c:pt idx="377">
                  <c:v>0.221429793299479</c:v>
                </c:pt>
                <c:pt idx="378">
                  <c:v>0.225222138138734</c:v>
                </c:pt>
                <c:pt idx="379">
                  <c:v>0.226769179015911</c:v>
                </c:pt>
                <c:pt idx="380">
                  <c:v>0.223099791532005</c:v>
                </c:pt>
                <c:pt idx="381">
                  <c:v>0.227271226792598</c:v>
                </c:pt>
                <c:pt idx="382">
                  <c:v>0.225756493247114</c:v>
                </c:pt>
                <c:pt idx="383">
                  <c:v>0.225376121956088</c:v>
                </c:pt>
                <c:pt idx="384">
                  <c:v>0.225936671557995</c:v>
                </c:pt>
                <c:pt idx="385">
                  <c:v>0.224644717291847</c:v>
                </c:pt>
                <c:pt idx="386">
                  <c:v>0.223123168597815</c:v>
                </c:pt>
                <c:pt idx="387">
                  <c:v>0.238566064034221</c:v>
                </c:pt>
                <c:pt idx="388">
                  <c:v>0.237631981459024</c:v>
                </c:pt>
                <c:pt idx="389">
                  <c:v>0.221372657595806</c:v>
                </c:pt>
                <c:pt idx="390">
                  <c:v>0.229002013285892</c:v>
                </c:pt>
                <c:pt idx="391">
                  <c:v>0.232623104595238</c:v>
                </c:pt>
                <c:pt idx="392">
                  <c:v>0.223279634511251</c:v>
                </c:pt>
                <c:pt idx="393">
                  <c:v>0.2301924258804</c:v>
                </c:pt>
                <c:pt idx="394">
                  <c:v>0.230704011699828</c:v>
                </c:pt>
                <c:pt idx="395">
                  <c:v>0.227081901212838</c:v>
                </c:pt>
                <c:pt idx="396">
                  <c:v>0.234753979190258</c:v>
                </c:pt>
                <c:pt idx="397">
                  <c:v>0.224869290601813</c:v>
                </c:pt>
                <c:pt idx="398">
                  <c:v>0.241886704028394</c:v>
                </c:pt>
                <c:pt idx="399">
                  <c:v>0.226508305185615</c:v>
                </c:pt>
                <c:pt idx="400">
                  <c:v>0.230671837345824</c:v>
                </c:pt>
                <c:pt idx="401">
                  <c:v>0.231753805619243</c:v>
                </c:pt>
                <c:pt idx="402">
                  <c:v>0.223882949356862</c:v>
                </c:pt>
                <c:pt idx="403">
                  <c:v>0.222405243015795</c:v>
                </c:pt>
                <c:pt idx="404">
                  <c:v>0.236997205265975</c:v>
                </c:pt>
                <c:pt idx="405">
                  <c:v>0.235351355160744</c:v>
                </c:pt>
                <c:pt idx="406">
                  <c:v>0.226630251198936</c:v>
                </c:pt>
                <c:pt idx="407">
                  <c:v>0.239027395154512</c:v>
                </c:pt>
                <c:pt idx="408">
                  <c:v>0.228657168529708</c:v>
                </c:pt>
                <c:pt idx="409">
                  <c:v>0.235159919922781</c:v>
                </c:pt>
                <c:pt idx="410">
                  <c:v>0.222945377412771</c:v>
                </c:pt>
                <c:pt idx="411">
                  <c:v>0.241787835420734</c:v>
                </c:pt>
                <c:pt idx="412">
                  <c:v>0.224979505977646</c:v>
                </c:pt>
                <c:pt idx="413">
                  <c:v>0.236858226733209</c:v>
                </c:pt>
                <c:pt idx="414">
                  <c:v>0.226723726766919</c:v>
                </c:pt>
                <c:pt idx="415">
                  <c:v>0.226887368591061</c:v>
                </c:pt>
                <c:pt idx="416">
                  <c:v>0.224365618838446</c:v>
                </c:pt>
                <c:pt idx="417">
                  <c:v>0.222686307090702</c:v>
                </c:pt>
                <c:pt idx="418">
                  <c:v>0.224199820742299</c:v>
                </c:pt>
                <c:pt idx="419">
                  <c:v>0.224748323277968</c:v>
                </c:pt>
                <c:pt idx="420">
                  <c:v>0.23391496345124</c:v>
                </c:pt>
                <c:pt idx="421">
                  <c:v>0.225569098520797</c:v>
                </c:pt>
                <c:pt idx="422">
                  <c:v>0.228654051753179</c:v>
                </c:pt>
                <c:pt idx="423">
                  <c:v>0.233855477575243</c:v>
                </c:pt>
                <c:pt idx="424">
                  <c:v>0.221407307708894</c:v>
                </c:pt>
                <c:pt idx="425">
                  <c:v>0.243539926371566</c:v>
                </c:pt>
                <c:pt idx="426">
                  <c:v>0.236404930060043</c:v>
                </c:pt>
                <c:pt idx="427">
                  <c:v>0.228349253837635</c:v>
                </c:pt>
                <c:pt idx="428">
                  <c:v>0.230591371820461</c:v>
                </c:pt>
                <c:pt idx="429">
                  <c:v>0.223429042374086</c:v>
                </c:pt>
                <c:pt idx="430">
                  <c:v>0.226440827323029</c:v>
                </c:pt>
                <c:pt idx="431">
                  <c:v>0.227815824589837</c:v>
                </c:pt>
                <c:pt idx="432">
                  <c:v>0.237239763554377</c:v>
                </c:pt>
                <c:pt idx="433">
                  <c:v>0.225939387296785</c:v>
                </c:pt>
                <c:pt idx="434">
                  <c:v>0.241191764497929</c:v>
                </c:pt>
                <c:pt idx="435">
                  <c:v>0.225255671262871</c:v>
                </c:pt>
                <c:pt idx="436">
                  <c:v>0.234876383876633</c:v>
                </c:pt>
                <c:pt idx="437">
                  <c:v>0.224276445839324</c:v>
                </c:pt>
                <c:pt idx="438">
                  <c:v>0.228455321261034</c:v>
                </c:pt>
                <c:pt idx="439">
                  <c:v>0.226860247402906</c:v>
                </c:pt>
                <c:pt idx="440">
                  <c:v>0.236259275159626</c:v>
                </c:pt>
                <c:pt idx="441">
                  <c:v>0.236939906612368</c:v>
                </c:pt>
                <c:pt idx="442">
                  <c:v>0.236296171282198</c:v>
                </c:pt>
                <c:pt idx="443">
                  <c:v>0.228073774855059</c:v>
                </c:pt>
                <c:pt idx="444">
                  <c:v>0.236718656473507</c:v>
                </c:pt>
                <c:pt idx="445">
                  <c:v>0.223943637135236</c:v>
                </c:pt>
                <c:pt idx="446">
                  <c:v>0.2370827765282</c:v>
                </c:pt>
                <c:pt idx="447">
                  <c:v>0.230620732778995</c:v>
                </c:pt>
                <c:pt idx="448">
                  <c:v>0.223233898159117</c:v>
                </c:pt>
                <c:pt idx="449">
                  <c:v>0.23683656524666</c:v>
                </c:pt>
                <c:pt idx="450">
                  <c:v>0.223785186485346</c:v>
                </c:pt>
                <c:pt idx="451">
                  <c:v>0.225770349642186</c:v>
                </c:pt>
                <c:pt idx="452">
                  <c:v>0.22315374190592</c:v>
                </c:pt>
                <c:pt idx="453">
                  <c:v>0.229840818976139</c:v>
                </c:pt>
                <c:pt idx="454">
                  <c:v>0.226868976629752</c:v>
                </c:pt>
                <c:pt idx="455">
                  <c:v>0.238807785292596</c:v>
                </c:pt>
                <c:pt idx="456">
                  <c:v>0.239670675369938</c:v>
                </c:pt>
                <c:pt idx="457">
                  <c:v>0.236528288046326</c:v>
                </c:pt>
                <c:pt idx="458">
                  <c:v>0.234792741400602</c:v>
                </c:pt>
                <c:pt idx="459">
                  <c:v>0.225616730860948</c:v>
                </c:pt>
                <c:pt idx="460">
                  <c:v>0.239000870420211</c:v>
                </c:pt>
                <c:pt idx="461">
                  <c:v>0.232521526483435</c:v>
                </c:pt>
                <c:pt idx="462">
                  <c:v>0.225236753898961</c:v>
                </c:pt>
                <c:pt idx="463">
                  <c:v>0.224742143227963</c:v>
                </c:pt>
                <c:pt idx="464">
                  <c:v>0.233820158403666</c:v>
                </c:pt>
                <c:pt idx="465">
                  <c:v>0.22349012465497</c:v>
                </c:pt>
                <c:pt idx="466">
                  <c:v>0.227828799830655</c:v>
                </c:pt>
                <c:pt idx="467">
                  <c:v>0.240625102699407</c:v>
                </c:pt>
                <c:pt idx="468">
                  <c:v>0.226215986597694</c:v>
                </c:pt>
                <c:pt idx="469">
                  <c:v>0.225405243647112</c:v>
                </c:pt>
                <c:pt idx="470">
                  <c:v>0.225982455912606</c:v>
                </c:pt>
                <c:pt idx="471">
                  <c:v>0.242429300852146</c:v>
                </c:pt>
                <c:pt idx="472">
                  <c:v>0.244205943430461</c:v>
                </c:pt>
                <c:pt idx="473">
                  <c:v>0.221939762823953</c:v>
                </c:pt>
                <c:pt idx="474">
                  <c:v>0.249705192247606</c:v>
                </c:pt>
                <c:pt idx="475">
                  <c:v>0.223443418651303</c:v>
                </c:pt>
                <c:pt idx="476">
                  <c:v>0.227854924122143</c:v>
                </c:pt>
                <c:pt idx="477">
                  <c:v>0.227031068612471</c:v>
                </c:pt>
                <c:pt idx="478">
                  <c:v>0.231494574624568</c:v>
                </c:pt>
                <c:pt idx="479">
                  <c:v>0.223357558898992</c:v>
                </c:pt>
                <c:pt idx="480">
                  <c:v>0.221662211616411</c:v>
                </c:pt>
                <c:pt idx="481">
                  <c:v>0.231893175829111</c:v>
                </c:pt>
                <c:pt idx="482">
                  <c:v>0.228124507601385</c:v>
                </c:pt>
                <c:pt idx="483">
                  <c:v>0.224769064936163</c:v>
                </c:pt>
                <c:pt idx="484">
                  <c:v>0.227310817457333</c:v>
                </c:pt>
                <c:pt idx="485">
                  <c:v>0.224374393073257</c:v>
                </c:pt>
                <c:pt idx="486">
                  <c:v>0.233777351703141</c:v>
                </c:pt>
                <c:pt idx="487">
                  <c:v>0.22352283233617</c:v>
                </c:pt>
                <c:pt idx="488">
                  <c:v>0.223319214644867</c:v>
                </c:pt>
                <c:pt idx="489">
                  <c:v>0.231793179181698</c:v>
                </c:pt>
                <c:pt idx="490">
                  <c:v>0.228935319252688</c:v>
                </c:pt>
                <c:pt idx="491">
                  <c:v>0.228193656305059</c:v>
                </c:pt>
                <c:pt idx="492">
                  <c:v>0.226021528153357</c:v>
                </c:pt>
                <c:pt idx="493">
                  <c:v>0.232155788784197</c:v>
                </c:pt>
                <c:pt idx="494">
                  <c:v>0.221415464273358</c:v>
                </c:pt>
                <c:pt idx="495">
                  <c:v>0.229639596517002</c:v>
                </c:pt>
                <c:pt idx="496">
                  <c:v>0.226769294456007</c:v>
                </c:pt>
                <c:pt idx="497">
                  <c:v>0.224843146854959</c:v>
                </c:pt>
                <c:pt idx="498">
                  <c:v>0.226859530843637</c:v>
                </c:pt>
                <c:pt idx="499">
                  <c:v>0.229172703089218</c:v>
                </c:pt>
                <c:pt idx="500">
                  <c:v>0.228501976066695</c:v>
                </c:pt>
                <c:pt idx="501">
                  <c:v>0.227235973585759</c:v>
                </c:pt>
                <c:pt idx="502">
                  <c:v>0.226088466462004</c:v>
                </c:pt>
                <c:pt idx="503">
                  <c:v>0.226471751140887</c:v>
                </c:pt>
                <c:pt idx="504">
                  <c:v>0.224449752062525</c:v>
                </c:pt>
                <c:pt idx="505">
                  <c:v>0.243829912376481</c:v>
                </c:pt>
                <c:pt idx="506">
                  <c:v>0.239473457755401</c:v>
                </c:pt>
                <c:pt idx="507">
                  <c:v>0.225078822192087</c:v>
                </c:pt>
                <c:pt idx="508">
                  <c:v>0.222957492766957</c:v>
                </c:pt>
                <c:pt idx="509">
                  <c:v>0.232733748041155</c:v>
                </c:pt>
                <c:pt idx="510">
                  <c:v>0.232131428031982</c:v>
                </c:pt>
                <c:pt idx="511">
                  <c:v>0.229311187491702</c:v>
                </c:pt>
                <c:pt idx="512">
                  <c:v>0.236406554672141</c:v>
                </c:pt>
                <c:pt idx="513">
                  <c:v>0.22961983320542</c:v>
                </c:pt>
                <c:pt idx="514">
                  <c:v>0.228114012121485</c:v>
                </c:pt>
                <c:pt idx="515">
                  <c:v>0.229396916597038</c:v>
                </c:pt>
                <c:pt idx="516">
                  <c:v>0.242555535988921</c:v>
                </c:pt>
                <c:pt idx="517">
                  <c:v>0.228890652662969</c:v>
                </c:pt>
                <c:pt idx="518">
                  <c:v>0.232625818982778</c:v>
                </c:pt>
                <c:pt idx="519">
                  <c:v>0.232048004089602</c:v>
                </c:pt>
                <c:pt idx="520">
                  <c:v>0.230764380290477</c:v>
                </c:pt>
                <c:pt idx="521">
                  <c:v>0.233672006326242</c:v>
                </c:pt>
                <c:pt idx="522">
                  <c:v>0.223011557073855</c:v>
                </c:pt>
                <c:pt idx="523">
                  <c:v>0.228289529811996</c:v>
                </c:pt>
                <c:pt idx="524">
                  <c:v>0.227857835916561</c:v>
                </c:pt>
                <c:pt idx="525">
                  <c:v>0.245535766290304</c:v>
                </c:pt>
                <c:pt idx="526">
                  <c:v>0.225614644877095</c:v>
                </c:pt>
                <c:pt idx="527">
                  <c:v>0.229002990002151</c:v>
                </c:pt>
                <c:pt idx="528">
                  <c:v>0.22174397782586</c:v>
                </c:pt>
                <c:pt idx="529">
                  <c:v>0.229136366457521</c:v>
                </c:pt>
                <c:pt idx="530">
                  <c:v>0.230262478363788</c:v>
                </c:pt>
                <c:pt idx="531">
                  <c:v>0.238516765378652</c:v>
                </c:pt>
                <c:pt idx="532">
                  <c:v>0.222332504285864</c:v>
                </c:pt>
                <c:pt idx="533">
                  <c:v>0.221835141780186</c:v>
                </c:pt>
                <c:pt idx="534">
                  <c:v>0.230254998938401</c:v>
                </c:pt>
                <c:pt idx="535">
                  <c:v>0.22737614648214</c:v>
                </c:pt>
                <c:pt idx="536">
                  <c:v>0.235320030435135</c:v>
                </c:pt>
                <c:pt idx="537">
                  <c:v>0.22477343043037</c:v>
                </c:pt>
                <c:pt idx="538">
                  <c:v>0.233651687246772</c:v>
                </c:pt>
                <c:pt idx="539">
                  <c:v>0.225958630847404</c:v>
                </c:pt>
                <c:pt idx="540">
                  <c:v>0.224931357360055</c:v>
                </c:pt>
                <c:pt idx="541">
                  <c:v>0.221891379212543</c:v>
                </c:pt>
                <c:pt idx="542">
                  <c:v>0.234646444743532</c:v>
                </c:pt>
                <c:pt idx="543">
                  <c:v>0.22946213139514</c:v>
                </c:pt>
                <c:pt idx="544">
                  <c:v>0.228168924733675</c:v>
                </c:pt>
                <c:pt idx="545">
                  <c:v>0.22976133223688</c:v>
                </c:pt>
                <c:pt idx="546">
                  <c:v>0.225464630251801</c:v>
                </c:pt>
                <c:pt idx="547">
                  <c:v>0.223741594298172</c:v>
                </c:pt>
                <c:pt idx="548">
                  <c:v>0.242693057177479</c:v>
                </c:pt>
                <c:pt idx="549">
                  <c:v>0.225734640951787</c:v>
                </c:pt>
                <c:pt idx="550">
                  <c:v>0.239337009824878</c:v>
                </c:pt>
                <c:pt idx="551">
                  <c:v>0.233564072287131</c:v>
                </c:pt>
                <c:pt idx="552">
                  <c:v>0.223330363688299</c:v>
                </c:pt>
                <c:pt idx="553">
                  <c:v>0.228116604828273</c:v>
                </c:pt>
                <c:pt idx="554">
                  <c:v>0.224750403942785</c:v>
                </c:pt>
                <c:pt idx="555">
                  <c:v>0.224147747859793</c:v>
                </c:pt>
                <c:pt idx="556">
                  <c:v>0.238819436480696</c:v>
                </c:pt>
                <c:pt idx="557">
                  <c:v>0.226067961112657</c:v>
                </c:pt>
                <c:pt idx="558">
                  <c:v>0.225207178938143</c:v>
                </c:pt>
                <c:pt idx="559">
                  <c:v>0.228277073927652</c:v>
                </c:pt>
                <c:pt idx="560">
                  <c:v>0.233255121274063</c:v>
                </c:pt>
                <c:pt idx="561">
                  <c:v>0.223779246570028</c:v>
                </c:pt>
                <c:pt idx="562">
                  <c:v>0.223064040328183</c:v>
                </c:pt>
                <c:pt idx="563">
                  <c:v>0.221765746464021</c:v>
                </c:pt>
                <c:pt idx="564">
                  <c:v>0.223384990898671</c:v>
                </c:pt>
                <c:pt idx="565">
                  <c:v>0.229836823621687</c:v>
                </c:pt>
                <c:pt idx="566">
                  <c:v>0.22448855406016</c:v>
                </c:pt>
                <c:pt idx="567">
                  <c:v>0.225776874566402</c:v>
                </c:pt>
                <c:pt idx="568">
                  <c:v>0.226642001006234</c:v>
                </c:pt>
                <c:pt idx="569">
                  <c:v>0.234407449383122</c:v>
                </c:pt>
                <c:pt idx="570">
                  <c:v>0.241776943532711</c:v>
                </c:pt>
                <c:pt idx="571">
                  <c:v>0.231544717973967</c:v>
                </c:pt>
                <c:pt idx="572">
                  <c:v>0.241881296441936</c:v>
                </c:pt>
                <c:pt idx="573">
                  <c:v>0.223329135381216</c:v>
                </c:pt>
                <c:pt idx="574">
                  <c:v>0.23161060573741</c:v>
                </c:pt>
                <c:pt idx="575">
                  <c:v>0.242735516947993</c:v>
                </c:pt>
                <c:pt idx="576">
                  <c:v>0.224651661831121</c:v>
                </c:pt>
                <c:pt idx="577">
                  <c:v>0.224911008118332</c:v>
                </c:pt>
                <c:pt idx="578">
                  <c:v>0.23851554520202</c:v>
                </c:pt>
                <c:pt idx="579">
                  <c:v>0.231657416192641</c:v>
                </c:pt>
                <c:pt idx="580">
                  <c:v>0.225599548222794</c:v>
                </c:pt>
                <c:pt idx="581">
                  <c:v>0.242786731991635</c:v>
                </c:pt>
                <c:pt idx="582">
                  <c:v>0.246576527739086</c:v>
                </c:pt>
                <c:pt idx="583">
                  <c:v>0.235782024515382</c:v>
                </c:pt>
                <c:pt idx="584">
                  <c:v>0.249269583808251</c:v>
                </c:pt>
                <c:pt idx="585">
                  <c:v>0.227025823058308</c:v>
                </c:pt>
                <c:pt idx="586">
                  <c:v>0.237041385226295</c:v>
                </c:pt>
                <c:pt idx="587">
                  <c:v>0.221340980302738</c:v>
                </c:pt>
                <c:pt idx="588">
                  <c:v>0.237522076008934</c:v>
                </c:pt>
                <c:pt idx="589">
                  <c:v>0.224858696090143</c:v>
                </c:pt>
                <c:pt idx="590">
                  <c:v>0.230907946573436</c:v>
                </c:pt>
                <c:pt idx="591">
                  <c:v>0.225309938059705</c:v>
                </c:pt>
                <c:pt idx="592">
                  <c:v>0.223876069062505</c:v>
                </c:pt>
                <c:pt idx="593">
                  <c:v>0.224008084583358</c:v>
                </c:pt>
                <c:pt idx="594">
                  <c:v>0.228847670318211</c:v>
                </c:pt>
                <c:pt idx="595">
                  <c:v>0.22413869792442</c:v>
                </c:pt>
                <c:pt idx="596">
                  <c:v>0.240532805677149</c:v>
                </c:pt>
                <c:pt idx="597">
                  <c:v>0.224677944318974</c:v>
                </c:pt>
                <c:pt idx="598">
                  <c:v>0.249476206573348</c:v>
                </c:pt>
                <c:pt idx="599">
                  <c:v>0.227561127842641</c:v>
                </c:pt>
                <c:pt idx="600">
                  <c:v>0.224780840642472</c:v>
                </c:pt>
                <c:pt idx="601">
                  <c:v>0.232310480148962</c:v>
                </c:pt>
                <c:pt idx="602">
                  <c:v>0.22271838542794</c:v>
                </c:pt>
                <c:pt idx="603">
                  <c:v>0.239287063984441</c:v>
                </c:pt>
                <c:pt idx="604">
                  <c:v>0.222294187127599</c:v>
                </c:pt>
                <c:pt idx="605">
                  <c:v>0.222554898487156</c:v>
                </c:pt>
                <c:pt idx="606">
                  <c:v>0.223893746006483</c:v>
                </c:pt>
                <c:pt idx="607">
                  <c:v>0.23844573233583</c:v>
                </c:pt>
                <c:pt idx="608">
                  <c:v>0.227693838936386</c:v>
                </c:pt>
                <c:pt idx="609">
                  <c:v>0.225461049156914</c:v>
                </c:pt>
                <c:pt idx="610">
                  <c:v>0.22346067222549</c:v>
                </c:pt>
                <c:pt idx="611">
                  <c:v>0.226477209282431</c:v>
                </c:pt>
                <c:pt idx="612">
                  <c:v>0.240559380414184</c:v>
                </c:pt>
                <c:pt idx="613">
                  <c:v>0.230760458315827</c:v>
                </c:pt>
                <c:pt idx="614">
                  <c:v>0.230924648114369</c:v>
                </c:pt>
                <c:pt idx="615">
                  <c:v>0.223442995418708</c:v>
                </c:pt>
                <c:pt idx="616">
                  <c:v>0.224698073454971</c:v>
                </c:pt>
                <c:pt idx="617">
                  <c:v>0.226654154663834</c:v>
                </c:pt>
                <c:pt idx="618">
                  <c:v>0.22259246169324</c:v>
                </c:pt>
                <c:pt idx="619">
                  <c:v>0.230497082276242</c:v>
                </c:pt>
                <c:pt idx="620">
                  <c:v>0.226085885742493</c:v>
                </c:pt>
                <c:pt idx="621">
                  <c:v>0.230673749307565</c:v>
                </c:pt>
                <c:pt idx="622">
                  <c:v>0.235478502812981</c:v>
                </c:pt>
                <c:pt idx="623">
                  <c:v>0.227563038722357</c:v>
                </c:pt>
                <c:pt idx="624">
                  <c:v>0.229781049419948</c:v>
                </c:pt>
                <c:pt idx="625">
                  <c:v>0.226594243531068</c:v>
                </c:pt>
                <c:pt idx="626">
                  <c:v>0.232071409711182</c:v>
                </c:pt>
                <c:pt idx="627">
                  <c:v>0.224670211791477</c:v>
                </c:pt>
                <c:pt idx="628">
                  <c:v>0.238019737268107</c:v>
                </c:pt>
                <c:pt idx="629">
                  <c:v>0.235844317374293</c:v>
                </c:pt>
                <c:pt idx="630">
                  <c:v>0.240204566297042</c:v>
                </c:pt>
                <c:pt idx="631">
                  <c:v>0.235131391774539</c:v>
                </c:pt>
                <c:pt idx="632">
                  <c:v>0.22183877360503</c:v>
                </c:pt>
                <c:pt idx="633">
                  <c:v>0.228056235357796</c:v>
                </c:pt>
                <c:pt idx="634">
                  <c:v>0.223336711865098</c:v>
                </c:pt>
                <c:pt idx="635">
                  <c:v>0.237089833993743</c:v>
                </c:pt>
                <c:pt idx="636">
                  <c:v>0.223744628280848</c:v>
                </c:pt>
                <c:pt idx="637">
                  <c:v>0.227057748019906</c:v>
                </c:pt>
                <c:pt idx="638">
                  <c:v>0.230794053821297</c:v>
                </c:pt>
                <c:pt idx="639">
                  <c:v>0.223866893880293</c:v>
                </c:pt>
                <c:pt idx="640">
                  <c:v>0.22278430771763</c:v>
                </c:pt>
                <c:pt idx="641">
                  <c:v>0.23398153905832</c:v>
                </c:pt>
                <c:pt idx="642">
                  <c:v>0.225816054558661</c:v>
                </c:pt>
                <c:pt idx="643">
                  <c:v>0.239762591029174</c:v>
                </c:pt>
                <c:pt idx="644">
                  <c:v>0.227197053335373</c:v>
                </c:pt>
                <c:pt idx="645">
                  <c:v>0.22387660765739</c:v>
                </c:pt>
                <c:pt idx="646">
                  <c:v>0.225382078116225</c:v>
                </c:pt>
                <c:pt idx="647">
                  <c:v>0.232491734314675</c:v>
                </c:pt>
                <c:pt idx="648">
                  <c:v>0.223695591016013</c:v>
                </c:pt>
                <c:pt idx="649">
                  <c:v>0.233714412409626</c:v>
                </c:pt>
                <c:pt idx="650">
                  <c:v>0.240087935138462</c:v>
                </c:pt>
                <c:pt idx="651">
                  <c:v>0.228399203010278</c:v>
                </c:pt>
                <c:pt idx="652">
                  <c:v>0.224766834092005</c:v>
                </c:pt>
                <c:pt idx="653">
                  <c:v>0.221330434441556</c:v>
                </c:pt>
                <c:pt idx="654">
                  <c:v>0.222758122384772</c:v>
                </c:pt>
                <c:pt idx="655">
                  <c:v>0.221949178184511</c:v>
                </c:pt>
                <c:pt idx="656">
                  <c:v>0.22771418687722</c:v>
                </c:pt>
                <c:pt idx="657">
                  <c:v>0.222023455837008</c:v>
                </c:pt>
                <c:pt idx="658">
                  <c:v>0.235024712520122</c:v>
                </c:pt>
                <c:pt idx="659">
                  <c:v>0.231615865898781</c:v>
                </c:pt>
                <c:pt idx="660">
                  <c:v>0.236007141061438</c:v>
                </c:pt>
                <c:pt idx="661">
                  <c:v>0.223966842270283</c:v>
                </c:pt>
                <c:pt idx="662">
                  <c:v>0.223870655310404</c:v>
                </c:pt>
                <c:pt idx="663">
                  <c:v>0.227551479033486</c:v>
                </c:pt>
                <c:pt idx="664">
                  <c:v>0.225071907059604</c:v>
                </c:pt>
                <c:pt idx="665">
                  <c:v>0.231115570087611</c:v>
                </c:pt>
                <c:pt idx="666">
                  <c:v>0.237229508181533</c:v>
                </c:pt>
                <c:pt idx="667">
                  <c:v>0.236152576181671</c:v>
                </c:pt>
                <c:pt idx="668">
                  <c:v>0.233146670444362</c:v>
                </c:pt>
                <c:pt idx="669">
                  <c:v>0.22143170361563</c:v>
                </c:pt>
                <c:pt idx="670">
                  <c:v>0.252889368171464</c:v>
                </c:pt>
                <c:pt idx="671">
                  <c:v>0.235433069455489</c:v>
                </c:pt>
                <c:pt idx="672">
                  <c:v>0.236932841780232</c:v>
                </c:pt>
                <c:pt idx="673">
                  <c:v>0.228301567304618</c:v>
                </c:pt>
                <c:pt idx="674">
                  <c:v>0.221425049073533</c:v>
                </c:pt>
                <c:pt idx="675">
                  <c:v>0.235439501163914</c:v>
                </c:pt>
                <c:pt idx="676">
                  <c:v>0.23322082307673</c:v>
                </c:pt>
                <c:pt idx="677">
                  <c:v>0.228519937709258</c:v>
                </c:pt>
                <c:pt idx="678">
                  <c:v>0.224732736277153</c:v>
                </c:pt>
                <c:pt idx="679">
                  <c:v>0.22973035062065</c:v>
                </c:pt>
                <c:pt idx="680">
                  <c:v>0.223749345424352</c:v>
                </c:pt>
                <c:pt idx="681">
                  <c:v>0.23887803188901</c:v>
                </c:pt>
                <c:pt idx="682">
                  <c:v>0.239930812813845</c:v>
                </c:pt>
                <c:pt idx="683">
                  <c:v>0.238213822300029</c:v>
                </c:pt>
                <c:pt idx="684">
                  <c:v>0.237846048381301</c:v>
                </c:pt>
                <c:pt idx="685">
                  <c:v>0.223935821271455</c:v>
                </c:pt>
                <c:pt idx="686">
                  <c:v>0.227369897282569</c:v>
                </c:pt>
                <c:pt idx="687">
                  <c:v>0.228890091579029</c:v>
                </c:pt>
                <c:pt idx="688">
                  <c:v>0.243498954642721</c:v>
                </c:pt>
                <c:pt idx="689">
                  <c:v>0.226025368772138</c:v>
                </c:pt>
                <c:pt idx="690">
                  <c:v>0.224719658587209</c:v>
                </c:pt>
                <c:pt idx="691">
                  <c:v>0.226300228472305</c:v>
                </c:pt>
                <c:pt idx="692">
                  <c:v>0.236163206619043</c:v>
                </c:pt>
                <c:pt idx="693">
                  <c:v>0.228010837355705</c:v>
                </c:pt>
                <c:pt idx="694">
                  <c:v>0.230535474640499</c:v>
                </c:pt>
                <c:pt idx="695">
                  <c:v>0.225688184278845</c:v>
                </c:pt>
                <c:pt idx="696">
                  <c:v>0.223812997581874</c:v>
                </c:pt>
                <c:pt idx="697">
                  <c:v>0.221473430479628</c:v>
                </c:pt>
                <c:pt idx="698">
                  <c:v>0.233213706010031</c:v>
                </c:pt>
                <c:pt idx="699">
                  <c:v>0.227363885335743</c:v>
                </c:pt>
                <c:pt idx="700">
                  <c:v>0.224939754308237</c:v>
                </c:pt>
                <c:pt idx="701">
                  <c:v>0.226968913245483</c:v>
                </c:pt>
                <c:pt idx="702">
                  <c:v>0.226940259140982</c:v>
                </c:pt>
                <c:pt idx="703">
                  <c:v>0.223532564310609</c:v>
                </c:pt>
                <c:pt idx="704">
                  <c:v>0.236727813072219</c:v>
                </c:pt>
                <c:pt idx="705">
                  <c:v>0.23586780587483</c:v>
                </c:pt>
                <c:pt idx="706">
                  <c:v>0.240150498597883</c:v>
                </c:pt>
                <c:pt idx="707">
                  <c:v>0.23049864481149</c:v>
                </c:pt>
                <c:pt idx="708">
                  <c:v>0.223892923661394</c:v>
                </c:pt>
                <c:pt idx="709">
                  <c:v>0.237349840282424</c:v>
                </c:pt>
                <c:pt idx="710">
                  <c:v>0.238128009268533</c:v>
                </c:pt>
                <c:pt idx="711">
                  <c:v>0.229493154754732</c:v>
                </c:pt>
                <c:pt idx="712">
                  <c:v>0.241703239513966</c:v>
                </c:pt>
                <c:pt idx="713">
                  <c:v>0.22554513469711</c:v>
                </c:pt>
                <c:pt idx="714">
                  <c:v>0.222642013617109</c:v>
                </c:pt>
                <c:pt idx="715">
                  <c:v>0.223198786748522</c:v>
                </c:pt>
                <c:pt idx="716">
                  <c:v>0.229575570772959</c:v>
                </c:pt>
                <c:pt idx="717">
                  <c:v>0.237001448519148</c:v>
                </c:pt>
                <c:pt idx="718">
                  <c:v>0.231998142865633</c:v>
                </c:pt>
                <c:pt idx="719">
                  <c:v>0.230817715396229</c:v>
                </c:pt>
                <c:pt idx="720">
                  <c:v>0.225593103950978</c:v>
                </c:pt>
                <c:pt idx="721">
                  <c:v>0.225239678128476</c:v>
                </c:pt>
                <c:pt idx="722">
                  <c:v>0.223925730908832</c:v>
                </c:pt>
                <c:pt idx="723">
                  <c:v>0.233723431379991</c:v>
                </c:pt>
                <c:pt idx="724">
                  <c:v>0.238202897927097</c:v>
                </c:pt>
                <c:pt idx="725">
                  <c:v>0.222533061988453</c:v>
                </c:pt>
                <c:pt idx="726">
                  <c:v>0.224348346506141</c:v>
                </c:pt>
                <c:pt idx="727">
                  <c:v>0.226518891929889</c:v>
                </c:pt>
                <c:pt idx="728">
                  <c:v>0.228819472335507</c:v>
                </c:pt>
                <c:pt idx="729">
                  <c:v>0.226176896482046</c:v>
                </c:pt>
                <c:pt idx="730">
                  <c:v>0.23479693110798</c:v>
                </c:pt>
                <c:pt idx="731">
                  <c:v>0.22228655551447</c:v>
                </c:pt>
                <c:pt idx="732">
                  <c:v>0.230239650694746</c:v>
                </c:pt>
                <c:pt idx="733">
                  <c:v>0.23522523560983</c:v>
                </c:pt>
                <c:pt idx="734">
                  <c:v>0.228940202101453</c:v>
                </c:pt>
                <c:pt idx="735">
                  <c:v>0.223282107348409</c:v>
                </c:pt>
                <c:pt idx="736">
                  <c:v>0.234260068306458</c:v>
                </c:pt>
                <c:pt idx="737">
                  <c:v>0.224992064077038</c:v>
                </c:pt>
                <c:pt idx="738">
                  <c:v>0.224753814469258</c:v>
                </c:pt>
                <c:pt idx="739">
                  <c:v>0.2365761209626</c:v>
                </c:pt>
                <c:pt idx="740">
                  <c:v>0.226441712728333</c:v>
                </c:pt>
                <c:pt idx="741">
                  <c:v>0.230389104298131</c:v>
                </c:pt>
                <c:pt idx="742">
                  <c:v>0.230666434988066</c:v>
                </c:pt>
                <c:pt idx="743">
                  <c:v>0.235722172644944</c:v>
                </c:pt>
                <c:pt idx="744">
                  <c:v>0.225539993707776</c:v>
                </c:pt>
                <c:pt idx="745">
                  <c:v>0.229854008012368</c:v>
                </c:pt>
                <c:pt idx="746">
                  <c:v>0.243084863731265</c:v>
                </c:pt>
                <c:pt idx="747">
                  <c:v>0.243450771807926</c:v>
                </c:pt>
                <c:pt idx="748">
                  <c:v>0.226420917047793</c:v>
                </c:pt>
                <c:pt idx="749">
                  <c:v>0.226135315233778</c:v>
                </c:pt>
                <c:pt idx="750">
                  <c:v>0.23967391426444</c:v>
                </c:pt>
                <c:pt idx="751">
                  <c:v>0.226176505336108</c:v>
                </c:pt>
                <c:pt idx="752">
                  <c:v>0.224792430809954</c:v>
                </c:pt>
                <c:pt idx="753">
                  <c:v>0.230070929806071</c:v>
                </c:pt>
                <c:pt idx="754">
                  <c:v>0.222954448319006</c:v>
                </c:pt>
                <c:pt idx="755">
                  <c:v>0.226366072554132</c:v>
                </c:pt>
                <c:pt idx="756">
                  <c:v>0.232683736911096</c:v>
                </c:pt>
                <c:pt idx="757">
                  <c:v>0.229292101486218</c:v>
                </c:pt>
                <c:pt idx="758">
                  <c:v>0.223923318333303</c:v>
                </c:pt>
                <c:pt idx="759">
                  <c:v>0.229537535710288</c:v>
                </c:pt>
                <c:pt idx="760">
                  <c:v>0.23010903425545</c:v>
                </c:pt>
                <c:pt idx="761">
                  <c:v>0.238639587133182</c:v>
                </c:pt>
                <c:pt idx="762">
                  <c:v>0.221938748446757</c:v>
                </c:pt>
                <c:pt idx="763">
                  <c:v>0.234047593232495</c:v>
                </c:pt>
                <c:pt idx="764">
                  <c:v>0.236883210227997</c:v>
                </c:pt>
                <c:pt idx="765">
                  <c:v>0.246653085014053</c:v>
                </c:pt>
                <c:pt idx="766">
                  <c:v>0.240255356380879</c:v>
                </c:pt>
                <c:pt idx="767">
                  <c:v>0.225258370336899</c:v>
                </c:pt>
                <c:pt idx="768">
                  <c:v>0.225448439331492</c:v>
                </c:pt>
                <c:pt idx="769">
                  <c:v>0.221424186985775</c:v>
                </c:pt>
                <c:pt idx="770">
                  <c:v>0.229563022422179</c:v>
                </c:pt>
                <c:pt idx="771">
                  <c:v>0.230139564654261</c:v>
                </c:pt>
                <c:pt idx="772">
                  <c:v>0.229276679381083</c:v>
                </c:pt>
                <c:pt idx="773">
                  <c:v>0.231718230553959</c:v>
                </c:pt>
                <c:pt idx="774">
                  <c:v>0.226165972267786</c:v>
                </c:pt>
                <c:pt idx="775">
                  <c:v>0.228885675728575</c:v>
                </c:pt>
                <c:pt idx="776">
                  <c:v>0.221560080634682</c:v>
                </c:pt>
                <c:pt idx="777">
                  <c:v>0.2405882514926</c:v>
                </c:pt>
                <c:pt idx="778">
                  <c:v>0.235944288254278</c:v>
                </c:pt>
                <c:pt idx="779">
                  <c:v>0.224536392102557</c:v>
                </c:pt>
                <c:pt idx="780">
                  <c:v>0.226268045629296</c:v>
                </c:pt>
                <c:pt idx="781">
                  <c:v>0.232902380173177</c:v>
                </c:pt>
                <c:pt idx="782">
                  <c:v>0.22378229586471</c:v>
                </c:pt>
                <c:pt idx="783">
                  <c:v>0.243837063502483</c:v>
                </c:pt>
                <c:pt idx="784">
                  <c:v>0.228498292092344</c:v>
                </c:pt>
                <c:pt idx="785">
                  <c:v>0.244166799512367</c:v>
                </c:pt>
                <c:pt idx="786">
                  <c:v>0.227457948627347</c:v>
                </c:pt>
                <c:pt idx="787">
                  <c:v>0.225620267145351</c:v>
                </c:pt>
                <c:pt idx="788">
                  <c:v>0.223751510466201</c:v>
                </c:pt>
                <c:pt idx="789">
                  <c:v>0.22611303969797</c:v>
                </c:pt>
                <c:pt idx="790">
                  <c:v>0.227762724089016</c:v>
                </c:pt>
                <c:pt idx="791">
                  <c:v>0.229063944442891</c:v>
                </c:pt>
                <c:pt idx="792">
                  <c:v>0.232563737339736</c:v>
                </c:pt>
                <c:pt idx="793">
                  <c:v>0.226636852447768</c:v>
                </c:pt>
                <c:pt idx="794">
                  <c:v>0.222950403130603</c:v>
                </c:pt>
                <c:pt idx="795">
                  <c:v>0.224873821672149</c:v>
                </c:pt>
                <c:pt idx="796">
                  <c:v>0.225747641052808</c:v>
                </c:pt>
                <c:pt idx="797">
                  <c:v>0.233145727830945</c:v>
                </c:pt>
                <c:pt idx="798">
                  <c:v>0.224062398452472</c:v>
                </c:pt>
                <c:pt idx="799">
                  <c:v>0.242018752318011</c:v>
                </c:pt>
                <c:pt idx="800">
                  <c:v>0.224869806242812</c:v>
                </c:pt>
                <c:pt idx="801">
                  <c:v>0.231905317048061</c:v>
                </c:pt>
                <c:pt idx="802">
                  <c:v>0.233155890856705</c:v>
                </c:pt>
                <c:pt idx="803">
                  <c:v>0.229940418144059</c:v>
                </c:pt>
                <c:pt idx="804">
                  <c:v>0.223762458145895</c:v>
                </c:pt>
                <c:pt idx="805">
                  <c:v>0.226549087585639</c:v>
                </c:pt>
                <c:pt idx="806">
                  <c:v>0.241308701963454</c:v>
                </c:pt>
                <c:pt idx="807">
                  <c:v>0.242314706877404</c:v>
                </c:pt>
                <c:pt idx="808">
                  <c:v>0.23660675640072</c:v>
                </c:pt>
                <c:pt idx="809">
                  <c:v>0.223312457653991</c:v>
                </c:pt>
                <c:pt idx="810">
                  <c:v>0.229352663814862</c:v>
                </c:pt>
                <c:pt idx="811">
                  <c:v>0.234689364856677</c:v>
                </c:pt>
                <c:pt idx="812">
                  <c:v>0.227268477568731</c:v>
                </c:pt>
                <c:pt idx="813">
                  <c:v>0.23560361935077</c:v>
                </c:pt>
                <c:pt idx="814">
                  <c:v>0.226435215036765</c:v>
                </c:pt>
                <c:pt idx="815">
                  <c:v>0.224961046090373</c:v>
                </c:pt>
                <c:pt idx="816">
                  <c:v>0.237813958281292</c:v>
                </c:pt>
                <c:pt idx="817">
                  <c:v>0.223540751584669</c:v>
                </c:pt>
                <c:pt idx="818">
                  <c:v>0.222223930641756</c:v>
                </c:pt>
                <c:pt idx="819">
                  <c:v>0.22449513725862</c:v>
                </c:pt>
                <c:pt idx="820">
                  <c:v>0.22512597135783</c:v>
                </c:pt>
                <c:pt idx="821">
                  <c:v>0.227014596509137</c:v>
                </c:pt>
                <c:pt idx="822">
                  <c:v>0.224919492896088</c:v>
                </c:pt>
                <c:pt idx="823">
                  <c:v>0.228581960347161</c:v>
                </c:pt>
                <c:pt idx="824">
                  <c:v>0.224555522199623</c:v>
                </c:pt>
                <c:pt idx="825">
                  <c:v>0.222852768592224</c:v>
                </c:pt>
                <c:pt idx="826">
                  <c:v>0.239004219096926</c:v>
                </c:pt>
                <c:pt idx="827">
                  <c:v>0.228128492614877</c:v>
                </c:pt>
                <c:pt idx="828">
                  <c:v>0.231163201781581</c:v>
                </c:pt>
                <c:pt idx="829">
                  <c:v>0.223985166582118</c:v>
                </c:pt>
                <c:pt idx="830">
                  <c:v>0.232785776889889</c:v>
                </c:pt>
                <c:pt idx="831">
                  <c:v>0.228285241106627</c:v>
                </c:pt>
                <c:pt idx="832">
                  <c:v>0.229854215468295</c:v>
                </c:pt>
                <c:pt idx="833">
                  <c:v>0.231476796540609</c:v>
                </c:pt>
                <c:pt idx="834">
                  <c:v>0.230598945655785</c:v>
                </c:pt>
                <c:pt idx="835">
                  <c:v>0.239119185717685</c:v>
                </c:pt>
                <c:pt idx="836">
                  <c:v>0.228987883081835</c:v>
                </c:pt>
                <c:pt idx="837">
                  <c:v>0.222831044698994</c:v>
                </c:pt>
                <c:pt idx="838">
                  <c:v>0.232031221025605</c:v>
                </c:pt>
                <c:pt idx="839">
                  <c:v>0.229245882237381</c:v>
                </c:pt>
                <c:pt idx="840">
                  <c:v>0.221512899643588</c:v>
                </c:pt>
                <c:pt idx="841">
                  <c:v>0.231993934212397</c:v>
                </c:pt>
                <c:pt idx="842">
                  <c:v>0.242379993462057</c:v>
                </c:pt>
                <c:pt idx="843">
                  <c:v>0.224297978997406</c:v>
                </c:pt>
                <c:pt idx="844">
                  <c:v>0.233859341976359</c:v>
                </c:pt>
                <c:pt idx="845">
                  <c:v>0.226860381235307</c:v>
                </c:pt>
                <c:pt idx="846">
                  <c:v>0.226142832676906</c:v>
                </c:pt>
                <c:pt idx="847">
                  <c:v>0.226484731330995</c:v>
                </c:pt>
                <c:pt idx="848">
                  <c:v>0.240385914981398</c:v>
                </c:pt>
                <c:pt idx="849">
                  <c:v>0.227685873345957</c:v>
                </c:pt>
                <c:pt idx="850">
                  <c:v>0.231836814044548</c:v>
                </c:pt>
                <c:pt idx="851">
                  <c:v>0.223507448238573</c:v>
                </c:pt>
                <c:pt idx="852">
                  <c:v>0.225194002977999</c:v>
                </c:pt>
                <c:pt idx="853">
                  <c:v>0.229477142186488</c:v>
                </c:pt>
                <c:pt idx="854">
                  <c:v>0.243640254525571</c:v>
                </c:pt>
                <c:pt idx="855">
                  <c:v>0.225197393246658</c:v>
                </c:pt>
                <c:pt idx="856">
                  <c:v>0.226949115739492</c:v>
                </c:pt>
                <c:pt idx="857">
                  <c:v>0.222003282996847</c:v>
                </c:pt>
                <c:pt idx="858">
                  <c:v>0.236284740921666</c:v>
                </c:pt>
                <c:pt idx="859">
                  <c:v>0.224897513274263</c:v>
                </c:pt>
                <c:pt idx="860">
                  <c:v>0.238666513452152</c:v>
                </c:pt>
                <c:pt idx="861">
                  <c:v>0.22850386934345</c:v>
                </c:pt>
                <c:pt idx="862">
                  <c:v>0.240786691473744</c:v>
                </c:pt>
                <c:pt idx="863">
                  <c:v>0.227280375819131</c:v>
                </c:pt>
                <c:pt idx="864">
                  <c:v>0.226528549410876</c:v>
                </c:pt>
                <c:pt idx="865">
                  <c:v>0.222158281131549</c:v>
                </c:pt>
                <c:pt idx="866">
                  <c:v>0.230986645267424</c:v>
                </c:pt>
                <c:pt idx="867">
                  <c:v>0.24150829782432</c:v>
                </c:pt>
                <c:pt idx="868">
                  <c:v>0.250826293350404</c:v>
                </c:pt>
                <c:pt idx="869">
                  <c:v>0.235592415833433</c:v>
                </c:pt>
                <c:pt idx="870">
                  <c:v>0.22291280264494</c:v>
                </c:pt>
                <c:pt idx="871">
                  <c:v>0.22470291081021</c:v>
                </c:pt>
                <c:pt idx="872">
                  <c:v>0.231325501085921</c:v>
                </c:pt>
                <c:pt idx="873">
                  <c:v>0.233815342092006</c:v>
                </c:pt>
                <c:pt idx="874">
                  <c:v>0.231234464006906</c:v>
                </c:pt>
                <c:pt idx="875">
                  <c:v>0.221740328009864</c:v>
                </c:pt>
                <c:pt idx="876">
                  <c:v>0.226465973792153</c:v>
                </c:pt>
                <c:pt idx="877">
                  <c:v>0.223885672731819</c:v>
                </c:pt>
                <c:pt idx="878">
                  <c:v>0.227219263691024</c:v>
                </c:pt>
                <c:pt idx="879">
                  <c:v>0.227352691160233</c:v>
                </c:pt>
                <c:pt idx="880">
                  <c:v>0.233319789657961</c:v>
                </c:pt>
                <c:pt idx="881">
                  <c:v>0.221299400423085</c:v>
                </c:pt>
                <c:pt idx="882">
                  <c:v>0.22294994456133</c:v>
                </c:pt>
                <c:pt idx="883">
                  <c:v>0.223174117104436</c:v>
                </c:pt>
                <c:pt idx="884">
                  <c:v>0.230948293472893</c:v>
                </c:pt>
                <c:pt idx="885">
                  <c:v>0.231644665670031</c:v>
                </c:pt>
                <c:pt idx="886">
                  <c:v>0.233994648226528</c:v>
                </c:pt>
                <c:pt idx="887">
                  <c:v>0.222261912613572</c:v>
                </c:pt>
                <c:pt idx="888">
                  <c:v>0.223884720039029</c:v>
                </c:pt>
                <c:pt idx="889">
                  <c:v>0.226849377250972</c:v>
                </c:pt>
                <c:pt idx="890">
                  <c:v>0.225119269868509</c:v>
                </c:pt>
                <c:pt idx="891">
                  <c:v>0.237119462076543</c:v>
                </c:pt>
                <c:pt idx="892">
                  <c:v>0.222214454366086</c:v>
                </c:pt>
                <c:pt idx="893">
                  <c:v>0.227685675075209</c:v>
                </c:pt>
                <c:pt idx="894">
                  <c:v>0.241899293960855</c:v>
                </c:pt>
                <c:pt idx="895">
                  <c:v>0.245998351363338</c:v>
                </c:pt>
                <c:pt idx="896">
                  <c:v>0.225772438131888</c:v>
                </c:pt>
                <c:pt idx="897">
                  <c:v>0.222099065183287</c:v>
                </c:pt>
                <c:pt idx="898">
                  <c:v>0.223227866362018</c:v>
                </c:pt>
                <c:pt idx="899">
                  <c:v>0.233217077391553</c:v>
                </c:pt>
                <c:pt idx="900">
                  <c:v>0.232353641034156</c:v>
                </c:pt>
                <c:pt idx="901">
                  <c:v>0.242699654604795</c:v>
                </c:pt>
                <c:pt idx="902">
                  <c:v>0.234679344204668</c:v>
                </c:pt>
                <c:pt idx="903">
                  <c:v>0.232793868860061</c:v>
                </c:pt>
                <c:pt idx="904">
                  <c:v>0.230005396108241</c:v>
                </c:pt>
                <c:pt idx="905">
                  <c:v>0.234277997287327</c:v>
                </c:pt>
                <c:pt idx="906">
                  <c:v>0.223949617999589</c:v>
                </c:pt>
                <c:pt idx="907">
                  <c:v>0.225822140829777</c:v>
                </c:pt>
                <c:pt idx="908">
                  <c:v>0.226094712005405</c:v>
                </c:pt>
                <c:pt idx="909">
                  <c:v>0.230486383007566</c:v>
                </c:pt>
                <c:pt idx="910">
                  <c:v>0.226487274241398</c:v>
                </c:pt>
                <c:pt idx="911">
                  <c:v>0.225865485970797</c:v>
                </c:pt>
                <c:pt idx="912">
                  <c:v>0.22426384908791</c:v>
                </c:pt>
                <c:pt idx="913">
                  <c:v>0.236643874492093</c:v>
                </c:pt>
                <c:pt idx="914">
                  <c:v>0.234819704553025</c:v>
                </c:pt>
                <c:pt idx="915">
                  <c:v>0.225733866795586</c:v>
                </c:pt>
                <c:pt idx="916">
                  <c:v>0.22457468557951</c:v>
                </c:pt>
                <c:pt idx="917">
                  <c:v>0.222147603190344</c:v>
                </c:pt>
                <c:pt idx="918">
                  <c:v>0.221830244260885</c:v>
                </c:pt>
                <c:pt idx="919">
                  <c:v>0.227461782262414</c:v>
                </c:pt>
                <c:pt idx="920">
                  <c:v>0.241129363644386</c:v>
                </c:pt>
                <c:pt idx="921">
                  <c:v>0.230889305320503</c:v>
                </c:pt>
                <c:pt idx="922">
                  <c:v>0.223799844186722</c:v>
                </c:pt>
                <c:pt idx="923">
                  <c:v>0.221534694848872</c:v>
                </c:pt>
                <c:pt idx="924">
                  <c:v>0.223331162947126</c:v>
                </c:pt>
                <c:pt idx="925">
                  <c:v>0.221651659054117</c:v>
                </c:pt>
                <c:pt idx="926">
                  <c:v>0.225242697129173</c:v>
                </c:pt>
                <c:pt idx="927">
                  <c:v>0.226957767854599</c:v>
                </c:pt>
                <c:pt idx="928">
                  <c:v>0.224405636297572</c:v>
                </c:pt>
                <c:pt idx="929">
                  <c:v>0.23746584441828</c:v>
                </c:pt>
                <c:pt idx="930">
                  <c:v>0.227933855765409</c:v>
                </c:pt>
                <c:pt idx="931">
                  <c:v>0.231703700844769</c:v>
                </c:pt>
                <c:pt idx="932">
                  <c:v>0.241540016595643</c:v>
                </c:pt>
                <c:pt idx="933">
                  <c:v>0.237042171834005</c:v>
                </c:pt>
                <c:pt idx="934">
                  <c:v>0.225985617301351</c:v>
                </c:pt>
                <c:pt idx="935">
                  <c:v>0.226179316831687</c:v>
                </c:pt>
                <c:pt idx="936">
                  <c:v>0.229016451554787</c:v>
                </c:pt>
                <c:pt idx="937">
                  <c:v>0.227234041814054</c:v>
                </c:pt>
                <c:pt idx="938">
                  <c:v>0.227887719044831</c:v>
                </c:pt>
                <c:pt idx="939">
                  <c:v>0.255070721420606</c:v>
                </c:pt>
                <c:pt idx="940">
                  <c:v>0.221914120562117</c:v>
                </c:pt>
                <c:pt idx="941">
                  <c:v>0.2357860933348</c:v>
                </c:pt>
                <c:pt idx="942">
                  <c:v>0.22137470057747</c:v>
                </c:pt>
                <c:pt idx="943">
                  <c:v>0.242380356425056</c:v>
                </c:pt>
                <c:pt idx="944">
                  <c:v>0.234609192424752</c:v>
                </c:pt>
                <c:pt idx="945">
                  <c:v>0.229457437764779</c:v>
                </c:pt>
                <c:pt idx="946">
                  <c:v>0.222696235253818</c:v>
                </c:pt>
                <c:pt idx="947">
                  <c:v>0.22787086415681</c:v>
                </c:pt>
                <c:pt idx="948">
                  <c:v>0.22643025954884</c:v>
                </c:pt>
                <c:pt idx="949">
                  <c:v>0.231590009187937</c:v>
                </c:pt>
                <c:pt idx="950">
                  <c:v>0.222759767268276</c:v>
                </c:pt>
                <c:pt idx="951">
                  <c:v>0.221301712755255</c:v>
                </c:pt>
                <c:pt idx="952">
                  <c:v>0.224204523570985</c:v>
                </c:pt>
                <c:pt idx="953">
                  <c:v>0.237736071761616</c:v>
                </c:pt>
                <c:pt idx="954">
                  <c:v>0.223487538709271</c:v>
                </c:pt>
                <c:pt idx="955">
                  <c:v>0.226902543727446</c:v>
                </c:pt>
                <c:pt idx="956">
                  <c:v>0.234095960967617</c:v>
                </c:pt>
                <c:pt idx="957">
                  <c:v>0.225708113733499</c:v>
                </c:pt>
                <c:pt idx="958">
                  <c:v>0.223487668771226</c:v>
                </c:pt>
                <c:pt idx="959">
                  <c:v>0.234096111863902</c:v>
                </c:pt>
                <c:pt idx="960">
                  <c:v>0.233756949474868</c:v>
                </c:pt>
                <c:pt idx="961">
                  <c:v>0.249608920808062</c:v>
                </c:pt>
                <c:pt idx="962">
                  <c:v>0.227951221479329</c:v>
                </c:pt>
                <c:pt idx="963">
                  <c:v>0.223039244961989</c:v>
                </c:pt>
                <c:pt idx="964">
                  <c:v>0.226372819140323</c:v>
                </c:pt>
                <c:pt idx="965">
                  <c:v>0.223953798075949</c:v>
                </c:pt>
                <c:pt idx="966">
                  <c:v>0.2223656592713</c:v>
                </c:pt>
                <c:pt idx="967">
                  <c:v>0.221393204295466</c:v>
                </c:pt>
                <c:pt idx="968">
                  <c:v>0.22968755897095</c:v>
                </c:pt>
                <c:pt idx="969">
                  <c:v>0.22852763142886</c:v>
                </c:pt>
                <c:pt idx="970">
                  <c:v>0.23733354440573</c:v>
                </c:pt>
                <c:pt idx="971">
                  <c:v>0.221873480926052</c:v>
                </c:pt>
                <c:pt idx="972">
                  <c:v>0.226750250772089</c:v>
                </c:pt>
                <c:pt idx="973">
                  <c:v>0.231356575310494</c:v>
                </c:pt>
                <c:pt idx="974">
                  <c:v>0.221534731105572</c:v>
                </c:pt>
                <c:pt idx="975">
                  <c:v>0.226123587687302</c:v>
                </c:pt>
                <c:pt idx="976">
                  <c:v>0.223382501938321</c:v>
                </c:pt>
                <c:pt idx="977">
                  <c:v>0.222319400767808</c:v>
                </c:pt>
                <c:pt idx="978">
                  <c:v>0.224188210792142</c:v>
                </c:pt>
                <c:pt idx="979">
                  <c:v>0.232429242844166</c:v>
                </c:pt>
                <c:pt idx="980">
                  <c:v>0.231666682654309</c:v>
                </c:pt>
                <c:pt idx="981">
                  <c:v>0.228280029368679</c:v>
                </c:pt>
                <c:pt idx="982">
                  <c:v>0.225786308292215</c:v>
                </c:pt>
                <c:pt idx="983">
                  <c:v>0.225228420956346</c:v>
                </c:pt>
                <c:pt idx="984">
                  <c:v>0.226112359935428</c:v>
                </c:pt>
                <c:pt idx="985">
                  <c:v>0.227201361578073</c:v>
                </c:pt>
                <c:pt idx="986">
                  <c:v>0.234800413997315</c:v>
                </c:pt>
                <c:pt idx="987">
                  <c:v>0.233177177955312</c:v>
                </c:pt>
                <c:pt idx="988">
                  <c:v>0.225056878628895</c:v>
                </c:pt>
                <c:pt idx="989">
                  <c:v>0.229411497872778</c:v>
                </c:pt>
                <c:pt idx="990">
                  <c:v>0.230243681225456</c:v>
                </c:pt>
                <c:pt idx="991">
                  <c:v>0.226851826928041</c:v>
                </c:pt>
                <c:pt idx="992">
                  <c:v>0.22244128165896</c:v>
                </c:pt>
                <c:pt idx="993">
                  <c:v>0.223550151016912</c:v>
                </c:pt>
                <c:pt idx="994">
                  <c:v>0.226764649277737</c:v>
                </c:pt>
                <c:pt idx="995">
                  <c:v>0.221298748614687</c:v>
                </c:pt>
                <c:pt idx="996">
                  <c:v>0.228332108532608</c:v>
                </c:pt>
                <c:pt idx="997">
                  <c:v>0.223944594996045</c:v>
                </c:pt>
                <c:pt idx="998">
                  <c:v>0.241099213274849</c:v>
                </c:pt>
                <c:pt idx="999">
                  <c:v>0.233130500926909</c:v>
                </c:pt>
                <c:pt idx="1000">
                  <c:v>0.227554143475043</c:v>
                </c:pt>
                <c:pt idx="1001">
                  <c:v>0.227074572113305</c:v>
                </c:pt>
                <c:pt idx="1002">
                  <c:v>0.221919343918319</c:v>
                </c:pt>
                <c:pt idx="1003">
                  <c:v>0.240221232002457</c:v>
                </c:pt>
                <c:pt idx="1004">
                  <c:v>0.230205475756684</c:v>
                </c:pt>
                <c:pt idx="1005">
                  <c:v>0.231377073978087</c:v>
                </c:pt>
                <c:pt idx="1006">
                  <c:v>0.24138633153538</c:v>
                </c:pt>
                <c:pt idx="1007">
                  <c:v>0.228994711754594</c:v>
                </c:pt>
                <c:pt idx="1008">
                  <c:v>0.243932021152836</c:v>
                </c:pt>
                <c:pt idx="1009">
                  <c:v>0.226490031823952</c:v>
                </c:pt>
                <c:pt idx="1010">
                  <c:v>0.235343349523492</c:v>
                </c:pt>
                <c:pt idx="1011">
                  <c:v>0.233901431993311</c:v>
                </c:pt>
                <c:pt idx="1012">
                  <c:v>0.23486831899312</c:v>
                </c:pt>
                <c:pt idx="1013">
                  <c:v>0.229220506269733</c:v>
                </c:pt>
                <c:pt idx="1014">
                  <c:v>0.238901545210894</c:v>
                </c:pt>
                <c:pt idx="1015">
                  <c:v>0.223372919182674</c:v>
                </c:pt>
                <c:pt idx="1016">
                  <c:v>0.223760226311756</c:v>
                </c:pt>
                <c:pt idx="1017">
                  <c:v>0.223122492089219</c:v>
                </c:pt>
                <c:pt idx="1018">
                  <c:v>0.228429715199675</c:v>
                </c:pt>
                <c:pt idx="1019">
                  <c:v>0.249010575247726</c:v>
                </c:pt>
                <c:pt idx="1020">
                  <c:v>0.230138853807678</c:v>
                </c:pt>
                <c:pt idx="1021">
                  <c:v>0.226393866679424</c:v>
                </c:pt>
                <c:pt idx="1022">
                  <c:v>0.245836776678131</c:v>
                </c:pt>
                <c:pt idx="1023">
                  <c:v>0.226317198732246</c:v>
                </c:pt>
                <c:pt idx="1024">
                  <c:v>0.229429323592773</c:v>
                </c:pt>
                <c:pt idx="1025">
                  <c:v>0.228691497587517</c:v>
                </c:pt>
                <c:pt idx="1026">
                  <c:v>0.237922501306359</c:v>
                </c:pt>
                <c:pt idx="1027">
                  <c:v>0.221795478164986</c:v>
                </c:pt>
                <c:pt idx="1028">
                  <c:v>0.225659260965134</c:v>
                </c:pt>
                <c:pt idx="1029">
                  <c:v>0.243323622546977</c:v>
                </c:pt>
                <c:pt idx="1030">
                  <c:v>0.231333813815036</c:v>
                </c:pt>
                <c:pt idx="1031">
                  <c:v>0.222359099705777</c:v>
                </c:pt>
                <c:pt idx="1032">
                  <c:v>0.230028636996956</c:v>
                </c:pt>
                <c:pt idx="1033">
                  <c:v>0.22849644559002</c:v>
                </c:pt>
                <c:pt idx="1034">
                  <c:v>0.223347543564624</c:v>
                </c:pt>
                <c:pt idx="1035">
                  <c:v>0.233159016762345</c:v>
                </c:pt>
                <c:pt idx="1036">
                  <c:v>0.226701441292199</c:v>
                </c:pt>
                <c:pt idx="1037">
                  <c:v>0.236179357295226</c:v>
                </c:pt>
                <c:pt idx="1038">
                  <c:v>0.236399399395985</c:v>
                </c:pt>
                <c:pt idx="1039">
                  <c:v>0.24131757036411</c:v>
                </c:pt>
                <c:pt idx="1040">
                  <c:v>0.226537140143578</c:v>
                </c:pt>
                <c:pt idx="1041">
                  <c:v>0.229356156251787</c:v>
                </c:pt>
                <c:pt idx="1042">
                  <c:v>0.226459889532638</c:v>
                </c:pt>
                <c:pt idx="1043">
                  <c:v>0.226081723905621</c:v>
                </c:pt>
                <c:pt idx="1044">
                  <c:v>0.224516077102462</c:v>
                </c:pt>
                <c:pt idx="1045">
                  <c:v>0.22765976206044</c:v>
                </c:pt>
                <c:pt idx="1046">
                  <c:v>0.221768737844475</c:v>
                </c:pt>
                <c:pt idx="1047">
                  <c:v>0.223576283130311</c:v>
                </c:pt>
                <c:pt idx="1048">
                  <c:v>0.234512570912974</c:v>
                </c:pt>
                <c:pt idx="1049">
                  <c:v>0.226880582745176</c:v>
                </c:pt>
                <c:pt idx="1050">
                  <c:v>0.224568205991703</c:v>
                </c:pt>
                <c:pt idx="1051">
                  <c:v>0.228117234459641</c:v>
                </c:pt>
                <c:pt idx="1052">
                  <c:v>0.222654998503258</c:v>
                </c:pt>
                <c:pt idx="1053">
                  <c:v>0.231774681571116</c:v>
                </c:pt>
                <c:pt idx="1054">
                  <c:v>0.231644191482834</c:v>
                </c:pt>
                <c:pt idx="1055">
                  <c:v>0.232614209871108</c:v>
                </c:pt>
                <c:pt idx="1056">
                  <c:v>0.223722754984285</c:v>
                </c:pt>
                <c:pt idx="1057">
                  <c:v>0.223474895259714</c:v>
                </c:pt>
                <c:pt idx="1058">
                  <c:v>0.24303748046915</c:v>
                </c:pt>
                <c:pt idx="1059">
                  <c:v>0.225472413194421</c:v>
                </c:pt>
                <c:pt idx="1060">
                  <c:v>0.233864009223451</c:v>
                </c:pt>
                <c:pt idx="1061">
                  <c:v>0.231992069805494</c:v>
                </c:pt>
                <c:pt idx="1062">
                  <c:v>0.231215896046175</c:v>
                </c:pt>
                <c:pt idx="1063">
                  <c:v>0.224788116438757</c:v>
                </c:pt>
                <c:pt idx="1064">
                  <c:v>0.222205787417871</c:v>
                </c:pt>
                <c:pt idx="1065">
                  <c:v>0.230835600348421</c:v>
                </c:pt>
                <c:pt idx="1066">
                  <c:v>0.237600621278573</c:v>
                </c:pt>
                <c:pt idx="1067">
                  <c:v>0.228186349500052</c:v>
                </c:pt>
                <c:pt idx="1068">
                  <c:v>0.227964271079506</c:v>
                </c:pt>
                <c:pt idx="1069">
                  <c:v>0.223805678691138</c:v>
                </c:pt>
                <c:pt idx="1070">
                  <c:v>0.237185893710129</c:v>
                </c:pt>
                <c:pt idx="1071">
                  <c:v>0.223981206915351</c:v>
                </c:pt>
                <c:pt idx="1072">
                  <c:v>0.241550467132778</c:v>
                </c:pt>
                <c:pt idx="1073">
                  <c:v>0.225207403085786</c:v>
                </c:pt>
                <c:pt idx="1074">
                  <c:v>0.230123333817424</c:v>
                </c:pt>
                <c:pt idx="1075">
                  <c:v>0.221829753318538</c:v>
                </c:pt>
                <c:pt idx="1076">
                  <c:v>0.237594004148244</c:v>
                </c:pt>
                <c:pt idx="1077">
                  <c:v>0.225376894593461</c:v>
                </c:pt>
                <c:pt idx="1078">
                  <c:v>0.223350177346723</c:v>
                </c:pt>
                <c:pt idx="1079">
                  <c:v>0.223617944481702</c:v>
                </c:pt>
                <c:pt idx="1080">
                  <c:v>0.227335584325306</c:v>
                </c:pt>
                <c:pt idx="1081">
                  <c:v>0.227065158878862</c:v>
                </c:pt>
                <c:pt idx="1082">
                  <c:v>0.228621352530677</c:v>
                </c:pt>
                <c:pt idx="1083">
                  <c:v>0.226459134416048</c:v>
                </c:pt>
                <c:pt idx="1084">
                  <c:v>0.221442208126905</c:v>
                </c:pt>
                <c:pt idx="1085">
                  <c:v>0.237833650452349</c:v>
                </c:pt>
                <c:pt idx="1086">
                  <c:v>0.232918996142999</c:v>
                </c:pt>
                <c:pt idx="1087">
                  <c:v>0.228145147823527</c:v>
                </c:pt>
                <c:pt idx="1088">
                  <c:v>0.22136094951821</c:v>
                </c:pt>
                <c:pt idx="1089">
                  <c:v>0.227426075312001</c:v>
                </c:pt>
                <c:pt idx="1090">
                  <c:v>0.235729312470991</c:v>
                </c:pt>
                <c:pt idx="1091">
                  <c:v>0.229635024738072</c:v>
                </c:pt>
                <c:pt idx="1092">
                  <c:v>0.22340068646682</c:v>
                </c:pt>
                <c:pt idx="1093">
                  <c:v>0.224286028825792</c:v>
                </c:pt>
                <c:pt idx="1094">
                  <c:v>0.226088789371756</c:v>
                </c:pt>
                <c:pt idx="1095">
                  <c:v>0.241546535490735</c:v>
                </c:pt>
                <c:pt idx="1096">
                  <c:v>0.226112492291329</c:v>
                </c:pt>
                <c:pt idx="1097">
                  <c:v>0.22254797201809</c:v>
                </c:pt>
                <c:pt idx="1098">
                  <c:v>0.221564101979589</c:v>
                </c:pt>
                <c:pt idx="1099">
                  <c:v>0.241744708807485</c:v>
                </c:pt>
                <c:pt idx="1100">
                  <c:v>0.231731488957682</c:v>
                </c:pt>
                <c:pt idx="1101">
                  <c:v>0.225308336695131</c:v>
                </c:pt>
                <c:pt idx="1102">
                  <c:v>0.223418969151931</c:v>
                </c:pt>
                <c:pt idx="1103">
                  <c:v>0.229382981765296</c:v>
                </c:pt>
                <c:pt idx="1104">
                  <c:v>0.222676976322661</c:v>
                </c:pt>
                <c:pt idx="1105">
                  <c:v>0.228138854102181</c:v>
                </c:pt>
                <c:pt idx="1106">
                  <c:v>0.225592439129282</c:v>
                </c:pt>
                <c:pt idx="1107">
                  <c:v>0.240210621058541</c:v>
                </c:pt>
                <c:pt idx="1108">
                  <c:v>0.226208961392594</c:v>
                </c:pt>
                <c:pt idx="1109">
                  <c:v>0.225528562030395</c:v>
                </c:pt>
                <c:pt idx="1110">
                  <c:v>0.228146534666009</c:v>
                </c:pt>
                <c:pt idx="1111">
                  <c:v>0.236599465570376</c:v>
                </c:pt>
                <c:pt idx="1112">
                  <c:v>0.224834477284116</c:v>
                </c:pt>
                <c:pt idx="1113">
                  <c:v>0.227858005269996</c:v>
                </c:pt>
                <c:pt idx="1114">
                  <c:v>0.222174416323828</c:v>
                </c:pt>
                <c:pt idx="1115">
                  <c:v>0.22288182357359</c:v>
                </c:pt>
                <c:pt idx="1116">
                  <c:v>0.224473394331481</c:v>
                </c:pt>
                <c:pt idx="1117">
                  <c:v>0.231180377047722</c:v>
                </c:pt>
                <c:pt idx="1118">
                  <c:v>0.237618980510135</c:v>
                </c:pt>
                <c:pt idx="1119">
                  <c:v>0.23154678689546</c:v>
                </c:pt>
                <c:pt idx="1120">
                  <c:v>0.223034366819481</c:v>
                </c:pt>
                <c:pt idx="1121">
                  <c:v>0.234839262661242</c:v>
                </c:pt>
                <c:pt idx="1122">
                  <c:v>0.22478314906325</c:v>
                </c:pt>
                <c:pt idx="1123">
                  <c:v>0.222888487750002</c:v>
                </c:pt>
                <c:pt idx="1124">
                  <c:v>0.23417587412064</c:v>
                </c:pt>
                <c:pt idx="1125">
                  <c:v>0.226895956647251</c:v>
                </c:pt>
                <c:pt idx="1126">
                  <c:v>0.239131706624644</c:v>
                </c:pt>
                <c:pt idx="1127">
                  <c:v>0.221364158392577</c:v>
                </c:pt>
                <c:pt idx="1128">
                  <c:v>0.244468339562754</c:v>
                </c:pt>
                <c:pt idx="1129">
                  <c:v>0.224905556664787</c:v>
                </c:pt>
                <c:pt idx="1130">
                  <c:v>0.233979416771321</c:v>
                </c:pt>
                <c:pt idx="1131">
                  <c:v>0.234382418655246</c:v>
                </c:pt>
                <c:pt idx="1132">
                  <c:v>0.226826924076996</c:v>
                </c:pt>
                <c:pt idx="1133">
                  <c:v>0.224490206775311</c:v>
                </c:pt>
                <c:pt idx="1134">
                  <c:v>0.2224300238621</c:v>
                </c:pt>
                <c:pt idx="1135">
                  <c:v>0.227240831436763</c:v>
                </c:pt>
                <c:pt idx="1136">
                  <c:v>0.228430802165209</c:v>
                </c:pt>
                <c:pt idx="1137">
                  <c:v>0.234683482075319</c:v>
                </c:pt>
                <c:pt idx="1138">
                  <c:v>0.224349540909483</c:v>
                </c:pt>
                <c:pt idx="1139">
                  <c:v>0.227082202842871</c:v>
                </c:pt>
                <c:pt idx="1140">
                  <c:v>0.225477123943909</c:v>
                </c:pt>
                <c:pt idx="1141">
                  <c:v>0.241558983125371</c:v>
                </c:pt>
                <c:pt idx="1142">
                  <c:v>0.228365074235908</c:v>
                </c:pt>
                <c:pt idx="1143">
                  <c:v>0.228669173931367</c:v>
                </c:pt>
                <c:pt idx="1144">
                  <c:v>0.224245999404594</c:v>
                </c:pt>
                <c:pt idx="1145">
                  <c:v>0.227274919927337</c:v>
                </c:pt>
                <c:pt idx="1146">
                  <c:v>0.226351415028869</c:v>
                </c:pt>
                <c:pt idx="1147">
                  <c:v>0.229252037399206</c:v>
                </c:pt>
                <c:pt idx="1148">
                  <c:v>0.22418566650388</c:v>
                </c:pt>
                <c:pt idx="1149">
                  <c:v>0.22759669028299</c:v>
                </c:pt>
                <c:pt idx="1150">
                  <c:v>0.229309959752056</c:v>
                </c:pt>
                <c:pt idx="1151">
                  <c:v>0.234227465419677</c:v>
                </c:pt>
                <c:pt idx="1152">
                  <c:v>0.228762507673109</c:v>
                </c:pt>
                <c:pt idx="1153">
                  <c:v>0.223437086462164</c:v>
                </c:pt>
                <c:pt idx="1154">
                  <c:v>0.226386258160867</c:v>
                </c:pt>
                <c:pt idx="1155">
                  <c:v>0.224552739512755</c:v>
                </c:pt>
                <c:pt idx="1156">
                  <c:v>0.227947257970718</c:v>
                </c:pt>
                <c:pt idx="1157">
                  <c:v>0.225011021420452</c:v>
                </c:pt>
                <c:pt idx="1158">
                  <c:v>0.226555975927638</c:v>
                </c:pt>
                <c:pt idx="1159">
                  <c:v>0.225369181500699</c:v>
                </c:pt>
                <c:pt idx="1160">
                  <c:v>0.235214108617907</c:v>
                </c:pt>
                <c:pt idx="1161">
                  <c:v>0.223625748415918</c:v>
                </c:pt>
                <c:pt idx="1162">
                  <c:v>0.226251980338048</c:v>
                </c:pt>
                <c:pt idx="1163">
                  <c:v>0.226500635565546</c:v>
                </c:pt>
                <c:pt idx="1164">
                  <c:v>0.225876828624892</c:v>
                </c:pt>
                <c:pt idx="1165">
                  <c:v>0.236514265824085</c:v>
                </c:pt>
                <c:pt idx="1166">
                  <c:v>0.235572310921829</c:v>
                </c:pt>
                <c:pt idx="1167">
                  <c:v>0.23058028829507</c:v>
                </c:pt>
                <c:pt idx="1168">
                  <c:v>0.225310910229309</c:v>
                </c:pt>
                <c:pt idx="1169">
                  <c:v>0.232892138156348</c:v>
                </c:pt>
                <c:pt idx="1170">
                  <c:v>0.235228391896833</c:v>
                </c:pt>
                <c:pt idx="1171">
                  <c:v>0.226898983974755</c:v>
                </c:pt>
                <c:pt idx="1172">
                  <c:v>0.238675302424137</c:v>
                </c:pt>
                <c:pt idx="1173">
                  <c:v>0.230886703619582</c:v>
                </c:pt>
                <c:pt idx="1174">
                  <c:v>0.222232823647276</c:v>
                </c:pt>
                <c:pt idx="1175">
                  <c:v>0.238274644440994</c:v>
                </c:pt>
                <c:pt idx="1176">
                  <c:v>0.223207240958761</c:v>
                </c:pt>
                <c:pt idx="1177">
                  <c:v>0.22250632937609</c:v>
                </c:pt>
                <c:pt idx="1178">
                  <c:v>0.224925001696835</c:v>
                </c:pt>
                <c:pt idx="1179">
                  <c:v>0.232943091973741</c:v>
                </c:pt>
                <c:pt idx="1180">
                  <c:v>0.237514350936095</c:v>
                </c:pt>
                <c:pt idx="1181">
                  <c:v>0.234209757483788</c:v>
                </c:pt>
                <c:pt idx="1182">
                  <c:v>0.237636700988388</c:v>
                </c:pt>
                <c:pt idx="1183">
                  <c:v>0.229808208168608</c:v>
                </c:pt>
                <c:pt idx="1184">
                  <c:v>0.226115036315028</c:v>
                </c:pt>
                <c:pt idx="1185">
                  <c:v>0.223004754138947</c:v>
                </c:pt>
                <c:pt idx="1186">
                  <c:v>0.237402101896551</c:v>
                </c:pt>
                <c:pt idx="1187">
                  <c:v>0.221291663380345</c:v>
                </c:pt>
                <c:pt idx="1188">
                  <c:v>0.229198328618963</c:v>
                </c:pt>
                <c:pt idx="1189">
                  <c:v>0.227766305252454</c:v>
                </c:pt>
                <c:pt idx="1190">
                  <c:v>0.232730275289489</c:v>
                </c:pt>
                <c:pt idx="1191">
                  <c:v>0.225629498428929</c:v>
                </c:pt>
                <c:pt idx="1192">
                  <c:v>0.235403877603371</c:v>
                </c:pt>
                <c:pt idx="1193">
                  <c:v>0.22870807779857</c:v>
                </c:pt>
                <c:pt idx="1194">
                  <c:v>0.232055651021352</c:v>
                </c:pt>
                <c:pt idx="1195">
                  <c:v>0.231458121951905</c:v>
                </c:pt>
                <c:pt idx="1196">
                  <c:v>0.242764647141028</c:v>
                </c:pt>
                <c:pt idx="1197">
                  <c:v>0.235093978317806</c:v>
                </c:pt>
                <c:pt idx="1198">
                  <c:v>0.228040015095325</c:v>
                </c:pt>
                <c:pt idx="1199">
                  <c:v>0.225744658873991</c:v>
                </c:pt>
                <c:pt idx="1200">
                  <c:v>0.236445820224848</c:v>
                </c:pt>
                <c:pt idx="1201">
                  <c:v>0.224532427753686</c:v>
                </c:pt>
                <c:pt idx="1202">
                  <c:v>0.224491149249779</c:v>
                </c:pt>
                <c:pt idx="1203">
                  <c:v>0.225272114745945</c:v>
                </c:pt>
                <c:pt idx="1204">
                  <c:v>0.231245445108379</c:v>
                </c:pt>
                <c:pt idx="1205">
                  <c:v>0.240382501758653</c:v>
                </c:pt>
                <c:pt idx="1206">
                  <c:v>0.222583889116863</c:v>
                </c:pt>
                <c:pt idx="1207">
                  <c:v>0.236858529892085</c:v>
                </c:pt>
                <c:pt idx="1208">
                  <c:v>0.229946607493952</c:v>
                </c:pt>
                <c:pt idx="1209">
                  <c:v>0.225328715431707</c:v>
                </c:pt>
                <c:pt idx="1210">
                  <c:v>0.221564415640422</c:v>
                </c:pt>
                <c:pt idx="1211">
                  <c:v>0.226127980954103</c:v>
                </c:pt>
                <c:pt idx="1212">
                  <c:v>0.222371025866633</c:v>
                </c:pt>
                <c:pt idx="1213">
                  <c:v>0.237673312195259</c:v>
                </c:pt>
                <c:pt idx="1214">
                  <c:v>0.228432664055322</c:v>
                </c:pt>
                <c:pt idx="1215">
                  <c:v>0.234486641134515</c:v>
                </c:pt>
                <c:pt idx="1216">
                  <c:v>0.229584861386568</c:v>
                </c:pt>
                <c:pt idx="1217">
                  <c:v>0.232361233257185</c:v>
                </c:pt>
                <c:pt idx="1218">
                  <c:v>0.241093570230128</c:v>
                </c:pt>
                <c:pt idx="1219">
                  <c:v>0.229441605371437</c:v>
                </c:pt>
                <c:pt idx="1220">
                  <c:v>0.228245151278576</c:v>
                </c:pt>
                <c:pt idx="1221">
                  <c:v>0.240994098324472</c:v>
                </c:pt>
                <c:pt idx="1222">
                  <c:v>0.227810832859375</c:v>
                </c:pt>
                <c:pt idx="1223">
                  <c:v>0.225494815290283</c:v>
                </c:pt>
                <c:pt idx="1224">
                  <c:v>0.222442966824297</c:v>
                </c:pt>
                <c:pt idx="1225">
                  <c:v>0.226357359197533</c:v>
                </c:pt>
                <c:pt idx="1226">
                  <c:v>0.223877890617423</c:v>
                </c:pt>
                <c:pt idx="1227">
                  <c:v>0.239168751947463</c:v>
                </c:pt>
                <c:pt idx="1228">
                  <c:v>0.227000222923855</c:v>
                </c:pt>
                <c:pt idx="1229">
                  <c:v>0.227323111036252</c:v>
                </c:pt>
                <c:pt idx="1230">
                  <c:v>0.224469147507208</c:v>
                </c:pt>
                <c:pt idx="1231">
                  <c:v>0.230989634365665</c:v>
                </c:pt>
                <c:pt idx="1232">
                  <c:v>0.224854040303138</c:v>
                </c:pt>
                <c:pt idx="1233">
                  <c:v>0.233090102182288</c:v>
                </c:pt>
                <c:pt idx="1234">
                  <c:v>0.234175461109559</c:v>
                </c:pt>
                <c:pt idx="1235">
                  <c:v>0.225472692380779</c:v>
                </c:pt>
                <c:pt idx="1236">
                  <c:v>0.23983409546697</c:v>
                </c:pt>
                <c:pt idx="1237">
                  <c:v>0.225960003691915</c:v>
                </c:pt>
                <c:pt idx="1238">
                  <c:v>0.222227800121955</c:v>
                </c:pt>
                <c:pt idx="1239">
                  <c:v>0.237443523464617</c:v>
                </c:pt>
                <c:pt idx="1240">
                  <c:v>0.233525451261298</c:v>
                </c:pt>
                <c:pt idx="1241">
                  <c:v>0.237826006199536</c:v>
                </c:pt>
                <c:pt idx="1242">
                  <c:v>0.232474589734337</c:v>
                </c:pt>
                <c:pt idx="1243">
                  <c:v>0.227773568526705</c:v>
                </c:pt>
                <c:pt idx="1244">
                  <c:v>0.226646625901039</c:v>
                </c:pt>
                <c:pt idx="1245">
                  <c:v>0.229342815237188</c:v>
                </c:pt>
                <c:pt idx="1246">
                  <c:v>0.226056763047829</c:v>
                </c:pt>
                <c:pt idx="1247">
                  <c:v>0.228266902590105</c:v>
                </c:pt>
                <c:pt idx="1248">
                  <c:v>0.247859112579994</c:v>
                </c:pt>
                <c:pt idx="1249">
                  <c:v>0.230531036121968</c:v>
                </c:pt>
                <c:pt idx="1250">
                  <c:v>0.226524656229628</c:v>
                </c:pt>
                <c:pt idx="1251">
                  <c:v>0.222996941572523</c:v>
                </c:pt>
                <c:pt idx="1252">
                  <c:v>0.232035797726507</c:v>
                </c:pt>
                <c:pt idx="1253">
                  <c:v>0.222698057682974</c:v>
                </c:pt>
                <c:pt idx="1254">
                  <c:v>0.224039452239214</c:v>
                </c:pt>
                <c:pt idx="1255">
                  <c:v>0.230800838793239</c:v>
                </c:pt>
                <c:pt idx="1256">
                  <c:v>0.235382425230825</c:v>
                </c:pt>
                <c:pt idx="1257">
                  <c:v>0.222899683634883</c:v>
                </c:pt>
                <c:pt idx="1258">
                  <c:v>0.228566848089677</c:v>
                </c:pt>
                <c:pt idx="1259">
                  <c:v>0.228670642427652</c:v>
                </c:pt>
                <c:pt idx="1260">
                  <c:v>0.228240859525249</c:v>
                </c:pt>
                <c:pt idx="1261">
                  <c:v>0.227845128357047</c:v>
                </c:pt>
                <c:pt idx="1262">
                  <c:v>0.225995842003148</c:v>
                </c:pt>
                <c:pt idx="1263">
                  <c:v>0.226314654084032</c:v>
                </c:pt>
                <c:pt idx="1264">
                  <c:v>0.230371415920901</c:v>
                </c:pt>
                <c:pt idx="1265">
                  <c:v>0.226481416483204</c:v>
                </c:pt>
                <c:pt idx="1266">
                  <c:v>0.234324282273258</c:v>
                </c:pt>
                <c:pt idx="1267">
                  <c:v>0.225888585178895</c:v>
                </c:pt>
                <c:pt idx="1268">
                  <c:v>0.23533100953378</c:v>
                </c:pt>
                <c:pt idx="1269">
                  <c:v>0.224599542076036</c:v>
                </c:pt>
                <c:pt idx="1270">
                  <c:v>0.224230380862963</c:v>
                </c:pt>
                <c:pt idx="1271">
                  <c:v>0.223625368795028</c:v>
                </c:pt>
                <c:pt idx="1272">
                  <c:v>0.232633444835493</c:v>
                </c:pt>
                <c:pt idx="1273">
                  <c:v>0.224408566266043</c:v>
                </c:pt>
                <c:pt idx="1274">
                  <c:v>0.223194197647728</c:v>
                </c:pt>
                <c:pt idx="1275">
                  <c:v>0.238057996490643</c:v>
                </c:pt>
                <c:pt idx="1276">
                  <c:v>0.22166318834079</c:v>
                </c:pt>
                <c:pt idx="1277">
                  <c:v>0.226128606242142</c:v>
                </c:pt>
                <c:pt idx="1278">
                  <c:v>0.229906193571629</c:v>
                </c:pt>
                <c:pt idx="1279">
                  <c:v>0.238936786464053</c:v>
                </c:pt>
                <c:pt idx="1280">
                  <c:v>0.222746743315945</c:v>
                </c:pt>
                <c:pt idx="1281">
                  <c:v>0.227588264783258</c:v>
                </c:pt>
                <c:pt idx="1282">
                  <c:v>0.223522006966813</c:v>
                </c:pt>
                <c:pt idx="1283">
                  <c:v>0.239392159895975</c:v>
                </c:pt>
                <c:pt idx="1284">
                  <c:v>0.228793122169203</c:v>
                </c:pt>
                <c:pt idx="1285">
                  <c:v>0.239134669129771</c:v>
                </c:pt>
                <c:pt idx="1286">
                  <c:v>0.231793332826519</c:v>
                </c:pt>
                <c:pt idx="1287">
                  <c:v>0.223563479639905</c:v>
                </c:pt>
                <c:pt idx="1288">
                  <c:v>0.23584835708629</c:v>
                </c:pt>
                <c:pt idx="1289">
                  <c:v>0.228126062349929</c:v>
                </c:pt>
                <c:pt idx="1290">
                  <c:v>0.222708162816724</c:v>
                </c:pt>
                <c:pt idx="1291">
                  <c:v>0.221311010822655</c:v>
                </c:pt>
                <c:pt idx="1292">
                  <c:v>0.237059735016163</c:v>
                </c:pt>
                <c:pt idx="1293">
                  <c:v>0.234107314395398</c:v>
                </c:pt>
                <c:pt idx="1294">
                  <c:v>0.223060938646823</c:v>
                </c:pt>
                <c:pt idx="1295">
                  <c:v>0.225711064561228</c:v>
                </c:pt>
                <c:pt idx="1296">
                  <c:v>0.225630459041259</c:v>
                </c:pt>
                <c:pt idx="1297">
                  <c:v>0.227396145415769</c:v>
                </c:pt>
                <c:pt idx="1298">
                  <c:v>0.228207456388145</c:v>
                </c:pt>
                <c:pt idx="1299">
                  <c:v>0.224838627605546</c:v>
                </c:pt>
                <c:pt idx="1300">
                  <c:v>0.230359433116561</c:v>
                </c:pt>
                <c:pt idx="1301">
                  <c:v>0.234427248873647</c:v>
                </c:pt>
                <c:pt idx="1302">
                  <c:v>0.225118200422135</c:v>
                </c:pt>
                <c:pt idx="1303">
                  <c:v>0.222393325862377</c:v>
                </c:pt>
                <c:pt idx="1304">
                  <c:v>0.243119020201097</c:v>
                </c:pt>
                <c:pt idx="1305">
                  <c:v>0.230133075004093</c:v>
                </c:pt>
                <c:pt idx="1306">
                  <c:v>0.228229460849819</c:v>
                </c:pt>
                <c:pt idx="1307">
                  <c:v>0.230982156439038</c:v>
                </c:pt>
                <c:pt idx="1308">
                  <c:v>0.221416150123256</c:v>
                </c:pt>
                <c:pt idx="1309">
                  <c:v>0.227796365301704</c:v>
                </c:pt>
                <c:pt idx="1310">
                  <c:v>0.221694099411111</c:v>
                </c:pt>
                <c:pt idx="1311">
                  <c:v>0.231864427410304</c:v>
                </c:pt>
                <c:pt idx="1312">
                  <c:v>0.222269707626019</c:v>
                </c:pt>
                <c:pt idx="1313">
                  <c:v>0.231563925441922</c:v>
                </c:pt>
                <c:pt idx="1314">
                  <c:v>0.238012231120853</c:v>
                </c:pt>
                <c:pt idx="1315">
                  <c:v>0.242386384336531</c:v>
                </c:pt>
                <c:pt idx="1316">
                  <c:v>0.230612257316366</c:v>
                </c:pt>
                <c:pt idx="1317">
                  <c:v>0.228790846921791</c:v>
                </c:pt>
                <c:pt idx="1318">
                  <c:v>0.236163872492445</c:v>
                </c:pt>
                <c:pt idx="1319">
                  <c:v>0.226376736531608</c:v>
                </c:pt>
                <c:pt idx="1320">
                  <c:v>0.227179021876039</c:v>
                </c:pt>
                <c:pt idx="1321">
                  <c:v>0.226196700388267</c:v>
                </c:pt>
                <c:pt idx="1322">
                  <c:v>0.229986100120375</c:v>
                </c:pt>
                <c:pt idx="1323">
                  <c:v>0.232194079978813</c:v>
                </c:pt>
                <c:pt idx="1324">
                  <c:v>0.232900981511511</c:v>
                </c:pt>
                <c:pt idx="1325">
                  <c:v>0.22238379998596</c:v>
                </c:pt>
                <c:pt idx="1326">
                  <c:v>0.242807455763444</c:v>
                </c:pt>
                <c:pt idx="1327">
                  <c:v>0.222552983780716</c:v>
                </c:pt>
                <c:pt idx="1328">
                  <c:v>0.229039737768041</c:v>
                </c:pt>
                <c:pt idx="1329">
                  <c:v>0.22945678613155</c:v>
                </c:pt>
                <c:pt idx="1330">
                  <c:v>0.242770196630412</c:v>
                </c:pt>
                <c:pt idx="1331">
                  <c:v>0.239839101723695</c:v>
                </c:pt>
                <c:pt idx="1332">
                  <c:v>0.228719335818563</c:v>
                </c:pt>
                <c:pt idx="1333">
                  <c:v>0.2371603308454</c:v>
                </c:pt>
                <c:pt idx="1334">
                  <c:v>0.223530452913508</c:v>
                </c:pt>
                <c:pt idx="1335">
                  <c:v>0.228986295766947</c:v>
                </c:pt>
                <c:pt idx="1336">
                  <c:v>0.228493438710094</c:v>
                </c:pt>
                <c:pt idx="1337">
                  <c:v>0.230591023587922</c:v>
                </c:pt>
                <c:pt idx="1338">
                  <c:v>0.226179204354479</c:v>
                </c:pt>
                <c:pt idx="1339">
                  <c:v>0.222924537898588</c:v>
                </c:pt>
                <c:pt idx="1340">
                  <c:v>0.227820493406549</c:v>
                </c:pt>
                <c:pt idx="1341">
                  <c:v>0.225473768538164</c:v>
                </c:pt>
                <c:pt idx="1342">
                  <c:v>0.229094248562716</c:v>
                </c:pt>
                <c:pt idx="1343">
                  <c:v>0.230366490331702</c:v>
                </c:pt>
                <c:pt idx="1344">
                  <c:v>0.244539711928882</c:v>
                </c:pt>
                <c:pt idx="1345">
                  <c:v>0.225865229697128</c:v>
                </c:pt>
                <c:pt idx="1346">
                  <c:v>0.226878911219849</c:v>
                </c:pt>
                <c:pt idx="1347">
                  <c:v>0.23122727137598</c:v>
                </c:pt>
                <c:pt idx="1348">
                  <c:v>0.226139787980269</c:v>
                </c:pt>
                <c:pt idx="1349">
                  <c:v>0.229640043238335</c:v>
                </c:pt>
                <c:pt idx="1350">
                  <c:v>0.22474219321734</c:v>
                </c:pt>
                <c:pt idx="1351">
                  <c:v>0.231610707988487</c:v>
                </c:pt>
                <c:pt idx="1352">
                  <c:v>0.224114832144564</c:v>
                </c:pt>
                <c:pt idx="1353">
                  <c:v>0.223327994910545</c:v>
                </c:pt>
                <c:pt idx="1354">
                  <c:v>0.224514027244627</c:v>
                </c:pt>
                <c:pt idx="1355">
                  <c:v>0.245951237698075</c:v>
                </c:pt>
                <c:pt idx="1356">
                  <c:v>0.227634722053405</c:v>
                </c:pt>
                <c:pt idx="1357">
                  <c:v>0.225463164894341</c:v>
                </c:pt>
                <c:pt idx="1358">
                  <c:v>0.224865106395776</c:v>
                </c:pt>
                <c:pt idx="1359">
                  <c:v>0.233955013382633</c:v>
                </c:pt>
                <c:pt idx="1360">
                  <c:v>0.223195185664755</c:v>
                </c:pt>
                <c:pt idx="1361">
                  <c:v>0.22570376171194</c:v>
                </c:pt>
                <c:pt idx="1362">
                  <c:v>0.238553772761168</c:v>
                </c:pt>
                <c:pt idx="1363">
                  <c:v>0.241700463466398</c:v>
                </c:pt>
                <c:pt idx="1364">
                  <c:v>0.230841245727854</c:v>
                </c:pt>
                <c:pt idx="1365">
                  <c:v>0.225064698891106</c:v>
                </c:pt>
                <c:pt idx="1366">
                  <c:v>0.233239259324929</c:v>
                </c:pt>
                <c:pt idx="1367">
                  <c:v>0.228051539384038</c:v>
                </c:pt>
                <c:pt idx="1368">
                  <c:v>0.234340208780143</c:v>
                </c:pt>
                <c:pt idx="1369">
                  <c:v>0.241275692435107</c:v>
                </c:pt>
                <c:pt idx="1370">
                  <c:v>0.227352707869283</c:v>
                </c:pt>
                <c:pt idx="1371">
                  <c:v>0.238317141774183</c:v>
                </c:pt>
                <c:pt idx="1372">
                  <c:v>0.224486569248367</c:v>
                </c:pt>
                <c:pt idx="1373">
                  <c:v>0.222711403010556</c:v>
                </c:pt>
                <c:pt idx="1374">
                  <c:v>0.227867669020311</c:v>
                </c:pt>
                <c:pt idx="1375">
                  <c:v>0.227592961002108</c:v>
                </c:pt>
                <c:pt idx="1376">
                  <c:v>0.222977027258931</c:v>
                </c:pt>
                <c:pt idx="1377">
                  <c:v>0.23447064560437</c:v>
                </c:pt>
                <c:pt idx="1378">
                  <c:v>0.225227468396121</c:v>
                </c:pt>
                <c:pt idx="1379">
                  <c:v>0.231310437658092</c:v>
                </c:pt>
                <c:pt idx="1380">
                  <c:v>0.222997752206098</c:v>
                </c:pt>
                <c:pt idx="1381">
                  <c:v>0.226470310405314</c:v>
                </c:pt>
                <c:pt idx="1382">
                  <c:v>0.239306529015135</c:v>
                </c:pt>
                <c:pt idx="1383">
                  <c:v>0.229555698860184</c:v>
                </c:pt>
                <c:pt idx="1384">
                  <c:v>0.223084264951825</c:v>
                </c:pt>
                <c:pt idx="1385">
                  <c:v>0.244007520325439</c:v>
                </c:pt>
                <c:pt idx="1386">
                  <c:v>0.223296585033316</c:v>
                </c:pt>
                <c:pt idx="1387">
                  <c:v>0.238092611409103</c:v>
                </c:pt>
                <c:pt idx="1388">
                  <c:v>0.223816701041465</c:v>
                </c:pt>
                <c:pt idx="1389">
                  <c:v>0.235175387862245</c:v>
                </c:pt>
                <c:pt idx="1390">
                  <c:v>0.237733403172639</c:v>
                </c:pt>
                <c:pt idx="1391">
                  <c:v>0.230607396933886</c:v>
                </c:pt>
                <c:pt idx="1392">
                  <c:v>0.228265747076672</c:v>
                </c:pt>
                <c:pt idx="1393">
                  <c:v>0.230998648663519</c:v>
                </c:pt>
                <c:pt idx="1394">
                  <c:v>0.22407566496515</c:v>
                </c:pt>
                <c:pt idx="1395">
                  <c:v>0.222954269930995</c:v>
                </c:pt>
                <c:pt idx="1396">
                  <c:v>0.226587516009017</c:v>
                </c:pt>
                <c:pt idx="1397">
                  <c:v>0.223811677231417</c:v>
                </c:pt>
                <c:pt idx="1398">
                  <c:v>0.226691279267752</c:v>
                </c:pt>
                <c:pt idx="1399">
                  <c:v>0.231215453143555</c:v>
                </c:pt>
                <c:pt idx="1400">
                  <c:v>0.224353782986643</c:v>
                </c:pt>
                <c:pt idx="1401">
                  <c:v>0.221297657279868</c:v>
                </c:pt>
                <c:pt idx="1402">
                  <c:v>0.227341119268899</c:v>
                </c:pt>
                <c:pt idx="1403">
                  <c:v>0.245256396363311</c:v>
                </c:pt>
                <c:pt idx="1404">
                  <c:v>0.224952414095199</c:v>
                </c:pt>
                <c:pt idx="1405">
                  <c:v>0.221387229543355</c:v>
                </c:pt>
                <c:pt idx="1406">
                  <c:v>0.22210249249873</c:v>
                </c:pt>
                <c:pt idx="1407">
                  <c:v>0.228884962032243</c:v>
                </c:pt>
                <c:pt idx="1408">
                  <c:v>0.227332011893967</c:v>
                </c:pt>
                <c:pt idx="1409">
                  <c:v>0.224833244894051</c:v>
                </c:pt>
                <c:pt idx="1410">
                  <c:v>0.224588865448419</c:v>
                </c:pt>
                <c:pt idx="1411">
                  <c:v>0.222160140268627</c:v>
                </c:pt>
                <c:pt idx="1412">
                  <c:v>0.240786686452589</c:v>
                </c:pt>
                <c:pt idx="1413">
                  <c:v>0.230831631785634</c:v>
                </c:pt>
                <c:pt idx="1414">
                  <c:v>0.223356198640827</c:v>
                </c:pt>
                <c:pt idx="1415">
                  <c:v>0.224668629377211</c:v>
                </c:pt>
                <c:pt idx="1416">
                  <c:v>0.229543071370018</c:v>
                </c:pt>
                <c:pt idx="1417">
                  <c:v>0.23965770162614</c:v>
                </c:pt>
                <c:pt idx="1418">
                  <c:v>0.238352620907377</c:v>
                </c:pt>
                <c:pt idx="1419">
                  <c:v>0.224992120378565</c:v>
                </c:pt>
                <c:pt idx="1420">
                  <c:v>0.239196157633391</c:v>
                </c:pt>
                <c:pt idx="1421">
                  <c:v>0.229544115337193</c:v>
                </c:pt>
                <c:pt idx="1422">
                  <c:v>0.225313804298631</c:v>
                </c:pt>
                <c:pt idx="1423">
                  <c:v>0.225006788466121</c:v>
                </c:pt>
                <c:pt idx="1424">
                  <c:v>0.23584787917534</c:v>
                </c:pt>
                <c:pt idx="1425">
                  <c:v>0.223910838953506</c:v>
                </c:pt>
                <c:pt idx="1426">
                  <c:v>0.234114863297203</c:v>
                </c:pt>
                <c:pt idx="1427">
                  <c:v>0.225735484621925</c:v>
                </c:pt>
                <c:pt idx="1428">
                  <c:v>0.22844333496078</c:v>
                </c:pt>
                <c:pt idx="1429">
                  <c:v>0.226531796187215</c:v>
                </c:pt>
                <c:pt idx="1430">
                  <c:v>0.223769758121404</c:v>
                </c:pt>
                <c:pt idx="1431">
                  <c:v>0.222874670061251</c:v>
                </c:pt>
                <c:pt idx="1432">
                  <c:v>0.233757367400946</c:v>
                </c:pt>
                <c:pt idx="1433">
                  <c:v>0.227619846739371</c:v>
                </c:pt>
                <c:pt idx="1434">
                  <c:v>0.225675767732824</c:v>
                </c:pt>
                <c:pt idx="1435">
                  <c:v>0.23937436167281</c:v>
                </c:pt>
                <c:pt idx="1436">
                  <c:v>0.226124733810288</c:v>
                </c:pt>
                <c:pt idx="1437">
                  <c:v>0.222976587539729</c:v>
                </c:pt>
                <c:pt idx="1438">
                  <c:v>0.22199270415597</c:v>
                </c:pt>
                <c:pt idx="1439">
                  <c:v>0.240983535360776</c:v>
                </c:pt>
                <c:pt idx="1440">
                  <c:v>0.229197892954126</c:v>
                </c:pt>
                <c:pt idx="1441">
                  <c:v>0.230933251870342</c:v>
                </c:pt>
                <c:pt idx="1442">
                  <c:v>0.249571630024751</c:v>
                </c:pt>
                <c:pt idx="1443">
                  <c:v>0.224113165317877</c:v>
                </c:pt>
                <c:pt idx="1444">
                  <c:v>0.228365243626104</c:v>
                </c:pt>
                <c:pt idx="1445">
                  <c:v>0.241968798145822</c:v>
                </c:pt>
                <c:pt idx="1446">
                  <c:v>0.225207930948197</c:v>
                </c:pt>
                <c:pt idx="1447">
                  <c:v>0.241436778634002</c:v>
                </c:pt>
                <c:pt idx="1448">
                  <c:v>0.226368289693012</c:v>
                </c:pt>
                <c:pt idx="1449">
                  <c:v>0.228684390270654</c:v>
                </c:pt>
                <c:pt idx="1450">
                  <c:v>0.224380096571001</c:v>
                </c:pt>
                <c:pt idx="1451">
                  <c:v>0.22322105133149</c:v>
                </c:pt>
                <c:pt idx="1452">
                  <c:v>0.233871705523721</c:v>
                </c:pt>
                <c:pt idx="1453">
                  <c:v>0.236307612334586</c:v>
                </c:pt>
                <c:pt idx="1454">
                  <c:v>0.224549751216367</c:v>
                </c:pt>
                <c:pt idx="1455">
                  <c:v>0.221566202069145</c:v>
                </c:pt>
                <c:pt idx="1456">
                  <c:v>0.227485276709123</c:v>
                </c:pt>
                <c:pt idx="1457">
                  <c:v>0.223638108363355</c:v>
                </c:pt>
                <c:pt idx="1458">
                  <c:v>0.225552288796849</c:v>
                </c:pt>
                <c:pt idx="1459">
                  <c:v>0.221476233612755</c:v>
                </c:pt>
                <c:pt idx="1460">
                  <c:v>0.245867836887806</c:v>
                </c:pt>
                <c:pt idx="1461">
                  <c:v>0.228809678350878</c:v>
                </c:pt>
                <c:pt idx="1462">
                  <c:v>0.227047909616323</c:v>
                </c:pt>
                <c:pt idx="1463">
                  <c:v>0.243478514526639</c:v>
                </c:pt>
                <c:pt idx="1464">
                  <c:v>0.226944973131594</c:v>
                </c:pt>
                <c:pt idx="1465">
                  <c:v>0.225392759733549</c:v>
                </c:pt>
                <c:pt idx="1466">
                  <c:v>0.224409208426602</c:v>
                </c:pt>
                <c:pt idx="1467">
                  <c:v>0.222867861621094</c:v>
                </c:pt>
                <c:pt idx="1468">
                  <c:v>0.22479755358873</c:v>
                </c:pt>
                <c:pt idx="1469">
                  <c:v>0.235587574628943</c:v>
                </c:pt>
                <c:pt idx="1470">
                  <c:v>0.249001194742796</c:v>
                </c:pt>
                <c:pt idx="1471">
                  <c:v>0.223911594678308</c:v>
                </c:pt>
                <c:pt idx="1472">
                  <c:v>0.222216016269611</c:v>
                </c:pt>
                <c:pt idx="1473">
                  <c:v>0.241805555924017</c:v>
                </c:pt>
                <c:pt idx="1474">
                  <c:v>0.227270685747596</c:v>
                </c:pt>
                <c:pt idx="1475">
                  <c:v>0.224359426629448</c:v>
                </c:pt>
                <c:pt idx="1476">
                  <c:v>0.236480920819594</c:v>
                </c:pt>
                <c:pt idx="1477">
                  <c:v>0.228446716179322</c:v>
                </c:pt>
                <c:pt idx="1478">
                  <c:v>0.236998130064963</c:v>
                </c:pt>
                <c:pt idx="1479">
                  <c:v>0.228418457257679</c:v>
                </c:pt>
                <c:pt idx="1480">
                  <c:v>0.226597969789719</c:v>
                </c:pt>
                <c:pt idx="1481">
                  <c:v>0.231715701623275</c:v>
                </c:pt>
                <c:pt idx="1482">
                  <c:v>0.236505711876659</c:v>
                </c:pt>
                <c:pt idx="1483">
                  <c:v>0.223665620326942</c:v>
                </c:pt>
                <c:pt idx="1484">
                  <c:v>0.226267005081606</c:v>
                </c:pt>
                <c:pt idx="1485">
                  <c:v>0.243471347463702</c:v>
                </c:pt>
                <c:pt idx="1486">
                  <c:v>0.227737112047277</c:v>
                </c:pt>
                <c:pt idx="1487">
                  <c:v>0.232462849703799</c:v>
                </c:pt>
                <c:pt idx="1488">
                  <c:v>0.224703420996991</c:v>
                </c:pt>
                <c:pt idx="1489">
                  <c:v>0.238127765743731</c:v>
                </c:pt>
                <c:pt idx="1490">
                  <c:v>0.227757484656474</c:v>
                </c:pt>
                <c:pt idx="1491">
                  <c:v>0.230382876131157</c:v>
                </c:pt>
                <c:pt idx="1492">
                  <c:v>0.2272565516234</c:v>
                </c:pt>
                <c:pt idx="1493">
                  <c:v>0.222598982773788</c:v>
                </c:pt>
                <c:pt idx="1494">
                  <c:v>0.226503792948121</c:v>
                </c:pt>
                <c:pt idx="1495">
                  <c:v>0.221382546590666</c:v>
                </c:pt>
                <c:pt idx="1496">
                  <c:v>0.224601408534933</c:v>
                </c:pt>
                <c:pt idx="1497">
                  <c:v>0.226014246082041</c:v>
                </c:pt>
                <c:pt idx="1498">
                  <c:v>0.224807738723665</c:v>
                </c:pt>
                <c:pt idx="1499">
                  <c:v>0.233985555486198</c:v>
                </c:pt>
                <c:pt idx="1500">
                  <c:v>0.225053509805397</c:v>
                </c:pt>
                <c:pt idx="1501">
                  <c:v>0.243117613099726</c:v>
                </c:pt>
                <c:pt idx="1502">
                  <c:v>0.22217032429647</c:v>
                </c:pt>
                <c:pt idx="1503">
                  <c:v>0.221396373594094</c:v>
                </c:pt>
                <c:pt idx="1504">
                  <c:v>0.238593773272535</c:v>
                </c:pt>
                <c:pt idx="1505">
                  <c:v>0.230963077599452</c:v>
                </c:pt>
                <c:pt idx="1506">
                  <c:v>0.241120885178627</c:v>
                </c:pt>
                <c:pt idx="1507">
                  <c:v>0.228804745266827</c:v>
                </c:pt>
                <c:pt idx="1508">
                  <c:v>0.223985969454804</c:v>
                </c:pt>
                <c:pt idx="1509">
                  <c:v>0.224930007798843</c:v>
                </c:pt>
                <c:pt idx="1510">
                  <c:v>0.224868151861963</c:v>
                </c:pt>
                <c:pt idx="1511">
                  <c:v>0.23107344642481</c:v>
                </c:pt>
                <c:pt idx="1512">
                  <c:v>0.230285981786455</c:v>
                </c:pt>
                <c:pt idx="1513">
                  <c:v>0.239490857731226</c:v>
                </c:pt>
                <c:pt idx="1514">
                  <c:v>0.229955803195582</c:v>
                </c:pt>
                <c:pt idx="1515">
                  <c:v>0.222208839675292</c:v>
                </c:pt>
                <c:pt idx="1516">
                  <c:v>0.228161828231405</c:v>
                </c:pt>
                <c:pt idx="1517">
                  <c:v>0.250472063979107</c:v>
                </c:pt>
                <c:pt idx="1518">
                  <c:v>0.2284295031006</c:v>
                </c:pt>
                <c:pt idx="1519">
                  <c:v>0.228918305185337</c:v>
                </c:pt>
                <c:pt idx="1520">
                  <c:v>0.22519064465824</c:v>
                </c:pt>
                <c:pt idx="1521">
                  <c:v>0.246293248173598</c:v>
                </c:pt>
                <c:pt idx="1522">
                  <c:v>0.225002576218565</c:v>
                </c:pt>
                <c:pt idx="1523">
                  <c:v>0.22368342975747</c:v>
                </c:pt>
                <c:pt idx="1524">
                  <c:v>0.234903447539406</c:v>
                </c:pt>
                <c:pt idx="1525">
                  <c:v>0.22764056519308</c:v>
                </c:pt>
                <c:pt idx="1526">
                  <c:v>0.224658349961565</c:v>
                </c:pt>
                <c:pt idx="1527">
                  <c:v>0.233418800129194</c:v>
                </c:pt>
                <c:pt idx="1528">
                  <c:v>0.228259636331956</c:v>
                </c:pt>
                <c:pt idx="1529">
                  <c:v>0.237899270339579</c:v>
                </c:pt>
                <c:pt idx="1530">
                  <c:v>0.22313122786058</c:v>
                </c:pt>
                <c:pt idx="1531">
                  <c:v>0.230643433721153</c:v>
                </c:pt>
                <c:pt idx="1532">
                  <c:v>0.22182473533286</c:v>
                </c:pt>
                <c:pt idx="1533">
                  <c:v>0.233751582115921</c:v>
                </c:pt>
                <c:pt idx="1534">
                  <c:v>0.223060502509054</c:v>
                </c:pt>
                <c:pt idx="1535">
                  <c:v>0.226946549030893</c:v>
                </c:pt>
                <c:pt idx="1536">
                  <c:v>0.222516592726374</c:v>
                </c:pt>
                <c:pt idx="1537">
                  <c:v>0.241360382158019</c:v>
                </c:pt>
                <c:pt idx="1538">
                  <c:v>0.234351962878706</c:v>
                </c:pt>
                <c:pt idx="1539">
                  <c:v>0.22364596012454</c:v>
                </c:pt>
                <c:pt idx="1540">
                  <c:v>0.22689005901044</c:v>
                </c:pt>
                <c:pt idx="1541">
                  <c:v>0.227988475830207</c:v>
                </c:pt>
                <c:pt idx="1542">
                  <c:v>0.230530456765001</c:v>
                </c:pt>
                <c:pt idx="1543">
                  <c:v>0.221656344433398</c:v>
                </c:pt>
                <c:pt idx="1544">
                  <c:v>0.228097138975413</c:v>
                </c:pt>
                <c:pt idx="1545">
                  <c:v>0.222300753572258</c:v>
                </c:pt>
                <c:pt idx="1546">
                  <c:v>0.227364865250663</c:v>
                </c:pt>
                <c:pt idx="1547">
                  <c:v>0.235214724795879</c:v>
                </c:pt>
                <c:pt idx="1548">
                  <c:v>0.226466457952395</c:v>
                </c:pt>
                <c:pt idx="1549">
                  <c:v>0.236563687143334</c:v>
                </c:pt>
                <c:pt idx="1550">
                  <c:v>0.240623621624291</c:v>
                </c:pt>
                <c:pt idx="1551">
                  <c:v>0.223995535820907</c:v>
                </c:pt>
                <c:pt idx="1552">
                  <c:v>0.224858911721211</c:v>
                </c:pt>
                <c:pt idx="1553">
                  <c:v>0.224478770547164</c:v>
                </c:pt>
                <c:pt idx="1554">
                  <c:v>0.230803978327842</c:v>
                </c:pt>
                <c:pt idx="1555">
                  <c:v>0.224729869400518</c:v>
                </c:pt>
                <c:pt idx="1556">
                  <c:v>0.226136185068762</c:v>
                </c:pt>
                <c:pt idx="1557">
                  <c:v>0.226900582155778</c:v>
                </c:pt>
                <c:pt idx="1558">
                  <c:v>0.234759861081249</c:v>
                </c:pt>
                <c:pt idx="1559">
                  <c:v>0.224069670848907</c:v>
                </c:pt>
                <c:pt idx="1560">
                  <c:v>0.235504527765011</c:v>
                </c:pt>
                <c:pt idx="1561">
                  <c:v>0.232666888395009</c:v>
                </c:pt>
                <c:pt idx="1562">
                  <c:v>0.239805347444637</c:v>
                </c:pt>
                <c:pt idx="1563">
                  <c:v>0.222391704629472</c:v>
                </c:pt>
                <c:pt idx="1564">
                  <c:v>0.228990447345993</c:v>
                </c:pt>
                <c:pt idx="1565">
                  <c:v>0.223213976095294</c:v>
                </c:pt>
                <c:pt idx="1566">
                  <c:v>0.240487702910827</c:v>
                </c:pt>
                <c:pt idx="1567">
                  <c:v>0.23964692639024</c:v>
                </c:pt>
                <c:pt idx="1568">
                  <c:v>0.229523336962278</c:v>
                </c:pt>
                <c:pt idx="1569">
                  <c:v>0.236011472411376</c:v>
                </c:pt>
                <c:pt idx="1570">
                  <c:v>0.226396921077715</c:v>
                </c:pt>
                <c:pt idx="1571">
                  <c:v>0.224004906270662</c:v>
                </c:pt>
                <c:pt idx="1572">
                  <c:v>0.229469733754923</c:v>
                </c:pt>
                <c:pt idx="1573">
                  <c:v>0.22610277462088</c:v>
                </c:pt>
                <c:pt idx="1574">
                  <c:v>0.2308808565093</c:v>
                </c:pt>
                <c:pt idx="1575">
                  <c:v>0.243264510038056</c:v>
                </c:pt>
                <c:pt idx="1576">
                  <c:v>0.224086696305719</c:v>
                </c:pt>
                <c:pt idx="1577">
                  <c:v>0.241177178549841</c:v>
                </c:pt>
                <c:pt idx="1578">
                  <c:v>0.224824602179799</c:v>
                </c:pt>
                <c:pt idx="1579">
                  <c:v>0.229187918079217</c:v>
                </c:pt>
                <c:pt idx="1580">
                  <c:v>0.227509750874762</c:v>
                </c:pt>
                <c:pt idx="1581">
                  <c:v>0.226648721764483</c:v>
                </c:pt>
                <c:pt idx="1582">
                  <c:v>0.230677091559587</c:v>
                </c:pt>
                <c:pt idx="1583">
                  <c:v>0.222366790836274</c:v>
                </c:pt>
                <c:pt idx="1584">
                  <c:v>0.226343543345226</c:v>
                </c:pt>
                <c:pt idx="1585">
                  <c:v>0.222823790929136</c:v>
                </c:pt>
                <c:pt idx="1586">
                  <c:v>0.231259945405825</c:v>
                </c:pt>
                <c:pt idx="1587">
                  <c:v>0.225369842249446</c:v>
                </c:pt>
                <c:pt idx="1588">
                  <c:v>0.230555125760327</c:v>
                </c:pt>
                <c:pt idx="1589">
                  <c:v>0.238877937327242</c:v>
                </c:pt>
                <c:pt idx="1590">
                  <c:v>0.242922628671072</c:v>
                </c:pt>
                <c:pt idx="1591">
                  <c:v>0.22399505581102</c:v>
                </c:pt>
                <c:pt idx="1592">
                  <c:v>0.243163904820283</c:v>
                </c:pt>
                <c:pt idx="1593">
                  <c:v>0.22254314313682</c:v>
                </c:pt>
                <c:pt idx="1594">
                  <c:v>0.223293239840262</c:v>
                </c:pt>
                <c:pt idx="1595">
                  <c:v>0.232867691044725</c:v>
                </c:pt>
                <c:pt idx="1596">
                  <c:v>0.225025454407624</c:v>
                </c:pt>
                <c:pt idx="1597">
                  <c:v>0.222330343634728</c:v>
                </c:pt>
                <c:pt idx="1598">
                  <c:v>0.226349782968663</c:v>
                </c:pt>
                <c:pt idx="1599">
                  <c:v>0.222285676552301</c:v>
                </c:pt>
                <c:pt idx="1600">
                  <c:v>0.245250783376877</c:v>
                </c:pt>
                <c:pt idx="1601">
                  <c:v>0.236013777110912</c:v>
                </c:pt>
                <c:pt idx="1602">
                  <c:v>0.242791884913898</c:v>
                </c:pt>
                <c:pt idx="1603">
                  <c:v>0.223439679003443</c:v>
                </c:pt>
                <c:pt idx="1604">
                  <c:v>0.243742056243345</c:v>
                </c:pt>
                <c:pt idx="1605">
                  <c:v>0.225903869721956</c:v>
                </c:pt>
                <c:pt idx="1606">
                  <c:v>0.222119623869879</c:v>
                </c:pt>
                <c:pt idx="1607">
                  <c:v>0.22843221964907</c:v>
                </c:pt>
                <c:pt idx="1608">
                  <c:v>0.225364970951633</c:v>
                </c:pt>
                <c:pt idx="1609">
                  <c:v>0.233614039907977</c:v>
                </c:pt>
                <c:pt idx="1610">
                  <c:v>0.225552716547271</c:v>
                </c:pt>
                <c:pt idx="1611">
                  <c:v>0.23712395996148</c:v>
                </c:pt>
                <c:pt idx="1612">
                  <c:v>0.228885627815322</c:v>
                </c:pt>
                <c:pt idx="1613">
                  <c:v>0.235488382975592</c:v>
                </c:pt>
                <c:pt idx="1614">
                  <c:v>0.221297815308836</c:v>
                </c:pt>
                <c:pt idx="1615">
                  <c:v>0.234215527615223</c:v>
                </c:pt>
                <c:pt idx="1616">
                  <c:v>0.225482303178318</c:v>
                </c:pt>
                <c:pt idx="1617">
                  <c:v>0.230924874158408</c:v>
                </c:pt>
                <c:pt idx="1618">
                  <c:v>0.223100491728711</c:v>
                </c:pt>
                <c:pt idx="1619">
                  <c:v>0.226079771082774</c:v>
                </c:pt>
                <c:pt idx="1620">
                  <c:v>0.230072639616594</c:v>
                </c:pt>
                <c:pt idx="1621">
                  <c:v>0.229454097812209</c:v>
                </c:pt>
                <c:pt idx="1622">
                  <c:v>0.227987419238525</c:v>
                </c:pt>
                <c:pt idx="1623">
                  <c:v>0.224505986789104</c:v>
                </c:pt>
                <c:pt idx="1624">
                  <c:v>0.228599138569271</c:v>
                </c:pt>
                <c:pt idx="1625">
                  <c:v>0.226260932096027</c:v>
                </c:pt>
                <c:pt idx="1626">
                  <c:v>0.232711711060524</c:v>
                </c:pt>
                <c:pt idx="1627">
                  <c:v>0.230655695860154</c:v>
                </c:pt>
                <c:pt idx="1628">
                  <c:v>0.239836354264125</c:v>
                </c:pt>
                <c:pt idx="1629">
                  <c:v>0.223555705835609</c:v>
                </c:pt>
                <c:pt idx="1630">
                  <c:v>0.229914213696341</c:v>
                </c:pt>
                <c:pt idx="1631">
                  <c:v>0.230331968065122</c:v>
                </c:pt>
                <c:pt idx="1632">
                  <c:v>0.231441146269497</c:v>
                </c:pt>
                <c:pt idx="1633">
                  <c:v>0.221378517392522</c:v>
                </c:pt>
                <c:pt idx="1634">
                  <c:v>0.241083769150878</c:v>
                </c:pt>
                <c:pt idx="1635">
                  <c:v>0.240064017095403</c:v>
                </c:pt>
                <c:pt idx="1636">
                  <c:v>0.225929196346217</c:v>
                </c:pt>
                <c:pt idx="1637">
                  <c:v>0.226172600618556</c:v>
                </c:pt>
                <c:pt idx="1638">
                  <c:v>0.238147878023379</c:v>
                </c:pt>
                <c:pt idx="1639">
                  <c:v>0.23095587656404</c:v>
                </c:pt>
                <c:pt idx="1640">
                  <c:v>0.224451707972393</c:v>
                </c:pt>
                <c:pt idx="1641">
                  <c:v>0.22260587680266</c:v>
                </c:pt>
                <c:pt idx="1642">
                  <c:v>0.227553104739938</c:v>
                </c:pt>
                <c:pt idx="1643">
                  <c:v>0.222797673621631</c:v>
                </c:pt>
                <c:pt idx="1644">
                  <c:v>0.222552725164131</c:v>
                </c:pt>
                <c:pt idx="1645">
                  <c:v>0.232613467213505</c:v>
                </c:pt>
                <c:pt idx="1646">
                  <c:v>0.226501779926457</c:v>
                </c:pt>
                <c:pt idx="1647">
                  <c:v>0.230671823955274</c:v>
                </c:pt>
                <c:pt idx="1648">
                  <c:v>0.226910009511236</c:v>
                </c:pt>
                <c:pt idx="1649">
                  <c:v>0.227043227008419</c:v>
                </c:pt>
                <c:pt idx="1650">
                  <c:v>0.223559029819663</c:v>
                </c:pt>
                <c:pt idx="1651">
                  <c:v>0.225336356486769</c:v>
                </c:pt>
                <c:pt idx="1652">
                  <c:v>0.230489389726088</c:v>
                </c:pt>
                <c:pt idx="1653">
                  <c:v>0.224986958439842</c:v>
                </c:pt>
                <c:pt idx="1654">
                  <c:v>0.232567996298021</c:v>
                </c:pt>
                <c:pt idx="1655">
                  <c:v>0.236297886318918</c:v>
                </c:pt>
                <c:pt idx="1656">
                  <c:v>0.222466463124705</c:v>
                </c:pt>
                <c:pt idx="1657">
                  <c:v>0.223703052203672</c:v>
                </c:pt>
                <c:pt idx="1658">
                  <c:v>0.230566552195266</c:v>
                </c:pt>
                <c:pt idx="1659">
                  <c:v>0.224986811083816</c:v>
                </c:pt>
                <c:pt idx="1660">
                  <c:v>0.221895610750537</c:v>
                </c:pt>
                <c:pt idx="1661">
                  <c:v>0.225262712549419</c:v>
                </c:pt>
                <c:pt idx="1662">
                  <c:v>0.225536836020279</c:v>
                </c:pt>
                <c:pt idx="1663">
                  <c:v>0.227346789920348</c:v>
                </c:pt>
                <c:pt idx="1664">
                  <c:v>0.232769086569945</c:v>
                </c:pt>
                <c:pt idx="1665">
                  <c:v>0.221738131419521</c:v>
                </c:pt>
                <c:pt idx="1666">
                  <c:v>0.224228743099256</c:v>
                </c:pt>
                <c:pt idx="1667">
                  <c:v>0.230147993044477</c:v>
                </c:pt>
                <c:pt idx="1668">
                  <c:v>0.222729935041199</c:v>
                </c:pt>
                <c:pt idx="1669">
                  <c:v>0.221467762442597</c:v>
                </c:pt>
                <c:pt idx="1670">
                  <c:v>0.236057147899322</c:v>
                </c:pt>
                <c:pt idx="1671">
                  <c:v>0.222263592634808</c:v>
                </c:pt>
                <c:pt idx="1672">
                  <c:v>0.241829681646875</c:v>
                </c:pt>
                <c:pt idx="1673">
                  <c:v>0.224491329443048</c:v>
                </c:pt>
                <c:pt idx="1674">
                  <c:v>0.225134193275561</c:v>
                </c:pt>
                <c:pt idx="1675">
                  <c:v>0.225514325550884</c:v>
                </c:pt>
                <c:pt idx="1676">
                  <c:v>0.221512581578339</c:v>
                </c:pt>
                <c:pt idx="1677">
                  <c:v>0.226908049276147</c:v>
                </c:pt>
                <c:pt idx="1678">
                  <c:v>0.235217488270989</c:v>
                </c:pt>
                <c:pt idx="1679">
                  <c:v>0.225029844492717</c:v>
                </c:pt>
                <c:pt idx="1680">
                  <c:v>0.225448570239583</c:v>
                </c:pt>
                <c:pt idx="1681">
                  <c:v>0.225772241561297</c:v>
                </c:pt>
                <c:pt idx="1682">
                  <c:v>0.226289216980189</c:v>
                </c:pt>
                <c:pt idx="1683">
                  <c:v>0.227219165238405</c:v>
                </c:pt>
                <c:pt idx="1684">
                  <c:v>0.231699631270511</c:v>
                </c:pt>
                <c:pt idx="1685">
                  <c:v>0.223908749742765</c:v>
                </c:pt>
                <c:pt idx="1686">
                  <c:v>0.228048852156687</c:v>
                </c:pt>
                <c:pt idx="1687">
                  <c:v>0.223354756405027</c:v>
                </c:pt>
                <c:pt idx="1688">
                  <c:v>0.221484433459999</c:v>
                </c:pt>
                <c:pt idx="1689">
                  <c:v>0.237699133686071</c:v>
                </c:pt>
                <c:pt idx="1690">
                  <c:v>0.227757926258193</c:v>
                </c:pt>
                <c:pt idx="1691">
                  <c:v>0.240426087211302</c:v>
                </c:pt>
                <c:pt idx="1692">
                  <c:v>0.222807795005347</c:v>
                </c:pt>
                <c:pt idx="1693">
                  <c:v>0.222823696285493</c:v>
                </c:pt>
                <c:pt idx="1694">
                  <c:v>0.223056776055615</c:v>
                </c:pt>
                <c:pt idx="1695">
                  <c:v>0.231337778303437</c:v>
                </c:pt>
                <c:pt idx="1696">
                  <c:v>0.226556845662934</c:v>
                </c:pt>
                <c:pt idx="1697">
                  <c:v>0.245806557260727</c:v>
                </c:pt>
                <c:pt idx="1698">
                  <c:v>0.243083623740797</c:v>
                </c:pt>
                <c:pt idx="1699">
                  <c:v>0.231566805346739</c:v>
                </c:pt>
                <c:pt idx="1700">
                  <c:v>0.228146955470532</c:v>
                </c:pt>
                <c:pt idx="1701">
                  <c:v>0.226217508157046</c:v>
                </c:pt>
                <c:pt idx="1702">
                  <c:v>0.230665207936372</c:v>
                </c:pt>
                <c:pt idx="1703">
                  <c:v>0.226097537493184</c:v>
                </c:pt>
                <c:pt idx="1704">
                  <c:v>0.227085298521751</c:v>
                </c:pt>
                <c:pt idx="1705">
                  <c:v>0.224351054996804</c:v>
                </c:pt>
                <c:pt idx="1706">
                  <c:v>0.222185422207998</c:v>
                </c:pt>
                <c:pt idx="1707">
                  <c:v>0.221291308341069</c:v>
                </c:pt>
                <c:pt idx="1708">
                  <c:v>0.223789182267746</c:v>
                </c:pt>
                <c:pt idx="1709">
                  <c:v>0.234742688496439</c:v>
                </c:pt>
                <c:pt idx="1710">
                  <c:v>0.227015386165862</c:v>
                </c:pt>
                <c:pt idx="1711">
                  <c:v>0.244116364013941</c:v>
                </c:pt>
                <c:pt idx="1712">
                  <c:v>0.224374127307604</c:v>
                </c:pt>
                <c:pt idx="1713">
                  <c:v>0.225577696446063</c:v>
                </c:pt>
                <c:pt idx="1714">
                  <c:v>0.227639850758355</c:v>
                </c:pt>
                <c:pt idx="1715">
                  <c:v>0.225228919466192</c:v>
                </c:pt>
                <c:pt idx="1716">
                  <c:v>0.221459405526809</c:v>
                </c:pt>
                <c:pt idx="1717">
                  <c:v>0.236511266722298</c:v>
                </c:pt>
                <c:pt idx="1718">
                  <c:v>0.223271732475353</c:v>
                </c:pt>
                <c:pt idx="1719">
                  <c:v>0.224158608025044</c:v>
                </c:pt>
                <c:pt idx="1720">
                  <c:v>0.221287820679158</c:v>
                </c:pt>
                <c:pt idx="1721">
                  <c:v>0.230633344783031</c:v>
                </c:pt>
                <c:pt idx="1722">
                  <c:v>0.224566902451757</c:v>
                </c:pt>
                <c:pt idx="1723">
                  <c:v>0.223388746186042</c:v>
                </c:pt>
                <c:pt idx="1724">
                  <c:v>0.251732893585543</c:v>
                </c:pt>
                <c:pt idx="1725">
                  <c:v>0.228802852225079</c:v>
                </c:pt>
                <c:pt idx="1726">
                  <c:v>0.229611351908611</c:v>
                </c:pt>
                <c:pt idx="1727">
                  <c:v>0.224334532963776</c:v>
                </c:pt>
                <c:pt idx="1728">
                  <c:v>0.227345294854687</c:v>
                </c:pt>
                <c:pt idx="1729">
                  <c:v>0.233374567259513</c:v>
                </c:pt>
                <c:pt idx="1730">
                  <c:v>0.232368836028302</c:v>
                </c:pt>
                <c:pt idx="1731">
                  <c:v>0.222658361119664</c:v>
                </c:pt>
                <c:pt idx="1732">
                  <c:v>0.221280939558201</c:v>
                </c:pt>
                <c:pt idx="1733">
                  <c:v>0.235240462901789</c:v>
                </c:pt>
                <c:pt idx="1734">
                  <c:v>0.228334353467461</c:v>
                </c:pt>
                <c:pt idx="1735">
                  <c:v>0.231145175390337</c:v>
                </c:pt>
                <c:pt idx="1736">
                  <c:v>0.224091868715173</c:v>
                </c:pt>
                <c:pt idx="1737">
                  <c:v>0.234792768485595</c:v>
                </c:pt>
                <c:pt idx="1738">
                  <c:v>0.228898455400212</c:v>
                </c:pt>
                <c:pt idx="1739">
                  <c:v>0.225710804182546</c:v>
                </c:pt>
                <c:pt idx="1740">
                  <c:v>0.229325136271911</c:v>
                </c:pt>
                <c:pt idx="1741">
                  <c:v>0.228534412134932</c:v>
                </c:pt>
                <c:pt idx="1742">
                  <c:v>0.230238407035285</c:v>
                </c:pt>
                <c:pt idx="1743">
                  <c:v>0.226478568810896</c:v>
                </c:pt>
                <c:pt idx="1744">
                  <c:v>0.223516013503244</c:v>
                </c:pt>
                <c:pt idx="1745">
                  <c:v>0.24293660309232</c:v>
                </c:pt>
                <c:pt idx="1746">
                  <c:v>0.245269726922925</c:v>
                </c:pt>
                <c:pt idx="1747">
                  <c:v>0.230744016805655</c:v>
                </c:pt>
                <c:pt idx="1748">
                  <c:v>0.225867658593942</c:v>
                </c:pt>
                <c:pt idx="1749">
                  <c:v>0.222931319590522</c:v>
                </c:pt>
                <c:pt idx="1750">
                  <c:v>0.232503106568257</c:v>
                </c:pt>
                <c:pt idx="1751">
                  <c:v>0.240057286961951</c:v>
                </c:pt>
                <c:pt idx="1752">
                  <c:v>0.23901664007957</c:v>
                </c:pt>
                <c:pt idx="1753">
                  <c:v>0.223165415910853</c:v>
                </c:pt>
                <c:pt idx="1754">
                  <c:v>0.228885990860947</c:v>
                </c:pt>
                <c:pt idx="1755">
                  <c:v>0.224095512751893</c:v>
                </c:pt>
                <c:pt idx="1756">
                  <c:v>0.223329685387457</c:v>
                </c:pt>
                <c:pt idx="1757">
                  <c:v>0.239270158935851</c:v>
                </c:pt>
                <c:pt idx="1758">
                  <c:v>0.222999104011099</c:v>
                </c:pt>
                <c:pt idx="1759">
                  <c:v>0.233661634884211</c:v>
                </c:pt>
                <c:pt idx="1760">
                  <c:v>0.224369856560759</c:v>
                </c:pt>
                <c:pt idx="1761">
                  <c:v>0.223407129032963</c:v>
                </c:pt>
                <c:pt idx="1762">
                  <c:v>0.227183060381854</c:v>
                </c:pt>
                <c:pt idx="1763">
                  <c:v>0.223155780130882</c:v>
                </c:pt>
                <c:pt idx="1764">
                  <c:v>0.253389314674509</c:v>
                </c:pt>
                <c:pt idx="1765">
                  <c:v>0.236592696593599</c:v>
                </c:pt>
                <c:pt idx="1766">
                  <c:v>0.229602142584225</c:v>
                </c:pt>
                <c:pt idx="1767">
                  <c:v>0.243225738334554</c:v>
                </c:pt>
                <c:pt idx="1768">
                  <c:v>0.227582674325794</c:v>
                </c:pt>
                <c:pt idx="1769">
                  <c:v>0.232631403645942</c:v>
                </c:pt>
                <c:pt idx="1770">
                  <c:v>0.233021781776818</c:v>
                </c:pt>
                <c:pt idx="1771">
                  <c:v>0.222960945272043</c:v>
                </c:pt>
                <c:pt idx="1772">
                  <c:v>0.237120954344534</c:v>
                </c:pt>
                <c:pt idx="1773">
                  <c:v>0.222705851625015</c:v>
                </c:pt>
                <c:pt idx="1774">
                  <c:v>0.235860237477936</c:v>
                </c:pt>
                <c:pt idx="1775">
                  <c:v>0.222622586851497</c:v>
                </c:pt>
                <c:pt idx="1776">
                  <c:v>0.226833341863531</c:v>
                </c:pt>
                <c:pt idx="1777">
                  <c:v>0.223347169871737</c:v>
                </c:pt>
                <c:pt idx="1778">
                  <c:v>0.226286061576217</c:v>
                </c:pt>
                <c:pt idx="1779">
                  <c:v>0.232889545424176</c:v>
                </c:pt>
                <c:pt idx="1780">
                  <c:v>0.229281596323258</c:v>
                </c:pt>
                <c:pt idx="1781">
                  <c:v>0.237775638158499</c:v>
                </c:pt>
                <c:pt idx="1782">
                  <c:v>0.243685360979362</c:v>
                </c:pt>
                <c:pt idx="1783">
                  <c:v>0.227884730102645</c:v>
                </c:pt>
                <c:pt idx="1784">
                  <c:v>0.231080898418199</c:v>
                </c:pt>
                <c:pt idx="1785">
                  <c:v>0.232092554775043</c:v>
                </c:pt>
                <c:pt idx="1786">
                  <c:v>0.223474874842764</c:v>
                </c:pt>
                <c:pt idx="1787">
                  <c:v>0.234054439090435</c:v>
                </c:pt>
                <c:pt idx="1788">
                  <c:v>0.230403330066051</c:v>
                </c:pt>
                <c:pt idx="1789">
                  <c:v>0.232236051166223</c:v>
                </c:pt>
                <c:pt idx="1790">
                  <c:v>0.226260072436361</c:v>
                </c:pt>
                <c:pt idx="1791">
                  <c:v>0.224730948510595</c:v>
                </c:pt>
                <c:pt idx="1792">
                  <c:v>0.226592177270496</c:v>
                </c:pt>
                <c:pt idx="1793">
                  <c:v>0.230370691531733</c:v>
                </c:pt>
                <c:pt idx="1794">
                  <c:v>0.233821153022465</c:v>
                </c:pt>
                <c:pt idx="1795">
                  <c:v>0.229354877364585</c:v>
                </c:pt>
                <c:pt idx="1796">
                  <c:v>0.23031697302315</c:v>
                </c:pt>
                <c:pt idx="1797">
                  <c:v>0.22871743954068</c:v>
                </c:pt>
                <c:pt idx="1798">
                  <c:v>0.225177341344196</c:v>
                </c:pt>
                <c:pt idx="1799">
                  <c:v>0.229351844978297</c:v>
                </c:pt>
                <c:pt idx="1800">
                  <c:v>0.236223579087194</c:v>
                </c:pt>
                <c:pt idx="1801">
                  <c:v>0.235287688102892</c:v>
                </c:pt>
                <c:pt idx="1802">
                  <c:v>0.222963681742707</c:v>
                </c:pt>
                <c:pt idx="1803">
                  <c:v>0.227844324999715</c:v>
                </c:pt>
                <c:pt idx="1804">
                  <c:v>0.22806909209875</c:v>
                </c:pt>
                <c:pt idx="1805">
                  <c:v>0.225492579002075</c:v>
                </c:pt>
                <c:pt idx="1806">
                  <c:v>0.223914543690999</c:v>
                </c:pt>
                <c:pt idx="1807">
                  <c:v>0.234233717291089</c:v>
                </c:pt>
                <c:pt idx="1808">
                  <c:v>0.231014381484761</c:v>
                </c:pt>
                <c:pt idx="1809">
                  <c:v>0.234298620401706</c:v>
                </c:pt>
                <c:pt idx="1810">
                  <c:v>0.224242297562732</c:v>
                </c:pt>
                <c:pt idx="1811">
                  <c:v>0.240657235017668</c:v>
                </c:pt>
                <c:pt idx="1812">
                  <c:v>0.240547006070257</c:v>
                </c:pt>
                <c:pt idx="1813">
                  <c:v>0.223930158207659</c:v>
                </c:pt>
                <c:pt idx="1814">
                  <c:v>0.243798518214344</c:v>
                </c:pt>
                <c:pt idx="1815">
                  <c:v>0.233854401999669</c:v>
                </c:pt>
                <c:pt idx="1816">
                  <c:v>0.221521502317323</c:v>
                </c:pt>
                <c:pt idx="1817">
                  <c:v>0.228643175197722</c:v>
                </c:pt>
                <c:pt idx="1818">
                  <c:v>0.221799615973492</c:v>
                </c:pt>
                <c:pt idx="1819">
                  <c:v>0.233189853133615</c:v>
                </c:pt>
                <c:pt idx="1820">
                  <c:v>0.225572258562789</c:v>
                </c:pt>
                <c:pt idx="1821">
                  <c:v>0.228000365946419</c:v>
                </c:pt>
                <c:pt idx="1822">
                  <c:v>0.226981438298685</c:v>
                </c:pt>
                <c:pt idx="1823">
                  <c:v>0.230435756517204</c:v>
                </c:pt>
                <c:pt idx="1824">
                  <c:v>0.248410906265877</c:v>
                </c:pt>
                <c:pt idx="1825">
                  <c:v>0.228383562881377</c:v>
                </c:pt>
                <c:pt idx="1826">
                  <c:v>0.224225594834971</c:v>
                </c:pt>
                <c:pt idx="1827">
                  <c:v>0.232028431905916</c:v>
                </c:pt>
                <c:pt idx="1828">
                  <c:v>0.229306766399177</c:v>
                </c:pt>
                <c:pt idx="1829">
                  <c:v>0.227282322711032</c:v>
                </c:pt>
                <c:pt idx="1830">
                  <c:v>0.236711486222038</c:v>
                </c:pt>
                <c:pt idx="1831">
                  <c:v>0.229696592589613</c:v>
                </c:pt>
                <c:pt idx="1832">
                  <c:v>0.228733706401074</c:v>
                </c:pt>
                <c:pt idx="1833">
                  <c:v>0.22746057211403</c:v>
                </c:pt>
                <c:pt idx="1834">
                  <c:v>0.231124823411928</c:v>
                </c:pt>
                <c:pt idx="1835">
                  <c:v>0.23312487953186</c:v>
                </c:pt>
                <c:pt idx="1836">
                  <c:v>0.230610331629738</c:v>
                </c:pt>
                <c:pt idx="1837">
                  <c:v>0.225518598913826</c:v>
                </c:pt>
                <c:pt idx="1838">
                  <c:v>0.239251371960078</c:v>
                </c:pt>
                <c:pt idx="1839">
                  <c:v>0.222431671065823</c:v>
                </c:pt>
                <c:pt idx="1840">
                  <c:v>0.224214627835779</c:v>
                </c:pt>
                <c:pt idx="1841">
                  <c:v>0.229589592659155</c:v>
                </c:pt>
                <c:pt idx="1842">
                  <c:v>0.221639510368578</c:v>
                </c:pt>
                <c:pt idx="1843">
                  <c:v>0.231174752381587</c:v>
                </c:pt>
                <c:pt idx="1844">
                  <c:v>0.228085926322997</c:v>
                </c:pt>
                <c:pt idx="1845">
                  <c:v>0.244264574510374</c:v>
                </c:pt>
                <c:pt idx="1846">
                  <c:v>0.226565772422585</c:v>
                </c:pt>
                <c:pt idx="1847">
                  <c:v>0.22833771481059</c:v>
                </c:pt>
                <c:pt idx="1848">
                  <c:v>0.224139298041063</c:v>
                </c:pt>
                <c:pt idx="1849">
                  <c:v>0.237153558761678</c:v>
                </c:pt>
                <c:pt idx="1850">
                  <c:v>0.235252954286193</c:v>
                </c:pt>
                <c:pt idx="1851">
                  <c:v>0.228236090803461</c:v>
                </c:pt>
                <c:pt idx="1852">
                  <c:v>0.238957467383352</c:v>
                </c:pt>
                <c:pt idx="1853">
                  <c:v>0.227366303435816</c:v>
                </c:pt>
                <c:pt idx="1854">
                  <c:v>0.235437255469514</c:v>
                </c:pt>
                <c:pt idx="1855">
                  <c:v>0.242252410041727</c:v>
                </c:pt>
                <c:pt idx="1856">
                  <c:v>0.227431600571223</c:v>
                </c:pt>
                <c:pt idx="1857">
                  <c:v>0.240460766114411</c:v>
                </c:pt>
                <c:pt idx="1858">
                  <c:v>0.223513564902501</c:v>
                </c:pt>
                <c:pt idx="1859">
                  <c:v>0.225598289099976</c:v>
                </c:pt>
                <c:pt idx="1860">
                  <c:v>0.244048533408297</c:v>
                </c:pt>
                <c:pt idx="1861">
                  <c:v>0.226572022701451</c:v>
                </c:pt>
                <c:pt idx="1862">
                  <c:v>0.23070561582849</c:v>
                </c:pt>
                <c:pt idx="1863">
                  <c:v>0.223357081815796</c:v>
                </c:pt>
                <c:pt idx="1864">
                  <c:v>0.242105289983979</c:v>
                </c:pt>
                <c:pt idx="1865">
                  <c:v>0.22702275908678</c:v>
                </c:pt>
                <c:pt idx="1866">
                  <c:v>0.226740756550019</c:v>
                </c:pt>
                <c:pt idx="1867">
                  <c:v>0.230346293082996</c:v>
                </c:pt>
                <c:pt idx="1868">
                  <c:v>0.242457929057521</c:v>
                </c:pt>
                <c:pt idx="1869">
                  <c:v>0.22278532079782</c:v>
                </c:pt>
                <c:pt idx="1870">
                  <c:v>0.240409775611686</c:v>
                </c:pt>
                <c:pt idx="1871">
                  <c:v>0.23463212956915</c:v>
                </c:pt>
                <c:pt idx="1872">
                  <c:v>0.22183788765376</c:v>
                </c:pt>
                <c:pt idx="1873">
                  <c:v>0.240291122149551</c:v>
                </c:pt>
                <c:pt idx="1874">
                  <c:v>0.228382590798993</c:v>
                </c:pt>
                <c:pt idx="1875">
                  <c:v>0.223026712588561</c:v>
                </c:pt>
                <c:pt idx="1876">
                  <c:v>0.226182348230132</c:v>
                </c:pt>
                <c:pt idx="1877">
                  <c:v>0.22236561901228</c:v>
                </c:pt>
                <c:pt idx="1878">
                  <c:v>0.236031098560209</c:v>
                </c:pt>
                <c:pt idx="1879">
                  <c:v>0.229493199747443</c:v>
                </c:pt>
                <c:pt idx="1880">
                  <c:v>0.228455865430496</c:v>
                </c:pt>
                <c:pt idx="1881">
                  <c:v>0.229578770951334</c:v>
                </c:pt>
                <c:pt idx="1882">
                  <c:v>0.241949390369717</c:v>
                </c:pt>
                <c:pt idx="1883">
                  <c:v>0.227870099331829</c:v>
                </c:pt>
                <c:pt idx="1884">
                  <c:v>0.229894205982173</c:v>
                </c:pt>
                <c:pt idx="1885">
                  <c:v>0.238609887496157</c:v>
                </c:pt>
                <c:pt idx="1886">
                  <c:v>0.225153893675288</c:v>
                </c:pt>
                <c:pt idx="1887">
                  <c:v>0.238838437843985</c:v>
                </c:pt>
                <c:pt idx="1888">
                  <c:v>0.227764920665506</c:v>
                </c:pt>
                <c:pt idx="1889">
                  <c:v>0.222751013608662</c:v>
                </c:pt>
                <c:pt idx="1890">
                  <c:v>0.222479067146528</c:v>
                </c:pt>
                <c:pt idx="1891">
                  <c:v>0.238199153006624</c:v>
                </c:pt>
                <c:pt idx="1892">
                  <c:v>0.225087988228993</c:v>
                </c:pt>
                <c:pt idx="1893">
                  <c:v>0.232964821867757</c:v>
                </c:pt>
                <c:pt idx="1894">
                  <c:v>0.224161284929278</c:v>
                </c:pt>
                <c:pt idx="1895">
                  <c:v>0.225721407853764</c:v>
                </c:pt>
                <c:pt idx="1896">
                  <c:v>0.236778212118942</c:v>
                </c:pt>
                <c:pt idx="1897">
                  <c:v>0.236408715710642</c:v>
                </c:pt>
                <c:pt idx="1898">
                  <c:v>0.222337290711709</c:v>
                </c:pt>
                <c:pt idx="1899">
                  <c:v>0.232874536063103</c:v>
                </c:pt>
                <c:pt idx="1900">
                  <c:v>0.229889336341312</c:v>
                </c:pt>
                <c:pt idx="1901">
                  <c:v>0.235947453962943</c:v>
                </c:pt>
                <c:pt idx="1902">
                  <c:v>0.221846688589102</c:v>
                </c:pt>
                <c:pt idx="1903">
                  <c:v>0.223925809119752</c:v>
                </c:pt>
                <c:pt idx="1904">
                  <c:v>0.23115145459956</c:v>
                </c:pt>
                <c:pt idx="1905">
                  <c:v>0.224713538976088</c:v>
                </c:pt>
                <c:pt idx="1906">
                  <c:v>0.22890242178269</c:v>
                </c:pt>
                <c:pt idx="1907">
                  <c:v>0.231836407624593</c:v>
                </c:pt>
                <c:pt idx="1908">
                  <c:v>0.237879535663581</c:v>
                </c:pt>
                <c:pt idx="1909">
                  <c:v>0.244748092097993</c:v>
                </c:pt>
                <c:pt idx="1910">
                  <c:v>0.223038358615605</c:v>
                </c:pt>
                <c:pt idx="1911">
                  <c:v>0.228051061726474</c:v>
                </c:pt>
                <c:pt idx="1912">
                  <c:v>0.226071850322388</c:v>
                </c:pt>
                <c:pt idx="1913">
                  <c:v>0.230551759344452</c:v>
                </c:pt>
                <c:pt idx="1914">
                  <c:v>0.228657981060516</c:v>
                </c:pt>
                <c:pt idx="1915">
                  <c:v>0.227572576659342</c:v>
                </c:pt>
                <c:pt idx="1916">
                  <c:v>0.224953725805134</c:v>
                </c:pt>
                <c:pt idx="1917">
                  <c:v>0.223290309981253</c:v>
                </c:pt>
                <c:pt idx="1918">
                  <c:v>0.222618754367349</c:v>
                </c:pt>
                <c:pt idx="1919">
                  <c:v>0.225945001640477</c:v>
                </c:pt>
                <c:pt idx="1920">
                  <c:v>0.227844070266265</c:v>
                </c:pt>
                <c:pt idx="1921">
                  <c:v>0.237082362659066</c:v>
                </c:pt>
                <c:pt idx="1922">
                  <c:v>0.223961019863232</c:v>
                </c:pt>
                <c:pt idx="1923">
                  <c:v>0.224265937920326</c:v>
                </c:pt>
                <c:pt idx="1924">
                  <c:v>0.237322315850402</c:v>
                </c:pt>
                <c:pt idx="1925">
                  <c:v>0.230422766664219</c:v>
                </c:pt>
                <c:pt idx="1926">
                  <c:v>0.222483125847391</c:v>
                </c:pt>
                <c:pt idx="1927">
                  <c:v>0.229935668328346</c:v>
                </c:pt>
                <c:pt idx="1928">
                  <c:v>0.245130272384794</c:v>
                </c:pt>
                <c:pt idx="1929">
                  <c:v>0.228397346599286</c:v>
                </c:pt>
                <c:pt idx="1930">
                  <c:v>0.235127626458635</c:v>
                </c:pt>
                <c:pt idx="1931">
                  <c:v>0.223824435864624</c:v>
                </c:pt>
                <c:pt idx="1932">
                  <c:v>0.239047127482046</c:v>
                </c:pt>
                <c:pt idx="1933">
                  <c:v>0.230489192877239</c:v>
                </c:pt>
                <c:pt idx="1934">
                  <c:v>0.233779252760393</c:v>
                </c:pt>
                <c:pt idx="1935">
                  <c:v>0.242961993151899</c:v>
                </c:pt>
                <c:pt idx="1936">
                  <c:v>0.224596298301925</c:v>
                </c:pt>
                <c:pt idx="1937">
                  <c:v>0.225611217418065</c:v>
                </c:pt>
                <c:pt idx="1938">
                  <c:v>0.228496237832433</c:v>
                </c:pt>
                <c:pt idx="1939">
                  <c:v>0.229019127042687</c:v>
                </c:pt>
                <c:pt idx="1940">
                  <c:v>0.223627887208603</c:v>
                </c:pt>
                <c:pt idx="1941">
                  <c:v>0.221539305156398</c:v>
                </c:pt>
                <c:pt idx="1942">
                  <c:v>0.221320171011953</c:v>
                </c:pt>
                <c:pt idx="1943">
                  <c:v>0.230209951150418</c:v>
                </c:pt>
                <c:pt idx="1944">
                  <c:v>0.224210932086334</c:v>
                </c:pt>
                <c:pt idx="1945">
                  <c:v>0.228582418905811</c:v>
                </c:pt>
                <c:pt idx="1946">
                  <c:v>0.226075604451734</c:v>
                </c:pt>
                <c:pt idx="1947">
                  <c:v>0.226004307529709</c:v>
                </c:pt>
                <c:pt idx="1948">
                  <c:v>0.222922003327194</c:v>
                </c:pt>
                <c:pt idx="1949">
                  <c:v>0.222669318929501</c:v>
                </c:pt>
                <c:pt idx="1950">
                  <c:v>0.237977275322892</c:v>
                </c:pt>
                <c:pt idx="1951">
                  <c:v>0.223559426623545</c:v>
                </c:pt>
                <c:pt idx="1952">
                  <c:v>0.225708694304503</c:v>
                </c:pt>
                <c:pt idx="1953">
                  <c:v>0.224937205035883</c:v>
                </c:pt>
                <c:pt idx="1954">
                  <c:v>0.244539546577638</c:v>
                </c:pt>
                <c:pt idx="1955">
                  <c:v>0.229816201113953</c:v>
                </c:pt>
                <c:pt idx="1956">
                  <c:v>0.22504497116194</c:v>
                </c:pt>
                <c:pt idx="1957">
                  <c:v>0.234963700353517</c:v>
                </c:pt>
                <c:pt idx="1958">
                  <c:v>0.230188953150228</c:v>
                </c:pt>
                <c:pt idx="1959">
                  <c:v>0.223986387024896</c:v>
                </c:pt>
                <c:pt idx="1960">
                  <c:v>0.233808183123355</c:v>
                </c:pt>
                <c:pt idx="1961">
                  <c:v>0.222671985218309</c:v>
                </c:pt>
                <c:pt idx="1962">
                  <c:v>0.229589754916881</c:v>
                </c:pt>
                <c:pt idx="1963">
                  <c:v>0.22930911008295</c:v>
                </c:pt>
                <c:pt idx="1964">
                  <c:v>0.223564678140175</c:v>
                </c:pt>
                <c:pt idx="1965">
                  <c:v>0.235628620992829</c:v>
                </c:pt>
                <c:pt idx="1966">
                  <c:v>0.223248817015754</c:v>
                </c:pt>
                <c:pt idx="1967">
                  <c:v>0.221915131589793</c:v>
                </c:pt>
                <c:pt idx="1968">
                  <c:v>0.237987041060435</c:v>
                </c:pt>
                <c:pt idx="1969">
                  <c:v>0.223313348274499</c:v>
                </c:pt>
                <c:pt idx="1970">
                  <c:v>0.231910569263834</c:v>
                </c:pt>
                <c:pt idx="1971">
                  <c:v>0.228905040838153</c:v>
                </c:pt>
                <c:pt idx="1972">
                  <c:v>0.224535551978823</c:v>
                </c:pt>
                <c:pt idx="1973">
                  <c:v>0.228020910198715</c:v>
                </c:pt>
                <c:pt idx="1974">
                  <c:v>0.235541513559123</c:v>
                </c:pt>
                <c:pt idx="1975">
                  <c:v>0.226566284811626</c:v>
                </c:pt>
                <c:pt idx="1976">
                  <c:v>0.230877028720678</c:v>
                </c:pt>
                <c:pt idx="1977">
                  <c:v>0.234026603729528</c:v>
                </c:pt>
                <c:pt idx="1978">
                  <c:v>0.230929822949685</c:v>
                </c:pt>
                <c:pt idx="1979">
                  <c:v>0.227737229996661</c:v>
                </c:pt>
                <c:pt idx="1980">
                  <c:v>0.226727207575715</c:v>
                </c:pt>
                <c:pt idx="1981">
                  <c:v>0.226920890466152</c:v>
                </c:pt>
                <c:pt idx="1982">
                  <c:v>0.230994744137199</c:v>
                </c:pt>
                <c:pt idx="1983">
                  <c:v>0.223630543109117</c:v>
                </c:pt>
                <c:pt idx="1984">
                  <c:v>0.227568930758392</c:v>
                </c:pt>
                <c:pt idx="1985">
                  <c:v>0.222785142124472</c:v>
                </c:pt>
                <c:pt idx="1986">
                  <c:v>0.226263322031244</c:v>
                </c:pt>
                <c:pt idx="1987">
                  <c:v>0.223098758869954</c:v>
                </c:pt>
                <c:pt idx="1988">
                  <c:v>0.231082195414474</c:v>
                </c:pt>
                <c:pt idx="1989">
                  <c:v>0.240136945215163</c:v>
                </c:pt>
                <c:pt idx="1990">
                  <c:v>0.223671854533384</c:v>
                </c:pt>
                <c:pt idx="1991">
                  <c:v>0.224463726281386</c:v>
                </c:pt>
                <c:pt idx="1992">
                  <c:v>0.243755745297783</c:v>
                </c:pt>
                <c:pt idx="1993">
                  <c:v>0.229954198608554</c:v>
                </c:pt>
                <c:pt idx="1994">
                  <c:v>0.225582960330787</c:v>
                </c:pt>
                <c:pt idx="1995">
                  <c:v>0.244187066957338</c:v>
                </c:pt>
                <c:pt idx="1996">
                  <c:v>0.230759374225504</c:v>
                </c:pt>
                <c:pt idx="1997">
                  <c:v>0.22538980211599</c:v>
                </c:pt>
                <c:pt idx="1998">
                  <c:v>0.239600645540015</c:v>
                </c:pt>
                <c:pt idx="1999">
                  <c:v>0.225002883736809</c:v>
                </c:pt>
                <c:pt idx="2000">
                  <c:v>0.225867141146649</c:v>
                </c:pt>
                <c:pt idx="2001">
                  <c:v>0.22738903629958</c:v>
                </c:pt>
                <c:pt idx="2002">
                  <c:v>0.224927901318637</c:v>
                </c:pt>
                <c:pt idx="2003">
                  <c:v>0.234962213737057</c:v>
                </c:pt>
                <c:pt idx="2004">
                  <c:v>0.222870860473731</c:v>
                </c:pt>
                <c:pt idx="2005">
                  <c:v>0.221900030930884</c:v>
                </c:pt>
                <c:pt idx="2006">
                  <c:v>0.222061400226805</c:v>
                </c:pt>
                <c:pt idx="2007">
                  <c:v>0.22817530386929</c:v>
                </c:pt>
                <c:pt idx="2008">
                  <c:v>0.242877917005095</c:v>
                </c:pt>
                <c:pt idx="2009">
                  <c:v>0.240817319825174</c:v>
                </c:pt>
                <c:pt idx="2010">
                  <c:v>0.225805167987067</c:v>
                </c:pt>
                <c:pt idx="2011">
                  <c:v>0.233404233426126</c:v>
                </c:pt>
                <c:pt idx="2012">
                  <c:v>0.229025513014046</c:v>
                </c:pt>
                <c:pt idx="2013">
                  <c:v>0.22582423959131</c:v>
                </c:pt>
                <c:pt idx="2014">
                  <c:v>0.227765436326671</c:v>
                </c:pt>
                <c:pt idx="2015">
                  <c:v>0.221604357456702</c:v>
                </c:pt>
                <c:pt idx="2016">
                  <c:v>0.226719819844534</c:v>
                </c:pt>
                <c:pt idx="2017">
                  <c:v>0.223275282361224</c:v>
                </c:pt>
                <c:pt idx="2018">
                  <c:v>0.223242480895272</c:v>
                </c:pt>
                <c:pt idx="2019">
                  <c:v>0.230426080901126</c:v>
                </c:pt>
                <c:pt idx="2020">
                  <c:v>0.22633751140327</c:v>
                </c:pt>
                <c:pt idx="2021">
                  <c:v>0.226220679619758</c:v>
                </c:pt>
                <c:pt idx="2022">
                  <c:v>0.225107993077696</c:v>
                </c:pt>
                <c:pt idx="2023">
                  <c:v>0.236352998513254</c:v>
                </c:pt>
                <c:pt idx="2024">
                  <c:v>0.233034906289487</c:v>
                </c:pt>
                <c:pt idx="2025">
                  <c:v>0.242124913113539</c:v>
                </c:pt>
                <c:pt idx="2026">
                  <c:v>0.224079643873728</c:v>
                </c:pt>
                <c:pt idx="2027">
                  <c:v>0.22305466187741</c:v>
                </c:pt>
                <c:pt idx="2028">
                  <c:v>0.23389642268706</c:v>
                </c:pt>
                <c:pt idx="2029">
                  <c:v>0.239413912540091</c:v>
                </c:pt>
                <c:pt idx="2030">
                  <c:v>0.230239029696169</c:v>
                </c:pt>
                <c:pt idx="2031">
                  <c:v>0.22573010952379</c:v>
                </c:pt>
                <c:pt idx="2032">
                  <c:v>0.24408245619825</c:v>
                </c:pt>
                <c:pt idx="2033">
                  <c:v>0.22304607765877</c:v>
                </c:pt>
                <c:pt idx="2034">
                  <c:v>0.235681626034634</c:v>
                </c:pt>
                <c:pt idx="2035">
                  <c:v>0.235104508907964</c:v>
                </c:pt>
                <c:pt idx="2036">
                  <c:v>0.237414110351596</c:v>
                </c:pt>
                <c:pt idx="2037">
                  <c:v>0.232211584697771</c:v>
                </c:pt>
                <c:pt idx="2038">
                  <c:v>0.233352226164739</c:v>
                </c:pt>
                <c:pt idx="2039">
                  <c:v>0.221961729730476</c:v>
                </c:pt>
                <c:pt idx="2040">
                  <c:v>0.235153235206849</c:v>
                </c:pt>
                <c:pt idx="2041">
                  <c:v>0.224833224805831</c:v>
                </c:pt>
                <c:pt idx="2042">
                  <c:v>0.223927134514618</c:v>
                </c:pt>
                <c:pt idx="2043">
                  <c:v>0.232477666666391</c:v>
                </c:pt>
                <c:pt idx="2044">
                  <c:v>0.228256087727709</c:v>
                </c:pt>
                <c:pt idx="2045">
                  <c:v>0.241186412121444</c:v>
                </c:pt>
                <c:pt idx="2046">
                  <c:v>0.227298101040671</c:v>
                </c:pt>
                <c:pt idx="2047">
                  <c:v>0.232449678144177</c:v>
                </c:pt>
                <c:pt idx="2048">
                  <c:v>0.221717385257725</c:v>
                </c:pt>
                <c:pt idx="2049">
                  <c:v>0.230108855991736</c:v>
                </c:pt>
                <c:pt idx="2050">
                  <c:v>0.228061921065055</c:v>
                </c:pt>
                <c:pt idx="2051">
                  <c:v>0.235628985937796</c:v>
                </c:pt>
                <c:pt idx="2052">
                  <c:v>0.227322945056539</c:v>
                </c:pt>
                <c:pt idx="2053">
                  <c:v>0.221795909369623</c:v>
                </c:pt>
                <c:pt idx="2054">
                  <c:v>0.228586843614539</c:v>
                </c:pt>
                <c:pt idx="2055">
                  <c:v>0.229883078863461</c:v>
                </c:pt>
                <c:pt idx="2056">
                  <c:v>0.232841836660379</c:v>
                </c:pt>
                <c:pt idx="2057">
                  <c:v>0.225938239272103</c:v>
                </c:pt>
                <c:pt idx="2058">
                  <c:v>0.226696460990801</c:v>
                </c:pt>
                <c:pt idx="2059">
                  <c:v>0.229644032650254</c:v>
                </c:pt>
                <c:pt idx="2060">
                  <c:v>0.223664512363211</c:v>
                </c:pt>
                <c:pt idx="2061">
                  <c:v>0.222361344816592</c:v>
                </c:pt>
                <c:pt idx="2062">
                  <c:v>0.224048383889101</c:v>
                </c:pt>
                <c:pt idx="2063">
                  <c:v>0.237049390102666</c:v>
                </c:pt>
                <c:pt idx="2064">
                  <c:v>0.227054114868751</c:v>
                </c:pt>
                <c:pt idx="2065">
                  <c:v>0.239209726748157</c:v>
                </c:pt>
                <c:pt idx="2066">
                  <c:v>0.236576999301779</c:v>
                </c:pt>
                <c:pt idx="2067">
                  <c:v>0.231809631613581</c:v>
                </c:pt>
                <c:pt idx="2068">
                  <c:v>0.242020629879907</c:v>
                </c:pt>
                <c:pt idx="2069">
                  <c:v>0.2290488065317</c:v>
                </c:pt>
                <c:pt idx="2070">
                  <c:v>0.222451786755519</c:v>
                </c:pt>
                <c:pt idx="2071">
                  <c:v>0.232495204000129</c:v>
                </c:pt>
                <c:pt idx="2072">
                  <c:v>0.233014464215264</c:v>
                </c:pt>
                <c:pt idx="2073">
                  <c:v>0.237441363403586</c:v>
                </c:pt>
                <c:pt idx="2074">
                  <c:v>0.23113148874798</c:v>
                </c:pt>
                <c:pt idx="2075">
                  <c:v>0.227462076928778</c:v>
                </c:pt>
                <c:pt idx="2076">
                  <c:v>0.223141942794709</c:v>
                </c:pt>
                <c:pt idx="2077">
                  <c:v>0.224884194678058</c:v>
                </c:pt>
                <c:pt idx="2078">
                  <c:v>0.231727186479567</c:v>
                </c:pt>
                <c:pt idx="2079">
                  <c:v>0.22855487156845</c:v>
                </c:pt>
                <c:pt idx="2080">
                  <c:v>0.221354844868457</c:v>
                </c:pt>
                <c:pt idx="2081">
                  <c:v>0.226066590164859</c:v>
                </c:pt>
                <c:pt idx="2082">
                  <c:v>0.23699109035953</c:v>
                </c:pt>
                <c:pt idx="2083">
                  <c:v>0.237902371824598</c:v>
                </c:pt>
                <c:pt idx="2084">
                  <c:v>0.224853955293209</c:v>
                </c:pt>
                <c:pt idx="2085">
                  <c:v>0.227387994669869</c:v>
                </c:pt>
                <c:pt idx="2086">
                  <c:v>0.224382481575433</c:v>
                </c:pt>
                <c:pt idx="2087">
                  <c:v>0.22445824666147</c:v>
                </c:pt>
                <c:pt idx="2088">
                  <c:v>0.225346873796606</c:v>
                </c:pt>
                <c:pt idx="2089">
                  <c:v>0.239230440471427</c:v>
                </c:pt>
                <c:pt idx="2090">
                  <c:v>0.236219848712476</c:v>
                </c:pt>
                <c:pt idx="2091">
                  <c:v>0.227139429302154</c:v>
                </c:pt>
                <c:pt idx="2092">
                  <c:v>0.234395074533338</c:v>
                </c:pt>
                <c:pt idx="2093">
                  <c:v>0.235920624380452</c:v>
                </c:pt>
                <c:pt idx="2094">
                  <c:v>0.22640451262487</c:v>
                </c:pt>
                <c:pt idx="2095">
                  <c:v>0.228706019019122</c:v>
                </c:pt>
                <c:pt idx="2096">
                  <c:v>0.224699011118007</c:v>
                </c:pt>
                <c:pt idx="2097">
                  <c:v>0.232705237309778</c:v>
                </c:pt>
                <c:pt idx="2098">
                  <c:v>0.22631292435159</c:v>
                </c:pt>
                <c:pt idx="2099">
                  <c:v>0.239912035900299</c:v>
                </c:pt>
                <c:pt idx="2100">
                  <c:v>0.223206572415475</c:v>
                </c:pt>
                <c:pt idx="2101">
                  <c:v>0.222735140070716</c:v>
                </c:pt>
                <c:pt idx="2102">
                  <c:v>0.227507924713456</c:v>
                </c:pt>
                <c:pt idx="2103">
                  <c:v>0.222628706950528</c:v>
                </c:pt>
                <c:pt idx="2104">
                  <c:v>0.222347951047112</c:v>
                </c:pt>
                <c:pt idx="2105">
                  <c:v>0.224447066746903</c:v>
                </c:pt>
                <c:pt idx="2106">
                  <c:v>0.223158670244505</c:v>
                </c:pt>
                <c:pt idx="2107">
                  <c:v>0.226244541950571</c:v>
                </c:pt>
                <c:pt idx="2108">
                  <c:v>0.245485612419618</c:v>
                </c:pt>
                <c:pt idx="2109">
                  <c:v>0.228938150629365</c:v>
                </c:pt>
                <c:pt idx="2110">
                  <c:v>0.241353194831019</c:v>
                </c:pt>
                <c:pt idx="2111">
                  <c:v>0.226752812113306</c:v>
                </c:pt>
                <c:pt idx="2112">
                  <c:v>0.232753159534849</c:v>
                </c:pt>
                <c:pt idx="2113">
                  <c:v>0.230923152372762</c:v>
                </c:pt>
                <c:pt idx="2114">
                  <c:v>0.227398516172817</c:v>
                </c:pt>
                <c:pt idx="2115">
                  <c:v>0.244751558492899</c:v>
                </c:pt>
                <c:pt idx="2116">
                  <c:v>0.230596775247123</c:v>
                </c:pt>
                <c:pt idx="2117">
                  <c:v>0.224167710580108</c:v>
                </c:pt>
                <c:pt idx="2118">
                  <c:v>0.226163925782887</c:v>
                </c:pt>
                <c:pt idx="2119">
                  <c:v>0.231053057768362</c:v>
                </c:pt>
                <c:pt idx="2120">
                  <c:v>0.238746881058435</c:v>
                </c:pt>
                <c:pt idx="2121">
                  <c:v>0.226910352897433</c:v>
                </c:pt>
                <c:pt idx="2122">
                  <c:v>0.226425528708503</c:v>
                </c:pt>
                <c:pt idx="2123">
                  <c:v>0.22484444311494</c:v>
                </c:pt>
                <c:pt idx="2124">
                  <c:v>0.227004558120514</c:v>
                </c:pt>
                <c:pt idx="2125">
                  <c:v>0.24186431524768</c:v>
                </c:pt>
                <c:pt idx="2126">
                  <c:v>0.225331447059027</c:v>
                </c:pt>
                <c:pt idx="2127">
                  <c:v>0.221377595462868</c:v>
                </c:pt>
                <c:pt idx="2128">
                  <c:v>0.228324360213156</c:v>
                </c:pt>
                <c:pt idx="2129">
                  <c:v>0.222666523787005</c:v>
                </c:pt>
                <c:pt idx="2130">
                  <c:v>0.240219842644562</c:v>
                </c:pt>
                <c:pt idx="2131">
                  <c:v>0.228970284266182</c:v>
                </c:pt>
                <c:pt idx="2132">
                  <c:v>0.224392707282896</c:v>
                </c:pt>
                <c:pt idx="2133">
                  <c:v>0.225512345162085</c:v>
                </c:pt>
                <c:pt idx="2134">
                  <c:v>0.240378312975893</c:v>
                </c:pt>
                <c:pt idx="2135">
                  <c:v>0.222407634983835</c:v>
                </c:pt>
                <c:pt idx="2136">
                  <c:v>0.233326107469078</c:v>
                </c:pt>
                <c:pt idx="2137">
                  <c:v>0.232238773389194</c:v>
                </c:pt>
                <c:pt idx="2138">
                  <c:v>0.231797209853999</c:v>
                </c:pt>
                <c:pt idx="2139">
                  <c:v>0.224807679504486</c:v>
                </c:pt>
                <c:pt idx="2140">
                  <c:v>0.226218531152258</c:v>
                </c:pt>
                <c:pt idx="2141">
                  <c:v>0.229669429514729</c:v>
                </c:pt>
                <c:pt idx="2142">
                  <c:v>0.225467342978636</c:v>
                </c:pt>
                <c:pt idx="2143">
                  <c:v>0.228851757999643</c:v>
                </c:pt>
                <c:pt idx="2144">
                  <c:v>0.224020637704761</c:v>
                </c:pt>
                <c:pt idx="2145">
                  <c:v>0.227213426835899</c:v>
                </c:pt>
                <c:pt idx="2146">
                  <c:v>0.235924960178178</c:v>
                </c:pt>
                <c:pt idx="2147">
                  <c:v>0.250673390774922</c:v>
                </c:pt>
                <c:pt idx="2148">
                  <c:v>0.228258322475656</c:v>
                </c:pt>
                <c:pt idx="2149">
                  <c:v>0.224424238231995</c:v>
                </c:pt>
                <c:pt idx="2150">
                  <c:v>0.22711249324315</c:v>
                </c:pt>
                <c:pt idx="2151">
                  <c:v>0.234791872264878</c:v>
                </c:pt>
                <c:pt idx="2152">
                  <c:v>0.226779825515057</c:v>
                </c:pt>
                <c:pt idx="2153">
                  <c:v>0.229656442999062</c:v>
                </c:pt>
                <c:pt idx="2154">
                  <c:v>0.222787296671434</c:v>
                </c:pt>
                <c:pt idx="2155">
                  <c:v>0.244141228513712</c:v>
                </c:pt>
                <c:pt idx="2156">
                  <c:v>0.224793255046027</c:v>
                </c:pt>
                <c:pt idx="2157">
                  <c:v>0.22602485053628</c:v>
                </c:pt>
                <c:pt idx="2158">
                  <c:v>0.227504344624794</c:v>
                </c:pt>
                <c:pt idx="2159">
                  <c:v>0.23793858963372</c:v>
                </c:pt>
                <c:pt idx="2160">
                  <c:v>0.225653293368045</c:v>
                </c:pt>
                <c:pt idx="2161">
                  <c:v>0.246024925735506</c:v>
                </c:pt>
                <c:pt idx="2162">
                  <c:v>0.222289484870669</c:v>
                </c:pt>
                <c:pt idx="2163">
                  <c:v>0.22511684677575</c:v>
                </c:pt>
                <c:pt idx="2164">
                  <c:v>0.231597605507423</c:v>
                </c:pt>
                <c:pt idx="2165">
                  <c:v>0.236867169613448</c:v>
                </c:pt>
                <c:pt idx="2166">
                  <c:v>0.23600471817984</c:v>
                </c:pt>
                <c:pt idx="2167">
                  <c:v>0.244124135271823</c:v>
                </c:pt>
                <c:pt idx="2168">
                  <c:v>0.239932851660201</c:v>
                </c:pt>
                <c:pt idx="2169">
                  <c:v>0.225490249624864</c:v>
                </c:pt>
                <c:pt idx="2170">
                  <c:v>0.241360102451213</c:v>
                </c:pt>
                <c:pt idx="2171">
                  <c:v>0.224261817348511</c:v>
                </c:pt>
                <c:pt idx="2172">
                  <c:v>0.226231355494235</c:v>
                </c:pt>
                <c:pt idx="2173">
                  <c:v>0.228918488501865</c:v>
                </c:pt>
                <c:pt idx="2174">
                  <c:v>0.225794176515515</c:v>
                </c:pt>
                <c:pt idx="2175">
                  <c:v>0.222412745505602</c:v>
                </c:pt>
                <c:pt idx="2176">
                  <c:v>0.231797860315895</c:v>
                </c:pt>
                <c:pt idx="2177">
                  <c:v>0.22967936316671</c:v>
                </c:pt>
                <c:pt idx="2178">
                  <c:v>0.241609863064204</c:v>
                </c:pt>
                <c:pt idx="2179">
                  <c:v>0.223070124993914</c:v>
                </c:pt>
                <c:pt idx="2180">
                  <c:v>0.237378881153203</c:v>
                </c:pt>
                <c:pt idx="2181">
                  <c:v>0.231708398851273</c:v>
                </c:pt>
                <c:pt idx="2182">
                  <c:v>0.226241192655015</c:v>
                </c:pt>
                <c:pt idx="2183">
                  <c:v>0.225938864560385</c:v>
                </c:pt>
                <c:pt idx="2184">
                  <c:v>0.225815822735393</c:v>
                </c:pt>
                <c:pt idx="2185">
                  <c:v>0.226043525735906</c:v>
                </c:pt>
                <c:pt idx="2186">
                  <c:v>0.228340270621361</c:v>
                </c:pt>
                <c:pt idx="2187">
                  <c:v>0.22861565358688</c:v>
                </c:pt>
                <c:pt idx="2188">
                  <c:v>0.236684152872077</c:v>
                </c:pt>
                <c:pt idx="2189">
                  <c:v>0.224144992524278</c:v>
                </c:pt>
                <c:pt idx="2190">
                  <c:v>0.226415047590828</c:v>
                </c:pt>
                <c:pt idx="2191">
                  <c:v>0.222183809964549</c:v>
                </c:pt>
                <c:pt idx="2192">
                  <c:v>0.221895505220222</c:v>
                </c:pt>
                <c:pt idx="2193">
                  <c:v>0.229877243068661</c:v>
                </c:pt>
                <c:pt idx="2194">
                  <c:v>0.222807600433691</c:v>
                </c:pt>
                <c:pt idx="2195">
                  <c:v>0.22906441801731</c:v>
                </c:pt>
                <c:pt idx="2196">
                  <c:v>0.235754821841067</c:v>
                </c:pt>
                <c:pt idx="2197">
                  <c:v>0.233037254521504</c:v>
                </c:pt>
                <c:pt idx="2198">
                  <c:v>0.224236161953094</c:v>
                </c:pt>
                <c:pt idx="2199">
                  <c:v>0.23497721977411</c:v>
                </c:pt>
                <c:pt idx="2200">
                  <c:v>0.22651317652852</c:v>
                </c:pt>
                <c:pt idx="2201">
                  <c:v>0.22563438336109</c:v>
                </c:pt>
                <c:pt idx="2202">
                  <c:v>0.239380838065521</c:v>
                </c:pt>
                <c:pt idx="2203">
                  <c:v>0.233723473751769</c:v>
                </c:pt>
                <c:pt idx="2204">
                  <c:v>0.221513218120547</c:v>
                </c:pt>
                <c:pt idx="2205">
                  <c:v>0.221660974598786</c:v>
                </c:pt>
                <c:pt idx="2206">
                  <c:v>0.230049029186915</c:v>
                </c:pt>
                <c:pt idx="2207">
                  <c:v>0.227976289968991</c:v>
                </c:pt>
                <c:pt idx="2208">
                  <c:v>0.223415355859639</c:v>
                </c:pt>
                <c:pt idx="2209">
                  <c:v>0.225458514739643</c:v>
                </c:pt>
                <c:pt idx="2210">
                  <c:v>0.227639690729889</c:v>
                </c:pt>
                <c:pt idx="2211">
                  <c:v>0.227117803349336</c:v>
                </c:pt>
                <c:pt idx="2212">
                  <c:v>0.226300850293832</c:v>
                </c:pt>
                <c:pt idx="2213">
                  <c:v>0.230455084428877</c:v>
                </c:pt>
                <c:pt idx="2214">
                  <c:v>0.23058892469747</c:v>
                </c:pt>
                <c:pt idx="2215">
                  <c:v>0.232291716034522</c:v>
                </c:pt>
                <c:pt idx="2216">
                  <c:v>0.229638911128773</c:v>
                </c:pt>
                <c:pt idx="2217">
                  <c:v>0.223589882703416</c:v>
                </c:pt>
                <c:pt idx="2218">
                  <c:v>0.229670805381489</c:v>
                </c:pt>
                <c:pt idx="2219">
                  <c:v>0.223570894113072</c:v>
                </c:pt>
                <c:pt idx="2220">
                  <c:v>0.224423063585932</c:v>
                </c:pt>
                <c:pt idx="2221">
                  <c:v>0.227239518487851</c:v>
                </c:pt>
                <c:pt idx="2222">
                  <c:v>0.232985875687147</c:v>
                </c:pt>
                <c:pt idx="2223">
                  <c:v>0.239141850133503</c:v>
                </c:pt>
                <c:pt idx="2224">
                  <c:v>0.221608428138268</c:v>
                </c:pt>
                <c:pt idx="2225">
                  <c:v>0.224913978436132</c:v>
                </c:pt>
                <c:pt idx="2226">
                  <c:v>0.226638544385439</c:v>
                </c:pt>
                <c:pt idx="2227">
                  <c:v>0.235648425009906</c:v>
                </c:pt>
                <c:pt idx="2228">
                  <c:v>0.221340377824985</c:v>
                </c:pt>
                <c:pt idx="2229">
                  <c:v>0.230779090544038</c:v>
                </c:pt>
                <c:pt idx="2230">
                  <c:v>0.222777417802491</c:v>
                </c:pt>
                <c:pt idx="2231">
                  <c:v>0.224700272653199</c:v>
                </c:pt>
                <c:pt idx="2232">
                  <c:v>0.225486872619561</c:v>
                </c:pt>
                <c:pt idx="2233">
                  <c:v>0.232590409511929</c:v>
                </c:pt>
                <c:pt idx="2234">
                  <c:v>0.226217859633647</c:v>
                </c:pt>
                <c:pt idx="2235">
                  <c:v>0.226627669010289</c:v>
                </c:pt>
                <c:pt idx="2236">
                  <c:v>0.230162840073733</c:v>
                </c:pt>
                <c:pt idx="2237">
                  <c:v>0.235252344125645</c:v>
                </c:pt>
                <c:pt idx="2238">
                  <c:v>0.225423711629198</c:v>
                </c:pt>
                <c:pt idx="2239">
                  <c:v>0.223077064149189</c:v>
                </c:pt>
                <c:pt idx="2240">
                  <c:v>0.223950485520627</c:v>
                </c:pt>
                <c:pt idx="2241">
                  <c:v>0.229845009230735</c:v>
                </c:pt>
                <c:pt idx="2242">
                  <c:v>0.234695219439681</c:v>
                </c:pt>
                <c:pt idx="2243">
                  <c:v>0.223934532760483</c:v>
                </c:pt>
                <c:pt idx="2244">
                  <c:v>0.224021505504679</c:v>
                </c:pt>
                <c:pt idx="2245">
                  <c:v>0.233371461767084</c:v>
                </c:pt>
                <c:pt idx="2246">
                  <c:v>0.237692567959386</c:v>
                </c:pt>
                <c:pt idx="2247">
                  <c:v>0.239374659286769</c:v>
                </c:pt>
                <c:pt idx="2248">
                  <c:v>0.231085067890207</c:v>
                </c:pt>
                <c:pt idx="2249">
                  <c:v>0.241520030504383</c:v>
                </c:pt>
                <c:pt idx="2250">
                  <c:v>0.230460650701783</c:v>
                </c:pt>
                <c:pt idx="2251">
                  <c:v>0.243739912916417</c:v>
                </c:pt>
                <c:pt idx="2252">
                  <c:v>0.225762378913355</c:v>
                </c:pt>
                <c:pt idx="2253">
                  <c:v>0.22572944731152</c:v>
                </c:pt>
                <c:pt idx="2254">
                  <c:v>0.237799733643822</c:v>
                </c:pt>
                <c:pt idx="2255">
                  <c:v>0.227460464455044</c:v>
                </c:pt>
                <c:pt idx="2256">
                  <c:v>0.224722396010426</c:v>
                </c:pt>
                <c:pt idx="2257">
                  <c:v>0.225664159441547</c:v>
                </c:pt>
                <c:pt idx="2258">
                  <c:v>0.228313927685949</c:v>
                </c:pt>
                <c:pt idx="2259">
                  <c:v>0.234755902057633</c:v>
                </c:pt>
                <c:pt idx="2260">
                  <c:v>0.228744807732608</c:v>
                </c:pt>
                <c:pt idx="2261">
                  <c:v>0.233466820528494</c:v>
                </c:pt>
                <c:pt idx="2262">
                  <c:v>0.225397942644491</c:v>
                </c:pt>
                <c:pt idx="2263">
                  <c:v>0.228894782805231</c:v>
                </c:pt>
                <c:pt idx="2264">
                  <c:v>0.226045179363092</c:v>
                </c:pt>
                <c:pt idx="2265">
                  <c:v>0.235164003118212</c:v>
                </c:pt>
                <c:pt idx="2266">
                  <c:v>0.241189251919053</c:v>
                </c:pt>
                <c:pt idx="2267">
                  <c:v>0.236266215083929</c:v>
                </c:pt>
                <c:pt idx="2268">
                  <c:v>0.230750636402485</c:v>
                </c:pt>
                <c:pt idx="2269">
                  <c:v>0.224637328518171</c:v>
                </c:pt>
                <c:pt idx="2270">
                  <c:v>0.230446193834046</c:v>
                </c:pt>
                <c:pt idx="2271">
                  <c:v>0.225127220117522</c:v>
                </c:pt>
                <c:pt idx="2272">
                  <c:v>0.236005497247167</c:v>
                </c:pt>
                <c:pt idx="2273">
                  <c:v>0.224049106603116</c:v>
                </c:pt>
                <c:pt idx="2274">
                  <c:v>0.227130704388704</c:v>
                </c:pt>
                <c:pt idx="2275">
                  <c:v>0.222651218932921</c:v>
                </c:pt>
                <c:pt idx="2276">
                  <c:v>0.226458559674263</c:v>
                </c:pt>
                <c:pt idx="2277">
                  <c:v>0.241000689180732</c:v>
                </c:pt>
                <c:pt idx="2278">
                  <c:v>0.221562406191749</c:v>
                </c:pt>
                <c:pt idx="2279">
                  <c:v>0.227347479271063</c:v>
                </c:pt>
                <c:pt idx="2280">
                  <c:v>0.224844470507337</c:v>
                </c:pt>
                <c:pt idx="2281">
                  <c:v>0.242950647696449</c:v>
                </c:pt>
                <c:pt idx="2282">
                  <c:v>0.227951327316444</c:v>
                </c:pt>
                <c:pt idx="2283">
                  <c:v>0.245230127479716</c:v>
                </c:pt>
                <c:pt idx="2284">
                  <c:v>0.228561039257354</c:v>
                </c:pt>
                <c:pt idx="2285">
                  <c:v>0.230508039240969</c:v>
                </c:pt>
                <c:pt idx="2286">
                  <c:v>0.226782476336502</c:v>
                </c:pt>
                <c:pt idx="2287">
                  <c:v>0.228843020541934</c:v>
                </c:pt>
                <c:pt idx="2288">
                  <c:v>0.223480811561922</c:v>
                </c:pt>
                <c:pt idx="2289">
                  <c:v>0.23762169084387</c:v>
                </c:pt>
                <c:pt idx="2290">
                  <c:v>0.225084202260222</c:v>
                </c:pt>
                <c:pt idx="2291">
                  <c:v>0.232423852383461</c:v>
                </c:pt>
                <c:pt idx="2292">
                  <c:v>0.236920924223025</c:v>
                </c:pt>
                <c:pt idx="2293">
                  <c:v>0.234426721222535</c:v>
                </c:pt>
                <c:pt idx="2294">
                  <c:v>0.233331788057777</c:v>
                </c:pt>
                <c:pt idx="2295">
                  <c:v>0.221740000494366</c:v>
                </c:pt>
                <c:pt idx="2296">
                  <c:v>0.235055154617873</c:v>
                </c:pt>
                <c:pt idx="2297">
                  <c:v>0.226354047990284</c:v>
                </c:pt>
                <c:pt idx="2298">
                  <c:v>0.230576399757374</c:v>
                </c:pt>
                <c:pt idx="2299">
                  <c:v>0.243655108176204</c:v>
                </c:pt>
                <c:pt idx="2300">
                  <c:v>0.226800089630319</c:v>
                </c:pt>
                <c:pt idx="2301">
                  <c:v>0.225650862053109</c:v>
                </c:pt>
                <c:pt idx="2302">
                  <c:v>0.235681963869213</c:v>
                </c:pt>
                <c:pt idx="2303">
                  <c:v>0.229927881431627</c:v>
                </c:pt>
                <c:pt idx="2304">
                  <c:v>0.227994851930093</c:v>
                </c:pt>
                <c:pt idx="2305">
                  <c:v>0.238128269161404</c:v>
                </c:pt>
                <c:pt idx="2306">
                  <c:v>0.227318371663213</c:v>
                </c:pt>
                <c:pt idx="2307">
                  <c:v>0.242920366242521</c:v>
                </c:pt>
                <c:pt idx="2308">
                  <c:v>0.221512991339043</c:v>
                </c:pt>
                <c:pt idx="2309">
                  <c:v>0.226620042755768</c:v>
                </c:pt>
                <c:pt idx="2310">
                  <c:v>0.225783707658556</c:v>
                </c:pt>
                <c:pt idx="2311">
                  <c:v>0.238901311246435</c:v>
                </c:pt>
                <c:pt idx="2312">
                  <c:v>0.232136912107828</c:v>
                </c:pt>
                <c:pt idx="2313">
                  <c:v>0.233852151145972</c:v>
                </c:pt>
                <c:pt idx="2314">
                  <c:v>0.222411597084471</c:v>
                </c:pt>
                <c:pt idx="2315">
                  <c:v>0.222244847777492</c:v>
                </c:pt>
                <c:pt idx="2316">
                  <c:v>0.222516182786034</c:v>
                </c:pt>
                <c:pt idx="2317">
                  <c:v>0.229123803247192</c:v>
                </c:pt>
                <c:pt idx="2318">
                  <c:v>0.222616576019751</c:v>
                </c:pt>
                <c:pt idx="2319">
                  <c:v>0.227735613364305</c:v>
                </c:pt>
                <c:pt idx="2320">
                  <c:v>0.228792277016484</c:v>
                </c:pt>
                <c:pt idx="2321">
                  <c:v>0.224066950448964</c:v>
                </c:pt>
                <c:pt idx="2322">
                  <c:v>0.222976031557777</c:v>
                </c:pt>
                <c:pt idx="2323">
                  <c:v>0.225570959573448</c:v>
                </c:pt>
                <c:pt idx="2324">
                  <c:v>0.239906946708886</c:v>
                </c:pt>
                <c:pt idx="2325">
                  <c:v>0.230828346083024</c:v>
                </c:pt>
                <c:pt idx="2326">
                  <c:v>0.223232786404174</c:v>
                </c:pt>
                <c:pt idx="2327">
                  <c:v>0.230207127657748</c:v>
                </c:pt>
                <c:pt idx="2328">
                  <c:v>0.222023709459347</c:v>
                </c:pt>
                <c:pt idx="2329">
                  <c:v>0.225975919698579</c:v>
                </c:pt>
                <c:pt idx="2330">
                  <c:v>0.222771429065404</c:v>
                </c:pt>
                <c:pt idx="2331">
                  <c:v>0.240155001587065</c:v>
                </c:pt>
                <c:pt idx="2332">
                  <c:v>0.228204011198802</c:v>
                </c:pt>
                <c:pt idx="2333">
                  <c:v>0.222468336159736</c:v>
                </c:pt>
                <c:pt idx="2334">
                  <c:v>0.225629968677528</c:v>
                </c:pt>
                <c:pt idx="2335">
                  <c:v>0.232041210481215</c:v>
                </c:pt>
                <c:pt idx="2336">
                  <c:v>0.225816120467365</c:v>
                </c:pt>
                <c:pt idx="2337">
                  <c:v>0.223163235169654</c:v>
                </c:pt>
                <c:pt idx="2338">
                  <c:v>0.230313573086933</c:v>
                </c:pt>
                <c:pt idx="2339">
                  <c:v>0.241125226379518</c:v>
                </c:pt>
                <c:pt idx="2340">
                  <c:v>0.229927121084516</c:v>
                </c:pt>
                <c:pt idx="2341">
                  <c:v>0.224367713569622</c:v>
                </c:pt>
                <c:pt idx="2342">
                  <c:v>0.243070717573234</c:v>
                </c:pt>
                <c:pt idx="2343">
                  <c:v>0.236418556033013</c:v>
                </c:pt>
                <c:pt idx="2344">
                  <c:v>0.225886052973057</c:v>
                </c:pt>
                <c:pt idx="2345">
                  <c:v>0.2218411675687</c:v>
                </c:pt>
                <c:pt idx="2346">
                  <c:v>0.228473457735309</c:v>
                </c:pt>
                <c:pt idx="2347">
                  <c:v>0.230270408723522</c:v>
                </c:pt>
                <c:pt idx="2348">
                  <c:v>0.222889575044918</c:v>
                </c:pt>
                <c:pt idx="2349">
                  <c:v>0.24457000152588</c:v>
                </c:pt>
                <c:pt idx="2350">
                  <c:v>0.224854933792679</c:v>
                </c:pt>
                <c:pt idx="2351">
                  <c:v>0.227096040663362</c:v>
                </c:pt>
                <c:pt idx="2352">
                  <c:v>0.224412882750454</c:v>
                </c:pt>
                <c:pt idx="2353">
                  <c:v>0.226079382879146</c:v>
                </c:pt>
                <c:pt idx="2354">
                  <c:v>0.228410760907974</c:v>
                </c:pt>
                <c:pt idx="2355">
                  <c:v>0.222335818345424</c:v>
                </c:pt>
                <c:pt idx="2356">
                  <c:v>0.23142225252642</c:v>
                </c:pt>
                <c:pt idx="2357">
                  <c:v>0.230427247625776</c:v>
                </c:pt>
                <c:pt idx="2358">
                  <c:v>0.22462472733033</c:v>
                </c:pt>
                <c:pt idx="2359">
                  <c:v>0.226273445231077</c:v>
                </c:pt>
                <c:pt idx="2360">
                  <c:v>0.231663903343535</c:v>
                </c:pt>
                <c:pt idx="2361">
                  <c:v>0.231141654189006</c:v>
                </c:pt>
                <c:pt idx="2362">
                  <c:v>0.225653462506259</c:v>
                </c:pt>
                <c:pt idx="2363">
                  <c:v>0.247563846863525</c:v>
                </c:pt>
                <c:pt idx="2364">
                  <c:v>0.221393256850433</c:v>
                </c:pt>
                <c:pt idx="2365">
                  <c:v>0.231161959324715</c:v>
                </c:pt>
                <c:pt idx="2366">
                  <c:v>0.240701307755857</c:v>
                </c:pt>
                <c:pt idx="2367">
                  <c:v>0.236557313517401</c:v>
                </c:pt>
                <c:pt idx="2368">
                  <c:v>0.225145131230826</c:v>
                </c:pt>
                <c:pt idx="2369">
                  <c:v>0.235016953402182</c:v>
                </c:pt>
                <c:pt idx="2370">
                  <c:v>0.227550968184779</c:v>
                </c:pt>
                <c:pt idx="2371">
                  <c:v>0.23694288754976</c:v>
                </c:pt>
                <c:pt idx="2372">
                  <c:v>0.222528077179659</c:v>
                </c:pt>
                <c:pt idx="2373">
                  <c:v>0.230967364981257</c:v>
                </c:pt>
                <c:pt idx="2374">
                  <c:v>0.229308342405148</c:v>
                </c:pt>
                <c:pt idx="2375">
                  <c:v>0.22137631700217</c:v>
                </c:pt>
                <c:pt idx="2376">
                  <c:v>0.23426258648099</c:v>
                </c:pt>
                <c:pt idx="2377">
                  <c:v>0.229361289695788</c:v>
                </c:pt>
                <c:pt idx="2378">
                  <c:v>0.230110749902583</c:v>
                </c:pt>
                <c:pt idx="2379">
                  <c:v>0.227805035965947</c:v>
                </c:pt>
                <c:pt idx="2380">
                  <c:v>0.222312200871377</c:v>
                </c:pt>
                <c:pt idx="2381">
                  <c:v>0.234928709774858</c:v>
                </c:pt>
                <c:pt idx="2382">
                  <c:v>0.221799527416152</c:v>
                </c:pt>
                <c:pt idx="2383">
                  <c:v>0.229246788026345</c:v>
                </c:pt>
                <c:pt idx="2384">
                  <c:v>0.226274021767842</c:v>
                </c:pt>
                <c:pt idx="2385">
                  <c:v>0.223537508548276</c:v>
                </c:pt>
                <c:pt idx="2386">
                  <c:v>0.232011623890009</c:v>
                </c:pt>
                <c:pt idx="2387">
                  <c:v>0.229940317354615</c:v>
                </c:pt>
                <c:pt idx="2388">
                  <c:v>0.224995611468337</c:v>
                </c:pt>
                <c:pt idx="2389">
                  <c:v>0.223187829189853</c:v>
                </c:pt>
                <c:pt idx="2390">
                  <c:v>0.230197184894668</c:v>
                </c:pt>
                <c:pt idx="2391">
                  <c:v>0.221486792648952</c:v>
                </c:pt>
                <c:pt idx="2392">
                  <c:v>0.225758562916772</c:v>
                </c:pt>
                <c:pt idx="2393">
                  <c:v>0.22325945434176</c:v>
                </c:pt>
                <c:pt idx="2394">
                  <c:v>0.226641516357396</c:v>
                </c:pt>
                <c:pt idx="2395">
                  <c:v>0.2237848358891</c:v>
                </c:pt>
                <c:pt idx="2396">
                  <c:v>0.227477378416154</c:v>
                </c:pt>
                <c:pt idx="2397">
                  <c:v>0.226625557085155</c:v>
                </c:pt>
                <c:pt idx="2398">
                  <c:v>0.225549835593076</c:v>
                </c:pt>
                <c:pt idx="2399">
                  <c:v>0.227806825122866</c:v>
                </c:pt>
                <c:pt idx="2400">
                  <c:v>0.226295555327207</c:v>
                </c:pt>
                <c:pt idx="2401">
                  <c:v>0.242102440090755</c:v>
                </c:pt>
                <c:pt idx="2402">
                  <c:v>0.229740745210042</c:v>
                </c:pt>
                <c:pt idx="2403">
                  <c:v>0.224460486436326</c:v>
                </c:pt>
                <c:pt idx="2404">
                  <c:v>0.231040598239257</c:v>
                </c:pt>
                <c:pt idx="2405">
                  <c:v>0.226503374102272</c:v>
                </c:pt>
                <c:pt idx="2406">
                  <c:v>0.226211412559908</c:v>
                </c:pt>
                <c:pt idx="2407">
                  <c:v>0.225558786032999</c:v>
                </c:pt>
                <c:pt idx="2408">
                  <c:v>0.226623519039741</c:v>
                </c:pt>
                <c:pt idx="2409">
                  <c:v>0.239781470387933</c:v>
                </c:pt>
                <c:pt idx="2410">
                  <c:v>0.249133120480703</c:v>
                </c:pt>
                <c:pt idx="2411">
                  <c:v>0.224163092452008</c:v>
                </c:pt>
                <c:pt idx="2412">
                  <c:v>0.228307934897547</c:v>
                </c:pt>
                <c:pt idx="2413">
                  <c:v>0.231568526991591</c:v>
                </c:pt>
                <c:pt idx="2414">
                  <c:v>0.236220914592037</c:v>
                </c:pt>
                <c:pt idx="2415">
                  <c:v>0.241841150175127</c:v>
                </c:pt>
                <c:pt idx="2416">
                  <c:v>0.237638806425046</c:v>
                </c:pt>
                <c:pt idx="2417">
                  <c:v>0.223561408416697</c:v>
                </c:pt>
                <c:pt idx="2418">
                  <c:v>0.232165890347469</c:v>
                </c:pt>
                <c:pt idx="2419">
                  <c:v>0.241173172644895</c:v>
                </c:pt>
                <c:pt idx="2420">
                  <c:v>0.232527861480812</c:v>
                </c:pt>
                <c:pt idx="2421">
                  <c:v>0.25058603755732</c:v>
                </c:pt>
                <c:pt idx="2422">
                  <c:v>0.232687872878115</c:v>
                </c:pt>
                <c:pt idx="2423">
                  <c:v>0.232785849057065</c:v>
                </c:pt>
                <c:pt idx="2424">
                  <c:v>0.221581761418927</c:v>
                </c:pt>
                <c:pt idx="2425">
                  <c:v>0.225057375459655</c:v>
                </c:pt>
                <c:pt idx="2426">
                  <c:v>0.224745286773106</c:v>
                </c:pt>
                <c:pt idx="2427">
                  <c:v>0.245027453935845</c:v>
                </c:pt>
                <c:pt idx="2428">
                  <c:v>0.233355913992399</c:v>
                </c:pt>
                <c:pt idx="2429">
                  <c:v>0.234884171615223</c:v>
                </c:pt>
                <c:pt idx="2430">
                  <c:v>0.224983093516774</c:v>
                </c:pt>
                <c:pt idx="2431">
                  <c:v>0.229932004508327</c:v>
                </c:pt>
                <c:pt idx="2432">
                  <c:v>0.233989151924426</c:v>
                </c:pt>
                <c:pt idx="2433">
                  <c:v>0.221747829889509</c:v>
                </c:pt>
                <c:pt idx="2434">
                  <c:v>0.238480512709435</c:v>
                </c:pt>
                <c:pt idx="2435">
                  <c:v>0.225935380742828</c:v>
                </c:pt>
                <c:pt idx="2436">
                  <c:v>0.225177530686544</c:v>
                </c:pt>
                <c:pt idx="2437">
                  <c:v>0.223389453803277</c:v>
                </c:pt>
                <c:pt idx="2438">
                  <c:v>0.248581269248699</c:v>
                </c:pt>
                <c:pt idx="2439">
                  <c:v>0.226979051794118</c:v>
                </c:pt>
                <c:pt idx="2440">
                  <c:v>0.231898429260654</c:v>
                </c:pt>
                <c:pt idx="2441">
                  <c:v>0.222638268022127</c:v>
                </c:pt>
                <c:pt idx="2442">
                  <c:v>0.235851253104058</c:v>
                </c:pt>
                <c:pt idx="2443">
                  <c:v>0.22691671826231</c:v>
                </c:pt>
                <c:pt idx="2444">
                  <c:v>0.223317896266411</c:v>
                </c:pt>
                <c:pt idx="2445">
                  <c:v>0.224486182641942</c:v>
                </c:pt>
                <c:pt idx="2446">
                  <c:v>0.227260255871795</c:v>
                </c:pt>
                <c:pt idx="2447">
                  <c:v>0.22980217997131</c:v>
                </c:pt>
                <c:pt idx="2448">
                  <c:v>0.223789729441322</c:v>
                </c:pt>
                <c:pt idx="2449">
                  <c:v>0.230654698169945</c:v>
                </c:pt>
                <c:pt idx="2450">
                  <c:v>0.227127495018513</c:v>
                </c:pt>
                <c:pt idx="2451">
                  <c:v>0.226217012321841</c:v>
                </c:pt>
                <c:pt idx="2452">
                  <c:v>0.227091300923296</c:v>
                </c:pt>
                <c:pt idx="2453">
                  <c:v>0.224657685621934</c:v>
                </c:pt>
                <c:pt idx="2454">
                  <c:v>0.228881511660628</c:v>
                </c:pt>
                <c:pt idx="2455">
                  <c:v>0.228995560056434</c:v>
                </c:pt>
                <c:pt idx="2456">
                  <c:v>0.236651931545111</c:v>
                </c:pt>
                <c:pt idx="2457">
                  <c:v>0.223147603783423</c:v>
                </c:pt>
                <c:pt idx="2458">
                  <c:v>0.238863666214507</c:v>
                </c:pt>
                <c:pt idx="2459">
                  <c:v>0.230174840498902</c:v>
                </c:pt>
                <c:pt idx="2460">
                  <c:v>0.231496766425848</c:v>
                </c:pt>
                <c:pt idx="2461">
                  <c:v>0.227230479022481</c:v>
                </c:pt>
                <c:pt idx="2462">
                  <c:v>0.241704294904309</c:v>
                </c:pt>
                <c:pt idx="2463">
                  <c:v>0.232033866859755</c:v>
                </c:pt>
                <c:pt idx="2464">
                  <c:v>0.224158264478637</c:v>
                </c:pt>
                <c:pt idx="2465">
                  <c:v>0.247026439659928</c:v>
                </c:pt>
                <c:pt idx="2466">
                  <c:v>0.225317010974287</c:v>
                </c:pt>
                <c:pt idx="2467">
                  <c:v>0.224772973629816</c:v>
                </c:pt>
                <c:pt idx="2468">
                  <c:v>0.228933950447623</c:v>
                </c:pt>
                <c:pt idx="2469">
                  <c:v>0.221523055888789</c:v>
                </c:pt>
                <c:pt idx="2470">
                  <c:v>0.226161898123628</c:v>
                </c:pt>
                <c:pt idx="2471">
                  <c:v>0.223395801725847</c:v>
                </c:pt>
                <c:pt idx="2472">
                  <c:v>0.224069516822155</c:v>
                </c:pt>
                <c:pt idx="2473">
                  <c:v>0.223395767201504</c:v>
                </c:pt>
                <c:pt idx="2474">
                  <c:v>0.227140389699996</c:v>
                </c:pt>
                <c:pt idx="2475">
                  <c:v>0.222694394470548</c:v>
                </c:pt>
                <c:pt idx="2476">
                  <c:v>0.226142156869085</c:v>
                </c:pt>
                <c:pt idx="2477">
                  <c:v>0.22236176424027</c:v>
                </c:pt>
                <c:pt idx="2478">
                  <c:v>0.245760748187605</c:v>
                </c:pt>
                <c:pt idx="2479">
                  <c:v>0.227285785656112</c:v>
                </c:pt>
                <c:pt idx="2480">
                  <c:v>0.223562197333368</c:v>
                </c:pt>
                <c:pt idx="2481">
                  <c:v>0.224803171295139</c:v>
                </c:pt>
                <c:pt idx="2482">
                  <c:v>0.224996635517647</c:v>
                </c:pt>
                <c:pt idx="2483">
                  <c:v>0.23659507678999</c:v>
                </c:pt>
                <c:pt idx="2484">
                  <c:v>0.234328012576397</c:v>
                </c:pt>
                <c:pt idx="2485">
                  <c:v>0.223583456914797</c:v>
                </c:pt>
                <c:pt idx="2486">
                  <c:v>0.230572625824172</c:v>
                </c:pt>
                <c:pt idx="2487">
                  <c:v>0.232562451865902</c:v>
                </c:pt>
                <c:pt idx="2488">
                  <c:v>0.230909310149921</c:v>
                </c:pt>
                <c:pt idx="2489">
                  <c:v>0.225566829640632</c:v>
                </c:pt>
                <c:pt idx="2490">
                  <c:v>0.22394902714788</c:v>
                </c:pt>
                <c:pt idx="2491">
                  <c:v>0.225210297835321</c:v>
                </c:pt>
                <c:pt idx="2492">
                  <c:v>0.225853695663558</c:v>
                </c:pt>
                <c:pt idx="2493">
                  <c:v>0.225033165940617</c:v>
                </c:pt>
                <c:pt idx="2494">
                  <c:v>0.226760466177726</c:v>
                </c:pt>
                <c:pt idx="2495">
                  <c:v>0.226704382334209</c:v>
                </c:pt>
                <c:pt idx="2496">
                  <c:v>0.229767629580912</c:v>
                </c:pt>
                <c:pt idx="2497">
                  <c:v>0.227298409460664</c:v>
                </c:pt>
                <c:pt idx="2498">
                  <c:v>0.227073588241835</c:v>
                </c:pt>
                <c:pt idx="2499">
                  <c:v>0.222353315041632</c:v>
                </c:pt>
                <c:pt idx="2500">
                  <c:v>0.230544866069093</c:v>
                </c:pt>
                <c:pt idx="2501">
                  <c:v>0.239357203113439</c:v>
                </c:pt>
                <c:pt idx="2502">
                  <c:v>0.227280238285041</c:v>
                </c:pt>
                <c:pt idx="2503">
                  <c:v>0.226072205067204</c:v>
                </c:pt>
                <c:pt idx="2504">
                  <c:v>0.249103664115639</c:v>
                </c:pt>
                <c:pt idx="2505">
                  <c:v>0.222687098080991</c:v>
                </c:pt>
                <c:pt idx="2506">
                  <c:v>0.221344140902569</c:v>
                </c:pt>
                <c:pt idx="2507">
                  <c:v>0.228043066048608</c:v>
                </c:pt>
                <c:pt idx="2508">
                  <c:v>0.230333645009691</c:v>
                </c:pt>
                <c:pt idx="2509">
                  <c:v>0.227106994310146</c:v>
                </c:pt>
                <c:pt idx="2510">
                  <c:v>0.232493202667442</c:v>
                </c:pt>
                <c:pt idx="2511">
                  <c:v>0.229764174368275</c:v>
                </c:pt>
                <c:pt idx="2512">
                  <c:v>0.222454720060968</c:v>
                </c:pt>
                <c:pt idx="2513">
                  <c:v>0.224674464305219</c:v>
                </c:pt>
                <c:pt idx="2514">
                  <c:v>0.231014338114068</c:v>
                </c:pt>
                <c:pt idx="2515">
                  <c:v>0.242897457839408</c:v>
                </c:pt>
                <c:pt idx="2516">
                  <c:v>0.226111905611225</c:v>
                </c:pt>
                <c:pt idx="2517">
                  <c:v>0.229204705808963</c:v>
                </c:pt>
                <c:pt idx="2518">
                  <c:v>0.224720998394954</c:v>
                </c:pt>
                <c:pt idx="2519">
                  <c:v>0.228420496405117</c:v>
                </c:pt>
                <c:pt idx="2520">
                  <c:v>0.227123590579463</c:v>
                </c:pt>
                <c:pt idx="2521">
                  <c:v>0.226011263142136</c:v>
                </c:pt>
                <c:pt idx="2522">
                  <c:v>0.222730974889112</c:v>
                </c:pt>
                <c:pt idx="2523">
                  <c:v>0.241570445977512</c:v>
                </c:pt>
                <c:pt idx="2524">
                  <c:v>0.243175059698499</c:v>
                </c:pt>
                <c:pt idx="2525">
                  <c:v>0.236272087557293</c:v>
                </c:pt>
                <c:pt idx="2526">
                  <c:v>0.224547445773906</c:v>
                </c:pt>
                <c:pt idx="2527">
                  <c:v>0.222772375026142</c:v>
                </c:pt>
                <c:pt idx="2528">
                  <c:v>0.227325657960913</c:v>
                </c:pt>
                <c:pt idx="2529">
                  <c:v>0.22655985951783</c:v>
                </c:pt>
                <c:pt idx="2530">
                  <c:v>0.23641348889606</c:v>
                </c:pt>
                <c:pt idx="2531">
                  <c:v>0.224188922993112</c:v>
                </c:pt>
                <c:pt idx="2532">
                  <c:v>0.242457979632564</c:v>
                </c:pt>
                <c:pt idx="2533">
                  <c:v>0.232934296225763</c:v>
                </c:pt>
                <c:pt idx="2534">
                  <c:v>0.229217888853257</c:v>
                </c:pt>
                <c:pt idx="2535">
                  <c:v>0.223207068800136</c:v>
                </c:pt>
                <c:pt idx="2536">
                  <c:v>0.224413221844876</c:v>
                </c:pt>
                <c:pt idx="2537">
                  <c:v>0.237206401034782</c:v>
                </c:pt>
                <c:pt idx="2538">
                  <c:v>0.230145214807666</c:v>
                </c:pt>
                <c:pt idx="2539">
                  <c:v>0.227690299135179</c:v>
                </c:pt>
                <c:pt idx="2540">
                  <c:v>0.225267373914496</c:v>
                </c:pt>
                <c:pt idx="2541">
                  <c:v>0.224967471227924</c:v>
                </c:pt>
                <c:pt idx="2542">
                  <c:v>0.224268398347</c:v>
                </c:pt>
                <c:pt idx="2543">
                  <c:v>0.224081333617021</c:v>
                </c:pt>
                <c:pt idx="2544">
                  <c:v>0.233760203940893</c:v>
                </c:pt>
                <c:pt idx="2545">
                  <c:v>0.242298001134593</c:v>
                </c:pt>
                <c:pt idx="2546">
                  <c:v>0.246665156722851</c:v>
                </c:pt>
                <c:pt idx="2547">
                  <c:v>0.227615295197088</c:v>
                </c:pt>
                <c:pt idx="2548">
                  <c:v>0.235922458366522</c:v>
                </c:pt>
                <c:pt idx="2549">
                  <c:v>0.233416238287469</c:v>
                </c:pt>
                <c:pt idx="2550">
                  <c:v>0.230873383411532</c:v>
                </c:pt>
                <c:pt idx="2551">
                  <c:v>0.225785180081397</c:v>
                </c:pt>
                <c:pt idx="2552">
                  <c:v>0.225430853752414</c:v>
                </c:pt>
                <c:pt idx="2553">
                  <c:v>0.223237528629509</c:v>
                </c:pt>
                <c:pt idx="2554">
                  <c:v>0.223686675722065</c:v>
                </c:pt>
                <c:pt idx="2555">
                  <c:v>0.233011153250323</c:v>
                </c:pt>
                <c:pt idx="2556">
                  <c:v>0.223276242381115</c:v>
                </c:pt>
                <c:pt idx="2557">
                  <c:v>0.228890523928176</c:v>
                </c:pt>
                <c:pt idx="2558">
                  <c:v>0.228091784305499</c:v>
                </c:pt>
                <c:pt idx="2559">
                  <c:v>0.228437895590718</c:v>
                </c:pt>
                <c:pt idx="2560">
                  <c:v>0.223264159693862</c:v>
                </c:pt>
                <c:pt idx="2561">
                  <c:v>0.227618303409131</c:v>
                </c:pt>
                <c:pt idx="2562">
                  <c:v>0.222438383577493</c:v>
                </c:pt>
                <c:pt idx="2563">
                  <c:v>0.223813536659616</c:v>
                </c:pt>
                <c:pt idx="2564">
                  <c:v>0.235096430919964</c:v>
                </c:pt>
                <c:pt idx="2565">
                  <c:v>0.224704804809758</c:v>
                </c:pt>
                <c:pt idx="2566">
                  <c:v>0.233598785346728</c:v>
                </c:pt>
                <c:pt idx="2567">
                  <c:v>0.225077920532941</c:v>
                </c:pt>
                <c:pt idx="2568">
                  <c:v>0.249200736226568</c:v>
                </c:pt>
                <c:pt idx="2569">
                  <c:v>0.225432078022116</c:v>
                </c:pt>
                <c:pt idx="2570">
                  <c:v>0.24008491728259</c:v>
                </c:pt>
                <c:pt idx="2571">
                  <c:v>0.231235317709945</c:v>
                </c:pt>
                <c:pt idx="2572">
                  <c:v>0.235933520576725</c:v>
                </c:pt>
                <c:pt idx="2573">
                  <c:v>0.224196199783412</c:v>
                </c:pt>
                <c:pt idx="2574">
                  <c:v>0.243516613822502</c:v>
                </c:pt>
                <c:pt idx="2575">
                  <c:v>0.234347214828739</c:v>
                </c:pt>
                <c:pt idx="2576">
                  <c:v>0.223244347972589</c:v>
                </c:pt>
                <c:pt idx="2577">
                  <c:v>0.244950718985029</c:v>
                </c:pt>
                <c:pt idx="2578">
                  <c:v>0.240551961357828</c:v>
                </c:pt>
                <c:pt idx="2579">
                  <c:v>0.236979288929125</c:v>
                </c:pt>
                <c:pt idx="2580">
                  <c:v>0.225012413288153</c:v>
                </c:pt>
                <c:pt idx="2581">
                  <c:v>0.230699413318099</c:v>
                </c:pt>
                <c:pt idx="2582">
                  <c:v>0.236423725391896</c:v>
                </c:pt>
                <c:pt idx="2583">
                  <c:v>0.22378673182098</c:v>
                </c:pt>
                <c:pt idx="2584">
                  <c:v>0.234339413308855</c:v>
                </c:pt>
                <c:pt idx="2585">
                  <c:v>0.224841847171001</c:v>
                </c:pt>
                <c:pt idx="2586">
                  <c:v>0.221850468803981</c:v>
                </c:pt>
                <c:pt idx="2587">
                  <c:v>0.240021581212636</c:v>
                </c:pt>
                <c:pt idx="2588">
                  <c:v>0.225777773003776</c:v>
                </c:pt>
                <c:pt idx="2589">
                  <c:v>0.229522892287743</c:v>
                </c:pt>
                <c:pt idx="2590">
                  <c:v>0.228507722535738</c:v>
                </c:pt>
                <c:pt idx="2591">
                  <c:v>0.228768292979692</c:v>
                </c:pt>
                <c:pt idx="2592">
                  <c:v>0.233283174669317</c:v>
                </c:pt>
                <c:pt idx="2593">
                  <c:v>0.228098960051933</c:v>
                </c:pt>
                <c:pt idx="2594">
                  <c:v>0.224076709468439</c:v>
                </c:pt>
                <c:pt idx="2595">
                  <c:v>0.229212293221059</c:v>
                </c:pt>
                <c:pt idx="2596">
                  <c:v>0.241865987798422</c:v>
                </c:pt>
                <c:pt idx="2597">
                  <c:v>0.233595441138937</c:v>
                </c:pt>
                <c:pt idx="2598">
                  <c:v>0.225767841246428</c:v>
                </c:pt>
                <c:pt idx="2599">
                  <c:v>0.229398147679666</c:v>
                </c:pt>
                <c:pt idx="2600">
                  <c:v>0.250783388148052</c:v>
                </c:pt>
                <c:pt idx="2601">
                  <c:v>0.22245949309155</c:v>
                </c:pt>
                <c:pt idx="2602">
                  <c:v>0.227644318319199</c:v>
                </c:pt>
                <c:pt idx="2603">
                  <c:v>0.242346975776084</c:v>
                </c:pt>
                <c:pt idx="2604">
                  <c:v>0.235848160702643</c:v>
                </c:pt>
                <c:pt idx="2605">
                  <c:v>0.228832397888119</c:v>
                </c:pt>
                <c:pt idx="2606">
                  <c:v>0.223736167954308</c:v>
                </c:pt>
                <c:pt idx="2607">
                  <c:v>0.229681041142574</c:v>
                </c:pt>
                <c:pt idx="2608">
                  <c:v>0.231593424761623</c:v>
                </c:pt>
                <c:pt idx="2609">
                  <c:v>0.23098215808406</c:v>
                </c:pt>
                <c:pt idx="2610">
                  <c:v>0.230948468842339</c:v>
                </c:pt>
                <c:pt idx="2611">
                  <c:v>0.221385350133635</c:v>
                </c:pt>
                <c:pt idx="2612">
                  <c:v>0.226677050719551</c:v>
                </c:pt>
                <c:pt idx="2613">
                  <c:v>0.223699753626417</c:v>
                </c:pt>
                <c:pt idx="2614">
                  <c:v>0.241558477206339</c:v>
                </c:pt>
                <c:pt idx="2615">
                  <c:v>0.227807539077308</c:v>
                </c:pt>
                <c:pt idx="2616">
                  <c:v>0.233850143286647</c:v>
                </c:pt>
                <c:pt idx="2617">
                  <c:v>0.227017319668629</c:v>
                </c:pt>
                <c:pt idx="2618">
                  <c:v>0.225169452483976</c:v>
                </c:pt>
                <c:pt idx="2619">
                  <c:v>0.223937700200594</c:v>
                </c:pt>
                <c:pt idx="2620">
                  <c:v>0.239366858966053</c:v>
                </c:pt>
                <c:pt idx="2621">
                  <c:v>0.227285735657983</c:v>
                </c:pt>
                <c:pt idx="2622">
                  <c:v>0.230868702261963</c:v>
                </c:pt>
                <c:pt idx="2623">
                  <c:v>0.252191876058575</c:v>
                </c:pt>
                <c:pt idx="2624">
                  <c:v>0.225535355138816</c:v>
                </c:pt>
                <c:pt idx="2625">
                  <c:v>0.226993782090797</c:v>
                </c:pt>
                <c:pt idx="2626">
                  <c:v>0.227434770025957</c:v>
                </c:pt>
                <c:pt idx="2627">
                  <c:v>0.229980976612516</c:v>
                </c:pt>
                <c:pt idx="2628">
                  <c:v>0.240985159283409</c:v>
                </c:pt>
                <c:pt idx="2629">
                  <c:v>0.225483351876937</c:v>
                </c:pt>
                <c:pt idx="2630">
                  <c:v>0.237582740988612</c:v>
                </c:pt>
                <c:pt idx="2631">
                  <c:v>0.22977522773794</c:v>
                </c:pt>
                <c:pt idx="2632">
                  <c:v>0.224282971300131</c:v>
                </c:pt>
                <c:pt idx="2633">
                  <c:v>0.224644469766928</c:v>
                </c:pt>
                <c:pt idx="2634">
                  <c:v>0.237574004959218</c:v>
                </c:pt>
                <c:pt idx="2635">
                  <c:v>0.222211699485615</c:v>
                </c:pt>
                <c:pt idx="2636">
                  <c:v>0.231030999826522</c:v>
                </c:pt>
                <c:pt idx="2637">
                  <c:v>0.230042089130913</c:v>
                </c:pt>
                <c:pt idx="2638">
                  <c:v>0.247580815248984</c:v>
                </c:pt>
                <c:pt idx="2639">
                  <c:v>0.235165930510753</c:v>
                </c:pt>
                <c:pt idx="2640">
                  <c:v>0.227491285092289</c:v>
                </c:pt>
                <c:pt idx="2641">
                  <c:v>0.242408834127525</c:v>
                </c:pt>
                <c:pt idx="2642">
                  <c:v>0.226156643650332</c:v>
                </c:pt>
                <c:pt idx="2643">
                  <c:v>0.237172139260002</c:v>
                </c:pt>
                <c:pt idx="2644">
                  <c:v>0.223227892491103</c:v>
                </c:pt>
                <c:pt idx="2645">
                  <c:v>0.237068627893702</c:v>
                </c:pt>
                <c:pt idx="2646">
                  <c:v>0.22780636741991</c:v>
                </c:pt>
                <c:pt idx="2647">
                  <c:v>0.22959930016994</c:v>
                </c:pt>
                <c:pt idx="2648">
                  <c:v>0.227770043636172</c:v>
                </c:pt>
                <c:pt idx="2649">
                  <c:v>0.228116841488747</c:v>
                </c:pt>
                <c:pt idx="2650">
                  <c:v>0.221450215454234</c:v>
                </c:pt>
                <c:pt idx="2651">
                  <c:v>0.241115721452923</c:v>
                </c:pt>
                <c:pt idx="2652">
                  <c:v>0.228777418861891</c:v>
                </c:pt>
                <c:pt idx="2653">
                  <c:v>0.243225044895983</c:v>
                </c:pt>
                <c:pt idx="2654">
                  <c:v>0.236772202331437</c:v>
                </c:pt>
                <c:pt idx="2655">
                  <c:v>0.243967283170538</c:v>
                </c:pt>
                <c:pt idx="2656">
                  <c:v>0.232461275049924</c:v>
                </c:pt>
                <c:pt idx="2657">
                  <c:v>0.22638831792586</c:v>
                </c:pt>
                <c:pt idx="2658">
                  <c:v>0.228751090968353</c:v>
                </c:pt>
                <c:pt idx="2659">
                  <c:v>0.225998192145738</c:v>
                </c:pt>
                <c:pt idx="2660">
                  <c:v>0.235145198184865</c:v>
                </c:pt>
                <c:pt idx="2661">
                  <c:v>0.234899840932609</c:v>
                </c:pt>
                <c:pt idx="2662">
                  <c:v>0.224552079069905</c:v>
                </c:pt>
                <c:pt idx="2663">
                  <c:v>0.225340651841373</c:v>
                </c:pt>
                <c:pt idx="2664">
                  <c:v>0.227118093530571</c:v>
                </c:pt>
                <c:pt idx="2665">
                  <c:v>0.228199249086337</c:v>
                </c:pt>
                <c:pt idx="2666">
                  <c:v>0.222146272185316</c:v>
                </c:pt>
                <c:pt idx="2667">
                  <c:v>0.225905004047788</c:v>
                </c:pt>
                <c:pt idx="2668">
                  <c:v>0.226304508217346</c:v>
                </c:pt>
                <c:pt idx="2669">
                  <c:v>0.236613976569712</c:v>
                </c:pt>
                <c:pt idx="2670">
                  <c:v>0.223361934449321</c:v>
                </c:pt>
                <c:pt idx="2671">
                  <c:v>0.235181158708757</c:v>
                </c:pt>
                <c:pt idx="2672">
                  <c:v>0.227667275504021</c:v>
                </c:pt>
                <c:pt idx="2673">
                  <c:v>0.224161766678068</c:v>
                </c:pt>
                <c:pt idx="2674">
                  <c:v>0.223528711259982</c:v>
                </c:pt>
                <c:pt idx="2675">
                  <c:v>0.231638146124953</c:v>
                </c:pt>
                <c:pt idx="2676">
                  <c:v>0.228859558120841</c:v>
                </c:pt>
                <c:pt idx="2677">
                  <c:v>0.224090715787049</c:v>
                </c:pt>
                <c:pt idx="2678">
                  <c:v>0.221907903580978</c:v>
                </c:pt>
                <c:pt idx="2679">
                  <c:v>0.22470205823411</c:v>
                </c:pt>
                <c:pt idx="2680">
                  <c:v>0.22679734788274</c:v>
                </c:pt>
                <c:pt idx="2681">
                  <c:v>0.225605977462907</c:v>
                </c:pt>
                <c:pt idx="2682">
                  <c:v>0.225206343146436</c:v>
                </c:pt>
                <c:pt idx="2683">
                  <c:v>0.226834148072421</c:v>
                </c:pt>
                <c:pt idx="2684">
                  <c:v>0.224528155731774</c:v>
                </c:pt>
                <c:pt idx="2685">
                  <c:v>0.224878376524893</c:v>
                </c:pt>
                <c:pt idx="2686">
                  <c:v>0.227773320050188</c:v>
                </c:pt>
                <c:pt idx="2687">
                  <c:v>0.23724137423961</c:v>
                </c:pt>
                <c:pt idx="2688">
                  <c:v>0.221388317523268</c:v>
                </c:pt>
                <c:pt idx="2689">
                  <c:v>0.229522562723288</c:v>
                </c:pt>
                <c:pt idx="2690">
                  <c:v>0.228575216307751</c:v>
                </c:pt>
                <c:pt idx="2691">
                  <c:v>0.227787730250709</c:v>
                </c:pt>
                <c:pt idx="2692">
                  <c:v>0.225584781630601</c:v>
                </c:pt>
                <c:pt idx="2693">
                  <c:v>0.224319320952586</c:v>
                </c:pt>
                <c:pt idx="2694">
                  <c:v>0.235437438596</c:v>
                </c:pt>
                <c:pt idx="2695">
                  <c:v>0.22843277048192</c:v>
                </c:pt>
                <c:pt idx="2696">
                  <c:v>0.241376661144466</c:v>
                </c:pt>
                <c:pt idx="2697">
                  <c:v>0.231010536800079</c:v>
                </c:pt>
                <c:pt idx="2698">
                  <c:v>0.232059080226812</c:v>
                </c:pt>
                <c:pt idx="2699">
                  <c:v>0.233996078772623</c:v>
                </c:pt>
                <c:pt idx="2700">
                  <c:v>0.227360450601947</c:v>
                </c:pt>
                <c:pt idx="2701">
                  <c:v>0.241119976996671</c:v>
                </c:pt>
                <c:pt idx="2702">
                  <c:v>0.235295188745789</c:v>
                </c:pt>
                <c:pt idx="2703">
                  <c:v>0.2238693255688</c:v>
                </c:pt>
                <c:pt idx="2704">
                  <c:v>0.224018972826381</c:v>
                </c:pt>
                <c:pt idx="2705">
                  <c:v>0.233223699195844</c:v>
                </c:pt>
                <c:pt idx="2706">
                  <c:v>0.23385623905174</c:v>
                </c:pt>
                <c:pt idx="2707">
                  <c:v>0.223749191503424</c:v>
                </c:pt>
                <c:pt idx="2708">
                  <c:v>0.22157418849152</c:v>
                </c:pt>
                <c:pt idx="2709">
                  <c:v>0.226500071696509</c:v>
                </c:pt>
                <c:pt idx="2710">
                  <c:v>0.226310024778447</c:v>
                </c:pt>
                <c:pt idx="2711">
                  <c:v>0.232610743382172</c:v>
                </c:pt>
                <c:pt idx="2712">
                  <c:v>0.232144755749389</c:v>
                </c:pt>
                <c:pt idx="2713">
                  <c:v>0.232264287443045</c:v>
                </c:pt>
                <c:pt idx="2714">
                  <c:v>0.226944780292032</c:v>
                </c:pt>
                <c:pt idx="2715">
                  <c:v>0.246844415165385</c:v>
                </c:pt>
                <c:pt idx="2716">
                  <c:v>0.228216233589303</c:v>
                </c:pt>
                <c:pt idx="2717">
                  <c:v>0.22446595991887</c:v>
                </c:pt>
                <c:pt idx="2718">
                  <c:v>0.222883629406953</c:v>
                </c:pt>
                <c:pt idx="2719">
                  <c:v>0.230121510018209</c:v>
                </c:pt>
                <c:pt idx="2720">
                  <c:v>0.22141608109277</c:v>
                </c:pt>
                <c:pt idx="2721">
                  <c:v>0.224659295252238</c:v>
                </c:pt>
                <c:pt idx="2722">
                  <c:v>0.240601981766479</c:v>
                </c:pt>
                <c:pt idx="2723">
                  <c:v>0.236513829617621</c:v>
                </c:pt>
                <c:pt idx="2724">
                  <c:v>0.226145570413454</c:v>
                </c:pt>
                <c:pt idx="2725">
                  <c:v>0.232126676671242</c:v>
                </c:pt>
                <c:pt idx="2726">
                  <c:v>0.235130090122152</c:v>
                </c:pt>
                <c:pt idx="2727">
                  <c:v>0.2443707848977</c:v>
                </c:pt>
                <c:pt idx="2728">
                  <c:v>0.223550381329299</c:v>
                </c:pt>
                <c:pt idx="2729">
                  <c:v>0.223297030494739</c:v>
                </c:pt>
                <c:pt idx="2730">
                  <c:v>0.222707964973582</c:v>
                </c:pt>
                <c:pt idx="2731">
                  <c:v>0.230398443656943</c:v>
                </c:pt>
                <c:pt idx="2732">
                  <c:v>0.223254352159106</c:v>
                </c:pt>
                <c:pt idx="2733">
                  <c:v>0.23890984041244</c:v>
                </c:pt>
                <c:pt idx="2734">
                  <c:v>0.222587410424436</c:v>
                </c:pt>
                <c:pt idx="2735">
                  <c:v>0.223903444556062</c:v>
                </c:pt>
                <c:pt idx="2736">
                  <c:v>0.22287308800289</c:v>
                </c:pt>
                <c:pt idx="2737">
                  <c:v>0.221858835530286</c:v>
                </c:pt>
                <c:pt idx="2738">
                  <c:v>0.22884548586929</c:v>
                </c:pt>
                <c:pt idx="2739">
                  <c:v>0.231284680250957</c:v>
                </c:pt>
                <c:pt idx="2740">
                  <c:v>0.225156853778333</c:v>
                </c:pt>
                <c:pt idx="2741">
                  <c:v>0.22227644064385</c:v>
                </c:pt>
                <c:pt idx="2742">
                  <c:v>0.227780930035576</c:v>
                </c:pt>
                <c:pt idx="2743">
                  <c:v>0.22314081685996</c:v>
                </c:pt>
                <c:pt idx="2744">
                  <c:v>0.226457257682623</c:v>
                </c:pt>
                <c:pt idx="2745">
                  <c:v>0.228586347636295</c:v>
                </c:pt>
                <c:pt idx="2746">
                  <c:v>0.224383831901184</c:v>
                </c:pt>
                <c:pt idx="2747">
                  <c:v>0.221400737843907</c:v>
                </c:pt>
                <c:pt idx="2748">
                  <c:v>0.231268836896944</c:v>
                </c:pt>
                <c:pt idx="2749">
                  <c:v>0.229226613357193</c:v>
                </c:pt>
                <c:pt idx="2750">
                  <c:v>0.229858118842587</c:v>
                </c:pt>
                <c:pt idx="2751">
                  <c:v>0.226609374078312</c:v>
                </c:pt>
                <c:pt idx="2752">
                  <c:v>0.235377714261605</c:v>
                </c:pt>
                <c:pt idx="2753">
                  <c:v>0.223242892468722</c:v>
                </c:pt>
                <c:pt idx="2754">
                  <c:v>0.224069446572934</c:v>
                </c:pt>
                <c:pt idx="2755">
                  <c:v>0.242861684428028</c:v>
                </c:pt>
                <c:pt idx="2756">
                  <c:v>0.226731144163024</c:v>
                </c:pt>
                <c:pt idx="2757">
                  <c:v>0.2416055599183</c:v>
                </c:pt>
                <c:pt idx="2758">
                  <c:v>0.228237702438153</c:v>
                </c:pt>
                <c:pt idx="2759">
                  <c:v>0.228437160548001</c:v>
                </c:pt>
                <c:pt idx="2760">
                  <c:v>0.233983380606032</c:v>
                </c:pt>
                <c:pt idx="2761">
                  <c:v>0.232529055569101</c:v>
                </c:pt>
                <c:pt idx="2762">
                  <c:v>0.225098871539193</c:v>
                </c:pt>
                <c:pt idx="2763">
                  <c:v>0.230435334030077</c:v>
                </c:pt>
                <c:pt idx="2764">
                  <c:v>0.244334529114649</c:v>
                </c:pt>
                <c:pt idx="2765">
                  <c:v>0.22441793854061</c:v>
                </c:pt>
                <c:pt idx="2766">
                  <c:v>0.242132670577957</c:v>
                </c:pt>
                <c:pt idx="2767">
                  <c:v>0.233759042165116</c:v>
                </c:pt>
                <c:pt idx="2768">
                  <c:v>0.237169512807038</c:v>
                </c:pt>
                <c:pt idx="2769">
                  <c:v>0.228629036888959</c:v>
                </c:pt>
                <c:pt idx="2770">
                  <c:v>0.226472395824491</c:v>
                </c:pt>
                <c:pt idx="2771">
                  <c:v>0.223711033945594</c:v>
                </c:pt>
                <c:pt idx="2772">
                  <c:v>0.225653395357282</c:v>
                </c:pt>
                <c:pt idx="2773">
                  <c:v>0.226280725824435</c:v>
                </c:pt>
                <c:pt idx="2774">
                  <c:v>0.23322867540237</c:v>
                </c:pt>
                <c:pt idx="2775">
                  <c:v>0.224098699896661</c:v>
                </c:pt>
                <c:pt idx="2776">
                  <c:v>0.223746787411408</c:v>
                </c:pt>
                <c:pt idx="2777">
                  <c:v>0.227524447846794</c:v>
                </c:pt>
                <c:pt idx="2778">
                  <c:v>0.225493697146441</c:v>
                </c:pt>
                <c:pt idx="2779">
                  <c:v>0.228294248468422</c:v>
                </c:pt>
                <c:pt idx="2780">
                  <c:v>0.225039299414273</c:v>
                </c:pt>
                <c:pt idx="2781">
                  <c:v>0.23121204334767</c:v>
                </c:pt>
                <c:pt idx="2782">
                  <c:v>0.221341555120867</c:v>
                </c:pt>
                <c:pt idx="2783">
                  <c:v>0.230376831363088</c:v>
                </c:pt>
                <c:pt idx="2784">
                  <c:v>0.224733873274257</c:v>
                </c:pt>
                <c:pt idx="2785">
                  <c:v>0.22842282060871</c:v>
                </c:pt>
                <c:pt idx="2786">
                  <c:v>0.247053546582017</c:v>
                </c:pt>
                <c:pt idx="2787">
                  <c:v>0.23460136104582</c:v>
                </c:pt>
                <c:pt idx="2788">
                  <c:v>0.228426786591531</c:v>
                </c:pt>
                <c:pt idx="2789">
                  <c:v>0.226465212593682</c:v>
                </c:pt>
                <c:pt idx="2790">
                  <c:v>0.233752254337195</c:v>
                </c:pt>
                <c:pt idx="2791">
                  <c:v>0.224500590057701</c:v>
                </c:pt>
                <c:pt idx="2792">
                  <c:v>0.234657008825778</c:v>
                </c:pt>
                <c:pt idx="2793">
                  <c:v>0.22763473024379</c:v>
                </c:pt>
                <c:pt idx="2794">
                  <c:v>0.228136962357273</c:v>
                </c:pt>
                <c:pt idx="2795">
                  <c:v>0.231079300252707</c:v>
                </c:pt>
                <c:pt idx="2796">
                  <c:v>0.223572700066683</c:v>
                </c:pt>
                <c:pt idx="2797">
                  <c:v>0.239987349405034</c:v>
                </c:pt>
                <c:pt idx="2798">
                  <c:v>0.225265283011431</c:v>
                </c:pt>
                <c:pt idx="2799">
                  <c:v>0.231687434204636</c:v>
                </c:pt>
                <c:pt idx="2800">
                  <c:v>0.230188840556448</c:v>
                </c:pt>
                <c:pt idx="2801">
                  <c:v>0.225206798172065</c:v>
                </c:pt>
                <c:pt idx="2802">
                  <c:v>0.245765743582495</c:v>
                </c:pt>
                <c:pt idx="2803">
                  <c:v>0.232202102842858</c:v>
                </c:pt>
                <c:pt idx="2804">
                  <c:v>0.22820137804018</c:v>
                </c:pt>
                <c:pt idx="2805">
                  <c:v>0.241029087439377</c:v>
                </c:pt>
                <c:pt idx="2806">
                  <c:v>0.222059603778051</c:v>
                </c:pt>
                <c:pt idx="2807">
                  <c:v>0.228416831680343</c:v>
                </c:pt>
                <c:pt idx="2808">
                  <c:v>0.23229281237445</c:v>
                </c:pt>
                <c:pt idx="2809">
                  <c:v>0.224584213379755</c:v>
                </c:pt>
                <c:pt idx="2810">
                  <c:v>0.236484709924352</c:v>
                </c:pt>
                <c:pt idx="2811">
                  <c:v>0.227532269146649</c:v>
                </c:pt>
                <c:pt idx="2812">
                  <c:v>0.22668276456545</c:v>
                </c:pt>
                <c:pt idx="2813">
                  <c:v>0.223695288507196</c:v>
                </c:pt>
                <c:pt idx="2814">
                  <c:v>0.224368999589555</c:v>
                </c:pt>
                <c:pt idx="2815">
                  <c:v>0.226427280499603</c:v>
                </c:pt>
                <c:pt idx="2816">
                  <c:v>0.238453224282815</c:v>
                </c:pt>
                <c:pt idx="2817">
                  <c:v>0.237783154366402</c:v>
                </c:pt>
                <c:pt idx="2818">
                  <c:v>0.22166853337892</c:v>
                </c:pt>
                <c:pt idx="2819">
                  <c:v>0.232849565985751</c:v>
                </c:pt>
                <c:pt idx="2820">
                  <c:v>0.226354940108444</c:v>
                </c:pt>
                <c:pt idx="2821">
                  <c:v>0.228190619273298</c:v>
                </c:pt>
                <c:pt idx="2822">
                  <c:v>0.22693787363964</c:v>
                </c:pt>
                <c:pt idx="2823">
                  <c:v>0.24184160093832</c:v>
                </c:pt>
                <c:pt idx="2824">
                  <c:v>0.229745434953607</c:v>
                </c:pt>
                <c:pt idx="2825">
                  <c:v>0.222920647828625</c:v>
                </c:pt>
                <c:pt idx="2826">
                  <c:v>0.232252244216014</c:v>
                </c:pt>
                <c:pt idx="2827">
                  <c:v>0.235935411743863</c:v>
                </c:pt>
                <c:pt idx="2828">
                  <c:v>0.228446910885593</c:v>
                </c:pt>
                <c:pt idx="2829">
                  <c:v>0.222820778371018</c:v>
                </c:pt>
                <c:pt idx="2830">
                  <c:v>0.221414613674168</c:v>
                </c:pt>
                <c:pt idx="2831">
                  <c:v>0.223761717918882</c:v>
                </c:pt>
                <c:pt idx="2832">
                  <c:v>0.224828562912615</c:v>
                </c:pt>
                <c:pt idx="2833">
                  <c:v>0.227857705327316</c:v>
                </c:pt>
                <c:pt idx="2834">
                  <c:v>0.237047080916073</c:v>
                </c:pt>
                <c:pt idx="2835">
                  <c:v>0.222308897883192</c:v>
                </c:pt>
                <c:pt idx="2836">
                  <c:v>0.223484329360173</c:v>
                </c:pt>
                <c:pt idx="2837">
                  <c:v>0.22686443754637</c:v>
                </c:pt>
                <c:pt idx="2838">
                  <c:v>0.233992959152256</c:v>
                </c:pt>
                <c:pt idx="2839">
                  <c:v>0.223807467416827</c:v>
                </c:pt>
                <c:pt idx="2840">
                  <c:v>0.226018402450072</c:v>
                </c:pt>
                <c:pt idx="2841">
                  <c:v>0.230502018911896</c:v>
                </c:pt>
                <c:pt idx="2842">
                  <c:v>0.230216386384342</c:v>
                </c:pt>
                <c:pt idx="2843">
                  <c:v>0.231793401102256</c:v>
                </c:pt>
                <c:pt idx="2844">
                  <c:v>0.228176286035149</c:v>
                </c:pt>
                <c:pt idx="2845">
                  <c:v>0.233690787950739</c:v>
                </c:pt>
                <c:pt idx="2846">
                  <c:v>0.230225820110299</c:v>
                </c:pt>
                <c:pt idx="2847">
                  <c:v>0.227159196490231</c:v>
                </c:pt>
                <c:pt idx="2848">
                  <c:v>0.230369802276673</c:v>
                </c:pt>
                <c:pt idx="2849">
                  <c:v>0.227207495711971</c:v>
                </c:pt>
                <c:pt idx="2850">
                  <c:v>0.221727288459403</c:v>
                </c:pt>
                <c:pt idx="2851">
                  <c:v>0.228480338655542</c:v>
                </c:pt>
                <c:pt idx="2852">
                  <c:v>0.240704452333916</c:v>
                </c:pt>
                <c:pt idx="2853">
                  <c:v>0.224047684248298</c:v>
                </c:pt>
                <c:pt idx="2854">
                  <c:v>0.227764507554153</c:v>
                </c:pt>
                <c:pt idx="2855">
                  <c:v>0.230271375889378</c:v>
                </c:pt>
                <c:pt idx="2856">
                  <c:v>0.224141242772852</c:v>
                </c:pt>
                <c:pt idx="2857">
                  <c:v>0.224312567629958</c:v>
                </c:pt>
                <c:pt idx="2858">
                  <c:v>0.222100264135746</c:v>
                </c:pt>
                <c:pt idx="2859">
                  <c:v>0.232291821956833</c:v>
                </c:pt>
                <c:pt idx="2860">
                  <c:v>0.234746189762274</c:v>
                </c:pt>
                <c:pt idx="2861">
                  <c:v>0.232016679245044</c:v>
                </c:pt>
                <c:pt idx="2862">
                  <c:v>0.225050326701569</c:v>
                </c:pt>
                <c:pt idx="2863">
                  <c:v>0.230997038955826</c:v>
                </c:pt>
                <c:pt idx="2864">
                  <c:v>0.231936719941612</c:v>
                </c:pt>
                <c:pt idx="2865">
                  <c:v>0.225673663795322</c:v>
                </c:pt>
                <c:pt idx="2866">
                  <c:v>0.227311283422647</c:v>
                </c:pt>
                <c:pt idx="2867">
                  <c:v>0.228599307166339</c:v>
                </c:pt>
                <c:pt idx="2868">
                  <c:v>0.227811118409308</c:v>
                </c:pt>
                <c:pt idx="2869">
                  <c:v>0.234931421553041</c:v>
                </c:pt>
                <c:pt idx="2870">
                  <c:v>0.232603333427487</c:v>
                </c:pt>
                <c:pt idx="2871">
                  <c:v>0.243256163686729</c:v>
                </c:pt>
                <c:pt idx="2872">
                  <c:v>0.229731792536939</c:v>
                </c:pt>
                <c:pt idx="2873">
                  <c:v>0.240757869194045</c:v>
                </c:pt>
                <c:pt idx="2874">
                  <c:v>0.23306625535204</c:v>
                </c:pt>
                <c:pt idx="2875">
                  <c:v>0.226510164574046</c:v>
                </c:pt>
                <c:pt idx="2876">
                  <c:v>0.232984207021532</c:v>
                </c:pt>
                <c:pt idx="2877">
                  <c:v>0.229433834029829</c:v>
                </c:pt>
                <c:pt idx="2878">
                  <c:v>0.234023764338238</c:v>
                </c:pt>
                <c:pt idx="2879">
                  <c:v>0.228412982251841</c:v>
                </c:pt>
                <c:pt idx="2880">
                  <c:v>0.223272456853989</c:v>
                </c:pt>
                <c:pt idx="2881">
                  <c:v>0.231192024810675</c:v>
                </c:pt>
                <c:pt idx="2882">
                  <c:v>0.227877506013454</c:v>
                </c:pt>
                <c:pt idx="2883">
                  <c:v>0.229574482832148</c:v>
                </c:pt>
                <c:pt idx="2884">
                  <c:v>0.232556725250749</c:v>
                </c:pt>
                <c:pt idx="2885">
                  <c:v>0.227337356224533</c:v>
                </c:pt>
                <c:pt idx="2886">
                  <c:v>0.237657718148326</c:v>
                </c:pt>
                <c:pt idx="2887">
                  <c:v>0.224972408804016</c:v>
                </c:pt>
                <c:pt idx="2888">
                  <c:v>0.227171828466239</c:v>
                </c:pt>
                <c:pt idx="2889">
                  <c:v>0.23766393253025</c:v>
                </c:pt>
                <c:pt idx="2890">
                  <c:v>0.221320923301099</c:v>
                </c:pt>
                <c:pt idx="2891">
                  <c:v>0.22703871365543</c:v>
                </c:pt>
                <c:pt idx="2892">
                  <c:v>0.236849776947416</c:v>
                </c:pt>
                <c:pt idx="2893">
                  <c:v>0.244401142118571</c:v>
                </c:pt>
                <c:pt idx="2894">
                  <c:v>0.23459114842093</c:v>
                </c:pt>
                <c:pt idx="2895">
                  <c:v>0.225004684458928</c:v>
                </c:pt>
                <c:pt idx="2896">
                  <c:v>0.229452254097387</c:v>
                </c:pt>
                <c:pt idx="2897">
                  <c:v>0.227107033329191</c:v>
                </c:pt>
                <c:pt idx="2898">
                  <c:v>0.229621900533587</c:v>
                </c:pt>
                <c:pt idx="2899">
                  <c:v>0.225321933017326</c:v>
                </c:pt>
                <c:pt idx="2900">
                  <c:v>0.225700252382447</c:v>
                </c:pt>
                <c:pt idx="2901">
                  <c:v>0.23052933312658</c:v>
                </c:pt>
                <c:pt idx="2902">
                  <c:v>0.22649580134276</c:v>
                </c:pt>
                <c:pt idx="2903">
                  <c:v>0.226980920641571</c:v>
                </c:pt>
                <c:pt idx="2904">
                  <c:v>0.226350685545737</c:v>
                </c:pt>
                <c:pt idx="2905">
                  <c:v>0.223981136462939</c:v>
                </c:pt>
                <c:pt idx="2906">
                  <c:v>0.223460827127585</c:v>
                </c:pt>
                <c:pt idx="2907">
                  <c:v>0.221730072349595</c:v>
                </c:pt>
                <c:pt idx="2908">
                  <c:v>0.22494557571638</c:v>
                </c:pt>
                <c:pt idx="2909">
                  <c:v>0.229570764880787</c:v>
                </c:pt>
                <c:pt idx="2910">
                  <c:v>0.236635691389003</c:v>
                </c:pt>
                <c:pt idx="2911">
                  <c:v>0.230527178563288</c:v>
                </c:pt>
                <c:pt idx="2912">
                  <c:v>0.223032920436252</c:v>
                </c:pt>
                <c:pt idx="2913">
                  <c:v>0.225919965516631</c:v>
                </c:pt>
                <c:pt idx="2914">
                  <c:v>0.224842262239109</c:v>
                </c:pt>
                <c:pt idx="2915">
                  <c:v>0.223409373179797</c:v>
                </c:pt>
                <c:pt idx="2916">
                  <c:v>0.239861982792833</c:v>
                </c:pt>
                <c:pt idx="2917">
                  <c:v>0.227463370029253</c:v>
                </c:pt>
                <c:pt idx="2918">
                  <c:v>0.226316342133032</c:v>
                </c:pt>
                <c:pt idx="2919">
                  <c:v>0.227183940398746</c:v>
                </c:pt>
                <c:pt idx="2920">
                  <c:v>0.242166058582494</c:v>
                </c:pt>
                <c:pt idx="2921">
                  <c:v>0.222804710690866</c:v>
                </c:pt>
                <c:pt idx="2922">
                  <c:v>0.221347713209368</c:v>
                </c:pt>
                <c:pt idx="2923">
                  <c:v>0.229479735490128</c:v>
                </c:pt>
                <c:pt idx="2924">
                  <c:v>0.2283398799636</c:v>
                </c:pt>
                <c:pt idx="2925">
                  <c:v>0.241129632387575</c:v>
                </c:pt>
                <c:pt idx="2926">
                  <c:v>0.22409293066648</c:v>
                </c:pt>
                <c:pt idx="2927">
                  <c:v>0.222630694773203</c:v>
                </c:pt>
                <c:pt idx="2928">
                  <c:v>0.22519531779404</c:v>
                </c:pt>
                <c:pt idx="2929">
                  <c:v>0.222857873684253</c:v>
                </c:pt>
                <c:pt idx="2930">
                  <c:v>0.225141199041947</c:v>
                </c:pt>
                <c:pt idx="2931">
                  <c:v>0.223418352933721</c:v>
                </c:pt>
                <c:pt idx="2932">
                  <c:v>0.236447173502238</c:v>
                </c:pt>
                <c:pt idx="2933">
                  <c:v>0.229488011679266</c:v>
                </c:pt>
                <c:pt idx="2934">
                  <c:v>0.231022146437031</c:v>
                </c:pt>
                <c:pt idx="2935">
                  <c:v>0.223781355824022</c:v>
                </c:pt>
                <c:pt idx="2936">
                  <c:v>0.237242907204162</c:v>
                </c:pt>
                <c:pt idx="2937">
                  <c:v>0.23127308332073</c:v>
                </c:pt>
                <c:pt idx="2938">
                  <c:v>0.226496770009966</c:v>
                </c:pt>
                <c:pt idx="2939">
                  <c:v>0.229086840228129</c:v>
                </c:pt>
                <c:pt idx="2940">
                  <c:v>0.245075617987484</c:v>
                </c:pt>
                <c:pt idx="2941">
                  <c:v>0.241766859046708</c:v>
                </c:pt>
                <c:pt idx="2942">
                  <c:v>0.222850912571218</c:v>
                </c:pt>
                <c:pt idx="2943">
                  <c:v>0.22900330384147</c:v>
                </c:pt>
                <c:pt idx="2944">
                  <c:v>0.226379930638033</c:v>
                </c:pt>
                <c:pt idx="2945">
                  <c:v>0.241094170163754</c:v>
                </c:pt>
                <c:pt idx="2946">
                  <c:v>0.221423548430347</c:v>
                </c:pt>
                <c:pt idx="2947">
                  <c:v>0.223779498697362</c:v>
                </c:pt>
                <c:pt idx="2948">
                  <c:v>0.243095964125451</c:v>
                </c:pt>
                <c:pt idx="2949">
                  <c:v>0.226798679535009</c:v>
                </c:pt>
                <c:pt idx="2950">
                  <c:v>0.22688179926469</c:v>
                </c:pt>
                <c:pt idx="2951">
                  <c:v>0.22554563297794</c:v>
                </c:pt>
                <c:pt idx="2952">
                  <c:v>0.233760510765073</c:v>
                </c:pt>
                <c:pt idx="2953">
                  <c:v>0.226688937191684</c:v>
                </c:pt>
                <c:pt idx="2954">
                  <c:v>0.227938569798737</c:v>
                </c:pt>
                <c:pt idx="2955">
                  <c:v>0.223866825069308</c:v>
                </c:pt>
                <c:pt idx="2956">
                  <c:v>0.226542209685606</c:v>
                </c:pt>
                <c:pt idx="2957">
                  <c:v>0.243275219983197</c:v>
                </c:pt>
                <c:pt idx="2958">
                  <c:v>0.226092715385292</c:v>
                </c:pt>
                <c:pt idx="2959">
                  <c:v>0.226548733029748</c:v>
                </c:pt>
                <c:pt idx="2960">
                  <c:v>0.227417484739107</c:v>
                </c:pt>
                <c:pt idx="2961">
                  <c:v>0.232896474132396</c:v>
                </c:pt>
                <c:pt idx="2962">
                  <c:v>0.2258817116634</c:v>
                </c:pt>
                <c:pt idx="2963">
                  <c:v>0.241753319452494</c:v>
                </c:pt>
                <c:pt idx="2964">
                  <c:v>0.227355547285511</c:v>
                </c:pt>
                <c:pt idx="2965">
                  <c:v>0.236005157868676</c:v>
                </c:pt>
                <c:pt idx="2966">
                  <c:v>0.241501260410478</c:v>
                </c:pt>
                <c:pt idx="2967">
                  <c:v>0.225198132653552</c:v>
                </c:pt>
                <c:pt idx="2968">
                  <c:v>0.226590138045987</c:v>
                </c:pt>
                <c:pt idx="2969">
                  <c:v>0.227957513174148</c:v>
                </c:pt>
                <c:pt idx="2970">
                  <c:v>0.227093879630349</c:v>
                </c:pt>
                <c:pt idx="2971">
                  <c:v>0.231257363453636</c:v>
                </c:pt>
                <c:pt idx="2972">
                  <c:v>0.229081879710555</c:v>
                </c:pt>
                <c:pt idx="2973">
                  <c:v>0.228264127156882</c:v>
                </c:pt>
                <c:pt idx="2974">
                  <c:v>0.229222825383267</c:v>
                </c:pt>
                <c:pt idx="2975">
                  <c:v>0.226807088788311</c:v>
                </c:pt>
                <c:pt idx="2976">
                  <c:v>0.239690477252555</c:v>
                </c:pt>
                <c:pt idx="2977">
                  <c:v>0.233825705376453</c:v>
                </c:pt>
                <c:pt idx="2978">
                  <c:v>0.228229068096375</c:v>
                </c:pt>
                <c:pt idx="2979">
                  <c:v>0.222748618679805</c:v>
                </c:pt>
                <c:pt idx="2980">
                  <c:v>0.229219312903821</c:v>
                </c:pt>
                <c:pt idx="2981">
                  <c:v>0.223309120387706</c:v>
                </c:pt>
                <c:pt idx="2982">
                  <c:v>0.227877388986639</c:v>
                </c:pt>
                <c:pt idx="2983">
                  <c:v>0.226541117354669</c:v>
                </c:pt>
                <c:pt idx="2984">
                  <c:v>0.243177743946814</c:v>
                </c:pt>
                <c:pt idx="2985">
                  <c:v>0.232892615439965</c:v>
                </c:pt>
                <c:pt idx="2986">
                  <c:v>0.228668060978936</c:v>
                </c:pt>
                <c:pt idx="2987">
                  <c:v>0.228583657588645</c:v>
                </c:pt>
                <c:pt idx="2988">
                  <c:v>0.227293293297939</c:v>
                </c:pt>
                <c:pt idx="2989">
                  <c:v>0.227063400981621</c:v>
                </c:pt>
                <c:pt idx="2990">
                  <c:v>0.237220064383534</c:v>
                </c:pt>
                <c:pt idx="2991">
                  <c:v>0.23884427042451</c:v>
                </c:pt>
                <c:pt idx="2992">
                  <c:v>0.231955887817384</c:v>
                </c:pt>
                <c:pt idx="2993">
                  <c:v>0.232109041356106</c:v>
                </c:pt>
                <c:pt idx="2994">
                  <c:v>0.228661535186903</c:v>
                </c:pt>
                <c:pt idx="2995">
                  <c:v>0.226211231123948</c:v>
                </c:pt>
                <c:pt idx="2996">
                  <c:v>0.224706628797292</c:v>
                </c:pt>
                <c:pt idx="2997">
                  <c:v>0.231821057902779</c:v>
                </c:pt>
                <c:pt idx="2998">
                  <c:v>0.230175458965482</c:v>
                </c:pt>
                <c:pt idx="2999">
                  <c:v>0.223121472420314</c:v>
                </c:pt>
                <c:pt idx="3000">
                  <c:v>0.223674484751863</c:v>
                </c:pt>
                <c:pt idx="3001">
                  <c:v>0.228280120028728</c:v>
                </c:pt>
                <c:pt idx="3002">
                  <c:v>0.230861186486151</c:v>
                </c:pt>
                <c:pt idx="3003">
                  <c:v>0.222840702307425</c:v>
                </c:pt>
                <c:pt idx="3004">
                  <c:v>0.234411644098865</c:v>
                </c:pt>
                <c:pt idx="3005">
                  <c:v>0.246874277118009</c:v>
                </c:pt>
                <c:pt idx="3006">
                  <c:v>0.242118784378344</c:v>
                </c:pt>
                <c:pt idx="3007">
                  <c:v>0.223448749524443</c:v>
                </c:pt>
                <c:pt idx="3008">
                  <c:v>0.225499096288393</c:v>
                </c:pt>
                <c:pt idx="3009">
                  <c:v>0.239930210091011</c:v>
                </c:pt>
                <c:pt idx="3010">
                  <c:v>0.23085101339508</c:v>
                </c:pt>
                <c:pt idx="3011">
                  <c:v>0.223788779578504</c:v>
                </c:pt>
                <c:pt idx="3012">
                  <c:v>0.239115625134536</c:v>
                </c:pt>
                <c:pt idx="3013">
                  <c:v>0.227224017754947</c:v>
                </c:pt>
                <c:pt idx="3014">
                  <c:v>0.221643871467978</c:v>
                </c:pt>
                <c:pt idx="3015">
                  <c:v>0.242159725088517</c:v>
                </c:pt>
                <c:pt idx="3016">
                  <c:v>0.223759277700129</c:v>
                </c:pt>
                <c:pt idx="3017">
                  <c:v>0.221320026385499</c:v>
                </c:pt>
                <c:pt idx="3018">
                  <c:v>0.229826393572254</c:v>
                </c:pt>
                <c:pt idx="3019">
                  <c:v>0.225867870779358</c:v>
                </c:pt>
                <c:pt idx="3020">
                  <c:v>0.225583831858736</c:v>
                </c:pt>
                <c:pt idx="3021">
                  <c:v>0.227939723996978</c:v>
                </c:pt>
                <c:pt idx="3022">
                  <c:v>0.23387100342389</c:v>
                </c:pt>
                <c:pt idx="3023">
                  <c:v>0.238458993705111</c:v>
                </c:pt>
                <c:pt idx="3024">
                  <c:v>0.227172045324388</c:v>
                </c:pt>
                <c:pt idx="3025">
                  <c:v>0.226650098562862</c:v>
                </c:pt>
                <c:pt idx="3026">
                  <c:v>0.221715710419892</c:v>
                </c:pt>
                <c:pt idx="3027">
                  <c:v>0.227816133283993</c:v>
                </c:pt>
                <c:pt idx="3028">
                  <c:v>0.225168221399745</c:v>
                </c:pt>
                <c:pt idx="3029">
                  <c:v>0.221676729250737</c:v>
                </c:pt>
                <c:pt idx="3030">
                  <c:v>0.224329273409774</c:v>
                </c:pt>
                <c:pt idx="3031">
                  <c:v>0.226127723707801</c:v>
                </c:pt>
                <c:pt idx="3032">
                  <c:v>0.236283807109816</c:v>
                </c:pt>
                <c:pt idx="3033">
                  <c:v>0.230960056488821</c:v>
                </c:pt>
                <c:pt idx="3034">
                  <c:v>0.233012656939596</c:v>
                </c:pt>
                <c:pt idx="3035">
                  <c:v>0.233700508003071</c:v>
                </c:pt>
                <c:pt idx="3036">
                  <c:v>0.236205736389107</c:v>
                </c:pt>
                <c:pt idx="3037">
                  <c:v>0.226155505635518</c:v>
                </c:pt>
                <c:pt idx="3038">
                  <c:v>0.230163634289138</c:v>
                </c:pt>
                <c:pt idx="3039">
                  <c:v>0.225789724954972</c:v>
                </c:pt>
                <c:pt idx="3040">
                  <c:v>0.223265293467942</c:v>
                </c:pt>
                <c:pt idx="3041">
                  <c:v>0.224422910474744</c:v>
                </c:pt>
                <c:pt idx="3042">
                  <c:v>0.229743798838584</c:v>
                </c:pt>
                <c:pt idx="3043">
                  <c:v>0.222364949318379</c:v>
                </c:pt>
                <c:pt idx="3044">
                  <c:v>0.226951336522196</c:v>
                </c:pt>
                <c:pt idx="3045">
                  <c:v>0.227054212499382</c:v>
                </c:pt>
                <c:pt idx="3046">
                  <c:v>0.227450888430131</c:v>
                </c:pt>
                <c:pt idx="3047">
                  <c:v>0.236732454884507</c:v>
                </c:pt>
                <c:pt idx="3048">
                  <c:v>0.223134467077736</c:v>
                </c:pt>
                <c:pt idx="3049">
                  <c:v>0.227370644164351</c:v>
                </c:pt>
                <c:pt idx="3050">
                  <c:v>0.226418005019971</c:v>
                </c:pt>
                <c:pt idx="3051">
                  <c:v>0.222978075869786</c:v>
                </c:pt>
                <c:pt idx="3052">
                  <c:v>0.223825371038944</c:v>
                </c:pt>
                <c:pt idx="3053">
                  <c:v>0.231725276986278</c:v>
                </c:pt>
                <c:pt idx="3054">
                  <c:v>0.225499482169896</c:v>
                </c:pt>
                <c:pt idx="3055">
                  <c:v>0.227555470462069</c:v>
                </c:pt>
                <c:pt idx="3056">
                  <c:v>0.226558566878639</c:v>
                </c:pt>
                <c:pt idx="3057">
                  <c:v>0.227787909833316</c:v>
                </c:pt>
                <c:pt idx="3058">
                  <c:v>0.224601451269798</c:v>
                </c:pt>
                <c:pt idx="3059">
                  <c:v>0.22803955843315</c:v>
                </c:pt>
                <c:pt idx="3060">
                  <c:v>0.22654266544233</c:v>
                </c:pt>
                <c:pt idx="3061">
                  <c:v>0.226651248885611</c:v>
                </c:pt>
                <c:pt idx="3062">
                  <c:v>0.225936052993981</c:v>
                </c:pt>
                <c:pt idx="3063">
                  <c:v>0.230033067106462</c:v>
                </c:pt>
                <c:pt idx="3064">
                  <c:v>0.225419644431383</c:v>
                </c:pt>
                <c:pt idx="3065">
                  <c:v>0.240352416618381</c:v>
                </c:pt>
                <c:pt idx="3066">
                  <c:v>0.227109394155905</c:v>
                </c:pt>
                <c:pt idx="3067">
                  <c:v>0.228029090344807</c:v>
                </c:pt>
                <c:pt idx="3068">
                  <c:v>0.221283600588832</c:v>
                </c:pt>
                <c:pt idx="3069">
                  <c:v>0.226787574874791</c:v>
                </c:pt>
                <c:pt idx="3070">
                  <c:v>0.228911812857193</c:v>
                </c:pt>
                <c:pt idx="3071">
                  <c:v>0.222281202924364</c:v>
                </c:pt>
                <c:pt idx="3072">
                  <c:v>0.230113243494923</c:v>
                </c:pt>
                <c:pt idx="3073">
                  <c:v>0.239335718463606</c:v>
                </c:pt>
                <c:pt idx="3074">
                  <c:v>0.228080053099806</c:v>
                </c:pt>
                <c:pt idx="3075">
                  <c:v>0.223797251273754</c:v>
                </c:pt>
                <c:pt idx="3076">
                  <c:v>0.230415730604991</c:v>
                </c:pt>
                <c:pt idx="3077">
                  <c:v>0.239064145741914</c:v>
                </c:pt>
                <c:pt idx="3078">
                  <c:v>0.226985984965944</c:v>
                </c:pt>
                <c:pt idx="3079">
                  <c:v>0.238817803734448</c:v>
                </c:pt>
                <c:pt idx="3080">
                  <c:v>0.231926757057069</c:v>
                </c:pt>
                <c:pt idx="3081">
                  <c:v>0.226304115718027</c:v>
                </c:pt>
                <c:pt idx="3082">
                  <c:v>0.225660842781921</c:v>
                </c:pt>
                <c:pt idx="3083">
                  <c:v>0.230859682326244</c:v>
                </c:pt>
                <c:pt idx="3084">
                  <c:v>0.233913571928104</c:v>
                </c:pt>
                <c:pt idx="3085">
                  <c:v>0.224241728308216</c:v>
                </c:pt>
                <c:pt idx="3086">
                  <c:v>0.221429098132543</c:v>
                </c:pt>
                <c:pt idx="3087">
                  <c:v>0.228354883096495</c:v>
                </c:pt>
                <c:pt idx="3088">
                  <c:v>0.221861511802196</c:v>
                </c:pt>
                <c:pt idx="3089">
                  <c:v>0.224453152593209</c:v>
                </c:pt>
                <c:pt idx="3090">
                  <c:v>0.231343607493001</c:v>
                </c:pt>
                <c:pt idx="3091">
                  <c:v>0.230324378899051</c:v>
                </c:pt>
                <c:pt idx="3092">
                  <c:v>0.233572468051279</c:v>
                </c:pt>
                <c:pt idx="3093">
                  <c:v>0.242272177298803</c:v>
                </c:pt>
                <c:pt idx="3094">
                  <c:v>0.224674150397319</c:v>
                </c:pt>
                <c:pt idx="3095">
                  <c:v>0.225984751601891</c:v>
                </c:pt>
                <c:pt idx="3096">
                  <c:v>0.225755608706348</c:v>
                </c:pt>
                <c:pt idx="3097">
                  <c:v>0.226302439799153</c:v>
                </c:pt>
                <c:pt idx="3098">
                  <c:v>0.225895173165991</c:v>
                </c:pt>
                <c:pt idx="3099">
                  <c:v>0.229224619665404</c:v>
                </c:pt>
                <c:pt idx="3100">
                  <c:v>0.234064609958206</c:v>
                </c:pt>
                <c:pt idx="3101">
                  <c:v>0.229932701433651</c:v>
                </c:pt>
                <c:pt idx="3102">
                  <c:v>0.234837547406783</c:v>
                </c:pt>
                <c:pt idx="3103">
                  <c:v>0.225201293403935</c:v>
                </c:pt>
                <c:pt idx="3104">
                  <c:v>0.223376031106949</c:v>
                </c:pt>
                <c:pt idx="3105">
                  <c:v>0.239447902625292</c:v>
                </c:pt>
                <c:pt idx="3106">
                  <c:v>0.227351007885717</c:v>
                </c:pt>
                <c:pt idx="3107">
                  <c:v>0.223994129656166</c:v>
                </c:pt>
                <c:pt idx="3108">
                  <c:v>0.237161777482096</c:v>
                </c:pt>
                <c:pt idx="3109">
                  <c:v>0.235817426171009</c:v>
                </c:pt>
                <c:pt idx="3110">
                  <c:v>0.226428437146814</c:v>
                </c:pt>
                <c:pt idx="3111">
                  <c:v>0.223637855297833</c:v>
                </c:pt>
                <c:pt idx="3112">
                  <c:v>0.22930793500172</c:v>
                </c:pt>
                <c:pt idx="3113">
                  <c:v>0.22862829489387</c:v>
                </c:pt>
                <c:pt idx="3114">
                  <c:v>0.228112576899589</c:v>
                </c:pt>
                <c:pt idx="3115">
                  <c:v>0.224774182616386</c:v>
                </c:pt>
                <c:pt idx="3116">
                  <c:v>0.229645502283017</c:v>
                </c:pt>
                <c:pt idx="3117">
                  <c:v>0.233681643572622</c:v>
                </c:pt>
                <c:pt idx="3118">
                  <c:v>0.240354433470279</c:v>
                </c:pt>
                <c:pt idx="3119">
                  <c:v>0.237247931326274</c:v>
                </c:pt>
                <c:pt idx="3120">
                  <c:v>0.22902893747263</c:v>
                </c:pt>
                <c:pt idx="3121">
                  <c:v>0.232373518312503</c:v>
                </c:pt>
                <c:pt idx="3122">
                  <c:v>0.229407044650566</c:v>
                </c:pt>
                <c:pt idx="3123">
                  <c:v>0.228772845557108</c:v>
                </c:pt>
                <c:pt idx="3124">
                  <c:v>0.247596018379524</c:v>
                </c:pt>
                <c:pt idx="3125">
                  <c:v>0.233212323357111</c:v>
                </c:pt>
                <c:pt idx="3126">
                  <c:v>0.227365942950015</c:v>
                </c:pt>
                <c:pt idx="3127">
                  <c:v>0.230434802947308</c:v>
                </c:pt>
                <c:pt idx="3128">
                  <c:v>0.230220340235746</c:v>
                </c:pt>
                <c:pt idx="3129">
                  <c:v>0.231246916408923</c:v>
                </c:pt>
                <c:pt idx="3130">
                  <c:v>0.227352620427586</c:v>
                </c:pt>
                <c:pt idx="3131">
                  <c:v>0.227353473493913</c:v>
                </c:pt>
                <c:pt idx="3132">
                  <c:v>0.242785761880493</c:v>
                </c:pt>
                <c:pt idx="3133">
                  <c:v>0.243094489982303</c:v>
                </c:pt>
                <c:pt idx="3134">
                  <c:v>0.223603548784577</c:v>
                </c:pt>
                <c:pt idx="3135">
                  <c:v>0.226055568351743</c:v>
                </c:pt>
                <c:pt idx="3136">
                  <c:v>0.233200208464692</c:v>
                </c:pt>
                <c:pt idx="3137">
                  <c:v>0.228485333420571</c:v>
                </c:pt>
                <c:pt idx="3138">
                  <c:v>0.22542744943903</c:v>
                </c:pt>
                <c:pt idx="3139">
                  <c:v>0.231536063041705</c:v>
                </c:pt>
                <c:pt idx="3140">
                  <c:v>0.223384349541062</c:v>
                </c:pt>
                <c:pt idx="3141">
                  <c:v>0.232298968093327</c:v>
                </c:pt>
                <c:pt idx="3142">
                  <c:v>0.233591057394248</c:v>
                </c:pt>
                <c:pt idx="3143">
                  <c:v>0.227095273341372</c:v>
                </c:pt>
                <c:pt idx="3144">
                  <c:v>0.222389174043749</c:v>
                </c:pt>
                <c:pt idx="3145">
                  <c:v>0.23282321796943</c:v>
                </c:pt>
                <c:pt idx="3146">
                  <c:v>0.246954607016044</c:v>
                </c:pt>
                <c:pt idx="3147">
                  <c:v>0.2350707019275</c:v>
                </c:pt>
                <c:pt idx="3148">
                  <c:v>0.23089087998531</c:v>
                </c:pt>
                <c:pt idx="3149">
                  <c:v>0.222547730692944</c:v>
                </c:pt>
                <c:pt idx="3150">
                  <c:v>0.229122523063919</c:v>
                </c:pt>
                <c:pt idx="3151">
                  <c:v>0.237429490061613</c:v>
                </c:pt>
                <c:pt idx="3152">
                  <c:v>0.231934710834561</c:v>
                </c:pt>
                <c:pt idx="3153">
                  <c:v>0.234468169148371</c:v>
                </c:pt>
                <c:pt idx="3154">
                  <c:v>0.225286052396417</c:v>
                </c:pt>
                <c:pt idx="3155">
                  <c:v>0.226054574111034</c:v>
                </c:pt>
                <c:pt idx="3156">
                  <c:v>0.224667140174214</c:v>
                </c:pt>
                <c:pt idx="3157">
                  <c:v>0.228543399281328</c:v>
                </c:pt>
                <c:pt idx="3158">
                  <c:v>0.226011012076062</c:v>
                </c:pt>
                <c:pt idx="3159">
                  <c:v>0.224808887142571</c:v>
                </c:pt>
                <c:pt idx="3160">
                  <c:v>0.238121555663639</c:v>
                </c:pt>
                <c:pt idx="3161">
                  <c:v>0.226540005533499</c:v>
                </c:pt>
                <c:pt idx="3162">
                  <c:v>0.242583662067392</c:v>
                </c:pt>
                <c:pt idx="3163">
                  <c:v>0.230520903994198</c:v>
                </c:pt>
                <c:pt idx="3164">
                  <c:v>0.229016591173355</c:v>
                </c:pt>
                <c:pt idx="3165">
                  <c:v>0.226458072769311</c:v>
                </c:pt>
                <c:pt idx="3166">
                  <c:v>0.221509630681554</c:v>
                </c:pt>
                <c:pt idx="3167">
                  <c:v>0.226296225757538</c:v>
                </c:pt>
                <c:pt idx="3168">
                  <c:v>0.228607395541734</c:v>
                </c:pt>
                <c:pt idx="3169">
                  <c:v>0.223486045882057</c:v>
                </c:pt>
                <c:pt idx="3170">
                  <c:v>0.227765647129055</c:v>
                </c:pt>
                <c:pt idx="3171">
                  <c:v>0.226120362558027</c:v>
                </c:pt>
                <c:pt idx="3172">
                  <c:v>0.22885569134972</c:v>
                </c:pt>
                <c:pt idx="3173">
                  <c:v>0.227709337386784</c:v>
                </c:pt>
                <c:pt idx="3174">
                  <c:v>0.226873846233769</c:v>
                </c:pt>
                <c:pt idx="3175">
                  <c:v>0.232917096133111</c:v>
                </c:pt>
                <c:pt idx="3176">
                  <c:v>0.228331052731329</c:v>
                </c:pt>
                <c:pt idx="3177">
                  <c:v>0.223367692930969</c:v>
                </c:pt>
                <c:pt idx="3178">
                  <c:v>0.22815628433119</c:v>
                </c:pt>
                <c:pt idx="3179">
                  <c:v>0.221999029248829</c:v>
                </c:pt>
                <c:pt idx="3180">
                  <c:v>0.231053091879945</c:v>
                </c:pt>
                <c:pt idx="3181">
                  <c:v>0.225197375989998</c:v>
                </c:pt>
                <c:pt idx="3182">
                  <c:v>0.236511878859272</c:v>
                </c:pt>
                <c:pt idx="3183">
                  <c:v>0.223380756350451</c:v>
                </c:pt>
                <c:pt idx="3184">
                  <c:v>0.225389003249463</c:v>
                </c:pt>
                <c:pt idx="3185">
                  <c:v>0.221421383460019</c:v>
                </c:pt>
                <c:pt idx="3186">
                  <c:v>0.226295612556476</c:v>
                </c:pt>
                <c:pt idx="3187">
                  <c:v>0.239651978021693</c:v>
                </c:pt>
                <c:pt idx="3188">
                  <c:v>0.228284422945386</c:v>
                </c:pt>
                <c:pt idx="3189">
                  <c:v>0.224093436671443</c:v>
                </c:pt>
                <c:pt idx="3190">
                  <c:v>0.224218996041197</c:v>
                </c:pt>
                <c:pt idx="3191">
                  <c:v>0.238919933645793</c:v>
                </c:pt>
                <c:pt idx="3192">
                  <c:v>0.228900234422837</c:v>
                </c:pt>
                <c:pt idx="3193">
                  <c:v>0.231860606312098</c:v>
                </c:pt>
                <c:pt idx="3194">
                  <c:v>0.242790331002959</c:v>
                </c:pt>
                <c:pt idx="3195">
                  <c:v>0.221496685196378</c:v>
                </c:pt>
                <c:pt idx="3196">
                  <c:v>0.231522589094578</c:v>
                </c:pt>
                <c:pt idx="3197">
                  <c:v>0.237668092417787</c:v>
                </c:pt>
                <c:pt idx="3198">
                  <c:v>0.230223352082209</c:v>
                </c:pt>
                <c:pt idx="3199">
                  <c:v>0.225684080719364</c:v>
                </c:pt>
                <c:pt idx="3200">
                  <c:v>0.246058411127536</c:v>
                </c:pt>
                <c:pt idx="3201">
                  <c:v>0.241624086116263</c:v>
                </c:pt>
                <c:pt idx="3202">
                  <c:v>0.224338763790979</c:v>
                </c:pt>
                <c:pt idx="3203">
                  <c:v>0.226151129715944</c:v>
                </c:pt>
                <c:pt idx="3204">
                  <c:v>0.224058105273189</c:v>
                </c:pt>
                <c:pt idx="3205">
                  <c:v>0.225742142835451</c:v>
                </c:pt>
                <c:pt idx="3206">
                  <c:v>0.221752097781621</c:v>
                </c:pt>
                <c:pt idx="3207">
                  <c:v>0.241186590929573</c:v>
                </c:pt>
                <c:pt idx="3208">
                  <c:v>0.2277796482384</c:v>
                </c:pt>
                <c:pt idx="3209">
                  <c:v>0.221444540359985</c:v>
                </c:pt>
                <c:pt idx="3210">
                  <c:v>0.238945953888021</c:v>
                </c:pt>
                <c:pt idx="3211">
                  <c:v>0.22300648974838</c:v>
                </c:pt>
                <c:pt idx="3212">
                  <c:v>0.221443811113646</c:v>
                </c:pt>
                <c:pt idx="3213">
                  <c:v>0.24194401616887</c:v>
                </c:pt>
                <c:pt idx="3214">
                  <c:v>0.224904424391437</c:v>
                </c:pt>
                <c:pt idx="3215">
                  <c:v>0.226797190944278</c:v>
                </c:pt>
                <c:pt idx="3216">
                  <c:v>0.221938266644713</c:v>
                </c:pt>
                <c:pt idx="3217">
                  <c:v>0.229278853293997</c:v>
                </c:pt>
                <c:pt idx="3218">
                  <c:v>0.229346026688593</c:v>
                </c:pt>
                <c:pt idx="3219">
                  <c:v>0.23614977754385</c:v>
                </c:pt>
                <c:pt idx="3220">
                  <c:v>0.222536499657586</c:v>
                </c:pt>
                <c:pt idx="3221">
                  <c:v>0.244134944181704</c:v>
                </c:pt>
                <c:pt idx="3222">
                  <c:v>0.244668732036276</c:v>
                </c:pt>
                <c:pt idx="3223">
                  <c:v>0.224060754530661</c:v>
                </c:pt>
                <c:pt idx="3224">
                  <c:v>0.224081919553141</c:v>
                </c:pt>
                <c:pt idx="3225">
                  <c:v>0.232013744058972</c:v>
                </c:pt>
                <c:pt idx="3226">
                  <c:v>0.224785556057666</c:v>
                </c:pt>
                <c:pt idx="3227">
                  <c:v>0.245741153397562</c:v>
                </c:pt>
                <c:pt idx="3228">
                  <c:v>0.224716754781319</c:v>
                </c:pt>
                <c:pt idx="3229">
                  <c:v>0.232943796143933</c:v>
                </c:pt>
                <c:pt idx="3230">
                  <c:v>0.222643953648332</c:v>
                </c:pt>
                <c:pt idx="3231">
                  <c:v>0.222929039766612</c:v>
                </c:pt>
                <c:pt idx="3232">
                  <c:v>0.234240972939866</c:v>
                </c:pt>
                <c:pt idx="3233">
                  <c:v>0.226642658128092</c:v>
                </c:pt>
                <c:pt idx="3234">
                  <c:v>0.226752102564675</c:v>
                </c:pt>
                <c:pt idx="3235">
                  <c:v>0.234613493418235</c:v>
                </c:pt>
                <c:pt idx="3236">
                  <c:v>0.229358618749952</c:v>
                </c:pt>
                <c:pt idx="3237">
                  <c:v>0.222766271544989</c:v>
                </c:pt>
                <c:pt idx="3238">
                  <c:v>0.226324837130943</c:v>
                </c:pt>
                <c:pt idx="3239">
                  <c:v>0.232813820414535</c:v>
                </c:pt>
                <c:pt idx="3240">
                  <c:v>0.224281769824829</c:v>
                </c:pt>
                <c:pt idx="3241">
                  <c:v>0.225651411657574</c:v>
                </c:pt>
                <c:pt idx="3242">
                  <c:v>0.223078620047737</c:v>
                </c:pt>
                <c:pt idx="3243">
                  <c:v>0.241264795184488</c:v>
                </c:pt>
                <c:pt idx="3244">
                  <c:v>0.230052892880935</c:v>
                </c:pt>
                <c:pt idx="3245">
                  <c:v>0.230030448315816</c:v>
                </c:pt>
                <c:pt idx="3246">
                  <c:v>0.234945516120392</c:v>
                </c:pt>
                <c:pt idx="3247">
                  <c:v>0.241835203143223</c:v>
                </c:pt>
                <c:pt idx="3248">
                  <c:v>0.234106205477406</c:v>
                </c:pt>
                <c:pt idx="3249">
                  <c:v>0.236199365305834</c:v>
                </c:pt>
                <c:pt idx="3250">
                  <c:v>0.226403138567142</c:v>
                </c:pt>
                <c:pt idx="3251">
                  <c:v>0.222093514173434</c:v>
                </c:pt>
                <c:pt idx="3252">
                  <c:v>0.237735941989339</c:v>
                </c:pt>
                <c:pt idx="3253">
                  <c:v>0.230806817628473</c:v>
                </c:pt>
                <c:pt idx="3254">
                  <c:v>0.225990572094442</c:v>
                </c:pt>
                <c:pt idx="3255">
                  <c:v>0.235187373987563</c:v>
                </c:pt>
                <c:pt idx="3256">
                  <c:v>0.222152430078506</c:v>
                </c:pt>
                <c:pt idx="3257">
                  <c:v>0.225560086555595</c:v>
                </c:pt>
                <c:pt idx="3258">
                  <c:v>0.223417507481723</c:v>
                </c:pt>
                <c:pt idx="3259">
                  <c:v>0.222338789272453</c:v>
                </c:pt>
                <c:pt idx="3260">
                  <c:v>0.229657231226677</c:v>
                </c:pt>
                <c:pt idx="3261">
                  <c:v>0.223776340914768</c:v>
                </c:pt>
                <c:pt idx="3262">
                  <c:v>0.238556593577924</c:v>
                </c:pt>
                <c:pt idx="3263">
                  <c:v>0.244029454019414</c:v>
                </c:pt>
                <c:pt idx="3264">
                  <c:v>0.244257304065182</c:v>
                </c:pt>
                <c:pt idx="3265">
                  <c:v>0.22918037351033</c:v>
                </c:pt>
                <c:pt idx="3266">
                  <c:v>0.231982844026149</c:v>
                </c:pt>
                <c:pt idx="3267">
                  <c:v>0.235706046719144</c:v>
                </c:pt>
                <c:pt idx="3268">
                  <c:v>0.228698701294863</c:v>
                </c:pt>
                <c:pt idx="3269">
                  <c:v>0.228916711436028</c:v>
                </c:pt>
                <c:pt idx="3270">
                  <c:v>0.240092525017387</c:v>
                </c:pt>
                <c:pt idx="3271">
                  <c:v>0.227235276466375</c:v>
                </c:pt>
                <c:pt idx="3272">
                  <c:v>0.224427222560116</c:v>
                </c:pt>
                <c:pt idx="3273">
                  <c:v>0.231506624559789</c:v>
                </c:pt>
                <c:pt idx="3274">
                  <c:v>0.222224148756354</c:v>
                </c:pt>
                <c:pt idx="3275">
                  <c:v>0.223503162257301</c:v>
                </c:pt>
                <c:pt idx="3276">
                  <c:v>0.224986286477355</c:v>
                </c:pt>
                <c:pt idx="3277">
                  <c:v>0.224227782521294</c:v>
                </c:pt>
                <c:pt idx="3278">
                  <c:v>0.247222242632781</c:v>
                </c:pt>
                <c:pt idx="3279">
                  <c:v>0.23489284955269</c:v>
                </c:pt>
                <c:pt idx="3280">
                  <c:v>0.227494411547221</c:v>
                </c:pt>
                <c:pt idx="3281">
                  <c:v>0.22139737757084</c:v>
                </c:pt>
                <c:pt idx="3282">
                  <c:v>0.222691476647267</c:v>
                </c:pt>
                <c:pt idx="3283">
                  <c:v>0.230075041067218</c:v>
                </c:pt>
                <c:pt idx="3284">
                  <c:v>0.241804781228409</c:v>
                </c:pt>
                <c:pt idx="3285">
                  <c:v>0.224596606599973</c:v>
                </c:pt>
                <c:pt idx="3286">
                  <c:v>0.232713379731431</c:v>
                </c:pt>
                <c:pt idx="3287">
                  <c:v>0.230326920047289</c:v>
                </c:pt>
                <c:pt idx="3288">
                  <c:v>0.221464137336933</c:v>
                </c:pt>
                <c:pt idx="3289">
                  <c:v>0.23869372098951</c:v>
                </c:pt>
                <c:pt idx="3290">
                  <c:v>0.229942536477344</c:v>
                </c:pt>
                <c:pt idx="3291">
                  <c:v>0.235609965411744</c:v>
                </c:pt>
                <c:pt idx="3292">
                  <c:v>0.241899491044699</c:v>
                </c:pt>
                <c:pt idx="3293">
                  <c:v>0.225323991662063</c:v>
                </c:pt>
                <c:pt idx="3294">
                  <c:v>0.236132778632854</c:v>
                </c:pt>
                <c:pt idx="3295">
                  <c:v>0.228117548421511</c:v>
                </c:pt>
                <c:pt idx="3296">
                  <c:v>0.235839222907661</c:v>
                </c:pt>
                <c:pt idx="3297">
                  <c:v>0.239827338495338</c:v>
                </c:pt>
                <c:pt idx="3298">
                  <c:v>0.223332618635384</c:v>
                </c:pt>
                <c:pt idx="3299">
                  <c:v>0.230173116758616</c:v>
                </c:pt>
                <c:pt idx="3300">
                  <c:v>0.242110151065365</c:v>
                </c:pt>
                <c:pt idx="3301">
                  <c:v>0.229370743934438</c:v>
                </c:pt>
                <c:pt idx="3302">
                  <c:v>0.224817511816733</c:v>
                </c:pt>
                <c:pt idx="3303">
                  <c:v>0.245797014166316</c:v>
                </c:pt>
                <c:pt idx="3304">
                  <c:v>0.237990974683159</c:v>
                </c:pt>
                <c:pt idx="3305">
                  <c:v>0.223235445905992</c:v>
                </c:pt>
                <c:pt idx="3306">
                  <c:v>0.24088075268521</c:v>
                </c:pt>
                <c:pt idx="3307">
                  <c:v>0.224082907956596</c:v>
                </c:pt>
                <c:pt idx="3308">
                  <c:v>0.22245174363958</c:v>
                </c:pt>
                <c:pt idx="3309">
                  <c:v>0.22525786154898</c:v>
                </c:pt>
                <c:pt idx="3310">
                  <c:v>0.222547268385506</c:v>
                </c:pt>
                <c:pt idx="3311">
                  <c:v>0.244753061962342</c:v>
                </c:pt>
                <c:pt idx="3312">
                  <c:v>0.230106969966008</c:v>
                </c:pt>
                <c:pt idx="3313">
                  <c:v>0.230235894528398</c:v>
                </c:pt>
                <c:pt idx="3314">
                  <c:v>0.243644758818576</c:v>
                </c:pt>
                <c:pt idx="3315">
                  <c:v>0.22780575445677</c:v>
                </c:pt>
                <c:pt idx="3316">
                  <c:v>0.225688807898715</c:v>
                </c:pt>
                <c:pt idx="3317">
                  <c:v>0.223475900980594</c:v>
                </c:pt>
                <c:pt idx="3318">
                  <c:v>0.236720895544397</c:v>
                </c:pt>
                <c:pt idx="3319">
                  <c:v>0.225811896466535</c:v>
                </c:pt>
                <c:pt idx="3320">
                  <c:v>0.225797587628522</c:v>
                </c:pt>
                <c:pt idx="3321">
                  <c:v>0.225917734715047</c:v>
                </c:pt>
                <c:pt idx="3322">
                  <c:v>0.22377387492478</c:v>
                </c:pt>
                <c:pt idx="3323">
                  <c:v>0.245302503469299</c:v>
                </c:pt>
                <c:pt idx="3324">
                  <c:v>0.221367693409812</c:v>
                </c:pt>
                <c:pt idx="3325">
                  <c:v>0.236505553613357</c:v>
                </c:pt>
                <c:pt idx="3326">
                  <c:v>0.224073081102845</c:v>
                </c:pt>
                <c:pt idx="3327">
                  <c:v>0.227049286325034</c:v>
                </c:pt>
                <c:pt idx="3328">
                  <c:v>0.223900074583032</c:v>
                </c:pt>
                <c:pt idx="3329">
                  <c:v>0.234990223760593</c:v>
                </c:pt>
                <c:pt idx="3330">
                  <c:v>0.225259706848326</c:v>
                </c:pt>
                <c:pt idx="3331">
                  <c:v>0.223772528814889</c:v>
                </c:pt>
                <c:pt idx="3332">
                  <c:v>0.226450299466404</c:v>
                </c:pt>
                <c:pt idx="3333">
                  <c:v>0.230105360326231</c:v>
                </c:pt>
                <c:pt idx="3334">
                  <c:v>0.234814944197614</c:v>
                </c:pt>
                <c:pt idx="3335">
                  <c:v>0.221892794658152</c:v>
                </c:pt>
                <c:pt idx="3336">
                  <c:v>0.226750076114596</c:v>
                </c:pt>
                <c:pt idx="3337">
                  <c:v>0.227807579319271</c:v>
                </c:pt>
                <c:pt idx="3338">
                  <c:v>0.231652493547737</c:v>
                </c:pt>
                <c:pt idx="3339">
                  <c:v>0.224423173153491</c:v>
                </c:pt>
                <c:pt idx="3340">
                  <c:v>0.242852551089175</c:v>
                </c:pt>
                <c:pt idx="3341">
                  <c:v>0.2470699670448</c:v>
                </c:pt>
                <c:pt idx="3342">
                  <c:v>0.225718168214322</c:v>
                </c:pt>
                <c:pt idx="3343">
                  <c:v>0.227124592781577</c:v>
                </c:pt>
                <c:pt idx="3344">
                  <c:v>0.225977352467233</c:v>
                </c:pt>
                <c:pt idx="3345">
                  <c:v>0.233207594426122</c:v>
                </c:pt>
                <c:pt idx="3346">
                  <c:v>0.227967467588899</c:v>
                </c:pt>
                <c:pt idx="3347">
                  <c:v>0.236014881349242</c:v>
                </c:pt>
                <c:pt idx="3348">
                  <c:v>0.225356279137633</c:v>
                </c:pt>
                <c:pt idx="3349">
                  <c:v>0.243928232772875</c:v>
                </c:pt>
                <c:pt idx="3350">
                  <c:v>0.225022163945392</c:v>
                </c:pt>
                <c:pt idx="3351">
                  <c:v>0.227888002143943</c:v>
                </c:pt>
                <c:pt idx="3352">
                  <c:v>0.229680939786095</c:v>
                </c:pt>
                <c:pt idx="3353">
                  <c:v>0.226941453984028</c:v>
                </c:pt>
                <c:pt idx="3354">
                  <c:v>0.223185105088838</c:v>
                </c:pt>
                <c:pt idx="3355">
                  <c:v>0.226898999701294</c:v>
                </c:pt>
                <c:pt idx="3356">
                  <c:v>0.230871508906243</c:v>
                </c:pt>
                <c:pt idx="3357">
                  <c:v>0.224864824705406</c:v>
                </c:pt>
                <c:pt idx="3358">
                  <c:v>0.223378555154414</c:v>
                </c:pt>
                <c:pt idx="3359">
                  <c:v>0.231834788900569</c:v>
                </c:pt>
                <c:pt idx="3360">
                  <c:v>0.226408101536769</c:v>
                </c:pt>
                <c:pt idx="3361">
                  <c:v>0.225183782999286</c:v>
                </c:pt>
                <c:pt idx="3362">
                  <c:v>0.224783547445473</c:v>
                </c:pt>
                <c:pt idx="3363">
                  <c:v>0.225691644437766</c:v>
                </c:pt>
                <c:pt idx="3364">
                  <c:v>0.232515589741172</c:v>
                </c:pt>
                <c:pt idx="3365">
                  <c:v>0.230416753703854</c:v>
                </c:pt>
                <c:pt idx="3366">
                  <c:v>0.2377579559742</c:v>
                </c:pt>
                <c:pt idx="3367">
                  <c:v>0.229402904383696</c:v>
                </c:pt>
                <c:pt idx="3368">
                  <c:v>0.22209826153031</c:v>
                </c:pt>
                <c:pt idx="3369">
                  <c:v>0.223986061987643</c:v>
                </c:pt>
                <c:pt idx="3370">
                  <c:v>0.234384156469852</c:v>
                </c:pt>
                <c:pt idx="3371">
                  <c:v>0.221872476010341</c:v>
                </c:pt>
                <c:pt idx="3372">
                  <c:v>0.241008002133596</c:v>
                </c:pt>
                <c:pt idx="3373">
                  <c:v>0.222300432336927</c:v>
                </c:pt>
                <c:pt idx="3374">
                  <c:v>0.227362409088977</c:v>
                </c:pt>
                <c:pt idx="3375">
                  <c:v>0.224729086115087</c:v>
                </c:pt>
                <c:pt idx="3376">
                  <c:v>0.228846256970536</c:v>
                </c:pt>
                <c:pt idx="3377">
                  <c:v>0.233035019685581</c:v>
                </c:pt>
                <c:pt idx="3378">
                  <c:v>0.235114723101455</c:v>
                </c:pt>
                <c:pt idx="3379">
                  <c:v>0.225348303131427</c:v>
                </c:pt>
                <c:pt idx="3380">
                  <c:v>0.244063159109784</c:v>
                </c:pt>
                <c:pt idx="3381">
                  <c:v>0.230686121846133</c:v>
                </c:pt>
                <c:pt idx="3382">
                  <c:v>0.22523845748565</c:v>
                </c:pt>
                <c:pt idx="3383">
                  <c:v>0.232533198399684</c:v>
                </c:pt>
                <c:pt idx="3384">
                  <c:v>0.234942194439571</c:v>
                </c:pt>
                <c:pt idx="3385">
                  <c:v>0.223054569919024</c:v>
                </c:pt>
                <c:pt idx="3386">
                  <c:v>0.225367411439003</c:v>
                </c:pt>
                <c:pt idx="3387">
                  <c:v>0.224425700971609</c:v>
                </c:pt>
                <c:pt idx="3388">
                  <c:v>0.221370484317402</c:v>
                </c:pt>
                <c:pt idx="3389">
                  <c:v>0.228839923487124</c:v>
                </c:pt>
                <c:pt idx="3390">
                  <c:v>0.223522193791514</c:v>
                </c:pt>
                <c:pt idx="3391">
                  <c:v>0.22523498393949</c:v>
                </c:pt>
                <c:pt idx="3392">
                  <c:v>0.223700960691102</c:v>
                </c:pt>
                <c:pt idx="3393">
                  <c:v>0.225420251663136</c:v>
                </c:pt>
                <c:pt idx="3394">
                  <c:v>0.228476897761674</c:v>
                </c:pt>
                <c:pt idx="3395">
                  <c:v>0.230543347618276</c:v>
                </c:pt>
                <c:pt idx="3396">
                  <c:v>0.236447753348131</c:v>
                </c:pt>
                <c:pt idx="3397">
                  <c:v>0.2360611423459</c:v>
                </c:pt>
                <c:pt idx="3398">
                  <c:v>0.235841795514889</c:v>
                </c:pt>
                <c:pt idx="3399">
                  <c:v>0.222300492346159</c:v>
                </c:pt>
                <c:pt idx="3400">
                  <c:v>0.221956568431645</c:v>
                </c:pt>
                <c:pt idx="3401">
                  <c:v>0.222860618397571</c:v>
                </c:pt>
                <c:pt idx="3402">
                  <c:v>0.227390626092993</c:v>
                </c:pt>
                <c:pt idx="3403">
                  <c:v>0.22924661955795</c:v>
                </c:pt>
                <c:pt idx="3404">
                  <c:v>0.23946427176349</c:v>
                </c:pt>
                <c:pt idx="3405">
                  <c:v>0.2248226222386</c:v>
                </c:pt>
                <c:pt idx="3406">
                  <c:v>0.225230569589818</c:v>
                </c:pt>
                <c:pt idx="3407">
                  <c:v>0.228552303781493</c:v>
                </c:pt>
                <c:pt idx="3408">
                  <c:v>0.242918034276761</c:v>
                </c:pt>
                <c:pt idx="3409">
                  <c:v>0.22208391902885</c:v>
                </c:pt>
                <c:pt idx="3410">
                  <c:v>0.228109742159155</c:v>
                </c:pt>
                <c:pt idx="3411">
                  <c:v>0.229559040570241</c:v>
                </c:pt>
                <c:pt idx="3412">
                  <c:v>0.224404584823745</c:v>
                </c:pt>
                <c:pt idx="3413">
                  <c:v>0.230899484769411</c:v>
                </c:pt>
                <c:pt idx="3414">
                  <c:v>0.223777092364243</c:v>
                </c:pt>
                <c:pt idx="3415">
                  <c:v>0.222317526499683</c:v>
                </c:pt>
                <c:pt idx="3416">
                  <c:v>0.221756188601848</c:v>
                </c:pt>
                <c:pt idx="3417">
                  <c:v>0.22768232019437</c:v>
                </c:pt>
                <c:pt idx="3418">
                  <c:v>0.221481888301834</c:v>
                </c:pt>
                <c:pt idx="3419">
                  <c:v>0.23219128758191</c:v>
                </c:pt>
                <c:pt idx="3420">
                  <c:v>0.226257076827617</c:v>
                </c:pt>
                <c:pt idx="3421">
                  <c:v>0.228280662420245</c:v>
                </c:pt>
                <c:pt idx="3422">
                  <c:v>0.224891161290042</c:v>
                </c:pt>
                <c:pt idx="3423">
                  <c:v>0.225512437844737</c:v>
                </c:pt>
                <c:pt idx="3424">
                  <c:v>0.223046078992955</c:v>
                </c:pt>
                <c:pt idx="3425">
                  <c:v>0.229462649880474</c:v>
                </c:pt>
                <c:pt idx="3426">
                  <c:v>0.227476143212412</c:v>
                </c:pt>
                <c:pt idx="3427">
                  <c:v>0.232839786502798</c:v>
                </c:pt>
                <c:pt idx="3428">
                  <c:v>0.236741660116135</c:v>
                </c:pt>
                <c:pt idx="3429">
                  <c:v>0.240095122914841</c:v>
                </c:pt>
                <c:pt idx="3430">
                  <c:v>0.221428044850491</c:v>
                </c:pt>
                <c:pt idx="3431">
                  <c:v>0.22703754791107</c:v>
                </c:pt>
                <c:pt idx="3432">
                  <c:v>0.226280598008769</c:v>
                </c:pt>
                <c:pt idx="3433">
                  <c:v>0.226604436307601</c:v>
                </c:pt>
                <c:pt idx="3434">
                  <c:v>0.24089984337241</c:v>
                </c:pt>
                <c:pt idx="3435">
                  <c:v>0.22822813158728</c:v>
                </c:pt>
                <c:pt idx="3436">
                  <c:v>0.224188901384976</c:v>
                </c:pt>
                <c:pt idx="3437">
                  <c:v>0.238673277606542</c:v>
                </c:pt>
                <c:pt idx="3438">
                  <c:v>0.224346939097823</c:v>
                </c:pt>
                <c:pt idx="3439">
                  <c:v>0.235086359666804</c:v>
                </c:pt>
                <c:pt idx="3440">
                  <c:v>0.228296490764439</c:v>
                </c:pt>
                <c:pt idx="3441">
                  <c:v>0.239618207734147</c:v>
                </c:pt>
                <c:pt idx="3442">
                  <c:v>0.225364411879513</c:v>
                </c:pt>
                <c:pt idx="3443">
                  <c:v>0.224725646120175</c:v>
                </c:pt>
                <c:pt idx="3444">
                  <c:v>0.241149104346578</c:v>
                </c:pt>
                <c:pt idx="3445">
                  <c:v>0.221841959485751</c:v>
                </c:pt>
                <c:pt idx="3446">
                  <c:v>0.234353149662883</c:v>
                </c:pt>
                <c:pt idx="3447">
                  <c:v>0.225183006980159</c:v>
                </c:pt>
                <c:pt idx="3448">
                  <c:v>0.222652985614743</c:v>
                </c:pt>
                <c:pt idx="3449">
                  <c:v>0.223122775164834</c:v>
                </c:pt>
                <c:pt idx="3450">
                  <c:v>0.228756124326809</c:v>
                </c:pt>
                <c:pt idx="3451">
                  <c:v>0.225860934968432</c:v>
                </c:pt>
                <c:pt idx="3452">
                  <c:v>0.225035484222718</c:v>
                </c:pt>
                <c:pt idx="3453">
                  <c:v>0.228805993053253</c:v>
                </c:pt>
                <c:pt idx="3454">
                  <c:v>0.229122031269006</c:v>
                </c:pt>
                <c:pt idx="3455">
                  <c:v>0.231351511749223</c:v>
                </c:pt>
                <c:pt idx="3456">
                  <c:v>0.225879582998646</c:v>
                </c:pt>
                <c:pt idx="3457">
                  <c:v>0.223093206440181</c:v>
                </c:pt>
                <c:pt idx="3458">
                  <c:v>0.224416246920362</c:v>
                </c:pt>
                <c:pt idx="3459">
                  <c:v>0.229670989715609</c:v>
                </c:pt>
                <c:pt idx="3460">
                  <c:v>0.225857171161841</c:v>
                </c:pt>
                <c:pt idx="3461">
                  <c:v>0.227408571186866</c:v>
                </c:pt>
                <c:pt idx="3462">
                  <c:v>0.238963346093795</c:v>
                </c:pt>
                <c:pt idx="3463">
                  <c:v>0.225783717335673</c:v>
                </c:pt>
                <c:pt idx="3464">
                  <c:v>0.227619035223808</c:v>
                </c:pt>
                <c:pt idx="3465">
                  <c:v>0.22441721752355</c:v>
                </c:pt>
                <c:pt idx="3466">
                  <c:v>0.226314927631259</c:v>
                </c:pt>
                <c:pt idx="3467">
                  <c:v>0.223388601856162</c:v>
                </c:pt>
                <c:pt idx="3468">
                  <c:v>0.22248784243984</c:v>
                </c:pt>
                <c:pt idx="3469">
                  <c:v>0.227139430985468</c:v>
                </c:pt>
                <c:pt idx="3470">
                  <c:v>0.226608276463458</c:v>
                </c:pt>
                <c:pt idx="3471">
                  <c:v>0.234674455414874</c:v>
                </c:pt>
                <c:pt idx="3472">
                  <c:v>0.221382982524523</c:v>
                </c:pt>
                <c:pt idx="3473">
                  <c:v>0.222684801511453</c:v>
                </c:pt>
                <c:pt idx="3474">
                  <c:v>0.225923647213358</c:v>
                </c:pt>
                <c:pt idx="3475">
                  <c:v>0.223848485816095</c:v>
                </c:pt>
                <c:pt idx="3476">
                  <c:v>0.242218919815797</c:v>
                </c:pt>
                <c:pt idx="3477">
                  <c:v>0.238874035519427</c:v>
                </c:pt>
                <c:pt idx="3478">
                  <c:v>0.222749276566152</c:v>
                </c:pt>
                <c:pt idx="3479">
                  <c:v>0.225301555690508</c:v>
                </c:pt>
                <c:pt idx="3480">
                  <c:v>0.22733371309419</c:v>
                </c:pt>
                <c:pt idx="3481">
                  <c:v>0.222196816884657</c:v>
                </c:pt>
                <c:pt idx="3482">
                  <c:v>0.229651996353278</c:v>
                </c:pt>
                <c:pt idx="3483">
                  <c:v>0.22497942073736</c:v>
                </c:pt>
                <c:pt idx="3484">
                  <c:v>0.2266322507153</c:v>
                </c:pt>
                <c:pt idx="3485">
                  <c:v>0.223590969070115</c:v>
                </c:pt>
                <c:pt idx="3486">
                  <c:v>0.242006498692253</c:v>
                </c:pt>
                <c:pt idx="3487">
                  <c:v>0.230822097747303</c:v>
                </c:pt>
                <c:pt idx="3488">
                  <c:v>0.233176532078767</c:v>
                </c:pt>
                <c:pt idx="3489">
                  <c:v>0.231503091243488</c:v>
                </c:pt>
                <c:pt idx="3490">
                  <c:v>0.229157138543506</c:v>
                </c:pt>
                <c:pt idx="3491">
                  <c:v>0.237234590728566</c:v>
                </c:pt>
                <c:pt idx="3492">
                  <c:v>0.228087399428589</c:v>
                </c:pt>
                <c:pt idx="3493">
                  <c:v>0.22953475659804</c:v>
                </c:pt>
                <c:pt idx="3494">
                  <c:v>0.226043616147538</c:v>
                </c:pt>
                <c:pt idx="3495">
                  <c:v>0.224306983222506</c:v>
                </c:pt>
                <c:pt idx="3496">
                  <c:v>0.223026928229969</c:v>
                </c:pt>
                <c:pt idx="3497">
                  <c:v>0.242091720969401</c:v>
                </c:pt>
                <c:pt idx="3498">
                  <c:v>0.222803786973944</c:v>
                </c:pt>
                <c:pt idx="3499">
                  <c:v>0.226295120734866</c:v>
                </c:pt>
                <c:pt idx="3500">
                  <c:v>0.253106481489276</c:v>
                </c:pt>
                <c:pt idx="3501">
                  <c:v>0.232363665306776</c:v>
                </c:pt>
                <c:pt idx="3502">
                  <c:v>0.228562544889146</c:v>
                </c:pt>
                <c:pt idx="3503">
                  <c:v>0.230040936213598</c:v>
                </c:pt>
                <c:pt idx="3504">
                  <c:v>0.230344505991688</c:v>
                </c:pt>
                <c:pt idx="3505">
                  <c:v>0.22765747005943</c:v>
                </c:pt>
                <c:pt idx="3506">
                  <c:v>0.225581885841667</c:v>
                </c:pt>
                <c:pt idx="3507">
                  <c:v>0.227519869645851</c:v>
                </c:pt>
                <c:pt idx="3508">
                  <c:v>0.230333945065292</c:v>
                </c:pt>
                <c:pt idx="3509">
                  <c:v>0.248065231225639</c:v>
                </c:pt>
                <c:pt idx="3510">
                  <c:v>0.22718286388329</c:v>
                </c:pt>
                <c:pt idx="3511">
                  <c:v>0.240068882733865</c:v>
                </c:pt>
                <c:pt idx="3512">
                  <c:v>0.228245950996937</c:v>
                </c:pt>
                <c:pt idx="3513">
                  <c:v>0.225401188283721</c:v>
                </c:pt>
                <c:pt idx="3514">
                  <c:v>0.227122771196885</c:v>
                </c:pt>
                <c:pt idx="3515">
                  <c:v>0.232446836736475</c:v>
                </c:pt>
                <c:pt idx="3516">
                  <c:v>0.226849502689748</c:v>
                </c:pt>
                <c:pt idx="3517">
                  <c:v>0.229064572425464</c:v>
                </c:pt>
                <c:pt idx="3518">
                  <c:v>0.22587538785868</c:v>
                </c:pt>
                <c:pt idx="3519">
                  <c:v>0.224573489000831</c:v>
                </c:pt>
                <c:pt idx="3520">
                  <c:v>0.244089839151914</c:v>
                </c:pt>
                <c:pt idx="3521">
                  <c:v>0.235869926681233</c:v>
                </c:pt>
                <c:pt idx="3522">
                  <c:v>0.224722509145399</c:v>
                </c:pt>
                <c:pt idx="3523">
                  <c:v>0.227896043060106</c:v>
                </c:pt>
                <c:pt idx="3524">
                  <c:v>0.233775584994367</c:v>
                </c:pt>
                <c:pt idx="3525">
                  <c:v>0.22669737595992</c:v>
                </c:pt>
                <c:pt idx="3526">
                  <c:v>0.238319293104315</c:v>
                </c:pt>
                <c:pt idx="3527">
                  <c:v>0.222644683115981</c:v>
                </c:pt>
                <c:pt idx="3528">
                  <c:v>0.225443072444493</c:v>
                </c:pt>
                <c:pt idx="3529">
                  <c:v>0.227066109198343</c:v>
                </c:pt>
                <c:pt idx="3530">
                  <c:v>0.224655604180265</c:v>
                </c:pt>
                <c:pt idx="3531">
                  <c:v>0.234764101463055</c:v>
                </c:pt>
                <c:pt idx="3532">
                  <c:v>0.228399332017232</c:v>
                </c:pt>
                <c:pt idx="3533">
                  <c:v>0.222327673719004</c:v>
                </c:pt>
                <c:pt idx="3534">
                  <c:v>0.228079038017278</c:v>
                </c:pt>
                <c:pt idx="3535">
                  <c:v>0.236125423033046</c:v>
                </c:pt>
                <c:pt idx="3536">
                  <c:v>0.226758191861473</c:v>
                </c:pt>
                <c:pt idx="3537">
                  <c:v>0.221433023006988</c:v>
                </c:pt>
                <c:pt idx="3538">
                  <c:v>0.231597705611759</c:v>
                </c:pt>
                <c:pt idx="3539">
                  <c:v>0.22362990698465</c:v>
                </c:pt>
                <c:pt idx="3540">
                  <c:v>0.228507332726424</c:v>
                </c:pt>
                <c:pt idx="3541">
                  <c:v>0.226221162993207</c:v>
                </c:pt>
                <c:pt idx="3542">
                  <c:v>0.224493565002623</c:v>
                </c:pt>
                <c:pt idx="3543">
                  <c:v>0.227809014246522</c:v>
                </c:pt>
                <c:pt idx="3544">
                  <c:v>0.230207478031962</c:v>
                </c:pt>
                <c:pt idx="3545">
                  <c:v>0.223129745144294</c:v>
                </c:pt>
                <c:pt idx="3546">
                  <c:v>0.222580632820953</c:v>
                </c:pt>
                <c:pt idx="3547">
                  <c:v>0.224608861656525</c:v>
                </c:pt>
                <c:pt idx="3548">
                  <c:v>0.239357199732885</c:v>
                </c:pt>
                <c:pt idx="3549">
                  <c:v>0.226842843865063</c:v>
                </c:pt>
                <c:pt idx="3550">
                  <c:v>0.225509517071677</c:v>
                </c:pt>
                <c:pt idx="3551">
                  <c:v>0.227950528580281</c:v>
                </c:pt>
                <c:pt idx="3552">
                  <c:v>0.227496377503125</c:v>
                </c:pt>
                <c:pt idx="3553">
                  <c:v>0.227479154333366</c:v>
                </c:pt>
                <c:pt idx="3554">
                  <c:v>0.222960844964927</c:v>
                </c:pt>
                <c:pt idx="3555">
                  <c:v>0.229278726743179</c:v>
                </c:pt>
                <c:pt idx="3556">
                  <c:v>0.225518758580052</c:v>
                </c:pt>
                <c:pt idx="3557">
                  <c:v>0.225733512069627</c:v>
                </c:pt>
                <c:pt idx="3558">
                  <c:v>0.24300119525466</c:v>
                </c:pt>
                <c:pt idx="3559">
                  <c:v>0.2218117293546</c:v>
                </c:pt>
                <c:pt idx="3560">
                  <c:v>0.231637380403025</c:v>
                </c:pt>
                <c:pt idx="3561">
                  <c:v>0.223528211143567</c:v>
                </c:pt>
                <c:pt idx="3562">
                  <c:v>0.228791755824711</c:v>
                </c:pt>
                <c:pt idx="3563">
                  <c:v>0.236820002558899</c:v>
                </c:pt>
                <c:pt idx="3564">
                  <c:v>0.223010661727953</c:v>
                </c:pt>
                <c:pt idx="3565">
                  <c:v>0.227038993949465</c:v>
                </c:pt>
                <c:pt idx="3566">
                  <c:v>0.223760193199895</c:v>
                </c:pt>
                <c:pt idx="3567">
                  <c:v>0.231161363240097</c:v>
                </c:pt>
                <c:pt idx="3568">
                  <c:v>0.238614732473051</c:v>
                </c:pt>
                <c:pt idx="3569">
                  <c:v>0.228764984921225</c:v>
                </c:pt>
                <c:pt idx="3570">
                  <c:v>0.228105994763885</c:v>
                </c:pt>
                <c:pt idx="3571">
                  <c:v>0.230637959833379</c:v>
                </c:pt>
                <c:pt idx="3572">
                  <c:v>0.227367005465713</c:v>
                </c:pt>
                <c:pt idx="3573">
                  <c:v>0.233719036439313</c:v>
                </c:pt>
                <c:pt idx="3574">
                  <c:v>0.229921249065789</c:v>
                </c:pt>
                <c:pt idx="3575">
                  <c:v>0.226529245976702</c:v>
                </c:pt>
                <c:pt idx="3576">
                  <c:v>0.234845171191283</c:v>
                </c:pt>
                <c:pt idx="3577">
                  <c:v>0.225193685883718</c:v>
                </c:pt>
                <c:pt idx="3578">
                  <c:v>0.230441589382103</c:v>
                </c:pt>
                <c:pt idx="3579">
                  <c:v>0.222706957694734</c:v>
                </c:pt>
                <c:pt idx="3580">
                  <c:v>0.237668280982399</c:v>
                </c:pt>
                <c:pt idx="3581">
                  <c:v>0.226004427579719</c:v>
                </c:pt>
                <c:pt idx="3582">
                  <c:v>0.225860508544771</c:v>
                </c:pt>
                <c:pt idx="3583">
                  <c:v>0.243211525814515</c:v>
                </c:pt>
                <c:pt idx="3584">
                  <c:v>0.227943613635327</c:v>
                </c:pt>
                <c:pt idx="3585">
                  <c:v>0.224637384132867</c:v>
                </c:pt>
                <c:pt idx="3586">
                  <c:v>0.234183161192543</c:v>
                </c:pt>
                <c:pt idx="3587">
                  <c:v>0.230126459327474</c:v>
                </c:pt>
                <c:pt idx="3588">
                  <c:v>0.224689102772034</c:v>
                </c:pt>
                <c:pt idx="3589">
                  <c:v>0.229499176697148</c:v>
                </c:pt>
                <c:pt idx="3590">
                  <c:v>0.22844484498868</c:v>
                </c:pt>
                <c:pt idx="3591">
                  <c:v>0.229590800334537</c:v>
                </c:pt>
                <c:pt idx="3592">
                  <c:v>0.233462057744232</c:v>
                </c:pt>
                <c:pt idx="3593">
                  <c:v>0.236614326070216</c:v>
                </c:pt>
                <c:pt idx="3594">
                  <c:v>0.224663561339705</c:v>
                </c:pt>
                <c:pt idx="3595">
                  <c:v>0.236586307519166</c:v>
                </c:pt>
                <c:pt idx="3596">
                  <c:v>0.22467056613178</c:v>
                </c:pt>
                <c:pt idx="3597">
                  <c:v>0.234087350507552</c:v>
                </c:pt>
                <c:pt idx="3598">
                  <c:v>0.232255103890791</c:v>
                </c:pt>
                <c:pt idx="3599">
                  <c:v>0.233677378634392</c:v>
                </c:pt>
                <c:pt idx="3600">
                  <c:v>0.235116813824384</c:v>
                </c:pt>
                <c:pt idx="3601">
                  <c:v>0.228700760899863</c:v>
                </c:pt>
                <c:pt idx="3602">
                  <c:v>0.232498068139505</c:v>
                </c:pt>
                <c:pt idx="3603">
                  <c:v>0.227410285548688</c:v>
                </c:pt>
                <c:pt idx="3604">
                  <c:v>0.23865630831349</c:v>
                </c:pt>
                <c:pt idx="3605">
                  <c:v>0.228990582266832</c:v>
                </c:pt>
                <c:pt idx="3606">
                  <c:v>0.232669701995866</c:v>
                </c:pt>
                <c:pt idx="3607">
                  <c:v>0.246245520205675</c:v>
                </c:pt>
                <c:pt idx="3608">
                  <c:v>0.227602974878644</c:v>
                </c:pt>
                <c:pt idx="3609">
                  <c:v>0.225362448290585</c:v>
                </c:pt>
                <c:pt idx="3610">
                  <c:v>0.227512073236881</c:v>
                </c:pt>
                <c:pt idx="3611">
                  <c:v>0.235386503269977</c:v>
                </c:pt>
                <c:pt idx="3612">
                  <c:v>0.228914690090852</c:v>
                </c:pt>
                <c:pt idx="3613">
                  <c:v>0.229884820165992</c:v>
                </c:pt>
                <c:pt idx="3614">
                  <c:v>0.224321996422223</c:v>
                </c:pt>
                <c:pt idx="3615">
                  <c:v>0.225094477950869</c:v>
                </c:pt>
                <c:pt idx="3616">
                  <c:v>0.221294127238696</c:v>
                </c:pt>
                <c:pt idx="3617">
                  <c:v>0.231253159862477</c:v>
                </c:pt>
                <c:pt idx="3618">
                  <c:v>0.232636289269791</c:v>
                </c:pt>
                <c:pt idx="3619">
                  <c:v>0.237843595825685</c:v>
                </c:pt>
                <c:pt idx="3620">
                  <c:v>0.224955702686621</c:v>
                </c:pt>
                <c:pt idx="3621">
                  <c:v>0.229836304494885</c:v>
                </c:pt>
                <c:pt idx="3622">
                  <c:v>0.241410488190349</c:v>
                </c:pt>
                <c:pt idx="3623">
                  <c:v>0.228304924371131</c:v>
                </c:pt>
                <c:pt idx="3624">
                  <c:v>0.227289860104552</c:v>
                </c:pt>
                <c:pt idx="3625">
                  <c:v>0.230037310179067</c:v>
                </c:pt>
                <c:pt idx="3626">
                  <c:v>0.240344642710688</c:v>
                </c:pt>
                <c:pt idx="3627">
                  <c:v>0.239299453817063</c:v>
                </c:pt>
                <c:pt idx="3628">
                  <c:v>0.23046304471052</c:v>
                </c:pt>
                <c:pt idx="3629">
                  <c:v>0.236462517717534</c:v>
                </c:pt>
                <c:pt idx="3630">
                  <c:v>0.223271259387914</c:v>
                </c:pt>
                <c:pt idx="3631">
                  <c:v>0.230420184232879</c:v>
                </c:pt>
                <c:pt idx="3632">
                  <c:v>0.234226811781828</c:v>
                </c:pt>
                <c:pt idx="3633">
                  <c:v>0.230646152205505</c:v>
                </c:pt>
                <c:pt idx="3634">
                  <c:v>0.224953847960911</c:v>
                </c:pt>
                <c:pt idx="3635">
                  <c:v>0.227014907403683</c:v>
                </c:pt>
                <c:pt idx="3636">
                  <c:v>0.227918257424864</c:v>
                </c:pt>
                <c:pt idx="3637">
                  <c:v>0.226018769847161</c:v>
                </c:pt>
                <c:pt idx="3638">
                  <c:v>0.225802101953443</c:v>
                </c:pt>
                <c:pt idx="3639">
                  <c:v>0.227303305390115</c:v>
                </c:pt>
                <c:pt idx="3640">
                  <c:v>0.224928020083643</c:v>
                </c:pt>
                <c:pt idx="3641">
                  <c:v>0.244544267437615</c:v>
                </c:pt>
                <c:pt idx="3642">
                  <c:v>0.223018257198559</c:v>
                </c:pt>
                <c:pt idx="3643">
                  <c:v>0.226067347414454</c:v>
                </c:pt>
                <c:pt idx="3644">
                  <c:v>0.235083774430537</c:v>
                </c:pt>
                <c:pt idx="3645">
                  <c:v>0.238476325208193</c:v>
                </c:pt>
                <c:pt idx="3646">
                  <c:v>0.254037871018136</c:v>
                </c:pt>
                <c:pt idx="3647">
                  <c:v>0.22260607243792</c:v>
                </c:pt>
                <c:pt idx="3648">
                  <c:v>0.233515192249705</c:v>
                </c:pt>
                <c:pt idx="3649">
                  <c:v>0.224029240645351</c:v>
                </c:pt>
                <c:pt idx="3650">
                  <c:v>0.237430226616366</c:v>
                </c:pt>
                <c:pt idx="3651">
                  <c:v>0.240362060803154</c:v>
                </c:pt>
                <c:pt idx="3652">
                  <c:v>0.229931586589656</c:v>
                </c:pt>
                <c:pt idx="3653">
                  <c:v>0.222182018905298</c:v>
                </c:pt>
                <c:pt idx="3654">
                  <c:v>0.228973799778959</c:v>
                </c:pt>
                <c:pt idx="3655">
                  <c:v>0.235524017071255</c:v>
                </c:pt>
                <c:pt idx="3656">
                  <c:v>0.221832460749496</c:v>
                </c:pt>
                <c:pt idx="3657">
                  <c:v>0.222034531111179</c:v>
                </c:pt>
                <c:pt idx="3658">
                  <c:v>0.225892889851139</c:v>
                </c:pt>
                <c:pt idx="3659">
                  <c:v>0.223843951068204</c:v>
                </c:pt>
                <c:pt idx="3660">
                  <c:v>0.226632621394856</c:v>
                </c:pt>
                <c:pt idx="3661">
                  <c:v>0.224843381345863</c:v>
                </c:pt>
                <c:pt idx="3662">
                  <c:v>0.253138944653158</c:v>
                </c:pt>
                <c:pt idx="3663">
                  <c:v>0.225968598905182</c:v>
                </c:pt>
                <c:pt idx="3664">
                  <c:v>0.224572573885258</c:v>
                </c:pt>
                <c:pt idx="3665">
                  <c:v>0.232776801090684</c:v>
                </c:pt>
                <c:pt idx="3666">
                  <c:v>0.232127340459612</c:v>
                </c:pt>
                <c:pt idx="3667">
                  <c:v>0.236012924312265</c:v>
                </c:pt>
                <c:pt idx="3668">
                  <c:v>0.241292625570206</c:v>
                </c:pt>
                <c:pt idx="3669">
                  <c:v>0.22465107655009</c:v>
                </c:pt>
                <c:pt idx="3670">
                  <c:v>0.229952221927061</c:v>
                </c:pt>
                <c:pt idx="3671">
                  <c:v>0.235621675827347</c:v>
                </c:pt>
                <c:pt idx="3672">
                  <c:v>0.228171737360687</c:v>
                </c:pt>
                <c:pt idx="3673">
                  <c:v>0.227540092457555</c:v>
                </c:pt>
                <c:pt idx="3674">
                  <c:v>0.222963493086545</c:v>
                </c:pt>
                <c:pt idx="3675">
                  <c:v>0.222596605260847</c:v>
                </c:pt>
                <c:pt idx="3676">
                  <c:v>0.222373730970663</c:v>
                </c:pt>
                <c:pt idx="3677">
                  <c:v>0.245013798595462</c:v>
                </c:pt>
                <c:pt idx="3678">
                  <c:v>0.226890319550408</c:v>
                </c:pt>
                <c:pt idx="3679">
                  <c:v>0.235262525773785</c:v>
                </c:pt>
                <c:pt idx="3680">
                  <c:v>0.228877068520041</c:v>
                </c:pt>
                <c:pt idx="3681">
                  <c:v>0.224285028985003</c:v>
                </c:pt>
                <c:pt idx="3682">
                  <c:v>0.240189531877842</c:v>
                </c:pt>
                <c:pt idx="3683">
                  <c:v>0.222203022063935</c:v>
                </c:pt>
                <c:pt idx="3684">
                  <c:v>0.228602967666696</c:v>
                </c:pt>
                <c:pt idx="3685">
                  <c:v>0.232815994134452</c:v>
                </c:pt>
                <c:pt idx="3686">
                  <c:v>0.236875532951471</c:v>
                </c:pt>
                <c:pt idx="3687">
                  <c:v>0.239957008473618</c:v>
                </c:pt>
                <c:pt idx="3688">
                  <c:v>0.232985857508839</c:v>
                </c:pt>
                <c:pt idx="3689">
                  <c:v>0.229648781053965</c:v>
                </c:pt>
                <c:pt idx="3690">
                  <c:v>0.234845978021974</c:v>
                </c:pt>
                <c:pt idx="3691">
                  <c:v>0.241406945814353</c:v>
                </c:pt>
                <c:pt idx="3692">
                  <c:v>0.224318563260894</c:v>
                </c:pt>
                <c:pt idx="3693">
                  <c:v>0.227637675871006</c:v>
                </c:pt>
                <c:pt idx="3694">
                  <c:v>0.230584172656386</c:v>
                </c:pt>
                <c:pt idx="3695">
                  <c:v>0.231775098407883</c:v>
                </c:pt>
                <c:pt idx="3696">
                  <c:v>0.230888207828378</c:v>
                </c:pt>
                <c:pt idx="3697">
                  <c:v>0.221551255995378</c:v>
                </c:pt>
                <c:pt idx="3698">
                  <c:v>0.227161888691953</c:v>
                </c:pt>
                <c:pt idx="3699">
                  <c:v>0.226460074419808</c:v>
                </c:pt>
                <c:pt idx="3700">
                  <c:v>0.234584516678438</c:v>
                </c:pt>
                <c:pt idx="3701">
                  <c:v>0.23284321354312</c:v>
                </c:pt>
                <c:pt idx="3702">
                  <c:v>0.224128119472646</c:v>
                </c:pt>
                <c:pt idx="3703">
                  <c:v>0.226424044063922</c:v>
                </c:pt>
                <c:pt idx="3704">
                  <c:v>0.241918789668158</c:v>
                </c:pt>
                <c:pt idx="3705">
                  <c:v>0.226194542662296</c:v>
                </c:pt>
                <c:pt idx="3706">
                  <c:v>0.224476059170283</c:v>
                </c:pt>
                <c:pt idx="3707">
                  <c:v>0.233822927199002</c:v>
                </c:pt>
                <c:pt idx="3708">
                  <c:v>0.242829644494056</c:v>
                </c:pt>
                <c:pt idx="3709">
                  <c:v>0.230568297813491</c:v>
                </c:pt>
                <c:pt idx="3710">
                  <c:v>0.222187756975197</c:v>
                </c:pt>
                <c:pt idx="3711">
                  <c:v>0.225902439203964</c:v>
                </c:pt>
                <c:pt idx="3712">
                  <c:v>0.23363474633255</c:v>
                </c:pt>
                <c:pt idx="3713">
                  <c:v>0.225168444284919</c:v>
                </c:pt>
                <c:pt idx="3714">
                  <c:v>0.239821231632378</c:v>
                </c:pt>
                <c:pt idx="3715">
                  <c:v>0.22398178743105</c:v>
                </c:pt>
                <c:pt idx="3716">
                  <c:v>0.229235112258901</c:v>
                </c:pt>
                <c:pt idx="3717">
                  <c:v>0.223525550697817</c:v>
                </c:pt>
                <c:pt idx="3718">
                  <c:v>0.224606587302867</c:v>
                </c:pt>
                <c:pt idx="3719">
                  <c:v>0.235882821902045</c:v>
                </c:pt>
                <c:pt idx="3720">
                  <c:v>0.234510424636974</c:v>
                </c:pt>
                <c:pt idx="3721">
                  <c:v>0.222695666031264</c:v>
                </c:pt>
                <c:pt idx="3722">
                  <c:v>0.240522486130449</c:v>
                </c:pt>
                <c:pt idx="3723">
                  <c:v>0.239827202365132</c:v>
                </c:pt>
                <c:pt idx="3724">
                  <c:v>0.22512332323214</c:v>
                </c:pt>
                <c:pt idx="3725">
                  <c:v>0.229129758600826</c:v>
                </c:pt>
                <c:pt idx="3726">
                  <c:v>0.224414998651277</c:v>
                </c:pt>
                <c:pt idx="3727">
                  <c:v>0.225087520423074</c:v>
                </c:pt>
                <c:pt idx="3728">
                  <c:v>0.230947512454532</c:v>
                </c:pt>
                <c:pt idx="3729">
                  <c:v>0.223762544976164</c:v>
                </c:pt>
                <c:pt idx="3730">
                  <c:v>0.222044888661321</c:v>
                </c:pt>
                <c:pt idx="3731">
                  <c:v>0.22155479174925</c:v>
                </c:pt>
                <c:pt idx="3732">
                  <c:v>0.222233774915902</c:v>
                </c:pt>
                <c:pt idx="3733">
                  <c:v>0.221682855380231</c:v>
                </c:pt>
                <c:pt idx="3734">
                  <c:v>0.228591521375806</c:v>
                </c:pt>
                <c:pt idx="3735">
                  <c:v>0.225954744411926</c:v>
                </c:pt>
                <c:pt idx="3736">
                  <c:v>0.242251031983568</c:v>
                </c:pt>
                <c:pt idx="3737">
                  <c:v>0.22837574124881</c:v>
                </c:pt>
                <c:pt idx="3738">
                  <c:v>0.221751478415941</c:v>
                </c:pt>
                <c:pt idx="3739">
                  <c:v>0.22370820123292</c:v>
                </c:pt>
                <c:pt idx="3740">
                  <c:v>0.241630988133999</c:v>
                </c:pt>
                <c:pt idx="3741">
                  <c:v>0.222524646757708</c:v>
                </c:pt>
                <c:pt idx="3742">
                  <c:v>0.228525334535219</c:v>
                </c:pt>
                <c:pt idx="3743">
                  <c:v>0.230162691639407</c:v>
                </c:pt>
                <c:pt idx="3744">
                  <c:v>0.23879438104252</c:v>
                </c:pt>
                <c:pt idx="3745">
                  <c:v>0.228875112719775</c:v>
                </c:pt>
                <c:pt idx="3746">
                  <c:v>0.223392950164744</c:v>
                </c:pt>
                <c:pt idx="3747">
                  <c:v>0.221427042426478</c:v>
                </c:pt>
                <c:pt idx="3748">
                  <c:v>0.235734541226445</c:v>
                </c:pt>
                <c:pt idx="3749">
                  <c:v>0.231629412912832</c:v>
                </c:pt>
                <c:pt idx="3750">
                  <c:v>0.22912589911223</c:v>
                </c:pt>
                <c:pt idx="3751">
                  <c:v>0.224128638464986</c:v>
                </c:pt>
                <c:pt idx="3752">
                  <c:v>0.245310342025056</c:v>
                </c:pt>
                <c:pt idx="3753">
                  <c:v>0.226564759018867</c:v>
                </c:pt>
                <c:pt idx="3754">
                  <c:v>0.225833115939295</c:v>
                </c:pt>
                <c:pt idx="3755">
                  <c:v>0.225470621305878</c:v>
                </c:pt>
                <c:pt idx="3756">
                  <c:v>0.224071710078211</c:v>
                </c:pt>
                <c:pt idx="3757">
                  <c:v>0.240503912375633</c:v>
                </c:pt>
                <c:pt idx="3758">
                  <c:v>0.231999044966206</c:v>
                </c:pt>
                <c:pt idx="3759">
                  <c:v>0.228361589988701</c:v>
                </c:pt>
                <c:pt idx="3760">
                  <c:v>0.236109704550052</c:v>
                </c:pt>
                <c:pt idx="3761">
                  <c:v>0.246756891195554</c:v>
                </c:pt>
                <c:pt idx="3762">
                  <c:v>0.222054971980369</c:v>
                </c:pt>
                <c:pt idx="3763">
                  <c:v>0.224943350518363</c:v>
                </c:pt>
                <c:pt idx="3764">
                  <c:v>0.230590618226875</c:v>
                </c:pt>
                <c:pt idx="3765">
                  <c:v>0.244969926265814</c:v>
                </c:pt>
                <c:pt idx="3766">
                  <c:v>0.222072553774482</c:v>
                </c:pt>
                <c:pt idx="3767">
                  <c:v>0.234626274259275</c:v>
                </c:pt>
                <c:pt idx="3768">
                  <c:v>0.254684533194802</c:v>
                </c:pt>
                <c:pt idx="3769">
                  <c:v>0.240911399821915</c:v>
                </c:pt>
                <c:pt idx="3770">
                  <c:v>0.236935093251845</c:v>
                </c:pt>
                <c:pt idx="3771">
                  <c:v>0.225910722806405</c:v>
                </c:pt>
                <c:pt idx="3772">
                  <c:v>0.224317463162028</c:v>
                </c:pt>
                <c:pt idx="3773">
                  <c:v>0.223608373585994</c:v>
                </c:pt>
                <c:pt idx="3774">
                  <c:v>0.239736382366574</c:v>
                </c:pt>
                <c:pt idx="3775">
                  <c:v>0.229017512923236</c:v>
                </c:pt>
                <c:pt idx="3776">
                  <c:v>0.223471091109655</c:v>
                </c:pt>
                <c:pt idx="3777">
                  <c:v>0.238148236760768</c:v>
                </c:pt>
                <c:pt idx="3778">
                  <c:v>0.234584433439536</c:v>
                </c:pt>
                <c:pt idx="3779">
                  <c:v>0.236845015046279</c:v>
                </c:pt>
                <c:pt idx="3780">
                  <c:v>0.223777149379914</c:v>
                </c:pt>
                <c:pt idx="3781">
                  <c:v>0.224461285277582</c:v>
                </c:pt>
                <c:pt idx="3782">
                  <c:v>0.223820259675922</c:v>
                </c:pt>
                <c:pt idx="3783">
                  <c:v>0.227433148918319</c:v>
                </c:pt>
                <c:pt idx="3784">
                  <c:v>0.2336313456703</c:v>
                </c:pt>
                <c:pt idx="3785">
                  <c:v>0.243722666551626</c:v>
                </c:pt>
                <c:pt idx="3786">
                  <c:v>0.225436107421851</c:v>
                </c:pt>
                <c:pt idx="3787">
                  <c:v>0.229802905236768</c:v>
                </c:pt>
                <c:pt idx="3788">
                  <c:v>0.23361926015248</c:v>
                </c:pt>
                <c:pt idx="3789">
                  <c:v>0.223444322140995</c:v>
                </c:pt>
                <c:pt idx="3790">
                  <c:v>0.222728814456473</c:v>
                </c:pt>
                <c:pt idx="3791">
                  <c:v>0.23116010139375</c:v>
                </c:pt>
                <c:pt idx="3792">
                  <c:v>0.224118715360295</c:v>
                </c:pt>
                <c:pt idx="3793">
                  <c:v>0.235372174777339</c:v>
                </c:pt>
                <c:pt idx="3794">
                  <c:v>0.226925173819726</c:v>
                </c:pt>
                <c:pt idx="3795">
                  <c:v>0.228589396943006</c:v>
                </c:pt>
                <c:pt idx="3796">
                  <c:v>0.227290733012013</c:v>
                </c:pt>
                <c:pt idx="3797">
                  <c:v>0.235880781589592</c:v>
                </c:pt>
                <c:pt idx="3798">
                  <c:v>0.223520803352169</c:v>
                </c:pt>
                <c:pt idx="3799">
                  <c:v>0.22318055704572</c:v>
                </c:pt>
                <c:pt idx="3800">
                  <c:v>0.238531457317853</c:v>
                </c:pt>
                <c:pt idx="3801">
                  <c:v>0.230779658801488</c:v>
                </c:pt>
                <c:pt idx="3802">
                  <c:v>0.234184425201558</c:v>
                </c:pt>
                <c:pt idx="3803">
                  <c:v>0.223926677659232</c:v>
                </c:pt>
                <c:pt idx="3804">
                  <c:v>0.240208922133292</c:v>
                </c:pt>
                <c:pt idx="3805">
                  <c:v>0.234010744360013</c:v>
                </c:pt>
                <c:pt idx="3806">
                  <c:v>0.224724244880752</c:v>
                </c:pt>
                <c:pt idx="3807">
                  <c:v>0.234922978111703</c:v>
                </c:pt>
                <c:pt idx="3808">
                  <c:v>0.225009326312232</c:v>
                </c:pt>
                <c:pt idx="3809">
                  <c:v>0.221747647004518</c:v>
                </c:pt>
                <c:pt idx="3810">
                  <c:v>0.237288973235998</c:v>
                </c:pt>
                <c:pt idx="3811">
                  <c:v>0.229743374333532</c:v>
                </c:pt>
                <c:pt idx="3812">
                  <c:v>0.230981609943209</c:v>
                </c:pt>
                <c:pt idx="3813">
                  <c:v>0.222426798169791</c:v>
                </c:pt>
                <c:pt idx="3814">
                  <c:v>0.231891107528137</c:v>
                </c:pt>
                <c:pt idx="3815">
                  <c:v>0.22645808413798</c:v>
                </c:pt>
                <c:pt idx="3816">
                  <c:v>0.246660820818292</c:v>
                </c:pt>
                <c:pt idx="3817">
                  <c:v>0.221486177062825</c:v>
                </c:pt>
                <c:pt idx="3818">
                  <c:v>0.221435719302533</c:v>
                </c:pt>
                <c:pt idx="3819">
                  <c:v>0.234278458081993</c:v>
                </c:pt>
                <c:pt idx="3820">
                  <c:v>0.233429431002403</c:v>
                </c:pt>
                <c:pt idx="3821">
                  <c:v>0.234109302310705</c:v>
                </c:pt>
                <c:pt idx="3822">
                  <c:v>0.238107592547962</c:v>
                </c:pt>
                <c:pt idx="3823">
                  <c:v>0.223124501561645</c:v>
                </c:pt>
                <c:pt idx="3824">
                  <c:v>0.222712934257429</c:v>
                </c:pt>
                <c:pt idx="3825">
                  <c:v>0.235926462242879</c:v>
                </c:pt>
                <c:pt idx="3826">
                  <c:v>0.232883771063164</c:v>
                </c:pt>
                <c:pt idx="3827">
                  <c:v>0.229138427676146</c:v>
                </c:pt>
                <c:pt idx="3828">
                  <c:v>0.232603992778643</c:v>
                </c:pt>
                <c:pt idx="3829">
                  <c:v>0.230322902686732</c:v>
                </c:pt>
                <c:pt idx="3830">
                  <c:v>0.221869350330014</c:v>
                </c:pt>
                <c:pt idx="3831">
                  <c:v>0.224054763392622</c:v>
                </c:pt>
                <c:pt idx="3832">
                  <c:v>0.238714877825082</c:v>
                </c:pt>
                <c:pt idx="3833">
                  <c:v>0.223017032592912</c:v>
                </c:pt>
                <c:pt idx="3834">
                  <c:v>0.223377224988658</c:v>
                </c:pt>
                <c:pt idx="3835">
                  <c:v>0.227777480123296</c:v>
                </c:pt>
                <c:pt idx="3836">
                  <c:v>0.227989928943698</c:v>
                </c:pt>
                <c:pt idx="3837">
                  <c:v>0.228324025268418</c:v>
                </c:pt>
                <c:pt idx="3838">
                  <c:v>0.224952846669256</c:v>
                </c:pt>
                <c:pt idx="3839">
                  <c:v>0.238210078016242</c:v>
                </c:pt>
                <c:pt idx="3840">
                  <c:v>0.222481282117204</c:v>
                </c:pt>
                <c:pt idx="3841">
                  <c:v>0.240559998071175</c:v>
                </c:pt>
                <c:pt idx="3842">
                  <c:v>0.238774547799177</c:v>
                </c:pt>
                <c:pt idx="3843">
                  <c:v>0.230672683225572</c:v>
                </c:pt>
                <c:pt idx="3844">
                  <c:v>0.221424223199709</c:v>
                </c:pt>
                <c:pt idx="3845">
                  <c:v>0.226235087015377</c:v>
                </c:pt>
                <c:pt idx="3846">
                  <c:v>0.228176681122499</c:v>
                </c:pt>
                <c:pt idx="3847">
                  <c:v>0.238268471933646</c:v>
                </c:pt>
                <c:pt idx="3848">
                  <c:v>0.226435051362916</c:v>
                </c:pt>
                <c:pt idx="3849">
                  <c:v>0.224550505944191</c:v>
                </c:pt>
                <c:pt idx="3850">
                  <c:v>0.236750221250782</c:v>
                </c:pt>
                <c:pt idx="3851">
                  <c:v>0.225407324173746</c:v>
                </c:pt>
                <c:pt idx="3852">
                  <c:v>0.227586236069058</c:v>
                </c:pt>
                <c:pt idx="3853">
                  <c:v>0.223314469442144</c:v>
                </c:pt>
                <c:pt idx="3854">
                  <c:v>0.223871918114761</c:v>
                </c:pt>
                <c:pt idx="3855">
                  <c:v>0.230151768537646</c:v>
                </c:pt>
                <c:pt idx="3856">
                  <c:v>0.239692732994988</c:v>
                </c:pt>
                <c:pt idx="3857">
                  <c:v>0.221645241533524</c:v>
                </c:pt>
                <c:pt idx="3858">
                  <c:v>0.222439730743779</c:v>
                </c:pt>
                <c:pt idx="3859">
                  <c:v>0.224768633878459</c:v>
                </c:pt>
                <c:pt idx="3860">
                  <c:v>0.24222528799324</c:v>
                </c:pt>
                <c:pt idx="3861">
                  <c:v>0.225633491803019</c:v>
                </c:pt>
                <c:pt idx="3862">
                  <c:v>0.229889443548257</c:v>
                </c:pt>
                <c:pt idx="3863">
                  <c:v>0.226420218103584</c:v>
                </c:pt>
                <c:pt idx="3864">
                  <c:v>0.232337678166349</c:v>
                </c:pt>
                <c:pt idx="3865">
                  <c:v>0.225398401432687</c:v>
                </c:pt>
                <c:pt idx="3866">
                  <c:v>0.233767520517138</c:v>
                </c:pt>
                <c:pt idx="3867">
                  <c:v>0.226864989260738</c:v>
                </c:pt>
                <c:pt idx="3868">
                  <c:v>0.231128237370953</c:v>
                </c:pt>
                <c:pt idx="3869">
                  <c:v>0.23213648996559</c:v>
                </c:pt>
                <c:pt idx="3870">
                  <c:v>0.223072205837358</c:v>
                </c:pt>
                <c:pt idx="3871">
                  <c:v>0.222257272456552</c:v>
                </c:pt>
                <c:pt idx="3872">
                  <c:v>0.235344011643206</c:v>
                </c:pt>
                <c:pt idx="3873">
                  <c:v>0.235567255275323</c:v>
                </c:pt>
                <c:pt idx="3874">
                  <c:v>0.228699314436487</c:v>
                </c:pt>
                <c:pt idx="3875">
                  <c:v>0.240003101420473</c:v>
                </c:pt>
                <c:pt idx="3876">
                  <c:v>0.232638988596556</c:v>
                </c:pt>
                <c:pt idx="3877">
                  <c:v>0.225256933799249</c:v>
                </c:pt>
                <c:pt idx="3878">
                  <c:v>0.229889847395398</c:v>
                </c:pt>
                <c:pt idx="3879">
                  <c:v>0.224446161911337</c:v>
                </c:pt>
                <c:pt idx="3880">
                  <c:v>0.224973909152153</c:v>
                </c:pt>
                <c:pt idx="3881">
                  <c:v>0.224555377918574</c:v>
                </c:pt>
                <c:pt idx="3882">
                  <c:v>0.229866225516383</c:v>
                </c:pt>
                <c:pt idx="3883">
                  <c:v>0.222771970634271</c:v>
                </c:pt>
                <c:pt idx="3884">
                  <c:v>0.245780225318961</c:v>
                </c:pt>
                <c:pt idx="3885">
                  <c:v>0.229873108800638</c:v>
                </c:pt>
                <c:pt idx="3886">
                  <c:v>0.231166322001141</c:v>
                </c:pt>
                <c:pt idx="3887">
                  <c:v>0.223957151551934</c:v>
                </c:pt>
                <c:pt idx="3888">
                  <c:v>0.222907000097806</c:v>
                </c:pt>
                <c:pt idx="3889">
                  <c:v>0.228310899300395</c:v>
                </c:pt>
                <c:pt idx="3890">
                  <c:v>0.222655288674859</c:v>
                </c:pt>
                <c:pt idx="3891">
                  <c:v>0.22345952409941</c:v>
                </c:pt>
                <c:pt idx="3892">
                  <c:v>0.231156689830954</c:v>
                </c:pt>
                <c:pt idx="3893">
                  <c:v>0.225533862436956</c:v>
                </c:pt>
                <c:pt idx="3894">
                  <c:v>0.229169242951929</c:v>
                </c:pt>
                <c:pt idx="3895">
                  <c:v>0.227601100852634</c:v>
                </c:pt>
                <c:pt idx="3896">
                  <c:v>0.230790751882751</c:v>
                </c:pt>
                <c:pt idx="3897">
                  <c:v>0.229288697925966</c:v>
                </c:pt>
                <c:pt idx="3898">
                  <c:v>0.229581229554106</c:v>
                </c:pt>
                <c:pt idx="3899">
                  <c:v>0.228194134167155</c:v>
                </c:pt>
                <c:pt idx="3900">
                  <c:v>0.236923633919524</c:v>
                </c:pt>
                <c:pt idx="3901">
                  <c:v>0.228959328864932</c:v>
                </c:pt>
                <c:pt idx="3902">
                  <c:v>0.226573852782916</c:v>
                </c:pt>
                <c:pt idx="3903">
                  <c:v>0.230166624390894</c:v>
                </c:pt>
                <c:pt idx="3904">
                  <c:v>0.223940423297139</c:v>
                </c:pt>
                <c:pt idx="3905">
                  <c:v>0.22854853074817</c:v>
                </c:pt>
                <c:pt idx="3906">
                  <c:v>0.227486979468532</c:v>
                </c:pt>
                <c:pt idx="3907">
                  <c:v>0.223305464116114</c:v>
                </c:pt>
                <c:pt idx="3908">
                  <c:v>0.224573157320119</c:v>
                </c:pt>
                <c:pt idx="3909">
                  <c:v>0.224743165272846</c:v>
                </c:pt>
                <c:pt idx="3910">
                  <c:v>0.221816437397065</c:v>
                </c:pt>
                <c:pt idx="3911">
                  <c:v>0.227784111342409</c:v>
                </c:pt>
                <c:pt idx="3912">
                  <c:v>0.226851569559363</c:v>
                </c:pt>
                <c:pt idx="3913">
                  <c:v>0.228216562141601</c:v>
                </c:pt>
                <c:pt idx="3914">
                  <c:v>0.234437597659889</c:v>
                </c:pt>
                <c:pt idx="3915">
                  <c:v>0.223216475957236</c:v>
                </c:pt>
                <c:pt idx="3916">
                  <c:v>0.230835444049796</c:v>
                </c:pt>
                <c:pt idx="3917">
                  <c:v>0.22601210809713</c:v>
                </c:pt>
                <c:pt idx="3918">
                  <c:v>0.230381455943143</c:v>
                </c:pt>
                <c:pt idx="3919">
                  <c:v>0.226346012685021</c:v>
                </c:pt>
                <c:pt idx="3920">
                  <c:v>0.222311109946065</c:v>
                </c:pt>
                <c:pt idx="3921">
                  <c:v>0.232426436235672</c:v>
                </c:pt>
                <c:pt idx="3922">
                  <c:v>0.227342234303832</c:v>
                </c:pt>
                <c:pt idx="3923">
                  <c:v>0.241508626358014</c:v>
                </c:pt>
                <c:pt idx="3924">
                  <c:v>0.237448571514327</c:v>
                </c:pt>
                <c:pt idx="3925">
                  <c:v>0.228628192254945</c:v>
                </c:pt>
                <c:pt idx="3926">
                  <c:v>0.225012402439342</c:v>
                </c:pt>
                <c:pt idx="3927">
                  <c:v>0.228159922612919</c:v>
                </c:pt>
                <c:pt idx="3928">
                  <c:v>0.228300791225425</c:v>
                </c:pt>
                <c:pt idx="3929">
                  <c:v>0.225589982813195</c:v>
                </c:pt>
                <c:pt idx="3930">
                  <c:v>0.225155530943934</c:v>
                </c:pt>
                <c:pt idx="3931">
                  <c:v>0.237022715148949</c:v>
                </c:pt>
                <c:pt idx="3932">
                  <c:v>0.23193714973648</c:v>
                </c:pt>
                <c:pt idx="3933">
                  <c:v>0.22364981162179</c:v>
                </c:pt>
                <c:pt idx="3934">
                  <c:v>0.233716907494875</c:v>
                </c:pt>
                <c:pt idx="3935">
                  <c:v>0.243162001496841</c:v>
                </c:pt>
                <c:pt idx="3936">
                  <c:v>0.251877524690167</c:v>
                </c:pt>
                <c:pt idx="3937">
                  <c:v>0.223947056506092</c:v>
                </c:pt>
                <c:pt idx="3938">
                  <c:v>0.23253815779573</c:v>
                </c:pt>
                <c:pt idx="3939">
                  <c:v>0.234844042531415</c:v>
                </c:pt>
                <c:pt idx="3940">
                  <c:v>0.224111700412056</c:v>
                </c:pt>
                <c:pt idx="3941">
                  <c:v>0.226586320563011</c:v>
                </c:pt>
                <c:pt idx="3942">
                  <c:v>0.234964385107144</c:v>
                </c:pt>
                <c:pt idx="3943">
                  <c:v>0.242791144747531</c:v>
                </c:pt>
                <c:pt idx="3944">
                  <c:v>0.226935820858751</c:v>
                </c:pt>
                <c:pt idx="3945">
                  <c:v>0.239333245297921</c:v>
                </c:pt>
                <c:pt idx="3946">
                  <c:v>0.23305709223927</c:v>
                </c:pt>
                <c:pt idx="3947">
                  <c:v>0.228692248904413</c:v>
                </c:pt>
                <c:pt idx="3948">
                  <c:v>0.222907810085925</c:v>
                </c:pt>
                <c:pt idx="3949">
                  <c:v>0.22501166330941</c:v>
                </c:pt>
                <c:pt idx="3950">
                  <c:v>0.234690575597326</c:v>
                </c:pt>
                <c:pt idx="3951">
                  <c:v>0.226054317306093</c:v>
                </c:pt>
                <c:pt idx="3952">
                  <c:v>0.227171959757845</c:v>
                </c:pt>
                <c:pt idx="3953">
                  <c:v>0.23056363530962</c:v>
                </c:pt>
                <c:pt idx="3954">
                  <c:v>0.227000816277846</c:v>
                </c:pt>
                <c:pt idx="3955">
                  <c:v>0.225315933684666</c:v>
                </c:pt>
                <c:pt idx="3956">
                  <c:v>0.22822877111061</c:v>
                </c:pt>
                <c:pt idx="3957">
                  <c:v>0.227861047651978</c:v>
                </c:pt>
                <c:pt idx="3958">
                  <c:v>0.226877438739002</c:v>
                </c:pt>
                <c:pt idx="3959">
                  <c:v>0.230656922296671</c:v>
                </c:pt>
                <c:pt idx="3960">
                  <c:v>0.222802832524244</c:v>
                </c:pt>
                <c:pt idx="3961">
                  <c:v>0.248922494926794</c:v>
                </c:pt>
                <c:pt idx="3962">
                  <c:v>0.23124090048246</c:v>
                </c:pt>
                <c:pt idx="3963">
                  <c:v>0.232164008652581</c:v>
                </c:pt>
                <c:pt idx="3964">
                  <c:v>0.235609374894266</c:v>
                </c:pt>
                <c:pt idx="3965">
                  <c:v>0.235659011580674</c:v>
                </c:pt>
                <c:pt idx="3966">
                  <c:v>0.225873244189892</c:v>
                </c:pt>
                <c:pt idx="3967">
                  <c:v>0.224111812468808</c:v>
                </c:pt>
                <c:pt idx="3968">
                  <c:v>0.226936840567728</c:v>
                </c:pt>
                <c:pt idx="3969">
                  <c:v>0.228753425956749</c:v>
                </c:pt>
                <c:pt idx="3970">
                  <c:v>0.224885779525401</c:v>
                </c:pt>
                <c:pt idx="3971">
                  <c:v>0.226491381747538</c:v>
                </c:pt>
                <c:pt idx="3972">
                  <c:v>0.227747221149868</c:v>
                </c:pt>
                <c:pt idx="3973">
                  <c:v>0.226672351864567</c:v>
                </c:pt>
                <c:pt idx="3974">
                  <c:v>0.241468518240468</c:v>
                </c:pt>
                <c:pt idx="3975">
                  <c:v>0.231770229538113</c:v>
                </c:pt>
                <c:pt idx="3976">
                  <c:v>0.22688827169837</c:v>
                </c:pt>
                <c:pt idx="3977">
                  <c:v>0.222394843091047</c:v>
                </c:pt>
                <c:pt idx="3978">
                  <c:v>0.230052441995075</c:v>
                </c:pt>
                <c:pt idx="3979">
                  <c:v>0.224609002647191</c:v>
                </c:pt>
                <c:pt idx="3980">
                  <c:v>0.232450787547593</c:v>
                </c:pt>
                <c:pt idx="3981">
                  <c:v>0.226577215453806</c:v>
                </c:pt>
                <c:pt idx="3982">
                  <c:v>0.228166966966234</c:v>
                </c:pt>
                <c:pt idx="3983">
                  <c:v>0.229947772910803</c:v>
                </c:pt>
                <c:pt idx="3984">
                  <c:v>0.241553846872222</c:v>
                </c:pt>
                <c:pt idx="3985">
                  <c:v>0.225887222097395</c:v>
                </c:pt>
                <c:pt idx="3986">
                  <c:v>0.230971452167885</c:v>
                </c:pt>
                <c:pt idx="3987">
                  <c:v>0.223289320294843</c:v>
                </c:pt>
                <c:pt idx="3988">
                  <c:v>0.2279936602941</c:v>
                </c:pt>
                <c:pt idx="3989">
                  <c:v>0.240979946687269</c:v>
                </c:pt>
                <c:pt idx="3990">
                  <c:v>0.236060477712052</c:v>
                </c:pt>
                <c:pt idx="3991">
                  <c:v>0.226116719438289</c:v>
                </c:pt>
                <c:pt idx="3992">
                  <c:v>0.230887982343875</c:v>
                </c:pt>
                <c:pt idx="3993">
                  <c:v>0.227288856637879</c:v>
                </c:pt>
                <c:pt idx="3994">
                  <c:v>0.221998570371044</c:v>
                </c:pt>
                <c:pt idx="3995">
                  <c:v>0.223214037467488</c:v>
                </c:pt>
                <c:pt idx="3996">
                  <c:v>0.229443970136582</c:v>
                </c:pt>
                <c:pt idx="3997">
                  <c:v>0.243865632071009</c:v>
                </c:pt>
                <c:pt idx="3998">
                  <c:v>0.222803536213691</c:v>
                </c:pt>
                <c:pt idx="3999">
                  <c:v>0.234378084416764</c:v>
                </c:pt>
                <c:pt idx="4000">
                  <c:v>0.221710881277144</c:v>
                </c:pt>
                <c:pt idx="4001">
                  <c:v>0.225785790379573</c:v>
                </c:pt>
                <c:pt idx="4002">
                  <c:v>0.230808145611073</c:v>
                </c:pt>
                <c:pt idx="4003">
                  <c:v>0.226353363874528</c:v>
                </c:pt>
                <c:pt idx="4004">
                  <c:v>0.226776565634423</c:v>
                </c:pt>
                <c:pt idx="4005">
                  <c:v>0.225919193229596</c:v>
                </c:pt>
                <c:pt idx="4006">
                  <c:v>0.231510056739273</c:v>
                </c:pt>
                <c:pt idx="4007">
                  <c:v>0.229784636481648</c:v>
                </c:pt>
                <c:pt idx="4008">
                  <c:v>0.228511848451876</c:v>
                </c:pt>
                <c:pt idx="4009">
                  <c:v>0.224556042050018</c:v>
                </c:pt>
                <c:pt idx="4010">
                  <c:v>0.227267000936728</c:v>
                </c:pt>
                <c:pt idx="4011">
                  <c:v>0.229084753238085</c:v>
                </c:pt>
                <c:pt idx="4012">
                  <c:v>0.234846727152925</c:v>
                </c:pt>
                <c:pt idx="4013">
                  <c:v>0.23368413509976</c:v>
                </c:pt>
                <c:pt idx="4014">
                  <c:v>0.223739557994699</c:v>
                </c:pt>
                <c:pt idx="4015">
                  <c:v>0.242054809587031</c:v>
                </c:pt>
                <c:pt idx="4016">
                  <c:v>0.221914765658879</c:v>
                </c:pt>
                <c:pt idx="4017">
                  <c:v>0.232137873017733</c:v>
                </c:pt>
                <c:pt idx="4018">
                  <c:v>0.225248011366601</c:v>
                </c:pt>
                <c:pt idx="4019">
                  <c:v>0.225505636057207</c:v>
                </c:pt>
                <c:pt idx="4020">
                  <c:v>0.224797079640137</c:v>
                </c:pt>
                <c:pt idx="4021">
                  <c:v>0.228344445775971</c:v>
                </c:pt>
                <c:pt idx="4022">
                  <c:v>0.23404233262634</c:v>
                </c:pt>
                <c:pt idx="4023">
                  <c:v>0.228718745617304</c:v>
                </c:pt>
                <c:pt idx="4024">
                  <c:v>0.238585697039304</c:v>
                </c:pt>
                <c:pt idx="4025">
                  <c:v>0.221639192974905</c:v>
                </c:pt>
                <c:pt idx="4026">
                  <c:v>0.242091890013848</c:v>
                </c:pt>
                <c:pt idx="4027">
                  <c:v>0.222015579609778</c:v>
                </c:pt>
                <c:pt idx="4028">
                  <c:v>0.240669201455309</c:v>
                </c:pt>
                <c:pt idx="4029">
                  <c:v>0.226620669647234</c:v>
                </c:pt>
                <c:pt idx="4030">
                  <c:v>0.225270380894876</c:v>
                </c:pt>
                <c:pt idx="4031">
                  <c:v>0.225362286185771</c:v>
                </c:pt>
                <c:pt idx="4032">
                  <c:v>0.23701870466614</c:v>
                </c:pt>
                <c:pt idx="4033">
                  <c:v>0.223661593894823</c:v>
                </c:pt>
                <c:pt idx="4034">
                  <c:v>0.225356005465879</c:v>
                </c:pt>
                <c:pt idx="4035">
                  <c:v>0.225707850394214</c:v>
                </c:pt>
                <c:pt idx="4036">
                  <c:v>0.223320372501405</c:v>
                </c:pt>
                <c:pt idx="4037">
                  <c:v>0.224609383451446</c:v>
                </c:pt>
                <c:pt idx="4038">
                  <c:v>0.22132842315919</c:v>
                </c:pt>
                <c:pt idx="4039">
                  <c:v>0.22610911136595</c:v>
                </c:pt>
                <c:pt idx="4040">
                  <c:v>0.22939288641318</c:v>
                </c:pt>
                <c:pt idx="4041">
                  <c:v>0.223436156721112</c:v>
                </c:pt>
                <c:pt idx="4042">
                  <c:v>0.23504242866998</c:v>
                </c:pt>
                <c:pt idx="4043">
                  <c:v>0.227800602035144</c:v>
                </c:pt>
                <c:pt idx="4044">
                  <c:v>0.222406934071054</c:v>
                </c:pt>
                <c:pt idx="4045">
                  <c:v>0.23169574326102</c:v>
                </c:pt>
                <c:pt idx="4046">
                  <c:v>0.239128905786186</c:v>
                </c:pt>
                <c:pt idx="4047">
                  <c:v>0.225518901676863</c:v>
                </c:pt>
                <c:pt idx="4048">
                  <c:v>0.231069486818695</c:v>
                </c:pt>
                <c:pt idx="4049">
                  <c:v>0.242858727650242</c:v>
                </c:pt>
                <c:pt idx="4050">
                  <c:v>0.227469430262808</c:v>
                </c:pt>
                <c:pt idx="4051">
                  <c:v>0.22533675580842</c:v>
                </c:pt>
                <c:pt idx="4052">
                  <c:v>0.248915341874709</c:v>
                </c:pt>
                <c:pt idx="4053">
                  <c:v>0.235888927694929</c:v>
                </c:pt>
                <c:pt idx="4054">
                  <c:v>0.222462574095359</c:v>
                </c:pt>
                <c:pt idx="4055">
                  <c:v>0.228483246537074</c:v>
                </c:pt>
                <c:pt idx="4056">
                  <c:v>0.223773877565342</c:v>
                </c:pt>
                <c:pt idx="4057">
                  <c:v>0.224392079512156</c:v>
                </c:pt>
                <c:pt idx="4058">
                  <c:v>0.229014215119025</c:v>
                </c:pt>
                <c:pt idx="4059">
                  <c:v>0.226253812368339</c:v>
                </c:pt>
                <c:pt idx="4060">
                  <c:v>0.234107530208893</c:v>
                </c:pt>
                <c:pt idx="4061">
                  <c:v>0.228580373489023</c:v>
                </c:pt>
                <c:pt idx="4062">
                  <c:v>0.225125118030036</c:v>
                </c:pt>
                <c:pt idx="4063">
                  <c:v>0.228161497966925</c:v>
                </c:pt>
                <c:pt idx="4064">
                  <c:v>0.22397804414191</c:v>
                </c:pt>
                <c:pt idx="4065">
                  <c:v>0.231233109936689</c:v>
                </c:pt>
                <c:pt idx="4066">
                  <c:v>0.231884163222283</c:v>
                </c:pt>
                <c:pt idx="4067">
                  <c:v>0.223207630267454</c:v>
                </c:pt>
                <c:pt idx="4068">
                  <c:v>0.251796272090957</c:v>
                </c:pt>
                <c:pt idx="4069">
                  <c:v>0.223577350485387</c:v>
                </c:pt>
                <c:pt idx="4070">
                  <c:v>0.228018369130008</c:v>
                </c:pt>
                <c:pt idx="4071">
                  <c:v>0.223719513316716</c:v>
                </c:pt>
                <c:pt idx="4072">
                  <c:v>0.229840254966083</c:v>
                </c:pt>
                <c:pt idx="4073">
                  <c:v>0.223112450241172</c:v>
                </c:pt>
                <c:pt idx="4074">
                  <c:v>0.235760589109278</c:v>
                </c:pt>
                <c:pt idx="4075">
                  <c:v>0.225607976997561</c:v>
                </c:pt>
                <c:pt idx="4076">
                  <c:v>0.224806443421721</c:v>
                </c:pt>
                <c:pt idx="4077">
                  <c:v>0.223453145826989</c:v>
                </c:pt>
                <c:pt idx="4078">
                  <c:v>0.231176110657161</c:v>
                </c:pt>
                <c:pt idx="4079">
                  <c:v>0.22443056725719</c:v>
                </c:pt>
                <c:pt idx="4080">
                  <c:v>0.246744801113472</c:v>
                </c:pt>
                <c:pt idx="4081">
                  <c:v>0.225754705540016</c:v>
                </c:pt>
                <c:pt idx="4082">
                  <c:v>0.238903286726172</c:v>
                </c:pt>
                <c:pt idx="4083">
                  <c:v>0.224269335829321</c:v>
                </c:pt>
                <c:pt idx="4084">
                  <c:v>0.225055816697909</c:v>
                </c:pt>
                <c:pt idx="4085">
                  <c:v>0.224048551996117</c:v>
                </c:pt>
                <c:pt idx="4086">
                  <c:v>0.230315837127902</c:v>
                </c:pt>
                <c:pt idx="4087">
                  <c:v>0.232262360732149</c:v>
                </c:pt>
                <c:pt idx="4088">
                  <c:v>0.226403341318448</c:v>
                </c:pt>
                <c:pt idx="4089">
                  <c:v>0.230789961838596</c:v>
                </c:pt>
                <c:pt idx="4090">
                  <c:v>0.223493061246146</c:v>
                </c:pt>
                <c:pt idx="4091">
                  <c:v>0.222583403880042</c:v>
                </c:pt>
                <c:pt idx="4092">
                  <c:v>0.225177569631338</c:v>
                </c:pt>
                <c:pt idx="4093">
                  <c:v>0.232090498745089</c:v>
                </c:pt>
                <c:pt idx="4094">
                  <c:v>0.230618991939541</c:v>
                </c:pt>
                <c:pt idx="4095">
                  <c:v>0.226279262816097</c:v>
                </c:pt>
                <c:pt idx="4096">
                  <c:v>0.243222624070559</c:v>
                </c:pt>
                <c:pt idx="4097">
                  <c:v>0.23214467089064</c:v>
                </c:pt>
                <c:pt idx="4098">
                  <c:v>0.234661687687297</c:v>
                </c:pt>
                <c:pt idx="4099">
                  <c:v>0.221545952119522</c:v>
                </c:pt>
                <c:pt idx="4100">
                  <c:v>0.223820678970477</c:v>
                </c:pt>
                <c:pt idx="4101">
                  <c:v>0.22898210485786</c:v>
                </c:pt>
                <c:pt idx="4102">
                  <c:v>0.231886225988949</c:v>
                </c:pt>
                <c:pt idx="4103">
                  <c:v>0.22548538802586</c:v>
                </c:pt>
                <c:pt idx="4104">
                  <c:v>0.22962036613608</c:v>
                </c:pt>
                <c:pt idx="4105">
                  <c:v>0.230590549919143</c:v>
                </c:pt>
                <c:pt idx="4106">
                  <c:v>0.244022300563103</c:v>
                </c:pt>
                <c:pt idx="4107">
                  <c:v>0.221432002194303</c:v>
                </c:pt>
                <c:pt idx="4108">
                  <c:v>0.236181302595942</c:v>
                </c:pt>
                <c:pt idx="4109">
                  <c:v>0.241717010161265</c:v>
                </c:pt>
                <c:pt idx="4110">
                  <c:v>0.229593651904014</c:v>
                </c:pt>
                <c:pt idx="4111">
                  <c:v>0.225022919680151</c:v>
                </c:pt>
                <c:pt idx="4112">
                  <c:v>0.236099985023063</c:v>
                </c:pt>
                <c:pt idx="4113">
                  <c:v>0.236239433815205</c:v>
                </c:pt>
                <c:pt idx="4114">
                  <c:v>0.23057887838333</c:v>
                </c:pt>
                <c:pt idx="4115">
                  <c:v>0.223302004046984</c:v>
                </c:pt>
                <c:pt idx="4116">
                  <c:v>0.243239413492312</c:v>
                </c:pt>
                <c:pt idx="4117">
                  <c:v>0.221971647103124</c:v>
                </c:pt>
                <c:pt idx="4118">
                  <c:v>0.226971363752157</c:v>
                </c:pt>
                <c:pt idx="4119">
                  <c:v>0.221501754810818</c:v>
                </c:pt>
                <c:pt idx="4120">
                  <c:v>0.223133258571311</c:v>
                </c:pt>
                <c:pt idx="4121">
                  <c:v>0.242857818288358</c:v>
                </c:pt>
                <c:pt idx="4122">
                  <c:v>0.22276417251038</c:v>
                </c:pt>
                <c:pt idx="4123">
                  <c:v>0.22135254257941</c:v>
                </c:pt>
                <c:pt idx="4124">
                  <c:v>0.231861566025159</c:v>
                </c:pt>
                <c:pt idx="4125">
                  <c:v>0.223114545354578</c:v>
                </c:pt>
                <c:pt idx="4126">
                  <c:v>0.229921397858091</c:v>
                </c:pt>
                <c:pt idx="4127">
                  <c:v>0.225340003906913</c:v>
                </c:pt>
                <c:pt idx="4128">
                  <c:v>0.227875320699915</c:v>
                </c:pt>
                <c:pt idx="4129">
                  <c:v>0.231995975344125</c:v>
                </c:pt>
                <c:pt idx="4130">
                  <c:v>0.228012229030872</c:v>
                </c:pt>
                <c:pt idx="4131">
                  <c:v>0.225840154000251</c:v>
                </c:pt>
                <c:pt idx="4132">
                  <c:v>0.22293402928421</c:v>
                </c:pt>
                <c:pt idx="4133">
                  <c:v>0.234249529863132</c:v>
                </c:pt>
                <c:pt idx="4134">
                  <c:v>0.231808386723877</c:v>
                </c:pt>
                <c:pt idx="4135">
                  <c:v>0.234481097982477</c:v>
                </c:pt>
                <c:pt idx="4136">
                  <c:v>0.225871990098779</c:v>
                </c:pt>
                <c:pt idx="4137">
                  <c:v>0.224221735959558</c:v>
                </c:pt>
                <c:pt idx="4138">
                  <c:v>0.224327908138418</c:v>
                </c:pt>
                <c:pt idx="4139">
                  <c:v>0.227949802862268</c:v>
                </c:pt>
                <c:pt idx="4140">
                  <c:v>0.22452294104252</c:v>
                </c:pt>
                <c:pt idx="4141">
                  <c:v>0.229983641473727</c:v>
                </c:pt>
                <c:pt idx="4142">
                  <c:v>0.227636332803459</c:v>
                </c:pt>
                <c:pt idx="4143">
                  <c:v>0.231811153508936</c:v>
                </c:pt>
                <c:pt idx="4144">
                  <c:v>0.224292492776083</c:v>
                </c:pt>
                <c:pt idx="4145">
                  <c:v>0.223159632667991</c:v>
                </c:pt>
                <c:pt idx="4146">
                  <c:v>0.237832732236567</c:v>
                </c:pt>
                <c:pt idx="4147">
                  <c:v>0.229418137774432</c:v>
                </c:pt>
                <c:pt idx="4148">
                  <c:v>0.240868514715664</c:v>
                </c:pt>
                <c:pt idx="4149">
                  <c:v>0.22455394630887</c:v>
                </c:pt>
                <c:pt idx="4150">
                  <c:v>0.22879445791814</c:v>
                </c:pt>
                <c:pt idx="4151">
                  <c:v>0.223870423637976</c:v>
                </c:pt>
                <c:pt idx="4152">
                  <c:v>0.231569943364532</c:v>
                </c:pt>
                <c:pt idx="4153">
                  <c:v>0.232841745202047</c:v>
                </c:pt>
                <c:pt idx="4154">
                  <c:v>0.225212962690887</c:v>
                </c:pt>
                <c:pt idx="4155">
                  <c:v>0.225165278948989</c:v>
                </c:pt>
                <c:pt idx="4156">
                  <c:v>0.227495468612754</c:v>
                </c:pt>
                <c:pt idx="4157">
                  <c:v>0.222383400087459</c:v>
                </c:pt>
                <c:pt idx="4158">
                  <c:v>0.223378272393556</c:v>
                </c:pt>
                <c:pt idx="4159">
                  <c:v>0.22523700408008</c:v>
                </c:pt>
                <c:pt idx="4160">
                  <c:v>0.227076223203319</c:v>
                </c:pt>
                <c:pt idx="4161">
                  <c:v>0.242169284351694</c:v>
                </c:pt>
                <c:pt idx="4162">
                  <c:v>0.221402145558095</c:v>
                </c:pt>
                <c:pt idx="4163">
                  <c:v>0.227009654410461</c:v>
                </c:pt>
                <c:pt idx="4164">
                  <c:v>0.223530434988607</c:v>
                </c:pt>
                <c:pt idx="4165">
                  <c:v>0.223725411434401</c:v>
                </c:pt>
                <c:pt idx="4166">
                  <c:v>0.226877135937136</c:v>
                </c:pt>
                <c:pt idx="4167">
                  <c:v>0.247593231461599</c:v>
                </c:pt>
                <c:pt idx="4168">
                  <c:v>0.232745247679415</c:v>
                </c:pt>
                <c:pt idx="4169">
                  <c:v>0.222897337517702</c:v>
                </c:pt>
                <c:pt idx="4170">
                  <c:v>0.236081577036866</c:v>
                </c:pt>
                <c:pt idx="4171">
                  <c:v>0.228716720006374</c:v>
                </c:pt>
                <c:pt idx="4172">
                  <c:v>0.231226523873829</c:v>
                </c:pt>
                <c:pt idx="4173">
                  <c:v>0.226366974319826</c:v>
                </c:pt>
                <c:pt idx="4174">
                  <c:v>0.227362423491039</c:v>
                </c:pt>
                <c:pt idx="4175">
                  <c:v>0.232567767095173</c:v>
                </c:pt>
                <c:pt idx="4176">
                  <c:v>0.222394628022479</c:v>
                </c:pt>
                <c:pt idx="4177">
                  <c:v>0.221317312077646</c:v>
                </c:pt>
                <c:pt idx="4178">
                  <c:v>0.236628904943105</c:v>
                </c:pt>
                <c:pt idx="4179">
                  <c:v>0.224769910229726</c:v>
                </c:pt>
                <c:pt idx="4180">
                  <c:v>0.242276304598145</c:v>
                </c:pt>
                <c:pt idx="4181">
                  <c:v>0.227196979702379</c:v>
                </c:pt>
                <c:pt idx="4182">
                  <c:v>0.227005579725359</c:v>
                </c:pt>
                <c:pt idx="4183">
                  <c:v>0.225038066408525</c:v>
                </c:pt>
                <c:pt idx="4184">
                  <c:v>0.232379787349031</c:v>
                </c:pt>
                <c:pt idx="4185">
                  <c:v>0.227985782178267</c:v>
                </c:pt>
                <c:pt idx="4186">
                  <c:v>0.224405527859596</c:v>
                </c:pt>
                <c:pt idx="4187">
                  <c:v>0.235187682157831</c:v>
                </c:pt>
                <c:pt idx="4188">
                  <c:v>0.231458199907201</c:v>
                </c:pt>
                <c:pt idx="4189">
                  <c:v>0.242417143296275</c:v>
                </c:pt>
                <c:pt idx="4190">
                  <c:v>0.227157709525764</c:v>
                </c:pt>
                <c:pt idx="4191">
                  <c:v>0.236713874368254</c:v>
                </c:pt>
                <c:pt idx="4192">
                  <c:v>0.240944332311353</c:v>
                </c:pt>
                <c:pt idx="4193">
                  <c:v>0.239842504855651</c:v>
                </c:pt>
                <c:pt idx="4194">
                  <c:v>0.227345170944605</c:v>
                </c:pt>
                <c:pt idx="4195">
                  <c:v>0.233639741091643</c:v>
                </c:pt>
                <c:pt idx="4196">
                  <c:v>0.224985628055566</c:v>
                </c:pt>
                <c:pt idx="4197">
                  <c:v>0.223515370411502</c:v>
                </c:pt>
                <c:pt idx="4198">
                  <c:v>0.248105183343209</c:v>
                </c:pt>
                <c:pt idx="4199">
                  <c:v>0.228051588683466</c:v>
                </c:pt>
                <c:pt idx="4200">
                  <c:v>0.230397774738354</c:v>
                </c:pt>
                <c:pt idx="4201">
                  <c:v>0.231097007050704</c:v>
                </c:pt>
                <c:pt idx="4202">
                  <c:v>0.229188397373298</c:v>
                </c:pt>
                <c:pt idx="4203">
                  <c:v>0.226747046679378</c:v>
                </c:pt>
                <c:pt idx="4204">
                  <c:v>0.235275348637268</c:v>
                </c:pt>
                <c:pt idx="4205">
                  <c:v>0.223548695658932</c:v>
                </c:pt>
                <c:pt idx="4206">
                  <c:v>0.236960691678638</c:v>
                </c:pt>
                <c:pt idx="4207">
                  <c:v>0.227728898194107</c:v>
                </c:pt>
                <c:pt idx="4208">
                  <c:v>0.22591585375823</c:v>
                </c:pt>
                <c:pt idx="4209">
                  <c:v>0.223981309124032</c:v>
                </c:pt>
                <c:pt idx="4210">
                  <c:v>0.225959456706519</c:v>
                </c:pt>
                <c:pt idx="4211">
                  <c:v>0.228405537194968</c:v>
                </c:pt>
                <c:pt idx="4212">
                  <c:v>0.226621980255191</c:v>
                </c:pt>
                <c:pt idx="4213">
                  <c:v>0.223957817428779</c:v>
                </c:pt>
                <c:pt idx="4214">
                  <c:v>0.227980750489618</c:v>
                </c:pt>
                <c:pt idx="4215">
                  <c:v>0.222237559879306</c:v>
                </c:pt>
                <c:pt idx="4216">
                  <c:v>0.227829607161089</c:v>
                </c:pt>
                <c:pt idx="4217">
                  <c:v>0.232242827186045</c:v>
                </c:pt>
                <c:pt idx="4218">
                  <c:v>0.232125667831509</c:v>
                </c:pt>
                <c:pt idx="4219">
                  <c:v>0.243978590703525</c:v>
                </c:pt>
                <c:pt idx="4220">
                  <c:v>0.232967353507498</c:v>
                </c:pt>
                <c:pt idx="4221">
                  <c:v>0.223854495284468</c:v>
                </c:pt>
                <c:pt idx="4222">
                  <c:v>0.225652588571518</c:v>
                </c:pt>
                <c:pt idx="4223">
                  <c:v>0.22466348839517</c:v>
                </c:pt>
                <c:pt idx="4224">
                  <c:v>0.221324473666172</c:v>
                </c:pt>
                <c:pt idx="4225">
                  <c:v>0.223950918072764</c:v>
                </c:pt>
                <c:pt idx="4226">
                  <c:v>0.223587931343242</c:v>
                </c:pt>
                <c:pt idx="4227">
                  <c:v>0.223678644334176</c:v>
                </c:pt>
                <c:pt idx="4228">
                  <c:v>0.229856573248811</c:v>
                </c:pt>
                <c:pt idx="4229">
                  <c:v>0.235460278342832</c:v>
                </c:pt>
                <c:pt idx="4230">
                  <c:v>0.227258810420164</c:v>
                </c:pt>
                <c:pt idx="4231">
                  <c:v>0.225241068429032</c:v>
                </c:pt>
                <c:pt idx="4232">
                  <c:v>0.238363406935591</c:v>
                </c:pt>
                <c:pt idx="4233">
                  <c:v>0.234848069724566</c:v>
                </c:pt>
                <c:pt idx="4234">
                  <c:v>0.227179098097062</c:v>
                </c:pt>
                <c:pt idx="4235">
                  <c:v>0.222925231176029</c:v>
                </c:pt>
                <c:pt idx="4236">
                  <c:v>0.224519388054363</c:v>
                </c:pt>
                <c:pt idx="4237">
                  <c:v>0.235753215606263</c:v>
                </c:pt>
                <c:pt idx="4238">
                  <c:v>0.225360670044017</c:v>
                </c:pt>
                <c:pt idx="4239">
                  <c:v>0.228322224137131</c:v>
                </c:pt>
                <c:pt idx="4240">
                  <c:v>0.22784111325319</c:v>
                </c:pt>
                <c:pt idx="4241">
                  <c:v>0.225360311456969</c:v>
                </c:pt>
                <c:pt idx="4242">
                  <c:v>0.225954352618053</c:v>
                </c:pt>
                <c:pt idx="4243">
                  <c:v>0.225312711251929</c:v>
                </c:pt>
                <c:pt idx="4244">
                  <c:v>0.221797491159171</c:v>
                </c:pt>
                <c:pt idx="4245">
                  <c:v>0.225592555216496</c:v>
                </c:pt>
                <c:pt idx="4246">
                  <c:v>0.224759114249729</c:v>
                </c:pt>
                <c:pt idx="4247">
                  <c:v>0.225453171804649</c:v>
                </c:pt>
                <c:pt idx="4248">
                  <c:v>0.225225499048894</c:v>
                </c:pt>
                <c:pt idx="4249">
                  <c:v>0.221527420039514</c:v>
                </c:pt>
                <c:pt idx="4250">
                  <c:v>0.238249838044489</c:v>
                </c:pt>
                <c:pt idx="4251">
                  <c:v>0.241442397590658</c:v>
                </c:pt>
                <c:pt idx="4252">
                  <c:v>0.232981183754515</c:v>
                </c:pt>
                <c:pt idx="4253">
                  <c:v>0.229319526943097</c:v>
                </c:pt>
                <c:pt idx="4254">
                  <c:v>0.230067703051132</c:v>
                </c:pt>
                <c:pt idx="4255">
                  <c:v>0.229089928823236</c:v>
                </c:pt>
                <c:pt idx="4256">
                  <c:v>0.231580272285692</c:v>
                </c:pt>
                <c:pt idx="4257">
                  <c:v>0.221862002325526</c:v>
                </c:pt>
                <c:pt idx="4258">
                  <c:v>0.225590637202133</c:v>
                </c:pt>
                <c:pt idx="4259">
                  <c:v>0.224783930480284</c:v>
                </c:pt>
                <c:pt idx="4260">
                  <c:v>0.229451765903238</c:v>
                </c:pt>
                <c:pt idx="4261">
                  <c:v>0.234165444921837</c:v>
                </c:pt>
                <c:pt idx="4262">
                  <c:v>0.242693703271475</c:v>
                </c:pt>
                <c:pt idx="4263">
                  <c:v>0.224766726219701</c:v>
                </c:pt>
                <c:pt idx="4264">
                  <c:v>0.22722432119509</c:v>
                </c:pt>
                <c:pt idx="4265">
                  <c:v>0.225065739038738</c:v>
                </c:pt>
                <c:pt idx="4266">
                  <c:v>0.22413143635987</c:v>
                </c:pt>
                <c:pt idx="4267">
                  <c:v>0.246524747582977</c:v>
                </c:pt>
                <c:pt idx="4268">
                  <c:v>0.226797648961769</c:v>
                </c:pt>
                <c:pt idx="4269">
                  <c:v>0.230204123100103</c:v>
                </c:pt>
                <c:pt idx="4270">
                  <c:v>0.230942176947383</c:v>
                </c:pt>
                <c:pt idx="4271">
                  <c:v>0.229624343455614</c:v>
                </c:pt>
                <c:pt idx="4272">
                  <c:v>0.227231351627379</c:v>
                </c:pt>
                <c:pt idx="4273">
                  <c:v>0.224087188555487</c:v>
                </c:pt>
                <c:pt idx="4274">
                  <c:v>0.238596108422733</c:v>
                </c:pt>
                <c:pt idx="4275">
                  <c:v>0.240502119055247</c:v>
                </c:pt>
                <c:pt idx="4276">
                  <c:v>0.22327877082913</c:v>
                </c:pt>
                <c:pt idx="4277">
                  <c:v>0.232618014353865</c:v>
                </c:pt>
                <c:pt idx="4278">
                  <c:v>0.233906161431717</c:v>
                </c:pt>
                <c:pt idx="4279">
                  <c:v>0.222859278004228</c:v>
                </c:pt>
                <c:pt idx="4280">
                  <c:v>0.223782029691005</c:v>
                </c:pt>
                <c:pt idx="4281">
                  <c:v>0.233672135153052</c:v>
                </c:pt>
                <c:pt idx="4282">
                  <c:v>0.228070146198353</c:v>
                </c:pt>
                <c:pt idx="4283">
                  <c:v>0.223044422109881</c:v>
                </c:pt>
                <c:pt idx="4284">
                  <c:v>0.223614750840257</c:v>
                </c:pt>
                <c:pt idx="4285">
                  <c:v>0.235490303381893</c:v>
                </c:pt>
                <c:pt idx="4286">
                  <c:v>0.222889441431913</c:v>
                </c:pt>
                <c:pt idx="4287">
                  <c:v>0.223133824620942</c:v>
                </c:pt>
                <c:pt idx="4288">
                  <c:v>0.228660087965362</c:v>
                </c:pt>
                <c:pt idx="4289">
                  <c:v>0.235596760088549</c:v>
                </c:pt>
                <c:pt idx="4290">
                  <c:v>0.227416472797542</c:v>
                </c:pt>
                <c:pt idx="4291">
                  <c:v>0.241098195883517</c:v>
                </c:pt>
                <c:pt idx="4292">
                  <c:v>0.226394429078415</c:v>
                </c:pt>
                <c:pt idx="4293">
                  <c:v>0.23604000742206</c:v>
                </c:pt>
                <c:pt idx="4294">
                  <c:v>0.226524667536651</c:v>
                </c:pt>
                <c:pt idx="4295">
                  <c:v>0.236111615458924</c:v>
                </c:pt>
                <c:pt idx="4296">
                  <c:v>0.224785528559053</c:v>
                </c:pt>
                <c:pt idx="4297">
                  <c:v>0.229365229834764</c:v>
                </c:pt>
                <c:pt idx="4298">
                  <c:v>0.225675742558009</c:v>
                </c:pt>
                <c:pt idx="4299">
                  <c:v>0.229573530009411</c:v>
                </c:pt>
                <c:pt idx="4300">
                  <c:v>0.226605399153251</c:v>
                </c:pt>
                <c:pt idx="4301">
                  <c:v>0.225942737062667</c:v>
                </c:pt>
                <c:pt idx="4302">
                  <c:v>0.228822145048447</c:v>
                </c:pt>
                <c:pt idx="4303">
                  <c:v>0.225058913569147</c:v>
                </c:pt>
                <c:pt idx="4304">
                  <c:v>0.222487557639062</c:v>
                </c:pt>
                <c:pt idx="4305">
                  <c:v>0.226200581647066</c:v>
                </c:pt>
                <c:pt idx="4306">
                  <c:v>0.242206261099494</c:v>
                </c:pt>
                <c:pt idx="4307">
                  <c:v>0.236667658870102</c:v>
                </c:pt>
                <c:pt idx="4308">
                  <c:v>0.2256665983559</c:v>
                </c:pt>
                <c:pt idx="4309">
                  <c:v>0.228676626461422</c:v>
                </c:pt>
                <c:pt idx="4310">
                  <c:v>0.229974099136937</c:v>
                </c:pt>
                <c:pt idx="4311">
                  <c:v>0.231739256478675</c:v>
                </c:pt>
                <c:pt idx="4312">
                  <c:v>0.222286672271922</c:v>
                </c:pt>
                <c:pt idx="4313">
                  <c:v>0.231368335294085</c:v>
                </c:pt>
                <c:pt idx="4314">
                  <c:v>0.244176428603889</c:v>
                </c:pt>
                <c:pt idx="4315">
                  <c:v>0.229681148335754</c:v>
                </c:pt>
                <c:pt idx="4316">
                  <c:v>0.221288781373881</c:v>
                </c:pt>
                <c:pt idx="4317">
                  <c:v>0.224573619206559</c:v>
                </c:pt>
                <c:pt idx="4318">
                  <c:v>0.231764732534621</c:v>
                </c:pt>
                <c:pt idx="4319">
                  <c:v>0.224534717323518</c:v>
                </c:pt>
                <c:pt idx="4320">
                  <c:v>0.25756598944029</c:v>
                </c:pt>
                <c:pt idx="4321">
                  <c:v>0.224846692897871</c:v>
                </c:pt>
                <c:pt idx="4322">
                  <c:v>0.229973536845945</c:v>
                </c:pt>
                <c:pt idx="4323">
                  <c:v>0.235593333374517</c:v>
                </c:pt>
                <c:pt idx="4324">
                  <c:v>0.225087193297332</c:v>
                </c:pt>
                <c:pt idx="4325">
                  <c:v>0.228467611740404</c:v>
                </c:pt>
                <c:pt idx="4326">
                  <c:v>0.237515874548393</c:v>
                </c:pt>
                <c:pt idx="4327">
                  <c:v>0.229056608484172</c:v>
                </c:pt>
                <c:pt idx="4328">
                  <c:v>0.23380642240102</c:v>
                </c:pt>
                <c:pt idx="4329">
                  <c:v>0.25138467985177</c:v>
                </c:pt>
                <c:pt idx="4330">
                  <c:v>0.226116927829723</c:v>
                </c:pt>
                <c:pt idx="4331">
                  <c:v>0.241103469976053</c:v>
                </c:pt>
                <c:pt idx="4332">
                  <c:v>0.227488401692646</c:v>
                </c:pt>
                <c:pt idx="4333">
                  <c:v>0.250791288195491</c:v>
                </c:pt>
                <c:pt idx="4334">
                  <c:v>0.227329579040807</c:v>
                </c:pt>
                <c:pt idx="4335">
                  <c:v>0.228918275399166</c:v>
                </c:pt>
                <c:pt idx="4336">
                  <c:v>0.235291421832853</c:v>
                </c:pt>
                <c:pt idx="4337">
                  <c:v>0.227846236842751</c:v>
                </c:pt>
                <c:pt idx="4338">
                  <c:v>0.224410077064739</c:v>
                </c:pt>
                <c:pt idx="4339">
                  <c:v>0.228875338182243</c:v>
                </c:pt>
                <c:pt idx="4340">
                  <c:v>0.22967493826147</c:v>
                </c:pt>
                <c:pt idx="4341">
                  <c:v>0.228582159085436</c:v>
                </c:pt>
                <c:pt idx="4342">
                  <c:v>0.237299530226017</c:v>
                </c:pt>
                <c:pt idx="4343">
                  <c:v>0.228227130430064</c:v>
                </c:pt>
                <c:pt idx="4344">
                  <c:v>0.225375761228393</c:v>
                </c:pt>
                <c:pt idx="4345">
                  <c:v>0.224608646907682</c:v>
                </c:pt>
                <c:pt idx="4346">
                  <c:v>0.22758602637443</c:v>
                </c:pt>
                <c:pt idx="4347">
                  <c:v>0.228950431275756</c:v>
                </c:pt>
                <c:pt idx="4348">
                  <c:v>0.229412940451137</c:v>
                </c:pt>
                <c:pt idx="4349">
                  <c:v>0.229693748845479</c:v>
                </c:pt>
                <c:pt idx="4350">
                  <c:v>0.224435600899311</c:v>
                </c:pt>
                <c:pt idx="4351">
                  <c:v>0.22354648937313</c:v>
                </c:pt>
                <c:pt idx="4352">
                  <c:v>0.235964094008598</c:v>
                </c:pt>
                <c:pt idx="4353">
                  <c:v>0.233842425712067</c:v>
                </c:pt>
                <c:pt idx="4354">
                  <c:v>0.23750777420433</c:v>
                </c:pt>
                <c:pt idx="4355">
                  <c:v>0.226222539674802</c:v>
                </c:pt>
                <c:pt idx="4356">
                  <c:v>0.224336938313715</c:v>
                </c:pt>
                <c:pt idx="4357">
                  <c:v>0.221636077204314</c:v>
                </c:pt>
                <c:pt idx="4358">
                  <c:v>0.224291392521499</c:v>
                </c:pt>
                <c:pt idx="4359">
                  <c:v>0.228588734801509</c:v>
                </c:pt>
                <c:pt idx="4360">
                  <c:v>0.228585123909334</c:v>
                </c:pt>
                <c:pt idx="4361">
                  <c:v>0.227664273111598</c:v>
                </c:pt>
                <c:pt idx="4362">
                  <c:v>0.233354304414439</c:v>
                </c:pt>
                <c:pt idx="4363">
                  <c:v>0.2236156568373</c:v>
                </c:pt>
                <c:pt idx="4364">
                  <c:v>0.24141462707737</c:v>
                </c:pt>
                <c:pt idx="4365">
                  <c:v>0.227208940387527</c:v>
                </c:pt>
                <c:pt idx="4366">
                  <c:v>0.228187941483156</c:v>
                </c:pt>
                <c:pt idx="4367">
                  <c:v>0.232424439736191</c:v>
                </c:pt>
                <c:pt idx="4368">
                  <c:v>0.225189993281595</c:v>
                </c:pt>
                <c:pt idx="4369">
                  <c:v>0.227879846196807</c:v>
                </c:pt>
                <c:pt idx="4370">
                  <c:v>0.233712850920739</c:v>
                </c:pt>
                <c:pt idx="4371">
                  <c:v>0.228159176717308</c:v>
                </c:pt>
                <c:pt idx="4372">
                  <c:v>0.233268025056311</c:v>
                </c:pt>
                <c:pt idx="4373">
                  <c:v>0.237900386978639</c:v>
                </c:pt>
                <c:pt idx="4374">
                  <c:v>0.242218500622852</c:v>
                </c:pt>
                <c:pt idx="4375">
                  <c:v>0.246371215399217</c:v>
                </c:pt>
                <c:pt idx="4376">
                  <c:v>0.223328412051918</c:v>
                </c:pt>
                <c:pt idx="4377">
                  <c:v>0.234468764385952</c:v>
                </c:pt>
                <c:pt idx="4378">
                  <c:v>0.229309627367521</c:v>
                </c:pt>
                <c:pt idx="4379">
                  <c:v>0.251112286851337</c:v>
                </c:pt>
                <c:pt idx="4380">
                  <c:v>0.221907092023673</c:v>
                </c:pt>
                <c:pt idx="4381">
                  <c:v>0.24407800132556</c:v>
                </c:pt>
                <c:pt idx="4382">
                  <c:v>0.2239340077488</c:v>
                </c:pt>
                <c:pt idx="4383">
                  <c:v>0.226123860637606</c:v>
                </c:pt>
                <c:pt idx="4384">
                  <c:v>0.243129101444665</c:v>
                </c:pt>
                <c:pt idx="4385">
                  <c:v>0.233452682544231</c:v>
                </c:pt>
                <c:pt idx="4386">
                  <c:v>0.221407053863069</c:v>
                </c:pt>
                <c:pt idx="4387">
                  <c:v>0.227090398411358</c:v>
                </c:pt>
                <c:pt idx="4388">
                  <c:v>0.225148766720921</c:v>
                </c:pt>
                <c:pt idx="4389">
                  <c:v>0.235372604745726</c:v>
                </c:pt>
                <c:pt idx="4390">
                  <c:v>0.224800441466328</c:v>
                </c:pt>
                <c:pt idx="4391">
                  <c:v>0.222823120008272</c:v>
                </c:pt>
                <c:pt idx="4392">
                  <c:v>0.223274413165767</c:v>
                </c:pt>
                <c:pt idx="4393">
                  <c:v>0.225630150786771</c:v>
                </c:pt>
                <c:pt idx="4394">
                  <c:v>0.237206176177588</c:v>
                </c:pt>
                <c:pt idx="4395">
                  <c:v>0.224243380080252</c:v>
                </c:pt>
                <c:pt idx="4396">
                  <c:v>0.226064851045581</c:v>
                </c:pt>
                <c:pt idx="4397">
                  <c:v>0.227411023992392</c:v>
                </c:pt>
                <c:pt idx="4398">
                  <c:v>0.230119795871188</c:v>
                </c:pt>
                <c:pt idx="4399">
                  <c:v>0.224177754149599</c:v>
                </c:pt>
                <c:pt idx="4400">
                  <c:v>0.243195740075972</c:v>
                </c:pt>
                <c:pt idx="4401">
                  <c:v>0.225138867001104</c:v>
                </c:pt>
                <c:pt idx="4402">
                  <c:v>0.229306247256861</c:v>
                </c:pt>
                <c:pt idx="4403">
                  <c:v>0.225955049036396</c:v>
                </c:pt>
                <c:pt idx="4404">
                  <c:v>0.242244664972021</c:v>
                </c:pt>
                <c:pt idx="4405">
                  <c:v>0.226927206663456</c:v>
                </c:pt>
                <c:pt idx="4406">
                  <c:v>0.222371639156409</c:v>
                </c:pt>
                <c:pt idx="4407">
                  <c:v>0.225133199579067</c:v>
                </c:pt>
                <c:pt idx="4408">
                  <c:v>0.224056542380364</c:v>
                </c:pt>
                <c:pt idx="4409">
                  <c:v>0.221669804594925</c:v>
                </c:pt>
                <c:pt idx="4410">
                  <c:v>0.242926971870702</c:v>
                </c:pt>
                <c:pt idx="4411">
                  <c:v>0.243079283983214</c:v>
                </c:pt>
                <c:pt idx="4412">
                  <c:v>0.235976399136939</c:v>
                </c:pt>
                <c:pt idx="4413">
                  <c:v>0.225259587015057</c:v>
                </c:pt>
                <c:pt idx="4414">
                  <c:v>0.237325184531282</c:v>
                </c:pt>
                <c:pt idx="4415">
                  <c:v>0.223712283346414</c:v>
                </c:pt>
                <c:pt idx="4416">
                  <c:v>0.226505453728408</c:v>
                </c:pt>
                <c:pt idx="4417">
                  <c:v>0.224436630765044</c:v>
                </c:pt>
                <c:pt idx="4418">
                  <c:v>0.227732597963624</c:v>
                </c:pt>
                <c:pt idx="4419">
                  <c:v>0.221288831638721</c:v>
                </c:pt>
                <c:pt idx="4420">
                  <c:v>0.223482151264233</c:v>
                </c:pt>
                <c:pt idx="4421">
                  <c:v>0.226784011741021</c:v>
                </c:pt>
                <c:pt idx="4422">
                  <c:v>0.243068843796355</c:v>
                </c:pt>
                <c:pt idx="4423">
                  <c:v>0.221709993014809</c:v>
                </c:pt>
                <c:pt idx="4424">
                  <c:v>0.236166421190517</c:v>
                </c:pt>
                <c:pt idx="4425">
                  <c:v>0.231459968119728</c:v>
                </c:pt>
                <c:pt idx="4426">
                  <c:v>0.231399233176711</c:v>
                </c:pt>
                <c:pt idx="4427">
                  <c:v>0.240630846976803</c:v>
                </c:pt>
                <c:pt idx="4428">
                  <c:v>0.230169600582993</c:v>
                </c:pt>
                <c:pt idx="4429">
                  <c:v>0.224098574902086</c:v>
                </c:pt>
                <c:pt idx="4430">
                  <c:v>0.223708567058295</c:v>
                </c:pt>
                <c:pt idx="4431">
                  <c:v>0.243193509226659</c:v>
                </c:pt>
                <c:pt idx="4432">
                  <c:v>0.224666775609818</c:v>
                </c:pt>
                <c:pt idx="4433">
                  <c:v>0.237880094146389</c:v>
                </c:pt>
                <c:pt idx="4434">
                  <c:v>0.228970534219074</c:v>
                </c:pt>
                <c:pt idx="4435">
                  <c:v>0.227440382342216</c:v>
                </c:pt>
                <c:pt idx="4436">
                  <c:v>0.22351558546257</c:v>
                </c:pt>
                <c:pt idx="4437">
                  <c:v>0.226200701330853</c:v>
                </c:pt>
                <c:pt idx="4438">
                  <c:v>0.22166092729254</c:v>
                </c:pt>
                <c:pt idx="4439">
                  <c:v>0.230133873199189</c:v>
                </c:pt>
                <c:pt idx="4440">
                  <c:v>0.223481501279179</c:v>
                </c:pt>
                <c:pt idx="4441">
                  <c:v>0.23113948218071</c:v>
                </c:pt>
                <c:pt idx="4442">
                  <c:v>0.223467050854131</c:v>
                </c:pt>
                <c:pt idx="4443">
                  <c:v>0.222045180243879</c:v>
                </c:pt>
                <c:pt idx="4444">
                  <c:v>0.229485746709686</c:v>
                </c:pt>
                <c:pt idx="4445">
                  <c:v>0.227165331648617</c:v>
                </c:pt>
                <c:pt idx="4446">
                  <c:v>0.230367375339919</c:v>
                </c:pt>
                <c:pt idx="4447">
                  <c:v>0.243076285970063</c:v>
                </c:pt>
                <c:pt idx="4448">
                  <c:v>0.225138203409305</c:v>
                </c:pt>
                <c:pt idx="4449">
                  <c:v>0.232902392655138</c:v>
                </c:pt>
                <c:pt idx="4450">
                  <c:v>0.223407271457568</c:v>
                </c:pt>
                <c:pt idx="4451">
                  <c:v>0.224424859967187</c:v>
                </c:pt>
                <c:pt idx="4452">
                  <c:v>0.241988917416987</c:v>
                </c:pt>
                <c:pt idx="4453">
                  <c:v>0.226723569937852</c:v>
                </c:pt>
                <c:pt idx="4454">
                  <c:v>0.226302414635103</c:v>
                </c:pt>
                <c:pt idx="4455">
                  <c:v>0.225977527925958</c:v>
                </c:pt>
                <c:pt idx="4456">
                  <c:v>0.224763213229608</c:v>
                </c:pt>
                <c:pt idx="4457">
                  <c:v>0.233756960342132</c:v>
                </c:pt>
                <c:pt idx="4458">
                  <c:v>0.23011373425689</c:v>
                </c:pt>
                <c:pt idx="4459">
                  <c:v>0.224052225095782</c:v>
                </c:pt>
                <c:pt idx="4460">
                  <c:v>0.243535517138393</c:v>
                </c:pt>
                <c:pt idx="4461">
                  <c:v>0.226034025862964</c:v>
                </c:pt>
                <c:pt idx="4462">
                  <c:v>0.223855426565825</c:v>
                </c:pt>
                <c:pt idx="4463">
                  <c:v>0.229370728075611</c:v>
                </c:pt>
                <c:pt idx="4464">
                  <c:v>0.239628809191378</c:v>
                </c:pt>
                <c:pt idx="4465">
                  <c:v>0.234371195986077</c:v>
                </c:pt>
                <c:pt idx="4466">
                  <c:v>0.254745672104118</c:v>
                </c:pt>
                <c:pt idx="4467">
                  <c:v>0.223338252427425</c:v>
                </c:pt>
                <c:pt idx="4468">
                  <c:v>0.231748983541205</c:v>
                </c:pt>
                <c:pt idx="4469">
                  <c:v>0.223191042608199</c:v>
                </c:pt>
                <c:pt idx="4470">
                  <c:v>0.231398318240374</c:v>
                </c:pt>
                <c:pt idx="4471">
                  <c:v>0.238344351131271</c:v>
                </c:pt>
                <c:pt idx="4472">
                  <c:v>0.240577592177088</c:v>
                </c:pt>
                <c:pt idx="4473">
                  <c:v>0.228304545129985</c:v>
                </c:pt>
                <c:pt idx="4474">
                  <c:v>0.225659737995186</c:v>
                </c:pt>
                <c:pt idx="4475">
                  <c:v>0.223859501104223</c:v>
                </c:pt>
                <c:pt idx="4476">
                  <c:v>0.227833562756881</c:v>
                </c:pt>
                <c:pt idx="4477">
                  <c:v>0.221835836450886</c:v>
                </c:pt>
                <c:pt idx="4478">
                  <c:v>0.232669660770326</c:v>
                </c:pt>
                <c:pt idx="4479">
                  <c:v>0.22648691068405</c:v>
                </c:pt>
                <c:pt idx="4480">
                  <c:v>0.232391311074309</c:v>
                </c:pt>
                <c:pt idx="4481">
                  <c:v>0.224762447580309</c:v>
                </c:pt>
                <c:pt idx="4482">
                  <c:v>0.23104796123015</c:v>
                </c:pt>
                <c:pt idx="4483">
                  <c:v>0.235917033723914</c:v>
                </c:pt>
                <c:pt idx="4484">
                  <c:v>0.221435720490354</c:v>
                </c:pt>
                <c:pt idx="4485">
                  <c:v>0.22636820401204</c:v>
                </c:pt>
                <c:pt idx="4486">
                  <c:v>0.223523874296155</c:v>
                </c:pt>
                <c:pt idx="4487">
                  <c:v>0.236111722693946</c:v>
                </c:pt>
                <c:pt idx="4488">
                  <c:v>0.225302996232612</c:v>
                </c:pt>
                <c:pt idx="4489">
                  <c:v>0.221681335461398</c:v>
                </c:pt>
                <c:pt idx="4490">
                  <c:v>0.235587171796539</c:v>
                </c:pt>
                <c:pt idx="4491">
                  <c:v>0.231101445363847</c:v>
                </c:pt>
                <c:pt idx="4492">
                  <c:v>0.238726828372502</c:v>
                </c:pt>
                <c:pt idx="4493">
                  <c:v>0.228461267673629</c:v>
                </c:pt>
                <c:pt idx="4494">
                  <c:v>0.225336564414905</c:v>
                </c:pt>
                <c:pt idx="4495">
                  <c:v>0.223176386341721</c:v>
                </c:pt>
                <c:pt idx="4496">
                  <c:v>0.235029787229594</c:v>
                </c:pt>
                <c:pt idx="4497">
                  <c:v>0.232602336677654</c:v>
                </c:pt>
                <c:pt idx="4498">
                  <c:v>0.225905760164818</c:v>
                </c:pt>
                <c:pt idx="4499">
                  <c:v>0.239742736545078</c:v>
                </c:pt>
                <c:pt idx="4500">
                  <c:v>0.234620358706728</c:v>
                </c:pt>
                <c:pt idx="4501">
                  <c:v>0.248975295198261</c:v>
                </c:pt>
                <c:pt idx="4502">
                  <c:v>0.228462614616773</c:v>
                </c:pt>
                <c:pt idx="4503">
                  <c:v>0.227984432747149</c:v>
                </c:pt>
                <c:pt idx="4504">
                  <c:v>0.228657797332139</c:v>
                </c:pt>
                <c:pt idx="4505">
                  <c:v>0.22842204045595</c:v>
                </c:pt>
                <c:pt idx="4506">
                  <c:v>0.22844772859483</c:v>
                </c:pt>
                <c:pt idx="4507">
                  <c:v>0.236568068500819</c:v>
                </c:pt>
                <c:pt idx="4508">
                  <c:v>0.229487076382812</c:v>
                </c:pt>
                <c:pt idx="4509">
                  <c:v>0.232372379651608</c:v>
                </c:pt>
                <c:pt idx="4510">
                  <c:v>0.222522430120257</c:v>
                </c:pt>
                <c:pt idx="4511">
                  <c:v>0.228650039844641</c:v>
                </c:pt>
                <c:pt idx="4512">
                  <c:v>0.232268479777703</c:v>
                </c:pt>
                <c:pt idx="4513">
                  <c:v>0.233173524424776</c:v>
                </c:pt>
                <c:pt idx="4514">
                  <c:v>0.243953187142553</c:v>
                </c:pt>
                <c:pt idx="4515">
                  <c:v>0.225188315140209</c:v>
                </c:pt>
                <c:pt idx="4516">
                  <c:v>0.221534810332577</c:v>
                </c:pt>
                <c:pt idx="4517">
                  <c:v>0.229433295754533</c:v>
                </c:pt>
                <c:pt idx="4518">
                  <c:v>0.223849464228045</c:v>
                </c:pt>
                <c:pt idx="4519">
                  <c:v>0.221621227865066</c:v>
                </c:pt>
                <c:pt idx="4520">
                  <c:v>0.240478529943046</c:v>
                </c:pt>
                <c:pt idx="4521">
                  <c:v>0.224396121003318</c:v>
                </c:pt>
                <c:pt idx="4522">
                  <c:v>0.236257943801441</c:v>
                </c:pt>
                <c:pt idx="4523">
                  <c:v>0.227845769784891</c:v>
                </c:pt>
                <c:pt idx="4524">
                  <c:v>0.223153485308851</c:v>
                </c:pt>
                <c:pt idx="4525">
                  <c:v>0.222346215378164</c:v>
                </c:pt>
                <c:pt idx="4526">
                  <c:v>0.225742570608011</c:v>
                </c:pt>
                <c:pt idx="4527">
                  <c:v>0.239930386369977</c:v>
                </c:pt>
                <c:pt idx="4528">
                  <c:v>0.237111670284421</c:v>
                </c:pt>
                <c:pt idx="4529">
                  <c:v>0.226464444712406</c:v>
                </c:pt>
                <c:pt idx="4530">
                  <c:v>0.235757518438254</c:v>
                </c:pt>
                <c:pt idx="4531">
                  <c:v>0.222909164838297</c:v>
                </c:pt>
                <c:pt idx="4532">
                  <c:v>0.225466795800046</c:v>
                </c:pt>
                <c:pt idx="4533">
                  <c:v>0.223301771275671</c:v>
                </c:pt>
                <c:pt idx="4534">
                  <c:v>0.229347400631314</c:v>
                </c:pt>
                <c:pt idx="4535">
                  <c:v>0.236788169624374</c:v>
                </c:pt>
                <c:pt idx="4536">
                  <c:v>0.232288143343511</c:v>
                </c:pt>
                <c:pt idx="4537">
                  <c:v>0.224345311709941</c:v>
                </c:pt>
                <c:pt idx="4538">
                  <c:v>0.230538579058305</c:v>
                </c:pt>
                <c:pt idx="4539">
                  <c:v>0.228102678171337</c:v>
                </c:pt>
                <c:pt idx="4540">
                  <c:v>0.228459448103527</c:v>
                </c:pt>
                <c:pt idx="4541">
                  <c:v>0.224372753208731</c:v>
                </c:pt>
                <c:pt idx="4542">
                  <c:v>0.229306658482936</c:v>
                </c:pt>
                <c:pt idx="4543">
                  <c:v>0.225132510065548</c:v>
                </c:pt>
                <c:pt idx="4544">
                  <c:v>0.237075857536932</c:v>
                </c:pt>
                <c:pt idx="4545">
                  <c:v>0.225175004009359</c:v>
                </c:pt>
                <c:pt idx="4546">
                  <c:v>0.226620315731174</c:v>
                </c:pt>
                <c:pt idx="4547">
                  <c:v>0.228204227649023</c:v>
                </c:pt>
                <c:pt idx="4548">
                  <c:v>0.226436731136668</c:v>
                </c:pt>
                <c:pt idx="4549">
                  <c:v>0.225664895607641</c:v>
                </c:pt>
                <c:pt idx="4550">
                  <c:v>0.227572167989687</c:v>
                </c:pt>
                <c:pt idx="4551">
                  <c:v>0.22898017782416</c:v>
                </c:pt>
                <c:pt idx="4552">
                  <c:v>0.226436299361608</c:v>
                </c:pt>
                <c:pt idx="4553">
                  <c:v>0.241613383769767</c:v>
                </c:pt>
                <c:pt idx="4554">
                  <c:v>0.226601827952473</c:v>
                </c:pt>
                <c:pt idx="4555">
                  <c:v>0.223269427708367</c:v>
                </c:pt>
                <c:pt idx="4556">
                  <c:v>0.227245433023074</c:v>
                </c:pt>
                <c:pt idx="4557">
                  <c:v>0.243370636584095</c:v>
                </c:pt>
                <c:pt idx="4558">
                  <c:v>0.223433294460664</c:v>
                </c:pt>
                <c:pt idx="4559">
                  <c:v>0.223149167276947</c:v>
                </c:pt>
                <c:pt idx="4560">
                  <c:v>0.225594420227624</c:v>
                </c:pt>
                <c:pt idx="4561">
                  <c:v>0.229872893521836</c:v>
                </c:pt>
                <c:pt idx="4562">
                  <c:v>0.230211548214425</c:v>
                </c:pt>
                <c:pt idx="4563">
                  <c:v>0.226870650260012</c:v>
                </c:pt>
                <c:pt idx="4564">
                  <c:v>0.222490472701324</c:v>
                </c:pt>
                <c:pt idx="4565">
                  <c:v>0.241803689530568</c:v>
                </c:pt>
                <c:pt idx="4566">
                  <c:v>0.238591791031415</c:v>
                </c:pt>
                <c:pt idx="4567">
                  <c:v>0.226074209678358</c:v>
                </c:pt>
                <c:pt idx="4568">
                  <c:v>0.224717171307936</c:v>
                </c:pt>
                <c:pt idx="4569">
                  <c:v>0.235728349888276</c:v>
                </c:pt>
                <c:pt idx="4570">
                  <c:v>0.229376201010777</c:v>
                </c:pt>
                <c:pt idx="4571">
                  <c:v>0.230065755889405</c:v>
                </c:pt>
                <c:pt idx="4572">
                  <c:v>0.228368562443143</c:v>
                </c:pt>
                <c:pt idx="4573">
                  <c:v>0.240123211249225</c:v>
                </c:pt>
                <c:pt idx="4574">
                  <c:v>0.23771995518427</c:v>
                </c:pt>
                <c:pt idx="4575">
                  <c:v>0.226188767711387</c:v>
                </c:pt>
                <c:pt idx="4576">
                  <c:v>0.229379836801201</c:v>
                </c:pt>
                <c:pt idx="4577">
                  <c:v>0.234012405532218</c:v>
                </c:pt>
                <c:pt idx="4578">
                  <c:v>0.225255264388695</c:v>
                </c:pt>
                <c:pt idx="4579">
                  <c:v>0.223830450205485</c:v>
                </c:pt>
                <c:pt idx="4580">
                  <c:v>0.23240775521124</c:v>
                </c:pt>
                <c:pt idx="4581">
                  <c:v>0.221334421866762</c:v>
                </c:pt>
                <c:pt idx="4582">
                  <c:v>0.224075569246741</c:v>
                </c:pt>
                <c:pt idx="4583">
                  <c:v>0.225637876561425</c:v>
                </c:pt>
                <c:pt idx="4584">
                  <c:v>0.225573058926386</c:v>
                </c:pt>
                <c:pt idx="4585">
                  <c:v>0.226672588970178</c:v>
                </c:pt>
                <c:pt idx="4586">
                  <c:v>0.236588278110214</c:v>
                </c:pt>
                <c:pt idx="4587">
                  <c:v>0.230748348243094</c:v>
                </c:pt>
                <c:pt idx="4588">
                  <c:v>0.225937042281617</c:v>
                </c:pt>
                <c:pt idx="4589">
                  <c:v>0.228419449974498</c:v>
                </c:pt>
                <c:pt idx="4590">
                  <c:v>0.228845000428447</c:v>
                </c:pt>
                <c:pt idx="4591">
                  <c:v>0.227158220027581</c:v>
                </c:pt>
                <c:pt idx="4592">
                  <c:v>0.230341458068138</c:v>
                </c:pt>
                <c:pt idx="4593">
                  <c:v>0.231874881330864</c:v>
                </c:pt>
                <c:pt idx="4594">
                  <c:v>0.224678670530435</c:v>
                </c:pt>
                <c:pt idx="4595">
                  <c:v>0.236954539901819</c:v>
                </c:pt>
                <c:pt idx="4596">
                  <c:v>0.226035080804048</c:v>
                </c:pt>
                <c:pt idx="4597">
                  <c:v>0.23405691178696</c:v>
                </c:pt>
                <c:pt idx="4598">
                  <c:v>0.226470509480836</c:v>
                </c:pt>
                <c:pt idx="4599">
                  <c:v>0.229358268642614</c:v>
                </c:pt>
                <c:pt idx="4600">
                  <c:v>0.224118580244612</c:v>
                </c:pt>
                <c:pt idx="4601">
                  <c:v>0.231163884223911</c:v>
                </c:pt>
                <c:pt idx="4602">
                  <c:v>0.224090700717273</c:v>
                </c:pt>
                <c:pt idx="4603">
                  <c:v>0.245136462403209</c:v>
                </c:pt>
                <c:pt idx="4604">
                  <c:v>0.229162429644401</c:v>
                </c:pt>
                <c:pt idx="4605">
                  <c:v>0.229643098999606</c:v>
                </c:pt>
                <c:pt idx="4606">
                  <c:v>0.222557125591091</c:v>
                </c:pt>
                <c:pt idx="4607">
                  <c:v>0.235816523833042</c:v>
                </c:pt>
                <c:pt idx="4608">
                  <c:v>0.223012698842954</c:v>
                </c:pt>
                <c:pt idx="4609">
                  <c:v>0.243973678365411</c:v>
                </c:pt>
                <c:pt idx="4610">
                  <c:v>0.228322353330527</c:v>
                </c:pt>
                <c:pt idx="4611">
                  <c:v>0.222348952663928</c:v>
                </c:pt>
                <c:pt idx="4612">
                  <c:v>0.225094381367568</c:v>
                </c:pt>
                <c:pt idx="4613">
                  <c:v>0.221765380989114</c:v>
                </c:pt>
                <c:pt idx="4614">
                  <c:v>0.22722956972866</c:v>
                </c:pt>
                <c:pt idx="4615">
                  <c:v>0.237166319518222</c:v>
                </c:pt>
                <c:pt idx="4616">
                  <c:v>0.222709604844621</c:v>
                </c:pt>
                <c:pt idx="4617">
                  <c:v>0.231917903202929</c:v>
                </c:pt>
                <c:pt idx="4618">
                  <c:v>0.237195616436602</c:v>
                </c:pt>
                <c:pt idx="4619">
                  <c:v>0.223393326721288</c:v>
                </c:pt>
                <c:pt idx="4620">
                  <c:v>0.226093847360336</c:v>
                </c:pt>
                <c:pt idx="4621">
                  <c:v>0.224858827862074</c:v>
                </c:pt>
                <c:pt idx="4622">
                  <c:v>0.222516127273617</c:v>
                </c:pt>
                <c:pt idx="4623">
                  <c:v>0.22971253264164</c:v>
                </c:pt>
                <c:pt idx="4624">
                  <c:v>0.228020583897175</c:v>
                </c:pt>
                <c:pt idx="4625">
                  <c:v>0.238858936014314</c:v>
                </c:pt>
                <c:pt idx="4626">
                  <c:v>0.228154212172651</c:v>
                </c:pt>
                <c:pt idx="4627">
                  <c:v>0.229818550343501</c:v>
                </c:pt>
                <c:pt idx="4628">
                  <c:v>0.23502858320265</c:v>
                </c:pt>
                <c:pt idx="4629">
                  <c:v>0.247663021059343</c:v>
                </c:pt>
                <c:pt idx="4630">
                  <c:v>0.226949853854464</c:v>
                </c:pt>
                <c:pt idx="4631">
                  <c:v>0.223632616880369</c:v>
                </c:pt>
                <c:pt idx="4632">
                  <c:v>0.227751122170242</c:v>
                </c:pt>
                <c:pt idx="4633">
                  <c:v>0.240461483585767</c:v>
                </c:pt>
                <c:pt idx="4634">
                  <c:v>0.227816064077616</c:v>
                </c:pt>
                <c:pt idx="4635">
                  <c:v>0.236086735099425</c:v>
                </c:pt>
                <c:pt idx="4636">
                  <c:v>0.223537042722506</c:v>
                </c:pt>
                <c:pt idx="4637">
                  <c:v>0.238541759167046</c:v>
                </c:pt>
                <c:pt idx="4638">
                  <c:v>0.230047942051226</c:v>
                </c:pt>
                <c:pt idx="4639">
                  <c:v>0.227379284918245</c:v>
                </c:pt>
                <c:pt idx="4640">
                  <c:v>0.226394363352223</c:v>
                </c:pt>
                <c:pt idx="4641">
                  <c:v>0.236149346600432</c:v>
                </c:pt>
                <c:pt idx="4642">
                  <c:v>0.253098865077931</c:v>
                </c:pt>
                <c:pt idx="4643">
                  <c:v>0.227183431201921</c:v>
                </c:pt>
                <c:pt idx="4644">
                  <c:v>0.240774096883582</c:v>
                </c:pt>
                <c:pt idx="4645">
                  <c:v>0.236292449827425</c:v>
                </c:pt>
                <c:pt idx="4646">
                  <c:v>0.232384766439038</c:v>
                </c:pt>
                <c:pt idx="4647">
                  <c:v>0.222489948271814</c:v>
                </c:pt>
                <c:pt idx="4648">
                  <c:v>0.239128079752775</c:v>
                </c:pt>
                <c:pt idx="4649">
                  <c:v>0.230593915067506</c:v>
                </c:pt>
                <c:pt idx="4650">
                  <c:v>0.225126335650838</c:v>
                </c:pt>
                <c:pt idx="4651">
                  <c:v>0.227199974626804</c:v>
                </c:pt>
                <c:pt idx="4652">
                  <c:v>0.239752761554166</c:v>
                </c:pt>
                <c:pt idx="4653">
                  <c:v>0.228120811462659</c:v>
                </c:pt>
                <c:pt idx="4654">
                  <c:v>0.22232582582926</c:v>
                </c:pt>
                <c:pt idx="4655">
                  <c:v>0.228357145201142</c:v>
                </c:pt>
                <c:pt idx="4656">
                  <c:v>0.224714541937886</c:v>
                </c:pt>
                <c:pt idx="4657">
                  <c:v>0.229465851401017</c:v>
                </c:pt>
                <c:pt idx="4658">
                  <c:v>0.222218484683597</c:v>
                </c:pt>
                <c:pt idx="4659">
                  <c:v>0.221400100450814</c:v>
                </c:pt>
                <c:pt idx="4660">
                  <c:v>0.240145550145838</c:v>
                </c:pt>
                <c:pt idx="4661">
                  <c:v>0.234812436567254</c:v>
                </c:pt>
                <c:pt idx="4662">
                  <c:v>0.243114177186035</c:v>
                </c:pt>
                <c:pt idx="4663">
                  <c:v>0.241907810906632</c:v>
                </c:pt>
                <c:pt idx="4664">
                  <c:v>0.237045593972945</c:v>
                </c:pt>
                <c:pt idx="4665">
                  <c:v>0.231257236989399</c:v>
                </c:pt>
                <c:pt idx="4666">
                  <c:v>0.232807754769834</c:v>
                </c:pt>
                <c:pt idx="4667">
                  <c:v>0.238644775193972</c:v>
                </c:pt>
                <c:pt idx="4668">
                  <c:v>0.226996315157635</c:v>
                </c:pt>
                <c:pt idx="4669">
                  <c:v>0.228216903382503</c:v>
                </c:pt>
                <c:pt idx="4670">
                  <c:v>0.22729915826564</c:v>
                </c:pt>
                <c:pt idx="4671">
                  <c:v>0.222843627109067</c:v>
                </c:pt>
                <c:pt idx="4672">
                  <c:v>0.223678335655312</c:v>
                </c:pt>
                <c:pt idx="4673">
                  <c:v>0.238273069685442</c:v>
                </c:pt>
                <c:pt idx="4674">
                  <c:v>0.228036373858967</c:v>
                </c:pt>
                <c:pt idx="4675">
                  <c:v>0.234046469796857</c:v>
                </c:pt>
                <c:pt idx="4676">
                  <c:v>0.241214570362031</c:v>
                </c:pt>
                <c:pt idx="4677">
                  <c:v>0.227283209110958</c:v>
                </c:pt>
                <c:pt idx="4678">
                  <c:v>0.228071286565149</c:v>
                </c:pt>
                <c:pt idx="4679">
                  <c:v>0.228380820373017</c:v>
                </c:pt>
                <c:pt idx="4680">
                  <c:v>0.247410423447079</c:v>
                </c:pt>
                <c:pt idx="4681">
                  <c:v>0.236728885645108</c:v>
                </c:pt>
                <c:pt idx="4682">
                  <c:v>0.245359328297857</c:v>
                </c:pt>
                <c:pt idx="4683">
                  <c:v>0.242418079229717</c:v>
                </c:pt>
                <c:pt idx="4684">
                  <c:v>0.22565291128324</c:v>
                </c:pt>
                <c:pt idx="4685">
                  <c:v>0.224384533419974</c:v>
                </c:pt>
                <c:pt idx="4686">
                  <c:v>0.232398631283665</c:v>
                </c:pt>
                <c:pt idx="4687">
                  <c:v>0.222962718990508</c:v>
                </c:pt>
                <c:pt idx="4688">
                  <c:v>0.227723362055034</c:v>
                </c:pt>
                <c:pt idx="4689">
                  <c:v>0.233214026318477</c:v>
                </c:pt>
                <c:pt idx="4690">
                  <c:v>0.222062844948408</c:v>
                </c:pt>
                <c:pt idx="4691">
                  <c:v>0.221675465714437</c:v>
                </c:pt>
                <c:pt idx="4692">
                  <c:v>0.221459808265083</c:v>
                </c:pt>
                <c:pt idx="4693">
                  <c:v>0.226389985200499</c:v>
                </c:pt>
                <c:pt idx="4694">
                  <c:v>0.223573401972368</c:v>
                </c:pt>
                <c:pt idx="4695">
                  <c:v>0.229522598653957</c:v>
                </c:pt>
                <c:pt idx="4696">
                  <c:v>0.244229756244163</c:v>
                </c:pt>
                <c:pt idx="4697">
                  <c:v>0.231817957458079</c:v>
                </c:pt>
                <c:pt idx="4698">
                  <c:v>0.226125116287437</c:v>
                </c:pt>
                <c:pt idx="4699">
                  <c:v>0.224719425421161</c:v>
                </c:pt>
                <c:pt idx="4700">
                  <c:v>0.226512116397574</c:v>
                </c:pt>
                <c:pt idx="4701">
                  <c:v>0.232922954419594</c:v>
                </c:pt>
                <c:pt idx="4702">
                  <c:v>0.226645262788385</c:v>
                </c:pt>
                <c:pt idx="4703">
                  <c:v>0.238748634957815</c:v>
                </c:pt>
                <c:pt idx="4704">
                  <c:v>0.233440958440026</c:v>
                </c:pt>
                <c:pt idx="4705">
                  <c:v>0.227975425046221</c:v>
                </c:pt>
                <c:pt idx="4706">
                  <c:v>0.221591132179489</c:v>
                </c:pt>
                <c:pt idx="4707">
                  <c:v>0.229639362491966</c:v>
                </c:pt>
                <c:pt idx="4708">
                  <c:v>0.226743748642972</c:v>
                </c:pt>
                <c:pt idx="4709">
                  <c:v>0.238006006031129</c:v>
                </c:pt>
                <c:pt idx="4710">
                  <c:v>0.241198184811928</c:v>
                </c:pt>
                <c:pt idx="4711">
                  <c:v>0.228726561588325</c:v>
                </c:pt>
                <c:pt idx="4712">
                  <c:v>0.231408599337423</c:v>
                </c:pt>
                <c:pt idx="4713">
                  <c:v>0.225792930475576</c:v>
                </c:pt>
                <c:pt idx="4714">
                  <c:v>0.225596576564034</c:v>
                </c:pt>
                <c:pt idx="4715">
                  <c:v>0.226302940445152</c:v>
                </c:pt>
                <c:pt idx="4716">
                  <c:v>0.238162323896577</c:v>
                </c:pt>
                <c:pt idx="4717">
                  <c:v>0.224119721670102</c:v>
                </c:pt>
                <c:pt idx="4718">
                  <c:v>0.227168267412797</c:v>
                </c:pt>
                <c:pt idx="4719">
                  <c:v>0.231751268220151</c:v>
                </c:pt>
                <c:pt idx="4720">
                  <c:v>0.243176240786661</c:v>
                </c:pt>
                <c:pt idx="4721">
                  <c:v>0.238923794521547</c:v>
                </c:pt>
                <c:pt idx="4722">
                  <c:v>0.234870975569497</c:v>
                </c:pt>
                <c:pt idx="4723">
                  <c:v>0.235110597965583</c:v>
                </c:pt>
                <c:pt idx="4724">
                  <c:v>0.228196268195314</c:v>
                </c:pt>
                <c:pt idx="4725">
                  <c:v>0.222298280718068</c:v>
                </c:pt>
                <c:pt idx="4726">
                  <c:v>0.234871988676966</c:v>
                </c:pt>
                <c:pt idx="4727">
                  <c:v>0.233403992985193</c:v>
                </c:pt>
                <c:pt idx="4728">
                  <c:v>0.224734090810065</c:v>
                </c:pt>
                <c:pt idx="4729">
                  <c:v>0.221994361110148</c:v>
                </c:pt>
                <c:pt idx="4730">
                  <c:v>0.224603766480421</c:v>
                </c:pt>
                <c:pt idx="4731">
                  <c:v>0.226638079846643</c:v>
                </c:pt>
                <c:pt idx="4732">
                  <c:v>0.237313990227598</c:v>
                </c:pt>
                <c:pt idx="4733">
                  <c:v>0.227866450274245</c:v>
                </c:pt>
                <c:pt idx="4734">
                  <c:v>0.226726386013364</c:v>
                </c:pt>
                <c:pt idx="4735">
                  <c:v>0.226555289617585</c:v>
                </c:pt>
                <c:pt idx="4736">
                  <c:v>0.229500389689492</c:v>
                </c:pt>
                <c:pt idx="4737">
                  <c:v>0.223107183260676</c:v>
                </c:pt>
                <c:pt idx="4738">
                  <c:v>0.223411973876676</c:v>
                </c:pt>
                <c:pt idx="4739">
                  <c:v>0.233859203339366</c:v>
                </c:pt>
                <c:pt idx="4740">
                  <c:v>0.228209337264379</c:v>
                </c:pt>
                <c:pt idx="4741">
                  <c:v>0.226448424490658</c:v>
                </c:pt>
                <c:pt idx="4742">
                  <c:v>0.232634420507486</c:v>
                </c:pt>
                <c:pt idx="4743">
                  <c:v>0.243569033655279</c:v>
                </c:pt>
                <c:pt idx="4744">
                  <c:v>0.236915325193661</c:v>
                </c:pt>
                <c:pt idx="4745">
                  <c:v>0.226543289858062</c:v>
                </c:pt>
                <c:pt idx="4746">
                  <c:v>0.22741761759388</c:v>
                </c:pt>
                <c:pt idx="4747">
                  <c:v>0.225705874890162</c:v>
                </c:pt>
                <c:pt idx="4748">
                  <c:v>0.227699388850093</c:v>
                </c:pt>
                <c:pt idx="4749">
                  <c:v>0.226087564935861</c:v>
                </c:pt>
                <c:pt idx="4750">
                  <c:v>0.239468340661568</c:v>
                </c:pt>
                <c:pt idx="4751">
                  <c:v>0.226554527479457</c:v>
                </c:pt>
                <c:pt idx="4752">
                  <c:v>0.236359136670765</c:v>
                </c:pt>
                <c:pt idx="4753">
                  <c:v>0.241106944697358</c:v>
                </c:pt>
                <c:pt idx="4754">
                  <c:v>0.230210321970818</c:v>
                </c:pt>
                <c:pt idx="4755">
                  <c:v>0.240910896847543</c:v>
                </c:pt>
                <c:pt idx="4756">
                  <c:v>0.22195424908551</c:v>
                </c:pt>
                <c:pt idx="4757">
                  <c:v>0.223156571647505</c:v>
                </c:pt>
                <c:pt idx="4758">
                  <c:v>0.226504534011341</c:v>
                </c:pt>
                <c:pt idx="4759">
                  <c:v>0.229281507749767</c:v>
                </c:pt>
                <c:pt idx="4760">
                  <c:v>0.224316670850296</c:v>
                </c:pt>
                <c:pt idx="4761">
                  <c:v>0.22501259394308</c:v>
                </c:pt>
                <c:pt idx="4762">
                  <c:v>0.240553582949909</c:v>
                </c:pt>
                <c:pt idx="4763">
                  <c:v>0.238875680543307</c:v>
                </c:pt>
                <c:pt idx="4764">
                  <c:v>0.237637574287855</c:v>
                </c:pt>
                <c:pt idx="4765">
                  <c:v>0.230024359473669</c:v>
                </c:pt>
                <c:pt idx="4766">
                  <c:v>0.229272749546314</c:v>
                </c:pt>
                <c:pt idx="4767">
                  <c:v>0.222504970133168</c:v>
                </c:pt>
                <c:pt idx="4768">
                  <c:v>0.229090007120369</c:v>
                </c:pt>
                <c:pt idx="4769">
                  <c:v>0.227543187241802</c:v>
                </c:pt>
                <c:pt idx="4770">
                  <c:v>0.233278786071418</c:v>
                </c:pt>
                <c:pt idx="4771">
                  <c:v>0.230440518016019</c:v>
                </c:pt>
                <c:pt idx="4772">
                  <c:v>0.245329299368062</c:v>
                </c:pt>
                <c:pt idx="4773">
                  <c:v>0.232046439247649</c:v>
                </c:pt>
                <c:pt idx="4774">
                  <c:v>0.228063743275106</c:v>
                </c:pt>
                <c:pt idx="4775">
                  <c:v>0.222666948888432</c:v>
                </c:pt>
                <c:pt idx="4776">
                  <c:v>0.222874751410525</c:v>
                </c:pt>
                <c:pt idx="4777">
                  <c:v>0.229019220483651</c:v>
                </c:pt>
                <c:pt idx="4778">
                  <c:v>0.233956822378211</c:v>
                </c:pt>
                <c:pt idx="4779">
                  <c:v>0.222132889413687</c:v>
                </c:pt>
                <c:pt idx="4780">
                  <c:v>0.223215596941132</c:v>
                </c:pt>
                <c:pt idx="4781">
                  <c:v>0.22925574366203</c:v>
                </c:pt>
                <c:pt idx="4782">
                  <c:v>0.23337490529219</c:v>
                </c:pt>
                <c:pt idx="4783">
                  <c:v>0.225329373242494</c:v>
                </c:pt>
                <c:pt idx="4784">
                  <c:v>0.228384165442831</c:v>
                </c:pt>
                <c:pt idx="4785">
                  <c:v>0.23223545108809</c:v>
                </c:pt>
                <c:pt idx="4786">
                  <c:v>0.226384498630476</c:v>
                </c:pt>
                <c:pt idx="4787">
                  <c:v>0.225855658752826</c:v>
                </c:pt>
                <c:pt idx="4788">
                  <c:v>0.24243985819427</c:v>
                </c:pt>
                <c:pt idx="4789">
                  <c:v>0.22747907335457</c:v>
                </c:pt>
                <c:pt idx="4790">
                  <c:v>0.225053329610512</c:v>
                </c:pt>
                <c:pt idx="4791">
                  <c:v>0.230313356070004</c:v>
                </c:pt>
                <c:pt idx="4792">
                  <c:v>0.224994070055945</c:v>
                </c:pt>
                <c:pt idx="4793">
                  <c:v>0.241993223780375</c:v>
                </c:pt>
                <c:pt idx="4794">
                  <c:v>0.233680655470761</c:v>
                </c:pt>
                <c:pt idx="4795">
                  <c:v>0.225741946406135</c:v>
                </c:pt>
                <c:pt idx="4796">
                  <c:v>0.228369419634418</c:v>
                </c:pt>
                <c:pt idx="4797">
                  <c:v>0.221952324451012</c:v>
                </c:pt>
                <c:pt idx="4798">
                  <c:v>0.229357459707287</c:v>
                </c:pt>
                <c:pt idx="4799">
                  <c:v>0.24914672245222</c:v>
                </c:pt>
                <c:pt idx="4800">
                  <c:v>0.244444632919363</c:v>
                </c:pt>
                <c:pt idx="4801">
                  <c:v>0.227341849852382</c:v>
                </c:pt>
                <c:pt idx="4802">
                  <c:v>0.242038734920724</c:v>
                </c:pt>
                <c:pt idx="4803">
                  <c:v>0.229707254949407</c:v>
                </c:pt>
                <c:pt idx="4804">
                  <c:v>0.22383782117672</c:v>
                </c:pt>
                <c:pt idx="4805">
                  <c:v>0.227062958815432</c:v>
                </c:pt>
                <c:pt idx="4806">
                  <c:v>0.223369992925394</c:v>
                </c:pt>
                <c:pt idx="4807">
                  <c:v>0.229121202594009</c:v>
                </c:pt>
                <c:pt idx="4808">
                  <c:v>0.231427975937368</c:v>
                </c:pt>
                <c:pt idx="4809">
                  <c:v>0.244850417235295</c:v>
                </c:pt>
                <c:pt idx="4810">
                  <c:v>0.228791270876035</c:v>
                </c:pt>
                <c:pt idx="4811">
                  <c:v>0.22665455052378</c:v>
                </c:pt>
                <c:pt idx="4812">
                  <c:v>0.2242768874195</c:v>
                </c:pt>
                <c:pt idx="4813">
                  <c:v>0.226862736468035</c:v>
                </c:pt>
                <c:pt idx="4814">
                  <c:v>0.237986556562402</c:v>
                </c:pt>
                <c:pt idx="4815">
                  <c:v>0.231514659615448</c:v>
                </c:pt>
                <c:pt idx="4816">
                  <c:v>0.230379289288068</c:v>
                </c:pt>
                <c:pt idx="4817">
                  <c:v>0.238366757638309</c:v>
                </c:pt>
                <c:pt idx="4818">
                  <c:v>0.225900697571206</c:v>
                </c:pt>
                <c:pt idx="4819">
                  <c:v>0.238778340726675</c:v>
                </c:pt>
                <c:pt idx="4820">
                  <c:v>0.225601636507722</c:v>
                </c:pt>
                <c:pt idx="4821">
                  <c:v>0.243498206899078</c:v>
                </c:pt>
                <c:pt idx="4822">
                  <c:v>0.233452432240119</c:v>
                </c:pt>
                <c:pt idx="4823">
                  <c:v>0.236898755864648</c:v>
                </c:pt>
                <c:pt idx="4824">
                  <c:v>0.240300419230106</c:v>
                </c:pt>
                <c:pt idx="4825">
                  <c:v>0.230800621886425</c:v>
                </c:pt>
                <c:pt idx="4826">
                  <c:v>0.225347210700397</c:v>
                </c:pt>
                <c:pt idx="4827">
                  <c:v>0.221854644361869</c:v>
                </c:pt>
                <c:pt idx="4828">
                  <c:v>0.241590310333593</c:v>
                </c:pt>
                <c:pt idx="4829">
                  <c:v>0.221782771634748</c:v>
                </c:pt>
                <c:pt idx="4830">
                  <c:v>0.226002375908498</c:v>
                </c:pt>
                <c:pt idx="4831">
                  <c:v>0.239947989283326</c:v>
                </c:pt>
                <c:pt idx="4832">
                  <c:v>0.223307294775192</c:v>
                </c:pt>
                <c:pt idx="4833">
                  <c:v>0.230947512205889</c:v>
                </c:pt>
                <c:pt idx="4834">
                  <c:v>0.246327591967521</c:v>
                </c:pt>
                <c:pt idx="4835">
                  <c:v>0.230462891706254</c:v>
                </c:pt>
                <c:pt idx="4836">
                  <c:v>0.224899127069691</c:v>
                </c:pt>
                <c:pt idx="4837">
                  <c:v>0.222212055835993</c:v>
                </c:pt>
                <c:pt idx="4838">
                  <c:v>0.225451958171844</c:v>
                </c:pt>
                <c:pt idx="4839">
                  <c:v>0.230890869735937</c:v>
                </c:pt>
                <c:pt idx="4840">
                  <c:v>0.227451912045804</c:v>
                </c:pt>
                <c:pt idx="4841">
                  <c:v>0.232089244743508</c:v>
                </c:pt>
                <c:pt idx="4842">
                  <c:v>0.230135497986048</c:v>
                </c:pt>
                <c:pt idx="4843">
                  <c:v>0.230747479820675</c:v>
                </c:pt>
                <c:pt idx="4844">
                  <c:v>0.241438478705804</c:v>
                </c:pt>
                <c:pt idx="4845">
                  <c:v>0.23606273874836</c:v>
                </c:pt>
                <c:pt idx="4846">
                  <c:v>0.222333270869601</c:v>
                </c:pt>
                <c:pt idx="4847">
                  <c:v>0.221801829069453</c:v>
                </c:pt>
                <c:pt idx="4848">
                  <c:v>0.226576962501295</c:v>
                </c:pt>
                <c:pt idx="4849">
                  <c:v>0.22632790163038</c:v>
                </c:pt>
                <c:pt idx="4850">
                  <c:v>0.232422622644816</c:v>
                </c:pt>
                <c:pt idx="4851">
                  <c:v>0.221780509359133</c:v>
                </c:pt>
                <c:pt idx="4852">
                  <c:v>0.227534884179539</c:v>
                </c:pt>
                <c:pt idx="4853">
                  <c:v>0.247594138797753</c:v>
                </c:pt>
                <c:pt idx="4854">
                  <c:v>0.229757135977222</c:v>
                </c:pt>
                <c:pt idx="4855">
                  <c:v>0.238498810596889</c:v>
                </c:pt>
                <c:pt idx="4856">
                  <c:v>0.224018729844948</c:v>
                </c:pt>
                <c:pt idx="4857">
                  <c:v>0.224044763398337</c:v>
                </c:pt>
                <c:pt idx="4858">
                  <c:v>0.233343518897412</c:v>
                </c:pt>
                <c:pt idx="4859">
                  <c:v>0.22175335372818</c:v>
                </c:pt>
                <c:pt idx="4860">
                  <c:v>0.223167783864652</c:v>
                </c:pt>
                <c:pt idx="4861">
                  <c:v>0.230234071954413</c:v>
                </c:pt>
                <c:pt idx="4862">
                  <c:v>0.221497210324221</c:v>
                </c:pt>
                <c:pt idx="4863">
                  <c:v>0.240649071309881</c:v>
                </c:pt>
                <c:pt idx="4864">
                  <c:v>0.22384394620598</c:v>
                </c:pt>
                <c:pt idx="4865">
                  <c:v>0.22730533979159</c:v>
                </c:pt>
                <c:pt idx="4866">
                  <c:v>0.234389286540852</c:v>
                </c:pt>
                <c:pt idx="4867">
                  <c:v>0.224190847125376</c:v>
                </c:pt>
                <c:pt idx="4868">
                  <c:v>0.226848224180272</c:v>
                </c:pt>
                <c:pt idx="4869">
                  <c:v>0.22591957510274</c:v>
                </c:pt>
                <c:pt idx="4870">
                  <c:v>0.231572744716182</c:v>
                </c:pt>
                <c:pt idx="4871">
                  <c:v>0.22635914513122</c:v>
                </c:pt>
                <c:pt idx="4872">
                  <c:v>0.23376714252394</c:v>
                </c:pt>
                <c:pt idx="4873">
                  <c:v>0.230172571534252</c:v>
                </c:pt>
                <c:pt idx="4874">
                  <c:v>0.232081751010554</c:v>
                </c:pt>
                <c:pt idx="4875">
                  <c:v>0.223627488028246</c:v>
                </c:pt>
                <c:pt idx="4876">
                  <c:v>0.225851871030595</c:v>
                </c:pt>
                <c:pt idx="4877">
                  <c:v>0.222889969731441</c:v>
                </c:pt>
                <c:pt idx="4878">
                  <c:v>0.221825598025028</c:v>
                </c:pt>
                <c:pt idx="4879">
                  <c:v>0.230123436073025</c:v>
                </c:pt>
                <c:pt idx="4880">
                  <c:v>0.229037383328031</c:v>
                </c:pt>
                <c:pt idx="4881">
                  <c:v>0.227593829224829</c:v>
                </c:pt>
                <c:pt idx="4882">
                  <c:v>0.224730399126466</c:v>
                </c:pt>
                <c:pt idx="4883">
                  <c:v>0.22386370547469</c:v>
                </c:pt>
                <c:pt idx="4884">
                  <c:v>0.230303209148898</c:v>
                </c:pt>
                <c:pt idx="4885">
                  <c:v>0.224946014723882</c:v>
                </c:pt>
                <c:pt idx="4886">
                  <c:v>0.236588488840854</c:v>
                </c:pt>
                <c:pt idx="4887">
                  <c:v>0.222568498563428</c:v>
                </c:pt>
                <c:pt idx="4888">
                  <c:v>0.236674505625504</c:v>
                </c:pt>
                <c:pt idx="4889">
                  <c:v>0.226826972919871</c:v>
                </c:pt>
                <c:pt idx="4890">
                  <c:v>0.231894525666424</c:v>
                </c:pt>
                <c:pt idx="4891">
                  <c:v>0.22701947717503</c:v>
                </c:pt>
                <c:pt idx="4892">
                  <c:v>0.235777345675379</c:v>
                </c:pt>
                <c:pt idx="4893">
                  <c:v>0.227270875612302</c:v>
                </c:pt>
                <c:pt idx="4894">
                  <c:v>0.224149075268962</c:v>
                </c:pt>
                <c:pt idx="4895">
                  <c:v>0.236880027653351</c:v>
                </c:pt>
                <c:pt idx="4896">
                  <c:v>0.223192025720141</c:v>
                </c:pt>
                <c:pt idx="4897">
                  <c:v>0.236114009847434</c:v>
                </c:pt>
                <c:pt idx="4898">
                  <c:v>0.229016671156971</c:v>
                </c:pt>
                <c:pt idx="4899">
                  <c:v>0.228042442470285</c:v>
                </c:pt>
                <c:pt idx="4900">
                  <c:v>0.221363660930855</c:v>
                </c:pt>
                <c:pt idx="4901">
                  <c:v>0.228986147585557</c:v>
                </c:pt>
                <c:pt idx="4902">
                  <c:v>0.225098175650087</c:v>
                </c:pt>
                <c:pt idx="4903">
                  <c:v>0.242697824175194</c:v>
                </c:pt>
                <c:pt idx="4904">
                  <c:v>0.224289910998661</c:v>
                </c:pt>
                <c:pt idx="4905">
                  <c:v>0.23883587169889</c:v>
                </c:pt>
                <c:pt idx="4906">
                  <c:v>0.234140771676728</c:v>
                </c:pt>
                <c:pt idx="4907">
                  <c:v>0.235135443205722</c:v>
                </c:pt>
                <c:pt idx="4908">
                  <c:v>0.22540361840914</c:v>
                </c:pt>
                <c:pt idx="4909">
                  <c:v>0.230766176012234</c:v>
                </c:pt>
                <c:pt idx="4910">
                  <c:v>0.224383125464942</c:v>
                </c:pt>
                <c:pt idx="4911">
                  <c:v>0.22814180345599</c:v>
                </c:pt>
                <c:pt idx="4912">
                  <c:v>0.241040973301649</c:v>
                </c:pt>
                <c:pt idx="4913">
                  <c:v>0.232389919014989</c:v>
                </c:pt>
                <c:pt idx="4914">
                  <c:v>0.225065830715721</c:v>
                </c:pt>
                <c:pt idx="4915">
                  <c:v>0.22731278862389</c:v>
                </c:pt>
                <c:pt idx="4916">
                  <c:v>0.241920353102417</c:v>
                </c:pt>
                <c:pt idx="4917">
                  <c:v>0.233765384767111</c:v>
                </c:pt>
                <c:pt idx="4918">
                  <c:v>0.229768224325487</c:v>
                </c:pt>
                <c:pt idx="4919">
                  <c:v>0.230203650387136</c:v>
                </c:pt>
                <c:pt idx="4920">
                  <c:v>0.232426800659964</c:v>
                </c:pt>
                <c:pt idx="4921">
                  <c:v>0.231996374962058</c:v>
                </c:pt>
                <c:pt idx="4922">
                  <c:v>0.232618784138573</c:v>
                </c:pt>
                <c:pt idx="4923">
                  <c:v>0.240921741994044</c:v>
                </c:pt>
                <c:pt idx="4924">
                  <c:v>0.229174546637612</c:v>
                </c:pt>
                <c:pt idx="4925">
                  <c:v>0.227047405525308</c:v>
                </c:pt>
                <c:pt idx="4926">
                  <c:v>0.23092188915488</c:v>
                </c:pt>
                <c:pt idx="4927">
                  <c:v>0.225335965091415</c:v>
                </c:pt>
                <c:pt idx="4928">
                  <c:v>0.230403952841438</c:v>
                </c:pt>
                <c:pt idx="4929">
                  <c:v>0.2285661740978</c:v>
                </c:pt>
                <c:pt idx="4930">
                  <c:v>0.226942937559748</c:v>
                </c:pt>
                <c:pt idx="4931">
                  <c:v>0.225201328976475</c:v>
                </c:pt>
                <c:pt idx="4932">
                  <c:v>0.226674319729494</c:v>
                </c:pt>
                <c:pt idx="4933">
                  <c:v>0.227947757513371</c:v>
                </c:pt>
                <c:pt idx="4934">
                  <c:v>0.226657221126986</c:v>
                </c:pt>
                <c:pt idx="4935">
                  <c:v>0.226920662409018</c:v>
                </c:pt>
                <c:pt idx="4936">
                  <c:v>0.229160074216512</c:v>
                </c:pt>
                <c:pt idx="4937">
                  <c:v>0.226176841500416</c:v>
                </c:pt>
                <c:pt idx="4938">
                  <c:v>0.224491842754546</c:v>
                </c:pt>
                <c:pt idx="4939">
                  <c:v>0.226810110220061</c:v>
                </c:pt>
                <c:pt idx="4940">
                  <c:v>0.222971573359335</c:v>
                </c:pt>
                <c:pt idx="4941">
                  <c:v>0.228604199424854</c:v>
                </c:pt>
                <c:pt idx="4942">
                  <c:v>0.228368175733907</c:v>
                </c:pt>
                <c:pt idx="4943">
                  <c:v>0.223230581433338</c:v>
                </c:pt>
                <c:pt idx="4944">
                  <c:v>0.223722107182301</c:v>
                </c:pt>
                <c:pt idx="4945">
                  <c:v>0.228866406436856</c:v>
                </c:pt>
                <c:pt idx="4946">
                  <c:v>0.230502643496642</c:v>
                </c:pt>
                <c:pt idx="4947">
                  <c:v>0.227766729945174</c:v>
                </c:pt>
                <c:pt idx="4948">
                  <c:v>0.225955526878314</c:v>
                </c:pt>
                <c:pt idx="4949">
                  <c:v>0.223536892452222</c:v>
                </c:pt>
                <c:pt idx="4950">
                  <c:v>0.225451783836606</c:v>
                </c:pt>
                <c:pt idx="4951">
                  <c:v>0.236456487216704</c:v>
                </c:pt>
                <c:pt idx="4952">
                  <c:v>0.228192870514666</c:v>
                </c:pt>
                <c:pt idx="4953">
                  <c:v>0.222230609619993</c:v>
                </c:pt>
                <c:pt idx="4954">
                  <c:v>0.238217316011741</c:v>
                </c:pt>
                <c:pt idx="4955">
                  <c:v>0.241090839133749</c:v>
                </c:pt>
                <c:pt idx="4956">
                  <c:v>0.234616838345471</c:v>
                </c:pt>
                <c:pt idx="4957">
                  <c:v>0.228924459811932</c:v>
                </c:pt>
                <c:pt idx="4958">
                  <c:v>0.228024468942887</c:v>
                </c:pt>
                <c:pt idx="4959">
                  <c:v>0.227659659797206</c:v>
                </c:pt>
                <c:pt idx="4960">
                  <c:v>0.221991180131199</c:v>
                </c:pt>
                <c:pt idx="4961">
                  <c:v>0.229447427374327</c:v>
                </c:pt>
                <c:pt idx="4962">
                  <c:v>0.231389092897062</c:v>
                </c:pt>
                <c:pt idx="4963">
                  <c:v>0.224271085333558</c:v>
                </c:pt>
                <c:pt idx="4964">
                  <c:v>0.244330596278392</c:v>
                </c:pt>
                <c:pt idx="4965">
                  <c:v>0.240478632554232</c:v>
                </c:pt>
                <c:pt idx="4966">
                  <c:v>0.244773179913341</c:v>
                </c:pt>
                <c:pt idx="4967">
                  <c:v>0.225669180592996</c:v>
                </c:pt>
                <c:pt idx="4968">
                  <c:v>0.226607610626069</c:v>
                </c:pt>
                <c:pt idx="4969">
                  <c:v>0.225710457273805</c:v>
                </c:pt>
                <c:pt idx="4970">
                  <c:v>0.233481056852997</c:v>
                </c:pt>
                <c:pt idx="4971">
                  <c:v>0.225083938892429</c:v>
                </c:pt>
                <c:pt idx="4972">
                  <c:v>0.223820894428952</c:v>
                </c:pt>
                <c:pt idx="4973">
                  <c:v>0.229897271572227</c:v>
                </c:pt>
                <c:pt idx="4974">
                  <c:v>0.223240828097086</c:v>
                </c:pt>
                <c:pt idx="4975">
                  <c:v>0.234830701619299</c:v>
                </c:pt>
                <c:pt idx="4976">
                  <c:v>0.235435050508923</c:v>
                </c:pt>
                <c:pt idx="4977">
                  <c:v>0.226509362334959</c:v>
                </c:pt>
                <c:pt idx="4978">
                  <c:v>0.240601057329954</c:v>
                </c:pt>
                <c:pt idx="4979">
                  <c:v>0.223545352420397</c:v>
                </c:pt>
                <c:pt idx="4980">
                  <c:v>0.223252380538891</c:v>
                </c:pt>
                <c:pt idx="4981">
                  <c:v>0.234447789749989</c:v>
                </c:pt>
                <c:pt idx="4982">
                  <c:v>0.239912097593139</c:v>
                </c:pt>
                <c:pt idx="4983">
                  <c:v>0.231196919167039</c:v>
                </c:pt>
                <c:pt idx="4984">
                  <c:v>0.222839370970238</c:v>
                </c:pt>
                <c:pt idx="4985">
                  <c:v>0.227742242203715</c:v>
                </c:pt>
                <c:pt idx="4986">
                  <c:v>0.224092400404885</c:v>
                </c:pt>
                <c:pt idx="4987">
                  <c:v>0.228876842385421</c:v>
                </c:pt>
                <c:pt idx="4988">
                  <c:v>0.230745665792188</c:v>
                </c:pt>
                <c:pt idx="4989">
                  <c:v>0.229611094833644</c:v>
                </c:pt>
                <c:pt idx="4990">
                  <c:v>0.224081453596864</c:v>
                </c:pt>
                <c:pt idx="4991">
                  <c:v>0.237197869886345</c:v>
                </c:pt>
                <c:pt idx="4992">
                  <c:v>0.2254977536339</c:v>
                </c:pt>
                <c:pt idx="4993">
                  <c:v>0.222000567590922</c:v>
                </c:pt>
                <c:pt idx="4994">
                  <c:v>0.222700513236585</c:v>
                </c:pt>
                <c:pt idx="4995">
                  <c:v>0.230495057896522</c:v>
                </c:pt>
                <c:pt idx="4996">
                  <c:v>0.228469995767089</c:v>
                </c:pt>
                <c:pt idx="4997">
                  <c:v>0.222551092523435</c:v>
                </c:pt>
                <c:pt idx="4998">
                  <c:v>0.226130808213337</c:v>
                </c:pt>
                <c:pt idx="4999">
                  <c:v>0.241841272888957</c:v>
                </c:pt>
              </c:numCache>
            </c:numRef>
          </c:xVal>
          <c:yVal>
            <c:numRef>
              <c:f>Frontier!$G$2:$G$5001</c:f>
              <c:numCache>
                <c:formatCode>General</c:formatCode>
                <c:ptCount val="5000"/>
                <c:pt idx="0">
                  <c:v>0.373262631032307</c:v>
                </c:pt>
                <c:pt idx="1">
                  <c:v>0.361617960877129</c:v>
                </c:pt>
                <c:pt idx="2">
                  <c:v>0.378290239985331</c:v>
                </c:pt>
                <c:pt idx="3">
                  <c:v>0.34143543900287</c:v>
                </c:pt>
                <c:pt idx="4">
                  <c:v>0.362356788270703</c:v>
                </c:pt>
                <c:pt idx="5">
                  <c:v>0.359482260923928</c:v>
                </c:pt>
                <c:pt idx="6">
                  <c:v>0.356397818223406</c:v>
                </c:pt>
                <c:pt idx="7">
                  <c:v>0.364888886260813</c:v>
                </c:pt>
                <c:pt idx="8">
                  <c:v>0.384016175610839</c:v>
                </c:pt>
                <c:pt idx="9">
                  <c:v>0.384933909799668</c:v>
                </c:pt>
                <c:pt idx="10">
                  <c:v>0.365993571745014</c:v>
                </c:pt>
                <c:pt idx="11">
                  <c:v>0.368702217497744</c:v>
                </c:pt>
                <c:pt idx="12">
                  <c:v>0.344291062991314</c:v>
                </c:pt>
                <c:pt idx="13">
                  <c:v>0.350211155045344</c:v>
                </c:pt>
                <c:pt idx="14">
                  <c:v>0.394060234588536</c:v>
                </c:pt>
                <c:pt idx="15">
                  <c:v>0.358889361218307</c:v>
                </c:pt>
                <c:pt idx="16">
                  <c:v>0.347019728262413</c:v>
                </c:pt>
                <c:pt idx="17">
                  <c:v>0.367743905061001</c:v>
                </c:pt>
                <c:pt idx="18">
                  <c:v>0.387948201679848</c:v>
                </c:pt>
                <c:pt idx="19">
                  <c:v>0.345242602935623</c:v>
                </c:pt>
                <c:pt idx="20">
                  <c:v>0.351621250231752</c:v>
                </c:pt>
                <c:pt idx="21">
                  <c:v>0.357500299396267</c:v>
                </c:pt>
                <c:pt idx="22">
                  <c:v>0.399819550592974</c:v>
                </c:pt>
                <c:pt idx="23">
                  <c:v>0.37638027877071</c:v>
                </c:pt>
                <c:pt idx="24">
                  <c:v>0.374436670610775</c:v>
                </c:pt>
                <c:pt idx="25">
                  <c:v>0.383375369721579</c:v>
                </c:pt>
                <c:pt idx="26">
                  <c:v>0.343673550608348</c:v>
                </c:pt>
                <c:pt idx="27">
                  <c:v>0.373468986251083</c:v>
                </c:pt>
                <c:pt idx="28">
                  <c:v>0.355452798524064</c:v>
                </c:pt>
                <c:pt idx="29">
                  <c:v>0.375526373942686</c:v>
                </c:pt>
                <c:pt idx="30">
                  <c:v>0.369071884472699</c:v>
                </c:pt>
                <c:pt idx="31">
                  <c:v>0.373320263614364</c:v>
                </c:pt>
                <c:pt idx="32">
                  <c:v>0.380978330145524</c:v>
                </c:pt>
                <c:pt idx="33">
                  <c:v>0.336192679394772</c:v>
                </c:pt>
                <c:pt idx="34">
                  <c:v>0.358931967772909</c:v>
                </c:pt>
                <c:pt idx="35">
                  <c:v>0.358447256304095</c:v>
                </c:pt>
                <c:pt idx="36">
                  <c:v>0.350505058020465</c:v>
                </c:pt>
                <c:pt idx="37">
                  <c:v>0.372918325198359</c:v>
                </c:pt>
                <c:pt idx="38">
                  <c:v>0.368604702744267</c:v>
                </c:pt>
                <c:pt idx="39">
                  <c:v>0.379026294302488</c:v>
                </c:pt>
                <c:pt idx="40">
                  <c:v>0.377651337753805</c:v>
                </c:pt>
                <c:pt idx="41">
                  <c:v>0.358232195117256</c:v>
                </c:pt>
                <c:pt idx="42">
                  <c:v>0.385749703846558</c:v>
                </c:pt>
                <c:pt idx="43">
                  <c:v>0.372039019159738</c:v>
                </c:pt>
                <c:pt idx="44">
                  <c:v>0.351788989920892</c:v>
                </c:pt>
                <c:pt idx="45">
                  <c:v>0.363257153496757</c:v>
                </c:pt>
                <c:pt idx="46">
                  <c:v>0.36926776542814</c:v>
                </c:pt>
                <c:pt idx="47">
                  <c:v>0.375832457182069</c:v>
                </c:pt>
                <c:pt idx="48">
                  <c:v>0.340714130158775</c:v>
                </c:pt>
                <c:pt idx="49">
                  <c:v>0.35081424681012</c:v>
                </c:pt>
                <c:pt idx="50">
                  <c:v>0.364055831989892</c:v>
                </c:pt>
                <c:pt idx="51">
                  <c:v>0.385623979407891</c:v>
                </c:pt>
                <c:pt idx="52">
                  <c:v>0.378782379624435</c:v>
                </c:pt>
                <c:pt idx="53">
                  <c:v>0.358639675011734</c:v>
                </c:pt>
                <c:pt idx="54">
                  <c:v>0.378981487464517</c:v>
                </c:pt>
                <c:pt idx="55">
                  <c:v>0.366400346013857</c:v>
                </c:pt>
                <c:pt idx="56">
                  <c:v>0.36818188573833</c:v>
                </c:pt>
                <c:pt idx="57">
                  <c:v>0.387230997182075</c:v>
                </c:pt>
                <c:pt idx="58">
                  <c:v>0.35051239606412</c:v>
                </c:pt>
                <c:pt idx="59">
                  <c:v>0.390779813008785</c:v>
                </c:pt>
                <c:pt idx="60">
                  <c:v>0.342730448425648</c:v>
                </c:pt>
                <c:pt idx="61">
                  <c:v>0.354613685955418</c:v>
                </c:pt>
                <c:pt idx="62">
                  <c:v>0.365600399637301</c:v>
                </c:pt>
                <c:pt idx="63">
                  <c:v>0.340752633392829</c:v>
                </c:pt>
                <c:pt idx="64">
                  <c:v>0.370944857641743</c:v>
                </c:pt>
                <c:pt idx="65">
                  <c:v>0.365119962265475</c:v>
                </c:pt>
                <c:pt idx="66">
                  <c:v>0.368250412531916</c:v>
                </c:pt>
                <c:pt idx="67">
                  <c:v>0.342958344116632</c:v>
                </c:pt>
                <c:pt idx="68">
                  <c:v>0.353319766731935</c:v>
                </c:pt>
                <c:pt idx="69">
                  <c:v>0.351488375267813</c:v>
                </c:pt>
                <c:pt idx="70">
                  <c:v>0.368019837668029</c:v>
                </c:pt>
                <c:pt idx="71">
                  <c:v>0.385823304168231</c:v>
                </c:pt>
                <c:pt idx="72">
                  <c:v>0.371028242855144</c:v>
                </c:pt>
                <c:pt idx="73">
                  <c:v>0.367165996315451</c:v>
                </c:pt>
                <c:pt idx="74">
                  <c:v>0.375538442482575</c:v>
                </c:pt>
                <c:pt idx="75">
                  <c:v>0.384523147755976</c:v>
                </c:pt>
                <c:pt idx="76">
                  <c:v>0.362695225385465</c:v>
                </c:pt>
                <c:pt idx="77">
                  <c:v>0.368959903487232</c:v>
                </c:pt>
                <c:pt idx="78">
                  <c:v>0.384708725769667</c:v>
                </c:pt>
                <c:pt idx="79">
                  <c:v>0.394570753611525</c:v>
                </c:pt>
                <c:pt idx="80">
                  <c:v>0.367041955095544</c:v>
                </c:pt>
                <c:pt idx="81">
                  <c:v>0.33767859257725</c:v>
                </c:pt>
                <c:pt idx="82">
                  <c:v>0.368800483172688</c:v>
                </c:pt>
                <c:pt idx="83">
                  <c:v>0.360609678376999</c:v>
                </c:pt>
                <c:pt idx="84">
                  <c:v>0.366622817208326</c:v>
                </c:pt>
                <c:pt idx="85">
                  <c:v>0.372323176599206</c:v>
                </c:pt>
                <c:pt idx="86">
                  <c:v>0.347618644328413</c:v>
                </c:pt>
                <c:pt idx="87">
                  <c:v>0.352702927578766</c:v>
                </c:pt>
                <c:pt idx="88">
                  <c:v>0.366592272550149</c:v>
                </c:pt>
                <c:pt idx="89">
                  <c:v>0.365770573079286</c:v>
                </c:pt>
                <c:pt idx="90">
                  <c:v>0.365614314787761</c:v>
                </c:pt>
                <c:pt idx="91">
                  <c:v>0.364579269060169</c:v>
                </c:pt>
                <c:pt idx="92">
                  <c:v>0.364874272147552</c:v>
                </c:pt>
                <c:pt idx="93">
                  <c:v>0.377182296420456</c:v>
                </c:pt>
                <c:pt idx="94">
                  <c:v>0.346426632128784</c:v>
                </c:pt>
                <c:pt idx="95">
                  <c:v>0.367809945584658</c:v>
                </c:pt>
                <c:pt idx="96">
                  <c:v>0.393002781553792</c:v>
                </c:pt>
                <c:pt idx="97">
                  <c:v>0.387135327926851</c:v>
                </c:pt>
                <c:pt idx="98">
                  <c:v>0.362695880739209</c:v>
                </c:pt>
                <c:pt idx="99">
                  <c:v>0.392722612810491</c:v>
                </c:pt>
                <c:pt idx="100">
                  <c:v>0.370425192337824</c:v>
                </c:pt>
                <c:pt idx="101">
                  <c:v>0.362839940858918</c:v>
                </c:pt>
                <c:pt idx="102">
                  <c:v>0.354437468530915</c:v>
                </c:pt>
                <c:pt idx="103">
                  <c:v>0.385781704223323</c:v>
                </c:pt>
                <c:pt idx="104">
                  <c:v>0.374212915495151</c:v>
                </c:pt>
                <c:pt idx="105">
                  <c:v>0.371154165978314</c:v>
                </c:pt>
                <c:pt idx="106">
                  <c:v>0.355703229089885</c:v>
                </c:pt>
                <c:pt idx="107">
                  <c:v>0.374775440463362</c:v>
                </c:pt>
                <c:pt idx="108">
                  <c:v>0.368575439258533</c:v>
                </c:pt>
                <c:pt idx="109">
                  <c:v>0.370018854311927</c:v>
                </c:pt>
                <c:pt idx="110">
                  <c:v>0.394781984198949</c:v>
                </c:pt>
                <c:pt idx="111">
                  <c:v>0.363997613380782</c:v>
                </c:pt>
                <c:pt idx="112">
                  <c:v>0.369965485660624</c:v>
                </c:pt>
                <c:pt idx="113">
                  <c:v>0.370813205555989</c:v>
                </c:pt>
                <c:pt idx="114">
                  <c:v>0.370381106766588</c:v>
                </c:pt>
                <c:pt idx="115">
                  <c:v>0.383710926878903</c:v>
                </c:pt>
                <c:pt idx="116">
                  <c:v>0.371206537193612</c:v>
                </c:pt>
                <c:pt idx="117">
                  <c:v>0.376391438517319</c:v>
                </c:pt>
                <c:pt idx="118">
                  <c:v>0.405480279352942</c:v>
                </c:pt>
                <c:pt idx="119">
                  <c:v>0.374676193582578</c:v>
                </c:pt>
                <c:pt idx="120">
                  <c:v>0.37284783395561</c:v>
                </c:pt>
                <c:pt idx="121">
                  <c:v>0.379719024300728</c:v>
                </c:pt>
                <c:pt idx="122">
                  <c:v>0.379124982009232</c:v>
                </c:pt>
                <c:pt idx="123">
                  <c:v>0.384600843007752</c:v>
                </c:pt>
                <c:pt idx="124">
                  <c:v>0.40047927065673</c:v>
                </c:pt>
                <c:pt idx="125">
                  <c:v>0.396893436376139</c:v>
                </c:pt>
                <c:pt idx="126">
                  <c:v>0.367154216114785</c:v>
                </c:pt>
                <c:pt idx="127">
                  <c:v>0.361927089188588</c:v>
                </c:pt>
                <c:pt idx="128">
                  <c:v>0.377605610479035</c:v>
                </c:pt>
                <c:pt idx="129">
                  <c:v>0.368554357552121</c:v>
                </c:pt>
                <c:pt idx="130">
                  <c:v>0.364079288233976</c:v>
                </c:pt>
                <c:pt idx="131">
                  <c:v>0.353526693690853</c:v>
                </c:pt>
                <c:pt idx="132">
                  <c:v>0.358435734799363</c:v>
                </c:pt>
                <c:pt idx="133">
                  <c:v>0.34571576687326</c:v>
                </c:pt>
                <c:pt idx="134">
                  <c:v>0.379930247189997</c:v>
                </c:pt>
                <c:pt idx="135">
                  <c:v>0.373538316478527</c:v>
                </c:pt>
                <c:pt idx="136">
                  <c:v>0.353784250569539</c:v>
                </c:pt>
                <c:pt idx="137">
                  <c:v>0.3722002339539</c:v>
                </c:pt>
                <c:pt idx="138">
                  <c:v>0.369383511111949</c:v>
                </c:pt>
                <c:pt idx="139">
                  <c:v>0.366719697831022</c:v>
                </c:pt>
                <c:pt idx="140">
                  <c:v>0.382146553249716</c:v>
                </c:pt>
                <c:pt idx="141">
                  <c:v>0.345733722082226</c:v>
                </c:pt>
                <c:pt idx="142">
                  <c:v>0.381124963102788</c:v>
                </c:pt>
                <c:pt idx="143">
                  <c:v>0.343982539743464</c:v>
                </c:pt>
                <c:pt idx="144">
                  <c:v>0.36083900443018</c:v>
                </c:pt>
                <c:pt idx="145">
                  <c:v>0.344904438868619</c:v>
                </c:pt>
                <c:pt idx="146">
                  <c:v>0.359167403601186</c:v>
                </c:pt>
                <c:pt idx="147">
                  <c:v>0.363018153969321</c:v>
                </c:pt>
                <c:pt idx="148">
                  <c:v>0.366430670067745</c:v>
                </c:pt>
                <c:pt idx="149">
                  <c:v>0.37243158643421</c:v>
                </c:pt>
                <c:pt idx="150">
                  <c:v>0.36809434800517</c:v>
                </c:pt>
                <c:pt idx="151">
                  <c:v>0.351725461746942</c:v>
                </c:pt>
                <c:pt idx="152">
                  <c:v>0.403869036156847</c:v>
                </c:pt>
                <c:pt idx="153">
                  <c:v>0.343904674378147</c:v>
                </c:pt>
                <c:pt idx="154">
                  <c:v>0.359553519492346</c:v>
                </c:pt>
                <c:pt idx="155">
                  <c:v>0.351571415247946</c:v>
                </c:pt>
                <c:pt idx="156">
                  <c:v>0.402429217866751</c:v>
                </c:pt>
                <c:pt idx="157">
                  <c:v>0.344883151122425</c:v>
                </c:pt>
                <c:pt idx="158">
                  <c:v>0.391040176213626</c:v>
                </c:pt>
                <c:pt idx="159">
                  <c:v>0.376690471590648</c:v>
                </c:pt>
                <c:pt idx="160">
                  <c:v>0.371935108288778</c:v>
                </c:pt>
                <c:pt idx="161">
                  <c:v>0.360634900624056</c:v>
                </c:pt>
                <c:pt idx="162">
                  <c:v>0.348619663674103</c:v>
                </c:pt>
                <c:pt idx="163">
                  <c:v>0.361121413265695</c:v>
                </c:pt>
                <c:pt idx="164">
                  <c:v>0.35437215092674</c:v>
                </c:pt>
                <c:pt idx="165">
                  <c:v>0.387466244139849</c:v>
                </c:pt>
                <c:pt idx="166">
                  <c:v>0.37058563415507</c:v>
                </c:pt>
                <c:pt idx="167">
                  <c:v>0.353693410846024</c:v>
                </c:pt>
                <c:pt idx="168">
                  <c:v>0.347519409408321</c:v>
                </c:pt>
                <c:pt idx="169">
                  <c:v>0.370350011767227</c:v>
                </c:pt>
                <c:pt idx="170">
                  <c:v>0.355641474063332</c:v>
                </c:pt>
                <c:pt idx="171">
                  <c:v>0.358483134418005</c:v>
                </c:pt>
                <c:pt idx="172">
                  <c:v>0.36541278235889</c:v>
                </c:pt>
                <c:pt idx="173">
                  <c:v>0.377526697295577</c:v>
                </c:pt>
                <c:pt idx="174">
                  <c:v>0.366043847962939</c:v>
                </c:pt>
                <c:pt idx="175">
                  <c:v>0.370597978716462</c:v>
                </c:pt>
                <c:pt idx="176">
                  <c:v>0.372250481445679</c:v>
                </c:pt>
                <c:pt idx="177">
                  <c:v>0.372954276234156</c:v>
                </c:pt>
                <c:pt idx="178">
                  <c:v>0.368550448171734</c:v>
                </c:pt>
                <c:pt idx="179">
                  <c:v>0.383522167124028</c:v>
                </c:pt>
                <c:pt idx="180">
                  <c:v>0.372456799746687</c:v>
                </c:pt>
                <c:pt idx="181">
                  <c:v>0.372072436259563</c:v>
                </c:pt>
                <c:pt idx="182">
                  <c:v>0.375093671875731</c:v>
                </c:pt>
                <c:pt idx="183">
                  <c:v>0.359482290404585</c:v>
                </c:pt>
                <c:pt idx="184">
                  <c:v>0.360556217863185</c:v>
                </c:pt>
                <c:pt idx="185">
                  <c:v>0.368699184688273</c:v>
                </c:pt>
                <c:pt idx="186">
                  <c:v>0.364311005211514</c:v>
                </c:pt>
                <c:pt idx="187">
                  <c:v>0.376945308409466</c:v>
                </c:pt>
                <c:pt idx="188">
                  <c:v>0.373836646729705</c:v>
                </c:pt>
                <c:pt idx="189">
                  <c:v>0.381586600798799</c:v>
                </c:pt>
                <c:pt idx="190">
                  <c:v>0.376644347866957</c:v>
                </c:pt>
                <c:pt idx="191">
                  <c:v>0.366112671013052</c:v>
                </c:pt>
                <c:pt idx="192">
                  <c:v>0.38186709242078</c:v>
                </c:pt>
                <c:pt idx="193">
                  <c:v>0.356126723416945</c:v>
                </c:pt>
                <c:pt idx="194">
                  <c:v>0.357480533278222</c:v>
                </c:pt>
                <c:pt idx="195">
                  <c:v>0.358307236963105</c:v>
                </c:pt>
                <c:pt idx="196">
                  <c:v>0.36821355991539</c:v>
                </c:pt>
                <c:pt idx="197">
                  <c:v>0.357282647112841</c:v>
                </c:pt>
                <c:pt idx="198">
                  <c:v>0.360832160322437</c:v>
                </c:pt>
                <c:pt idx="199">
                  <c:v>0.380990920612502</c:v>
                </c:pt>
                <c:pt idx="200">
                  <c:v>0.374334930873379</c:v>
                </c:pt>
                <c:pt idx="201">
                  <c:v>0.34788137989325</c:v>
                </c:pt>
                <c:pt idx="202">
                  <c:v>0.363073966384721</c:v>
                </c:pt>
                <c:pt idx="203">
                  <c:v>0.343547179728561</c:v>
                </c:pt>
                <c:pt idx="204">
                  <c:v>0.344240260876524</c:v>
                </c:pt>
                <c:pt idx="205">
                  <c:v>0.353210463101201</c:v>
                </c:pt>
                <c:pt idx="206">
                  <c:v>0.378315901811669</c:v>
                </c:pt>
                <c:pt idx="207">
                  <c:v>0.363958681783254</c:v>
                </c:pt>
                <c:pt idx="208">
                  <c:v>0.362328070995198</c:v>
                </c:pt>
                <c:pt idx="209">
                  <c:v>0.351804764322451</c:v>
                </c:pt>
                <c:pt idx="210">
                  <c:v>0.374123142603878</c:v>
                </c:pt>
                <c:pt idx="211">
                  <c:v>0.350805322896457</c:v>
                </c:pt>
                <c:pt idx="212">
                  <c:v>0.36273379222752</c:v>
                </c:pt>
                <c:pt idx="213">
                  <c:v>0.345744244385837</c:v>
                </c:pt>
                <c:pt idx="214">
                  <c:v>0.380077453219325</c:v>
                </c:pt>
                <c:pt idx="215">
                  <c:v>0.363615915514999</c:v>
                </c:pt>
                <c:pt idx="216">
                  <c:v>0.375605043571251</c:v>
                </c:pt>
                <c:pt idx="217">
                  <c:v>0.363550657773456</c:v>
                </c:pt>
                <c:pt idx="218">
                  <c:v>0.355909330899516</c:v>
                </c:pt>
                <c:pt idx="219">
                  <c:v>0.370046529100701</c:v>
                </c:pt>
                <c:pt idx="220">
                  <c:v>0.377043689293888</c:v>
                </c:pt>
                <c:pt idx="221">
                  <c:v>0.359820775424891</c:v>
                </c:pt>
                <c:pt idx="222">
                  <c:v>0.36339678937424</c:v>
                </c:pt>
                <c:pt idx="223">
                  <c:v>0.345598302129792</c:v>
                </c:pt>
                <c:pt idx="224">
                  <c:v>0.375065511276196</c:v>
                </c:pt>
                <c:pt idx="225">
                  <c:v>0.353451992872302</c:v>
                </c:pt>
                <c:pt idx="226">
                  <c:v>0.366766208756513</c:v>
                </c:pt>
                <c:pt idx="227">
                  <c:v>0.348642748298839</c:v>
                </c:pt>
                <c:pt idx="228">
                  <c:v>0.364392052784708</c:v>
                </c:pt>
                <c:pt idx="229">
                  <c:v>0.38811934452895</c:v>
                </c:pt>
                <c:pt idx="230">
                  <c:v>0.364824345648948</c:v>
                </c:pt>
                <c:pt idx="231">
                  <c:v>0.345914013806104</c:v>
                </c:pt>
                <c:pt idx="232">
                  <c:v>0.384980389788543</c:v>
                </c:pt>
                <c:pt idx="233">
                  <c:v>0.383901853139258</c:v>
                </c:pt>
                <c:pt idx="234">
                  <c:v>0.367686126151671</c:v>
                </c:pt>
                <c:pt idx="235">
                  <c:v>0.354700567245131</c:v>
                </c:pt>
                <c:pt idx="236">
                  <c:v>0.367241841207805</c:v>
                </c:pt>
                <c:pt idx="237">
                  <c:v>0.367151001980086</c:v>
                </c:pt>
                <c:pt idx="238">
                  <c:v>0.370983301106236</c:v>
                </c:pt>
                <c:pt idx="239">
                  <c:v>0.349340781650347</c:v>
                </c:pt>
                <c:pt idx="240">
                  <c:v>0.363729742703717</c:v>
                </c:pt>
                <c:pt idx="241">
                  <c:v>0.361045321150641</c:v>
                </c:pt>
                <c:pt idx="242">
                  <c:v>0.391849256309155</c:v>
                </c:pt>
                <c:pt idx="243">
                  <c:v>0.345096410364513</c:v>
                </c:pt>
                <c:pt idx="244">
                  <c:v>0.369541673998217</c:v>
                </c:pt>
                <c:pt idx="245">
                  <c:v>0.356514078685576</c:v>
                </c:pt>
                <c:pt idx="246">
                  <c:v>0.363467566624246</c:v>
                </c:pt>
                <c:pt idx="247">
                  <c:v>0.375272137205035</c:v>
                </c:pt>
                <c:pt idx="248">
                  <c:v>0.383649560638776</c:v>
                </c:pt>
                <c:pt idx="249">
                  <c:v>0.373330222924548</c:v>
                </c:pt>
                <c:pt idx="250">
                  <c:v>0.378311703535136</c:v>
                </c:pt>
                <c:pt idx="251">
                  <c:v>0.345537975939636</c:v>
                </c:pt>
                <c:pt idx="252">
                  <c:v>0.359436639188076</c:v>
                </c:pt>
                <c:pt idx="253">
                  <c:v>0.356588784935414</c:v>
                </c:pt>
                <c:pt idx="254">
                  <c:v>0.397304732244113</c:v>
                </c:pt>
                <c:pt idx="255">
                  <c:v>0.365398776593348</c:v>
                </c:pt>
                <c:pt idx="256">
                  <c:v>0.3911810892928</c:v>
                </c:pt>
                <c:pt idx="257">
                  <c:v>0.353844091670181</c:v>
                </c:pt>
                <c:pt idx="258">
                  <c:v>0.358442570445875</c:v>
                </c:pt>
                <c:pt idx="259">
                  <c:v>0.367883412725915</c:v>
                </c:pt>
                <c:pt idx="260">
                  <c:v>0.372798691034916</c:v>
                </c:pt>
                <c:pt idx="261">
                  <c:v>0.346313873016762</c:v>
                </c:pt>
                <c:pt idx="262">
                  <c:v>0.363622751232991</c:v>
                </c:pt>
                <c:pt idx="263">
                  <c:v>0.352131594040668</c:v>
                </c:pt>
                <c:pt idx="264">
                  <c:v>0.3870291351929</c:v>
                </c:pt>
                <c:pt idx="265">
                  <c:v>0.372542599041963</c:v>
                </c:pt>
                <c:pt idx="266">
                  <c:v>0.370917055637453</c:v>
                </c:pt>
                <c:pt idx="267">
                  <c:v>0.368785037391145</c:v>
                </c:pt>
                <c:pt idx="268">
                  <c:v>0.364411961048505</c:v>
                </c:pt>
                <c:pt idx="269">
                  <c:v>0.371801584966277</c:v>
                </c:pt>
                <c:pt idx="270">
                  <c:v>0.379493116996146</c:v>
                </c:pt>
                <c:pt idx="271">
                  <c:v>0.371960980912029</c:v>
                </c:pt>
                <c:pt idx="272">
                  <c:v>0.377007390229883</c:v>
                </c:pt>
                <c:pt idx="273">
                  <c:v>0.396798851900623</c:v>
                </c:pt>
                <c:pt idx="274">
                  <c:v>0.362859771874861</c:v>
                </c:pt>
                <c:pt idx="275">
                  <c:v>0.36290664605529</c:v>
                </c:pt>
                <c:pt idx="276">
                  <c:v>0.370502163629886</c:v>
                </c:pt>
                <c:pt idx="277">
                  <c:v>0.360694431641133</c:v>
                </c:pt>
                <c:pt idx="278">
                  <c:v>0.355871253316809</c:v>
                </c:pt>
                <c:pt idx="279">
                  <c:v>0.366622979355914</c:v>
                </c:pt>
                <c:pt idx="280">
                  <c:v>0.395410885815188</c:v>
                </c:pt>
                <c:pt idx="281">
                  <c:v>0.354594882169078</c:v>
                </c:pt>
                <c:pt idx="282">
                  <c:v>0.383945519722297</c:v>
                </c:pt>
                <c:pt idx="283">
                  <c:v>0.344574814448044</c:v>
                </c:pt>
                <c:pt idx="284">
                  <c:v>0.391527685505292</c:v>
                </c:pt>
                <c:pt idx="285">
                  <c:v>0.340876702844139</c:v>
                </c:pt>
                <c:pt idx="286">
                  <c:v>0.343963706757787</c:v>
                </c:pt>
                <c:pt idx="287">
                  <c:v>0.369186991629241</c:v>
                </c:pt>
                <c:pt idx="288">
                  <c:v>0.381509877069438</c:v>
                </c:pt>
                <c:pt idx="289">
                  <c:v>0.368292385880602</c:v>
                </c:pt>
                <c:pt idx="290">
                  <c:v>0.354791428801947</c:v>
                </c:pt>
                <c:pt idx="291">
                  <c:v>0.351663648030132</c:v>
                </c:pt>
                <c:pt idx="292">
                  <c:v>0.382993459782544</c:v>
                </c:pt>
                <c:pt idx="293">
                  <c:v>0.351833286971798</c:v>
                </c:pt>
                <c:pt idx="294">
                  <c:v>0.339090077755673</c:v>
                </c:pt>
                <c:pt idx="295">
                  <c:v>0.385460921899412</c:v>
                </c:pt>
                <c:pt idx="296">
                  <c:v>0.350920244873696</c:v>
                </c:pt>
                <c:pt idx="297">
                  <c:v>0.374158129997176</c:v>
                </c:pt>
                <c:pt idx="298">
                  <c:v>0.359665869203148</c:v>
                </c:pt>
                <c:pt idx="299">
                  <c:v>0.354865614261764</c:v>
                </c:pt>
                <c:pt idx="300">
                  <c:v>0.348124076911256</c:v>
                </c:pt>
                <c:pt idx="301">
                  <c:v>0.356290331108851</c:v>
                </c:pt>
                <c:pt idx="302">
                  <c:v>0.365304712907866</c:v>
                </c:pt>
                <c:pt idx="303">
                  <c:v>0.377947323788526</c:v>
                </c:pt>
                <c:pt idx="304">
                  <c:v>0.36174006621436</c:v>
                </c:pt>
                <c:pt idx="305">
                  <c:v>0.350998411808758</c:v>
                </c:pt>
                <c:pt idx="306">
                  <c:v>0.34751978580553</c:v>
                </c:pt>
                <c:pt idx="307">
                  <c:v>0.369965762755085</c:v>
                </c:pt>
                <c:pt idx="308">
                  <c:v>0.347946351090563</c:v>
                </c:pt>
                <c:pt idx="309">
                  <c:v>0.376957089440141</c:v>
                </c:pt>
                <c:pt idx="310">
                  <c:v>0.367152217481411</c:v>
                </c:pt>
                <c:pt idx="311">
                  <c:v>0.358927234224922</c:v>
                </c:pt>
                <c:pt idx="312">
                  <c:v>0.403474110912643</c:v>
                </c:pt>
                <c:pt idx="313">
                  <c:v>0.356830768011314</c:v>
                </c:pt>
                <c:pt idx="314">
                  <c:v>0.381401157843391</c:v>
                </c:pt>
                <c:pt idx="315">
                  <c:v>0.340316661540944</c:v>
                </c:pt>
                <c:pt idx="316">
                  <c:v>0.365082595711993</c:v>
                </c:pt>
                <c:pt idx="317">
                  <c:v>0.347865201029298</c:v>
                </c:pt>
                <c:pt idx="318">
                  <c:v>0.362340898704329</c:v>
                </c:pt>
                <c:pt idx="319">
                  <c:v>0.345148209306075</c:v>
                </c:pt>
                <c:pt idx="320">
                  <c:v>0.386483906097904</c:v>
                </c:pt>
                <c:pt idx="321">
                  <c:v>0.363065667578095</c:v>
                </c:pt>
                <c:pt idx="322">
                  <c:v>0.357417379897666</c:v>
                </c:pt>
                <c:pt idx="323">
                  <c:v>0.362433020566648</c:v>
                </c:pt>
                <c:pt idx="324">
                  <c:v>0.368241730249898</c:v>
                </c:pt>
                <c:pt idx="325">
                  <c:v>0.392600705220097</c:v>
                </c:pt>
                <c:pt idx="326">
                  <c:v>0.374084927435812</c:v>
                </c:pt>
                <c:pt idx="327">
                  <c:v>0.36074721948885</c:v>
                </c:pt>
                <c:pt idx="328">
                  <c:v>0.361466490439623</c:v>
                </c:pt>
                <c:pt idx="329">
                  <c:v>0.350879092259813</c:v>
                </c:pt>
                <c:pt idx="330">
                  <c:v>0.374865870452117</c:v>
                </c:pt>
                <c:pt idx="331">
                  <c:v>0.373979738384231</c:v>
                </c:pt>
                <c:pt idx="332">
                  <c:v>0.347338653078141</c:v>
                </c:pt>
                <c:pt idx="333">
                  <c:v>0.352826197151778</c:v>
                </c:pt>
                <c:pt idx="334">
                  <c:v>0.364731163088664</c:v>
                </c:pt>
                <c:pt idx="335">
                  <c:v>0.363944862233004</c:v>
                </c:pt>
                <c:pt idx="336">
                  <c:v>0.379456794341473</c:v>
                </c:pt>
                <c:pt idx="337">
                  <c:v>0.383489594954483</c:v>
                </c:pt>
                <c:pt idx="338">
                  <c:v>0.383125156374956</c:v>
                </c:pt>
                <c:pt idx="339">
                  <c:v>0.390581940406756</c:v>
                </c:pt>
                <c:pt idx="340">
                  <c:v>0.352116810280637</c:v>
                </c:pt>
                <c:pt idx="341">
                  <c:v>0.373748791093759</c:v>
                </c:pt>
                <c:pt idx="342">
                  <c:v>0.376128939875003</c:v>
                </c:pt>
                <c:pt idx="343">
                  <c:v>0.346695296713953</c:v>
                </c:pt>
                <c:pt idx="344">
                  <c:v>0.367746819875323</c:v>
                </c:pt>
                <c:pt idx="345">
                  <c:v>0.356239969999704</c:v>
                </c:pt>
                <c:pt idx="346">
                  <c:v>0.36003222998334</c:v>
                </c:pt>
                <c:pt idx="347">
                  <c:v>0.357107141725267</c:v>
                </c:pt>
                <c:pt idx="348">
                  <c:v>0.373207359033325</c:v>
                </c:pt>
                <c:pt idx="349">
                  <c:v>0.410512464603524</c:v>
                </c:pt>
                <c:pt idx="350">
                  <c:v>0.358421602989412</c:v>
                </c:pt>
                <c:pt idx="351">
                  <c:v>0.378719173057262</c:v>
                </c:pt>
                <c:pt idx="352">
                  <c:v>0.362483843912796</c:v>
                </c:pt>
                <c:pt idx="353">
                  <c:v>0.365792376756809</c:v>
                </c:pt>
                <c:pt idx="354">
                  <c:v>0.364209861176422</c:v>
                </c:pt>
                <c:pt idx="355">
                  <c:v>0.366322052418704</c:v>
                </c:pt>
                <c:pt idx="356">
                  <c:v>0.365391241323703</c:v>
                </c:pt>
                <c:pt idx="357">
                  <c:v>0.363054841625923</c:v>
                </c:pt>
                <c:pt idx="358">
                  <c:v>0.364271058791829</c:v>
                </c:pt>
                <c:pt idx="359">
                  <c:v>0.349103951298523</c:v>
                </c:pt>
                <c:pt idx="360">
                  <c:v>0.351558432115446</c:v>
                </c:pt>
                <c:pt idx="361">
                  <c:v>0.374583085840481</c:v>
                </c:pt>
                <c:pt idx="362">
                  <c:v>0.346481425767183</c:v>
                </c:pt>
                <c:pt idx="363">
                  <c:v>0.376400815923256</c:v>
                </c:pt>
                <c:pt idx="364">
                  <c:v>0.373609665260011</c:v>
                </c:pt>
                <c:pt idx="365">
                  <c:v>0.369416252843449</c:v>
                </c:pt>
                <c:pt idx="366">
                  <c:v>0.372104711622157</c:v>
                </c:pt>
                <c:pt idx="367">
                  <c:v>0.36557135202222</c:v>
                </c:pt>
                <c:pt idx="368">
                  <c:v>0.35589553373709</c:v>
                </c:pt>
                <c:pt idx="369">
                  <c:v>0.378748041596053</c:v>
                </c:pt>
                <c:pt idx="370">
                  <c:v>0.361817445230939</c:v>
                </c:pt>
                <c:pt idx="371">
                  <c:v>0.367080977182572</c:v>
                </c:pt>
                <c:pt idx="372">
                  <c:v>0.391447231463918</c:v>
                </c:pt>
                <c:pt idx="373">
                  <c:v>0.36904032316423</c:v>
                </c:pt>
                <c:pt idx="374">
                  <c:v>0.36873633119346</c:v>
                </c:pt>
                <c:pt idx="375">
                  <c:v>0.350502771111855</c:v>
                </c:pt>
                <c:pt idx="376">
                  <c:v>0.352794440107097</c:v>
                </c:pt>
                <c:pt idx="377">
                  <c:v>0.354717095955045</c:v>
                </c:pt>
                <c:pt idx="378">
                  <c:v>0.344630188257987</c:v>
                </c:pt>
                <c:pt idx="379">
                  <c:v>0.36370047491219</c:v>
                </c:pt>
                <c:pt idx="380">
                  <c:v>0.357195108149024</c:v>
                </c:pt>
                <c:pt idx="381">
                  <c:v>0.351304626785446</c:v>
                </c:pt>
                <c:pt idx="382">
                  <c:v>0.36274091460277</c:v>
                </c:pt>
                <c:pt idx="383">
                  <c:v>0.363810841843012</c:v>
                </c:pt>
                <c:pt idx="384">
                  <c:v>0.367542810643376</c:v>
                </c:pt>
                <c:pt idx="385">
                  <c:v>0.34802270494319</c:v>
                </c:pt>
                <c:pt idx="386">
                  <c:v>0.344271858882618</c:v>
                </c:pt>
                <c:pt idx="387">
                  <c:v>0.355473640594551</c:v>
                </c:pt>
                <c:pt idx="388">
                  <c:v>0.369802773498799</c:v>
                </c:pt>
                <c:pt idx="389">
                  <c:v>0.347059794876724</c:v>
                </c:pt>
                <c:pt idx="390">
                  <c:v>0.373988391538895</c:v>
                </c:pt>
                <c:pt idx="391">
                  <c:v>0.371541633577112</c:v>
                </c:pt>
                <c:pt idx="392">
                  <c:v>0.347484409142158</c:v>
                </c:pt>
                <c:pt idx="393">
                  <c:v>0.381391106098296</c:v>
                </c:pt>
                <c:pt idx="394">
                  <c:v>0.386955304601799</c:v>
                </c:pt>
                <c:pt idx="395">
                  <c:v>0.378758104218016</c:v>
                </c:pt>
                <c:pt idx="396">
                  <c:v>0.392610629649533</c:v>
                </c:pt>
                <c:pt idx="397">
                  <c:v>0.358278547852795</c:v>
                </c:pt>
                <c:pt idx="398">
                  <c:v>0.368808600090678</c:v>
                </c:pt>
                <c:pt idx="399">
                  <c:v>0.377876421853323</c:v>
                </c:pt>
                <c:pt idx="400">
                  <c:v>0.357483303527251</c:v>
                </c:pt>
                <c:pt idx="401">
                  <c:v>0.360825890973356</c:v>
                </c:pt>
                <c:pt idx="402">
                  <c:v>0.369394450815386</c:v>
                </c:pt>
                <c:pt idx="403">
                  <c:v>0.362924811383046</c:v>
                </c:pt>
                <c:pt idx="404">
                  <c:v>0.372586870742246</c:v>
                </c:pt>
                <c:pt idx="405">
                  <c:v>0.342226185681</c:v>
                </c:pt>
                <c:pt idx="406">
                  <c:v>0.350896295838595</c:v>
                </c:pt>
                <c:pt idx="407">
                  <c:v>0.355734618195046</c:v>
                </c:pt>
                <c:pt idx="408">
                  <c:v>0.374189158579493</c:v>
                </c:pt>
                <c:pt idx="409">
                  <c:v>0.383667418086009</c:v>
                </c:pt>
                <c:pt idx="410">
                  <c:v>0.361984181830293</c:v>
                </c:pt>
                <c:pt idx="411">
                  <c:v>0.382483309678369</c:v>
                </c:pt>
                <c:pt idx="412">
                  <c:v>0.356713704029151</c:v>
                </c:pt>
                <c:pt idx="413">
                  <c:v>0.372086688463434</c:v>
                </c:pt>
                <c:pt idx="414">
                  <c:v>0.368105891495275</c:v>
                </c:pt>
                <c:pt idx="415">
                  <c:v>0.364907547657938</c:v>
                </c:pt>
                <c:pt idx="416">
                  <c:v>0.362274983902891</c:v>
                </c:pt>
                <c:pt idx="417">
                  <c:v>0.361038589676505</c:v>
                </c:pt>
                <c:pt idx="418">
                  <c:v>0.371091659340284</c:v>
                </c:pt>
                <c:pt idx="419">
                  <c:v>0.345626426281672</c:v>
                </c:pt>
                <c:pt idx="420">
                  <c:v>0.383596795153295</c:v>
                </c:pt>
                <c:pt idx="421">
                  <c:v>0.354019222985829</c:v>
                </c:pt>
                <c:pt idx="422">
                  <c:v>0.36400158380416</c:v>
                </c:pt>
                <c:pt idx="423">
                  <c:v>0.365294136505341</c:v>
                </c:pt>
                <c:pt idx="424">
                  <c:v>0.348044954895612</c:v>
                </c:pt>
                <c:pt idx="425">
                  <c:v>0.346526064756137</c:v>
                </c:pt>
                <c:pt idx="426">
                  <c:v>0.365741034357028</c:v>
                </c:pt>
                <c:pt idx="427">
                  <c:v>0.381589784067166</c:v>
                </c:pt>
                <c:pt idx="428">
                  <c:v>0.385844664400555</c:v>
                </c:pt>
                <c:pt idx="429">
                  <c:v>0.355929415532868</c:v>
                </c:pt>
                <c:pt idx="430">
                  <c:v>0.349180045281464</c:v>
                </c:pt>
                <c:pt idx="431">
                  <c:v>0.38047235112912</c:v>
                </c:pt>
                <c:pt idx="432">
                  <c:v>0.343789299932829</c:v>
                </c:pt>
                <c:pt idx="433">
                  <c:v>0.342150169427478</c:v>
                </c:pt>
                <c:pt idx="434">
                  <c:v>0.365385776906711</c:v>
                </c:pt>
                <c:pt idx="435">
                  <c:v>0.364435950330064</c:v>
                </c:pt>
                <c:pt idx="436">
                  <c:v>0.392675540777625</c:v>
                </c:pt>
                <c:pt idx="437">
                  <c:v>0.360453726108178</c:v>
                </c:pt>
                <c:pt idx="438">
                  <c:v>0.370362330833069</c:v>
                </c:pt>
                <c:pt idx="439">
                  <c:v>0.359955312339927</c:v>
                </c:pt>
                <c:pt idx="440">
                  <c:v>0.344860788118409</c:v>
                </c:pt>
                <c:pt idx="441">
                  <c:v>0.387071834701266</c:v>
                </c:pt>
                <c:pt idx="442">
                  <c:v>0.37321121851898</c:v>
                </c:pt>
                <c:pt idx="443">
                  <c:v>0.363322295332024</c:v>
                </c:pt>
                <c:pt idx="444">
                  <c:v>0.370326434564705</c:v>
                </c:pt>
                <c:pt idx="445">
                  <c:v>0.351728698243467</c:v>
                </c:pt>
                <c:pt idx="446">
                  <c:v>0.341667337056146</c:v>
                </c:pt>
                <c:pt idx="447">
                  <c:v>0.371015740891255</c:v>
                </c:pt>
                <c:pt idx="448">
                  <c:v>0.366352912216006</c:v>
                </c:pt>
                <c:pt idx="449">
                  <c:v>0.396319407164415</c:v>
                </c:pt>
                <c:pt idx="450">
                  <c:v>0.367735273411277</c:v>
                </c:pt>
                <c:pt idx="451">
                  <c:v>0.358362521658805</c:v>
                </c:pt>
                <c:pt idx="452">
                  <c:v>0.366883485702586</c:v>
                </c:pt>
                <c:pt idx="453">
                  <c:v>0.383700641701554</c:v>
                </c:pt>
                <c:pt idx="454">
                  <c:v>0.364595761689849</c:v>
                </c:pt>
                <c:pt idx="455">
                  <c:v>0.365662245130656</c:v>
                </c:pt>
                <c:pt idx="456">
                  <c:v>0.347036990310511</c:v>
                </c:pt>
                <c:pt idx="457">
                  <c:v>0.379778356457164</c:v>
                </c:pt>
                <c:pt idx="458">
                  <c:v>0.380678058922029</c:v>
                </c:pt>
                <c:pt idx="459">
                  <c:v>0.359428099019689</c:v>
                </c:pt>
                <c:pt idx="460">
                  <c:v>0.353708903092017</c:v>
                </c:pt>
                <c:pt idx="461">
                  <c:v>0.379725146790588</c:v>
                </c:pt>
                <c:pt idx="462">
                  <c:v>0.346232679478068</c:v>
                </c:pt>
                <c:pt idx="463">
                  <c:v>0.371621706886242</c:v>
                </c:pt>
                <c:pt idx="464">
                  <c:v>0.376565227924938</c:v>
                </c:pt>
                <c:pt idx="465">
                  <c:v>0.368372790586467</c:v>
                </c:pt>
                <c:pt idx="466">
                  <c:v>0.380670020986397</c:v>
                </c:pt>
                <c:pt idx="467">
                  <c:v>0.337140536709491</c:v>
                </c:pt>
                <c:pt idx="468">
                  <c:v>0.358517376876824</c:v>
                </c:pt>
                <c:pt idx="469">
                  <c:v>0.360794023592858</c:v>
                </c:pt>
                <c:pt idx="470">
                  <c:v>0.354784106165968</c:v>
                </c:pt>
                <c:pt idx="471">
                  <c:v>0.359589733196706</c:v>
                </c:pt>
                <c:pt idx="472">
                  <c:v>0.347613589818504</c:v>
                </c:pt>
                <c:pt idx="473">
                  <c:v>0.35887628958307</c:v>
                </c:pt>
                <c:pt idx="474">
                  <c:v>0.340614824299807</c:v>
                </c:pt>
                <c:pt idx="475">
                  <c:v>0.342975195797542</c:v>
                </c:pt>
                <c:pt idx="476">
                  <c:v>0.375547847824228</c:v>
                </c:pt>
                <c:pt idx="477">
                  <c:v>0.362310925243711</c:v>
                </c:pt>
                <c:pt idx="478">
                  <c:v>0.342314841885323</c:v>
                </c:pt>
                <c:pt idx="479">
                  <c:v>0.352081552069217</c:v>
                </c:pt>
                <c:pt idx="480">
                  <c:v>0.348914189122782</c:v>
                </c:pt>
                <c:pt idx="481">
                  <c:v>0.386749429956296</c:v>
                </c:pt>
                <c:pt idx="482">
                  <c:v>0.365442698660179</c:v>
                </c:pt>
                <c:pt idx="483">
                  <c:v>0.362917606050212</c:v>
                </c:pt>
                <c:pt idx="484">
                  <c:v>0.378249944222908</c:v>
                </c:pt>
                <c:pt idx="485">
                  <c:v>0.36563476349046</c:v>
                </c:pt>
                <c:pt idx="486">
                  <c:v>0.377809961095473</c:v>
                </c:pt>
                <c:pt idx="487">
                  <c:v>0.348002494058696</c:v>
                </c:pt>
                <c:pt idx="488">
                  <c:v>0.344546157744004</c:v>
                </c:pt>
                <c:pt idx="489">
                  <c:v>0.37033195606858</c:v>
                </c:pt>
                <c:pt idx="490">
                  <c:v>0.36484672719893</c:v>
                </c:pt>
                <c:pt idx="491">
                  <c:v>0.356775700226121</c:v>
                </c:pt>
                <c:pt idx="492">
                  <c:v>0.365715970438112</c:v>
                </c:pt>
                <c:pt idx="493">
                  <c:v>0.388328169512544</c:v>
                </c:pt>
                <c:pt idx="494">
                  <c:v>0.346631563820509</c:v>
                </c:pt>
                <c:pt idx="495">
                  <c:v>0.35896502921391</c:v>
                </c:pt>
                <c:pt idx="496">
                  <c:v>0.374409957319014</c:v>
                </c:pt>
                <c:pt idx="497">
                  <c:v>0.372897785047514</c:v>
                </c:pt>
                <c:pt idx="498">
                  <c:v>0.367781524259226</c:v>
                </c:pt>
                <c:pt idx="499">
                  <c:v>0.355338916185728</c:v>
                </c:pt>
                <c:pt idx="500">
                  <c:v>0.382720919654984</c:v>
                </c:pt>
                <c:pt idx="501">
                  <c:v>0.366194413191682</c:v>
                </c:pt>
                <c:pt idx="502">
                  <c:v>0.364580476631404</c:v>
                </c:pt>
                <c:pt idx="503">
                  <c:v>0.368232952127027</c:v>
                </c:pt>
                <c:pt idx="504">
                  <c:v>0.352764768142501</c:v>
                </c:pt>
                <c:pt idx="505">
                  <c:v>0.364527144244594</c:v>
                </c:pt>
                <c:pt idx="506">
                  <c:v>0.398471988376147</c:v>
                </c:pt>
                <c:pt idx="507">
                  <c:v>0.36904985297056</c:v>
                </c:pt>
                <c:pt idx="508">
                  <c:v>0.363217707092094</c:v>
                </c:pt>
                <c:pt idx="509">
                  <c:v>0.375482395158987</c:v>
                </c:pt>
                <c:pt idx="510">
                  <c:v>0.365868434071555</c:v>
                </c:pt>
                <c:pt idx="511">
                  <c:v>0.381771601708289</c:v>
                </c:pt>
                <c:pt idx="512">
                  <c:v>0.389239635543936</c:v>
                </c:pt>
                <c:pt idx="513">
                  <c:v>0.384707470946181</c:v>
                </c:pt>
                <c:pt idx="514">
                  <c:v>0.349885296511113</c:v>
                </c:pt>
                <c:pt idx="515">
                  <c:v>0.373444287628221</c:v>
                </c:pt>
                <c:pt idx="516">
                  <c:v>0.362746809222962</c:v>
                </c:pt>
                <c:pt idx="517">
                  <c:v>0.366355002965206</c:v>
                </c:pt>
                <c:pt idx="518">
                  <c:v>0.35206285452009</c:v>
                </c:pt>
                <c:pt idx="519">
                  <c:v>0.367412431945973</c:v>
                </c:pt>
                <c:pt idx="520">
                  <c:v>0.350725486636112</c:v>
                </c:pt>
                <c:pt idx="521">
                  <c:v>0.379918304669375</c:v>
                </c:pt>
                <c:pt idx="522">
                  <c:v>0.348043783247596</c:v>
                </c:pt>
                <c:pt idx="523">
                  <c:v>0.38062163343595</c:v>
                </c:pt>
                <c:pt idx="524">
                  <c:v>0.380524364633956</c:v>
                </c:pt>
                <c:pt idx="525">
                  <c:v>0.335018507270434</c:v>
                </c:pt>
                <c:pt idx="526">
                  <c:v>0.37456821951798</c:v>
                </c:pt>
                <c:pt idx="527">
                  <c:v>0.37031985805242</c:v>
                </c:pt>
                <c:pt idx="528">
                  <c:v>0.350262991782753</c:v>
                </c:pt>
                <c:pt idx="529">
                  <c:v>0.35961286948928</c:v>
                </c:pt>
                <c:pt idx="530">
                  <c:v>0.38600501356914</c:v>
                </c:pt>
                <c:pt idx="531">
                  <c:v>0.374772071075804</c:v>
                </c:pt>
                <c:pt idx="532">
                  <c:v>0.36150989294919</c:v>
                </c:pt>
                <c:pt idx="533">
                  <c:v>0.357989952687489</c:v>
                </c:pt>
                <c:pt idx="534">
                  <c:v>0.384916140227579</c:v>
                </c:pt>
                <c:pt idx="535">
                  <c:v>0.343377139795811</c:v>
                </c:pt>
                <c:pt idx="536">
                  <c:v>0.360597703495762</c:v>
                </c:pt>
                <c:pt idx="537">
                  <c:v>0.370886814493973</c:v>
                </c:pt>
                <c:pt idx="538">
                  <c:v>0.362047285206374</c:v>
                </c:pt>
                <c:pt idx="539">
                  <c:v>0.362609374244158</c:v>
                </c:pt>
                <c:pt idx="540">
                  <c:v>0.345409679003949</c:v>
                </c:pt>
                <c:pt idx="541">
                  <c:v>0.351579566737438</c:v>
                </c:pt>
                <c:pt idx="542">
                  <c:v>0.390277485793465</c:v>
                </c:pt>
                <c:pt idx="543">
                  <c:v>0.378312661272064</c:v>
                </c:pt>
                <c:pt idx="544">
                  <c:v>0.364945382016865</c:v>
                </c:pt>
                <c:pt idx="545">
                  <c:v>0.3803569603923</c:v>
                </c:pt>
                <c:pt idx="546">
                  <c:v>0.372117060298464</c:v>
                </c:pt>
                <c:pt idx="547">
                  <c:v>0.362916937351946</c:v>
                </c:pt>
                <c:pt idx="548">
                  <c:v>0.397565167076112</c:v>
                </c:pt>
                <c:pt idx="549">
                  <c:v>0.367470012097792</c:v>
                </c:pt>
                <c:pt idx="550">
                  <c:v>0.373393338026116</c:v>
                </c:pt>
                <c:pt idx="551">
                  <c:v>0.341467566573449</c:v>
                </c:pt>
                <c:pt idx="552">
                  <c:v>0.361763349571472</c:v>
                </c:pt>
                <c:pt idx="553">
                  <c:v>0.369491742191995</c:v>
                </c:pt>
                <c:pt idx="554">
                  <c:v>0.356996991992124</c:v>
                </c:pt>
                <c:pt idx="555">
                  <c:v>0.349619514879748</c:v>
                </c:pt>
                <c:pt idx="556">
                  <c:v>0.384282214835738</c:v>
                </c:pt>
                <c:pt idx="557">
                  <c:v>0.367347438411985</c:v>
                </c:pt>
                <c:pt idx="558">
                  <c:v>0.369497611956311</c:v>
                </c:pt>
                <c:pt idx="559">
                  <c:v>0.349264709422819</c:v>
                </c:pt>
                <c:pt idx="560">
                  <c:v>0.376079741743562</c:v>
                </c:pt>
                <c:pt idx="561">
                  <c:v>0.347598594686449</c:v>
                </c:pt>
                <c:pt idx="562">
                  <c:v>0.362092492521193</c:v>
                </c:pt>
                <c:pt idx="563">
                  <c:v>0.353850200268245</c:v>
                </c:pt>
                <c:pt idx="564">
                  <c:v>0.354607193540671</c:v>
                </c:pt>
                <c:pt idx="565">
                  <c:v>0.346699852080405</c:v>
                </c:pt>
                <c:pt idx="566">
                  <c:v>0.358495853102737</c:v>
                </c:pt>
                <c:pt idx="567">
                  <c:v>0.359670405889474</c:v>
                </c:pt>
                <c:pt idx="568">
                  <c:v>0.346710767092138</c:v>
                </c:pt>
                <c:pt idx="569">
                  <c:v>0.368410558137526</c:v>
                </c:pt>
                <c:pt idx="570">
                  <c:v>0.338378313344914</c:v>
                </c:pt>
                <c:pt idx="571">
                  <c:v>0.340562300203473</c:v>
                </c:pt>
                <c:pt idx="572">
                  <c:v>0.363893378305993</c:v>
                </c:pt>
                <c:pt idx="573">
                  <c:v>0.36610495123933</c:v>
                </c:pt>
                <c:pt idx="574">
                  <c:v>0.344379507616896</c:v>
                </c:pt>
                <c:pt idx="575">
                  <c:v>0.357649188364946</c:v>
                </c:pt>
                <c:pt idx="576">
                  <c:v>0.372015242690969</c:v>
                </c:pt>
                <c:pt idx="577">
                  <c:v>0.368263003519384</c:v>
                </c:pt>
                <c:pt idx="578">
                  <c:v>0.382801910659932</c:v>
                </c:pt>
                <c:pt idx="579">
                  <c:v>0.366458934932509</c:v>
                </c:pt>
                <c:pt idx="580">
                  <c:v>0.365493926004026</c:v>
                </c:pt>
                <c:pt idx="581">
                  <c:v>0.368230250494043</c:v>
                </c:pt>
                <c:pt idx="582">
                  <c:v>0.350695759838545</c:v>
                </c:pt>
                <c:pt idx="583">
                  <c:v>0.384498953540307</c:v>
                </c:pt>
                <c:pt idx="584">
                  <c:v>0.34588252783542</c:v>
                </c:pt>
                <c:pt idx="585">
                  <c:v>0.375052405410304</c:v>
                </c:pt>
                <c:pt idx="586">
                  <c:v>0.373568553354019</c:v>
                </c:pt>
                <c:pt idx="587">
                  <c:v>0.351018112962785</c:v>
                </c:pt>
                <c:pt idx="588">
                  <c:v>0.355121663238014</c:v>
                </c:pt>
                <c:pt idx="589">
                  <c:v>0.365109140148136</c:v>
                </c:pt>
                <c:pt idx="590">
                  <c:v>0.366111357900221</c:v>
                </c:pt>
                <c:pt idx="591">
                  <c:v>0.374261396476813</c:v>
                </c:pt>
                <c:pt idx="592">
                  <c:v>0.36963682076714</c:v>
                </c:pt>
                <c:pt idx="593">
                  <c:v>0.343763897867488</c:v>
                </c:pt>
                <c:pt idx="594">
                  <c:v>0.366996771555418</c:v>
                </c:pt>
                <c:pt idx="595">
                  <c:v>0.365666709585077</c:v>
                </c:pt>
                <c:pt idx="596">
                  <c:v>0.391422032471762</c:v>
                </c:pt>
                <c:pt idx="597">
                  <c:v>0.362036146952958</c:v>
                </c:pt>
                <c:pt idx="598">
                  <c:v>0.338835715072618</c:v>
                </c:pt>
                <c:pt idx="599">
                  <c:v>0.380711073457569</c:v>
                </c:pt>
                <c:pt idx="600">
                  <c:v>0.372453579371108</c:v>
                </c:pt>
                <c:pt idx="601">
                  <c:v>0.355611504705124</c:v>
                </c:pt>
                <c:pt idx="602">
                  <c:v>0.362220018537958</c:v>
                </c:pt>
                <c:pt idx="603">
                  <c:v>0.367590003085598</c:v>
                </c:pt>
                <c:pt idx="604">
                  <c:v>0.353602627289819</c:v>
                </c:pt>
                <c:pt idx="605">
                  <c:v>0.354411643251733</c:v>
                </c:pt>
                <c:pt idx="606">
                  <c:v>0.369933092850688</c:v>
                </c:pt>
                <c:pt idx="607">
                  <c:v>0.365766638763684</c:v>
                </c:pt>
                <c:pt idx="608">
                  <c:v>0.380622113239002</c:v>
                </c:pt>
                <c:pt idx="609">
                  <c:v>0.374873056860345</c:v>
                </c:pt>
                <c:pt idx="610">
                  <c:v>0.36506459667521</c:v>
                </c:pt>
                <c:pt idx="611">
                  <c:v>0.369390693304879</c:v>
                </c:pt>
                <c:pt idx="612">
                  <c:v>0.352089076758035</c:v>
                </c:pt>
                <c:pt idx="613">
                  <c:v>0.365716894052773</c:v>
                </c:pt>
                <c:pt idx="614">
                  <c:v>0.361125732130632</c:v>
                </c:pt>
                <c:pt idx="615">
                  <c:v>0.359245821606923</c:v>
                </c:pt>
                <c:pt idx="616">
                  <c:v>0.372581067474073</c:v>
                </c:pt>
                <c:pt idx="617">
                  <c:v>0.366872595230607</c:v>
                </c:pt>
                <c:pt idx="618">
                  <c:v>0.353209725688039</c:v>
                </c:pt>
                <c:pt idx="619">
                  <c:v>0.370446902683831</c:v>
                </c:pt>
                <c:pt idx="620">
                  <c:v>0.376894509490765</c:v>
                </c:pt>
                <c:pt idx="621">
                  <c:v>0.368971523246133</c:v>
                </c:pt>
                <c:pt idx="622">
                  <c:v>0.373706437854741</c:v>
                </c:pt>
                <c:pt idx="623">
                  <c:v>0.379910190356019</c:v>
                </c:pt>
                <c:pt idx="624">
                  <c:v>0.370029353320382</c:v>
                </c:pt>
                <c:pt idx="625">
                  <c:v>0.368641327105017</c:v>
                </c:pt>
                <c:pt idx="626">
                  <c:v>0.36519480495887</c:v>
                </c:pt>
                <c:pt idx="627">
                  <c:v>0.363364182266027</c:v>
                </c:pt>
                <c:pt idx="628">
                  <c:v>0.3981663364351</c:v>
                </c:pt>
                <c:pt idx="629">
                  <c:v>0.363838031540109</c:v>
                </c:pt>
                <c:pt idx="630">
                  <c:v>0.357283104295681</c:v>
                </c:pt>
                <c:pt idx="631">
                  <c:v>0.364341079016491</c:v>
                </c:pt>
                <c:pt idx="632">
                  <c:v>0.357362703673437</c:v>
                </c:pt>
                <c:pt idx="633">
                  <c:v>0.380116923188623</c:v>
                </c:pt>
                <c:pt idx="634">
                  <c:v>0.344466116148884</c:v>
                </c:pt>
                <c:pt idx="635">
                  <c:v>0.385911664292182</c:v>
                </c:pt>
                <c:pt idx="636">
                  <c:v>0.356662745584591</c:v>
                </c:pt>
                <c:pt idx="637">
                  <c:v>0.377530377205966</c:v>
                </c:pt>
                <c:pt idx="638">
                  <c:v>0.364802391728416</c:v>
                </c:pt>
                <c:pt idx="639">
                  <c:v>0.364463992336915</c:v>
                </c:pt>
                <c:pt idx="640">
                  <c:v>0.34366556662592</c:v>
                </c:pt>
                <c:pt idx="641">
                  <c:v>0.391193260686633</c:v>
                </c:pt>
                <c:pt idx="642">
                  <c:v>0.362304723605217</c:v>
                </c:pt>
                <c:pt idx="643">
                  <c:v>0.371312908733813</c:v>
                </c:pt>
                <c:pt idx="644">
                  <c:v>0.365214780740618</c:v>
                </c:pt>
                <c:pt idx="645">
                  <c:v>0.352680640836017</c:v>
                </c:pt>
                <c:pt idx="646">
                  <c:v>0.360931520283332</c:v>
                </c:pt>
                <c:pt idx="647">
                  <c:v>0.370523390646291</c:v>
                </c:pt>
                <c:pt idx="648">
                  <c:v>0.366577539496093</c:v>
                </c:pt>
                <c:pt idx="649">
                  <c:v>0.364086362433836</c:v>
                </c:pt>
                <c:pt idx="650">
                  <c:v>0.352293768038239</c:v>
                </c:pt>
                <c:pt idx="651">
                  <c:v>0.368374183850494</c:v>
                </c:pt>
                <c:pt idx="652">
                  <c:v>0.360422385977054</c:v>
                </c:pt>
                <c:pt idx="653">
                  <c:v>0.353063289369223</c:v>
                </c:pt>
                <c:pt idx="654">
                  <c:v>0.360001424829295</c:v>
                </c:pt>
                <c:pt idx="655">
                  <c:v>0.357035517868076</c:v>
                </c:pt>
                <c:pt idx="656">
                  <c:v>0.358666730281004</c:v>
                </c:pt>
                <c:pt idx="657">
                  <c:v>0.357362603450389</c:v>
                </c:pt>
                <c:pt idx="658">
                  <c:v>0.387827808295756</c:v>
                </c:pt>
                <c:pt idx="659">
                  <c:v>0.369074999994262</c:v>
                </c:pt>
                <c:pt idx="660">
                  <c:v>0.379669824448086</c:v>
                </c:pt>
                <c:pt idx="661">
                  <c:v>0.364313424429244</c:v>
                </c:pt>
                <c:pt idx="662">
                  <c:v>0.366427861261066</c:v>
                </c:pt>
                <c:pt idx="663">
                  <c:v>0.380465860121754</c:v>
                </c:pt>
                <c:pt idx="664">
                  <c:v>0.347845645070894</c:v>
                </c:pt>
                <c:pt idx="665">
                  <c:v>0.38806765605311</c:v>
                </c:pt>
                <c:pt idx="666">
                  <c:v>0.371493744077164</c:v>
                </c:pt>
                <c:pt idx="667">
                  <c:v>0.388750766084413</c:v>
                </c:pt>
                <c:pt idx="668">
                  <c:v>0.377612356868512</c:v>
                </c:pt>
                <c:pt idx="669">
                  <c:v>0.349200946388087</c:v>
                </c:pt>
                <c:pt idx="670">
                  <c:v>0.335151711741158</c:v>
                </c:pt>
                <c:pt idx="671">
                  <c:v>0.374307565992844</c:v>
                </c:pt>
                <c:pt idx="672">
                  <c:v>0.396809529149563</c:v>
                </c:pt>
                <c:pt idx="673">
                  <c:v>0.374764274335392</c:v>
                </c:pt>
                <c:pt idx="674">
                  <c:v>0.350416956992185</c:v>
                </c:pt>
                <c:pt idx="675">
                  <c:v>0.364084873747746</c:v>
                </c:pt>
                <c:pt idx="676">
                  <c:v>0.38550411138785</c:v>
                </c:pt>
                <c:pt idx="677">
                  <c:v>0.356429439720241</c:v>
                </c:pt>
                <c:pt idx="678">
                  <c:v>0.372306418056394</c:v>
                </c:pt>
                <c:pt idx="679">
                  <c:v>0.366115325768864</c:v>
                </c:pt>
                <c:pt idx="680">
                  <c:v>0.365712443172088</c:v>
                </c:pt>
                <c:pt idx="681">
                  <c:v>0.373895261339999</c:v>
                </c:pt>
                <c:pt idx="682">
                  <c:v>0.375997915821479</c:v>
                </c:pt>
                <c:pt idx="683">
                  <c:v>0.369174667049653</c:v>
                </c:pt>
                <c:pt idx="684">
                  <c:v>0.372276375232317</c:v>
                </c:pt>
                <c:pt idx="685">
                  <c:v>0.36636367038192</c:v>
                </c:pt>
                <c:pt idx="686">
                  <c:v>0.380053097466918</c:v>
                </c:pt>
                <c:pt idx="687">
                  <c:v>0.37545630553157</c:v>
                </c:pt>
                <c:pt idx="688">
                  <c:v>0.39466084575991</c:v>
                </c:pt>
                <c:pt idx="689">
                  <c:v>0.356976625713521</c:v>
                </c:pt>
                <c:pt idx="690">
                  <c:v>0.372847622607563</c:v>
                </c:pt>
                <c:pt idx="691">
                  <c:v>0.366607081127902</c:v>
                </c:pt>
                <c:pt idx="692">
                  <c:v>0.355769098445467</c:v>
                </c:pt>
                <c:pt idx="693">
                  <c:v>0.356212050727189</c:v>
                </c:pt>
                <c:pt idx="694">
                  <c:v>0.376077706465712</c:v>
                </c:pt>
                <c:pt idx="695">
                  <c:v>0.346927351372536</c:v>
                </c:pt>
                <c:pt idx="696">
                  <c:v>0.356737315249278</c:v>
                </c:pt>
                <c:pt idx="697">
                  <c:v>0.354883918116758</c:v>
                </c:pt>
                <c:pt idx="698">
                  <c:v>0.374397047591142</c:v>
                </c:pt>
                <c:pt idx="699">
                  <c:v>0.375621164189098</c:v>
                </c:pt>
                <c:pt idx="700">
                  <c:v>0.372867913157475</c:v>
                </c:pt>
                <c:pt idx="701">
                  <c:v>0.376921268767918</c:v>
                </c:pt>
                <c:pt idx="702">
                  <c:v>0.378296363225811</c:v>
                </c:pt>
                <c:pt idx="703">
                  <c:v>0.35838821520638</c:v>
                </c:pt>
                <c:pt idx="704">
                  <c:v>0.375760477024311</c:v>
                </c:pt>
                <c:pt idx="705">
                  <c:v>0.363413285422836</c:v>
                </c:pt>
                <c:pt idx="706">
                  <c:v>0.372654541560175</c:v>
                </c:pt>
                <c:pt idx="707">
                  <c:v>0.379830483397551</c:v>
                </c:pt>
                <c:pt idx="708">
                  <c:v>0.365636816558128</c:v>
                </c:pt>
                <c:pt idx="709">
                  <c:v>0.382888644373184</c:v>
                </c:pt>
                <c:pt idx="710">
                  <c:v>0.336459616251994</c:v>
                </c:pt>
                <c:pt idx="711">
                  <c:v>0.364364876169765</c:v>
                </c:pt>
                <c:pt idx="712">
                  <c:v>0.393467570585803</c:v>
                </c:pt>
                <c:pt idx="713">
                  <c:v>0.371008130152235</c:v>
                </c:pt>
                <c:pt idx="714">
                  <c:v>0.359890014494836</c:v>
                </c:pt>
                <c:pt idx="715">
                  <c:v>0.366588892617767</c:v>
                </c:pt>
                <c:pt idx="716">
                  <c:v>0.379656689963793</c:v>
                </c:pt>
                <c:pt idx="717">
                  <c:v>0.367111595793525</c:v>
                </c:pt>
                <c:pt idx="718">
                  <c:v>0.376976055618423</c:v>
                </c:pt>
                <c:pt idx="719">
                  <c:v>0.359886167452178</c:v>
                </c:pt>
                <c:pt idx="720">
                  <c:v>0.372495773095916</c:v>
                </c:pt>
                <c:pt idx="721">
                  <c:v>0.356535545585088</c:v>
                </c:pt>
                <c:pt idx="722">
                  <c:v>0.348561979800192</c:v>
                </c:pt>
                <c:pt idx="723">
                  <c:v>0.391236281718119</c:v>
                </c:pt>
                <c:pt idx="724">
                  <c:v>0.39064945822901</c:v>
                </c:pt>
                <c:pt idx="725">
                  <c:v>0.355541209253597</c:v>
                </c:pt>
                <c:pt idx="726">
                  <c:v>0.370423551962689</c:v>
                </c:pt>
                <c:pt idx="727">
                  <c:v>0.344712575915711</c:v>
                </c:pt>
                <c:pt idx="728">
                  <c:v>0.36865167290831</c:v>
                </c:pt>
                <c:pt idx="729">
                  <c:v>0.368661930618983</c:v>
                </c:pt>
                <c:pt idx="730">
                  <c:v>0.374818696308969</c:v>
                </c:pt>
                <c:pt idx="731">
                  <c:v>0.351171884588058</c:v>
                </c:pt>
                <c:pt idx="732">
                  <c:v>0.375009463482147</c:v>
                </c:pt>
                <c:pt idx="733">
                  <c:v>0.392691873582533</c:v>
                </c:pt>
                <c:pt idx="734">
                  <c:v>0.341552308687208</c:v>
                </c:pt>
                <c:pt idx="735">
                  <c:v>0.352809685791713</c:v>
                </c:pt>
                <c:pt idx="736">
                  <c:v>0.372638599591362</c:v>
                </c:pt>
                <c:pt idx="737">
                  <c:v>0.34219647092409</c:v>
                </c:pt>
                <c:pt idx="738">
                  <c:v>0.353616546646193</c:v>
                </c:pt>
                <c:pt idx="739">
                  <c:v>0.393672450957806</c:v>
                </c:pt>
                <c:pt idx="740">
                  <c:v>0.377699893691706</c:v>
                </c:pt>
                <c:pt idx="741">
                  <c:v>0.33959397789178</c:v>
                </c:pt>
                <c:pt idx="742">
                  <c:v>0.378401459973483</c:v>
                </c:pt>
                <c:pt idx="743">
                  <c:v>0.394453609768691</c:v>
                </c:pt>
                <c:pt idx="744">
                  <c:v>0.369122649414714</c:v>
                </c:pt>
                <c:pt idx="745">
                  <c:v>0.384153097224251</c:v>
                </c:pt>
                <c:pt idx="746">
                  <c:v>0.349180322168873</c:v>
                </c:pt>
                <c:pt idx="747">
                  <c:v>0.360256467296397</c:v>
                </c:pt>
                <c:pt idx="748">
                  <c:v>0.376090017477147</c:v>
                </c:pt>
                <c:pt idx="749">
                  <c:v>0.376735770924354</c:v>
                </c:pt>
                <c:pt idx="750">
                  <c:v>0.376742045291799</c:v>
                </c:pt>
                <c:pt idx="751">
                  <c:v>0.371750513518763</c:v>
                </c:pt>
                <c:pt idx="752">
                  <c:v>0.369154718048086</c:v>
                </c:pt>
                <c:pt idx="753">
                  <c:v>0.371911367609663</c:v>
                </c:pt>
                <c:pt idx="754">
                  <c:v>0.360998003306373</c:v>
                </c:pt>
                <c:pt idx="755">
                  <c:v>0.364102285484135</c:v>
                </c:pt>
                <c:pt idx="756">
                  <c:v>0.387638391632905</c:v>
                </c:pt>
                <c:pt idx="757">
                  <c:v>0.363092784292678</c:v>
                </c:pt>
                <c:pt idx="758">
                  <c:v>0.362609081620862</c:v>
                </c:pt>
                <c:pt idx="759">
                  <c:v>0.384989880398523</c:v>
                </c:pt>
                <c:pt idx="760">
                  <c:v>0.363640371996174</c:v>
                </c:pt>
                <c:pt idx="761">
                  <c:v>0.357399961856849</c:v>
                </c:pt>
                <c:pt idx="762">
                  <c:v>0.359718123205835</c:v>
                </c:pt>
                <c:pt idx="763">
                  <c:v>0.381681153682613</c:v>
                </c:pt>
                <c:pt idx="764">
                  <c:v>0.397043677236106</c:v>
                </c:pt>
                <c:pt idx="765">
                  <c:v>0.400485121424582</c:v>
                </c:pt>
                <c:pt idx="766">
                  <c:v>0.35437610375419</c:v>
                </c:pt>
                <c:pt idx="767">
                  <c:v>0.372015060829391</c:v>
                </c:pt>
                <c:pt idx="768">
                  <c:v>0.370921685631019</c:v>
                </c:pt>
                <c:pt idx="769">
                  <c:v>0.35372447747228</c:v>
                </c:pt>
                <c:pt idx="770">
                  <c:v>0.376051028680225</c:v>
                </c:pt>
                <c:pt idx="771">
                  <c:v>0.385773459864579</c:v>
                </c:pt>
                <c:pt idx="772">
                  <c:v>0.366630605627506</c:v>
                </c:pt>
                <c:pt idx="773">
                  <c:v>0.372489092109611</c:v>
                </c:pt>
                <c:pt idx="774">
                  <c:v>0.353660841516228</c:v>
                </c:pt>
                <c:pt idx="775">
                  <c:v>0.383037250715128</c:v>
                </c:pt>
                <c:pt idx="776">
                  <c:v>0.352081035150633</c:v>
                </c:pt>
                <c:pt idx="777">
                  <c:v>0.368194970626041</c:v>
                </c:pt>
                <c:pt idx="778">
                  <c:v>0.36644118864691</c:v>
                </c:pt>
                <c:pt idx="779">
                  <c:v>0.351435770473002</c:v>
                </c:pt>
                <c:pt idx="780">
                  <c:v>0.358561305599046</c:v>
                </c:pt>
                <c:pt idx="781">
                  <c:v>0.374676466735646</c:v>
                </c:pt>
                <c:pt idx="782">
                  <c:v>0.359209381587606</c:v>
                </c:pt>
                <c:pt idx="783">
                  <c:v>0.363804322041964</c:v>
                </c:pt>
                <c:pt idx="784">
                  <c:v>0.37019630469029</c:v>
                </c:pt>
                <c:pt idx="785">
                  <c:v>0.40246431467633</c:v>
                </c:pt>
                <c:pt idx="786">
                  <c:v>0.367904833931274</c:v>
                </c:pt>
                <c:pt idx="787">
                  <c:v>0.35945524188521</c:v>
                </c:pt>
                <c:pt idx="788">
                  <c:v>0.355307431784224</c:v>
                </c:pt>
                <c:pt idx="789">
                  <c:v>0.356262198123624</c:v>
                </c:pt>
                <c:pt idx="790">
                  <c:v>0.369978914410497</c:v>
                </c:pt>
                <c:pt idx="791">
                  <c:v>0.379068465111297</c:v>
                </c:pt>
                <c:pt idx="792">
                  <c:v>0.377945044803679</c:v>
                </c:pt>
                <c:pt idx="793">
                  <c:v>0.366036037070757</c:v>
                </c:pt>
                <c:pt idx="794">
                  <c:v>0.366088159375202</c:v>
                </c:pt>
                <c:pt idx="795">
                  <c:v>0.35956029503689</c:v>
                </c:pt>
                <c:pt idx="796">
                  <c:v>0.373040706045505</c:v>
                </c:pt>
                <c:pt idx="797">
                  <c:v>0.384646652744507</c:v>
                </c:pt>
                <c:pt idx="798">
                  <c:v>0.367733552038977</c:v>
                </c:pt>
                <c:pt idx="799">
                  <c:v>0.371464487450664</c:v>
                </c:pt>
                <c:pt idx="800">
                  <c:v>0.347761526708365</c:v>
                </c:pt>
                <c:pt idx="801">
                  <c:v>0.370445358498513</c:v>
                </c:pt>
                <c:pt idx="802">
                  <c:v>0.347119013060108</c:v>
                </c:pt>
                <c:pt idx="803">
                  <c:v>0.384333651390459</c:v>
                </c:pt>
                <c:pt idx="804">
                  <c:v>0.344355757116964</c:v>
                </c:pt>
                <c:pt idx="805">
                  <c:v>0.371644569305859</c:v>
                </c:pt>
                <c:pt idx="806">
                  <c:v>0.387420899244899</c:v>
                </c:pt>
                <c:pt idx="807">
                  <c:v>0.381415647141989</c:v>
                </c:pt>
                <c:pt idx="808">
                  <c:v>0.393701908665435</c:v>
                </c:pt>
                <c:pt idx="809">
                  <c:v>0.35350349635835</c:v>
                </c:pt>
                <c:pt idx="810">
                  <c:v>0.364949626835468</c:v>
                </c:pt>
                <c:pt idx="811">
                  <c:v>0.383672269444453</c:v>
                </c:pt>
                <c:pt idx="812">
                  <c:v>0.360157895712072</c:v>
                </c:pt>
                <c:pt idx="813">
                  <c:v>0.370026489277398</c:v>
                </c:pt>
                <c:pt idx="814">
                  <c:v>0.374078134696947</c:v>
                </c:pt>
                <c:pt idx="815">
                  <c:v>0.36911786839066</c:v>
                </c:pt>
                <c:pt idx="816">
                  <c:v>0.37476096353932</c:v>
                </c:pt>
                <c:pt idx="817">
                  <c:v>0.36851414911796</c:v>
                </c:pt>
                <c:pt idx="818">
                  <c:v>0.352844357324743</c:v>
                </c:pt>
                <c:pt idx="819">
                  <c:v>0.367724741732764</c:v>
                </c:pt>
                <c:pt idx="820">
                  <c:v>0.369881528924876</c:v>
                </c:pt>
                <c:pt idx="821">
                  <c:v>0.378161138508665</c:v>
                </c:pt>
                <c:pt idx="822">
                  <c:v>0.344570692004891</c:v>
                </c:pt>
                <c:pt idx="823">
                  <c:v>0.348714350626702</c:v>
                </c:pt>
                <c:pt idx="824">
                  <c:v>0.368882525920183</c:v>
                </c:pt>
                <c:pt idx="825">
                  <c:v>0.348510845746602</c:v>
                </c:pt>
                <c:pt idx="826">
                  <c:v>0.388366613247075</c:v>
                </c:pt>
                <c:pt idx="827">
                  <c:v>0.381974967172437</c:v>
                </c:pt>
                <c:pt idx="828">
                  <c:v>0.378857027986221</c:v>
                </c:pt>
                <c:pt idx="829">
                  <c:v>0.369355862867843</c:v>
                </c:pt>
                <c:pt idx="830">
                  <c:v>0.349038019720549</c:v>
                </c:pt>
                <c:pt idx="831">
                  <c:v>0.367879985476912</c:v>
                </c:pt>
                <c:pt idx="832">
                  <c:v>0.365874990380213</c:v>
                </c:pt>
                <c:pt idx="833">
                  <c:v>0.369752556983209</c:v>
                </c:pt>
                <c:pt idx="834">
                  <c:v>0.385085010853739</c:v>
                </c:pt>
                <c:pt idx="835">
                  <c:v>0.382886380479434</c:v>
                </c:pt>
                <c:pt idx="836">
                  <c:v>0.384036853714651</c:v>
                </c:pt>
                <c:pt idx="837">
                  <c:v>0.362845996761252</c:v>
                </c:pt>
                <c:pt idx="838">
                  <c:v>0.390054108536509</c:v>
                </c:pt>
                <c:pt idx="839">
                  <c:v>0.366891459646854</c:v>
                </c:pt>
                <c:pt idx="840">
                  <c:v>0.35602160229513</c:v>
                </c:pt>
                <c:pt idx="841">
                  <c:v>0.383253412519421</c:v>
                </c:pt>
                <c:pt idx="842">
                  <c:v>0.403081121694276</c:v>
                </c:pt>
                <c:pt idx="843">
                  <c:v>0.362915179663583</c:v>
                </c:pt>
                <c:pt idx="844">
                  <c:v>0.337833811989126</c:v>
                </c:pt>
                <c:pt idx="845">
                  <c:v>0.378997619484834</c:v>
                </c:pt>
                <c:pt idx="846">
                  <c:v>0.368443870105109</c:v>
                </c:pt>
                <c:pt idx="847">
                  <c:v>0.370750749498582</c:v>
                </c:pt>
                <c:pt idx="848">
                  <c:v>0.396118268677001</c:v>
                </c:pt>
                <c:pt idx="849">
                  <c:v>0.381015532867006</c:v>
                </c:pt>
                <c:pt idx="850">
                  <c:v>0.343944735231455</c:v>
                </c:pt>
                <c:pt idx="851">
                  <c:v>0.345256061898819</c:v>
                </c:pt>
                <c:pt idx="852">
                  <c:v>0.373299172794164</c:v>
                </c:pt>
                <c:pt idx="853">
                  <c:v>0.369578007828017</c:v>
                </c:pt>
                <c:pt idx="854">
                  <c:v>0.343338488265722</c:v>
                </c:pt>
                <c:pt idx="855">
                  <c:v>0.363436401391657</c:v>
                </c:pt>
                <c:pt idx="856">
                  <c:v>0.376268418467987</c:v>
                </c:pt>
                <c:pt idx="857">
                  <c:v>0.359629680071422</c:v>
                </c:pt>
                <c:pt idx="858">
                  <c:v>0.361824917541166</c:v>
                </c:pt>
                <c:pt idx="859">
                  <c:v>0.358177073842644</c:v>
                </c:pt>
                <c:pt idx="860">
                  <c:v>0.381083189232439</c:v>
                </c:pt>
                <c:pt idx="861">
                  <c:v>0.366412465238532</c:v>
                </c:pt>
                <c:pt idx="862">
                  <c:v>0.38920972051113</c:v>
                </c:pt>
                <c:pt idx="863">
                  <c:v>0.367233254567954</c:v>
                </c:pt>
                <c:pt idx="864">
                  <c:v>0.377865153718207</c:v>
                </c:pt>
                <c:pt idx="865">
                  <c:v>0.357727902869598</c:v>
                </c:pt>
                <c:pt idx="866">
                  <c:v>0.347263633874434</c:v>
                </c:pt>
                <c:pt idx="867">
                  <c:v>0.387110015959741</c:v>
                </c:pt>
                <c:pt idx="868">
                  <c:v>0.40686355171524</c:v>
                </c:pt>
                <c:pt idx="869">
                  <c:v>0.393726524810142</c:v>
                </c:pt>
                <c:pt idx="870">
                  <c:v>0.350441147664883</c:v>
                </c:pt>
                <c:pt idx="871">
                  <c:v>0.369760018124833</c:v>
                </c:pt>
                <c:pt idx="872">
                  <c:v>0.351271478157324</c:v>
                </c:pt>
                <c:pt idx="873">
                  <c:v>0.366914763070516</c:v>
                </c:pt>
                <c:pt idx="874">
                  <c:v>0.380859436130139</c:v>
                </c:pt>
                <c:pt idx="875">
                  <c:v>0.348550591470524</c:v>
                </c:pt>
                <c:pt idx="876">
                  <c:v>0.359692068563887</c:v>
                </c:pt>
                <c:pt idx="877">
                  <c:v>0.351510278537039</c:v>
                </c:pt>
                <c:pt idx="878">
                  <c:v>0.361473971251299</c:v>
                </c:pt>
                <c:pt idx="879">
                  <c:v>0.371118671339914</c:v>
                </c:pt>
                <c:pt idx="880">
                  <c:v>0.343409628258597</c:v>
                </c:pt>
                <c:pt idx="881">
                  <c:v>0.349684208483589</c:v>
                </c:pt>
                <c:pt idx="882">
                  <c:v>0.365404719473295</c:v>
                </c:pt>
                <c:pt idx="883">
                  <c:v>0.358272463217256</c:v>
                </c:pt>
                <c:pt idx="884">
                  <c:v>0.341225745137002</c:v>
                </c:pt>
                <c:pt idx="885">
                  <c:v>0.367904852546938</c:v>
                </c:pt>
                <c:pt idx="886">
                  <c:v>0.374968899069298</c:v>
                </c:pt>
                <c:pt idx="887">
                  <c:v>0.352944796370552</c:v>
                </c:pt>
                <c:pt idx="888">
                  <c:v>0.369203841189575</c:v>
                </c:pt>
                <c:pt idx="889">
                  <c:v>0.376294561619761</c:v>
                </c:pt>
                <c:pt idx="890">
                  <c:v>0.358234199178466</c:v>
                </c:pt>
                <c:pt idx="891">
                  <c:v>0.387930070012479</c:v>
                </c:pt>
                <c:pt idx="892">
                  <c:v>0.356981721343646</c:v>
                </c:pt>
                <c:pt idx="893">
                  <c:v>0.351763866710367</c:v>
                </c:pt>
                <c:pt idx="894">
                  <c:v>0.373594691757751</c:v>
                </c:pt>
                <c:pt idx="895">
                  <c:v>0.348858106382767</c:v>
                </c:pt>
                <c:pt idx="896">
                  <c:v>0.362521065117373</c:v>
                </c:pt>
                <c:pt idx="897">
                  <c:v>0.34504823309852</c:v>
                </c:pt>
                <c:pt idx="898">
                  <c:v>0.361660137900059</c:v>
                </c:pt>
                <c:pt idx="899">
                  <c:v>0.368976571047443</c:v>
                </c:pt>
                <c:pt idx="900">
                  <c:v>0.38895512558687</c:v>
                </c:pt>
                <c:pt idx="901">
                  <c:v>0.370318890467785</c:v>
                </c:pt>
                <c:pt idx="902">
                  <c:v>0.393170380265616</c:v>
                </c:pt>
                <c:pt idx="903">
                  <c:v>0.375546321540626</c:v>
                </c:pt>
                <c:pt idx="904">
                  <c:v>0.386090487952463</c:v>
                </c:pt>
                <c:pt idx="905">
                  <c:v>0.361864392433997</c:v>
                </c:pt>
                <c:pt idx="906">
                  <c:v>0.343246296420253</c:v>
                </c:pt>
                <c:pt idx="907">
                  <c:v>0.372447915691034</c:v>
                </c:pt>
                <c:pt idx="908">
                  <c:v>0.376856186823497</c:v>
                </c:pt>
                <c:pt idx="909">
                  <c:v>0.357360751989759</c:v>
                </c:pt>
                <c:pt idx="910">
                  <c:v>0.376550464083867</c:v>
                </c:pt>
                <c:pt idx="911">
                  <c:v>0.368619011106174</c:v>
                </c:pt>
                <c:pt idx="912">
                  <c:v>0.358397129069429</c:v>
                </c:pt>
                <c:pt idx="913">
                  <c:v>0.378722684216047</c:v>
                </c:pt>
                <c:pt idx="914">
                  <c:v>0.347035604350812</c:v>
                </c:pt>
                <c:pt idx="915">
                  <c:v>0.375879981938029</c:v>
                </c:pt>
                <c:pt idx="916">
                  <c:v>0.370589996652593</c:v>
                </c:pt>
                <c:pt idx="917">
                  <c:v>0.360733186121595</c:v>
                </c:pt>
                <c:pt idx="918">
                  <c:v>0.358721818517069</c:v>
                </c:pt>
                <c:pt idx="919">
                  <c:v>0.379980449282018</c:v>
                </c:pt>
                <c:pt idx="920">
                  <c:v>0.334925436387049</c:v>
                </c:pt>
                <c:pt idx="921">
                  <c:v>0.3443472816705</c:v>
                </c:pt>
                <c:pt idx="922">
                  <c:v>0.356573533126418</c:v>
                </c:pt>
                <c:pt idx="923">
                  <c:v>0.353390109029273</c:v>
                </c:pt>
                <c:pt idx="924">
                  <c:v>0.36275814752069</c:v>
                </c:pt>
                <c:pt idx="925">
                  <c:v>0.353301370413883</c:v>
                </c:pt>
                <c:pt idx="926">
                  <c:v>0.371607893033039</c:v>
                </c:pt>
                <c:pt idx="927">
                  <c:v>0.36969460429565</c:v>
                </c:pt>
                <c:pt idx="928">
                  <c:v>0.350373056951702</c:v>
                </c:pt>
                <c:pt idx="929">
                  <c:v>0.369227546144514</c:v>
                </c:pt>
                <c:pt idx="930">
                  <c:v>0.374495013824007</c:v>
                </c:pt>
                <c:pt idx="931">
                  <c:v>0.363287031847154</c:v>
                </c:pt>
                <c:pt idx="932">
                  <c:v>0.36170451478075</c:v>
                </c:pt>
                <c:pt idx="933">
                  <c:v>0.367363806086426</c:v>
                </c:pt>
                <c:pt idx="934">
                  <c:v>0.373333563994659</c:v>
                </c:pt>
                <c:pt idx="935">
                  <c:v>0.377111683686002</c:v>
                </c:pt>
                <c:pt idx="936">
                  <c:v>0.380407322592465</c:v>
                </c:pt>
                <c:pt idx="937">
                  <c:v>0.379525129693967</c:v>
                </c:pt>
                <c:pt idx="938">
                  <c:v>0.373176571106761</c:v>
                </c:pt>
                <c:pt idx="939">
                  <c:v>0.331825846616721</c:v>
                </c:pt>
                <c:pt idx="940">
                  <c:v>0.354061121662235</c:v>
                </c:pt>
                <c:pt idx="941">
                  <c:v>0.352980326250549</c:v>
                </c:pt>
                <c:pt idx="942">
                  <c:v>0.351429968864299</c:v>
                </c:pt>
                <c:pt idx="943">
                  <c:v>0.364503731996278</c:v>
                </c:pt>
                <c:pt idx="944">
                  <c:v>0.363502710641591</c:v>
                </c:pt>
                <c:pt idx="945">
                  <c:v>0.385043888469779</c:v>
                </c:pt>
                <c:pt idx="946">
                  <c:v>0.363411783521623</c:v>
                </c:pt>
                <c:pt idx="947">
                  <c:v>0.366631354635311</c:v>
                </c:pt>
                <c:pt idx="948">
                  <c:v>0.355805298889288</c:v>
                </c:pt>
                <c:pt idx="949">
                  <c:v>0.375712905585879</c:v>
                </c:pt>
                <c:pt idx="950">
                  <c:v>0.364336874055836</c:v>
                </c:pt>
                <c:pt idx="951">
                  <c:v>0.3511796815491</c:v>
                </c:pt>
                <c:pt idx="952">
                  <c:v>0.360698606580469</c:v>
                </c:pt>
                <c:pt idx="953">
                  <c:v>0.388257601924165</c:v>
                </c:pt>
                <c:pt idx="954">
                  <c:v>0.36736721789889</c:v>
                </c:pt>
                <c:pt idx="955">
                  <c:v>0.361230075628572</c:v>
                </c:pt>
                <c:pt idx="956">
                  <c:v>0.353646277505961</c:v>
                </c:pt>
                <c:pt idx="957">
                  <c:v>0.37410211696293</c:v>
                </c:pt>
                <c:pt idx="958">
                  <c:v>0.364286663591147</c:v>
                </c:pt>
                <c:pt idx="959">
                  <c:v>0.385894932422103</c:v>
                </c:pt>
                <c:pt idx="960">
                  <c:v>0.387687126509312</c:v>
                </c:pt>
                <c:pt idx="961">
                  <c:v>0.336157920980295</c:v>
                </c:pt>
                <c:pt idx="962">
                  <c:v>0.35717694672189</c:v>
                </c:pt>
                <c:pt idx="963">
                  <c:v>0.356477038780104</c:v>
                </c:pt>
                <c:pt idx="964">
                  <c:v>0.377713731363593</c:v>
                </c:pt>
                <c:pt idx="965">
                  <c:v>0.370168781164599</c:v>
                </c:pt>
                <c:pt idx="966">
                  <c:v>0.354174301559685</c:v>
                </c:pt>
                <c:pt idx="967">
                  <c:v>0.34676732024022</c:v>
                </c:pt>
                <c:pt idx="968">
                  <c:v>0.341202892683514</c:v>
                </c:pt>
                <c:pt idx="969">
                  <c:v>0.367417982708871</c:v>
                </c:pt>
                <c:pt idx="970">
                  <c:v>0.335649470826766</c:v>
                </c:pt>
                <c:pt idx="971">
                  <c:v>0.353583394533511</c:v>
                </c:pt>
                <c:pt idx="972">
                  <c:v>0.374945883839305</c:v>
                </c:pt>
                <c:pt idx="973">
                  <c:v>0.355787728016248</c:v>
                </c:pt>
                <c:pt idx="974">
                  <c:v>0.356645299031738</c:v>
                </c:pt>
                <c:pt idx="975">
                  <c:v>0.363633905209912</c:v>
                </c:pt>
                <c:pt idx="976">
                  <c:v>0.360129869847276</c:v>
                </c:pt>
                <c:pt idx="977">
                  <c:v>0.348305886916924</c:v>
                </c:pt>
                <c:pt idx="978">
                  <c:v>0.349304342946765</c:v>
                </c:pt>
                <c:pt idx="979">
                  <c:v>0.390454344129939</c:v>
                </c:pt>
                <c:pt idx="980">
                  <c:v>0.379205209419761</c:v>
                </c:pt>
                <c:pt idx="981">
                  <c:v>0.382401698213789</c:v>
                </c:pt>
                <c:pt idx="982">
                  <c:v>0.37020337032439</c:v>
                </c:pt>
                <c:pt idx="983">
                  <c:v>0.368034767899643</c:v>
                </c:pt>
                <c:pt idx="984">
                  <c:v>0.357041863169581</c:v>
                </c:pt>
                <c:pt idx="985">
                  <c:v>0.364440686468968</c:v>
                </c:pt>
                <c:pt idx="986">
                  <c:v>0.388648131286607</c:v>
                </c:pt>
                <c:pt idx="987">
                  <c:v>0.351860640551955</c:v>
                </c:pt>
                <c:pt idx="988">
                  <c:v>0.365366940155176</c:v>
                </c:pt>
                <c:pt idx="989">
                  <c:v>0.376833647055683</c:v>
                </c:pt>
                <c:pt idx="990">
                  <c:v>0.34723505189655</c:v>
                </c:pt>
                <c:pt idx="991">
                  <c:v>0.375208123468885</c:v>
                </c:pt>
                <c:pt idx="992">
                  <c:v>0.344420714471138</c:v>
                </c:pt>
                <c:pt idx="993">
                  <c:v>0.367867999278656</c:v>
                </c:pt>
                <c:pt idx="994">
                  <c:v>0.371929669812061</c:v>
                </c:pt>
                <c:pt idx="995">
                  <c:v>0.349298541340875</c:v>
                </c:pt>
                <c:pt idx="996">
                  <c:v>0.381872014106056</c:v>
                </c:pt>
                <c:pt idx="997">
                  <c:v>0.36841285389693</c:v>
                </c:pt>
                <c:pt idx="998">
                  <c:v>0.395859845841568</c:v>
                </c:pt>
                <c:pt idx="999">
                  <c:v>0.351494698397735</c:v>
                </c:pt>
                <c:pt idx="1000">
                  <c:v>0.379121381376412</c:v>
                </c:pt>
                <c:pt idx="1001">
                  <c:v>0.361377909441981</c:v>
                </c:pt>
                <c:pt idx="1002">
                  <c:v>0.345250417811248</c:v>
                </c:pt>
                <c:pt idx="1003">
                  <c:v>0.383105939507344</c:v>
                </c:pt>
                <c:pt idx="1004">
                  <c:v>0.358963647325217</c:v>
                </c:pt>
                <c:pt idx="1005">
                  <c:v>0.377556473618348</c:v>
                </c:pt>
                <c:pt idx="1006">
                  <c:v>0.389191137045372</c:v>
                </c:pt>
                <c:pt idx="1007">
                  <c:v>0.377351487961409</c:v>
                </c:pt>
                <c:pt idx="1008">
                  <c:v>0.353190598584608</c:v>
                </c:pt>
                <c:pt idx="1009">
                  <c:v>0.367381237636236</c:v>
                </c:pt>
                <c:pt idx="1010">
                  <c:v>0.358941935148624</c:v>
                </c:pt>
                <c:pt idx="1011">
                  <c:v>0.369248501322598</c:v>
                </c:pt>
                <c:pt idx="1012">
                  <c:v>0.393343054673256</c:v>
                </c:pt>
                <c:pt idx="1013">
                  <c:v>0.346628604892619</c:v>
                </c:pt>
                <c:pt idx="1014">
                  <c:v>0.358775550756055</c:v>
                </c:pt>
                <c:pt idx="1015">
                  <c:v>0.366504002674036</c:v>
                </c:pt>
                <c:pt idx="1016">
                  <c:v>0.367489123996084</c:v>
                </c:pt>
                <c:pt idx="1017">
                  <c:v>0.363725461532266</c:v>
                </c:pt>
                <c:pt idx="1018">
                  <c:v>0.374018266076652</c:v>
                </c:pt>
                <c:pt idx="1019">
                  <c:v>0.336659050809794</c:v>
                </c:pt>
                <c:pt idx="1020">
                  <c:v>0.345131031414751</c:v>
                </c:pt>
                <c:pt idx="1021">
                  <c:v>0.375931277136067</c:v>
                </c:pt>
                <c:pt idx="1022">
                  <c:v>0.395969246274755</c:v>
                </c:pt>
                <c:pt idx="1023">
                  <c:v>0.36844651068907</c:v>
                </c:pt>
                <c:pt idx="1024">
                  <c:v>0.355737350558302</c:v>
                </c:pt>
                <c:pt idx="1025">
                  <c:v>0.38335219704152</c:v>
                </c:pt>
                <c:pt idx="1026">
                  <c:v>0.375028023446588</c:v>
                </c:pt>
                <c:pt idx="1027">
                  <c:v>0.353768427494215</c:v>
                </c:pt>
                <c:pt idx="1028">
                  <c:v>0.372063274337934</c:v>
                </c:pt>
                <c:pt idx="1029">
                  <c:v>0.387680476483931</c:v>
                </c:pt>
                <c:pt idx="1030">
                  <c:v>0.380887625436504</c:v>
                </c:pt>
                <c:pt idx="1031">
                  <c:v>0.351959689347209</c:v>
                </c:pt>
                <c:pt idx="1032">
                  <c:v>0.361665156188656</c:v>
                </c:pt>
                <c:pt idx="1033">
                  <c:v>0.344474486858443</c:v>
                </c:pt>
                <c:pt idx="1034">
                  <c:v>0.367582652249018</c:v>
                </c:pt>
                <c:pt idx="1035">
                  <c:v>0.391942096950695</c:v>
                </c:pt>
                <c:pt idx="1036">
                  <c:v>0.366103175949205</c:v>
                </c:pt>
                <c:pt idx="1037">
                  <c:v>0.393301676373707</c:v>
                </c:pt>
                <c:pt idx="1038">
                  <c:v>0.37307367361973</c:v>
                </c:pt>
                <c:pt idx="1039">
                  <c:v>0.374067281963217</c:v>
                </c:pt>
                <c:pt idx="1040">
                  <c:v>0.378036973776713</c:v>
                </c:pt>
                <c:pt idx="1041">
                  <c:v>0.370624085353339</c:v>
                </c:pt>
                <c:pt idx="1042">
                  <c:v>0.343837779206244</c:v>
                </c:pt>
                <c:pt idx="1043">
                  <c:v>0.366063984667246</c:v>
                </c:pt>
                <c:pt idx="1044">
                  <c:v>0.371861867002585</c:v>
                </c:pt>
                <c:pt idx="1045">
                  <c:v>0.367161068232909</c:v>
                </c:pt>
                <c:pt idx="1046">
                  <c:v>0.349934136323248</c:v>
                </c:pt>
                <c:pt idx="1047">
                  <c:v>0.365675630703307</c:v>
                </c:pt>
                <c:pt idx="1048">
                  <c:v>0.354207416051706</c:v>
                </c:pt>
                <c:pt idx="1049">
                  <c:v>0.37366057662648</c:v>
                </c:pt>
                <c:pt idx="1050">
                  <c:v>0.353225597728438</c:v>
                </c:pt>
                <c:pt idx="1051">
                  <c:v>0.361458259335832</c:v>
                </c:pt>
                <c:pt idx="1052">
                  <c:v>0.346040515539124</c:v>
                </c:pt>
                <c:pt idx="1053">
                  <c:v>0.389374467434723</c:v>
                </c:pt>
                <c:pt idx="1054">
                  <c:v>0.388316709363099</c:v>
                </c:pt>
                <c:pt idx="1055">
                  <c:v>0.389588575958458</c:v>
                </c:pt>
                <c:pt idx="1056">
                  <c:v>0.359493502003811</c:v>
                </c:pt>
                <c:pt idx="1057">
                  <c:v>0.364674592628421</c:v>
                </c:pt>
                <c:pt idx="1058">
                  <c:v>0.348189407398062</c:v>
                </c:pt>
                <c:pt idx="1059">
                  <c:v>0.368223310932234</c:v>
                </c:pt>
                <c:pt idx="1060">
                  <c:v>0.367896683161809</c:v>
                </c:pt>
                <c:pt idx="1061">
                  <c:v>0.367913832058371</c:v>
                </c:pt>
                <c:pt idx="1062">
                  <c:v>0.354865667869479</c:v>
                </c:pt>
                <c:pt idx="1063">
                  <c:v>0.352760358555754</c:v>
                </c:pt>
                <c:pt idx="1064">
                  <c:v>0.362008372735584</c:v>
                </c:pt>
                <c:pt idx="1065">
                  <c:v>0.369391901532269</c:v>
                </c:pt>
                <c:pt idx="1066">
                  <c:v>0.363481350691371</c:v>
                </c:pt>
                <c:pt idx="1067">
                  <c:v>0.348432018506949</c:v>
                </c:pt>
                <c:pt idx="1068">
                  <c:v>0.366819030468548</c:v>
                </c:pt>
                <c:pt idx="1069">
                  <c:v>0.36117529870592</c:v>
                </c:pt>
                <c:pt idx="1070">
                  <c:v>0.389858859607341</c:v>
                </c:pt>
                <c:pt idx="1071">
                  <c:v>0.366059497560855</c:v>
                </c:pt>
                <c:pt idx="1072">
                  <c:v>0.334244446667019</c:v>
                </c:pt>
                <c:pt idx="1073">
                  <c:v>0.37435772402038</c:v>
                </c:pt>
                <c:pt idx="1074">
                  <c:v>0.343557551952729</c:v>
                </c:pt>
                <c:pt idx="1075">
                  <c:v>0.359260944297162</c:v>
                </c:pt>
                <c:pt idx="1076">
                  <c:v>0.354685405056512</c:v>
                </c:pt>
                <c:pt idx="1077">
                  <c:v>0.370235133489448</c:v>
                </c:pt>
                <c:pt idx="1078">
                  <c:v>0.365268896535956</c:v>
                </c:pt>
                <c:pt idx="1079">
                  <c:v>0.365909410064638</c:v>
                </c:pt>
                <c:pt idx="1080">
                  <c:v>0.363531540831364</c:v>
                </c:pt>
                <c:pt idx="1081">
                  <c:v>0.379197115800197</c:v>
                </c:pt>
                <c:pt idx="1082">
                  <c:v>0.35631489987853</c:v>
                </c:pt>
                <c:pt idx="1083">
                  <c:v>0.37794642118922</c:v>
                </c:pt>
                <c:pt idx="1084">
                  <c:v>0.354073832740198</c:v>
                </c:pt>
                <c:pt idx="1085">
                  <c:v>0.389267758710377</c:v>
                </c:pt>
                <c:pt idx="1086">
                  <c:v>0.387252216927603</c:v>
                </c:pt>
                <c:pt idx="1087">
                  <c:v>0.381477955535441</c:v>
                </c:pt>
                <c:pt idx="1088">
                  <c:v>0.349669194444476</c:v>
                </c:pt>
                <c:pt idx="1089">
                  <c:v>0.3656277423605</c:v>
                </c:pt>
                <c:pt idx="1090">
                  <c:v>0.336847932176781</c:v>
                </c:pt>
                <c:pt idx="1091">
                  <c:v>0.368092356515374</c:v>
                </c:pt>
                <c:pt idx="1092">
                  <c:v>0.36774212203432</c:v>
                </c:pt>
                <c:pt idx="1093">
                  <c:v>0.371143040924813</c:v>
                </c:pt>
                <c:pt idx="1094">
                  <c:v>0.373691386507007</c:v>
                </c:pt>
                <c:pt idx="1095">
                  <c:v>0.356608220205055</c:v>
                </c:pt>
                <c:pt idx="1096">
                  <c:v>0.364895763147616</c:v>
                </c:pt>
                <c:pt idx="1097">
                  <c:v>0.360612506470254</c:v>
                </c:pt>
                <c:pt idx="1098">
                  <c:v>0.348137001623557</c:v>
                </c:pt>
                <c:pt idx="1099">
                  <c:v>0.356036213068755</c:v>
                </c:pt>
                <c:pt idx="1100">
                  <c:v>0.377572534291424</c:v>
                </c:pt>
                <c:pt idx="1101">
                  <c:v>0.35984709538433</c:v>
                </c:pt>
                <c:pt idx="1102">
                  <c:v>0.348791292492706</c:v>
                </c:pt>
                <c:pt idx="1103">
                  <c:v>0.369216935780027</c:v>
                </c:pt>
                <c:pt idx="1104">
                  <c:v>0.350577758086182</c:v>
                </c:pt>
                <c:pt idx="1105">
                  <c:v>0.38055139731393</c:v>
                </c:pt>
                <c:pt idx="1106">
                  <c:v>0.370287953601175</c:v>
                </c:pt>
                <c:pt idx="1107">
                  <c:v>0.376254132274199</c:v>
                </c:pt>
                <c:pt idx="1108">
                  <c:v>0.365518665727459</c:v>
                </c:pt>
                <c:pt idx="1109">
                  <c:v>0.348636471626927</c:v>
                </c:pt>
                <c:pt idx="1110">
                  <c:v>0.381293626398589</c:v>
                </c:pt>
                <c:pt idx="1111">
                  <c:v>0.373130367767475</c:v>
                </c:pt>
                <c:pt idx="1112">
                  <c:v>0.368492529299143</c:v>
                </c:pt>
                <c:pt idx="1113">
                  <c:v>0.373070781792374</c:v>
                </c:pt>
                <c:pt idx="1114">
                  <c:v>0.353264855692458</c:v>
                </c:pt>
                <c:pt idx="1115">
                  <c:v>0.364900534927377</c:v>
                </c:pt>
                <c:pt idx="1116">
                  <c:v>0.366830478841051</c:v>
                </c:pt>
                <c:pt idx="1117">
                  <c:v>0.377276692135875</c:v>
                </c:pt>
                <c:pt idx="1118">
                  <c:v>0.341117786509184</c:v>
                </c:pt>
                <c:pt idx="1119">
                  <c:v>0.372094831152486</c:v>
                </c:pt>
                <c:pt idx="1120">
                  <c:v>0.354527432339865</c:v>
                </c:pt>
                <c:pt idx="1121">
                  <c:v>0.376317852169123</c:v>
                </c:pt>
                <c:pt idx="1122">
                  <c:v>0.369532476167533</c:v>
                </c:pt>
                <c:pt idx="1123">
                  <c:v>0.353944599747348</c:v>
                </c:pt>
                <c:pt idx="1124">
                  <c:v>0.365451143366567</c:v>
                </c:pt>
                <c:pt idx="1125">
                  <c:v>0.37884096757785</c:v>
                </c:pt>
                <c:pt idx="1126">
                  <c:v>0.382493977613014</c:v>
                </c:pt>
                <c:pt idx="1127">
                  <c:v>0.349063359062538</c:v>
                </c:pt>
                <c:pt idx="1128">
                  <c:v>0.394429914472598</c:v>
                </c:pt>
                <c:pt idx="1129">
                  <c:v>0.343702116170501</c:v>
                </c:pt>
                <c:pt idx="1130">
                  <c:v>0.369368842647171</c:v>
                </c:pt>
                <c:pt idx="1131">
                  <c:v>0.367449938433101</c:v>
                </c:pt>
                <c:pt idx="1132">
                  <c:v>0.378234642931334</c:v>
                </c:pt>
                <c:pt idx="1133">
                  <c:v>0.358178836275972</c:v>
                </c:pt>
                <c:pt idx="1134">
                  <c:v>0.355598103844861</c:v>
                </c:pt>
                <c:pt idx="1135">
                  <c:v>0.36469472328373</c:v>
                </c:pt>
                <c:pt idx="1136">
                  <c:v>0.343473302712708</c:v>
                </c:pt>
                <c:pt idx="1137">
                  <c:v>0.339623280222561</c:v>
                </c:pt>
                <c:pt idx="1138">
                  <c:v>0.37088955977132</c:v>
                </c:pt>
                <c:pt idx="1139">
                  <c:v>0.370864590714162</c:v>
                </c:pt>
                <c:pt idx="1140">
                  <c:v>0.363398313081126</c:v>
                </c:pt>
                <c:pt idx="1141">
                  <c:v>0.377267282289238</c:v>
                </c:pt>
                <c:pt idx="1142">
                  <c:v>0.362380614476133</c:v>
                </c:pt>
                <c:pt idx="1143">
                  <c:v>0.359314072443868</c:v>
                </c:pt>
                <c:pt idx="1144">
                  <c:v>0.359600966071065</c:v>
                </c:pt>
                <c:pt idx="1145">
                  <c:v>0.353776809591052</c:v>
                </c:pt>
                <c:pt idx="1146">
                  <c:v>0.376506003635758</c:v>
                </c:pt>
                <c:pt idx="1147">
                  <c:v>0.347678299187034</c:v>
                </c:pt>
                <c:pt idx="1148">
                  <c:v>0.362721995931371</c:v>
                </c:pt>
                <c:pt idx="1149">
                  <c:v>0.380468981155817</c:v>
                </c:pt>
                <c:pt idx="1150">
                  <c:v>0.367630765809789</c:v>
                </c:pt>
                <c:pt idx="1151">
                  <c:v>0.389927153960533</c:v>
                </c:pt>
                <c:pt idx="1152">
                  <c:v>0.367355100302356</c:v>
                </c:pt>
                <c:pt idx="1153">
                  <c:v>0.367160522554608</c:v>
                </c:pt>
                <c:pt idx="1154">
                  <c:v>0.377364114040659</c:v>
                </c:pt>
                <c:pt idx="1155">
                  <c:v>0.360737785783974</c:v>
                </c:pt>
                <c:pt idx="1156">
                  <c:v>0.365485534774592</c:v>
                </c:pt>
                <c:pt idx="1157">
                  <c:v>0.36404385071715</c:v>
                </c:pt>
                <c:pt idx="1158">
                  <c:v>0.364053482010061</c:v>
                </c:pt>
                <c:pt idx="1159">
                  <c:v>0.368420399183759</c:v>
                </c:pt>
                <c:pt idx="1160">
                  <c:v>0.381708754614269</c:v>
                </c:pt>
                <c:pt idx="1161">
                  <c:v>0.364688724358673</c:v>
                </c:pt>
                <c:pt idx="1162">
                  <c:v>0.361307687999897</c:v>
                </c:pt>
                <c:pt idx="1163">
                  <c:v>0.345837536400363</c:v>
                </c:pt>
                <c:pt idx="1164">
                  <c:v>0.369950378515335</c:v>
                </c:pt>
                <c:pt idx="1165">
                  <c:v>0.369349975298249</c:v>
                </c:pt>
                <c:pt idx="1166">
                  <c:v>0.384772986988201</c:v>
                </c:pt>
                <c:pt idx="1167">
                  <c:v>0.387387957241181</c:v>
                </c:pt>
                <c:pt idx="1168">
                  <c:v>0.360087129222737</c:v>
                </c:pt>
                <c:pt idx="1169">
                  <c:v>0.390697701093288</c:v>
                </c:pt>
                <c:pt idx="1170">
                  <c:v>0.339760403515198</c:v>
                </c:pt>
                <c:pt idx="1171">
                  <c:v>0.365377497064022</c:v>
                </c:pt>
                <c:pt idx="1172">
                  <c:v>0.393822976476274</c:v>
                </c:pt>
                <c:pt idx="1173">
                  <c:v>0.356771803875078</c:v>
                </c:pt>
                <c:pt idx="1174">
                  <c:v>0.358702657189571</c:v>
                </c:pt>
                <c:pt idx="1175">
                  <c:v>0.375132110479083</c:v>
                </c:pt>
                <c:pt idx="1176">
                  <c:v>0.366938953141733</c:v>
                </c:pt>
                <c:pt idx="1177">
                  <c:v>0.363869491109854</c:v>
                </c:pt>
                <c:pt idx="1178">
                  <c:v>0.357113610768701</c:v>
                </c:pt>
                <c:pt idx="1179">
                  <c:v>0.390421127714268</c:v>
                </c:pt>
                <c:pt idx="1180">
                  <c:v>0.392917984892855</c:v>
                </c:pt>
                <c:pt idx="1181">
                  <c:v>0.389869674597485</c:v>
                </c:pt>
                <c:pt idx="1182">
                  <c:v>0.378952043574629</c:v>
                </c:pt>
                <c:pt idx="1183">
                  <c:v>0.384713667387515</c:v>
                </c:pt>
                <c:pt idx="1184">
                  <c:v>0.376896348197246</c:v>
                </c:pt>
                <c:pt idx="1185">
                  <c:v>0.358138786444659</c:v>
                </c:pt>
                <c:pt idx="1186">
                  <c:v>0.377694170738269</c:v>
                </c:pt>
                <c:pt idx="1187">
                  <c:v>0.350116477062347</c:v>
                </c:pt>
                <c:pt idx="1188">
                  <c:v>0.371207367805718</c:v>
                </c:pt>
                <c:pt idx="1189">
                  <c:v>0.365560581177087</c:v>
                </c:pt>
                <c:pt idx="1190">
                  <c:v>0.361088576829881</c:v>
                </c:pt>
                <c:pt idx="1191">
                  <c:v>0.374675153567676</c:v>
                </c:pt>
                <c:pt idx="1192">
                  <c:v>0.361888649535933</c:v>
                </c:pt>
                <c:pt idx="1193">
                  <c:v>0.359067922103474</c:v>
                </c:pt>
                <c:pt idx="1194">
                  <c:v>0.379981192402861</c:v>
                </c:pt>
                <c:pt idx="1195">
                  <c:v>0.359783962990854</c:v>
                </c:pt>
                <c:pt idx="1196">
                  <c:v>0.344760323152259</c:v>
                </c:pt>
                <c:pt idx="1197">
                  <c:v>0.369104876311336</c:v>
                </c:pt>
                <c:pt idx="1198">
                  <c:v>0.379032087325893</c:v>
                </c:pt>
                <c:pt idx="1199">
                  <c:v>0.358481272474154</c:v>
                </c:pt>
                <c:pt idx="1200">
                  <c:v>0.387394865109339</c:v>
                </c:pt>
                <c:pt idx="1201">
                  <c:v>0.367572650559161</c:v>
                </c:pt>
                <c:pt idx="1202">
                  <c:v>0.352007055612515</c:v>
                </c:pt>
                <c:pt idx="1203">
                  <c:v>0.373658975322792</c:v>
                </c:pt>
                <c:pt idx="1204">
                  <c:v>0.379715822513402</c:v>
                </c:pt>
                <c:pt idx="1205">
                  <c:v>0.362348884069917</c:v>
                </c:pt>
                <c:pt idx="1206">
                  <c:v>0.351328093220863</c:v>
                </c:pt>
                <c:pt idx="1207">
                  <c:v>0.347688032345507</c:v>
                </c:pt>
                <c:pt idx="1208">
                  <c:v>0.385942013424603</c:v>
                </c:pt>
                <c:pt idx="1209">
                  <c:v>0.368841433788276</c:v>
                </c:pt>
                <c:pt idx="1210">
                  <c:v>0.353625178327477</c:v>
                </c:pt>
                <c:pt idx="1211">
                  <c:v>0.347882207155763</c:v>
                </c:pt>
                <c:pt idx="1212">
                  <c:v>0.351906400879851</c:v>
                </c:pt>
                <c:pt idx="1213">
                  <c:v>0.348104044460248</c:v>
                </c:pt>
                <c:pt idx="1214">
                  <c:v>0.359939679116391</c:v>
                </c:pt>
                <c:pt idx="1215">
                  <c:v>0.371580555436459</c:v>
                </c:pt>
                <c:pt idx="1216">
                  <c:v>0.371824899780462</c:v>
                </c:pt>
                <c:pt idx="1217">
                  <c:v>0.38721809354931</c:v>
                </c:pt>
                <c:pt idx="1218">
                  <c:v>0.360615252244481</c:v>
                </c:pt>
                <c:pt idx="1219">
                  <c:v>0.361534067037165</c:v>
                </c:pt>
                <c:pt idx="1220">
                  <c:v>0.382353336361623</c:v>
                </c:pt>
                <c:pt idx="1221">
                  <c:v>0.375649359011903</c:v>
                </c:pt>
                <c:pt idx="1222">
                  <c:v>0.364833086943606</c:v>
                </c:pt>
                <c:pt idx="1223">
                  <c:v>0.373187388816027</c:v>
                </c:pt>
                <c:pt idx="1224">
                  <c:v>0.349316392484894</c:v>
                </c:pt>
                <c:pt idx="1225">
                  <c:v>0.35589786534985</c:v>
                </c:pt>
                <c:pt idx="1226">
                  <c:v>0.357439505525119</c:v>
                </c:pt>
                <c:pt idx="1227">
                  <c:v>0.389897394858863</c:v>
                </c:pt>
                <c:pt idx="1228">
                  <c:v>0.359675468141424</c:v>
                </c:pt>
                <c:pt idx="1229">
                  <c:v>0.363420976030552</c:v>
                </c:pt>
                <c:pt idx="1230">
                  <c:v>0.360628614339454</c:v>
                </c:pt>
                <c:pt idx="1231">
                  <c:v>0.38769295129101</c:v>
                </c:pt>
                <c:pt idx="1232">
                  <c:v>0.361437913228035</c:v>
                </c:pt>
                <c:pt idx="1233">
                  <c:v>0.36707442955722</c:v>
                </c:pt>
                <c:pt idx="1234">
                  <c:v>0.367218878479676</c:v>
                </c:pt>
                <c:pt idx="1235">
                  <c:v>0.374825041370836</c:v>
                </c:pt>
                <c:pt idx="1236">
                  <c:v>0.400416337735639</c:v>
                </c:pt>
                <c:pt idx="1237">
                  <c:v>0.367958633494232</c:v>
                </c:pt>
                <c:pt idx="1238">
                  <c:v>0.361703408305341</c:v>
                </c:pt>
                <c:pt idx="1239">
                  <c:v>0.379835830622492</c:v>
                </c:pt>
                <c:pt idx="1240">
                  <c:v>0.366999509675221</c:v>
                </c:pt>
                <c:pt idx="1241">
                  <c:v>0.353677176927428</c:v>
                </c:pt>
                <c:pt idx="1242">
                  <c:v>0.359087838701197</c:v>
                </c:pt>
                <c:pt idx="1243">
                  <c:v>0.345959279501795</c:v>
                </c:pt>
                <c:pt idx="1244">
                  <c:v>0.374941602261905</c:v>
                </c:pt>
                <c:pt idx="1245">
                  <c:v>0.365704385259129</c:v>
                </c:pt>
                <c:pt idx="1246">
                  <c:v>0.360201634416337</c:v>
                </c:pt>
                <c:pt idx="1247">
                  <c:v>0.382265718348966</c:v>
                </c:pt>
                <c:pt idx="1248">
                  <c:v>0.349605441379307</c:v>
                </c:pt>
                <c:pt idx="1249">
                  <c:v>0.355754570841687</c:v>
                </c:pt>
                <c:pt idx="1250">
                  <c:v>0.377090410365554</c:v>
                </c:pt>
                <c:pt idx="1251">
                  <c:v>0.365478276031623</c:v>
                </c:pt>
                <c:pt idx="1252">
                  <c:v>0.364666554425204</c:v>
                </c:pt>
                <c:pt idx="1253">
                  <c:v>0.348554419881427</c:v>
                </c:pt>
                <c:pt idx="1254">
                  <c:v>0.358753668488363</c:v>
                </c:pt>
                <c:pt idx="1255">
                  <c:v>0.373278383160186</c:v>
                </c:pt>
                <c:pt idx="1256">
                  <c:v>0.346374917702732</c:v>
                </c:pt>
                <c:pt idx="1257">
                  <c:v>0.356270851000354</c:v>
                </c:pt>
                <c:pt idx="1258">
                  <c:v>0.369324722679118</c:v>
                </c:pt>
                <c:pt idx="1259">
                  <c:v>0.362625027137263</c:v>
                </c:pt>
                <c:pt idx="1260">
                  <c:v>0.381588325290553</c:v>
                </c:pt>
                <c:pt idx="1261">
                  <c:v>0.38143026427214</c:v>
                </c:pt>
                <c:pt idx="1262">
                  <c:v>0.376684287106445</c:v>
                </c:pt>
                <c:pt idx="1263">
                  <c:v>0.364800045854653</c:v>
                </c:pt>
                <c:pt idx="1264">
                  <c:v>0.386947846897995</c:v>
                </c:pt>
                <c:pt idx="1265">
                  <c:v>0.377947383299485</c:v>
                </c:pt>
                <c:pt idx="1266">
                  <c:v>0.38012108878139</c:v>
                </c:pt>
                <c:pt idx="1267">
                  <c:v>0.363776850762544</c:v>
                </c:pt>
                <c:pt idx="1268">
                  <c:v>0.382922814006575</c:v>
                </c:pt>
                <c:pt idx="1269">
                  <c:v>0.359683787602259</c:v>
                </c:pt>
                <c:pt idx="1270">
                  <c:v>0.371088100905735</c:v>
                </c:pt>
                <c:pt idx="1271">
                  <c:v>0.35552913013087</c:v>
                </c:pt>
                <c:pt idx="1272">
                  <c:v>0.368840219509764</c:v>
                </c:pt>
                <c:pt idx="1273">
                  <c:v>0.365039998920732</c:v>
                </c:pt>
                <c:pt idx="1274">
                  <c:v>0.366251944395568</c:v>
                </c:pt>
                <c:pt idx="1275">
                  <c:v>0.369602362458849</c:v>
                </c:pt>
                <c:pt idx="1276">
                  <c:v>0.358024859471734</c:v>
                </c:pt>
                <c:pt idx="1277">
                  <c:v>0.374724305809473</c:v>
                </c:pt>
                <c:pt idx="1278">
                  <c:v>0.351607989925249</c:v>
                </c:pt>
                <c:pt idx="1279">
                  <c:v>0.376566748533286</c:v>
                </c:pt>
                <c:pt idx="1280">
                  <c:v>0.345678813259344</c:v>
                </c:pt>
                <c:pt idx="1281">
                  <c:v>0.34928271731398</c:v>
                </c:pt>
                <c:pt idx="1282">
                  <c:v>0.362105611513258</c:v>
                </c:pt>
                <c:pt idx="1283">
                  <c:v>0.391046874085855</c:v>
                </c:pt>
                <c:pt idx="1284">
                  <c:v>0.372638192509447</c:v>
                </c:pt>
                <c:pt idx="1285">
                  <c:v>0.361801421568498</c:v>
                </c:pt>
                <c:pt idx="1286">
                  <c:v>0.368914742580309</c:v>
                </c:pt>
                <c:pt idx="1287">
                  <c:v>0.368129028836403</c:v>
                </c:pt>
                <c:pt idx="1288">
                  <c:v>0.366813055953972</c:v>
                </c:pt>
                <c:pt idx="1289">
                  <c:v>0.382077816451019</c:v>
                </c:pt>
                <c:pt idx="1290">
                  <c:v>0.364844082310662</c:v>
                </c:pt>
                <c:pt idx="1291">
                  <c:v>0.349384156539434</c:v>
                </c:pt>
                <c:pt idx="1292">
                  <c:v>0.378443013383564</c:v>
                </c:pt>
                <c:pt idx="1293">
                  <c:v>0.362447394412799</c:v>
                </c:pt>
                <c:pt idx="1294">
                  <c:v>0.350791989844225</c:v>
                </c:pt>
                <c:pt idx="1295">
                  <c:v>0.370645561582915</c:v>
                </c:pt>
                <c:pt idx="1296">
                  <c:v>0.357857679852453</c:v>
                </c:pt>
                <c:pt idx="1297">
                  <c:v>0.373075760376241</c:v>
                </c:pt>
                <c:pt idx="1298">
                  <c:v>0.381977708525235</c:v>
                </c:pt>
                <c:pt idx="1299">
                  <c:v>0.359999035694067</c:v>
                </c:pt>
                <c:pt idx="1300">
                  <c:v>0.354499849697667</c:v>
                </c:pt>
                <c:pt idx="1301">
                  <c:v>0.378788475340198</c:v>
                </c:pt>
                <c:pt idx="1302">
                  <c:v>0.357879117990591</c:v>
                </c:pt>
                <c:pt idx="1303">
                  <c:v>0.348249742489398</c:v>
                </c:pt>
                <c:pt idx="1304">
                  <c:v>0.371691829893039</c:v>
                </c:pt>
                <c:pt idx="1305">
                  <c:v>0.378516873661049</c:v>
                </c:pt>
                <c:pt idx="1306">
                  <c:v>0.364834768947297</c:v>
                </c:pt>
                <c:pt idx="1307">
                  <c:v>0.3825193533914</c:v>
                </c:pt>
                <c:pt idx="1308">
                  <c:v>0.347123962593486</c:v>
                </c:pt>
                <c:pt idx="1309">
                  <c:v>0.381191547731125</c:v>
                </c:pt>
                <c:pt idx="1310">
                  <c:v>0.352611529968183</c:v>
                </c:pt>
                <c:pt idx="1311">
                  <c:v>0.358907124708687</c:v>
                </c:pt>
                <c:pt idx="1312">
                  <c:v>0.362504464139314</c:v>
                </c:pt>
                <c:pt idx="1313">
                  <c:v>0.365556783221244</c:v>
                </c:pt>
                <c:pt idx="1314">
                  <c:v>0.390865078263428</c:v>
                </c:pt>
                <c:pt idx="1315">
                  <c:v>0.373241031951996</c:v>
                </c:pt>
                <c:pt idx="1316">
                  <c:v>0.386919726532401</c:v>
                </c:pt>
                <c:pt idx="1317">
                  <c:v>0.383396080364465</c:v>
                </c:pt>
                <c:pt idx="1318">
                  <c:v>0.368535075050117</c:v>
                </c:pt>
                <c:pt idx="1319">
                  <c:v>0.360067667291487</c:v>
                </c:pt>
                <c:pt idx="1320">
                  <c:v>0.37839897648588</c:v>
                </c:pt>
                <c:pt idx="1321">
                  <c:v>0.34124328488175</c:v>
                </c:pt>
                <c:pt idx="1322">
                  <c:v>0.341610386203915</c:v>
                </c:pt>
                <c:pt idx="1323">
                  <c:v>0.377899114057385</c:v>
                </c:pt>
                <c:pt idx="1324">
                  <c:v>0.383019846247707</c:v>
                </c:pt>
                <c:pt idx="1325">
                  <c:v>0.359982438444875</c:v>
                </c:pt>
                <c:pt idx="1326">
                  <c:v>0.357680259684139</c:v>
                </c:pt>
                <c:pt idx="1327">
                  <c:v>0.361796371194528</c:v>
                </c:pt>
                <c:pt idx="1328">
                  <c:v>0.384103126313342</c:v>
                </c:pt>
                <c:pt idx="1329">
                  <c:v>0.353714308112673</c:v>
                </c:pt>
                <c:pt idx="1330">
                  <c:v>0.348269633358126</c:v>
                </c:pt>
                <c:pt idx="1331">
                  <c:v>0.372862975080353</c:v>
                </c:pt>
                <c:pt idx="1332">
                  <c:v>0.362910094152283</c:v>
                </c:pt>
                <c:pt idx="1333">
                  <c:v>0.363438764672538</c:v>
                </c:pt>
                <c:pt idx="1334">
                  <c:v>0.360941203442972</c:v>
                </c:pt>
                <c:pt idx="1335">
                  <c:v>0.365650827908088</c:v>
                </c:pt>
                <c:pt idx="1336">
                  <c:v>0.359473434263104</c:v>
                </c:pt>
                <c:pt idx="1337">
                  <c:v>0.383602403134782</c:v>
                </c:pt>
                <c:pt idx="1338">
                  <c:v>0.351178115605108</c:v>
                </c:pt>
                <c:pt idx="1339">
                  <c:v>0.364047830777368</c:v>
                </c:pt>
                <c:pt idx="1340">
                  <c:v>0.352933801949908</c:v>
                </c:pt>
                <c:pt idx="1341">
                  <c:v>0.363368857682331</c:v>
                </c:pt>
                <c:pt idx="1342">
                  <c:v>0.3476904043774</c:v>
                </c:pt>
                <c:pt idx="1343">
                  <c:v>0.38040984737791</c:v>
                </c:pt>
                <c:pt idx="1344">
                  <c:v>0.399413883233274</c:v>
                </c:pt>
                <c:pt idx="1345">
                  <c:v>0.36892869692626</c:v>
                </c:pt>
                <c:pt idx="1346">
                  <c:v>0.360935619230516</c:v>
                </c:pt>
                <c:pt idx="1347">
                  <c:v>0.363625190140579</c:v>
                </c:pt>
                <c:pt idx="1348">
                  <c:v>0.369734391771366</c:v>
                </c:pt>
                <c:pt idx="1349">
                  <c:v>0.383324611444117</c:v>
                </c:pt>
                <c:pt idx="1350">
                  <c:v>0.363410225525371</c:v>
                </c:pt>
                <c:pt idx="1351">
                  <c:v>0.3893303694791</c:v>
                </c:pt>
                <c:pt idx="1352">
                  <c:v>0.343769756942577</c:v>
                </c:pt>
                <c:pt idx="1353">
                  <c:v>0.363915666929033</c:v>
                </c:pt>
                <c:pt idx="1354">
                  <c:v>0.351542633135167</c:v>
                </c:pt>
                <c:pt idx="1355">
                  <c:v>0.340131670610368</c:v>
                </c:pt>
                <c:pt idx="1356">
                  <c:v>0.378047032470599</c:v>
                </c:pt>
                <c:pt idx="1357">
                  <c:v>0.365854802593249</c:v>
                </c:pt>
                <c:pt idx="1358">
                  <c:v>0.369094713598691</c:v>
                </c:pt>
                <c:pt idx="1359">
                  <c:v>0.386373933881559</c:v>
                </c:pt>
                <c:pt idx="1360">
                  <c:v>0.354022371300054</c:v>
                </c:pt>
                <c:pt idx="1361">
                  <c:v>0.367141033841294</c:v>
                </c:pt>
                <c:pt idx="1362">
                  <c:v>0.363698152103081</c:v>
                </c:pt>
                <c:pt idx="1363">
                  <c:v>0.385784336147911</c:v>
                </c:pt>
                <c:pt idx="1364">
                  <c:v>0.381947900708516</c:v>
                </c:pt>
                <c:pt idx="1365">
                  <c:v>0.35387446839216</c:v>
                </c:pt>
                <c:pt idx="1366">
                  <c:v>0.339260976264378</c:v>
                </c:pt>
                <c:pt idx="1367">
                  <c:v>0.37973810033676</c:v>
                </c:pt>
                <c:pt idx="1368">
                  <c:v>0.362497934883497</c:v>
                </c:pt>
                <c:pt idx="1369">
                  <c:v>0.379758855173074</c:v>
                </c:pt>
                <c:pt idx="1370">
                  <c:v>0.380188758599411</c:v>
                </c:pt>
                <c:pt idx="1371">
                  <c:v>0.380882987545588</c:v>
                </c:pt>
                <c:pt idx="1372">
                  <c:v>0.369736537406758</c:v>
                </c:pt>
                <c:pt idx="1373">
                  <c:v>0.35804188394852</c:v>
                </c:pt>
                <c:pt idx="1374">
                  <c:v>0.369015944554095</c:v>
                </c:pt>
                <c:pt idx="1375">
                  <c:v>0.362140595964454</c:v>
                </c:pt>
                <c:pt idx="1376">
                  <c:v>0.343414316526867</c:v>
                </c:pt>
                <c:pt idx="1377">
                  <c:v>0.370099563008908</c:v>
                </c:pt>
                <c:pt idx="1378">
                  <c:v>0.342168132601809</c:v>
                </c:pt>
                <c:pt idx="1379">
                  <c:v>0.371316442234713</c:v>
                </c:pt>
                <c:pt idx="1380">
                  <c:v>0.365473637802233</c:v>
                </c:pt>
                <c:pt idx="1381">
                  <c:v>0.371037895965208</c:v>
                </c:pt>
                <c:pt idx="1382">
                  <c:v>0.358939882633282</c:v>
                </c:pt>
                <c:pt idx="1383">
                  <c:v>0.364056942348502</c:v>
                </c:pt>
                <c:pt idx="1384">
                  <c:v>0.366686779654209</c:v>
                </c:pt>
                <c:pt idx="1385">
                  <c:v>0.361908269104468</c:v>
                </c:pt>
                <c:pt idx="1386">
                  <c:v>0.36549627545954</c:v>
                </c:pt>
                <c:pt idx="1387">
                  <c:v>0.377297869170731</c:v>
                </c:pt>
                <c:pt idx="1388">
                  <c:v>0.369217206150795</c:v>
                </c:pt>
                <c:pt idx="1389">
                  <c:v>0.386995420827496</c:v>
                </c:pt>
                <c:pt idx="1390">
                  <c:v>0.38419187081445</c:v>
                </c:pt>
                <c:pt idx="1391">
                  <c:v>0.365985531802629</c:v>
                </c:pt>
                <c:pt idx="1392">
                  <c:v>0.378394613942744</c:v>
                </c:pt>
                <c:pt idx="1393">
                  <c:v>0.359834227815713</c:v>
                </c:pt>
                <c:pt idx="1394">
                  <c:v>0.369277558584953</c:v>
                </c:pt>
                <c:pt idx="1395">
                  <c:v>0.350085921590845</c:v>
                </c:pt>
                <c:pt idx="1396">
                  <c:v>0.365580571928483</c:v>
                </c:pt>
                <c:pt idx="1397">
                  <c:v>0.360587544374817</c:v>
                </c:pt>
                <c:pt idx="1398">
                  <c:v>0.368546976264994</c:v>
                </c:pt>
                <c:pt idx="1399">
                  <c:v>0.362786408785068</c:v>
                </c:pt>
                <c:pt idx="1400">
                  <c:v>0.363165765522339</c:v>
                </c:pt>
                <c:pt idx="1401">
                  <c:v>0.351982160589667</c:v>
                </c:pt>
                <c:pt idx="1402">
                  <c:v>0.380208670922183</c:v>
                </c:pt>
                <c:pt idx="1403">
                  <c:v>0.343012240930141</c:v>
                </c:pt>
                <c:pt idx="1404">
                  <c:v>0.353561639751417</c:v>
                </c:pt>
                <c:pt idx="1405">
                  <c:v>0.348141640259564</c:v>
                </c:pt>
                <c:pt idx="1406">
                  <c:v>0.361310877494779</c:v>
                </c:pt>
                <c:pt idx="1407">
                  <c:v>0.369118944752004</c:v>
                </c:pt>
                <c:pt idx="1408">
                  <c:v>0.375525928613643</c:v>
                </c:pt>
                <c:pt idx="1409">
                  <c:v>0.373125712116455</c:v>
                </c:pt>
                <c:pt idx="1410">
                  <c:v>0.370170658679903</c:v>
                </c:pt>
                <c:pt idx="1411">
                  <c:v>0.350472068356823</c:v>
                </c:pt>
                <c:pt idx="1412">
                  <c:v>0.372704212106957</c:v>
                </c:pt>
                <c:pt idx="1413">
                  <c:v>0.376412358647421</c:v>
                </c:pt>
                <c:pt idx="1414">
                  <c:v>0.365582446588031</c:v>
                </c:pt>
                <c:pt idx="1415">
                  <c:v>0.364993268060975</c:v>
                </c:pt>
                <c:pt idx="1416">
                  <c:v>0.379962844244967</c:v>
                </c:pt>
                <c:pt idx="1417">
                  <c:v>0.362625528297363</c:v>
                </c:pt>
                <c:pt idx="1418">
                  <c:v>0.362179566933746</c:v>
                </c:pt>
                <c:pt idx="1419">
                  <c:v>0.364238487709333</c:v>
                </c:pt>
                <c:pt idx="1420">
                  <c:v>0.384351306885338</c:v>
                </c:pt>
                <c:pt idx="1421">
                  <c:v>0.373789853352914</c:v>
                </c:pt>
                <c:pt idx="1422">
                  <c:v>0.344075584642259</c:v>
                </c:pt>
                <c:pt idx="1423">
                  <c:v>0.360810766210281</c:v>
                </c:pt>
                <c:pt idx="1424">
                  <c:v>0.365320720770489</c:v>
                </c:pt>
                <c:pt idx="1425">
                  <c:v>0.366910725256652</c:v>
                </c:pt>
                <c:pt idx="1426">
                  <c:v>0.382987405176172</c:v>
                </c:pt>
                <c:pt idx="1427">
                  <c:v>0.366866357057335</c:v>
                </c:pt>
                <c:pt idx="1428">
                  <c:v>0.361537448443143</c:v>
                </c:pt>
                <c:pt idx="1429">
                  <c:v>0.355171472486369</c:v>
                </c:pt>
                <c:pt idx="1430">
                  <c:v>0.347169265540669</c:v>
                </c:pt>
                <c:pt idx="1431">
                  <c:v>0.365625104373829</c:v>
                </c:pt>
                <c:pt idx="1432">
                  <c:v>0.352059370529013</c:v>
                </c:pt>
                <c:pt idx="1433">
                  <c:v>0.343320629605165</c:v>
                </c:pt>
                <c:pt idx="1434">
                  <c:v>0.36151076295692</c:v>
                </c:pt>
                <c:pt idx="1435">
                  <c:v>0.364959786685626</c:v>
                </c:pt>
                <c:pt idx="1436">
                  <c:v>0.376301569499503</c:v>
                </c:pt>
                <c:pt idx="1437">
                  <c:v>0.347734411849918</c:v>
                </c:pt>
                <c:pt idx="1438">
                  <c:v>0.351287619412748</c:v>
                </c:pt>
                <c:pt idx="1439">
                  <c:v>0.365934089283161</c:v>
                </c:pt>
                <c:pt idx="1440">
                  <c:v>0.372618129128504</c:v>
                </c:pt>
                <c:pt idx="1441">
                  <c:v>0.365574583651033</c:v>
                </c:pt>
                <c:pt idx="1442">
                  <c:v>0.406137111008049</c:v>
                </c:pt>
                <c:pt idx="1443">
                  <c:v>0.366659988996713</c:v>
                </c:pt>
                <c:pt idx="1444">
                  <c:v>0.374608007317865</c:v>
                </c:pt>
                <c:pt idx="1445">
                  <c:v>0.362657317107472</c:v>
                </c:pt>
                <c:pt idx="1446">
                  <c:v>0.35671746511509</c:v>
                </c:pt>
                <c:pt idx="1447">
                  <c:v>0.37089138011412</c:v>
                </c:pt>
                <c:pt idx="1448">
                  <c:v>0.355486146471895</c:v>
                </c:pt>
                <c:pt idx="1449">
                  <c:v>0.371448750956822</c:v>
                </c:pt>
                <c:pt idx="1450">
                  <c:v>0.369293585441317</c:v>
                </c:pt>
                <c:pt idx="1451">
                  <c:v>0.363351030388606</c:v>
                </c:pt>
                <c:pt idx="1452">
                  <c:v>0.370757964062076</c:v>
                </c:pt>
                <c:pt idx="1453">
                  <c:v>0.340889161412508</c:v>
                </c:pt>
                <c:pt idx="1454">
                  <c:v>0.372246437320006</c:v>
                </c:pt>
                <c:pt idx="1455">
                  <c:v>0.350110578169027</c:v>
                </c:pt>
                <c:pt idx="1456">
                  <c:v>0.365636906348724</c:v>
                </c:pt>
                <c:pt idx="1457">
                  <c:v>0.346879351260999</c:v>
                </c:pt>
                <c:pt idx="1458">
                  <c:v>0.369005972353504</c:v>
                </c:pt>
                <c:pt idx="1459">
                  <c:v>0.352737498819719</c:v>
                </c:pt>
                <c:pt idx="1460">
                  <c:v>0.339894057818421</c:v>
                </c:pt>
                <c:pt idx="1461">
                  <c:v>0.374035685229558</c:v>
                </c:pt>
                <c:pt idx="1462">
                  <c:v>0.356573460370412</c:v>
                </c:pt>
                <c:pt idx="1463">
                  <c:v>0.350949505140798</c:v>
                </c:pt>
                <c:pt idx="1464">
                  <c:v>0.342152589739393</c:v>
                </c:pt>
                <c:pt idx="1465">
                  <c:v>0.368768825399657</c:v>
                </c:pt>
                <c:pt idx="1466">
                  <c:v>0.36577809288555</c:v>
                </c:pt>
                <c:pt idx="1467">
                  <c:v>0.360287707035129</c:v>
                </c:pt>
                <c:pt idx="1468">
                  <c:v>0.361519078118174</c:v>
                </c:pt>
                <c:pt idx="1469">
                  <c:v>0.362682631766239</c:v>
                </c:pt>
                <c:pt idx="1470">
                  <c:v>0.332200342233213</c:v>
                </c:pt>
                <c:pt idx="1471">
                  <c:v>0.363054943616427</c:v>
                </c:pt>
                <c:pt idx="1472">
                  <c:v>0.346330988501466</c:v>
                </c:pt>
                <c:pt idx="1473">
                  <c:v>0.339670244288489</c:v>
                </c:pt>
                <c:pt idx="1474">
                  <c:v>0.376704171172465</c:v>
                </c:pt>
                <c:pt idx="1475">
                  <c:v>0.371556543915413</c:v>
                </c:pt>
                <c:pt idx="1476">
                  <c:v>0.372930715509013</c:v>
                </c:pt>
                <c:pt idx="1477">
                  <c:v>0.357460989981487</c:v>
                </c:pt>
                <c:pt idx="1478">
                  <c:v>0.365720516083276</c:v>
                </c:pt>
                <c:pt idx="1479">
                  <c:v>0.381524057532262</c:v>
                </c:pt>
                <c:pt idx="1480">
                  <c:v>0.378041740781175</c:v>
                </c:pt>
                <c:pt idx="1481">
                  <c:v>0.354580189290004</c:v>
                </c:pt>
                <c:pt idx="1482">
                  <c:v>0.384459726649405</c:v>
                </c:pt>
                <c:pt idx="1483">
                  <c:v>0.36123656482716</c:v>
                </c:pt>
                <c:pt idx="1484">
                  <c:v>0.365424002910436</c:v>
                </c:pt>
                <c:pt idx="1485">
                  <c:v>0.396812738397808</c:v>
                </c:pt>
                <c:pt idx="1486">
                  <c:v>0.371448948831815</c:v>
                </c:pt>
                <c:pt idx="1487">
                  <c:v>0.388948110308847</c:v>
                </c:pt>
                <c:pt idx="1488">
                  <c:v>0.372356029751207</c:v>
                </c:pt>
                <c:pt idx="1489">
                  <c:v>0.371760973176102</c:v>
                </c:pt>
                <c:pt idx="1490">
                  <c:v>0.380835850403051</c:v>
                </c:pt>
                <c:pt idx="1491">
                  <c:v>0.373166488712083</c:v>
                </c:pt>
                <c:pt idx="1492">
                  <c:v>0.359560186801151</c:v>
                </c:pt>
                <c:pt idx="1493">
                  <c:v>0.353407929182225</c:v>
                </c:pt>
                <c:pt idx="1494">
                  <c:v>0.376740573722188</c:v>
                </c:pt>
                <c:pt idx="1495">
                  <c:v>0.349057516054892</c:v>
                </c:pt>
                <c:pt idx="1496">
                  <c:v>0.372209561561815</c:v>
                </c:pt>
                <c:pt idx="1497">
                  <c:v>0.361676987904049</c:v>
                </c:pt>
                <c:pt idx="1498">
                  <c:v>0.368289399784911</c:v>
                </c:pt>
                <c:pt idx="1499">
                  <c:v>0.360761229429959</c:v>
                </c:pt>
                <c:pt idx="1500">
                  <c:v>0.371907367142201</c:v>
                </c:pt>
                <c:pt idx="1501">
                  <c:v>0.382712500906359</c:v>
                </c:pt>
                <c:pt idx="1502">
                  <c:v>0.3455050247454</c:v>
                </c:pt>
                <c:pt idx="1503">
                  <c:v>0.354612707246137</c:v>
                </c:pt>
                <c:pt idx="1504">
                  <c:v>0.372908162977491</c:v>
                </c:pt>
                <c:pt idx="1505">
                  <c:v>0.359374521259003</c:v>
                </c:pt>
                <c:pt idx="1506">
                  <c:v>0.335695872583976</c:v>
                </c:pt>
                <c:pt idx="1507">
                  <c:v>0.373331890654106</c:v>
                </c:pt>
                <c:pt idx="1508">
                  <c:v>0.358517056939718</c:v>
                </c:pt>
                <c:pt idx="1509">
                  <c:v>0.373251399091772</c:v>
                </c:pt>
                <c:pt idx="1510">
                  <c:v>0.36295545206284</c:v>
                </c:pt>
                <c:pt idx="1511">
                  <c:v>0.36733406193074</c:v>
                </c:pt>
                <c:pt idx="1512">
                  <c:v>0.385999727747803</c:v>
                </c:pt>
                <c:pt idx="1513">
                  <c:v>0.350827320031399</c:v>
                </c:pt>
                <c:pt idx="1514">
                  <c:v>0.36234532746388</c:v>
                </c:pt>
                <c:pt idx="1515">
                  <c:v>0.344885385883461</c:v>
                </c:pt>
                <c:pt idx="1516">
                  <c:v>0.364913251060827</c:v>
                </c:pt>
                <c:pt idx="1517">
                  <c:v>0.341779976156393</c:v>
                </c:pt>
                <c:pt idx="1518">
                  <c:v>0.36490715967565</c:v>
                </c:pt>
                <c:pt idx="1519">
                  <c:v>0.366500222827426</c:v>
                </c:pt>
                <c:pt idx="1520">
                  <c:v>0.352386216157215</c:v>
                </c:pt>
                <c:pt idx="1521">
                  <c:v>0.3467621331897</c:v>
                </c:pt>
                <c:pt idx="1522">
                  <c:v>0.370935231160381</c:v>
                </c:pt>
                <c:pt idx="1523">
                  <c:v>0.361480001732185</c:v>
                </c:pt>
                <c:pt idx="1524">
                  <c:v>0.369379751839418</c:v>
                </c:pt>
                <c:pt idx="1525">
                  <c:v>0.375614009315815</c:v>
                </c:pt>
                <c:pt idx="1526">
                  <c:v>0.360933743702013</c:v>
                </c:pt>
                <c:pt idx="1527">
                  <c:v>0.369378891633777</c:v>
                </c:pt>
                <c:pt idx="1528">
                  <c:v>0.378284167977493</c:v>
                </c:pt>
                <c:pt idx="1529">
                  <c:v>0.36858684843562</c:v>
                </c:pt>
                <c:pt idx="1530">
                  <c:v>0.354921012311165</c:v>
                </c:pt>
                <c:pt idx="1531">
                  <c:v>0.361396940300768</c:v>
                </c:pt>
                <c:pt idx="1532">
                  <c:v>0.358064029062161</c:v>
                </c:pt>
                <c:pt idx="1533">
                  <c:v>0.348353305940136</c:v>
                </c:pt>
                <c:pt idx="1534">
                  <c:v>0.356772489098988</c:v>
                </c:pt>
                <c:pt idx="1535">
                  <c:v>0.379144869517494</c:v>
                </c:pt>
                <c:pt idx="1536">
                  <c:v>0.36385063301063</c:v>
                </c:pt>
                <c:pt idx="1537">
                  <c:v>0.394450687758647</c:v>
                </c:pt>
                <c:pt idx="1538">
                  <c:v>0.353524684886855</c:v>
                </c:pt>
                <c:pt idx="1539">
                  <c:v>0.353402791942559</c:v>
                </c:pt>
                <c:pt idx="1540">
                  <c:v>0.379073597138265</c:v>
                </c:pt>
                <c:pt idx="1541">
                  <c:v>0.371822961454618</c:v>
                </c:pt>
                <c:pt idx="1542">
                  <c:v>0.363924606077302</c:v>
                </c:pt>
                <c:pt idx="1543">
                  <c:v>0.354676859808473</c:v>
                </c:pt>
                <c:pt idx="1544">
                  <c:v>0.381900685884094</c:v>
                </c:pt>
                <c:pt idx="1545">
                  <c:v>0.356821740693172</c:v>
                </c:pt>
                <c:pt idx="1546">
                  <c:v>0.364708242323926</c:v>
                </c:pt>
                <c:pt idx="1547">
                  <c:v>0.391604325492019</c:v>
                </c:pt>
                <c:pt idx="1548">
                  <c:v>0.367781302899815</c:v>
                </c:pt>
                <c:pt idx="1549">
                  <c:v>0.391700046502298</c:v>
                </c:pt>
                <c:pt idx="1550">
                  <c:v>0.379082373411887</c:v>
                </c:pt>
                <c:pt idx="1551">
                  <c:v>0.368919658461349</c:v>
                </c:pt>
                <c:pt idx="1552">
                  <c:v>0.37322917997056</c:v>
                </c:pt>
                <c:pt idx="1553">
                  <c:v>0.36342620661252</c:v>
                </c:pt>
                <c:pt idx="1554">
                  <c:v>0.368190159857286</c:v>
                </c:pt>
                <c:pt idx="1555">
                  <c:v>0.346163216410564</c:v>
                </c:pt>
                <c:pt idx="1556">
                  <c:v>0.373870422336316</c:v>
                </c:pt>
                <c:pt idx="1557">
                  <c:v>0.37898042461603</c:v>
                </c:pt>
                <c:pt idx="1558">
                  <c:v>0.39353559920275</c:v>
                </c:pt>
                <c:pt idx="1559">
                  <c:v>0.36602094609854</c:v>
                </c:pt>
                <c:pt idx="1560">
                  <c:v>0.348503916842976</c:v>
                </c:pt>
                <c:pt idx="1561">
                  <c:v>0.379512812818054</c:v>
                </c:pt>
                <c:pt idx="1562">
                  <c:v>0.335753959747504</c:v>
                </c:pt>
                <c:pt idx="1563">
                  <c:v>0.363175513657497</c:v>
                </c:pt>
                <c:pt idx="1564">
                  <c:v>0.370120607377382</c:v>
                </c:pt>
                <c:pt idx="1565">
                  <c:v>0.364452138173271</c:v>
                </c:pt>
                <c:pt idx="1566">
                  <c:v>0.392697863449021</c:v>
                </c:pt>
                <c:pt idx="1567">
                  <c:v>0.372806220215005</c:v>
                </c:pt>
                <c:pt idx="1568">
                  <c:v>0.358113731628907</c:v>
                </c:pt>
                <c:pt idx="1569">
                  <c:v>0.374088757645971</c:v>
                </c:pt>
                <c:pt idx="1570">
                  <c:v>0.373488512483295</c:v>
                </c:pt>
                <c:pt idx="1571">
                  <c:v>0.369513178504697</c:v>
                </c:pt>
                <c:pt idx="1572">
                  <c:v>0.378827086269555</c:v>
                </c:pt>
                <c:pt idx="1573">
                  <c:v>0.370374964882247</c:v>
                </c:pt>
                <c:pt idx="1574">
                  <c:v>0.377888194689059</c:v>
                </c:pt>
                <c:pt idx="1575">
                  <c:v>0.373184415408067</c:v>
                </c:pt>
                <c:pt idx="1576">
                  <c:v>0.362633182689772</c:v>
                </c:pt>
                <c:pt idx="1577">
                  <c:v>0.365811645238087</c:v>
                </c:pt>
                <c:pt idx="1578">
                  <c:v>0.349634966058819</c:v>
                </c:pt>
                <c:pt idx="1579">
                  <c:v>0.359780380582382</c:v>
                </c:pt>
                <c:pt idx="1580">
                  <c:v>0.36270699810591</c:v>
                </c:pt>
                <c:pt idx="1581">
                  <c:v>0.365779225240252</c:v>
                </c:pt>
                <c:pt idx="1582">
                  <c:v>0.342687631832787</c:v>
                </c:pt>
                <c:pt idx="1583">
                  <c:v>0.361135700603219</c:v>
                </c:pt>
                <c:pt idx="1584">
                  <c:v>0.359185205512394</c:v>
                </c:pt>
                <c:pt idx="1585">
                  <c:v>0.343857240417104</c:v>
                </c:pt>
                <c:pt idx="1586">
                  <c:v>0.379026919544931</c:v>
                </c:pt>
                <c:pt idx="1587">
                  <c:v>0.374855800330411</c:v>
                </c:pt>
                <c:pt idx="1588">
                  <c:v>0.370486747403088</c:v>
                </c:pt>
                <c:pt idx="1589">
                  <c:v>0.383555840622693</c:v>
                </c:pt>
                <c:pt idx="1590">
                  <c:v>0.3824323278186</c:v>
                </c:pt>
                <c:pt idx="1591">
                  <c:v>0.354765178251488</c:v>
                </c:pt>
                <c:pt idx="1592">
                  <c:v>0.376610767134071</c:v>
                </c:pt>
                <c:pt idx="1593">
                  <c:v>0.353954424553706</c:v>
                </c:pt>
                <c:pt idx="1594">
                  <c:v>0.360640167239325</c:v>
                </c:pt>
                <c:pt idx="1595">
                  <c:v>0.368269770034046</c:v>
                </c:pt>
                <c:pt idx="1596">
                  <c:v>0.373745262180799</c:v>
                </c:pt>
                <c:pt idx="1597">
                  <c:v>0.352867229642454</c:v>
                </c:pt>
                <c:pt idx="1598">
                  <c:v>0.374248318791572</c:v>
                </c:pt>
                <c:pt idx="1599">
                  <c:v>0.349694680927216</c:v>
                </c:pt>
                <c:pt idx="1600">
                  <c:v>0.33744182474521</c:v>
                </c:pt>
                <c:pt idx="1601">
                  <c:v>0.377200594762154</c:v>
                </c:pt>
                <c:pt idx="1602">
                  <c:v>0.394105103226396</c:v>
                </c:pt>
                <c:pt idx="1603">
                  <c:v>0.34913454897984</c:v>
                </c:pt>
                <c:pt idx="1604">
                  <c:v>0.362841686724395</c:v>
                </c:pt>
                <c:pt idx="1605">
                  <c:v>0.367638991426316</c:v>
                </c:pt>
                <c:pt idx="1606">
                  <c:v>0.35912775707471</c:v>
                </c:pt>
                <c:pt idx="1607">
                  <c:v>0.366725455879692</c:v>
                </c:pt>
                <c:pt idx="1608">
                  <c:v>0.349417920141308</c:v>
                </c:pt>
                <c:pt idx="1609">
                  <c:v>0.360534986982448</c:v>
                </c:pt>
                <c:pt idx="1610">
                  <c:v>0.36782836390979</c:v>
                </c:pt>
                <c:pt idx="1611">
                  <c:v>0.393262473014214</c:v>
                </c:pt>
                <c:pt idx="1612">
                  <c:v>0.383804834473446</c:v>
                </c:pt>
                <c:pt idx="1613">
                  <c:v>0.369624900371209</c:v>
                </c:pt>
                <c:pt idx="1614">
                  <c:v>0.352204409417703</c:v>
                </c:pt>
                <c:pt idx="1615">
                  <c:v>0.390672622257935</c:v>
                </c:pt>
                <c:pt idx="1616">
                  <c:v>0.345259079712817</c:v>
                </c:pt>
                <c:pt idx="1617">
                  <c:v>0.379931875060973</c:v>
                </c:pt>
                <c:pt idx="1618">
                  <c:v>0.363754948175056</c:v>
                </c:pt>
                <c:pt idx="1619">
                  <c:v>0.366810630980044</c:v>
                </c:pt>
                <c:pt idx="1620">
                  <c:v>0.38616487443533</c:v>
                </c:pt>
                <c:pt idx="1621">
                  <c:v>0.356890511760339</c:v>
                </c:pt>
                <c:pt idx="1622">
                  <c:v>0.349305727218785</c:v>
                </c:pt>
                <c:pt idx="1623">
                  <c:v>0.370285602259614</c:v>
                </c:pt>
                <c:pt idx="1624">
                  <c:v>0.363833041547231</c:v>
                </c:pt>
                <c:pt idx="1625">
                  <c:v>0.364414073063507</c:v>
                </c:pt>
                <c:pt idx="1626">
                  <c:v>0.386531526497311</c:v>
                </c:pt>
                <c:pt idx="1627">
                  <c:v>0.384837673990744</c:v>
                </c:pt>
                <c:pt idx="1628">
                  <c:v>0.387453100967027</c:v>
                </c:pt>
                <c:pt idx="1629">
                  <c:v>0.343927652596089</c:v>
                </c:pt>
                <c:pt idx="1630">
                  <c:v>0.342621301882837</c:v>
                </c:pt>
                <c:pt idx="1631">
                  <c:v>0.384773217516417</c:v>
                </c:pt>
                <c:pt idx="1632">
                  <c:v>0.38390965531408</c:v>
                </c:pt>
                <c:pt idx="1633">
                  <c:v>0.347206907587775</c:v>
                </c:pt>
                <c:pt idx="1634">
                  <c:v>0.350711884427684</c:v>
                </c:pt>
                <c:pt idx="1635">
                  <c:v>0.393907574234268</c:v>
                </c:pt>
                <c:pt idx="1636">
                  <c:v>0.359735819185335</c:v>
                </c:pt>
                <c:pt idx="1637">
                  <c:v>0.376240682233464</c:v>
                </c:pt>
                <c:pt idx="1638">
                  <c:v>0.387459833919364</c:v>
                </c:pt>
                <c:pt idx="1639">
                  <c:v>0.379857373857269</c:v>
                </c:pt>
                <c:pt idx="1640">
                  <c:v>0.367843897740114</c:v>
                </c:pt>
                <c:pt idx="1641">
                  <c:v>0.352918300019443</c:v>
                </c:pt>
                <c:pt idx="1642">
                  <c:v>0.351293409931783</c:v>
                </c:pt>
                <c:pt idx="1643">
                  <c:v>0.365354937020237</c:v>
                </c:pt>
                <c:pt idx="1644">
                  <c:v>0.362873164308617</c:v>
                </c:pt>
                <c:pt idx="1645">
                  <c:v>0.376506891982135</c:v>
                </c:pt>
                <c:pt idx="1646">
                  <c:v>0.375944692781233</c:v>
                </c:pt>
                <c:pt idx="1647">
                  <c:v>0.380066319695804</c:v>
                </c:pt>
                <c:pt idx="1648">
                  <c:v>0.372156534748252</c:v>
                </c:pt>
                <c:pt idx="1649">
                  <c:v>0.366109491794815</c:v>
                </c:pt>
                <c:pt idx="1650">
                  <c:v>0.346896322972282</c:v>
                </c:pt>
                <c:pt idx="1651">
                  <c:v>0.359292039520196</c:v>
                </c:pt>
                <c:pt idx="1652">
                  <c:v>0.383120379306235</c:v>
                </c:pt>
                <c:pt idx="1653">
                  <c:v>0.373674772795583</c:v>
                </c:pt>
                <c:pt idx="1654">
                  <c:v>0.376026754831388</c:v>
                </c:pt>
                <c:pt idx="1655">
                  <c:v>0.375413177485448</c:v>
                </c:pt>
                <c:pt idx="1656">
                  <c:v>0.362654905532215</c:v>
                </c:pt>
                <c:pt idx="1657">
                  <c:v>0.361510132007771</c:v>
                </c:pt>
                <c:pt idx="1658">
                  <c:v>0.383601113858987</c:v>
                </c:pt>
                <c:pt idx="1659">
                  <c:v>0.352306272155674</c:v>
                </c:pt>
                <c:pt idx="1660">
                  <c:v>0.35417571760797</c:v>
                </c:pt>
                <c:pt idx="1661">
                  <c:v>0.374282205022591</c:v>
                </c:pt>
                <c:pt idx="1662">
                  <c:v>0.363462538614508</c:v>
                </c:pt>
                <c:pt idx="1663">
                  <c:v>0.37386745866617</c:v>
                </c:pt>
                <c:pt idx="1664">
                  <c:v>0.389949016687748</c:v>
                </c:pt>
                <c:pt idx="1665">
                  <c:v>0.354869040540914</c:v>
                </c:pt>
                <c:pt idx="1666">
                  <c:v>0.369498770910419</c:v>
                </c:pt>
                <c:pt idx="1667">
                  <c:v>0.380341234729625</c:v>
                </c:pt>
                <c:pt idx="1668">
                  <c:v>0.347058510471093</c:v>
                </c:pt>
                <c:pt idx="1669">
                  <c:v>0.355521125630612</c:v>
                </c:pt>
                <c:pt idx="1670">
                  <c:v>0.374882260345737</c:v>
                </c:pt>
                <c:pt idx="1671">
                  <c:v>0.361722325235361</c:v>
                </c:pt>
                <c:pt idx="1672">
                  <c:v>0.359837515188516</c:v>
                </c:pt>
                <c:pt idx="1673">
                  <c:v>0.369935120939091</c:v>
                </c:pt>
                <c:pt idx="1674">
                  <c:v>0.362529931435753</c:v>
                </c:pt>
                <c:pt idx="1675">
                  <c:v>0.372497094323652</c:v>
                </c:pt>
                <c:pt idx="1676">
                  <c:v>0.35529318604346</c:v>
                </c:pt>
                <c:pt idx="1677">
                  <c:v>0.365859388737168</c:v>
                </c:pt>
                <c:pt idx="1678">
                  <c:v>0.360636695779458</c:v>
                </c:pt>
                <c:pt idx="1679">
                  <c:v>0.362753236178635</c:v>
                </c:pt>
                <c:pt idx="1680">
                  <c:v>0.375081727310027</c:v>
                </c:pt>
                <c:pt idx="1681">
                  <c:v>0.366658207950878</c:v>
                </c:pt>
                <c:pt idx="1682">
                  <c:v>0.372151032225454</c:v>
                </c:pt>
                <c:pt idx="1683">
                  <c:v>0.349364810160654</c:v>
                </c:pt>
                <c:pt idx="1684">
                  <c:v>0.346383882110106</c:v>
                </c:pt>
                <c:pt idx="1685">
                  <c:v>0.369271107640777</c:v>
                </c:pt>
                <c:pt idx="1686">
                  <c:v>0.353351346779772</c:v>
                </c:pt>
                <c:pt idx="1687">
                  <c:v>0.367816089922319</c:v>
                </c:pt>
                <c:pt idx="1688">
                  <c:v>0.347690631266074</c:v>
                </c:pt>
                <c:pt idx="1689">
                  <c:v>0.397966112962283</c:v>
                </c:pt>
                <c:pt idx="1690">
                  <c:v>0.372926042290503</c:v>
                </c:pt>
                <c:pt idx="1691">
                  <c:v>0.382926306355025</c:v>
                </c:pt>
                <c:pt idx="1692">
                  <c:v>0.356695012385139</c:v>
                </c:pt>
                <c:pt idx="1693">
                  <c:v>0.358748643842577</c:v>
                </c:pt>
                <c:pt idx="1694">
                  <c:v>0.363104278544882</c:v>
                </c:pt>
                <c:pt idx="1695">
                  <c:v>0.38832287870535</c:v>
                </c:pt>
                <c:pt idx="1696">
                  <c:v>0.36447548556417</c:v>
                </c:pt>
                <c:pt idx="1697">
                  <c:v>0.40101006886313</c:v>
                </c:pt>
                <c:pt idx="1698">
                  <c:v>0.357933088442841</c:v>
                </c:pt>
                <c:pt idx="1699">
                  <c:v>0.388476186772267</c:v>
                </c:pt>
                <c:pt idx="1700">
                  <c:v>0.36743299178905</c:v>
                </c:pt>
                <c:pt idx="1701">
                  <c:v>0.376647497743672</c:v>
                </c:pt>
                <c:pt idx="1702">
                  <c:v>0.343981528935364</c:v>
                </c:pt>
                <c:pt idx="1703">
                  <c:v>0.367893213748238</c:v>
                </c:pt>
                <c:pt idx="1704">
                  <c:v>0.376940701381523</c:v>
                </c:pt>
                <c:pt idx="1705">
                  <c:v>0.364725055583965</c:v>
                </c:pt>
                <c:pt idx="1706">
                  <c:v>0.361971815115243</c:v>
                </c:pt>
                <c:pt idx="1707">
                  <c:v>0.349558301677018</c:v>
                </c:pt>
                <c:pt idx="1708">
                  <c:v>0.366172926869749</c:v>
                </c:pt>
                <c:pt idx="1709">
                  <c:v>0.353893321315243</c:v>
                </c:pt>
                <c:pt idx="1710">
                  <c:v>0.379381710843812</c:v>
                </c:pt>
                <c:pt idx="1711">
                  <c:v>0.389692200150871</c:v>
                </c:pt>
                <c:pt idx="1712">
                  <c:v>0.346052175147951</c:v>
                </c:pt>
                <c:pt idx="1713">
                  <c:v>0.374622720789826</c:v>
                </c:pt>
                <c:pt idx="1714">
                  <c:v>0.375228716185138</c:v>
                </c:pt>
                <c:pt idx="1715">
                  <c:v>0.361643969420794</c:v>
                </c:pt>
                <c:pt idx="1716">
                  <c:v>0.355557914202078</c:v>
                </c:pt>
                <c:pt idx="1717">
                  <c:v>0.373225874867171</c:v>
                </c:pt>
                <c:pt idx="1718">
                  <c:v>0.367024559436393</c:v>
                </c:pt>
                <c:pt idx="1719">
                  <c:v>0.370941542207665</c:v>
                </c:pt>
                <c:pt idx="1720">
                  <c:v>0.349695906062387</c:v>
                </c:pt>
                <c:pt idx="1721">
                  <c:v>0.344843379125197</c:v>
                </c:pt>
                <c:pt idx="1722">
                  <c:v>0.359960694142584</c:v>
                </c:pt>
                <c:pt idx="1723">
                  <c:v>0.361535980073825</c:v>
                </c:pt>
                <c:pt idx="1724">
                  <c:v>0.335911124599173</c:v>
                </c:pt>
                <c:pt idx="1725">
                  <c:v>0.383624809439162</c:v>
                </c:pt>
                <c:pt idx="1726">
                  <c:v>0.379232475144269</c:v>
                </c:pt>
                <c:pt idx="1727">
                  <c:v>0.346950398476035</c:v>
                </c:pt>
                <c:pt idx="1728">
                  <c:v>0.371468965751929</c:v>
                </c:pt>
                <c:pt idx="1729">
                  <c:v>0.385893099390607</c:v>
                </c:pt>
                <c:pt idx="1730">
                  <c:v>0.367171763308233</c:v>
                </c:pt>
                <c:pt idx="1731">
                  <c:v>0.351194188582924</c:v>
                </c:pt>
                <c:pt idx="1732">
                  <c:v>0.350593416541285</c:v>
                </c:pt>
                <c:pt idx="1733">
                  <c:v>0.350379781155699</c:v>
                </c:pt>
                <c:pt idx="1734">
                  <c:v>0.362629987665203</c:v>
                </c:pt>
                <c:pt idx="1735">
                  <c:v>0.377650904901213</c:v>
                </c:pt>
                <c:pt idx="1736">
                  <c:v>0.34860670419396</c:v>
                </c:pt>
                <c:pt idx="1737">
                  <c:v>0.354884081699746</c:v>
                </c:pt>
                <c:pt idx="1738">
                  <c:v>0.372201729413521</c:v>
                </c:pt>
                <c:pt idx="1739">
                  <c:v>0.367683068446853</c:v>
                </c:pt>
                <c:pt idx="1740">
                  <c:v>0.38053021360922</c:v>
                </c:pt>
                <c:pt idx="1741">
                  <c:v>0.382872133468391</c:v>
                </c:pt>
                <c:pt idx="1742">
                  <c:v>0.385321489238831</c:v>
                </c:pt>
                <c:pt idx="1743">
                  <c:v>0.372350003384696</c:v>
                </c:pt>
                <c:pt idx="1744">
                  <c:v>0.362495448453943</c:v>
                </c:pt>
                <c:pt idx="1745">
                  <c:v>0.372335041590757</c:v>
                </c:pt>
                <c:pt idx="1746">
                  <c:v>0.352292419275674</c:v>
                </c:pt>
                <c:pt idx="1747">
                  <c:v>0.358551962528431</c:v>
                </c:pt>
                <c:pt idx="1748">
                  <c:v>0.361963750089041</c:v>
                </c:pt>
                <c:pt idx="1749">
                  <c:v>0.363825104864746</c:v>
                </c:pt>
                <c:pt idx="1750">
                  <c:v>0.37423994356224</c:v>
                </c:pt>
                <c:pt idx="1751">
                  <c:v>0.38199799379528</c:v>
                </c:pt>
                <c:pt idx="1752">
                  <c:v>0.375918028587921</c:v>
                </c:pt>
                <c:pt idx="1753">
                  <c:v>0.350691959171736</c:v>
                </c:pt>
                <c:pt idx="1754">
                  <c:v>0.341550687123012</c:v>
                </c:pt>
                <c:pt idx="1755">
                  <c:v>0.359463489004253</c:v>
                </c:pt>
                <c:pt idx="1756">
                  <c:v>0.365507178713112</c:v>
                </c:pt>
                <c:pt idx="1757">
                  <c:v>0.352862197640036</c:v>
                </c:pt>
                <c:pt idx="1758">
                  <c:v>0.366314490001113</c:v>
                </c:pt>
                <c:pt idx="1759">
                  <c:v>0.384102531643317</c:v>
                </c:pt>
                <c:pt idx="1760">
                  <c:v>0.370389241345384</c:v>
                </c:pt>
                <c:pt idx="1761">
                  <c:v>0.359840704953512</c:v>
                </c:pt>
                <c:pt idx="1762">
                  <c:v>0.35667892207007</c:v>
                </c:pt>
                <c:pt idx="1763">
                  <c:v>0.365866785510195</c:v>
                </c:pt>
                <c:pt idx="1764">
                  <c:v>0.332432907869245</c:v>
                </c:pt>
                <c:pt idx="1765">
                  <c:v>0.36493092103968</c:v>
                </c:pt>
                <c:pt idx="1766">
                  <c:v>0.340304754682772</c:v>
                </c:pt>
                <c:pt idx="1767">
                  <c:v>0.368013717555827</c:v>
                </c:pt>
                <c:pt idx="1768">
                  <c:v>0.368703301274411</c:v>
                </c:pt>
                <c:pt idx="1769">
                  <c:v>0.36865167279946</c:v>
                </c:pt>
                <c:pt idx="1770">
                  <c:v>0.361719209378157</c:v>
                </c:pt>
                <c:pt idx="1771">
                  <c:v>0.365215383878856</c:v>
                </c:pt>
                <c:pt idx="1772">
                  <c:v>0.393599700561076</c:v>
                </c:pt>
                <c:pt idx="1773">
                  <c:v>0.363986875504626</c:v>
                </c:pt>
                <c:pt idx="1774">
                  <c:v>0.394841496014511</c:v>
                </c:pt>
                <c:pt idx="1775">
                  <c:v>0.357084761011786</c:v>
                </c:pt>
                <c:pt idx="1776">
                  <c:v>0.374877838630471</c:v>
                </c:pt>
                <c:pt idx="1777">
                  <c:v>0.35173279814755</c:v>
                </c:pt>
                <c:pt idx="1778">
                  <c:v>0.376572842885261</c:v>
                </c:pt>
                <c:pt idx="1779">
                  <c:v>0.391574019108783</c:v>
                </c:pt>
                <c:pt idx="1780">
                  <c:v>0.384612908596556</c:v>
                </c:pt>
                <c:pt idx="1781">
                  <c:v>0.380859678468618</c:v>
                </c:pt>
                <c:pt idx="1782">
                  <c:v>0.359832112225131</c:v>
                </c:pt>
                <c:pt idx="1783">
                  <c:v>0.362569514848299</c:v>
                </c:pt>
                <c:pt idx="1784">
                  <c:v>0.368449591162287</c:v>
                </c:pt>
                <c:pt idx="1785">
                  <c:v>0.345390465486845</c:v>
                </c:pt>
                <c:pt idx="1786">
                  <c:v>0.362642179991427</c:v>
                </c:pt>
                <c:pt idx="1787">
                  <c:v>0.364754590607131</c:v>
                </c:pt>
                <c:pt idx="1788">
                  <c:v>0.375437943140858</c:v>
                </c:pt>
                <c:pt idx="1789">
                  <c:v>0.386727725019499</c:v>
                </c:pt>
                <c:pt idx="1790">
                  <c:v>0.363409501772797</c:v>
                </c:pt>
                <c:pt idx="1791">
                  <c:v>0.359378918628669</c:v>
                </c:pt>
                <c:pt idx="1792">
                  <c:v>0.354949100534376</c:v>
                </c:pt>
                <c:pt idx="1793">
                  <c:v>0.355448972117345</c:v>
                </c:pt>
                <c:pt idx="1794">
                  <c:v>0.337584706639266</c:v>
                </c:pt>
                <c:pt idx="1795">
                  <c:v>0.35594862592002</c:v>
                </c:pt>
                <c:pt idx="1796">
                  <c:v>0.385602567399135</c:v>
                </c:pt>
                <c:pt idx="1797">
                  <c:v>0.373245395289884</c:v>
                </c:pt>
                <c:pt idx="1798">
                  <c:v>0.372430875422145</c:v>
                </c:pt>
                <c:pt idx="1799">
                  <c:v>0.355779395176118</c:v>
                </c:pt>
                <c:pt idx="1800">
                  <c:v>0.369948954907445</c:v>
                </c:pt>
                <c:pt idx="1801">
                  <c:v>0.353353324282596</c:v>
                </c:pt>
                <c:pt idx="1802">
                  <c:v>0.366109920572672</c:v>
                </c:pt>
                <c:pt idx="1803">
                  <c:v>0.37802043726473</c:v>
                </c:pt>
                <c:pt idx="1804">
                  <c:v>0.358409871867211</c:v>
                </c:pt>
                <c:pt idx="1805">
                  <c:v>0.367507951537421</c:v>
                </c:pt>
                <c:pt idx="1806">
                  <c:v>0.369584311523425</c:v>
                </c:pt>
                <c:pt idx="1807">
                  <c:v>0.38288227277684</c:v>
                </c:pt>
                <c:pt idx="1808">
                  <c:v>0.359505960001004</c:v>
                </c:pt>
                <c:pt idx="1809">
                  <c:v>0.368355976888151</c:v>
                </c:pt>
                <c:pt idx="1810">
                  <c:v>0.346600213476104</c:v>
                </c:pt>
                <c:pt idx="1811">
                  <c:v>0.366418999355718</c:v>
                </c:pt>
                <c:pt idx="1812">
                  <c:v>0.40042759411642</c:v>
                </c:pt>
                <c:pt idx="1813">
                  <c:v>0.369946563169307</c:v>
                </c:pt>
                <c:pt idx="1814">
                  <c:v>0.402052399376325</c:v>
                </c:pt>
                <c:pt idx="1815">
                  <c:v>0.358977393143702</c:v>
                </c:pt>
                <c:pt idx="1816">
                  <c:v>0.355692415670698</c:v>
                </c:pt>
                <c:pt idx="1817">
                  <c:v>0.357583761972835</c:v>
                </c:pt>
                <c:pt idx="1818">
                  <c:v>0.358347545218134</c:v>
                </c:pt>
                <c:pt idx="1819">
                  <c:v>0.369342864189529</c:v>
                </c:pt>
                <c:pt idx="1820">
                  <c:v>0.367321938588257</c:v>
                </c:pt>
                <c:pt idx="1821">
                  <c:v>0.357768829502222</c:v>
                </c:pt>
                <c:pt idx="1822">
                  <c:v>0.366999981509101</c:v>
                </c:pt>
                <c:pt idx="1823">
                  <c:v>0.379220550255583</c:v>
                </c:pt>
                <c:pt idx="1824">
                  <c:v>0.40840167863059</c:v>
                </c:pt>
                <c:pt idx="1825">
                  <c:v>0.35636668687179</c:v>
                </c:pt>
                <c:pt idx="1826">
                  <c:v>0.353889030551976</c:v>
                </c:pt>
                <c:pt idx="1827">
                  <c:v>0.360323363754935</c:v>
                </c:pt>
                <c:pt idx="1828">
                  <c:v>0.383040781583917</c:v>
                </c:pt>
                <c:pt idx="1829">
                  <c:v>0.360985934692536</c:v>
                </c:pt>
                <c:pt idx="1830">
                  <c:v>0.375169131415737</c:v>
                </c:pt>
                <c:pt idx="1831">
                  <c:v>0.373193453816104</c:v>
                </c:pt>
                <c:pt idx="1832">
                  <c:v>0.373883217609117</c:v>
                </c:pt>
                <c:pt idx="1833">
                  <c:v>0.380149120570881</c:v>
                </c:pt>
                <c:pt idx="1834">
                  <c:v>0.375568438920642</c:v>
                </c:pt>
                <c:pt idx="1835">
                  <c:v>0.376415964892678</c:v>
                </c:pt>
                <c:pt idx="1836">
                  <c:v>0.383397976952173</c:v>
                </c:pt>
                <c:pt idx="1837">
                  <c:v>0.368634427137126</c:v>
                </c:pt>
                <c:pt idx="1838">
                  <c:v>0.369716378930909</c:v>
                </c:pt>
                <c:pt idx="1839">
                  <c:v>0.34914378422353</c:v>
                </c:pt>
                <c:pt idx="1840">
                  <c:v>0.363964313090735</c:v>
                </c:pt>
                <c:pt idx="1841">
                  <c:v>0.385338052523539</c:v>
                </c:pt>
                <c:pt idx="1842">
                  <c:v>0.350157898809706</c:v>
                </c:pt>
                <c:pt idx="1843">
                  <c:v>0.385000772668088</c:v>
                </c:pt>
                <c:pt idx="1844">
                  <c:v>0.381477197846805</c:v>
                </c:pt>
                <c:pt idx="1845">
                  <c:v>0.342451496665613</c:v>
                </c:pt>
                <c:pt idx="1846">
                  <c:v>0.3782074201244</c:v>
                </c:pt>
                <c:pt idx="1847">
                  <c:v>0.368039396610922</c:v>
                </c:pt>
                <c:pt idx="1848">
                  <c:v>0.357997885382381</c:v>
                </c:pt>
                <c:pt idx="1849">
                  <c:v>0.381513010208222</c:v>
                </c:pt>
                <c:pt idx="1850">
                  <c:v>0.35406151922874</c:v>
                </c:pt>
                <c:pt idx="1851">
                  <c:v>0.369683882475721</c:v>
                </c:pt>
                <c:pt idx="1852">
                  <c:v>0.387420480864282</c:v>
                </c:pt>
                <c:pt idx="1853">
                  <c:v>0.352493336685999</c:v>
                </c:pt>
                <c:pt idx="1854">
                  <c:v>0.349966518407722</c:v>
                </c:pt>
                <c:pt idx="1855">
                  <c:v>0.370368092920425</c:v>
                </c:pt>
                <c:pt idx="1856">
                  <c:v>0.366950945961744</c:v>
                </c:pt>
                <c:pt idx="1857">
                  <c:v>0.375699384143561</c:v>
                </c:pt>
                <c:pt idx="1858">
                  <c:v>0.349089268672846</c:v>
                </c:pt>
                <c:pt idx="1859">
                  <c:v>0.373778403656516</c:v>
                </c:pt>
                <c:pt idx="1860">
                  <c:v>0.354903494235233</c:v>
                </c:pt>
                <c:pt idx="1861">
                  <c:v>0.376970363217427</c:v>
                </c:pt>
                <c:pt idx="1862">
                  <c:v>0.357241471021537</c:v>
                </c:pt>
                <c:pt idx="1863">
                  <c:v>0.358815587260422</c:v>
                </c:pt>
                <c:pt idx="1864">
                  <c:v>0.389394513796877</c:v>
                </c:pt>
                <c:pt idx="1865">
                  <c:v>0.357554246871728</c:v>
                </c:pt>
                <c:pt idx="1866">
                  <c:v>0.377000700702013</c:v>
                </c:pt>
                <c:pt idx="1867">
                  <c:v>0.346570946911511</c:v>
                </c:pt>
                <c:pt idx="1868">
                  <c:v>0.36338956216861</c:v>
                </c:pt>
                <c:pt idx="1869">
                  <c:v>0.363804804005249</c:v>
                </c:pt>
                <c:pt idx="1870">
                  <c:v>0.366648843736059</c:v>
                </c:pt>
                <c:pt idx="1871">
                  <c:v>0.357221635650898</c:v>
                </c:pt>
                <c:pt idx="1872">
                  <c:v>0.355771793060741</c:v>
                </c:pt>
                <c:pt idx="1873">
                  <c:v>0.340505316784451</c:v>
                </c:pt>
                <c:pt idx="1874">
                  <c:v>0.382498855191504</c:v>
                </c:pt>
                <c:pt idx="1875">
                  <c:v>0.366189027688867</c:v>
                </c:pt>
                <c:pt idx="1876">
                  <c:v>0.345291049643269</c:v>
                </c:pt>
                <c:pt idx="1877">
                  <c:v>0.362277049399778</c:v>
                </c:pt>
                <c:pt idx="1878">
                  <c:v>0.340889372949396</c:v>
                </c:pt>
                <c:pt idx="1879">
                  <c:v>0.35610386296342</c:v>
                </c:pt>
                <c:pt idx="1880">
                  <c:v>0.378672717936389</c:v>
                </c:pt>
                <c:pt idx="1881">
                  <c:v>0.378408196688081</c:v>
                </c:pt>
                <c:pt idx="1882">
                  <c:v>0.374539401767574</c:v>
                </c:pt>
                <c:pt idx="1883">
                  <c:v>0.368525884882935</c:v>
                </c:pt>
                <c:pt idx="1884">
                  <c:v>0.381033774716354</c:v>
                </c:pt>
                <c:pt idx="1885">
                  <c:v>0.365633876634219</c:v>
                </c:pt>
                <c:pt idx="1886">
                  <c:v>0.373990514338687</c:v>
                </c:pt>
                <c:pt idx="1887">
                  <c:v>0.377062261971641</c:v>
                </c:pt>
                <c:pt idx="1888">
                  <c:v>0.368643201445632</c:v>
                </c:pt>
                <c:pt idx="1889">
                  <c:v>0.345875600980849</c:v>
                </c:pt>
                <c:pt idx="1890">
                  <c:v>0.355810685642121</c:v>
                </c:pt>
                <c:pt idx="1891">
                  <c:v>0.39799762186705</c:v>
                </c:pt>
                <c:pt idx="1892">
                  <c:v>0.349587108521295</c:v>
                </c:pt>
                <c:pt idx="1893">
                  <c:v>0.356386053838932</c:v>
                </c:pt>
                <c:pt idx="1894">
                  <c:v>0.362939855427089</c:v>
                </c:pt>
                <c:pt idx="1895">
                  <c:v>0.35817059190927</c:v>
                </c:pt>
                <c:pt idx="1896">
                  <c:v>0.386465813455415</c:v>
                </c:pt>
                <c:pt idx="1897">
                  <c:v>0.37249139518009</c:v>
                </c:pt>
                <c:pt idx="1898">
                  <c:v>0.360089846187698</c:v>
                </c:pt>
                <c:pt idx="1899">
                  <c:v>0.385360080916971</c:v>
                </c:pt>
                <c:pt idx="1900">
                  <c:v>0.360463886911057</c:v>
                </c:pt>
                <c:pt idx="1901">
                  <c:v>0.388115935420964</c:v>
                </c:pt>
                <c:pt idx="1902">
                  <c:v>0.349145710623013</c:v>
                </c:pt>
                <c:pt idx="1903">
                  <c:v>0.348171031015021</c:v>
                </c:pt>
                <c:pt idx="1904">
                  <c:v>0.373710191897323</c:v>
                </c:pt>
                <c:pt idx="1905">
                  <c:v>0.359582533530161</c:v>
                </c:pt>
                <c:pt idx="1906">
                  <c:v>0.372270767095817</c:v>
                </c:pt>
                <c:pt idx="1907">
                  <c:v>0.387278457281729</c:v>
                </c:pt>
                <c:pt idx="1908">
                  <c:v>0.389014110531894</c:v>
                </c:pt>
                <c:pt idx="1909">
                  <c:v>0.343126171948377</c:v>
                </c:pt>
                <c:pt idx="1910">
                  <c:v>0.357733276094047</c:v>
                </c:pt>
                <c:pt idx="1911">
                  <c:v>0.367098203505003</c:v>
                </c:pt>
                <c:pt idx="1912">
                  <c:v>0.371727765303713</c:v>
                </c:pt>
                <c:pt idx="1913">
                  <c:v>0.375043783998062</c:v>
                </c:pt>
                <c:pt idx="1914">
                  <c:v>0.382919754102927</c:v>
                </c:pt>
                <c:pt idx="1915">
                  <c:v>0.361503291470899</c:v>
                </c:pt>
                <c:pt idx="1916">
                  <c:v>0.373600002133506</c:v>
                </c:pt>
                <c:pt idx="1917">
                  <c:v>0.347369484869244</c:v>
                </c:pt>
                <c:pt idx="1918">
                  <c:v>0.358894837781546</c:v>
                </c:pt>
                <c:pt idx="1919">
                  <c:v>0.370597578465562</c:v>
                </c:pt>
                <c:pt idx="1920">
                  <c:v>0.367065341858217</c:v>
                </c:pt>
                <c:pt idx="1921">
                  <c:v>0.373270476355158</c:v>
                </c:pt>
                <c:pt idx="1922">
                  <c:v>0.350501156134724</c:v>
                </c:pt>
                <c:pt idx="1923">
                  <c:v>0.363785669221084</c:v>
                </c:pt>
                <c:pt idx="1924">
                  <c:v>0.396912448792591</c:v>
                </c:pt>
                <c:pt idx="1925">
                  <c:v>0.384383740801977</c:v>
                </c:pt>
                <c:pt idx="1926">
                  <c:v>0.353874242752634</c:v>
                </c:pt>
                <c:pt idx="1927">
                  <c:v>0.384744654679266</c:v>
                </c:pt>
                <c:pt idx="1928">
                  <c:v>0.394022325396553</c:v>
                </c:pt>
                <c:pt idx="1929">
                  <c:v>0.381931742758056</c:v>
                </c:pt>
                <c:pt idx="1930">
                  <c:v>0.362566802550221</c:v>
                </c:pt>
                <c:pt idx="1931">
                  <c:v>0.359650181040884</c:v>
                </c:pt>
                <c:pt idx="1932">
                  <c:v>0.370754860471594</c:v>
                </c:pt>
                <c:pt idx="1933">
                  <c:v>0.382165404615212</c:v>
                </c:pt>
                <c:pt idx="1934">
                  <c:v>0.38139325889699</c:v>
                </c:pt>
                <c:pt idx="1935">
                  <c:v>0.351264140851632</c:v>
                </c:pt>
                <c:pt idx="1936">
                  <c:v>0.37244658573516</c:v>
                </c:pt>
                <c:pt idx="1937">
                  <c:v>0.375381910097321</c:v>
                </c:pt>
                <c:pt idx="1938">
                  <c:v>0.356235923281176</c:v>
                </c:pt>
                <c:pt idx="1939">
                  <c:v>0.376292717496732</c:v>
                </c:pt>
                <c:pt idx="1940">
                  <c:v>0.359546071707657</c:v>
                </c:pt>
                <c:pt idx="1941">
                  <c:v>0.356522576235924</c:v>
                </c:pt>
                <c:pt idx="1942">
                  <c:v>0.350965868687855</c:v>
                </c:pt>
                <c:pt idx="1943">
                  <c:v>0.378540607329188</c:v>
                </c:pt>
                <c:pt idx="1944">
                  <c:v>0.357902341558226</c:v>
                </c:pt>
                <c:pt idx="1945">
                  <c:v>0.377446705476052</c:v>
                </c:pt>
                <c:pt idx="1946">
                  <c:v>0.371462934868169</c:v>
                </c:pt>
                <c:pt idx="1947">
                  <c:v>0.375826509260996</c:v>
                </c:pt>
                <c:pt idx="1948">
                  <c:v>0.36236652658013</c:v>
                </c:pt>
                <c:pt idx="1949">
                  <c:v>0.359338410320888</c:v>
                </c:pt>
                <c:pt idx="1950">
                  <c:v>0.372564301782355</c:v>
                </c:pt>
                <c:pt idx="1951">
                  <c:v>0.357656112810644</c:v>
                </c:pt>
                <c:pt idx="1952">
                  <c:v>0.356165850412177</c:v>
                </c:pt>
                <c:pt idx="1953">
                  <c:v>0.364123876134093</c:v>
                </c:pt>
                <c:pt idx="1954">
                  <c:v>0.360420577045723</c:v>
                </c:pt>
                <c:pt idx="1955">
                  <c:v>0.381843977784835</c:v>
                </c:pt>
                <c:pt idx="1956">
                  <c:v>0.373878251617053</c:v>
                </c:pt>
                <c:pt idx="1957">
                  <c:v>0.364302710199928</c:v>
                </c:pt>
                <c:pt idx="1958">
                  <c:v>0.35061375476458</c:v>
                </c:pt>
                <c:pt idx="1959">
                  <c:v>0.364163859099333</c:v>
                </c:pt>
                <c:pt idx="1960">
                  <c:v>0.378481678860305</c:v>
                </c:pt>
                <c:pt idx="1961">
                  <c:v>0.363738088687075</c:v>
                </c:pt>
                <c:pt idx="1962">
                  <c:v>0.369913832809366</c:v>
                </c:pt>
                <c:pt idx="1963">
                  <c:v>0.370827028616906</c:v>
                </c:pt>
                <c:pt idx="1964">
                  <c:v>0.354979930584233</c:v>
                </c:pt>
                <c:pt idx="1965">
                  <c:v>0.385486485351329</c:v>
                </c:pt>
                <c:pt idx="1966">
                  <c:v>0.362746137998641</c:v>
                </c:pt>
                <c:pt idx="1967">
                  <c:v>0.353699032590783</c:v>
                </c:pt>
                <c:pt idx="1968">
                  <c:v>0.376605262589265</c:v>
                </c:pt>
                <c:pt idx="1969">
                  <c:v>0.36348937054636</c:v>
                </c:pt>
                <c:pt idx="1970">
                  <c:v>0.372988507772981</c:v>
                </c:pt>
                <c:pt idx="1971">
                  <c:v>0.383375896691707</c:v>
                </c:pt>
                <c:pt idx="1972">
                  <c:v>0.37222141708324</c:v>
                </c:pt>
                <c:pt idx="1973">
                  <c:v>0.344243161881086</c:v>
                </c:pt>
                <c:pt idx="1974">
                  <c:v>0.385051875413184</c:v>
                </c:pt>
                <c:pt idx="1975">
                  <c:v>0.368536465855215</c:v>
                </c:pt>
                <c:pt idx="1976">
                  <c:v>0.387502600848922</c:v>
                </c:pt>
                <c:pt idx="1977">
                  <c:v>0.348215563336917</c:v>
                </c:pt>
                <c:pt idx="1978">
                  <c:v>0.369364756877399</c:v>
                </c:pt>
                <c:pt idx="1979">
                  <c:v>0.364669944884806</c:v>
                </c:pt>
                <c:pt idx="1980">
                  <c:v>0.375940634937687</c:v>
                </c:pt>
                <c:pt idx="1981">
                  <c:v>0.377585795298059</c:v>
                </c:pt>
                <c:pt idx="1982">
                  <c:v>0.338596480744429</c:v>
                </c:pt>
                <c:pt idx="1983">
                  <c:v>0.360047247661223</c:v>
                </c:pt>
                <c:pt idx="1984">
                  <c:v>0.380066080749732</c:v>
                </c:pt>
                <c:pt idx="1985">
                  <c:v>0.362334597304957</c:v>
                </c:pt>
                <c:pt idx="1986">
                  <c:v>0.374464554319066</c:v>
                </c:pt>
                <c:pt idx="1987">
                  <c:v>0.357473732561666</c:v>
                </c:pt>
                <c:pt idx="1988">
                  <c:v>0.368108735170761</c:v>
                </c:pt>
                <c:pt idx="1989">
                  <c:v>0.373310811394458</c:v>
                </c:pt>
                <c:pt idx="1990">
                  <c:v>0.350563474233082</c:v>
                </c:pt>
                <c:pt idx="1991">
                  <c:v>0.351883813983441</c:v>
                </c:pt>
                <c:pt idx="1992">
                  <c:v>0.348077921328461</c:v>
                </c:pt>
                <c:pt idx="1993">
                  <c:v>0.386092588562517</c:v>
                </c:pt>
                <c:pt idx="1994">
                  <c:v>0.355282208841438</c:v>
                </c:pt>
                <c:pt idx="1995">
                  <c:v>0.361049971014887</c:v>
                </c:pt>
                <c:pt idx="1996">
                  <c:v>0.387756668569514</c:v>
                </c:pt>
                <c:pt idx="1997">
                  <c:v>0.364936499582142</c:v>
                </c:pt>
                <c:pt idx="1998">
                  <c:v>0.376728203068328</c:v>
                </c:pt>
                <c:pt idx="1999">
                  <c:v>0.373488629927267</c:v>
                </c:pt>
                <c:pt idx="2000">
                  <c:v>0.348133592179129</c:v>
                </c:pt>
                <c:pt idx="2001">
                  <c:v>0.346388929845664</c:v>
                </c:pt>
                <c:pt idx="2002">
                  <c:v>0.345737273248485</c:v>
                </c:pt>
                <c:pt idx="2003">
                  <c:v>0.369121550243974</c:v>
                </c:pt>
                <c:pt idx="2004">
                  <c:v>0.364920466317129</c:v>
                </c:pt>
                <c:pt idx="2005">
                  <c:v>0.351278181528232</c:v>
                </c:pt>
                <c:pt idx="2006">
                  <c:v>0.350431171851487</c:v>
                </c:pt>
                <c:pt idx="2007">
                  <c:v>0.382207232977405</c:v>
                </c:pt>
                <c:pt idx="2008">
                  <c:v>0.349150770999482</c:v>
                </c:pt>
                <c:pt idx="2009">
                  <c:v>0.397152585850352</c:v>
                </c:pt>
                <c:pt idx="2010">
                  <c:v>0.35576749278102</c:v>
                </c:pt>
                <c:pt idx="2011">
                  <c:v>0.383798045688253</c:v>
                </c:pt>
                <c:pt idx="2012">
                  <c:v>0.383770734279896</c:v>
                </c:pt>
                <c:pt idx="2013">
                  <c:v>0.375792522879491</c:v>
                </c:pt>
                <c:pt idx="2014">
                  <c:v>0.348680693567059</c:v>
                </c:pt>
                <c:pt idx="2015">
                  <c:v>0.350743121552422</c:v>
                </c:pt>
                <c:pt idx="2016">
                  <c:v>0.374019122689714</c:v>
                </c:pt>
                <c:pt idx="2017">
                  <c:v>0.36709621226042</c:v>
                </c:pt>
                <c:pt idx="2018">
                  <c:v>0.364951607789746</c:v>
                </c:pt>
                <c:pt idx="2019">
                  <c:v>0.368370279392427</c:v>
                </c:pt>
                <c:pt idx="2020">
                  <c:v>0.361051701362774</c:v>
                </c:pt>
                <c:pt idx="2021">
                  <c:v>0.351387716158383</c:v>
                </c:pt>
                <c:pt idx="2022">
                  <c:v>0.374033726426507</c:v>
                </c:pt>
                <c:pt idx="2023">
                  <c:v>0.387428385896657</c:v>
                </c:pt>
                <c:pt idx="2024">
                  <c:v>0.375743055277345</c:v>
                </c:pt>
                <c:pt idx="2025">
                  <c:v>0.360461673711747</c:v>
                </c:pt>
                <c:pt idx="2026">
                  <c:v>0.362519330013396</c:v>
                </c:pt>
                <c:pt idx="2027">
                  <c:v>0.365597251282551</c:v>
                </c:pt>
                <c:pt idx="2028">
                  <c:v>0.360177492372603</c:v>
                </c:pt>
                <c:pt idx="2029">
                  <c:v>0.399443247896358</c:v>
                </c:pt>
                <c:pt idx="2030">
                  <c:v>0.379503676482483</c:v>
                </c:pt>
                <c:pt idx="2031">
                  <c:v>0.350747336874869</c:v>
                </c:pt>
                <c:pt idx="2032">
                  <c:v>0.39600165059934</c:v>
                </c:pt>
                <c:pt idx="2033">
                  <c:v>0.356666486916635</c:v>
                </c:pt>
                <c:pt idx="2034">
                  <c:v>0.392460880843863</c:v>
                </c:pt>
                <c:pt idx="2035">
                  <c:v>0.391134398423546</c:v>
                </c:pt>
                <c:pt idx="2036">
                  <c:v>0.369420241950605</c:v>
                </c:pt>
                <c:pt idx="2037">
                  <c:v>0.377141897359508</c:v>
                </c:pt>
                <c:pt idx="2038">
                  <c:v>0.370122921517444</c:v>
                </c:pt>
                <c:pt idx="2039">
                  <c:v>0.354780221055211</c:v>
                </c:pt>
                <c:pt idx="2040">
                  <c:v>0.394404971873679</c:v>
                </c:pt>
                <c:pt idx="2041">
                  <c:v>0.365936518204149</c:v>
                </c:pt>
                <c:pt idx="2042">
                  <c:v>0.370108714299865</c:v>
                </c:pt>
                <c:pt idx="2043">
                  <c:v>0.357032724634786</c:v>
                </c:pt>
                <c:pt idx="2044">
                  <c:v>0.362720045919255</c:v>
                </c:pt>
                <c:pt idx="2045">
                  <c:v>0.355022545200387</c:v>
                </c:pt>
                <c:pt idx="2046">
                  <c:v>0.373945854156859</c:v>
                </c:pt>
                <c:pt idx="2047">
                  <c:v>0.34317292734942</c:v>
                </c:pt>
                <c:pt idx="2048">
                  <c:v>0.353441700642398</c:v>
                </c:pt>
                <c:pt idx="2049">
                  <c:v>0.361281121991387</c:v>
                </c:pt>
                <c:pt idx="2050">
                  <c:v>0.381857943050598</c:v>
                </c:pt>
                <c:pt idx="2051">
                  <c:v>0.391444608124196</c:v>
                </c:pt>
                <c:pt idx="2052">
                  <c:v>0.380110621200268</c:v>
                </c:pt>
                <c:pt idx="2053">
                  <c:v>0.356949159777296</c:v>
                </c:pt>
                <c:pt idx="2054">
                  <c:v>0.372922827639976</c:v>
                </c:pt>
                <c:pt idx="2055">
                  <c:v>0.354485459456201</c:v>
                </c:pt>
                <c:pt idx="2056">
                  <c:v>0.383280746070696</c:v>
                </c:pt>
                <c:pt idx="2057">
                  <c:v>0.343345360969067</c:v>
                </c:pt>
                <c:pt idx="2058">
                  <c:v>0.365754061337869</c:v>
                </c:pt>
                <c:pt idx="2059">
                  <c:v>0.360242614589961</c:v>
                </c:pt>
                <c:pt idx="2060">
                  <c:v>0.366138730977869</c:v>
                </c:pt>
                <c:pt idx="2061">
                  <c:v>0.344856051059642</c:v>
                </c:pt>
                <c:pt idx="2062">
                  <c:v>0.367427866665962</c:v>
                </c:pt>
                <c:pt idx="2063">
                  <c:v>0.371561884576663</c:v>
                </c:pt>
                <c:pt idx="2064">
                  <c:v>0.370936272308564</c:v>
                </c:pt>
                <c:pt idx="2065">
                  <c:v>0.34906051874958</c:v>
                </c:pt>
                <c:pt idx="2066">
                  <c:v>0.341033794560941</c:v>
                </c:pt>
                <c:pt idx="2067">
                  <c:v>0.374228533740241</c:v>
                </c:pt>
                <c:pt idx="2068">
                  <c:v>0.393041094643387</c:v>
                </c:pt>
                <c:pt idx="2069">
                  <c:v>0.383969641276205</c:v>
                </c:pt>
                <c:pt idx="2070">
                  <c:v>0.352603414765637</c:v>
                </c:pt>
                <c:pt idx="2071">
                  <c:v>0.368068727579928</c:v>
                </c:pt>
                <c:pt idx="2072">
                  <c:v>0.368568785450382</c:v>
                </c:pt>
                <c:pt idx="2073">
                  <c:v>0.372439624645444</c:v>
                </c:pt>
                <c:pt idx="2074">
                  <c:v>0.383913078326794</c:v>
                </c:pt>
                <c:pt idx="2075">
                  <c:v>0.344842664806775</c:v>
                </c:pt>
                <c:pt idx="2076">
                  <c:v>0.360199166326302</c:v>
                </c:pt>
                <c:pt idx="2077">
                  <c:v>0.372990670365915</c:v>
                </c:pt>
                <c:pt idx="2078">
                  <c:v>0.372962015848842</c:v>
                </c:pt>
                <c:pt idx="2079">
                  <c:v>0.366943843447779</c:v>
                </c:pt>
                <c:pt idx="2080">
                  <c:v>0.350359273604263</c:v>
                </c:pt>
                <c:pt idx="2081">
                  <c:v>0.369231176045251</c:v>
                </c:pt>
                <c:pt idx="2082">
                  <c:v>0.371935498386153</c:v>
                </c:pt>
                <c:pt idx="2083">
                  <c:v>0.386721253569314</c:v>
                </c:pt>
                <c:pt idx="2084">
                  <c:v>0.343256110660519</c:v>
                </c:pt>
                <c:pt idx="2085">
                  <c:v>0.365951770000956</c:v>
                </c:pt>
                <c:pt idx="2086">
                  <c:v>0.364225504376299</c:v>
                </c:pt>
                <c:pt idx="2087">
                  <c:v>0.347473040811675</c:v>
                </c:pt>
                <c:pt idx="2088">
                  <c:v>0.357239660195388</c:v>
                </c:pt>
                <c:pt idx="2089">
                  <c:v>0.356328908802178</c:v>
                </c:pt>
                <c:pt idx="2090">
                  <c:v>0.394882163837678</c:v>
                </c:pt>
                <c:pt idx="2091">
                  <c:v>0.365406681473717</c:v>
                </c:pt>
                <c:pt idx="2092">
                  <c:v>0.354921121545698</c:v>
                </c:pt>
                <c:pt idx="2093">
                  <c:v>0.376718848703187</c:v>
                </c:pt>
                <c:pt idx="2094">
                  <c:v>0.377476908752861</c:v>
                </c:pt>
                <c:pt idx="2095">
                  <c:v>0.376825761483105</c:v>
                </c:pt>
                <c:pt idx="2096">
                  <c:v>0.370624798626947</c:v>
                </c:pt>
                <c:pt idx="2097">
                  <c:v>0.384146242148086</c:v>
                </c:pt>
                <c:pt idx="2098">
                  <c:v>0.376035537490908</c:v>
                </c:pt>
                <c:pt idx="2099">
                  <c:v>0.386055283511483</c:v>
                </c:pt>
                <c:pt idx="2100">
                  <c:v>0.363549652468985</c:v>
                </c:pt>
                <c:pt idx="2101">
                  <c:v>0.362584256138634</c:v>
                </c:pt>
                <c:pt idx="2102">
                  <c:v>0.36170910067066</c:v>
                </c:pt>
                <c:pt idx="2103">
                  <c:v>0.36023604916915</c:v>
                </c:pt>
                <c:pt idx="2104">
                  <c:v>0.362930842181663</c:v>
                </c:pt>
                <c:pt idx="2105">
                  <c:v>0.367993997913785</c:v>
                </c:pt>
                <c:pt idx="2106">
                  <c:v>0.344625289562319</c:v>
                </c:pt>
                <c:pt idx="2107">
                  <c:v>0.371674928117321</c:v>
                </c:pt>
                <c:pt idx="2108">
                  <c:v>0.344169368914763</c:v>
                </c:pt>
                <c:pt idx="2109">
                  <c:v>0.383850472715581</c:v>
                </c:pt>
                <c:pt idx="2110">
                  <c:v>0.376925438146519</c:v>
                </c:pt>
                <c:pt idx="2111">
                  <c:v>0.35210897091999</c:v>
                </c:pt>
                <c:pt idx="2112">
                  <c:v>0.354315677360974</c:v>
                </c:pt>
                <c:pt idx="2113">
                  <c:v>0.353469676439324</c:v>
                </c:pt>
                <c:pt idx="2114">
                  <c:v>0.375458742300411</c:v>
                </c:pt>
                <c:pt idx="2115">
                  <c:v>0.34798413396522</c:v>
                </c:pt>
                <c:pt idx="2116">
                  <c:v>0.387423176778674</c:v>
                </c:pt>
                <c:pt idx="2117">
                  <c:v>0.344450478026577</c:v>
                </c:pt>
                <c:pt idx="2118">
                  <c:v>0.373282212380391</c:v>
                </c:pt>
                <c:pt idx="2119">
                  <c:v>0.373721754085032</c:v>
                </c:pt>
                <c:pt idx="2120">
                  <c:v>0.382652301281528</c:v>
                </c:pt>
                <c:pt idx="2121">
                  <c:v>0.363220059427435</c:v>
                </c:pt>
                <c:pt idx="2122">
                  <c:v>0.352152974337937</c:v>
                </c:pt>
                <c:pt idx="2123">
                  <c:v>0.37224072106641</c:v>
                </c:pt>
                <c:pt idx="2124">
                  <c:v>0.379192867088969</c:v>
                </c:pt>
                <c:pt idx="2125">
                  <c:v>0.368815022127939</c:v>
                </c:pt>
                <c:pt idx="2126">
                  <c:v>0.370575322591083</c:v>
                </c:pt>
                <c:pt idx="2127">
                  <c:v>0.350021061179526</c:v>
                </c:pt>
                <c:pt idx="2128">
                  <c:v>0.369123590833644</c:v>
                </c:pt>
                <c:pt idx="2129">
                  <c:v>0.356810711377548</c:v>
                </c:pt>
                <c:pt idx="2130">
                  <c:v>0.358972890198404</c:v>
                </c:pt>
                <c:pt idx="2131">
                  <c:v>0.381631105946981</c:v>
                </c:pt>
                <c:pt idx="2132">
                  <c:v>0.361854018666034</c:v>
                </c:pt>
                <c:pt idx="2133">
                  <c:v>0.362687502824855</c:v>
                </c:pt>
                <c:pt idx="2134">
                  <c:v>0.399245160853868</c:v>
                </c:pt>
                <c:pt idx="2135">
                  <c:v>0.363179592700714</c:v>
                </c:pt>
                <c:pt idx="2136">
                  <c:v>0.391676258298375</c:v>
                </c:pt>
                <c:pt idx="2137">
                  <c:v>0.380389250656274</c:v>
                </c:pt>
                <c:pt idx="2138">
                  <c:v>0.370164334940438</c:v>
                </c:pt>
                <c:pt idx="2139">
                  <c:v>0.370189461537388</c:v>
                </c:pt>
                <c:pt idx="2140">
                  <c:v>0.373128863120479</c:v>
                </c:pt>
                <c:pt idx="2141">
                  <c:v>0.380762528207564</c:v>
                </c:pt>
                <c:pt idx="2142">
                  <c:v>0.375006705425465</c:v>
                </c:pt>
                <c:pt idx="2143">
                  <c:v>0.363386576055422</c:v>
                </c:pt>
                <c:pt idx="2144">
                  <c:v>0.360298036204172</c:v>
                </c:pt>
                <c:pt idx="2145">
                  <c:v>0.379774303019761</c:v>
                </c:pt>
                <c:pt idx="2146">
                  <c:v>0.381420542504619</c:v>
                </c:pt>
                <c:pt idx="2147">
                  <c:v>0.408901764560573</c:v>
                </c:pt>
                <c:pt idx="2148">
                  <c:v>0.358532794291818</c:v>
                </c:pt>
                <c:pt idx="2149">
                  <c:v>0.345976189709382</c:v>
                </c:pt>
                <c:pt idx="2150">
                  <c:v>0.376538855089132</c:v>
                </c:pt>
                <c:pt idx="2151">
                  <c:v>0.389549860089523</c:v>
                </c:pt>
                <c:pt idx="2152">
                  <c:v>0.377393999096857</c:v>
                </c:pt>
                <c:pt idx="2153">
                  <c:v>0.353667001221331</c:v>
                </c:pt>
                <c:pt idx="2154">
                  <c:v>0.353055828645336</c:v>
                </c:pt>
                <c:pt idx="2155">
                  <c:v>0.400182568434488</c:v>
                </c:pt>
                <c:pt idx="2156">
                  <c:v>0.367488143632865</c:v>
                </c:pt>
                <c:pt idx="2157">
                  <c:v>0.360802403095723</c:v>
                </c:pt>
                <c:pt idx="2158">
                  <c:v>0.374548867216912</c:v>
                </c:pt>
                <c:pt idx="2159">
                  <c:v>0.391312964805965</c:v>
                </c:pt>
                <c:pt idx="2160">
                  <c:v>0.362724860581349</c:v>
                </c:pt>
                <c:pt idx="2161">
                  <c:v>0.353126453865523</c:v>
                </c:pt>
                <c:pt idx="2162">
                  <c:v>0.362381095951873</c:v>
                </c:pt>
                <c:pt idx="2163">
                  <c:v>0.372867057042878</c:v>
                </c:pt>
                <c:pt idx="2164">
                  <c:v>0.347633800228755</c:v>
                </c:pt>
                <c:pt idx="2165">
                  <c:v>0.395632125247723</c:v>
                </c:pt>
                <c:pt idx="2166">
                  <c:v>0.389190305442067</c:v>
                </c:pt>
                <c:pt idx="2167">
                  <c:v>0.404358289189983</c:v>
                </c:pt>
                <c:pt idx="2168">
                  <c:v>0.371627157139714</c:v>
                </c:pt>
                <c:pt idx="2169">
                  <c:v>0.368848772986403</c:v>
                </c:pt>
                <c:pt idx="2170">
                  <c:v>0.369412579675658</c:v>
                </c:pt>
                <c:pt idx="2171">
                  <c:v>0.371307200162244</c:v>
                </c:pt>
                <c:pt idx="2172">
                  <c:v>0.362278621449975</c:v>
                </c:pt>
                <c:pt idx="2173">
                  <c:v>0.36852809678679</c:v>
                </c:pt>
                <c:pt idx="2174">
                  <c:v>0.365007006244832</c:v>
                </c:pt>
                <c:pt idx="2175">
                  <c:v>0.344860263771762</c:v>
                </c:pt>
                <c:pt idx="2176">
                  <c:v>0.375291586509358</c:v>
                </c:pt>
                <c:pt idx="2177">
                  <c:v>0.385358667776539</c:v>
                </c:pt>
                <c:pt idx="2178">
                  <c:v>0.352412903945683</c:v>
                </c:pt>
                <c:pt idx="2179">
                  <c:v>0.361458887415943</c:v>
                </c:pt>
                <c:pt idx="2180">
                  <c:v>0.366501605960592</c:v>
                </c:pt>
                <c:pt idx="2181">
                  <c:v>0.387202676633204</c:v>
                </c:pt>
                <c:pt idx="2182">
                  <c:v>0.377163102545763</c:v>
                </c:pt>
                <c:pt idx="2183">
                  <c:v>0.360208401756146</c:v>
                </c:pt>
                <c:pt idx="2184">
                  <c:v>0.341359523740523</c:v>
                </c:pt>
                <c:pt idx="2185">
                  <c:v>0.373808666648672</c:v>
                </c:pt>
                <c:pt idx="2186">
                  <c:v>0.381268846962156</c:v>
                </c:pt>
                <c:pt idx="2187">
                  <c:v>0.351565724517612</c:v>
                </c:pt>
                <c:pt idx="2188">
                  <c:v>0.357539185983928</c:v>
                </c:pt>
                <c:pt idx="2189">
                  <c:v>0.364274248304897</c:v>
                </c:pt>
                <c:pt idx="2190">
                  <c:v>0.353656988878747</c:v>
                </c:pt>
                <c:pt idx="2191">
                  <c:v>0.347474511330853</c:v>
                </c:pt>
                <c:pt idx="2192">
                  <c:v>0.35991605139997</c:v>
                </c:pt>
                <c:pt idx="2193">
                  <c:v>0.366832434436649</c:v>
                </c:pt>
                <c:pt idx="2194">
                  <c:v>0.34747725436697</c:v>
                </c:pt>
                <c:pt idx="2195">
                  <c:v>0.384143965987637</c:v>
                </c:pt>
                <c:pt idx="2196">
                  <c:v>0.379448939900431</c:v>
                </c:pt>
                <c:pt idx="2197">
                  <c:v>0.355533249491007</c:v>
                </c:pt>
                <c:pt idx="2198">
                  <c:v>0.367397324103252</c:v>
                </c:pt>
                <c:pt idx="2199">
                  <c:v>0.377541180228278</c:v>
                </c:pt>
                <c:pt idx="2200">
                  <c:v>0.372676360112816</c:v>
                </c:pt>
                <c:pt idx="2201">
                  <c:v>0.375065122431581</c:v>
                </c:pt>
                <c:pt idx="2202">
                  <c:v>0.359644162692283</c:v>
                </c:pt>
                <c:pt idx="2203">
                  <c:v>0.371397606311823</c:v>
                </c:pt>
                <c:pt idx="2204">
                  <c:v>0.354625158621092</c:v>
                </c:pt>
                <c:pt idx="2205">
                  <c:v>0.357446496636914</c:v>
                </c:pt>
                <c:pt idx="2206">
                  <c:v>0.385296173557315</c:v>
                </c:pt>
                <c:pt idx="2207">
                  <c:v>0.365558391466082</c:v>
                </c:pt>
                <c:pt idx="2208">
                  <c:v>0.349588045457633</c:v>
                </c:pt>
                <c:pt idx="2209">
                  <c:v>0.362999653930645</c:v>
                </c:pt>
                <c:pt idx="2210">
                  <c:v>0.347936451886274</c:v>
                </c:pt>
                <c:pt idx="2211">
                  <c:v>0.374771169789894</c:v>
                </c:pt>
                <c:pt idx="2212">
                  <c:v>0.376387975465265</c:v>
                </c:pt>
                <c:pt idx="2213">
                  <c:v>0.367293008885931</c:v>
                </c:pt>
                <c:pt idx="2214">
                  <c:v>0.383098921931176</c:v>
                </c:pt>
                <c:pt idx="2215">
                  <c:v>0.368721633459619</c:v>
                </c:pt>
                <c:pt idx="2216">
                  <c:v>0.385242627793975</c:v>
                </c:pt>
                <c:pt idx="2217">
                  <c:v>0.366403912196988</c:v>
                </c:pt>
                <c:pt idx="2218">
                  <c:v>0.375330454145222</c:v>
                </c:pt>
                <c:pt idx="2219">
                  <c:v>0.355950964215731</c:v>
                </c:pt>
                <c:pt idx="2220">
                  <c:v>0.368140375469642</c:v>
                </c:pt>
                <c:pt idx="2221">
                  <c:v>0.369227302536987</c:v>
                </c:pt>
                <c:pt idx="2222">
                  <c:v>0.387941469491946</c:v>
                </c:pt>
                <c:pt idx="2223">
                  <c:v>0.354625600896256</c:v>
                </c:pt>
                <c:pt idx="2224">
                  <c:v>0.356501106021778</c:v>
                </c:pt>
                <c:pt idx="2225">
                  <c:v>0.373373575784554</c:v>
                </c:pt>
                <c:pt idx="2226">
                  <c:v>0.363549672869555</c:v>
                </c:pt>
                <c:pt idx="2227">
                  <c:v>0.38577091677833</c:v>
                </c:pt>
                <c:pt idx="2228">
                  <c:v>0.347851356309409</c:v>
                </c:pt>
                <c:pt idx="2229">
                  <c:v>0.386719052870637</c:v>
                </c:pt>
                <c:pt idx="2230">
                  <c:v>0.352840728752319</c:v>
                </c:pt>
                <c:pt idx="2231">
                  <c:v>0.362134350217557</c:v>
                </c:pt>
                <c:pt idx="2232">
                  <c:v>0.355472210902476</c:v>
                </c:pt>
                <c:pt idx="2233">
                  <c:v>0.364125176632167</c:v>
                </c:pt>
                <c:pt idx="2234">
                  <c:v>0.360650467835854</c:v>
                </c:pt>
                <c:pt idx="2235">
                  <c:v>0.373263710967168</c:v>
                </c:pt>
                <c:pt idx="2236">
                  <c:v>0.386097242662016</c:v>
                </c:pt>
                <c:pt idx="2237">
                  <c:v>0.366725964385214</c:v>
                </c:pt>
                <c:pt idx="2238">
                  <c:v>0.372217521694921</c:v>
                </c:pt>
                <c:pt idx="2239">
                  <c:v>0.361950486765685</c:v>
                </c:pt>
                <c:pt idx="2240">
                  <c:v>0.34545662484529</c:v>
                </c:pt>
                <c:pt idx="2241">
                  <c:v>0.385067360817319</c:v>
                </c:pt>
                <c:pt idx="2242">
                  <c:v>0.341106442221349</c:v>
                </c:pt>
                <c:pt idx="2243">
                  <c:v>0.370090521631883</c:v>
                </c:pt>
                <c:pt idx="2244">
                  <c:v>0.367177361120168</c:v>
                </c:pt>
                <c:pt idx="2245">
                  <c:v>0.392358103384544</c:v>
                </c:pt>
                <c:pt idx="2246">
                  <c:v>0.393050412340039</c:v>
                </c:pt>
                <c:pt idx="2247">
                  <c:v>0.362335624311134</c:v>
                </c:pt>
                <c:pt idx="2248">
                  <c:v>0.374382729186774</c:v>
                </c:pt>
                <c:pt idx="2249">
                  <c:v>0.387592132365526</c:v>
                </c:pt>
                <c:pt idx="2250">
                  <c:v>0.377107140305911</c:v>
                </c:pt>
                <c:pt idx="2251">
                  <c:v>0.333570944144962</c:v>
                </c:pt>
                <c:pt idx="2252">
                  <c:v>0.358716535199892</c:v>
                </c:pt>
                <c:pt idx="2253">
                  <c:v>0.372620108592753</c:v>
                </c:pt>
                <c:pt idx="2254">
                  <c:v>0.352093530899085</c:v>
                </c:pt>
                <c:pt idx="2255">
                  <c:v>0.380003256417596</c:v>
                </c:pt>
                <c:pt idx="2256">
                  <c:v>0.368413468323931</c:v>
                </c:pt>
                <c:pt idx="2257">
                  <c:v>0.375670396268243</c:v>
                </c:pt>
                <c:pt idx="2258">
                  <c:v>0.353877999928939</c:v>
                </c:pt>
                <c:pt idx="2259">
                  <c:v>0.393488374400108</c:v>
                </c:pt>
                <c:pt idx="2260">
                  <c:v>0.366822279964835</c:v>
                </c:pt>
                <c:pt idx="2261">
                  <c:v>0.365775079497333</c:v>
                </c:pt>
                <c:pt idx="2262">
                  <c:v>0.365298718292324</c:v>
                </c:pt>
                <c:pt idx="2263">
                  <c:v>0.379789058106909</c:v>
                </c:pt>
                <c:pt idx="2264">
                  <c:v>0.361004192333439</c:v>
                </c:pt>
                <c:pt idx="2265">
                  <c:v>0.386421037243833</c:v>
                </c:pt>
                <c:pt idx="2266">
                  <c:v>0.398623800330932</c:v>
                </c:pt>
                <c:pt idx="2267">
                  <c:v>0.356255954294099</c:v>
                </c:pt>
                <c:pt idx="2268">
                  <c:v>0.369474111521628</c:v>
                </c:pt>
                <c:pt idx="2269">
                  <c:v>0.366213837285676</c:v>
                </c:pt>
                <c:pt idx="2270">
                  <c:v>0.359633854659313</c:v>
                </c:pt>
                <c:pt idx="2271">
                  <c:v>0.373472779080827</c:v>
                </c:pt>
                <c:pt idx="2272">
                  <c:v>0.371257332135157</c:v>
                </c:pt>
                <c:pt idx="2273">
                  <c:v>0.364308633755238</c:v>
                </c:pt>
                <c:pt idx="2274">
                  <c:v>0.379501646273717</c:v>
                </c:pt>
                <c:pt idx="2275">
                  <c:v>0.360952926353418</c:v>
                </c:pt>
                <c:pt idx="2276">
                  <c:v>0.355299319054838</c:v>
                </c:pt>
                <c:pt idx="2277">
                  <c:v>0.359185805596099</c:v>
                </c:pt>
                <c:pt idx="2278">
                  <c:v>0.355710622249613</c:v>
                </c:pt>
                <c:pt idx="2279">
                  <c:v>0.3464515957241</c:v>
                </c:pt>
                <c:pt idx="2280">
                  <c:v>0.361692380596154</c:v>
                </c:pt>
                <c:pt idx="2281">
                  <c:v>0.396020986647647</c:v>
                </c:pt>
                <c:pt idx="2282">
                  <c:v>0.362841553318957</c:v>
                </c:pt>
                <c:pt idx="2283">
                  <c:v>0.346208702329818</c:v>
                </c:pt>
                <c:pt idx="2284">
                  <c:v>0.382473651664635</c:v>
                </c:pt>
                <c:pt idx="2285">
                  <c:v>0.379687001626229</c:v>
                </c:pt>
                <c:pt idx="2286">
                  <c:v>0.37783491455292</c:v>
                </c:pt>
                <c:pt idx="2287">
                  <c:v>0.383722676711195</c:v>
                </c:pt>
                <c:pt idx="2288">
                  <c:v>0.361874391398791</c:v>
                </c:pt>
                <c:pt idx="2289">
                  <c:v>0.360473678048472</c:v>
                </c:pt>
                <c:pt idx="2290">
                  <c:v>0.346263457371365</c:v>
                </c:pt>
                <c:pt idx="2291">
                  <c:v>0.379332700767949</c:v>
                </c:pt>
                <c:pt idx="2292">
                  <c:v>0.347632899296494</c:v>
                </c:pt>
                <c:pt idx="2293">
                  <c:v>0.387538919782484</c:v>
                </c:pt>
                <c:pt idx="2294">
                  <c:v>0.356931733204867</c:v>
                </c:pt>
                <c:pt idx="2295">
                  <c:v>0.357836829421617</c:v>
                </c:pt>
                <c:pt idx="2296">
                  <c:v>0.371344405211373</c:v>
                </c:pt>
                <c:pt idx="2297">
                  <c:v>0.375873102441851</c:v>
                </c:pt>
                <c:pt idx="2298">
                  <c:v>0.369844918645333</c:v>
                </c:pt>
                <c:pt idx="2299">
                  <c:v>0.365585837966465</c:v>
                </c:pt>
                <c:pt idx="2300">
                  <c:v>0.378838266839884</c:v>
                </c:pt>
                <c:pt idx="2301">
                  <c:v>0.370740291128345</c:v>
                </c:pt>
                <c:pt idx="2302">
                  <c:v>0.368509715590811</c:v>
                </c:pt>
                <c:pt idx="2303">
                  <c:v>0.354872736550704</c:v>
                </c:pt>
                <c:pt idx="2304">
                  <c:v>0.362620217239682</c:v>
                </c:pt>
                <c:pt idx="2305">
                  <c:v>0.354236408299184</c:v>
                </c:pt>
                <c:pt idx="2306">
                  <c:v>0.355431993399602</c:v>
                </c:pt>
                <c:pt idx="2307">
                  <c:v>0.352233136690286</c:v>
                </c:pt>
                <c:pt idx="2308">
                  <c:v>0.348131807000178</c:v>
                </c:pt>
                <c:pt idx="2309">
                  <c:v>0.367851699781685</c:v>
                </c:pt>
                <c:pt idx="2310">
                  <c:v>0.34887972616069</c:v>
                </c:pt>
                <c:pt idx="2311">
                  <c:v>0.383181144223036</c:v>
                </c:pt>
                <c:pt idx="2312">
                  <c:v>0.375681413126123</c:v>
                </c:pt>
                <c:pt idx="2313">
                  <c:v>0.367949979513634</c:v>
                </c:pt>
                <c:pt idx="2314">
                  <c:v>0.346444126588342</c:v>
                </c:pt>
                <c:pt idx="2315">
                  <c:v>0.357856094012664</c:v>
                </c:pt>
                <c:pt idx="2316">
                  <c:v>0.344644241543207</c:v>
                </c:pt>
                <c:pt idx="2317">
                  <c:v>0.383984624060909</c:v>
                </c:pt>
                <c:pt idx="2318">
                  <c:v>0.359851432723853</c:v>
                </c:pt>
                <c:pt idx="2319">
                  <c:v>0.362506030685902</c:v>
                </c:pt>
                <c:pt idx="2320">
                  <c:v>0.354733529584537</c:v>
                </c:pt>
                <c:pt idx="2321">
                  <c:v>0.369296739472565</c:v>
                </c:pt>
                <c:pt idx="2322">
                  <c:v>0.357892268642431</c:v>
                </c:pt>
                <c:pt idx="2323">
                  <c:v>0.352436998471746</c:v>
                </c:pt>
                <c:pt idx="2324">
                  <c:v>0.36501804510732</c:v>
                </c:pt>
                <c:pt idx="2325">
                  <c:v>0.366544060260025</c:v>
                </c:pt>
                <c:pt idx="2326">
                  <c:v>0.353376926280964</c:v>
                </c:pt>
                <c:pt idx="2327">
                  <c:v>0.369822683286358</c:v>
                </c:pt>
                <c:pt idx="2328">
                  <c:v>0.360041589101859</c:v>
                </c:pt>
                <c:pt idx="2329">
                  <c:v>0.368921418861543</c:v>
                </c:pt>
                <c:pt idx="2330">
                  <c:v>0.361550930815017</c:v>
                </c:pt>
                <c:pt idx="2331">
                  <c:v>0.38000628780729</c:v>
                </c:pt>
                <c:pt idx="2332">
                  <c:v>0.378789002549706</c:v>
                </c:pt>
                <c:pt idx="2333">
                  <c:v>0.353039268685246</c:v>
                </c:pt>
                <c:pt idx="2334">
                  <c:v>0.374162559207573</c:v>
                </c:pt>
                <c:pt idx="2335">
                  <c:v>0.390190251200053</c:v>
                </c:pt>
                <c:pt idx="2336">
                  <c:v>0.363733296474943</c:v>
                </c:pt>
                <c:pt idx="2337">
                  <c:v>0.364948927457063</c:v>
                </c:pt>
                <c:pt idx="2338">
                  <c:v>0.383265861238045</c:v>
                </c:pt>
                <c:pt idx="2339">
                  <c:v>0.356391412092543</c:v>
                </c:pt>
                <c:pt idx="2340">
                  <c:v>0.365308877502875</c:v>
                </c:pt>
                <c:pt idx="2341">
                  <c:v>0.367669154357549</c:v>
                </c:pt>
                <c:pt idx="2342">
                  <c:v>0.389201353557392</c:v>
                </c:pt>
                <c:pt idx="2343">
                  <c:v>0.384150240738966</c:v>
                </c:pt>
                <c:pt idx="2344">
                  <c:v>0.369751550984426</c:v>
                </c:pt>
                <c:pt idx="2345">
                  <c:v>0.358338874314671</c:v>
                </c:pt>
                <c:pt idx="2346">
                  <c:v>0.364828276847815</c:v>
                </c:pt>
                <c:pt idx="2347">
                  <c:v>0.384197200789533</c:v>
                </c:pt>
                <c:pt idx="2348">
                  <c:v>0.357424643562545</c:v>
                </c:pt>
                <c:pt idx="2349">
                  <c:v>0.354203481852149</c:v>
                </c:pt>
                <c:pt idx="2350">
                  <c:v>0.358494838333517</c:v>
                </c:pt>
                <c:pt idx="2351">
                  <c:v>0.379260668828101</c:v>
                </c:pt>
                <c:pt idx="2352">
                  <c:v>0.351047519062797</c:v>
                </c:pt>
                <c:pt idx="2353">
                  <c:v>0.373301544297387</c:v>
                </c:pt>
                <c:pt idx="2354">
                  <c:v>0.382439514433098</c:v>
                </c:pt>
                <c:pt idx="2355">
                  <c:v>0.346114250975065</c:v>
                </c:pt>
                <c:pt idx="2356">
                  <c:v>0.357136939451458</c:v>
                </c:pt>
                <c:pt idx="2357">
                  <c:v>0.386397919243567</c:v>
                </c:pt>
                <c:pt idx="2358">
                  <c:v>0.352263150187477</c:v>
                </c:pt>
                <c:pt idx="2359">
                  <c:v>0.362524927126017</c:v>
                </c:pt>
                <c:pt idx="2360">
                  <c:v>0.377409830746634</c:v>
                </c:pt>
                <c:pt idx="2361">
                  <c:v>0.388452497521353</c:v>
                </c:pt>
                <c:pt idx="2362">
                  <c:v>0.373576867396612</c:v>
                </c:pt>
                <c:pt idx="2363">
                  <c:v>0.338096352650328</c:v>
                </c:pt>
                <c:pt idx="2364">
                  <c:v>0.354332844920541</c:v>
                </c:pt>
                <c:pt idx="2365">
                  <c:v>0.38833345875181</c:v>
                </c:pt>
                <c:pt idx="2366">
                  <c:v>0.401345113677047</c:v>
                </c:pt>
                <c:pt idx="2367">
                  <c:v>0.378056682146251</c:v>
                </c:pt>
                <c:pt idx="2368">
                  <c:v>0.365106887070665</c:v>
                </c:pt>
                <c:pt idx="2369">
                  <c:v>0.381935854215081</c:v>
                </c:pt>
                <c:pt idx="2370">
                  <c:v>0.376802368363842</c:v>
                </c:pt>
                <c:pt idx="2371">
                  <c:v>0.359400066548104</c:v>
                </c:pt>
                <c:pt idx="2372">
                  <c:v>0.346687256188049</c:v>
                </c:pt>
                <c:pt idx="2373">
                  <c:v>0.386971652189902</c:v>
                </c:pt>
                <c:pt idx="2374">
                  <c:v>0.378033696237835</c:v>
                </c:pt>
                <c:pt idx="2375">
                  <c:v>0.352130837812368</c:v>
                </c:pt>
                <c:pt idx="2376">
                  <c:v>0.386495161643932</c:v>
                </c:pt>
                <c:pt idx="2377">
                  <c:v>0.382870440058198</c:v>
                </c:pt>
                <c:pt idx="2378">
                  <c:v>0.365371292051623</c:v>
                </c:pt>
                <c:pt idx="2379">
                  <c:v>0.381113943061361</c:v>
                </c:pt>
                <c:pt idx="2380">
                  <c:v>0.349072483083021</c:v>
                </c:pt>
                <c:pt idx="2381">
                  <c:v>0.37413679084893</c:v>
                </c:pt>
                <c:pt idx="2382">
                  <c:v>0.356757537932784</c:v>
                </c:pt>
                <c:pt idx="2383">
                  <c:v>0.384260980471511</c:v>
                </c:pt>
                <c:pt idx="2384">
                  <c:v>0.377100160213388</c:v>
                </c:pt>
                <c:pt idx="2385">
                  <c:v>0.365962677344477</c:v>
                </c:pt>
                <c:pt idx="2386">
                  <c:v>0.364667938677068</c:v>
                </c:pt>
                <c:pt idx="2387">
                  <c:v>0.366211507525781</c:v>
                </c:pt>
                <c:pt idx="2388">
                  <c:v>0.343717684599003</c:v>
                </c:pt>
                <c:pt idx="2389">
                  <c:v>0.365245364204128</c:v>
                </c:pt>
                <c:pt idx="2390">
                  <c:v>0.379704449819753</c:v>
                </c:pt>
                <c:pt idx="2391">
                  <c:v>0.350770526436741</c:v>
                </c:pt>
                <c:pt idx="2392">
                  <c:v>0.376013121449239</c:v>
                </c:pt>
                <c:pt idx="2393">
                  <c:v>0.358361155514907</c:v>
                </c:pt>
                <c:pt idx="2394">
                  <c:v>0.377887155188239</c:v>
                </c:pt>
                <c:pt idx="2395">
                  <c:v>0.368949605777668</c:v>
                </c:pt>
                <c:pt idx="2396">
                  <c:v>0.368107845881261</c:v>
                </c:pt>
                <c:pt idx="2397">
                  <c:v>0.377197636911457</c:v>
                </c:pt>
                <c:pt idx="2398">
                  <c:v>0.375033926665403</c:v>
                </c:pt>
                <c:pt idx="2399">
                  <c:v>0.366888448876989</c:v>
                </c:pt>
                <c:pt idx="2400">
                  <c:v>0.350132167278562</c:v>
                </c:pt>
                <c:pt idx="2401">
                  <c:v>0.396053878739267</c:v>
                </c:pt>
                <c:pt idx="2402">
                  <c:v>0.368791525814242</c:v>
                </c:pt>
                <c:pt idx="2403">
                  <c:v>0.371638999611622</c:v>
                </c:pt>
                <c:pt idx="2404">
                  <c:v>0.38379303861586</c:v>
                </c:pt>
                <c:pt idx="2405">
                  <c:v>0.363272294029491</c:v>
                </c:pt>
                <c:pt idx="2406">
                  <c:v>0.36592646085579</c:v>
                </c:pt>
                <c:pt idx="2407">
                  <c:v>0.355356215371562</c:v>
                </c:pt>
                <c:pt idx="2408">
                  <c:v>0.368306764860226</c:v>
                </c:pt>
                <c:pt idx="2409">
                  <c:v>0.385413835207489</c:v>
                </c:pt>
                <c:pt idx="2410">
                  <c:v>0.4050689307629</c:v>
                </c:pt>
                <c:pt idx="2411">
                  <c:v>0.361222498832091</c:v>
                </c:pt>
                <c:pt idx="2412">
                  <c:v>0.371287757078194</c:v>
                </c:pt>
                <c:pt idx="2413">
                  <c:v>0.366755651836195</c:v>
                </c:pt>
                <c:pt idx="2414">
                  <c:v>0.380796146219384</c:v>
                </c:pt>
                <c:pt idx="2415">
                  <c:v>0.36578232175218</c:v>
                </c:pt>
                <c:pt idx="2416">
                  <c:v>0.369177431338916</c:v>
                </c:pt>
                <c:pt idx="2417">
                  <c:v>0.351846491617837</c:v>
                </c:pt>
                <c:pt idx="2418">
                  <c:v>0.38938876047102</c:v>
                </c:pt>
                <c:pt idx="2419">
                  <c:v>0.380635396328015</c:v>
                </c:pt>
                <c:pt idx="2420">
                  <c:v>0.349751513805362</c:v>
                </c:pt>
                <c:pt idx="2421">
                  <c:v>0.406379295505382</c:v>
                </c:pt>
                <c:pt idx="2422">
                  <c:v>0.36481598009737</c:v>
                </c:pt>
                <c:pt idx="2423">
                  <c:v>0.351527535290461</c:v>
                </c:pt>
                <c:pt idx="2424">
                  <c:v>0.346883865830083</c:v>
                </c:pt>
                <c:pt idx="2425">
                  <c:v>0.368079139372326</c:v>
                </c:pt>
                <c:pt idx="2426">
                  <c:v>0.366378258418067</c:v>
                </c:pt>
                <c:pt idx="2427">
                  <c:v>0.345361794940232</c:v>
                </c:pt>
                <c:pt idx="2428">
                  <c:v>0.36760632410565</c:v>
                </c:pt>
                <c:pt idx="2429">
                  <c:v>0.371591969884535</c:v>
                </c:pt>
                <c:pt idx="2430">
                  <c:v>0.358205906501768</c:v>
                </c:pt>
                <c:pt idx="2431">
                  <c:v>0.345619328526054</c:v>
                </c:pt>
                <c:pt idx="2432">
                  <c:v>0.374311253749556</c:v>
                </c:pt>
                <c:pt idx="2433">
                  <c:v>0.352778793647026</c:v>
                </c:pt>
                <c:pt idx="2434">
                  <c:v>0.398012534818468</c:v>
                </c:pt>
                <c:pt idx="2435">
                  <c:v>0.375915370663173</c:v>
                </c:pt>
                <c:pt idx="2436">
                  <c:v>0.342572224977975</c:v>
                </c:pt>
                <c:pt idx="2437">
                  <c:v>0.362733230811251</c:v>
                </c:pt>
                <c:pt idx="2438">
                  <c:v>0.407479177551768</c:v>
                </c:pt>
                <c:pt idx="2439">
                  <c:v>0.356145797073767</c:v>
                </c:pt>
                <c:pt idx="2440">
                  <c:v>0.37022078211542</c:v>
                </c:pt>
                <c:pt idx="2441">
                  <c:v>0.355000869682233</c:v>
                </c:pt>
                <c:pt idx="2442">
                  <c:v>0.389112046966241</c:v>
                </c:pt>
                <c:pt idx="2443">
                  <c:v>0.349591800829463</c:v>
                </c:pt>
                <c:pt idx="2444">
                  <c:v>0.367580656198642</c:v>
                </c:pt>
                <c:pt idx="2445">
                  <c:v>0.348265104749394</c:v>
                </c:pt>
                <c:pt idx="2446">
                  <c:v>0.358675207623161</c:v>
                </c:pt>
                <c:pt idx="2447">
                  <c:v>0.373217940215082</c:v>
                </c:pt>
                <c:pt idx="2448">
                  <c:v>0.358800786761332</c:v>
                </c:pt>
                <c:pt idx="2449">
                  <c:v>0.363434148575213</c:v>
                </c:pt>
                <c:pt idx="2450">
                  <c:v>0.343512088869878</c:v>
                </c:pt>
                <c:pt idx="2451">
                  <c:v>0.348829351106947</c:v>
                </c:pt>
                <c:pt idx="2452">
                  <c:v>0.379504337426055</c:v>
                </c:pt>
                <c:pt idx="2453">
                  <c:v>0.370262019937174</c:v>
                </c:pt>
                <c:pt idx="2454">
                  <c:v>0.375541865933015</c:v>
                </c:pt>
                <c:pt idx="2455">
                  <c:v>0.365069532073509</c:v>
                </c:pt>
                <c:pt idx="2456">
                  <c:v>0.375329153027262</c:v>
                </c:pt>
                <c:pt idx="2457">
                  <c:v>0.348304588415544</c:v>
                </c:pt>
                <c:pt idx="2458">
                  <c:v>0.342711137058665</c:v>
                </c:pt>
                <c:pt idx="2459">
                  <c:v>0.38555345968009</c:v>
                </c:pt>
                <c:pt idx="2460">
                  <c:v>0.345709501089893</c:v>
                </c:pt>
                <c:pt idx="2461">
                  <c:v>0.375912446067779</c:v>
                </c:pt>
                <c:pt idx="2462">
                  <c:v>0.392048574943083</c:v>
                </c:pt>
                <c:pt idx="2463">
                  <c:v>0.389907168652662</c:v>
                </c:pt>
                <c:pt idx="2464">
                  <c:v>0.370761553316471</c:v>
                </c:pt>
                <c:pt idx="2465">
                  <c:v>0.34278545191902</c:v>
                </c:pt>
                <c:pt idx="2466">
                  <c:v>0.369034648557498</c:v>
                </c:pt>
                <c:pt idx="2467">
                  <c:v>0.369545517620531</c:v>
                </c:pt>
                <c:pt idx="2468">
                  <c:v>0.351692598176159</c:v>
                </c:pt>
                <c:pt idx="2469">
                  <c:v>0.352838832818938</c:v>
                </c:pt>
                <c:pt idx="2470">
                  <c:v>0.373100173352936</c:v>
                </c:pt>
                <c:pt idx="2471">
                  <c:v>0.363462233767096</c:v>
                </c:pt>
                <c:pt idx="2472">
                  <c:v>0.370618837894622</c:v>
                </c:pt>
                <c:pt idx="2473">
                  <c:v>0.35164906513984</c:v>
                </c:pt>
                <c:pt idx="2474">
                  <c:v>0.365097761797799</c:v>
                </c:pt>
                <c:pt idx="2475">
                  <c:v>0.352950831600102</c:v>
                </c:pt>
                <c:pt idx="2476">
                  <c:v>0.375308385276023</c:v>
                </c:pt>
                <c:pt idx="2477">
                  <c:v>0.362652981642636</c:v>
                </c:pt>
                <c:pt idx="2478">
                  <c:v>0.396985666694352</c:v>
                </c:pt>
                <c:pt idx="2479">
                  <c:v>0.376300593815035</c:v>
                </c:pt>
                <c:pt idx="2480">
                  <c:v>0.357217904214486</c:v>
                </c:pt>
                <c:pt idx="2481">
                  <c:v>0.356496847871515</c:v>
                </c:pt>
                <c:pt idx="2482">
                  <c:v>0.354287937976645</c:v>
                </c:pt>
                <c:pt idx="2483">
                  <c:v>0.373743397154462</c:v>
                </c:pt>
                <c:pt idx="2484">
                  <c:v>0.362637273891003</c:v>
                </c:pt>
                <c:pt idx="2485">
                  <c:v>0.368321523804875</c:v>
                </c:pt>
                <c:pt idx="2486">
                  <c:v>0.358118408136669</c:v>
                </c:pt>
                <c:pt idx="2487">
                  <c:v>0.382204824636365</c:v>
                </c:pt>
                <c:pt idx="2488">
                  <c:v>0.355855314958021</c:v>
                </c:pt>
                <c:pt idx="2489">
                  <c:v>0.37282077672076</c:v>
                </c:pt>
                <c:pt idx="2490">
                  <c:v>0.343858535447599</c:v>
                </c:pt>
                <c:pt idx="2491">
                  <c:v>0.363020999967597</c:v>
                </c:pt>
                <c:pt idx="2492">
                  <c:v>0.341469392132289</c:v>
                </c:pt>
                <c:pt idx="2493">
                  <c:v>0.373641691109604</c:v>
                </c:pt>
                <c:pt idx="2494">
                  <c:v>0.369494690141872</c:v>
                </c:pt>
                <c:pt idx="2495">
                  <c:v>0.355371182805688</c:v>
                </c:pt>
                <c:pt idx="2496">
                  <c:v>0.38513977128329</c:v>
                </c:pt>
                <c:pt idx="2497">
                  <c:v>0.359305476942337</c:v>
                </c:pt>
                <c:pt idx="2498">
                  <c:v>0.358960178568102</c:v>
                </c:pt>
                <c:pt idx="2499">
                  <c:v>0.352907620363983</c:v>
                </c:pt>
                <c:pt idx="2500">
                  <c:v>0.386116263123537</c:v>
                </c:pt>
                <c:pt idx="2501">
                  <c:v>0.360122806269966</c:v>
                </c:pt>
                <c:pt idx="2502">
                  <c:v>0.358027939581626</c:v>
                </c:pt>
                <c:pt idx="2503">
                  <c:v>0.363977991634784</c:v>
                </c:pt>
                <c:pt idx="2504">
                  <c:v>0.342639961879939</c:v>
                </c:pt>
                <c:pt idx="2505">
                  <c:v>0.363781997341428</c:v>
                </c:pt>
                <c:pt idx="2506">
                  <c:v>0.350759935292172</c:v>
                </c:pt>
                <c:pt idx="2507">
                  <c:v>0.363253615974273</c:v>
                </c:pt>
                <c:pt idx="2508">
                  <c:v>0.36879067496197</c:v>
                </c:pt>
                <c:pt idx="2509">
                  <c:v>0.377000023800737</c:v>
                </c:pt>
                <c:pt idx="2510">
                  <c:v>0.358047206032428</c:v>
                </c:pt>
                <c:pt idx="2511">
                  <c:v>0.370695766905942</c:v>
                </c:pt>
                <c:pt idx="2512">
                  <c:v>0.362333829098295</c:v>
                </c:pt>
                <c:pt idx="2513">
                  <c:v>0.370943379297121</c:v>
                </c:pt>
                <c:pt idx="2514">
                  <c:v>0.386431676013286</c:v>
                </c:pt>
                <c:pt idx="2515">
                  <c:v>0.3916043885149</c:v>
                </c:pt>
                <c:pt idx="2516">
                  <c:v>0.362302801902508</c:v>
                </c:pt>
                <c:pt idx="2517">
                  <c:v>0.372938638828535</c:v>
                </c:pt>
                <c:pt idx="2518">
                  <c:v>0.372772760391312</c:v>
                </c:pt>
                <c:pt idx="2519">
                  <c:v>0.360848397712881</c:v>
                </c:pt>
                <c:pt idx="2520">
                  <c:v>0.37966551095258</c:v>
                </c:pt>
                <c:pt idx="2521">
                  <c:v>0.358437567031665</c:v>
                </c:pt>
                <c:pt idx="2522">
                  <c:v>0.34564917112412</c:v>
                </c:pt>
                <c:pt idx="2523">
                  <c:v>0.363000772565508</c:v>
                </c:pt>
                <c:pt idx="2524">
                  <c:v>0.403795406747153</c:v>
                </c:pt>
                <c:pt idx="2525">
                  <c:v>0.365856221760404</c:v>
                </c:pt>
                <c:pt idx="2526">
                  <c:v>0.366104492727005</c:v>
                </c:pt>
                <c:pt idx="2527">
                  <c:v>0.350203098728371</c:v>
                </c:pt>
                <c:pt idx="2528">
                  <c:v>0.373283270782442</c:v>
                </c:pt>
                <c:pt idx="2529">
                  <c:v>0.3775747814374</c:v>
                </c:pt>
                <c:pt idx="2530">
                  <c:v>0.372615972241142</c:v>
                </c:pt>
                <c:pt idx="2531">
                  <c:v>0.346226283677696</c:v>
                </c:pt>
                <c:pt idx="2532">
                  <c:v>0.334470291270679</c:v>
                </c:pt>
                <c:pt idx="2533">
                  <c:v>0.386298728236126</c:v>
                </c:pt>
                <c:pt idx="2534">
                  <c:v>0.380418010029911</c:v>
                </c:pt>
                <c:pt idx="2535">
                  <c:v>0.352156686898934</c:v>
                </c:pt>
                <c:pt idx="2536">
                  <c:v>0.360568984583682</c:v>
                </c:pt>
                <c:pt idx="2537">
                  <c:v>0.384186248096553</c:v>
                </c:pt>
                <c:pt idx="2538">
                  <c:v>0.373207975216159</c:v>
                </c:pt>
                <c:pt idx="2539">
                  <c:v>0.376822971703512</c:v>
                </c:pt>
                <c:pt idx="2540">
                  <c:v>0.374299968133609</c:v>
                </c:pt>
                <c:pt idx="2541">
                  <c:v>0.362739356845695</c:v>
                </c:pt>
                <c:pt idx="2542">
                  <c:v>0.356704386968767</c:v>
                </c:pt>
                <c:pt idx="2543">
                  <c:v>0.362714424194282</c:v>
                </c:pt>
                <c:pt idx="2544">
                  <c:v>0.375806948605159</c:v>
                </c:pt>
                <c:pt idx="2545">
                  <c:v>0.358099495465503</c:v>
                </c:pt>
                <c:pt idx="2546">
                  <c:v>0.33567247878166</c:v>
                </c:pt>
                <c:pt idx="2547">
                  <c:v>0.373873449027015</c:v>
                </c:pt>
                <c:pt idx="2548">
                  <c:v>0.375091360595607</c:v>
                </c:pt>
                <c:pt idx="2549">
                  <c:v>0.358345864179789</c:v>
                </c:pt>
                <c:pt idx="2550">
                  <c:v>0.378552392985184</c:v>
                </c:pt>
                <c:pt idx="2551">
                  <c:v>0.366198956987158</c:v>
                </c:pt>
                <c:pt idx="2552">
                  <c:v>0.370099781000104</c:v>
                </c:pt>
                <c:pt idx="2553">
                  <c:v>0.345018132890022</c:v>
                </c:pt>
                <c:pt idx="2554">
                  <c:v>0.368057408836868</c:v>
                </c:pt>
                <c:pt idx="2555">
                  <c:v>0.367569841477296</c:v>
                </c:pt>
                <c:pt idx="2556">
                  <c:v>0.355712822843426</c:v>
                </c:pt>
                <c:pt idx="2557">
                  <c:v>0.374862493436694</c:v>
                </c:pt>
                <c:pt idx="2558">
                  <c:v>0.363307243426544</c:v>
                </c:pt>
                <c:pt idx="2559">
                  <c:v>0.359011258556857</c:v>
                </c:pt>
                <c:pt idx="2560">
                  <c:v>0.362982506380249</c:v>
                </c:pt>
                <c:pt idx="2561">
                  <c:v>0.344736056837094</c:v>
                </c:pt>
                <c:pt idx="2562">
                  <c:v>0.36343565598689</c:v>
                </c:pt>
                <c:pt idx="2563">
                  <c:v>0.34524452059434</c:v>
                </c:pt>
                <c:pt idx="2564">
                  <c:v>0.361137437878117</c:v>
                </c:pt>
                <c:pt idx="2565">
                  <c:v>0.359195197057533</c:v>
                </c:pt>
                <c:pt idx="2566">
                  <c:v>0.349357234585235</c:v>
                </c:pt>
                <c:pt idx="2567">
                  <c:v>0.372076222222336</c:v>
                </c:pt>
                <c:pt idx="2568">
                  <c:v>0.335212606368215</c:v>
                </c:pt>
                <c:pt idx="2569">
                  <c:v>0.360098221337719</c:v>
                </c:pt>
                <c:pt idx="2570">
                  <c:v>0.379340256493624</c:v>
                </c:pt>
                <c:pt idx="2571">
                  <c:v>0.341457476675788</c:v>
                </c:pt>
                <c:pt idx="2572">
                  <c:v>0.382780684466526</c:v>
                </c:pt>
                <c:pt idx="2573">
                  <c:v>0.358998441093783</c:v>
                </c:pt>
                <c:pt idx="2574">
                  <c:v>0.367440481461902</c:v>
                </c:pt>
                <c:pt idx="2575">
                  <c:v>0.347131355407721</c:v>
                </c:pt>
                <c:pt idx="2576">
                  <c:v>0.364800963833213</c:v>
                </c:pt>
                <c:pt idx="2577">
                  <c:v>0.333067140185957</c:v>
                </c:pt>
                <c:pt idx="2578">
                  <c:v>0.363360489553495</c:v>
                </c:pt>
                <c:pt idx="2579">
                  <c:v>0.394388355726377</c:v>
                </c:pt>
                <c:pt idx="2580">
                  <c:v>0.349260423454553</c:v>
                </c:pt>
                <c:pt idx="2581">
                  <c:v>0.363912927070805</c:v>
                </c:pt>
                <c:pt idx="2582">
                  <c:v>0.384724126383459</c:v>
                </c:pt>
                <c:pt idx="2583">
                  <c:v>0.349943833497288</c:v>
                </c:pt>
                <c:pt idx="2584">
                  <c:v>0.378535325672851</c:v>
                </c:pt>
                <c:pt idx="2585">
                  <c:v>0.351602500473505</c:v>
                </c:pt>
                <c:pt idx="2586">
                  <c:v>0.353179808021564</c:v>
                </c:pt>
                <c:pt idx="2587">
                  <c:v>0.358881006173606</c:v>
                </c:pt>
                <c:pt idx="2588">
                  <c:v>0.374454053122935</c:v>
                </c:pt>
                <c:pt idx="2589">
                  <c:v>0.344897487535989</c:v>
                </c:pt>
                <c:pt idx="2590">
                  <c:v>0.379689083958204</c:v>
                </c:pt>
                <c:pt idx="2591">
                  <c:v>0.383544764940191</c:v>
                </c:pt>
                <c:pt idx="2592">
                  <c:v>0.367003839960114</c:v>
                </c:pt>
                <c:pt idx="2593">
                  <c:v>0.3817279795713</c:v>
                </c:pt>
                <c:pt idx="2594">
                  <c:v>0.342709607328909</c:v>
                </c:pt>
                <c:pt idx="2595">
                  <c:v>0.35317357474667</c:v>
                </c:pt>
                <c:pt idx="2596">
                  <c:v>0.3723467552272</c:v>
                </c:pt>
                <c:pt idx="2597">
                  <c:v>0.361629297320121</c:v>
                </c:pt>
                <c:pt idx="2598">
                  <c:v>0.340990160357462</c:v>
                </c:pt>
                <c:pt idx="2599">
                  <c:v>0.365817033635818</c:v>
                </c:pt>
                <c:pt idx="2600">
                  <c:v>0.338947467689363</c:v>
                </c:pt>
                <c:pt idx="2601">
                  <c:v>0.363337602756989</c:v>
                </c:pt>
                <c:pt idx="2602">
                  <c:v>0.379468877777672</c:v>
                </c:pt>
                <c:pt idx="2603">
                  <c:v>0.394012294275326</c:v>
                </c:pt>
                <c:pt idx="2604">
                  <c:v>0.380657331684667</c:v>
                </c:pt>
                <c:pt idx="2605">
                  <c:v>0.349846625535489</c:v>
                </c:pt>
                <c:pt idx="2606">
                  <c:v>0.368983982813795</c:v>
                </c:pt>
                <c:pt idx="2607">
                  <c:v>0.358874062722163</c:v>
                </c:pt>
                <c:pt idx="2608">
                  <c:v>0.366811099026677</c:v>
                </c:pt>
                <c:pt idx="2609">
                  <c:v>0.386372352092338</c:v>
                </c:pt>
                <c:pt idx="2610">
                  <c:v>0.378558446589667</c:v>
                </c:pt>
                <c:pt idx="2611">
                  <c:v>0.354164302889033</c:v>
                </c:pt>
                <c:pt idx="2612">
                  <c:v>0.373885464186895</c:v>
                </c:pt>
                <c:pt idx="2613">
                  <c:v>0.367449022421412</c:v>
                </c:pt>
                <c:pt idx="2614">
                  <c:v>0.359519306453946</c:v>
                </c:pt>
                <c:pt idx="2615">
                  <c:v>0.374136665460113</c:v>
                </c:pt>
                <c:pt idx="2616">
                  <c:v>0.339079670189153</c:v>
                </c:pt>
                <c:pt idx="2617">
                  <c:v>0.377400293163608</c:v>
                </c:pt>
                <c:pt idx="2618">
                  <c:v>0.366210722869128</c:v>
                </c:pt>
                <c:pt idx="2619">
                  <c:v>0.360776705127388</c:v>
                </c:pt>
                <c:pt idx="2620">
                  <c:v>0.398919950407172</c:v>
                </c:pt>
                <c:pt idx="2621">
                  <c:v>0.351981223040516</c:v>
                </c:pt>
                <c:pt idx="2622">
                  <c:v>0.367661934678201</c:v>
                </c:pt>
                <c:pt idx="2623">
                  <c:v>0.410373881060155</c:v>
                </c:pt>
                <c:pt idx="2624">
                  <c:v>0.371925195178233</c:v>
                </c:pt>
                <c:pt idx="2625">
                  <c:v>0.373489751223588</c:v>
                </c:pt>
                <c:pt idx="2626">
                  <c:v>0.357938820912153</c:v>
                </c:pt>
                <c:pt idx="2627">
                  <c:v>0.360253925403771</c:v>
                </c:pt>
                <c:pt idx="2628">
                  <c:v>0.393008878783596</c:v>
                </c:pt>
                <c:pt idx="2629">
                  <c:v>0.36294976421175</c:v>
                </c:pt>
                <c:pt idx="2630">
                  <c:v>0.361202908768301</c:v>
                </c:pt>
                <c:pt idx="2631">
                  <c:v>0.359192890460554</c:v>
                </c:pt>
                <c:pt idx="2632">
                  <c:v>0.371003120531463</c:v>
                </c:pt>
                <c:pt idx="2633">
                  <c:v>0.372586747175813</c:v>
                </c:pt>
                <c:pt idx="2634">
                  <c:v>0.396786468612664</c:v>
                </c:pt>
                <c:pt idx="2635">
                  <c:v>0.348951297304277</c:v>
                </c:pt>
                <c:pt idx="2636">
                  <c:v>0.358768036345231</c:v>
                </c:pt>
                <c:pt idx="2637">
                  <c:v>0.38605971673513</c:v>
                </c:pt>
                <c:pt idx="2638">
                  <c:v>0.351437681423989</c:v>
                </c:pt>
                <c:pt idx="2639">
                  <c:v>0.349074327142781</c:v>
                </c:pt>
                <c:pt idx="2640">
                  <c:v>0.379918400515102</c:v>
                </c:pt>
                <c:pt idx="2641">
                  <c:v>0.393122439208993</c:v>
                </c:pt>
                <c:pt idx="2642">
                  <c:v>0.367885093154473</c:v>
                </c:pt>
                <c:pt idx="2643">
                  <c:v>0.371299214995375</c:v>
                </c:pt>
                <c:pt idx="2644">
                  <c:v>0.366650248236691</c:v>
                </c:pt>
                <c:pt idx="2645">
                  <c:v>0.367324645177327</c:v>
                </c:pt>
                <c:pt idx="2646">
                  <c:v>0.370945057460994</c:v>
                </c:pt>
                <c:pt idx="2647">
                  <c:v>0.384228196135041</c:v>
                </c:pt>
                <c:pt idx="2648">
                  <c:v>0.34852779579675</c:v>
                </c:pt>
                <c:pt idx="2649">
                  <c:v>0.380163824059694</c:v>
                </c:pt>
                <c:pt idx="2650">
                  <c:v>0.348449110216087</c:v>
                </c:pt>
                <c:pt idx="2651">
                  <c:v>0.381348249643832</c:v>
                </c:pt>
                <c:pt idx="2652">
                  <c:v>0.38295055224723</c:v>
                </c:pt>
                <c:pt idx="2653">
                  <c:v>0.390470493877454</c:v>
                </c:pt>
                <c:pt idx="2654">
                  <c:v>0.365228531048012</c:v>
                </c:pt>
                <c:pt idx="2655">
                  <c:v>0.400517326022345</c:v>
                </c:pt>
                <c:pt idx="2656">
                  <c:v>0.367104114412906</c:v>
                </c:pt>
                <c:pt idx="2657">
                  <c:v>0.347285871522058</c:v>
                </c:pt>
                <c:pt idx="2658">
                  <c:v>0.346073781628411</c:v>
                </c:pt>
                <c:pt idx="2659">
                  <c:v>0.366739549824168</c:v>
                </c:pt>
                <c:pt idx="2660">
                  <c:v>0.350264973053765</c:v>
                </c:pt>
                <c:pt idx="2661">
                  <c:v>0.359036614496105</c:v>
                </c:pt>
                <c:pt idx="2662">
                  <c:v>0.358570899717831</c:v>
                </c:pt>
                <c:pt idx="2663">
                  <c:v>0.374706359725639</c:v>
                </c:pt>
                <c:pt idx="2664">
                  <c:v>0.377591301103093</c:v>
                </c:pt>
                <c:pt idx="2665">
                  <c:v>0.355950606261017</c:v>
                </c:pt>
                <c:pt idx="2666">
                  <c:v>0.3484929576681</c:v>
                </c:pt>
                <c:pt idx="2667">
                  <c:v>0.344798728906737</c:v>
                </c:pt>
                <c:pt idx="2668">
                  <c:v>0.356523399976168</c:v>
                </c:pt>
                <c:pt idx="2669">
                  <c:v>0.395661138267541</c:v>
                </c:pt>
                <c:pt idx="2670">
                  <c:v>0.360760963135327</c:v>
                </c:pt>
                <c:pt idx="2671">
                  <c:v>0.367057286448875</c:v>
                </c:pt>
                <c:pt idx="2672">
                  <c:v>0.371322908154359</c:v>
                </c:pt>
                <c:pt idx="2673">
                  <c:v>0.358916452096261</c:v>
                </c:pt>
                <c:pt idx="2674">
                  <c:v>0.368464375160632</c:v>
                </c:pt>
                <c:pt idx="2675">
                  <c:v>0.384747073968597</c:v>
                </c:pt>
                <c:pt idx="2676">
                  <c:v>0.378238174897618</c:v>
                </c:pt>
                <c:pt idx="2677">
                  <c:v>0.367635799350268</c:v>
                </c:pt>
                <c:pt idx="2678">
                  <c:v>0.354947979803214</c:v>
                </c:pt>
                <c:pt idx="2679">
                  <c:v>0.353312601441711</c:v>
                </c:pt>
                <c:pt idx="2680">
                  <c:v>0.367582558648309</c:v>
                </c:pt>
                <c:pt idx="2681">
                  <c:v>0.374920138446267</c:v>
                </c:pt>
                <c:pt idx="2682">
                  <c:v>0.342684430329166</c:v>
                </c:pt>
                <c:pt idx="2683">
                  <c:v>0.36210204334083</c:v>
                </c:pt>
                <c:pt idx="2684">
                  <c:v>0.363729306301542</c:v>
                </c:pt>
                <c:pt idx="2685">
                  <c:v>0.369788919985158</c:v>
                </c:pt>
                <c:pt idx="2686">
                  <c:v>0.365094519516925</c:v>
                </c:pt>
                <c:pt idx="2687">
                  <c:v>0.392763002913117</c:v>
                </c:pt>
                <c:pt idx="2688">
                  <c:v>0.347991807414562</c:v>
                </c:pt>
                <c:pt idx="2689">
                  <c:v>0.363952263095692</c:v>
                </c:pt>
                <c:pt idx="2690">
                  <c:v>0.358798812098596</c:v>
                </c:pt>
                <c:pt idx="2691">
                  <c:v>0.379689106408004</c:v>
                </c:pt>
                <c:pt idx="2692">
                  <c:v>0.371489493051652</c:v>
                </c:pt>
                <c:pt idx="2693">
                  <c:v>0.371502874850533</c:v>
                </c:pt>
                <c:pt idx="2694">
                  <c:v>0.343749805412715</c:v>
                </c:pt>
                <c:pt idx="2695">
                  <c:v>0.371253409196726</c:v>
                </c:pt>
                <c:pt idx="2696">
                  <c:v>0.371542568487677</c:v>
                </c:pt>
                <c:pt idx="2697">
                  <c:v>0.359872198361346</c:v>
                </c:pt>
                <c:pt idx="2698">
                  <c:v>0.389233380484756</c:v>
                </c:pt>
                <c:pt idx="2699">
                  <c:v>0.364075600803963</c:v>
                </c:pt>
                <c:pt idx="2700">
                  <c:v>0.377520507587918</c:v>
                </c:pt>
                <c:pt idx="2701">
                  <c:v>0.376740728945486</c:v>
                </c:pt>
                <c:pt idx="2702">
                  <c:v>0.362057969428632</c:v>
                </c:pt>
                <c:pt idx="2703">
                  <c:v>0.369390412302734</c:v>
                </c:pt>
                <c:pt idx="2704">
                  <c:v>0.369641417987198</c:v>
                </c:pt>
                <c:pt idx="2705">
                  <c:v>0.384709916883396</c:v>
                </c:pt>
                <c:pt idx="2706">
                  <c:v>0.379165455471596</c:v>
                </c:pt>
                <c:pt idx="2707">
                  <c:v>0.348441307829232</c:v>
                </c:pt>
                <c:pt idx="2708">
                  <c:v>0.347990543075231</c:v>
                </c:pt>
                <c:pt idx="2709">
                  <c:v>0.377846739799466</c:v>
                </c:pt>
                <c:pt idx="2710">
                  <c:v>0.359980154224266</c:v>
                </c:pt>
                <c:pt idx="2711">
                  <c:v>0.3899704930758</c:v>
                </c:pt>
                <c:pt idx="2712">
                  <c:v>0.377860033930519</c:v>
                </c:pt>
                <c:pt idx="2713">
                  <c:v>0.345258080867997</c:v>
                </c:pt>
                <c:pt idx="2714">
                  <c:v>0.354094606544271</c:v>
                </c:pt>
                <c:pt idx="2715">
                  <c:v>0.350130629913062</c:v>
                </c:pt>
                <c:pt idx="2716">
                  <c:v>0.356288093965088</c:v>
                </c:pt>
                <c:pt idx="2717">
                  <c:v>0.345751708430117</c:v>
                </c:pt>
                <c:pt idx="2718">
                  <c:v>0.351031906185337</c:v>
                </c:pt>
                <c:pt idx="2719">
                  <c:v>0.35746972749463</c:v>
                </c:pt>
                <c:pt idx="2720">
                  <c:v>0.353628804098769</c:v>
                </c:pt>
                <c:pt idx="2721">
                  <c:v>0.366019339306169</c:v>
                </c:pt>
                <c:pt idx="2722">
                  <c:v>0.379836390402619</c:v>
                </c:pt>
                <c:pt idx="2723">
                  <c:v>0.370172560274791</c:v>
                </c:pt>
                <c:pt idx="2724">
                  <c:v>0.356186644702582</c:v>
                </c:pt>
                <c:pt idx="2725">
                  <c:v>0.351252013997415</c:v>
                </c:pt>
                <c:pt idx="2726">
                  <c:v>0.393596785433959</c:v>
                </c:pt>
                <c:pt idx="2727">
                  <c:v>0.337194400447321</c:v>
                </c:pt>
                <c:pt idx="2728">
                  <c:v>0.359345407959032</c:v>
                </c:pt>
                <c:pt idx="2729">
                  <c:v>0.367394464360217</c:v>
                </c:pt>
                <c:pt idx="2730">
                  <c:v>0.364896812911144</c:v>
                </c:pt>
                <c:pt idx="2731">
                  <c:v>0.37090598706231</c:v>
                </c:pt>
                <c:pt idx="2732">
                  <c:v>0.356966937141534</c:v>
                </c:pt>
                <c:pt idx="2733">
                  <c:v>0.356141366565298</c:v>
                </c:pt>
                <c:pt idx="2734">
                  <c:v>0.358199847002442</c:v>
                </c:pt>
                <c:pt idx="2735">
                  <c:v>0.369408083649837</c:v>
                </c:pt>
                <c:pt idx="2736">
                  <c:v>0.363191350104604</c:v>
                </c:pt>
                <c:pt idx="2737">
                  <c:v>0.345639867387217</c:v>
                </c:pt>
                <c:pt idx="2738">
                  <c:v>0.365888738034859</c:v>
                </c:pt>
                <c:pt idx="2739">
                  <c:v>0.354066874405603</c:v>
                </c:pt>
                <c:pt idx="2740">
                  <c:v>0.363706486611994</c:v>
                </c:pt>
                <c:pt idx="2741">
                  <c:v>0.359224195497543</c:v>
                </c:pt>
                <c:pt idx="2742">
                  <c:v>0.348097846403223</c:v>
                </c:pt>
                <c:pt idx="2743">
                  <c:v>0.355822580594219</c:v>
                </c:pt>
                <c:pt idx="2744">
                  <c:v>0.377571144297652</c:v>
                </c:pt>
                <c:pt idx="2745">
                  <c:v>0.365574233054636</c:v>
                </c:pt>
                <c:pt idx="2746">
                  <c:v>0.349245520441685</c:v>
                </c:pt>
                <c:pt idx="2747">
                  <c:v>0.347549581556764</c:v>
                </c:pt>
                <c:pt idx="2748">
                  <c:v>0.383202860810518</c:v>
                </c:pt>
                <c:pt idx="2749">
                  <c:v>0.369753550030554</c:v>
                </c:pt>
                <c:pt idx="2750">
                  <c:v>0.385797402010302</c:v>
                </c:pt>
                <c:pt idx="2751">
                  <c:v>0.356506964426771</c:v>
                </c:pt>
                <c:pt idx="2752">
                  <c:v>0.377888139547989</c:v>
                </c:pt>
                <c:pt idx="2753">
                  <c:v>0.356358075076696</c:v>
                </c:pt>
                <c:pt idx="2754">
                  <c:v>0.343173466072432</c:v>
                </c:pt>
                <c:pt idx="2755">
                  <c:v>0.383257943449564</c:v>
                </c:pt>
                <c:pt idx="2756">
                  <c:v>0.375032247744099</c:v>
                </c:pt>
                <c:pt idx="2757">
                  <c:v>0.340525917537839</c:v>
                </c:pt>
                <c:pt idx="2758">
                  <c:v>0.372646209349727</c:v>
                </c:pt>
                <c:pt idx="2759">
                  <c:v>0.38266633121911</c:v>
                </c:pt>
                <c:pt idx="2760">
                  <c:v>0.37116060446465</c:v>
                </c:pt>
                <c:pt idx="2761">
                  <c:v>0.362410188714102</c:v>
                </c:pt>
                <c:pt idx="2762">
                  <c:v>0.354570188523001</c:v>
                </c:pt>
                <c:pt idx="2763">
                  <c:v>0.37335650605807</c:v>
                </c:pt>
                <c:pt idx="2764">
                  <c:v>0.346428104239698</c:v>
                </c:pt>
                <c:pt idx="2765">
                  <c:v>0.364932071494168</c:v>
                </c:pt>
                <c:pt idx="2766">
                  <c:v>0.372249005346571</c:v>
                </c:pt>
                <c:pt idx="2767">
                  <c:v>0.385955035649395</c:v>
                </c:pt>
                <c:pt idx="2768">
                  <c:v>0.372307517113976</c:v>
                </c:pt>
                <c:pt idx="2769">
                  <c:v>0.364433407063276</c:v>
                </c:pt>
                <c:pt idx="2770">
                  <c:v>0.375502391938469</c:v>
                </c:pt>
                <c:pt idx="2771">
                  <c:v>0.367668519615073</c:v>
                </c:pt>
                <c:pt idx="2772">
                  <c:v>0.364298586062936</c:v>
                </c:pt>
                <c:pt idx="2773">
                  <c:v>0.347661292771474</c:v>
                </c:pt>
                <c:pt idx="2774">
                  <c:v>0.389609173988125</c:v>
                </c:pt>
                <c:pt idx="2775">
                  <c:v>0.346962234524894</c:v>
                </c:pt>
                <c:pt idx="2776">
                  <c:v>0.359477086280815</c:v>
                </c:pt>
                <c:pt idx="2777">
                  <c:v>0.374981572076496</c:v>
                </c:pt>
                <c:pt idx="2778">
                  <c:v>0.356786275082959</c:v>
                </c:pt>
                <c:pt idx="2779">
                  <c:v>0.359350070240561</c:v>
                </c:pt>
                <c:pt idx="2780">
                  <c:v>0.373803161486525</c:v>
                </c:pt>
                <c:pt idx="2781">
                  <c:v>0.372445904755893</c:v>
                </c:pt>
                <c:pt idx="2782">
                  <c:v>0.348089201689317</c:v>
                </c:pt>
                <c:pt idx="2783">
                  <c:v>0.38689164006638</c:v>
                </c:pt>
                <c:pt idx="2784">
                  <c:v>0.372823448094285</c:v>
                </c:pt>
                <c:pt idx="2785">
                  <c:v>0.35788509068457</c:v>
                </c:pt>
                <c:pt idx="2786">
                  <c:v>0.34349363758102</c:v>
                </c:pt>
                <c:pt idx="2787">
                  <c:v>0.357616035651423</c:v>
                </c:pt>
                <c:pt idx="2788">
                  <c:v>0.374771304234528</c:v>
                </c:pt>
                <c:pt idx="2789">
                  <c:v>0.377820677289434</c:v>
                </c:pt>
                <c:pt idx="2790">
                  <c:v>0.370825756667589</c:v>
                </c:pt>
                <c:pt idx="2791">
                  <c:v>0.369746990356207</c:v>
                </c:pt>
                <c:pt idx="2792">
                  <c:v>0.353588513235817</c:v>
                </c:pt>
                <c:pt idx="2793">
                  <c:v>0.378955223538244</c:v>
                </c:pt>
                <c:pt idx="2794">
                  <c:v>0.380134183548115</c:v>
                </c:pt>
                <c:pt idx="2795">
                  <c:v>0.382558249061182</c:v>
                </c:pt>
                <c:pt idx="2796">
                  <c:v>0.347561478802173</c:v>
                </c:pt>
                <c:pt idx="2797">
                  <c:v>0.376579166625358</c:v>
                </c:pt>
                <c:pt idx="2798">
                  <c:v>0.368132014566646</c:v>
                </c:pt>
                <c:pt idx="2799">
                  <c:v>0.366640031369095</c:v>
                </c:pt>
                <c:pt idx="2800">
                  <c:v>0.375111274576423</c:v>
                </c:pt>
                <c:pt idx="2801">
                  <c:v>0.373436030988422</c:v>
                </c:pt>
                <c:pt idx="2802">
                  <c:v>0.356272478695775</c:v>
                </c:pt>
                <c:pt idx="2803">
                  <c:v>0.355800634184078</c:v>
                </c:pt>
                <c:pt idx="2804">
                  <c:v>0.380348102406809</c:v>
                </c:pt>
                <c:pt idx="2805">
                  <c:v>0.377200093449561</c:v>
                </c:pt>
                <c:pt idx="2806">
                  <c:v>0.351663774335558</c:v>
                </c:pt>
                <c:pt idx="2807">
                  <c:v>0.382444307906633</c:v>
                </c:pt>
                <c:pt idx="2808">
                  <c:v>0.382669373466924</c:v>
                </c:pt>
                <c:pt idx="2809">
                  <c:v>0.366425128487708</c:v>
                </c:pt>
                <c:pt idx="2810">
                  <c:v>0.39415250173694</c:v>
                </c:pt>
                <c:pt idx="2811">
                  <c:v>0.379915356404365</c:v>
                </c:pt>
                <c:pt idx="2812">
                  <c:v>0.341753574195635</c:v>
                </c:pt>
                <c:pt idx="2813">
                  <c:v>0.367524479011229</c:v>
                </c:pt>
                <c:pt idx="2814">
                  <c:v>0.371680570305424</c:v>
                </c:pt>
                <c:pt idx="2815">
                  <c:v>0.360665715415435</c:v>
                </c:pt>
                <c:pt idx="2816">
                  <c:v>0.373376557127805</c:v>
                </c:pt>
                <c:pt idx="2817">
                  <c:v>0.378702065026584</c:v>
                </c:pt>
                <c:pt idx="2818">
                  <c:v>0.350945606762849</c:v>
                </c:pt>
                <c:pt idx="2819">
                  <c:v>0.384021925808031</c:v>
                </c:pt>
                <c:pt idx="2820">
                  <c:v>0.377296015042729</c:v>
                </c:pt>
                <c:pt idx="2821">
                  <c:v>0.38100776715014</c:v>
                </c:pt>
                <c:pt idx="2822">
                  <c:v>0.373895721788542</c:v>
                </c:pt>
                <c:pt idx="2823">
                  <c:v>0.365939257974574</c:v>
                </c:pt>
                <c:pt idx="2824">
                  <c:v>0.34691713613814</c:v>
                </c:pt>
                <c:pt idx="2825">
                  <c:v>0.347440733085604</c:v>
                </c:pt>
                <c:pt idx="2826">
                  <c:v>0.390544390000871</c:v>
                </c:pt>
                <c:pt idx="2827">
                  <c:v>0.369615845590925</c:v>
                </c:pt>
                <c:pt idx="2828">
                  <c:v>0.382809957581759</c:v>
                </c:pt>
                <c:pt idx="2829">
                  <c:v>0.365470621046913</c:v>
                </c:pt>
                <c:pt idx="2830">
                  <c:v>0.352839436936037</c:v>
                </c:pt>
                <c:pt idx="2831">
                  <c:v>0.348742443157273</c:v>
                </c:pt>
                <c:pt idx="2832">
                  <c:v>0.37234249050903</c:v>
                </c:pt>
                <c:pt idx="2833">
                  <c:v>0.371623183865844</c:v>
                </c:pt>
                <c:pt idx="2834">
                  <c:v>0.393257104769808</c:v>
                </c:pt>
                <c:pt idx="2835">
                  <c:v>0.34414018787425</c:v>
                </c:pt>
                <c:pt idx="2836">
                  <c:v>0.364725767481557</c:v>
                </c:pt>
                <c:pt idx="2837">
                  <c:v>0.367217934309202</c:v>
                </c:pt>
                <c:pt idx="2838">
                  <c:v>0.348727125920871</c:v>
                </c:pt>
                <c:pt idx="2839">
                  <c:v>0.35782191268468</c:v>
                </c:pt>
                <c:pt idx="2840">
                  <c:v>0.375928885247267</c:v>
                </c:pt>
                <c:pt idx="2841">
                  <c:v>0.387205480297678</c:v>
                </c:pt>
                <c:pt idx="2842">
                  <c:v>0.370236528874821</c:v>
                </c:pt>
                <c:pt idx="2843">
                  <c:v>0.389654461940701</c:v>
                </c:pt>
                <c:pt idx="2844">
                  <c:v>0.372591996443365</c:v>
                </c:pt>
                <c:pt idx="2845">
                  <c:v>0.344140886517093</c:v>
                </c:pt>
                <c:pt idx="2846">
                  <c:v>0.37424895856755</c:v>
                </c:pt>
                <c:pt idx="2847">
                  <c:v>0.369629320747441</c:v>
                </c:pt>
                <c:pt idx="2848">
                  <c:v>0.360805150078005</c:v>
                </c:pt>
                <c:pt idx="2849">
                  <c:v>0.379450776052324</c:v>
                </c:pt>
                <c:pt idx="2850">
                  <c:v>0.348843253157904</c:v>
                </c:pt>
                <c:pt idx="2851">
                  <c:v>0.35955400577929</c:v>
                </c:pt>
                <c:pt idx="2852">
                  <c:v>0.365467722853718</c:v>
                </c:pt>
                <c:pt idx="2853">
                  <c:v>0.348607855402569</c:v>
                </c:pt>
                <c:pt idx="2854">
                  <c:v>0.374948437477572</c:v>
                </c:pt>
                <c:pt idx="2855">
                  <c:v>0.368370971431604</c:v>
                </c:pt>
                <c:pt idx="2856">
                  <c:v>0.360918256123352</c:v>
                </c:pt>
                <c:pt idx="2857">
                  <c:v>0.366131568261483</c:v>
                </c:pt>
                <c:pt idx="2858">
                  <c:v>0.347366654623572</c:v>
                </c:pt>
                <c:pt idx="2859">
                  <c:v>0.387795449225997</c:v>
                </c:pt>
                <c:pt idx="2860">
                  <c:v>0.36678311870998</c:v>
                </c:pt>
                <c:pt idx="2861">
                  <c:v>0.368343622565393</c:v>
                </c:pt>
                <c:pt idx="2862">
                  <c:v>0.370320984436281</c:v>
                </c:pt>
                <c:pt idx="2863">
                  <c:v>0.388227205375602</c:v>
                </c:pt>
                <c:pt idx="2864">
                  <c:v>0.371986549683319</c:v>
                </c:pt>
                <c:pt idx="2865">
                  <c:v>0.371189105393318</c:v>
                </c:pt>
                <c:pt idx="2866">
                  <c:v>0.372901095601148</c:v>
                </c:pt>
                <c:pt idx="2867">
                  <c:v>0.382661146227232</c:v>
                </c:pt>
                <c:pt idx="2868">
                  <c:v>0.359405667701317</c:v>
                </c:pt>
                <c:pt idx="2869">
                  <c:v>0.363636185860137</c:v>
                </c:pt>
                <c:pt idx="2870">
                  <c:v>0.367262861832235</c:v>
                </c:pt>
                <c:pt idx="2871">
                  <c:v>0.3465600679118</c:v>
                </c:pt>
                <c:pt idx="2872">
                  <c:v>0.361346645223472</c:v>
                </c:pt>
                <c:pt idx="2873">
                  <c:v>0.39563214503243</c:v>
                </c:pt>
                <c:pt idx="2874">
                  <c:v>0.391670706405081</c:v>
                </c:pt>
                <c:pt idx="2875">
                  <c:v>0.351988552464341</c:v>
                </c:pt>
                <c:pt idx="2876">
                  <c:v>0.36920763038651</c:v>
                </c:pt>
                <c:pt idx="2877">
                  <c:v>0.342536283899039</c:v>
                </c:pt>
                <c:pt idx="2878">
                  <c:v>0.369376696606662</c:v>
                </c:pt>
                <c:pt idx="2879">
                  <c:v>0.367417720403134</c:v>
                </c:pt>
                <c:pt idx="2880">
                  <c:v>0.367519756210107</c:v>
                </c:pt>
                <c:pt idx="2881">
                  <c:v>0.37125264571082</c:v>
                </c:pt>
                <c:pt idx="2882">
                  <c:v>0.344825378204819</c:v>
                </c:pt>
                <c:pt idx="2883">
                  <c:v>0.356423961863966</c:v>
                </c:pt>
                <c:pt idx="2884">
                  <c:v>0.376221251019858</c:v>
                </c:pt>
                <c:pt idx="2885">
                  <c:v>0.377747374180189</c:v>
                </c:pt>
                <c:pt idx="2886">
                  <c:v>0.382811104593369</c:v>
                </c:pt>
                <c:pt idx="2887">
                  <c:v>0.344130263019041</c:v>
                </c:pt>
                <c:pt idx="2888">
                  <c:v>0.363438966764384</c:v>
                </c:pt>
                <c:pt idx="2889">
                  <c:v>0.35016093437096</c:v>
                </c:pt>
                <c:pt idx="2890">
                  <c:v>0.352750609523952</c:v>
                </c:pt>
                <c:pt idx="2891">
                  <c:v>0.347281417492499</c:v>
                </c:pt>
                <c:pt idx="2892">
                  <c:v>0.375319204094896</c:v>
                </c:pt>
                <c:pt idx="2893">
                  <c:v>0.333853532267029</c:v>
                </c:pt>
                <c:pt idx="2894">
                  <c:v>0.379345917664993</c:v>
                </c:pt>
                <c:pt idx="2895">
                  <c:v>0.372438880304114</c:v>
                </c:pt>
                <c:pt idx="2896">
                  <c:v>0.3553135139648</c:v>
                </c:pt>
                <c:pt idx="2897">
                  <c:v>0.372376313399539</c:v>
                </c:pt>
                <c:pt idx="2898">
                  <c:v>0.360461460419677</c:v>
                </c:pt>
                <c:pt idx="2899">
                  <c:v>0.363398648676386</c:v>
                </c:pt>
                <c:pt idx="2900">
                  <c:v>0.375123912240194</c:v>
                </c:pt>
                <c:pt idx="2901">
                  <c:v>0.357680927578945</c:v>
                </c:pt>
                <c:pt idx="2902">
                  <c:v>0.377079736759837</c:v>
                </c:pt>
                <c:pt idx="2903">
                  <c:v>0.377589068977256</c:v>
                </c:pt>
                <c:pt idx="2904">
                  <c:v>0.356498059980914</c:v>
                </c:pt>
                <c:pt idx="2905">
                  <c:v>0.361897765865073</c:v>
                </c:pt>
                <c:pt idx="2906">
                  <c:v>0.368233950523251</c:v>
                </c:pt>
                <c:pt idx="2907">
                  <c:v>0.357914213639447</c:v>
                </c:pt>
                <c:pt idx="2908">
                  <c:v>0.371803661614955</c:v>
                </c:pt>
                <c:pt idx="2909">
                  <c:v>0.371279733567248</c:v>
                </c:pt>
                <c:pt idx="2910">
                  <c:v>0.387059825240071</c:v>
                </c:pt>
                <c:pt idx="2911">
                  <c:v>0.353806276584666</c:v>
                </c:pt>
                <c:pt idx="2912">
                  <c:v>0.360272572606839</c:v>
                </c:pt>
                <c:pt idx="2913">
                  <c:v>0.37074178349319</c:v>
                </c:pt>
                <c:pt idx="2914">
                  <c:v>0.345369160820928</c:v>
                </c:pt>
                <c:pt idx="2915">
                  <c:v>0.364057018903265</c:v>
                </c:pt>
                <c:pt idx="2916">
                  <c:v>0.343299817755776</c:v>
                </c:pt>
                <c:pt idx="2917">
                  <c:v>0.372060558636251</c:v>
                </c:pt>
                <c:pt idx="2918">
                  <c:v>0.377442526958304</c:v>
                </c:pt>
                <c:pt idx="2919">
                  <c:v>0.355039735513969</c:v>
                </c:pt>
                <c:pt idx="2920">
                  <c:v>0.376418660469885</c:v>
                </c:pt>
                <c:pt idx="2921">
                  <c:v>0.349674330199793</c:v>
                </c:pt>
                <c:pt idx="2922">
                  <c:v>0.353696824049175</c:v>
                </c:pt>
                <c:pt idx="2923">
                  <c:v>0.36723383996369</c:v>
                </c:pt>
                <c:pt idx="2924">
                  <c:v>0.3551986775417</c:v>
                </c:pt>
                <c:pt idx="2925">
                  <c:v>0.393806300979464</c:v>
                </c:pt>
                <c:pt idx="2926">
                  <c:v>0.368881635158831</c:v>
                </c:pt>
                <c:pt idx="2927">
                  <c:v>0.356266665247326</c:v>
                </c:pt>
                <c:pt idx="2928">
                  <c:v>0.365266002525373</c:v>
                </c:pt>
                <c:pt idx="2929">
                  <c:v>0.347496631912503</c:v>
                </c:pt>
                <c:pt idx="2930">
                  <c:v>0.355977968263652</c:v>
                </c:pt>
                <c:pt idx="2931">
                  <c:v>0.365493824907118</c:v>
                </c:pt>
                <c:pt idx="2932">
                  <c:v>0.389808453587409</c:v>
                </c:pt>
                <c:pt idx="2933">
                  <c:v>0.381052201526139</c:v>
                </c:pt>
                <c:pt idx="2934">
                  <c:v>0.374147993222717</c:v>
                </c:pt>
                <c:pt idx="2935">
                  <c:v>0.357815837729431</c:v>
                </c:pt>
                <c:pt idx="2936">
                  <c:v>0.360501694189362</c:v>
                </c:pt>
                <c:pt idx="2937">
                  <c:v>0.3810231172862</c:v>
                </c:pt>
                <c:pt idx="2938">
                  <c:v>0.369123593689194</c:v>
                </c:pt>
                <c:pt idx="2939">
                  <c:v>0.375100176485192</c:v>
                </c:pt>
                <c:pt idx="2940">
                  <c:v>0.401021807818699</c:v>
                </c:pt>
                <c:pt idx="2941">
                  <c:v>0.390191761133978</c:v>
                </c:pt>
                <c:pt idx="2942">
                  <c:v>0.362419375808895</c:v>
                </c:pt>
                <c:pt idx="2943">
                  <c:v>0.364765775046736</c:v>
                </c:pt>
                <c:pt idx="2944">
                  <c:v>0.358053300025988</c:v>
                </c:pt>
                <c:pt idx="2945">
                  <c:v>0.367851422763579</c:v>
                </c:pt>
                <c:pt idx="2946">
                  <c:v>0.348067157305726</c:v>
                </c:pt>
                <c:pt idx="2947">
                  <c:v>0.351288980674661</c:v>
                </c:pt>
                <c:pt idx="2948">
                  <c:v>0.366227348926264</c:v>
                </c:pt>
                <c:pt idx="2949">
                  <c:v>0.377536575304026</c:v>
                </c:pt>
                <c:pt idx="2950">
                  <c:v>0.374984857369219</c:v>
                </c:pt>
                <c:pt idx="2951">
                  <c:v>0.375230193157753</c:v>
                </c:pt>
                <c:pt idx="2952">
                  <c:v>0.342269851240557</c:v>
                </c:pt>
                <c:pt idx="2953">
                  <c:v>0.359861034060342</c:v>
                </c:pt>
                <c:pt idx="2954">
                  <c:v>0.380030581429319</c:v>
                </c:pt>
                <c:pt idx="2955">
                  <c:v>0.361520738401107</c:v>
                </c:pt>
                <c:pt idx="2956">
                  <c:v>0.35380345246204</c:v>
                </c:pt>
                <c:pt idx="2957">
                  <c:v>0.404045456258052</c:v>
                </c:pt>
                <c:pt idx="2958">
                  <c:v>0.359890781832758</c:v>
                </c:pt>
                <c:pt idx="2959">
                  <c:v>0.373408146536843</c:v>
                </c:pt>
                <c:pt idx="2960">
                  <c:v>0.37958864046706</c:v>
                </c:pt>
                <c:pt idx="2961">
                  <c:v>0.371657465890063</c:v>
                </c:pt>
                <c:pt idx="2962">
                  <c:v>0.374704290997823</c:v>
                </c:pt>
                <c:pt idx="2963">
                  <c:v>0.350454423211121</c:v>
                </c:pt>
                <c:pt idx="2964">
                  <c:v>0.375451015717015</c:v>
                </c:pt>
                <c:pt idx="2965">
                  <c:v>0.358960695325991</c:v>
                </c:pt>
                <c:pt idx="2966">
                  <c:v>0.388439909645012</c:v>
                </c:pt>
                <c:pt idx="2967">
                  <c:v>0.366317846313148</c:v>
                </c:pt>
                <c:pt idx="2968">
                  <c:v>0.366353632494126</c:v>
                </c:pt>
                <c:pt idx="2969">
                  <c:v>0.358632672475356</c:v>
                </c:pt>
                <c:pt idx="2970">
                  <c:v>0.365152581742721</c:v>
                </c:pt>
                <c:pt idx="2971">
                  <c:v>0.34562696271779</c:v>
                </c:pt>
                <c:pt idx="2972">
                  <c:v>0.376333716056457</c:v>
                </c:pt>
                <c:pt idx="2973">
                  <c:v>0.382249801958428</c:v>
                </c:pt>
                <c:pt idx="2974">
                  <c:v>0.383534328069426</c:v>
                </c:pt>
                <c:pt idx="2975">
                  <c:v>0.378396024737755</c:v>
                </c:pt>
                <c:pt idx="2976">
                  <c:v>0.386895947831694</c:v>
                </c:pt>
                <c:pt idx="2977">
                  <c:v>0.348464682487687</c:v>
                </c:pt>
                <c:pt idx="2978">
                  <c:v>0.38228708618502</c:v>
                </c:pt>
                <c:pt idx="2979">
                  <c:v>0.365102360656786</c:v>
                </c:pt>
                <c:pt idx="2980">
                  <c:v>0.355685975121104</c:v>
                </c:pt>
                <c:pt idx="2981">
                  <c:v>0.353449153013055</c:v>
                </c:pt>
                <c:pt idx="2982">
                  <c:v>0.380374950877088</c:v>
                </c:pt>
                <c:pt idx="2983">
                  <c:v>0.352349569890501</c:v>
                </c:pt>
                <c:pt idx="2984">
                  <c:v>0.381936655780512</c:v>
                </c:pt>
                <c:pt idx="2985">
                  <c:v>0.363975271814056</c:v>
                </c:pt>
                <c:pt idx="2986">
                  <c:v>0.380684712408114</c:v>
                </c:pt>
                <c:pt idx="2987">
                  <c:v>0.382563587743301</c:v>
                </c:pt>
                <c:pt idx="2988">
                  <c:v>0.368493885872285</c:v>
                </c:pt>
                <c:pt idx="2989">
                  <c:v>0.379063891430305</c:v>
                </c:pt>
                <c:pt idx="2990">
                  <c:v>0.383549145141406</c:v>
                </c:pt>
                <c:pt idx="2991">
                  <c:v>0.365353406706121</c:v>
                </c:pt>
                <c:pt idx="2992">
                  <c:v>0.370483581413321</c:v>
                </c:pt>
                <c:pt idx="2993">
                  <c:v>0.371196373757393</c:v>
                </c:pt>
                <c:pt idx="2994">
                  <c:v>0.382708793740758</c:v>
                </c:pt>
                <c:pt idx="2995">
                  <c:v>0.35432251373483</c:v>
                </c:pt>
                <c:pt idx="2996">
                  <c:v>0.372686120931846</c:v>
                </c:pt>
                <c:pt idx="2997">
                  <c:v>0.362797326057815</c:v>
                </c:pt>
                <c:pt idx="2998">
                  <c:v>0.382158876918864</c:v>
                </c:pt>
                <c:pt idx="2999">
                  <c:v>0.346824534838728</c:v>
                </c:pt>
                <c:pt idx="3000">
                  <c:v>0.361215754310154</c:v>
                </c:pt>
                <c:pt idx="3001">
                  <c:v>0.375578685716164</c:v>
                </c:pt>
                <c:pt idx="3002">
                  <c:v>0.370664900291303</c:v>
                </c:pt>
                <c:pt idx="3003">
                  <c:v>0.361653661908968</c:v>
                </c:pt>
                <c:pt idx="3004">
                  <c:v>0.346266182392948</c:v>
                </c:pt>
                <c:pt idx="3005">
                  <c:v>0.339888390736886</c:v>
                </c:pt>
                <c:pt idx="3006">
                  <c:v>0.387810834930212</c:v>
                </c:pt>
                <c:pt idx="3007">
                  <c:v>0.368203520323282</c:v>
                </c:pt>
                <c:pt idx="3008">
                  <c:v>0.360867196445212</c:v>
                </c:pt>
                <c:pt idx="3009">
                  <c:v>0.386170529996879</c:v>
                </c:pt>
                <c:pt idx="3010">
                  <c:v>0.378159373832729</c:v>
                </c:pt>
                <c:pt idx="3011">
                  <c:v>0.359620863660837</c:v>
                </c:pt>
                <c:pt idx="3012">
                  <c:v>0.373293995038403</c:v>
                </c:pt>
                <c:pt idx="3013">
                  <c:v>0.355945944886942</c:v>
                </c:pt>
                <c:pt idx="3014">
                  <c:v>0.357786360335912</c:v>
                </c:pt>
                <c:pt idx="3015">
                  <c:v>0.363595919023673</c:v>
                </c:pt>
                <c:pt idx="3016">
                  <c:v>0.359605527830216</c:v>
                </c:pt>
                <c:pt idx="3017">
                  <c:v>0.34946258563549</c:v>
                </c:pt>
                <c:pt idx="3018">
                  <c:v>0.36948252949818</c:v>
                </c:pt>
                <c:pt idx="3019">
                  <c:v>0.367439903196756</c:v>
                </c:pt>
                <c:pt idx="3020">
                  <c:v>0.367343966312498</c:v>
                </c:pt>
                <c:pt idx="3021">
                  <c:v>0.36839576341753</c:v>
                </c:pt>
                <c:pt idx="3022">
                  <c:v>0.392251124378596</c:v>
                </c:pt>
                <c:pt idx="3023">
                  <c:v>0.373593632772295</c:v>
                </c:pt>
                <c:pt idx="3024">
                  <c:v>0.371409904443709</c:v>
                </c:pt>
                <c:pt idx="3025">
                  <c:v>0.3670043190151</c:v>
                </c:pt>
                <c:pt idx="3026">
                  <c:v>0.358418373477554</c:v>
                </c:pt>
                <c:pt idx="3027">
                  <c:v>0.355337002493549</c:v>
                </c:pt>
                <c:pt idx="3028">
                  <c:v>0.352964664638837</c:v>
                </c:pt>
                <c:pt idx="3029">
                  <c:v>0.35434772392755</c:v>
                </c:pt>
                <c:pt idx="3030">
                  <c:v>0.347040624029238</c:v>
                </c:pt>
                <c:pt idx="3031">
                  <c:v>0.359109835798911</c:v>
                </c:pt>
                <c:pt idx="3032">
                  <c:v>0.340579193527709</c:v>
                </c:pt>
                <c:pt idx="3033">
                  <c:v>0.362968540836101</c:v>
                </c:pt>
                <c:pt idx="3034">
                  <c:v>0.388351339343745</c:v>
                </c:pt>
                <c:pt idx="3035">
                  <c:v>0.345224472170366</c:v>
                </c:pt>
                <c:pt idx="3036">
                  <c:v>0.36459020188847</c:v>
                </c:pt>
                <c:pt idx="3037">
                  <c:v>0.368492690269875</c:v>
                </c:pt>
                <c:pt idx="3038">
                  <c:v>0.364135905324726</c:v>
                </c:pt>
                <c:pt idx="3039">
                  <c:v>0.367318308824965</c:v>
                </c:pt>
                <c:pt idx="3040">
                  <c:v>0.360847563219051</c:v>
                </c:pt>
                <c:pt idx="3041">
                  <c:v>0.354745600261997</c:v>
                </c:pt>
                <c:pt idx="3042">
                  <c:v>0.365178415501994</c:v>
                </c:pt>
                <c:pt idx="3043">
                  <c:v>0.353135824435819</c:v>
                </c:pt>
                <c:pt idx="3044">
                  <c:v>0.35267637213131</c:v>
                </c:pt>
                <c:pt idx="3045">
                  <c:v>0.375445854746664</c:v>
                </c:pt>
                <c:pt idx="3046">
                  <c:v>0.372683154109779</c:v>
                </c:pt>
                <c:pt idx="3047">
                  <c:v>0.381149278971841</c:v>
                </c:pt>
                <c:pt idx="3048">
                  <c:v>0.365722093841365</c:v>
                </c:pt>
                <c:pt idx="3049">
                  <c:v>0.362759948620161</c:v>
                </c:pt>
                <c:pt idx="3050">
                  <c:v>0.377658385751005</c:v>
                </c:pt>
                <c:pt idx="3051">
                  <c:v>0.364384316052546</c:v>
                </c:pt>
                <c:pt idx="3052">
                  <c:v>0.364049570191572</c:v>
                </c:pt>
                <c:pt idx="3053">
                  <c:v>0.374295992738785</c:v>
                </c:pt>
                <c:pt idx="3054">
                  <c:v>0.353973698289608</c:v>
                </c:pt>
                <c:pt idx="3055">
                  <c:v>0.380520746576885</c:v>
                </c:pt>
                <c:pt idx="3056">
                  <c:v>0.367316789328907</c:v>
                </c:pt>
                <c:pt idx="3057">
                  <c:v>0.356209861805781</c:v>
                </c:pt>
                <c:pt idx="3058">
                  <c:v>0.363721018967372</c:v>
                </c:pt>
                <c:pt idx="3059">
                  <c:v>0.380072742765527</c:v>
                </c:pt>
                <c:pt idx="3060">
                  <c:v>0.377854792607951</c:v>
                </c:pt>
                <c:pt idx="3061">
                  <c:v>0.366258891700976</c:v>
                </c:pt>
                <c:pt idx="3062">
                  <c:v>0.340851118369727</c:v>
                </c:pt>
                <c:pt idx="3063">
                  <c:v>0.386234295424722</c:v>
                </c:pt>
                <c:pt idx="3064">
                  <c:v>0.365592346183011</c:v>
                </c:pt>
                <c:pt idx="3065">
                  <c:v>0.365434127599165</c:v>
                </c:pt>
                <c:pt idx="3066">
                  <c:v>0.359561059839582</c:v>
                </c:pt>
                <c:pt idx="3067">
                  <c:v>0.370541499117465</c:v>
                </c:pt>
                <c:pt idx="3068">
                  <c:v>0.350232015936811</c:v>
                </c:pt>
                <c:pt idx="3069">
                  <c:v>0.370785601874474</c:v>
                </c:pt>
                <c:pt idx="3070">
                  <c:v>0.383857666970801</c:v>
                </c:pt>
                <c:pt idx="3071">
                  <c:v>0.346243685124178</c:v>
                </c:pt>
                <c:pt idx="3072">
                  <c:v>0.369151444986903</c:v>
                </c:pt>
                <c:pt idx="3073">
                  <c:v>0.343028521313162</c:v>
                </c:pt>
                <c:pt idx="3074">
                  <c:v>0.350903413281824</c:v>
                </c:pt>
                <c:pt idx="3075">
                  <c:v>0.355860355482626</c:v>
                </c:pt>
                <c:pt idx="3076">
                  <c:v>0.374816151153812</c:v>
                </c:pt>
                <c:pt idx="3077">
                  <c:v>0.383647213075477</c:v>
                </c:pt>
                <c:pt idx="3078">
                  <c:v>0.37487308923417</c:v>
                </c:pt>
                <c:pt idx="3079">
                  <c:v>0.363887310375005</c:v>
                </c:pt>
                <c:pt idx="3080">
                  <c:v>0.368487513682572</c:v>
                </c:pt>
                <c:pt idx="3081">
                  <c:v>0.357957380203319</c:v>
                </c:pt>
                <c:pt idx="3082">
                  <c:v>0.374405257719616</c:v>
                </c:pt>
                <c:pt idx="3083">
                  <c:v>0.341198254592125</c:v>
                </c:pt>
                <c:pt idx="3084">
                  <c:v>0.353647135794964</c:v>
                </c:pt>
                <c:pt idx="3085">
                  <c:v>0.369041933178316</c:v>
                </c:pt>
                <c:pt idx="3086">
                  <c:v>0.352766641409181</c:v>
                </c:pt>
                <c:pt idx="3087">
                  <c:v>0.368570011644278</c:v>
                </c:pt>
                <c:pt idx="3088">
                  <c:v>0.351622833713875</c:v>
                </c:pt>
                <c:pt idx="3089">
                  <c:v>0.357081533524028</c:v>
                </c:pt>
                <c:pt idx="3090">
                  <c:v>0.364326100802244</c:v>
                </c:pt>
                <c:pt idx="3091">
                  <c:v>0.378845331181784</c:v>
                </c:pt>
                <c:pt idx="3092">
                  <c:v>0.392131173132384</c:v>
                </c:pt>
                <c:pt idx="3093">
                  <c:v>0.355129454755999</c:v>
                </c:pt>
                <c:pt idx="3094">
                  <c:v>0.345453096790496</c:v>
                </c:pt>
                <c:pt idx="3095">
                  <c:v>0.362276898934077</c:v>
                </c:pt>
                <c:pt idx="3096">
                  <c:v>0.355275966387914</c:v>
                </c:pt>
                <c:pt idx="3097">
                  <c:v>0.365800082442029</c:v>
                </c:pt>
                <c:pt idx="3098">
                  <c:v>0.366667008486409</c:v>
                </c:pt>
                <c:pt idx="3099">
                  <c:v>0.384458843437104</c:v>
                </c:pt>
                <c:pt idx="3100">
                  <c:v>0.3596840352435</c:v>
                </c:pt>
                <c:pt idx="3101">
                  <c:v>0.384647977793571</c:v>
                </c:pt>
                <c:pt idx="3102">
                  <c:v>0.389177751382812</c:v>
                </c:pt>
                <c:pt idx="3103">
                  <c:v>0.362272808371265</c:v>
                </c:pt>
                <c:pt idx="3104">
                  <c:v>0.360072127995662</c:v>
                </c:pt>
                <c:pt idx="3105">
                  <c:v>0.384816821305367</c:v>
                </c:pt>
                <c:pt idx="3106">
                  <c:v>0.379189569150029</c:v>
                </c:pt>
                <c:pt idx="3107">
                  <c:v>0.368732106400368</c:v>
                </c:pt>
                <c:pt idx="3108">
                  <c:v>0.374251424943596</c:v>
                </c:pt>
                <c:pt idx="3109">
                  <c:v>0.354347807401982</c:v>
                </c:pt>
                <c:pt idx="3110">
                  <c:v>0.373247726983839</c:v>
                </c:pt>
                <c:pt idx="3111">
                  <c:v>0.368972248058794</c:v>
                </c:pt>
                <c:pt idx="3112">
                  <c:v>0.381281326400438</c:v>
                </c:pt>
                <c:pt idx="3113">
                  <c:v>0.370709569530585</c:v>
                </c:pt>
                <c:pt idx="3114">
                  <c:v>0.381865721972153</c:v>
                </c:pt>
                <c:pt idx="3115">
                  <c:v>0.363930165088788</c:v>
                </c:pt>
                <c:pt idx="3116">
                  <c:v>0.384986448486852</c:v>
                </c:pt>
                <c:pt idx="3117">
                  <c:v>0.387951737577538</c:v>
                </c:pt>
                <c:pt idx="3118">
                  <c:v>0.369592480873807</c:v>
                </c:pt>
                <c:pt idx="3119">
                  <c:v>0.374221236683747</c:v>
                </c:pt>
                <c:pt idx="3120">
                  <c:v>0.376946662464635</c:v>
                </c:pt>
                <c:pt idx="3121">
                  <c:v>0.358984033922893</c:v>
                </c:pt>
                <c:pt idx="3122">
                  <c:v>0.368009918861735</c:v>
                </c:pt>
                <c:pt idx="3123">
                  <c:v>0.381991559780446</c:v>
                </c:pt>
                <c:pt idx="3124">
                  <c:v>0.404704105969743</c:v>
                </c:pt>
                <c:pt idx="3125">
                  <c:v>0.377732933097791</c:v>
                </c:pt>
                <c:pt idx="3126">
                  <c:v>0.37066218917085</c:v>
                </c:pt>
                <c:pt idx="3127">
                  <c:v>0.374731810407069</c:v>
                </c:pt>
                <c:pt idx="3128">
                  <c:v>0.367360372329118</c:v>
                </c:pt>
                <c:pt idx="3129">
                  <c:v>0.365447065600769</c:v>
                </c:pt>
                <c:pt idx="3130">
                  <c:v>0.379829872440294</c:v>
                </c:pt>
                <c:pt idx="3131">
                  <c:v>0.375823806557807</c:v>
                </c:pt>
                <c:pt idx="3132">
                  <c:v>0.370087709815589</c:v>
                </c:pt>
                <c:pt idx="3133">
                  <c:v>0.387791993856039</c:v>
                </c:pt>
                <c:pt idx="3134">
                  <c:v>0.368844104221908</c:v>
                </c:pt>
                <c:pt idx="3135">
                  <c:v>0.355306591645207</c:v>
                </c:pt>
                <c:pt idx="3136">
                  <c:v>0.385298178948901</c:v>
                </c:pt>
                <c:pt idx="3137">
                  <c:v>0.382756319496499</c:v>
                </c:pt>
                <c:pt idx="3138">
                  <c:v>0.345561671377846</c:v>
                </c:pt>
                <c:pt idx="3139">
                  <c:v>0.36877096357678</c:v>
                </c:pt>
                <c:pt idx="3140">
                  <c:v>0.364029564746187</c:v>
                </c:pt>
                <c:pt idx="3141">
                  <c:v>0.372075564439854</c:v>
                </c:pt>
                <c:pt idx="3142">
                  <c:v>0.379948045014092</c:v>
                </c:pt>
                <c:pt idx="3143">
                  <c:v>0.379380525855344</c:v>
                </c:pt>
                <c:pt idx="3144">
                  <c:v>0.363092040635533</c:v>
                </c:pt>
                <c:pt idx="3145">
                  <c:v>0.384772986762774</c:v>
                </c:pt>
                <c:pt idx="3146">
                  <c:v>0.397543462139052</c:v>
                </c:pt>
                <c:pt idx="3147">
                  <c:v>0.360903656850369</c:v>
                </c:pt>
                <c:pt idx="3148">
                  <c:v>0.340254410506473</c:v>
                </c:pt>
                <c:pt idx="3149">
                  <c:v>0.363706490506999</c:v>
                </c:pt>
                <c:pt idx="3150">
                  <c:v>0.382685941722831</c:v>
                </c:pt>
                <c:pt idx="3151">
                  <c:v>0.388971819510895</c:v>
                </c:pt>
                <c:pt idx="3152">
                  <c:v>0.373116716134062</c:v>
                </c:pt>
                <c:pt idx="3153">
                  <c:v>0.39360611267745</c:v>
                </c:pt>
                <c:pt idx="3154">
                  <c:v>0.359233962512954</c:v>
                </c:pt>
                <c:pt idx="3155">
                  <c:v>0.366590930878844</c:v>
                </c:pt>
                <c:pt idx="3156">
                  <c:v>0.362390128574676</c:v>
                </c:pt>
                <c:pt idx="3157">
                  <c:v>0.381839999176841</c:v>
                </c:pt>
                <c:pt idx="3158">
                  <c:v>0.363825575062298</c:v>
                </c:pt>
                <c:pt idx="3159">
                  <c:v>0.366897628598544</c:v>
                </c:pt>
                <c:pt idx="3160">
                  <c:v>0.356307546184326</c:v>
                </c:pt>
                <c:pt idx="3161">
                  <c:v>0.37132561682523</c:v>
                </c:pt>
                <c:pt idx="3162">
                  <c:v>0.383810468073343</c:v>
                </c:pt>
                <c:pt idx="3163">
                  <c:v>0.38693328010149</c:v>
                </c:pt>
                <c:pt idx="3164">
                  <c:v>0.350071202529385</c:v>
                </c:pt>
                <c:pt idx="3165">
                  <c:v>0.368526318811749</c:v>
                </c:pt>
                <c:pt idx="3166">
                  <c:v>0.355362917642009</c:v>
                </c:pt>
                <c:pt idx="3167">
                  <c:v>0.359374367097287</c:v>
                </c:pt>
                <c:pt idx="3168">
                  <c:v>0.382541767775916</c:v>
                </c:pt>
                <c:pt idx="3169">
                  <c:v>0.367985030354345</c:v>
                </c:pt>
                <c:pt idx="3170">
                  <c:v>0.381239482681025</c:v>
                </c:pt>
                <c:pt idx="3171">
                  <c:v>0.376787387852478</c:v>
                </c:pt>
                <c:pt idx="3172">
                  <c:v>0.372100015886838</c:v>
                </c:pt>
                <c:pt idx="3173">
                  <c:v>0.357775327659669</c:v>
                </c:pt>
                <c:pt idx="3174">
                  <c:v>0.378191257409794</c:v>
                </c:pt>
                <c:pt idx="3175">
                  <c:v>0.390130357561588</c:v>
                </c:pt>
                <c:pt idx="3176">
                  <c:v>0.382497654625522</c:v>
                </c:pt>
                <c:pt idx="3177">
                  <c:v>0.355363636527682</c:v>
                </c:pt>
                <c:pt idx="3178">
                  <c:v>0.361758107311657</c:v>
                </c:pt>
                <c:pt idx="3179">
                  <c:v>0.346199965078958</c:v>
                </c:pt>
                <c:pt idx="3180">
                  <c:v>0.368191388073766</c:v>
                </c:pt>
                <c:pt idx="3181">
                  <c:v>0.374346748259628</c:v>
                </c:pt>
                <c:pt idx="3182">
                  <c:v>0.33947663472345</c:v>
                </c:pt>
                <c:pt idx="3183">
                  <c:v>0.34684414973683</c:v>
                </c:pt>
                <c:pt idx="3184">
                  <c:v>0.365851897220076</c:v>
                </c:pt>
                <c:pt idx="3185">
                  <c:v>0.351084395636887</c:v>
                </c:pt>
                <c:pt idx="3186">
                  <c:v>0.361586635439964</c:v>
                </c:pt>
                <c:pt idx="3187">
                  <c:v>0.375771619145251</c:v>
                </c:pt>
                <c:pt idx="3188">
                  <c:v>0.358318979286</c:v>
                </c:pt>
                <c:pt idx="3189">
                  <c:v>0.359109461086255</c:v>
                </c:pt>
                <c:pt idx="3190">
                  <c:v>0.363895768861515</c:v>
                </c:pt>
                <c:pt idx="3191">
                  <c:v>0.37284090713621</c:v>
                </c:pt>
                <c:pt idx="3192">
                  <c:v>0.383831129353891</c:v>
                </c:pt>
                <c:pt idx="3193">
                  <c:v>0.357136133930689</c:v>
                </c:pt>
                <c:pt idx="3194">
                  <c:v>0.34149668775455</c:v>
                </c:pt>
                <c:pt idx="3195">
                  <c:v>0.355897038759371</c:v>
                </c:pt>
                <c:pt idx="3196">
                  <c:v>0.375462269003072</c:v>
                </c:pt>
                <c:pt idx="3197">
                  <c:v>0.381470544243787</c:v>
                </c:pt>
                <c:pt idx="3198">
                  <c:v>0.363419456581224</c:v>
                </c:pt>
                <c:pt idx="3199">
                  <c:v>0.359463201573488</c:v>
                </c:pt>
                <c:pt idx="3200">
                  <c:v>0.397761639768973</c:v>
                </c:pt>
                <c:pt idx="3201">
                  <c:v>0.367541502332668</c:v>
                </c:pt>
                <c:pt idx="3202">
                  <c:v>0.371511689690517</c:v>
                </c:pt>
                <c:pt idx="3203">
                  <c:v>0.376368171913257</c:v>
                </c:pt>
                <c:pt idx="3204">
                  <c:v>0.345887273153352</c:v>
                </c:pt>
                <c:pt idx="3205">
                  <c:v>0.361990621000288</c:v>
                </c:pt>
                <c:pt idx="3206">
                  <c:v>0.355573220868667</c:v>
                </c:pt>
                <c:pt idx="3207">
                  <c:v>0.358122402152192</c:v>
                </c:pt>
                <c:pt idx="3208">
                  <c:v>0.358456120902208</c:v>
                </c:pt>
                <c:pt idx="3209">
                  <c:v>0.350437909127652</c:v>
                </c:pt>
                <c:pt idx="3210">
                  <c:v>0.395151184340865</c:v>
                </c:pt>
                <c:pt idx="3211">
                  <c:v>0.366033552527254</c:v>
                </c:pt>
                <c:pt idx="3212">
                  <c:v>0.348581054902183</c:v>
                </c:pt>
                <c:pt idx="3213">
                  <c:v>0.370405579596422</c:v>
                </c:pt>
                <c:pt idx="3214">
                  <c:v>0.35314199815172</c:v>
                </c:pt>
                <c:pt idx="3215">
                  <c:v>0.371786744333778</c:v>
                </c:pt>
                <c:pt idx="3216">
                  <c:v>0.359842626708894</c:v>
                </c:pt>
                <c:pt idx="3217">
                  <c:v>0.369285544228735</c:v>
                </c:pt>
                <c:pt idx="3218">
                  <c:v>0.359601393732539</c:v>
                </c:pt>
                <c:pt idx="3219">
                  <c:v>0.36517849498586</c:v>
                </c:pt>
                <c:pt idx="3220">
                  <c:v>0.363380058699233</c:v>
                </c:pt>
                <c:pt idx="3221">
                  <c:v>0.353768849054243</c:v>
                </c:pt>
                <c:pt idx="3222">
                  <c:v>0.34943765931327</c:v>
                </c:pt>
                <c:pt idx="3223">
                  <c:v>0.36007313708297</c:v>
                </c:pt>
                <c:pt idx="3224">
                  <c:v>0.354604645271329</c:v>
                </c:pt>
                <c:pt idx="3225">
                  <c:v>0.389458967017412</c:v>
                </c:pt>
                <c:pt idx="3226">
                  <c:v>0.360134623333597</c:v>
                </c:pt>
                <c:pt idx="3227">
                  <c:v>0.352510501559822</c:v>
                </c:pt>
                <c:pt idx="3228">
                  <c:v>0.37047750255992</c:v>
                </c:pt>
                <c:pt idx="3229">
                  <c:v>0.355826111883583</c:v>
                </c:pt>
                <c:pt idx="3230">
                  <c:v>0.364483336658398</c:v>
                </c:pt>
                <c:pt idx="3231">
                  <c:v>0.361601218843071</c:v>
                </c:pt>
                <c:pt idx="3232">
                  <c:v>0.375144215299914</c:v>
                </c:pt>
                <c:pt idx="3233">
                  <c:v>0.378089578198084</c:v>
                </c:pt>
                <c:pt idx="3234">
                  <c:v>0.376083218899962</c:v>
                </c:pt>
                <c:pt idx="3235">
                  <c:v>0.336868366922056</c:v>
                </c:pt>
                <c:pt idx="3236">
                  <c:v>0.380898559137304</c:v>
                </c:pt>
                <c:pt idx="3237">
                  <c:v>0.362873695806811</c:v>
                </c:pt>
                <c:pt idx="3238">
                  <c:v>0.375545642185351</c:v>
                </c:pt>
                <c:pt idx="3239">
                  <c:v>0.347823000283975</c:v>
                </c:pt>
                <c:pt idx="3240">
                  <c:v>0.360034227038227</c:v>
                </c:pt>
                <c:pt idx="3241">
                  <c:v>0.346330528637981</c:v>
                </c:pt>
                <c:pt idx="3242">
                  <c:v>0.361957329514992</c:v>
                </c:pt>
                <c:pt idx="3243">
                  <c:v>0.343968261264652</c:v>
                </c:pt>
                <c:pt idx="3244">
                  <c:v>0.368726448540498</c:v>
                </c:pt>
                <c:pt idx="3245">
                  <c:v>0.386259501201947</c:v>
                </c:pt>
                <c:pt idx="3246">
                  <c:v>0.394485662396432</c:v>
                </c:pt>
                <c:pt idx="3247">
                  <c:v>0.375704181061226</c:v>
                </c:pt>
                <c:pt idx="3248">
                  <c:v>0.3666411754273</c:v>
                </c:pt>
                <c:pt idx="3249">
                  <c:v>0.337945540769505</c:v>
                </c:pt>
                <c:pt idx="3250">
                  <c:v>0.348602628016583</c:v>
                </c:pt>
                <c:pt idx="3251">
                  <c:v>0.360709008779255</c:v>
                </c:pt>
                <c:pt idx="3252">
                  <c:v>0.392533815157347</c:v>
                </c:pt>
                <c:pt idx="3253">
                  <c:v>0.38633651017833</c:v>
                </c:pt>
                <c:pt idx="3254">
                  <c:v>0.36723144597493</c:v>
                </c:pt>
                <c:pt idx="3255">
                  <c:v>0.366114886929638</c:v>
                </c:pt>
                <c:pt idx="3256">
                  <c:v>0.350925287598703</c:v>
                </c:pt>
                <c:pt idx="3257">
                  <c:v>0.354865858592282</c:v>
                </c:pt>
                <c:pt idx="3258">
                  <c:v>0.363122611475024</c:v>
                </c:pt>
                <c:pt idx="3259">
                  <c:v>0.359466679283749</c:v>
                </c:pt>
                <c:pt idx="3260">
                  <c:v>0.358835235467008</c:v>
                </c:pt>
                <c:pt idx="3261">
                  <c:v>0.360938963396546</c:v>
                </c:pt>
                <c:pt idx="3262">
                  <c:v>0.354369891814631</c:v>
                </c:pt>
                <c:pt idx="3263">
                  <c:v>0.35684030076676</c:v>
                </c:pt>
                <c:pt idx="3264">
                  <c:v>0.357803676999888</c:v>
                </c:pt>
                <c:pt idx="3265">
                  <c:v>0.373026296844747</c:v>
                </c:pt>
                <c:pt idx="3266">
                  <c:v>0.371454974835907</c:v>
                </c:pt>
                <c:pt idx="3267">
                  <c:v>0.345450472181773</c:v>
                </c:pt>
                <c:pt idx="3268">
                  <c:v>0.368485711116801</c:v>
                </c:pt>
                <c:pt idx="3269">
                  <c:v>0.376081852209119</c:v>
                </c:pt>
                <c:pt idx="3270">
                  <c:v>0.390603645910019</c:v>
                </c:pt>
                <c:pt idx="3271">
                  <c:v>0.371232291603856</c:v>
                </c:pt>
                <c:pt idx="3272">
                  <c:v>0.368055536927064</c:v>
                </c:pt>
                <c:pt idx="3273">
                  <c:v>0.365618217058514</c:v>
                </c:pt>
                <c:pt idx="3274">
                  <c:v>0.354875109383872</c:v>
                </c:pt>
                <c:pt idx="3275">
                  <c:v>0.363454016788388</c:v>
                </c:pt>
                <c:pt idx="3276">
                  <c:v>0.371013838965725</c:v>
                </c:pt>
                <c:pt idx="3277">
                  <c:v>0.34767088844091</c:v>
                </c:pt>
                <c:pt idx="3278">
                  <c:v>0.333352984861545</c:v>
                </c:pt>
                <c:pt idx="3279">
                  <c:v>0.367472605802028</c:v>
                </c:pt>
                <c:pt idx="3280">
                  <c:v>0.379306866288581</c:v>
                </c:pt>
                <c:pt idx="3281">
                  <c:v>0.352769442619015</c:v>
                </c:pt>
                <c:pt idx="3282">
                  <c:v>0.359171075266204</c:v>
                </c:pt>
                <c:pt idx="3283">
                  <c:v>0.361355056637149</c:v>
                </c:pt>
                <c:pt idx="3284">
                  <c:v>0.362665225576911</c:v>
                </c:pt>
                <c:pt idx="3285">
                  <c:v>0.3467212771052</c:v>
                </c:pt>
                <c:pt idx="3286">
                  <c:v>0.345633325876723</c:v>
                </c:pt>
                <c:pt idx="3287">
                  <c:v>0.370404721365768</c:v>
                </c:pt>
                <c:pt idx="3288">
                  <c:v>0.346261911804718</c:v>
                </c:pt>
                <c:pt idx="3289">
                  <c:v>0.393581862777989</c:v>
                </c:pt>
                <c:pt idx="3290">
                  <c:v>0.377562952432276</c:v>
                </c:pt>
                <c:pt idx="3291">
                  <c:v>0.392144060038655</c:v>
                </c:pt>
                <c:pt idx="3292">
                  <c:v>0.357827199863987</c:v>
                </c:pt>
                <c:pt idx="3293">
                  <c:v>0.362140816078007</c:v>
                </c:pt>
                <c:pt idx="3294">
                  <c:v>0.395076083842354</c:v>
                </c:pt>
                <c:pt idx="3295">
                  <c:v>0.368776596940158</c:v>
                </c:pt>
                <c:pt idx="3296">
                  <c:v>0.35419041550944</c:v>
                </c:pt>
                <c:pt idx="3297">
                  <c:v>0.373133386324582</c:v>
                </c:pt>
                <c:pt idx="3298">
                  <c:v>0.34742184438648</c:v>
                </c:pt>
                <c:pt idx="3299">
                  <c:v>0.38654368823661</c:v>
                </c:pt>
                <c:pt idx="3300">
                  <c:v>0.388341610939964</c:v>
                </c:pt>
                <c:pt idx="3301">
                  <c:v>0.378970781741016</c:v>
                </c:pt>
                <c:pt idx="3302">
                  <c:v>0.351913476648678</c:v>
                </c:pt>
                <c:pt idx="3303">
                  <c:v>0.351619473502909</c:v>
                </c:pt>
                <c:pt idx="3304">
                  <c:v>0.375916578407914</c:v>
                </c:pt>
                <c:pt idx="3305">
                  <c:v>0.35742871002708</c:v>
                </c:pt>
                <c:pt idx="3306">
                  <c:v>0.379830124357121</c:v>
                </c:pt>
                <c:pt idx="3307">
                  <c:v>0.36504030112409</c:v>
                </c:pt>
                <c:pt idx="3308">
                  <c:v>0.349947025850482</c:v>
                </c:pt>
                <c:pt idx="3309">
                  <c:v>0.365068587568482</c:v>
                </c:pt>
                <c:pt idx="3310">
                  <c:v>0.356186480219424</c:v>
                </c:pt>
                <c:pt idx="3311">
                  <c:v>0.391328134267505</c:v>
                </c:pt>
                <c:pt idx="3312">
                  <c:v>0.363817581416953</c:v>
                </c:pt>
                <c:pt idx="3313">
                  <c:v>0.386637430164997</c:v>
                </c:pt>
                <c:pt idx="3314">
                  <c:v>0.387717148709686</c:v>
                </c:pt>
                <c:pt idx="3315">
                  <c:v>0.37006308553123</c:v>
                </c:pt>
                <c:pt idx="3316">
                  <c:v>0.364130869249334</c:v>
                </c:pt>
                <c:pt idx="3317">
                  <c:v>0.36818736495464</c:v>
                </c:pt>
                <c:pt idx="3318">
                  <c:v>0.356207962968024</c:v>
                </c:pt>
                <c:pt idx="3319">
                  <c:v>0.375739794614787</c:v>
                </c:pt>
                <c:pt idx="3320">
                  <c:v>0.36834176352733</c:v>
                </c:pt>
                <c:pt idx="3321">
                  <c:v>0.364388476279575</c:v>
                </c:pt>
                <c:pt idx="3322">
                  <c:v>0.347363090344548</c:v>
                </c:pt>
                <c:pt idx="3323">
                  <c:v>0.336899915322829</c:v>
                </c:pt>
                <c:pt idx="3324">
                  <c:v>0.350496703825699</c:v>
                </c:pt>
                <c:pt idx="3325">
                  <c:v>0.359835954689431</c:v>
                </c:pt>
                <c:pt idx="3326">
                  <c:v>0.370273510783396</c:v>
                </c:pt>
                <c:pt idx="3327">
                  <c:v>0.35257395259089</c:v>
                </c:pt>
                <c:pt idx="3328">
                  <c:v>0.369694218891984</c:v>
                </c:pt>
                <c:pt idx="3329">
                  <c:v>0.338478624381033</c:v>
                </c:pt>
                <c:pt idx="3330">
                  <c:v>0.361069714030712</c:v>
                </c:pt>
                <c:pt idx="3331">
                  <c:v>0.347333610691147</c:v>
                </c:pt>
                <c:pt idx="3332">
                  <c:v>0.375893829614939</c:v>
                </c:pt>
                <c:pt idx="3333">
                  <c:v>0.369820258745503</c:v>
                </c:pt>
                <c:pt idx="3334">
                  <c:v>0.37378357451267</c:v>
                </c:pt>
                <c:pt idx="3335">
                  <c:v>0.346165816030394</c:v>
                </c:pt>
                <c:pt idx="3336">
                  <c:v>0.364483143963524</c:v>
                </c:pt>
                <c:pt idx="3337">
                  <c:v>0.378706425405276</c:v>
                </c:pt>
                <c:pt idx="3338">
                  <c:v>0.357663059227672</c:v>
                </c:pt>
                <c:pt idx="3339">
                  <c:v>0.354196548590827</c:v>
                </c:pt>
                <c:pt idx="3340">
                  <c:v>0.33546532558771</c:v>
                </c:pt>
                <c:pt idx="3341">
                  <c:v>0.399049000692687</c:v>
                </c:pt>
                <c:pt idx="3342">
                  <c:v>0.370042160723198</c:v>
                </c:pt>
                <c:pt idx="3343">
                  <c:v>0.340332644053866</c:v>
                </c:pt>
                <c:pt idx="3344">
                  <c:v>0.370185319073777</c:v>
                </c:pt>
                <c:pt idx="3345">
                  <c:v>0.384838126769572</c:v>
                </c:pt>
                <c:pt idx="3346">
                  <c:v>0.344059945390033</c:v>
                </c:pt>
                <c:pt idx="3347">
                  <c:v>0.353831550476209</c:v>
                </c:pt>
                <c:pt idx="3348">
                  <c:v>0.374579807033031</c:v>
                </c:pt>
                <c:pt idx="3349">
                  <c:v>0.365890428728764</c:v>
                </c:pt>
                <c:pt idx="3350">
                  <c:v>0.357200695978492</c:v>
                </c:pt>
                <c:pt idx="3351">
                  <c:v>0.368557660704561</c:v>
                </c:pt>
                <c:pt idx="3352">
                  <c:v>0.373675237582404</c:v>
                </c:pt>
                <c:pt idx="3353">
                  <c:v>0.37903138543076</c:v>
                </c:pt>
                <c:pt idx="3354">
                  <c:v>0.365998982399151</c:v>
                </c:pt>
                <c:pt idx="3355">
                  <c:v>0.365325966438655</c:v>
                </c:pt>
                <c:pt idx="3356">
                  <c:v>0.367462168973816</c:v>
                </c:pt>
                <c:pt idx="3357">
                  <c:v>0.372626415812013</c:v>
                </c:pt>
                <c:pt idx="3358">
                  <c:v>0.363461157601628</c:v>
                </c:pt>
                <c:pt idx="3359">
                  <c:v>0.340435481255233</c:v>
                </c:pt>
                <c:pt idx="3360">
                  <c:v>0.364235821054178</c:v>
                </c:pt>
                <c:pt idx="3361">
                  <c:v>0.343307451274157</c:v>
                </c:pt>
                <c:pt idx="3362">
                  <c:v>0.358122175043758</c:v>
                </c:pt>
                <c:pt idx="3363">
                  <c:v>0.370065838083438</c:v>
                </c:pt>
                <c:pt idx="3364">
                  <c:v>0.369140102376198</c:v>
                </c:pt>
                <c:pt idx="3365">
                  <c:v>0.364766569733408</c:v>
                </c:pt>
                <c:pt idx="3366">
                  <c:v>0.344083234746971</c:v>
                </c:pt>
                <c:pt idx="3367">
                  <c:v>0.380831921700698</c:v>
                </c:pt>
                <c:pt idx="3368">
                  <c:v>0.361207047193827</c:v>
                </c:pt>
                <c:pt idx="3369">
                  <c:v>0.370263843541197</c:v>
                </c:pt>
                <c:pt idx="3370">
                  <c:v>0.339169266474301</c:v>
                </c:pt>
                <c:pt idx="3371">
                  <c:v>0.357391592942166</c:v>
                </c:pt>
                <c:pt idx="3372">
                  <c:v>0.396825310166745</c:v>
                </c:pt>
                <c:pt idx="3373">
                  <c:v>0.350921859229948</c:v>
                </c:pt>
                <c:pt idx="3374">
                  <c:v>0.37986503585183</c:v>
                </c:pt>
                <c:pt idx="3375">
                  <c:v>0.358806247705108</c:v>
                </c:pt>
                <c:pt idx="3376">
                  <c:v>0.361684047181971</c:v>
                </c:pt>
                <c:pt idx="3377">
                  <c:v>0.374110767555124</c:v>
                </c:pt>
                <c:pt idx="3378">
                  <c:v>0.342304994831052</c:v>
                </c:pt>
                <c:pt idx="3379">
                  <c:v>0.366300835028745</c:v>
                </c:pt>
                <c:pt idx="3380">
                  <c:v>0.357540645714266</c:v>
                </c:pt>
                <c:pt idx="3381">
                  <c:v>0.364503326760285</c:v>
                </c:pt>
                <c:pt idx="3382">
                  <c:v>0.359362258886949</c:v>
                </c:pt>
                <c:pt idx="3383">
                  <c:v>0.385760906527988</c:v>
                </c:pt>
                <c:pt idx="3384">
                  <c:v>0.339758524532641</c:v>
                </c:pt>
                <c:pt idx="3385">
                  <c:v>0.364219283766456</c:v>
                </c:pt>
                <c:pt idx="3386">
                  <c:v>0.370778707356999</c:v>
                </c:pt>
                <c:pt idx="3387">
                  <c:v>0.367611153833035</c:v>
                </c:pt>
                <c:pt idx="3388">
                  <c:v>0.353530083720619</c:v>
                </c:pt>
                <c:pt idx="3389">
                  <c:v>0.368821915398833</c:v>
                </c:pt>
                <c:pt idx="3390">
                  <c:v>0.351279623540332</c:v>
                </c:pt>
                <c:pt idx="3391">
                  <c:v>0.374422452976163</c:v>
                </c:pt>
                <c:pt idx="3392">
                  <c:v>0.360510149488763</c:v>
                </c:pt>
                <c:pt idx="3393">
                  <c:v>0.370392821385077</c:v>
                </c:pt>
                <c:pt idx="3394">
                  <c:v>0.359320891347964</c:v>
                </c:pt>
                <c:pt idx="3395">
                  <c:v>0.367634015910549</c:v>
                </c:pt>
                <c:pt idx="3396">
                  <c:v>0.346299745369253</c:v>
                </c:pt>
                <c:pt idx="3397">
                  <c:v>0.337090551757308</c:v>
                </c:pt>
                <c:pt idx="3398">
                  <c:v>0.374463177972354</c:v>
                </c:pt>
                <c:pt idx="3399">
                  <c:v>0.360768084151963</c:v>
                </c:pt>
                <c:pt idx="3400">
                  <c:v>0.357965725246402</c:v>
                </c:pt>
                <c:pt idx="3401">
                  <c:v>0.361623132213272</c:v>
                </c:pt>
                <c:pt idx="3402">
                  <c:v>0.365461031989606</c:v>
                </c:pt>
                <c:pt idx="3403">
                  <c:v>0.380765889984135</c:v>
                </c:pt>
                <c:pt idx="3404">
                  <c:v>0.361389679908964</c:v>
                </c:pt>
                <c:pt idx="3405">
                  <c:v>0.372242683055972</c:v>
                </c:pt>
                <c:pt idx="3406">
                  <c:v>0.346216306863456</c:v>
                </c:pt>
                <c:pt idx="3407">
                  <c:v>0.381270012521717</c:v>
                </c:pt>
                <c:pt idx="3408">
                  <c:v>0.365850725029045</c:v>
                </c:pt>
                <c:pt idx="3409">
                  <c:v>0.359637854102425</c:v>
                </c:pt>
                <c:pt idx="3410">
                  <c:v>0.353721527044893</c:v>
                </c:pt>
                <c:pt idx="3411">
                  <c:v>0.372663329181689</c:v>
                </c:pt>
                <c:pt idx="3412">
                  <c:v>0.354530132261905</c:v>
                </c:pt>
                <c:pt idx="3413">
                  <c:v>0.381149009930468</c:v>
                </c:pt>
                <c:pt idx="3414">
                  <c:v>0.366812912219162</c:v>
                </c:pt>
                <c:pt idx="3415">
                  <c:v>0.349954322669784</c:v>
                </c:pt>
                <c:pt idx="3416">
                  <c:v>0.345838192238448</c:v>
                </c:pt>
                <c:pt idx="3417">
                  <c:v>0.343874133520456</c:v>
                </c:pt>
                <c:pt idx="3418">
                  <c:v>0.346363115908633</c:v>
                </c:pt>
                <c:pt idx="3419">
                  <c:v>0.38934472666689</c:v>
                </c:pt>
                <c:pt idx="3420">
                  <c:v>0.366668787092776</c:v>
                </c:pt>
                <c:pt idx="3421">
                  <c:v>0.382046470603771</c:v>
                </c:pt>
                <c:pt idx="3422">
                  <c:v>0.368649341090688</c:v>
                </c:pt>
                <c:pt idx="3423">
                  <c:v>0.364516575992035</c:v>
                </c:pt>
                <c:pt idx="3424">
                  <c:v>0.34626810110458</c:v>
                </c:pt>
                <c:pt idx="3425">
                  <c:v>0.363203589353747</c:v>
                </c:pt>
                <c:pt idx="3426">
                  <c:v>0.367707935182437</c:v>
                </c:pt>
                <c:pt idx="3427">
                  <c:v>0.370759712230048</c:v>
                </c:pt>
                <c:pt idx="3428">
                  <c:v>0.347837004756645</c:v>
                </c:pt>
                <c:pt idx="3429">
                  <c:v>0.393235536510817</c:v>
                </c:pt>
                <c:pt idx="3430">
                  <c:v>0.346657778291293</c:v>
                </c:pt>
                <c:pt idx="3431">
                  <c:v>0.356892944781202</c:v>
                </c:pt>
                <c:pt idx="3432">
                  <c:v>0.371660668666949</c:v>
                </c:pt>
                <c:pt idx="3433">
                  <c:v>0.368046419021778</c:v>
                </c:pt>
                <c:pt idx="3434">
                  <c:v>0.392807450597378</c:v>
                </c:pt>
                <c:pt idx="3435">
                  <c:v>0.380975117864995</c:v>
                </c:pt>
                <c:pt idx="3436">
                  <c:v>0.352328548427569</c:v>
                </c:pt>
                <c:pt idx="3437">
                  <c:v>0.397922387962385</c:v>
                </c:pt>
                <c:pt idx="3438">
                  <c:v>0.366627433202562</c:v>
                </c:pt>
                <c:pt idx="3439">
                  <c:v>0.388037935133973</c:v>
                </c:pt>
                <c:pt idx="3440">
                  <c:v>0.349797308088022</c:v>
                </c:pt>
                <c:pt idx="3441">
                  <c:v>0.366704207440826</c:v>
                </c:pt>
                <c:pt idx="3442">
                  <c:v>0.356345088566523</c:v>
                </c:pt>
                <c:pt idx="3443">
                  <c:v>0.368024052730941</c:v>
                </c:pt>
                <c:pt idx="3444">
                  <c:v>0.393709575047997</c:v>
                </c:pt>
                <c:pt idx="3445">
                  <c:v>0.358470658611805</c:v>
                </c:pt>
                <c:pt idx="3446">
                  <c:v>0.390863584604907</c:v>
                </c:pt>
                <c:pt idx="3447">
                  <c:v>0.348511729657343</c:v>
                </c:pt>
                <c:pt idx="3448">
                  <c:v>0.362801651871329</c:v>
                </c:pt>
                <c:pt idx="3449">
                  <c:v>0.365022817408594</c:v>
                </c:pt>
                <c:pt idx="3450">
                  <c:v>0.383192807713755</c:v>
                </c:pt>
                <c:pt idx="3451">
                  <c:v>0.373838134036941</c:v>
                </c:pt>
                <c:pt idx="3452">
                  <c:v>0.371459261546774</c:v>
                </c:pt>
                <c:pt idx="3453">
                  <c:v>0.3673770510835</c:v>
                </c:pt>
                <c:pt idx="3454">
                  <c:v>0.383770897448073</c:v>
                </c:pt>
                <c:pt idx="3455">
                  <c:v>0.380124423948666</c:v>
                </c:pt>
                <c:pt idx="3456">
                  <c:v>0.372264368132761</c:v>
                </c:pt>
                <c:pt idx="3457">
                  <c:v>0.365102651588333</c:v>
                </c:pt>
                <c:pt idx="3458">
                  <c:v>0.370546203082474</c:v>
                </c:pt>
                <c:pt idx="3459">
                  <c:v>0.368563785798862</c:v>
                </c:pt>
                <c:pt idx="3460">
                  <c:v>0.37574824805066</c:v>
                </c:pt>
                <c:pt idx="3461">
                  <c:v>0.380104959661347</c:v>
                </c:pt>
                <c:pt idx="3462">
                  <c:v>0.372788201755364</c:v>
                </c:pt>
                <c:pt idx="3463">
                  <c:v>0.372019892857272</c:v>
                </c:pt>
                <c:pt idx="3464">
                  <c:v>0.380593260329759</c:v>
                </c:pt>
                <c:pt idx="3465">
                  <c:v>0.362391295432026</c:v>
                </c:pt>
                <c:pt idx="3466">
                  <c:v>0.376686375899348</c:v>
                </c:pt>
                <c:pt idx="3467">
                  <c:v>0.362397415853031</c:v>
                </c:pt>
                <c:pt idx="3468">
                  <c:v>0.357476222426148</c:v>
                </c:pt>
                <c:pt idx="3469">
                  <c:v>0.37926523765289</c:v>
                </c:pt>
                <c:pt idx="3470">
                  <c:v>0.377756033512274</c:v>
                </c:pt>
                <c:pt idx="3471">
                  <c:v>0.37168744941622</c:v>
                </c:pt>
                <c:pt idx="3472">
                  <c:v>0.350807404549576</c:v>
                </c:pt>
                <c:pt idx="3473">
                  <c:v>0.355164581323923</c:v>
                </c:pt>
                <c:pt idx="3474">
                  <c:v>0.354905662102915</c:v>
                </c:pt>
                <c:pt idx="3475">
                  <c:v>0.354233970606662</c:v>
                </c:pt>
                <c:pt idx="3476">
                  <c:v>0.396691710084083</c:v>
                </c:pt>
                <c:pt idx="3477">
                  <c:v>0.376467522762972</c:v>
                </c:pt>
                <c:pt idx="3478">
                  <c:v>0.36481322313999</c:v>
                </c:pt>
                <c:pt idx="3479">
                  <c:v>0.369347408213827</c:v>
                </c:pt>
                <c:pt idx="3480">
                  <c:v>0.365235216770759</c:v>
                </c:pt>
                <c:pt idx="3481">
                  <c:v>0.35423225423692</c:v>
                </c:pt>
                <c:pt idx="3482">
                  <c:v>0.373179266209585</c:v>
                </c:pt>
                <c:pt idx="3483">
                  <c:v>0.362343341231563</c:v>
                </c:pt>
                <c:pt idx="3484">
                  <c:v>0.368039782432389</c:v>
                </c:pt>
                <c:pt idx="3485">
                  <c:v>0.360438455978753</c:v>
                </c:pt>
                <c:pt idx="3486">
                  <c:v>0.371944785151888</c:v>
                </c:pt>
                <c:pt idx="3487">
                  <c:v>0.369306139750987</c:v>
                </c:pt>
                <c:pt idx="3488">
                  <c:v>0.366472263978482</c:v>
                </c:pt>
                <c:pt idx="3489">
                  <c:v>0.375196147560133</c:v>
                </c:pt>
                <c:pt idx="3490">
                  <c:v>0.368522089642138</c:v>
                </c:pt>
                <c:pt idx="3491">
                  <c:v>0.379167532504203</c:v>
                </c:pt>
                <c:pt idx="3492">
                  <c:v>0.343792898287264</c:v>
                </c:pt>
                <c:pt idx="3493">
                  <c:v>0.352885445544086</c:v>
                </c:pt>
                <c:pt idx="3494">
                  <c:v>0.368443007685739</c:v>
                </c:pt>
                <c:pt idx="3495">
                  <c:v>0.342413599143143</c:v>
                </c:pt>
                <c:pt idx="3496">
                  <c:v>0.366285251327118</c:v>
                </c:pt>
                <c:pt idx="3497">
                  <c:v>0.381995944910991</c:v>
                </c:pt>
                <c:pt idx="3498">
                  <c:v>0.352663779612338</c:v>
                </c:pt>
                <c:pt idx="3499">
                  <c:v>0.374011463048449</c:v>
                </c:pt>
                <c:pt idx="3500">
                  <c:v>0.332982422771545</c:v>
                </c:pt>
                <c:pt idx="3501">
                  <c:v>0.378419201570554</c:v>
                </c:pt>
                <c:pt idx="3502">
                  <c:v>0.362350022665545</c:v>
                </c:pt>
                <c:pt idx="3503">
                  <c:v>0.347718409926141</c:v>
                </c:pt>
                <c:pt idx="3504">
                  <c:v>0.361864237250575</c:v>
                </c:pt>
                <c:pt idx="3505">
                  <c:v>0.368954389194119</c:v>
                </c:pt>
                <c:pt idx="3506">
                  <c:v>0.369559263481035</c:v>
                </c:pt>
                <c:pt idx="3507">
                  <c:v>0.375803057129872</c:v>
                </c:pt>
                <c:pt idx="3508">
                  <c:v>0.37234560501376</c:v>
                </c:pt>
                <c:pt idx="3509">
                  <c:v>0.407275577008715</c:v>
                </c:pt>
                <c:pt idx="3510">
                  <c:v>0.363547213013141</c:v>
                </c:pt>
                <c:pt idx="3511">
                  <c:v>0.377381152290092</c:v>
                </c:pt>
                <c:pt idx="3512">
                  <c:v>0.3459935674402</c:v>
                </c:pt>
                <c:pt idx="3513">
                  <c:v>0.34739301508872</c:v>
                </c:pt>
                <c:pt idx="3514">
                  <c:v>0.364441410525629</c:v>
                </c:pt>
                <c:pt idx="3515">
                  <c:v>0.370386337817924</c:v>
                </c:pt>
                <c:pt idx="3516">
                  <c:v>0.353296049395443</c:v>
                </c:pt>
                <c:pt idx="3517">
                  <c:v>0.367399429229922</c:v>
                </c:pt>
                <c:pt idx="3518">
                  <c:v>0.375863767429989</c:v>
                </c:pt>
                <c:pt idx="3519">
                  <c:v>0.352295662976574</c:v>
                </c:pt>
                <c:pt idx="3520">
                  <c:v>0.401574849675351</c:v>
                </c:pt>
                <c:pt idx="3521">
                  <c:v>0.339426031007321</c:v>
                </c:pt>
                <c:pt idx="3522">
                  <c:v>0.35620002550558</c:v>
                </c:pt>
                <c:pt idx="3523">
                  <c:v>0.362746727505749</c:v>
                </c:pt>
                <c:pt idx="3524">
                  <c:v>0.353531082783177</c:v>
                </c:pt>
                <c:pt idx="3525">
                  <c:v>0.367751967707448</c:v>
                </c:pt>
                <c:pt idx="3526">
                  <c:v>0.383005835339974</c:v>
                </c:pt>
                <c:pt idx="3527">
                  <c:v>0.362385092658923</c:v>
                </c:pt>
                <c:pt idx="3528">
                  <c:v>0.37423116589022</c:v>
                </c:pt>
                <c:pt idx="3529">
                  <c:v>0.379520101322933</c:v>
                </c:pt>
                <c:pt idx="3530">
                  <c:v>0.370132555274398</c:v>
                </c:pt>
                <c:pt idx="3531">
                  <c:v>0.373110654409127</c:v>
                </c:pt>
                <c:pt idx="3532">
                  <c:v>0.3825677571778</c:v>
                </c:pt>
                <c:pt idx="3533">
                  <c:v>0.362647107811628</c:v>
                </c:pt>
                <c:pt idx="3534">
                  <c:v>0.377380692173805</c:v>
                </c:pt>
                <c:pt idx="3535">
                  <c:v>0.364185006957286</c:v>
                </c:pt>
                <c:pt idx="3536">
                  <c:v>0.372824425225036</c:v>
                </c:pt>
                <c:pt idx="3537">
                  <c:v>0.355238432806011</c:v>
                </c:pt>
                <c:pt idx="3538">
                  <c:v>0.3585604999172</c:v>
                </c:pt>
                <c:pt idx="3539">
                  <c:v>0.35900214135912</c:v>
                </c:pt>
                <c:pt idx="3540">
                  <c:v>0.356307125355644</c:v>
                </c:pt>
                <c:pt idx="3541">
                  <c:v>0.371311431699199</c:v>
                </c:pt>
                <c:pt idx="3542">
                  <c:v>0.372056078862455</c:v>
                </c:pt>
                <c:pt idx="3543">
                  <c:v>0.362775863863993</c:v>
                </c:pt>
                <c:pt idx="3544">
                  <c:v>0.368197568256441</c:v>
                </c:pt>
                <c:pt idx="3545">
                  <c:v>0.358671631116482</c:v>
                </c:pt>
                <c:pt idx="3546">
                  <c:v>0.356175172638437</c:v>
                </c:pt>
                <c:pt idx="3547">
                  <c:v>0.357037147798181</c:v>
                </c:pt>
                <c:pt idx="3548">
                  <c:v>0.339269083359824</c:v>
                </c:pt>
                <c:pt idx="3549">
                  <c:v>0.37171522504432</c:v>
                </c:pt>
                <c:pt idx="3550">
                  <c:v>0.365799753416012</c:v>
                </c:pt>
                <c:pt idx="3551">
                  <c:v>0.354485196007162</c:v>
                </c:pt>
                <c:pt idx="3552">
                  <c:v>0.369681211502044</c:v>
                </c:pt>
                <c:pt idx="3553">
                  <c:v>0.380253464803221</c:v>
                </c:pt>
                <c:pt idx="3554">
                  <c:v>0.361354760354696</c:v>
                </c:pt>
                <c:pt idx="3555">
                  <c:v>0.339547824720399</c:v>
                </c:pt>
                <c:pt idx="3556">
                  <c:v>0.345182800437166</c:v>
                </c:pt>
                <c:pt idx="3557">
                  <c:v>0.367741012267348</c:v>
                </c:pt>
                <c:pt idx="3558">
                  <c:v>0.368694495614607</c:v>
                </c:pt>
                <c:pt idx="3559">
                  <c:v>0.359207354254036</c:v>
                </c:pt>
                <c:pt idx="3560">
                  <c:v>0.385149967774356</c:v>
                </c:pt>
                <c:pt idx="3561">
                  <c:v>0.36810585293028</c:v>
                </c:pt>
                <c:pt idx="3562">
                  <c:v>0.342962646121334</c:v>
                </c:pt>
                <c:pt idx="3563">
                  <c:v>0.39491397997496</c:v>
                </c:pt>
                <c:pt idx="3564">
                  <c:v>0.349966529789032</c:v>
                </c:pt>
                <c:pt idx="3565">
                  <c:v>0.375334053715181</c:v>
                </c:pt>
                <c:pt idx="3566">
                  <c:v>0.369151641914714</c:v>
                </c:pt>
                <c:pt idx="3567">
                  <c:v>0.345456704344562</c:v>
                </c:pt>
                <c:pt idx="3568">
                  <c:v>0.369158222623114</c:v>
                </c:pt>
                <c:pt idx="3569">
                  <c:v>0.382992709178728</c:v>
                </c:pt>
                <c:pt idx="3570">
                  <c:v>0.351210412280316</c:v>
                </c:pt>
                <c:pt idx="3571">
                  <c:v>0.387475365429617</c:v>
                </c:pt>
                <c:pt idx="3572">
                  <c:v>0.378726025101303</c:v>
                </c:pt>
                <c:pt idx="3573">
                  <c:v>0.384850280615181</c:v>
                </c:pt>
                <c:pt idx="3574">
                  <c:v>0.371768364871203</c:v>
                </c:pt>
                <c:pt idx="3575">
                  <c:v>0.363732964917019</c:v>
                </c:pt>
                <c:pt idx="3576">
                  <c:v>0.37898057437088</c:v>
                </c:pt>
                <c:pt idx="3577">
                  <c:v>0.3685121897315</c:v>
                </c:pt>
                <c:pt idx="3578">
                  <c:v>0.349579327304249</c:v>
                </c:pt>
                <c:pt idx="3579">
                  <c:v>0.364813926461655</c:v>
                </c:pt>
                <c:pt idx="3580">
                  <c:v>0.389263047388575</c:v>
                </c:pt>
                <c:pt idx="3581">
                  <c:v>0.362902274636208</c:v>
                </c:pt>
                <c:pt idx="3582">
                  <c:v>0.37355619168036</c:v>
                </c:pt>
                <c:pt idx="3583">
                  <c:v>0.363946914554967</c:v>
                </c:pt>
                <c:pt idx="3584">
                  <c:v>0.380859458501467</c:v>
                </c:pt>
                <c:pt idx="3585">
                  <c:v>0.350035769165815</c:v>
                </c:pt>
                <c:pt idx="3586">
                  <c:v>0.392520206956178</c:v>
                </c:pt>
                <c:pt idx="3587">
                  <c:v>0.38209334870743</c:v>
                </c:pt>
                <c:pt idx="3588">
                  <c:v>0.366461939797306</c:v>
                </c:pt>
                <c:pt idx="3589">
                  <c:v>0.364358933052232</c:v>
                </c:pt>
                <c:pt idx="3590">
                  <c:v>0.374072675908387</c:v>
                </c:pt>
                <c:pt idx="3591">
                  <c:v>0.385273105574675</c:v>
                </c:pt>
                <c:pt idx="3592">
                  <c:v>0.367976428433409</c:v>
                </c:pt>
                <c:pt idx="3593">
                  <c:v>0.381321874133547</c:v>
                </c:pt>
                <c:pt idx="3594">
                  <c:v>0.365325975000725</c:v>
                </c:pt>
                <c:pt idx="3595">
                  <c:v>0.396040676352666</c:v>
                </c:pt>
                <c:pt idx="3596">
                  <c:v>0.355469689435523</c:v>
                </c:pt>
                <c:pt idx="3597">
                  <c:v>0.390262232668835</c:v>
                </c:pt>
                <c:pt idx="3598">
                  <c:v>0.365532557480203</c:v>
                </c:pt>
                <c:pt idx="3599">
                  <c:v>0.390607430862903</c:v>
                </c:pt>
                <c:pt idx="3600">
                  <c:v>0.393394002038208</c:v>
                </c:pt>
                <c:pt idx="3601">
                  <c:v>0.383406366203073</c:v>
                </c:pt>
                <c:pt idx="3602">
                  <c:v>0.356496730927991</c:v>
                </c:pt>
                <c:pt idx="3603">
                  <c:v>0.364586571352839</c:v>
                </c:pt>
                <c:pt idx="3604">
                  <c:v>0.373676157996502</c:v>
                </c:pt>
                <c:pt idx="3605">
                  <c:v>0.371194318665705</c:v>
                </c:pt>
                <c:pt idx="3606">
                  <c:v>0.366349601652458</c:v>
                </c:pt>
                <c:pt idx="3607">
                  <c:v>0.401618697453337</c:v>
                </c:pt>
                <c:pt idx="3608">
                  <c:v>0.3796029686968</c:v>
                </c:pt>
                <c:pt idx="3609">
                  <c:v>0.371503151056287</c:v>
                </c:pt>
                <c:pt idx="3610">
                  <c:v>0.352250422695413</c:v>
                </c:pt>
                <c:pt idx="3611">
                  <c:v>0.357933487242653</c:v>
                </c:pt>
                <c:pt idx="3612">
                  <c:v>0.372202734168391</c:v>
                </c:pt>
                <c:pt idx="3613">
                  <c:v>0.376567411359679</c:v>
                </c:pt>
                <c:pt idx="3614">
                  <c:v>0.366743436154388</c:v>
                </c:pt>
                <c:pt idx="3615">
                  <c:v>0.360464594603237</c:v>
                </c:pt>
                <c:pt idx="3616">
                  <c:v>0.349295183513453</c:v>
                </c:pt>
                <c:pt idx="3617">
                  <c:v>0.364357087619011</c:v>
                </c:pt>
                <c:pt idx="3618">
                  <c:v>0.36456494211854</c:v>
                </c:pt>
                <c:pt idx="3619">
                  <c:v>0.375862946696278</c:v>
                </c:pt>
                <c:pt idx="3620">
                  <c:v>0.368331561661043</c:v>
                </c:pt>
                <c:pt idx="3621">
                  <c:v>0.342527792693016</c:v>
                </c:pt>
                <c:pt idx="3622">
                  <c:v>0.37840455331976</c:v>
                </c:pt>
                <c:pt idx="3623">
                  <c:v>0.343832592920142</c:v>
                </c:pt>
                <c:pt idx="3624">
                  <c:v>0.351452332491379</c:v>
                </c:pt>
                <c:pt idx="3625">
                  <c:v>0.364870414774387</c:v>
                </c:pt>
                <c:pt idx="3626">
                  <c:v>0.38726540375971</c:v>
                </c:pt>
                <c:pt idx="3627">
                  <c:v>0.361851132854202</c:v>
                </c:pt>
                <c:pt idx="3628">
                  <c:v>0.386897369974553</c:v>
                </c:pt>
                <c:pt idx="3629">
                  <c:v>0.394445825596008</c:v>
                </c:pt>
                <c:pt idx="3630">
                  <c:v>0.346537688534649</c:v>
                </c:pt>
                <c:pt idx="3631">
                  <c:v>0.384026415560035</c:v>
                </c:pt>
                <c:pt idx="3632">
                  <c:v>0.378191355884075</c:v>
                </c:pt>
                <c:pt idx="3633">
                  <c:v>0.365923246425296</c:v>
                </c:pt>
                <c:pt idx="3634">
                  <c:v>0.366690167604444</c:v>
                </c:pt>
                <c:pt idx="3635">
                  <c:v>0.368661178624442</c:v>
                </c:pt>
                <c:pt idx="3636">
                  <c:v>0.368615004717664</c:v>
                </c:pt>
                <c:pt idx="3637">
                  <c:v>0.349089248868256</c:v>
                </c:pt>
                <c:pt idx="3638">
                  <c:v>0.357904955818543</c:v>
                </c:pt>
                <c:pt idx="3639">
                  <c:v>0.376402025492582</c:v>
                </c:pt>
                <c:pt idx="3640">
                  <c:v>0.371927159068271</c:v>
                </c:pt>
                <c:pt idx="3641">
                  <c:v>0.394090339162602</c:v>
                </c:pt>
                <c:pt idx="3642">
                  <c:v>0.3609984342027</c:v>
                </c:pt>
                <c:pt idx="3643">
                  <c:v>0.375196006049322</c:v>
                </c:pt>
                <c:pt idx="3644">
                  <c:v>0.379529736716646</c:v>
                </c:pt>
                <c:pt idx="3645">
                  <c:v>0.392462262285864</c:v>
                </c:pt>
                <c:pt idx="3646">
                  <c:v>0.332556170980001</c:v>
                </c:pt>
                <c:pt idx="3647">
                  <c:v>0.363502009087402</c:v>
                </c:pt>
                <c:pt idx="3648">
                  <c:v>0.391307330607891</c:v>
                </c:pt>
                <c:pt idx="3649">
                  <c:v>0.34962182628452</c:v>
                </c:pt>
                <c:pt idx="3650">
                  <c:v>0.389260274970389</c:v>
                </c:pt>
                <c:pt idx="3651">
                  <c:v>0.371177743709491</c:v>
                </c:pt>
                <c:pt idx="3652">
                  <c:v>0.371549006307195</c:v>
                </c:pt>
                <c:pt idx="3653">
                  <c:v>0.358663689984204</c:v>
                </c:pt>
                <c:pt idx="3654">
                  <c:v>0.354046444229926</c:v>
                </c:pt>
                <c:pt idx="3655">
                  <c:v>0.348296371869397</c:v>
                </c:pt>
                <c:pt idx="3656">
                  <c:v>0.3568250677115</c:v>
                </c:pt>
                <c:pt idx="3657">
                  <c:v>0.354206161398864</c:v>
                </c:pt>
                <c:pt idx="3658">
                  <c:v>0.356452105529371</c:v>
                </c:pt>
                <c:pt idx="3659">
                  <c:v>0.362520945069532</c:v>
                </c:pt>
                <c:pt idx="3660">
                  <c:v>0.361033786786327</c:v>
                </c:pt>
                <c:pt idx="3661">
                  <c:v>0.369530268670075</c:v>
                </c:pt>
                <c:pt idx="3662">
                  <c:v>0.333855086512092</c:v>
                </c:pt>
                <c:pt idx="3663">
                  <c:v>0.367262769654643</c:v>
                </c:pt>
                <c:pt idx="3664">
                  <c:v>0.358135006154774</c:v>
                </c:pt>
                <c:pt idx="3665">
                  <c:v>0.373642203896982</c:v>
                </c:pt>
                <c:pt idx="3666">
                  <c:v>0.369596530549186</c:v>
                </c:pt>
                <c:pt idx="3667">
                  <c:v>0.380756714485249</c:v>
                </c:pt>
                <c:pt idx="3668">
                  <c:v>0.378946841757372</c:v>
                </c:pt>
                <c:pt idx="3669">
                  <c:v>0.371696442092181</c:v>
                </c:pt>
                <c:pt idx="3670">
                  <c:v>0.362256068947835</c:v>
                </c:pt>
                <c:pt idx="3671">
                  <c:v>0.368596367199945</c:v>
                </c:pt>
                <c:pt idx="3672">
                  <c:v>0.377794648794676</c:v>
                </c:pt>
                <c:pt idx="3673">
                  <c:v>0.379618827999727</c:v>
                </c:pt>
                <c:pt idx="3674">
                  <c:v>0.364683101383489</c:v>
                </c:pt>
                <c:pt idx="3675">
                  <c:v>0.352819892777403</c:v>
                </c:pt>
                <c:pt idx="3676">
                  <c:v>0.350557321227401</c:v>
                </c:pt>
                <c:pt idx="3677">
                  <c:v>0.359830004349637</c:v>
                </c:pt>
                <c:pt idx="3678">
                  <c:v>0.372469360194648</c:v>
                </c:pt>
                <c:pt idx="3679">
                  <c:v>0.372754824983906</c:v>
                </c:pt>
                <c:pt idx="3680">
                  <c:v>0.363109054761041</c:v>
                </c:pt>
                <c:pt idx="3681">
                  <c:v>0.357339048834413</c:v>
                </c:pt>
                <c:pt idx="3682">
                  <c:v>0.369724314434309</c:v>
                </c:pt>
                <c:pt idx="3683">
                  <c:v>0.349216176954921</c:v>
                </c:pt>
                <c:pt idx="3684">
                  <c:v>0.364218857251573</c:v>
                </c:pt>
                <c:pt idx="3685">
                  <c:v>0.36107563668278</c:v>
                </c:pt>
                <c:pt idx="3686">
                  <c:v>0.368970484545754</c:v>
                </c:pt>
                <c:pt idx="3687">
                  <c:v>0.371871701304695</c:v>
                </c:pt>
                <c:pt idx="3688">
                  <c:v>0.378867942370442</c:v>
                </c:pt>
                <c:pt idx="3689">
                  <c:v>0.367109071619669</c:v>
                </c:pt>
                <c:pt idx="3690">
                  <c:v>0.38381596787816</c:v>
                </c:pt>
                <c:pt idx="3691">
                  <c:v>0.359482428693276</c:v>
                </c:pt>
                <c:pt idx="3692">
                  <c:v>0.371403228858218</c:v>
                </c:pt>
                <c:pt idx="3693">
                  <c:v>0.378970063961306</c:v>
                </c:pt>
                <c:pt idx="3694">
                  <c:v>0.365651000609804</c:v>
                </c:pt>
                <c:pt idx="3695">
                  <c:v>0.376207618048944</c:v>
                </c:pt>
                <c:pt idx="3696">
                  <c:v>0.361818448279017</c:v>
                </c:pt>
                <c:pt idx="3697">
                  <c:v>0.350603886773458</c:v>
                </c:pt>
                <c:pt idx="3698">
                  <c:v>0.355668711156103</c:v>
                </c:pt>
                <c:pt idx="3699">
                  <c:v>0.362294646834839</c:v>
                </c:pt>
                <c:pt idx="3700">
                  <c:v>0.371741802453102</c:v>
                </c:pt>
                <c:pt idx="3701">
                  <c:v>0.389282273212275</c:v>
                </c:pt>
                <c:pt idx="3702">
                  <c:v>0.370467883185248</c:v>
                </c:pt>
                <c:pt idx="3703">
                  <c:v>0.377149855353079</c:v>
                </c:pt>
                <c:pt idx="3704">
                  <c:v>0.365429738856541</c:v>
                </c:pt>
                <c:pt idx="3705">
                  <c:v>0.373121662318224</c:v>
                </c:pt>
                <c:pt idx="3706">
                  <c:v>0.358909467707503</c:v>
                </c:pt>
                <c:pt idx="3707">
                  <c:v>0.359675184312733</c:v>
                </c:pt>
                <c:pt idx="3708">
                  <c:v>0.368240112467638</c:v>
                </c:pt>
                <c:pt idx="3709">
                  <c:v>0.35783809270297</c:v>
                </c:pt>
                <c:pt idx="3710">
                  <c:v>0.36199338960197</c:v>
                </c:pt>
                <c:pt idx="3711">
                  <c:v>0.376374150947421</c:v>
                </c:pt>
                <c:pt idx="3712">
                  <c:v>0.373768326685888</c:v>
                </c:pt>
                <c:pt idx="3713">
                  <c:v>0.363221584411151</c:v>
                </c:pt>
                <c:pt idx="3714">
                  <c:v>0.399973280409448</c:v>
                </c:pt>
                <c:pt idx="3715">
                  <c:v>0.368213655673759</c:v>
                </c:pt>
                <c:pt idx="3716">
                  <c:v>0.384395854624085</c:v>
                </c:pt>
                <c:pt idx="3717">
                  <c:v>0.363449181392313</c:v>
                </c:pt>
                <c:pt idx="3718">
                  <c:v>0.352562022930774</c:v>
                </c:pt>
                <c:pt idx="3719">
                  <c:v>0.369425039808529</c:v>
                </c:pt>
                <c:pt idx="3720">
                  <c:v>0.353414085019805</c:v>
                </c:pt>
                <c:pt idx="3721">
                  <c:v>0.359075995859896</c:v>
                </c:pt>
                <c:pt idx="3722">
                  <c:v>0.354651832546355</c:v>
                </c:pt>
                <c:pt idx="3723">
                  <c:v>0.373921507299116</c:v>
                </c:pt>
                <c:pt idx="3724">
                  <c:v>0.361903674010907</c:v>
                </c:pt>
                <c:pt idx="3725">
                  <c:v>0.360047148209436</c:v>
                </c:pt>
                <c:pt idx="3726">
                  <c:v>0.343462351943296</c:v>
                </c:pt>
                <c:pt idx="3727">
                  <c:v>0.369472417723976</c:v>
                </c:pt>
                <c:pt idx="3728">
                  <c:v>0.387573595146253</c:v>
                </c:pt>
                <c:pt idx="3729">
                  <c:v>0.355638867509596</c:v>
                </c:pt>
                <c:pt idx="3730">
                  <c:v>0.359716459993383</c:v>
                </c:pt>
                <c:pt idx="3731">
                  <c:v>0.35654865218182</c:v>
                </c:pt>
                <c:pt idx="3732">
                  <c:v>0.359732831869552</c:v>
                </c:pt>
                <c:pt idx="3733">
                  <c:v>0.35797677458455</c:v>
                </c:pt>
                <c:pt idx="3734">
                  <c:v>0.364700576173905</c:v>
                </c:pt>
                <c:pt idx="3735">
                  <c:v>0.376474254414394</c:v>
                </c:pt>
                <c:pt idx="3736">
                  <c:v>0.389527949182463</c:v>
                </c:pt>
                <c:pt idx="3737">
                  <c:v>0.38250162079996</c:v>
                </c:pt>
                <c:pt idx="3738">
                  <c:v>0.358061147019645</c:v>
                </c:pt>
                <c:pt idx="3739">
                  <c:v>0.364633666192669</c:v>
                </c:pt>
                <c:pt idx="3740">
                  <c:v>0.358113807614848</c:v>
                </c:pt>
                <c:pt idx="3741">
                  <c:v>0.363395851433338</c:v>
                </c:pt>
                <c:pt idx="3742">
                  <c:v>0.380997564541807</c:v>
                </c:pt>
                <c:pt idx="3743">
                  <c:v>0.372188023178722</c:v>
                </c:pt>
                <c:pt idx="3744">
                  <c:v>0.389961849218172</c:v>
                </c:pt>
                <c:pt idx="3745">
                  <c:v>0.359763721422245</c:v>
                </c:pt>
                <c:pt idx="3746">
                  <c:v>0.366464089591025</c:v>
                </c:pt>
                <c:pt idx="3747">
                  <c:v>0.355189857638674</c:v>
                </c:pt>
                <c:pt idx="3748">
                  <c:v>0.378377473835865</c:v>
                </c:pt>
                <c:pt idx="3749">
                  <c:v>0.354743629736444</c:v>
                </c:pt>
                <c:pt idx="3750">
                  <c:v>0.36412415510451</c:v>
                </c:pt>
                <c:pt idx="3751">
                  <c:v>0.353111053739265</c:v>
                </c:pt>
                <c:pt idx="3752">
                  <c:v>0.354157188435569</c:v>
                </c:pt>
                <c:pt idx="3753">
                  <c:v>0.365148538242601</c:v>
                </c:pt>
                <c:pt idx="3754">
                  <c:v>0.359399042810679</c:v>
                </c:pt>
                <c:pt idx="3755">
                  <c:v>0.375177267335666</c:v>
                </c:pt>
                <c:pt idx="3756">
                  <c:v>0.364712903910935</c:v>
                </c:pt>
                <c:pt idx="3757">
                  <c:v>0.394652001329992</c:v>
                </c:pt>
                <c:pt idx="3758">
                  <c:v>0.369665422199972</c:v>
                </c:pt>
                <c:pt idx="3759">
                  <c:v>0.368397800573158</c:v>
                </c:pt>
                <c:pt idx="3760">
                  <c:v>0.347989814500893</c:v>
                </c:pt>
                <c:pt idx="3761">
                  <c:v>0.397957597718742</c:v>
                </c:pt>
                <c:pt idx="3762">
                  <c:v>0.360849967197545</c:v>
                </c:pt>
                <c:pt idx="3763">
                  <c:v>0.372014312488769</c:v>
                </c:pt>
                <c:pt idx="3764">
                  <c:v>0.38729039534629</c:v>
                </c:pt>
                <c:pt idx="3765">
                  <c:v>0.394282950163328</c:v>
                </c:pt>
                <c:pt idx="3766">
                  <c:v>0.356773961176862</c:v>
                </c:pt>
                <c:pt idx="3767">
                  <c:v>0.389374731588231</c:v>
                </c:pt>
                <c:pt idx="3768">
                  <c:v>0.333759999131641</c:v>
                </c:pt>
                <c:pt idx="3769">
                  <c:v>0.398817738948722</c:v>
                </c:pt>
                <c:pt idx="3770">
                  <c:v>0.371698908404859</c:v>
                </c:pt>
                <c:pt idx="3771">
                  <c:v>0.368765804934898</c:v>
                </c:pt>
                <c:pt idx="3772">
                  <c:v>0.368057346468345</c:v>
                </c:pt>
                <c:pt idx="3773">
                  <c:v>0.365277638074065</c:v>
                </c:pt>
                <c:pt idx="3774">
                  <c:v>0.337382120908455</c:v>
                </c:pt>
                <c:pt idx="3775">
                  <c:v>0.382093076872811</c:v>
                </c:pt>
                <c:pt idx="3776">
                  <c:v>0.343880535075221</c:v>
                </c:pt>
                <c:pt idx="3777">
                  <c:v>0.374067769762246</c:v>
                </c:pt>
                <c:pt idx="3778">
                  <c:v>0.379428805323037</c:v>
                </c:pt>
                <c:pt idx="3779">
                  <c:v>0.383070028732142</c:v>
                </c:pt>
                <c:pt idx="3780">
                  <c:v>0.355655714385034</c:v>
                </c:pt>
                <c:pt idx="3781">
                  <c:v>0.35403846541859</c:v>
                </c:pt>
                <c:pt idx="3782">
                  <c:v>0.359201828670777</c:v>
                </c:pt>
                <c:pt idx="3783">
                  <c:v>0.374326365179576</c:v>
                </c:pt>
                <c:pt idx="3784">
                  <c:v>0.363873932303285</c:v>
                </c:pt>
                <c:pt idx="3785">
                  <c:v>0.340132441062731</c:v>
                </c:pt>
                <c:pt idx="3786">
                  <c:v>0.362514241397877</c:v>
                </c:pt>
                <c:pt idx="3787">
                  <c:v>0.377898595762804</c:v>
                </c:pt>
                <c:pt idx="3788">
                  <c:v>0.378292016206835</c:v>
                </c:pt>
                <c:pt idx="3789">
                  <c:v>0.354127592276169</c:v>
                </c:pt>
                <c:pt idx="3790">
                  <c:v>0.352381025264511</c:v>
                </c:pt>
                <c:pt idx="3791">
                  <c:v>0.378908680568676</c:v>
                </c:pt>
                <c:pt idx="3792">
                  <c:v>0.370789579216047</c:v>
                </c:pt>
                <c:pt idx="3793">
                  <c:v>0.359125412170082</c:v>
                </c:pt>
                <c:pt idx="3794">
                  <c:v>0.376685004935841</c:v>
                </c:pt>
                <c:pt idx="3795">
                  <c:v>0.341604110896106</c:v>
                </c:pt>
                <c:pt idx="3796">
                  <c:v>0.372899420578097</c:v>
                </c:pt>
                <c:pt idx="3797">
                  <c:v>0.370892319204037</c:v>
                </c:pt>
                <c:pt idx="3798">
                  <c:v>0.352911771312015</c:v>
                </c:pt>
                <c:pt idx="3799">
                  <c:v>0.358753660618754</c:v>
                </c:pt>
                <c:pt idx="3800">
                  <c:v>0.357659434474187</c:v>
                </c:pt>
                <c:pt idx="3801">
                  <c:v>0.373788606654534</c:v>
                </c:pt>
                <c:pt idx="3802">
                  <c:v>0.371717730339127</c:v>
                </c:pt>
                <c:pt idx="3803">
                  <c:v>0.351556114224601</c:v>
                </c:pt>
                <c:pt idx="3804">
                  <c:v>0.346634840504389</c:v>
                </c:pt>
                <c:pt idx="3805">
                  <c:v>0.383182220263876</c:v>
                </c:pt>
                <c:pt idx="3806">
                  <c:v>0.362052880859626</c:v>
                </c:pt>
                <c:pt idx="3807">
                  <c:v>0.379333880910507</c:v>
                </c:pt>
                <c:pt idx="3808">
                  <c:v>0.370552216740017</c:v>
                </c:pt>
                <c:pt idx="3809">
                  <c:v>0.345539779925731</c:v>
                </c:pt>
                <c:pt idx="3810">
                  <c:v>0.36153552817918</c:v>
                </c:pt>
                <c:pt idx="3811">
                  <c:v>0.374942724621981</c:v>
                </c:pt>
                <c:pt idx="3812">
                  <c:v>0.369001850167361</c:v>
                </c:pt>
                <c:pt idx="3813">
                  <c:v>0.357723836608886</c:v>
                </c:pt>
                <c:pt idx="3814">
                  <c:v>0.367065403701074</c:v>
                </c:pt>
                <c:pt idx="3815">
                  <c:v>0.375212892558694</c:v>
                </c:pt>
                <c:pt idx="3816">
                  <c:v>0.398978971769106</c:v>
                </c:pt>
                <c:pt idx="3817">
                  <c:v>0.34732868118386</c:v>
                </c:pt>
                <c:pt idx="3818">
                  <c:v>0.35258433827903</c:v>
                </c:pt>
                <c:pt idx="3819">
                  <c:v>0.369985902128915</c:v>
                </c:pt>
                <c:pt idx="3820">
                  <c:v>0.34314192109951</c:v>
                </c:pt>
                <c:pt idx="3821">
                  <c:v>0.392795602987278</c:v>
                </c:pt>
                <c:pt idx="3822">
                  <c:v>0.389073141534644</c:v>
                </c:pt>
                <c:pt idx="3823">
                  <c:v>0.354212184998531</c:v>
                </c:pt>
                <c:pt idx="3824">
                  <c:v>0.359076520629122</c:v>
                </c:pt>
                <c:pt idx="3825">
                  <c:v>0.366406387531328</c:v>
                </c:pt>
                <c:pt idx="3826">
                  <c:v>0.374261820763042</c:v>
                </c:pt>
                <c:pt idx="3827">
                  <c:v>0.36710515783279</c:v>
                </c:pt>
                <c:pt idx="3828">
                  <c:v>0.371513603803866</c:v>
                </c:pt>
                <c:pt idx="3829">
                  <c:v>0.375022195426165</c:v>
                </c:pt>
                <c:pt idx="3830">
                  <c:v>0.359778186570718</c:v>
                </c:pt>
                <c:pt idx="3831">
                  <c:v>0.365171669712864</c:v>
                </c:pt>
                <c:pt idx="3832">
                  <c:v>0.377889676736828</c:v>
                </c:pt>
                <c:pt idx="3833">
                  <c:v>0.353451435353527</c:v>
                </c:pt>
                <c:pt idx="3834">
                  <c:v>0.359449158043549</c:v>
                </c:pt>
                <c:pt idx="3835">
                  <c:v>0.381110949101288</c:v>
                </c:pt>
                <c:pt idx="3836">
                  <c:v>0.381773742088913</c:v>
                </c:pt>
                <c:pt idx="3837">
                  <c:v>0.377557940741971</c:v>
                </c:pt>
                <c:pt idx="3838">
                  <c:v>0.371258810696605</c:v>
                </c:pt>
                <c:pt idx="3839">
                  <c:v>0.366600882381987</c:v>
                </c:pt>
                <c:pt idx="3840">
                  <c:v>0.351120642390604</c:v>
                </c:pt>
                <c:pt idx="3841">
                  <c:v>0.365048713453578</c:v>
                </c:pt>
                <c:pt idx="3842">
                  <c:v>0.378365091140249</c:v>
                </c:pt>
                <c:pt idx="3843">
                  <c:v>0.387190949099727</c:v>
                </c:pt>
                <c:pt idx="3844">
                  <c:v>0.353963153501619</c:v>
                </c:pt>
                <c:pt idx="3845">
                  <c:v>0.373347928026284</c:v>
                </c:pt>
                <c:pt idx="3846">
                  <c:v>0.364812881259788</c:v>
                </c:pt>
                <c:pt idx="3847">
                  <c:v>0.380080815539087</c:v>
                </c:pt>
                <c:pt idx="3848">
                  <c:v>0.363962977044321</c:v>
                </c:pt>
                <c:pt idx="3849">
                  <c:v>0.358633542197724</c:v>
                </c:pt>
                <c:pt idx="3850">
                  <c:v>0.367708169825921</c:v>
                </c:pt>
                <c:pt idx="3851">
                  <c:v>0.366936675826571</c:v>
                </c:pt>
                <c:pt idx="3852">
                  <c:v>0.380809289932074</c:v>
                </c:pt>
                <c:pt idx="3853">
                  <c:v>0.367582293473685</c:v>
                </c:pt>
                <c:pt idx="3854">
                  <c:v>0.357700581260616</c:v>
                </c:pt>
                <c:pt idx="3855">
                  <c:v>0.338869457863132</c:v>
                </c:pt>
                <c:pt idx="3856">
                  <c:v>0.388140027244905</c:v>
                </c:pt>
                <c:pt idx="3857">
                  <c:v>0.352939615963959</c:v>
                </c:pt>
                <c:pt idx="3858">
                  <c:v>0.350710520055699</c:v>
                </c:pt>
                <c:pt idx="3859">
                  <c:v>0.363440240319293</c:v>
                </c:pt>
                <c:pt idx="3860">
                  <c:v>0.34831958817761</c:v>
                </c:pt>
                <c:pt idx="3861">
                  <c:v>0.365647273171317</c:v>
                </c:pt>
                <c:pt idx="3862">
                  <c:v>0.341146701235175</c:v>
                </c:pt>
                <c:pt idx="3863">
                  <c:v>0.357650797554782</c:v>
                </c:pt>
                <c:pt idx="3864">
                  <c:v>0.351739317856066</c:v>
                </c:pt>
                <c:pt idx="3865">
                  <c:v>0.374523679396606</c:v>
                </c:pt>
                <c:pt idx="3866">
                  <c:v>0.378087036415742</c:v>
                </c:pt>
                <c:pt idx="3867">
                  <c:v>0.369000385868075</c:v>
                </c:pt>
                <c:pt idx="3868">
                  <c:v>0.379999386045567</c:v>
                </c:pt>
                <c:pt idx="3869">
                  <c:v>0.341617721051454</c:v>
                </c:pt>
                <c:pt idx="3870">
                  <c:v>0.362455613405203</c:v>
                </c:pt>
                <c:pt idx="3871">
                  <c:v>0.345123007948146</c:v>
                </c:pt>
                <c:pt idx="3872">
                  <c:v>0.338349639544114</c:v>
                </c:pt>
                <c:pt idx="3873">
                  <c:v>0.381540496074729</c:v>
                </c:pt>
                <c:pt idx="3874">
                  <c:v>0.355122653564021</c:v>
                </c:pt>
                <c:pt idx="3875">
                  <c:v>0.379536780856839</c:v>
                </c:pt>
                <c:pt idx="3876">
                  <c:v>0.355570832444692</c:v>
                </c:pt>
                <c:pt idx="3877">
                  <c:v>0.363167727702404</c:v>
                </c:pt>
                <c:pt idx="3878">
                  <c:v>0.360291826177565</c:v>
                </c:pt>
                <c:pt idx="3879">
                  <c:v>0.367551818866233</c:v>
                </c:pt>
                <c:pt idx="3880">
                  <c:v>0.372205163870327</c:v>
                </c:pt>
                <c:pt idx="3881">
                  <c:v>0.368104330939748</c:v>
                </c:pt>
                <c:pt idx="3882">
                  <c:v>0.385929646539578</c:v>
                </c:pt>
                <c:pt idx="3883">
                  <c:v>0.359141425791358</c:v>
                </c:pt>
                <c:pt idx="3884">
                  <c:v>0.343781097224538</c:v>
                </c:pt>
                <c:pt idx="3885">
                  <c:v>0.367093915562692</c:v>
                </c:pt>
                <c:pt idx="3886">
                  <c:v>0.352248246615536</c:v>
                </c:pt>
                <c:pt idx="3887">
                  <c:v>0.362385776397557</c:v>
                </c:pt>
                <c:pt idx="3888">
                  <c:v>0.359177768219903</c:v>
                </c:pt>
                <c:pt idx="3889">
                  <c:v>0.381776268731468</c:v>
                </c:pt>
                <c:pt idx="3890">
                  <c:v>0.359128549357919</c:v>
                </c:pt>
                <c:pt idx="3891">
                  <c:v>0.353095144842471</c:v>
                </c:pt>
                <c:pt idx="3892">
                  <c:v>0.370702313670397</c:v>
                </c:pt>
                <c:pt idx="3893">
                  <c:v>0.361199614715887</c:v>
                </c:pt>
                <c:pt idx="3894">
                  <c:v>0.350368271309905</c:v>
                </c:pt>
                <c:pt idx="3895">
                  <c:v>0.343123352490897</c:v>
                </c:pt>
                <c:pt idx="3896">
                  <c:v>0.380170623308212</c:v>
                </c:pt>
                <c:pt idx="3897">
                  <c:v>0.364779591656637</c:v>
                </c:pt>
                <c:pt idx="3898">
                  <c:v>0.362581572360783</c:v>
                </c:pt>
                <c:pt idx="3899">
                  <c:v>0.382226638687571</c:v>
                </c:pt>
                <c:pt idx="3900">
                  <c:v>0.391318774285008</c:v>
                </c:pt>
                <c:pt idx="3901">
                  <c:v>0.348518560275548</c:v>
                </c:pt>
                <c:pt idx="3902">
                  <c:v>0.376731062560817</c:v>
                </c:pt>
                <c:pt idx="3903">
                  <c:v>0.385750774594014</c:v>
                </c:pt>
                <c:pt idx="3904">
                  <c:v>0.370158823210196</c:v>
                </c:pt>
                <c:pt idx="3905">
                  <c:v>0.343874333385115</c:v>
                </c:pt>
                <c:pt idx="3906">
                  <c:v>0.377759941336192</c:v>
                </c:pt>
                <c:pt idx="3907">
                  <c:v>0.363019341452003</c:v>
                </c:pt>
                <c:pt idx="3908">
                  <c:v>0.372100758429775</c:v>
                </c:pt>
                <c:pt idx="3909">
                  <c:v>0.361039121617149</c:v>
                </c:pt>
                <c:pt idx="3910">
                  <c:v>0.359385647984925</c:v>
                </c:pt>
                <c:pt idx="3911">
                  <c:v>0.360351240049035</c:v>
                </c:pt>
                <c:pt idx="3912">
                  <c:v>0.365257155706921</c:v>
                </c:pt>
                <c:pt idx="3913">
                  <c:v>0.362627453265013</c:v>
                </c:pt>
                <c:pt idx="3914">
                  <c:v>0.372731348334855</c:v>
                </c:pt>
                <c:pt idx="3915">
                  <c:v>0.352456838891624</c:v>
                </c:pt>
                <c:pt idx="3916">
                  <c:v>0.347365743370688</c:v>
                </c:pt>
                <c:pt idx="3917">
                  <c:v>0.376615848206054</c:v>
                </c:pt>
                <c:pt idx="3918">
                  <c:v>0.360491194574066</c:v>
                </c:pt>
                <c:pt idx="3919">
                  <c:v>0.373445762801208</c:v>
                </c:pt>
                <c:pt idx="3920">
                  <c:v>0.349808032300311</c:v>
                </c:pt>
                <c:pt idx="3921">
                  <c:v>0.362080479077094</c:v>
                </c:pt>
                <c:pt idx="3922">
                  <c:v>0.365001001585547</c:v>
                </c:pt>
                <c:pt idx="3923">
                  <c:v>0.338291979432035</c:v>
                </c:pt>
                <c:pt idx="3924">
                  <c:v>0.346479097425458</c:v>
                </c:pt>
                <c:pt idx="3925">
                  <c:v>0.348606142037212</c:v>
                </c:pt>
                <c:pt idx="3926">
                  <c:v>0.373322505875521</c:v>
                </c:pt>
                <c:pt idx="3927">
                  <c:v>0.366987012698734</c:v>
                </c:pt>
                <c:pt idx="3928">
                  <c:v>0.367330216061275</c:v>
                </c:pt>
                <c:pt idx="3929">
                  <c:v>0.360750840856595</c:v>
                </c:pt>
                <c:pt idx="3930">
                  <c:v>0.341598909051191</c:v>
                </c:pt>
                <c:pt idx="3931">
                  <c:v>0.35845832272387</c:v>
                </c:pt>
                <c:pt idx="3932">
                  <c:v>0.384980552636534</c:v>
                </c:pt>
                <c:pt idx="3933">
                  <c:v>0.35666028333333</c:v>
                </c:pt>
                <c:pt idx="3934">
                  <c:v>0.369066736007602</c:v>
                </c:pt>
                <c:pt idx="3935">
                  <c:v>0.40168753409871</c:v>
                </c:pt>
                <c:pt idx="3936">
                  <c:v>0.337808042613368</c:v>
                </c:pt>
                <c:pt idx="3937">
                  <c:v>0.361651842440728</c:v>
                </c:pt>
                <c:pt idx="3938">
                  <c:v>0.367009168724683</c:v>
                </c:pt>
                <c:pt idx="3939">
                  <c:v>0.383661929603702</c:v>
                </c:pt>
                <c:pt idx="3940">
                  <c:v>0.36926392051598</c:v>
                </c:pt>
                <c:pt idx="3941">
                  <c:v>0.377055616720482</c:v>
                </c:pt>
                <c:pt idx="3942">
                  <c:v>0.390717674089018</c:v>
                </c:pt>
                <c:pt idx="3943">
                  <c:v>0.359591961077568</c:v>
                </c:pt>
                <c:pt idx="3944">
                  <c:v>0.373659486390641</c:v>
                </c:pt>
                <c:pt idx="3945">
                  <c:v>0.36494122293458</c:v>
                </c:pt>
                <c:pt idx="3946">
                  <c:v>0.390965897836736</c:v>
                </c:pt>
                <c:pt idx="3947">
                  <c:v>0.371605743414334</c:v>
                </c:pt>
                <c:pt idx="3948">
                  <c:v>0.345563675845027</c:v>
                </c:pt>
                <c:pt idx="3949">
                  <c:v>0.352314221987498</c:v>
                </c:pt>
                <c:pt idx="3950">
                  <c:v>0.36954651129287</c:v>
                </c:pt>
                <c:pt idx="3951">
                  <c:v>0.376684737772473</c:v>
                </c:pt>
                <c:pt idx="3952">
                  <c:v>0.355701136372554</c:v>
                </c:pt>
                <c:pt idx="3953">
                  <c:v>0.387362415248678</c:v>
                </c:pt>
                <c:pt idx="3954">
                  <c:v>0.369189633415735</c:v>
                </c:pt>
                <c:pt idx="3955">
                  <c:v>0.374140023897858</c:v>
                </c:pt>
                <c:pt idx="3956">
                  <c:v>0.360499495873755</c:v>
                </c:pt>
                <c:pt idx="3957">
                  <c:v>0.357871194410076</c:v>
                </c:pt>
                <c:pt idx="3958">
                  <c:v>0.368861344918672</c:v>
                </c:pt>
                <c:pt idx="3959">
                  <c:v>0.363220292746832</c:v>
                </c:pt>
                <c:pt idx="3960">
                  <c:v>0.365363561793089</c:v>
                </c:pt>
                <c:pt idx="3961">
                  <c:v>0.40261191073444</c:v>
                </c:pt>
                <c:pt idx="3962">
                  <c:v>0.358014569786592</c:v>
                </c:pt>
                <c:pt idx="3963">
                  <c:v>0.389530453917254</c:v>
                </c:pt>
                <c:pt idx="3964">
                  <c:v>0.37672325862001</c:v>
                </c:pt>
                <c:pt idx="3965">
                  <c:v>0.339923196727867</c:v>
                </c:pt>
                <c:pt idx="3966">
                  <c:v>0.362407707359802</c:v>
                </c:pt>
                <c:pt idx="3967">
                  <c:v>0.369834358379652</c:v>
                </c:pt>
                <c:pt idx="3968">
                  <c:v>0.366318801946299</c:v>
                </c:pt>
                <c:pt idx="3969">
                  <c:v>0.383073949863805</c:v>
                </c:pt>
                <c:pt idx="3970">
                  <c:v>0.373281941497733</c:v>
                </c:pt>
                <c:pt idx="3971">
                  <c:v>0.365467466728839</c:v>
                </c:pt>
                <c:pt idx="3972">
                  <c:v>0.380421075164376</c:v>
                </c:pt>
                <c:pt idx="3973">
                  <c:v>0.378099302772989</c:v>
                </c:pt>
                <c:pt idx="3974">
                  <c:v>0.391560810075559</c:v>
                </c:pt>
                <c:pt idx="3975">
                  <c:v>0.356101714365656</c:v>
                </c:pt>
                <c:pt idx="3976">
                  <c:v>0.352692345664569</c:v>
                </c:pt>
                <c:pt idx="3977">
                  <c:v>0.356451458062785</c:v>
                </c:pt>
                <c:pt idx="3978">
                  <c:v>0.348308869032888</c:v>
                </c:pt>
                <c:pt idx="3979">
                  <c:v>0.348454665206764</c:v>
                </c:pt>
                <c:pt idx="3980">
                  <c:v>0.358250710674136</c:v>
                </c:pt>
                <c:pt idx="3981">
                  <c:v>0.368136053907446</c:v>
                </c:pt>
                <c:pt idx="3982">
                  <c:v>0.35694530190897</c:v>
                </c:pt>
                <c:pt idx="3983">
                  <c:v>0.385468689052089</c:v>
                </c:pt>
                <c:pt idx="3984">
                  <c:v>0.367273930591559</c:v>
                </c:pt>
                <c:pt idx="3985">
                  <c:v>0.361619718309439</c:v>
                </c:pt>
                <c:pt idx="3986">
                  <c:v>0.367305542745813</c:v>
                </c:pt>
                <c:pt idx="3987">
                  <c:v>0.365656895777455</c:v>
                </c:pt>
                <c:pt idx="3988">
                  <c:v>0.357474731392326</c:v>
                </c:pt>
                <c:pt idx="3989">
                  <c:v>0.351165848352654</c:v>
                </c:pt>
                <c:pt idx="3990">
                  <c:v>0.366174382757293</c:v>
                </c:pt>
                <c:pt idx="3991">
                  <c:v>0.347568933061366</c:v>
                </c:pt>
                <c:pt idx="3992">
                  <c:v>0.378237782655946</c:v>
                </c:pt>
                <c:pt idx="3993">
                  <c:v>0.375639924168614</c:v>
                </c:pt>
                <c:pt idx="3994">
                  <c:v>0.351987199939924</c:v>
                </c:pt>
                <c:pt idx="3995">
                  <c:v>0.367088452233341</c:v>
                </c:pt>
                <c:pt idx="3996">
                  <c:v>0.384863979203334</c:v>
                </c:pt>
                <c:pt idx="3997">
                  <c:v>0.403472261492721</c:v>
                </c:pt>
                <c:pt idx="3998">
                  <c:v>0.3436472068756</c:v>
                </c:pt>
                <c:pt idx="3999">
                  <c:v>0.385446991728557</c:v>
                </c:pt>
                <c:pt idx="4000">
                  <c:v>0.354356902543016</c:v>
                </c:pt>
                <c:pt idx="4001">
                  <c:v>0.358649976066504</c:v>
                </c:pt>
                <c:pt idx="4002">
                  <c:v>0.378038891942068</c:v>
                </c:pt>
                <c:pt idx="4003">
                  <c:v>0.37683085899176</c:v>
                </c:pt>
                <c:pt idx="4004">
                  <c:v>0.378580551122022</c:v>
                </c:pt>
                <c:pt idx="4005">
                  <c:v>0.344166997187483</c:v>
                </c:pt>
                <c:pt idx="4006">
                  <c:v>0.345700680185106</c:v>
                </c:pt>
                <c:pt idx="4007">
                  <c:v>0.365762879426874</c:v>
                </c:pt>
                <c:pt idx="4008">
                  <c:v>0.342730478175297</c:v>
                </c:pt>
                <c:pt idx="4009">
                  <c:v>0.369523620762548</c:v>
                </c:pt>
                <c:pt idx="4010">
                  <c:v>0.355615715172246</c:v>
                </c:pt>
                <c:pt idx="4011">
                  <c:v>0.374538449413428</c:v>
                </c:pt>
                <c:pt idx="4012">
                  <c:v>0.376893135171687</c:v>
                </c:pt>
                <c:pt idx="4013">
                  <c:v>0.378378059364656</c:v>
                </c:pt>
                <c:pt idx="4014">
                  <c:v>0.359473082249218</c:v>
                </c:pt>
                <c:pt idx="4015">
                  <c:v>0.353550581133768</c:v>
                </c:pt>
                <c:pt idx="4016">
                  <c:v>0.35772234440782</c:v>
                </c:pt>
                <c:pt idx="4017">
                  <c:v>0.366009136556776</c:v>
                </c:pt>
                <c:pt idx="4018">
                  <c:v>0.359855048929047</c:v>
                </c:pt>
                <c:pt idx="4019">
                  <c:v>0.3489874048071</c:v>
                </c:pt>
                <c:pt idx="4020">
                  <c:v>0.369250673335687</c:v>
                </c:pt>
                <c:pt idx="4021">
                  <c:v>0.377290270111635</c:v>
                </c:pt>
                <c:pt idx="4022">
                  <c:v>0.371409545067283</c:v>
                </c:pt>
                <c:pt idx="4023">
                  <c:v>0.369163366865994</c:v>
                </c:pt>
                <c:pt idx="4024">
                  <c:v>0.385574576846731</c:v>
                </c:pt>
                <c:pt idx="4025">
                  <c:v>0.353871693274442</c:v>
                </c:pt>
                <c:pt idx="4026">
                  <c:v>0.376901399759752</c:v>
                </c:pt>
                <c:pt idx="4027">
                  <c:v>0.353282993027681</c:v>
                </c:pt>
                <c:pt idx="4028">
                  <c:v>0.355799698880099</c:v>
                </c:pt>
                <c:pt idx="4029">
                  <c:v>0.368105067080665</c:v>
                </c:pt>
                <c:pt idx="4030">
                  <c:v>0.372202219766889</c:v>
                </c:pt>
                <c:pt idx="4031">
                  <c:v>0.374841652769274</c:v>
                </c:pt>
                <c:pt idx="4032">
                  <c:v>0.373077804564321</c:v>
                </c:pt>
                <c:pt idx="4033">
                  <c:v>0.368670187277297</c:v>
                </c:pt>
                <c:pt idx="4034">
                  <c:v>0.374550212617866</c:v>
                </c:pt>
                <c:pt idx="4035">
                  <c:v>0.375120236975725</c:v>
                </c:pt>
                <c:pt idx="4036">
                  <c:v>0.367038883556119</c:v>
                </c:pt>
                <c:pt idx="4037">
                  <c:v>0.352495192652201</c:v>
                </c:pt>
                <c:pt idx="4038">
                  <c:v>0.350895559866288</c:v>
                </c:pt>
                <c:pt idx="4039">
                  <c:v>0.366878631637721</c:v>
                </c:pt>
                <c:pt idx="4040">
                  <c:v>0.363428897168578</c:v>
                </c:pt>
                <c:pt idx="4041">
                  <c:v>0.353513014303492</c:v>
                </c:pt>
                <c:pt idx="4042">
                  <c:v>0.376407953670291</c:v>
                </c:pt>
                <c:pt idx="4043">
                  <c:v>0.377069200420334</c:v>
                </c:pt>
                <c:pt idx="4044">
                  <c:v>0.363237455452842</c:v>
                </c:pt>
                <c:pt idx="4045">
                  <c:v>0.372270245747794</c:v>
                </c:pt>
                <c:pt idx="4046">
                  <c:v>0.377338569516336</c:v>
                </c:pt>
                <c:pt idx="4047">
                  <c:v>0.375158783527649</c:v>
                </c:pt>
                <c:pt idx="4048">
                  <c:v>0.388237615152783</c:v>
                </c:pt>
                <c:pt idx="4049">
                  <c:v>0.357761885451177</c:v>
                </c:pt>
                <c:pt idx="4050">
                  <c:v>0.37946023565141</c:v>
                </c:pt>
                <c:pt idx="4051">
                  <c:v>0.373223719183448</c:v>
                </c:pt>
                <c:pt idx="4052">
                  <c:v>0.343371823554931</c:v>
                </c:pt>
                <c:pt idx="4053">
                  <c:v>0.360245487796604</c:v>
                </c:pt>
                <c:pt idx="4054">
                  <c:v>0.35988832596948</c:v>
                </c:pt>
                <c:pt idx="4055">
                  <c:v>0.36939287261765</c:v>
                </c:pt>
                <c:pt idx="4056">
                  <c:v>0.364900467756941</c:v>
                </c:pt>
                <c:pt idx="4057">
                  <c:v>0.343379410735059</c:v>
                </c:pt>
                <c:pt idx="4058">
                  <c:v>0.384054144685092</c:v>
                </c:pt>
                <c:pt idx="4059">
                  <c:v>0.377365718306408</c:v>
                </c:pt>
                <c:pt idx="4060">
                  <c:v>0.377471540698374</c:v>
                </c:pt>
                <c:pt idx="4061">
                  <c:v>0.343561418594741</c:v>
                </c:pt>
                <c:pt idx="4062">
                  <c:v>0.36811980212101</c:v>
                </c:pt>
                <c:pt idx="4063">
                  <c:v>0.37846017334596</c:v>
                </c:pt>
                <c:pt idx="4064">
                  <c:v>0.370223021563806</c:v>
                </c:pt>
                <c:pt idx="4065">
                  <c:v>0.386054720664358</c:v>
                </c:pt>
                <c:pt idx="4066">
                  <c:v>0.380088102024991</c:v>
                </c:pt>
                <c:pt idx="4067">
                  <c:v>0.348460258021224</c:v>
                </c:pt>
                <c:pt idx="4068">
                  <c:v>0.331928562544855</c:v>
                </c:pt>
                <c:pt idx="4069">
                  <c:v>0.368347164975472</c:v>
                </c:pt>
                <c:pt idx="4070">
                  <c:v>0.357401963097468</c:v>
                </c:pt>
                <c:pt idx="4071">
                  <c:v>0.368286323080685</c:v>
                </c:pt>
                <c:pt idx="4072">
                  <c:v>0.385081758235283</c:v>
                </c:pt>
                <c:pt idx="4073">
                  <c:v>0.361322792136336</c:v>
                </c:pt>
                <c:pt idx="4074">
                  <c:v>0.36076853720967</c:v>
                </c:pt>
                <c:pt idx="4075">
                  <c:v>0.375338522668059</c:v>
                </c:pt>
                <c:pt idx="4076">
                  <c:v>0.355545220866463</c:v>
                </c:pt>
                <c:pt idx="4077">
                  <c:v>0.35691088727527</c:v>
                </c:pt>
                <c:pt idx="4078">
                  <c:v>0.37204735721941</c:v>
                </c:pt>
                <c:pt idx="4079">
                  <c:v>0.352817507066175</c:v>
                </c:pt>
                <c:pt idx="4080">
                  <c:v>0.33617052341178</c:v>
                </c:pt>
                <c:pt idx="4081">
                  <c:v>0.358326264111372</c:v>
                </c:pt>
                <c:pt idx="4082">
                  <c:v>0.357170993235641</c:v>
                </c:pt>
                <c:pt idx="4083">
                  <c:v>0.363501947237145</c:v>
                </c:pt>
                <c:pt idx="4084">
                  <c:v>0.360655464454931</c:v>
                </c:pt>
                <c:pt idx="4085">
                  <c:v>0.358268444265318</c:v>
                </c:pt>
                <c:pt idx="4086">
                  <c:v>0.365167917599319</c:v>
                </c:pt>
                <c:pt idx="4087">
                  <c:v>0.388797082558528</c:v>
                </c:pt>
                <c:pt idx="4088">
                  <c:v>0.373563548836559</c:v>
                </c:pt>
                <c:pt idx="4089">
                  <c:v>0.385617522946014</c:v>
                </c:pt>
                <c:pt idx="4090">
                  <c:v>0.345521723762192</c:v>
                </c:pt>
                <c:pt idx="4091">
                  <c:v>0.362225103343891</c:v>
                </c:pt>
                <c:pt idx="4092">
                  <c:v>0.36447187994876</c:v>
                </c:pt>
                <c:pt idx="4093">
                  <c:v>0.356897740430478</c:v>
                </c:pt>
                <c:pt idx="4094">
                  <c:v>0.373802839494323</c:v>
                </c:pt>
                <c:pt idx="4095">
                  <c:v>0.376189910900011</c:v>
                </c:pt>
                <c:pt idx="4096">
                  <c:v>0.335093104970716</c:v>
                </c:pt>
                <c:pt idx="4097">
                  <c:v>0.379986711330447</c:v>
                </c:pt>
                <c:pt idx="4098">
                  <c:v>0.379513432746866</c:v>
                </c:pt>
                <c:pt idx="4099">
                  <c:v>0.351794241730621</c:v>
                </c:pt>
                <c:pt idx="4100">
                  <c:v>0.369485231846319</c:v>
                </c:pt>
                <c:pt idx="4101">
                  <c:v>0.381249994332195</c:v>
                </c:pt>
                <c:pt idx="4102">
                  <c:v>0.387291645882648</c:v>
                </c:pt>
                <c:pt idx="4103">
                  <c:v>0.364734025261866</c:v>
                </c:pt>
                <c:pt idx="4104">
                  <c:v>0.355885912700766</c:v>
                </c:pt>
                <c:pt idx="4105">
                  <c:v>0.37950796544257</c:v>
                </c:pt>
                <c:pt idx="4106">
                  <c:v>0.387625386422288</c:v>
                </c:pt>
                <c:pt idx="4107">
                  <c:v>0.351697500398999</c:v>
                </c:pt>
                <c:pt idx="4108">
                  <c:v>0.369921945769999</c:v>
                </c:pt>
                <c:pt idx="4109">
                  <c:v>0.395122367811669</c:v>
                </c:pt>
                <c:pt idx="4110">
                  <c:v>0.369534990196898</c:v>
                </c:pt>
                <c:pt idx="4111">
                  <c:v>0.368444282201643</c:v>
                </c:pt>
                <c:pt idx="4112">
                  <c:v>0.361156100793448</c:v>
                </c:pt>
                <c:pt idx="4113">
                  <c:v>0.382102164114233</c:v>
                </c:pt>
                <c:pt idx="4114">
                  <c:v>0.373630994101314</c:v>
                </c:pt>
                <c:pt idx="4115">
                  <c:v>0.34919593499499</c:v>
                </c:pt>
                <c:pt idx="4116">
                  <c:v>0.348908056338179</c:v>
                </c:pt>
                <c:pt idx="4117">
                  <c:v>0.360328622224967</c:v>
                </c:pt>
                <c:pt idx="4118">
                  <c:v>0.349948654500127</c:v>
                </c:pt>
                <c:pt idx="4119">
                  <c:v>0.353279941315586</c:v>
                </c:pt>
                <c:pt idx="4120">
                  <c:v>0.357602060966936</c:v>
                </c:pt>
                <c:pt idx="4121">
                  <c:v>0.394452568551175</c:v>
                </c:pt>
                <c:pt idx="4122">
                  <c:v>0.365129437639753</c:v>
                </c:pt>
                <c:pt idx="4123">
                  <c:v>0.350231101507289</c:v>
                </c:pt>
                <c:pt idx="4124">
                  <c:v>0.350895511282459</c:v>
                </c:pt>
                <c:pt idx="4125">
                  <c:v>0.346003961653699</c:v>
                </c:pt>
                <c:pt idx="4126">
                  <c:v>0.381298536378479</c:v>
                </c:pt>
                <c:pt idx="4127">
                  <c:v>0.366271860590192</c:v>
                </c:pt>
                <c:pt idx="4128">
                  <c:v>0.350129484111433</c:v>
                </c:pt>
                <c:pt idx="4129">
                  <c:v>0.385190965487718</c:v>
                </c:pt>
                <c:pt idx="4130">
                  <c:v>0.372152397288131</c:v>
                </c:pt>
                <c:pt idx="4131">
                  <c:v>0.37478599987599</c:v>
                </c:pt>
                <c:pt idx="4132">
                  <c:v>0.352012928785762</c:v>
                </c:pt>
                <c:pt idx="4133">
                  <c:v>0.375277688234556</c:v>
                </c:pt>
                <c:pt idx="4134">
                  <c:v>0.349292232171826</c:v>
                </c:pt>
                <c:pt idx="4135">
                  <c:v>0.346005315361579</c:v>
                </c:pt>
                <c:pt idx="4136">
                  <c:v>0.371178987996066</c:v>
                </c:pt>
                <c:pt idx="4137">
                  <c:v>0.349469265554298</c:v>
                </c:pt>
                <c:pt idx="4138">
                  <c:v>0.364133963749482</c:v>
                </c:pt>
                <c:pt idx="4139">
                  <c:v>0.376722062808156</c:v>
                </c:pt>
                <c:pt idx="4140">
                  <c:v>0.369823788140999</c:v>
                </c:pt>
                <c:pt idx="4141">
                  <c:v>0.364637847538065</c:v>
                </c:pt>
                <c:pt idx="4142">
                  <c:v>0.376778497561193</c:v>
                </c:pt>
                <c:pt idx="4143">
                  <c:v>0.389428871347563</c:v>
                </c:pt>
                <c:pt idx="4144">
                  <c:v>0.371417743595045</c:v>
                </c:pt>
                <c:pt idx="4145">
                  <c:v>0.367029491529604</c:v>
                </c:pt>
                <c:pt idx="4146">
                  <c:v>0.34941345015121</c:v>
                </c:pt>
                <c:pt idx="4147">
                  <c:v>0.382711198502058</c:v>
                </c:pt>
                <c:pt idx="4148">
                  <c:v>0.334984591518421</c:v>
                </c:pt>
                <c:pt idx="4149">
                  <c:v>0.372212366175743</c:v>
                </c:pt>
                <c:pt idx="4150">
                  <c:v>0.383099192034789</c:v>
                </c:pt>
                <c:pt idx="4151">
                  <c:v>0.366873682145895</c:v>
                </c:pt>
                <c:pt idx="4152">
                  <c:v>0.370098812111583</c:v>
                </c:pt>
                <c:pt idx="4153">
                  <c:v>0.347402799652784</c:v>
                </c:pt>
                <c:pt idx="4154">
                  <c:v>0.374214149829355</c:v>
                </c:pt>
                <c:pt idx="4155">
                  <c:v>0.371095417279682</c:v>
                </c:pt>
                <c:pt idx="4156">
                  <c:v>0.364742598226013</c:v>
                </c:pt>
                <c:pt idx="4157">
                  <c:v>0.362403216246017</c:v>
                </c:pt>
                <c:pt idx="4158">
                  <c:v>0.367937491776511</c:v>
                </c:pt>
                <c:pt idx="4159">
                  <c:v>0.374476880712193</c:v>
                </c:pt>
                <c:pt idx="4160">
                  <c:v>0.379093994413594</c:v>
                </c:pt>
                <c:pt idx="4161">
                  <c:v>0.392615447947101</c:v>
                </c:pt>
                <c:pt idx="4162">
                  <c:v>0.352756171480834</c:v>
                </c:pt>
                <c:pt idx="4163">
                  <c:v>0.378969858270633</c:v>
                </c:pt>
                <c:pt idx="4164">
                  <c:v>0.366916119359606</c:v>
                </c:pt>
                <c:pt idx="4165">
                  <c:v>0.366883411322465</c:v>
                </c:pt>
                <c:pt idx="4166">
                  <c:v>0.36730002355434</c:v>
                </c:pt>
                <c:pt idx="4167">
                  <c:v>0.347966309096873</c:v>
                </c:pt>
                <c:pt idx="4168">
                  <c:v>0.375351868145316</c:v>
                </c:pt>
                <c:pt idx="4169">
                  <c:v>0.350433951348268</c:v>
                </c:pt>
                <c:pt idx="4170">
                  <c:v>0.392293228231859</c:v>
                </c:pt>
                <c:pt idx="4171">
                  <c:v>0.37582506358291</c:v>
                </c:pt>
                <c:pt idx="4172">
                  <c:v>0.380436876398549</c:v>
                </c:pt>
                <c:pt idx="4173">
                  <c:v>0.343100718555111</c:v>
                </c:pt>
                <c:pt idx="4174">
                  <c:v>0.377825737312642</c:v>
                </c:pt>
                <c:pt idx="4175">
                  <c:v>0.357631666697283</c:v>
                </c:pt>
                <c:pt idx="4176">
                  <c:v>0.362085062758166</c:v>
                </c:pt>
                <c:pt idx="4177">
                  <c:v>0.35104220025786</c:v>
                </c:pt>
                <c:pt idx="4178">
                  <c:v>0.36736121405016</c:v>
                </c:pt>
                <c:pt idx="4179">
                  <c:v>0.367955601346395</c:v>
                </c:pt>
                <c:pt idx="4180">
                  <c:v>0.355407596932127</c:v>
                </c:pt>
                <c:pt idx="4181">
                  <c:v>0.3773239110251</c:v>
                </c:pt>
                <c:pt idx="4182">
                  <c:v>0.367576169141627</c:v>
                </c:pt>
                <c:pt idx="4183">
                  <c:v>0.372867305576906</c:v>
                </c:pt>
                <c:pt idx="4184">
                  <c:v>0.370035999913794</c:v>
                </c:pt>
                <c:pt idx="4185">
                  <c:v>0.368216214583045</c:v>
                </c:pt>
                <c:pt idx="4186">
                  <c:v>0.361937535179226</c:v>
                </c:pt>
                <c:pt idx="4187">
                  <c:v>0.364216587933098</c:v>
                </c:pt>
                <c:pt idx="4188">
                  <c:v>0.369630677860664</c:v>
                </c:pt>
                <c:pt idx="4189">
                  <c:v>0.395213463725188</c:v>
                </c:pt>
                <c:pt idx="4190">
                  <c:v>0.379604112671731</c:v>
                </c:pt>
                <c:pt idx="4191">
                  <c:v>0.379756459294946</c:v>
                </c:pt>
                <c:pt idx="4192">
                  <c:v>0.377710199463488</c:v>
                </c:pt>
                <c:pt idx="4193">
                  <c:v>0.367984103035172</c:v>
                </c:pt>
                <c:pt idx="4194">
                  <c:v>0.379514233158358</c:v>
                </c:pt>
                <c:pt idx="4195">
                  <c:v>0.349129848659158</c:v>
                </c:pt>
                <c:pt idx="4196">
                  <c:v>0.36313661390265</c:v>
                </c:pt>
                <c:pt idx="4197">
                  <c:v>0.363759433544613</c:v>
                </c:pt>
                <c:pt idx="4198">
                  <c:v>0.334835372409968</c:v>
                </c:pt>
                <c:pt idx="4199">
                  <c:v>0.367073635821973</c:v>
                </c:pt>
                <c:pt idx="4200">
                  <c:v>0.368249122132226</c:v>
                </c:pt>
                <c:pt idx="4201">
                  <c:v>0.3774321023416</c:v>
                </c:pt>
                <c:pt idx="4202">
                  <c:v>0.368169267126785</c:v>
                </c:pt>
                <c:pt idx="4203">
                  <c:v>0.368672922525567</c:v>
                </c:pt>
                <c:pt idx="4204">
                  <c:v>0.35024632519232</c:v>
                </c:pt>
                <c:pt idx="4205">
                  <c:v>0.357601214686482</c:v>
                </c:pt>
                <c:pt idx="4206">
                  <c:v>0.366996203609774</c:v>
                </c:pt>
                <c:pt idx="4207">
                  <c:v>0.380740171735573</c:v>
                </c:pt>
                <c:pt idx="4208">
                  <c:v>0.360813489635614</c:v>
                </c:pt>
                <c:pt idx="4209">
                  <c:v>0.362200063990457</c:v>
                </c:pt>
                <c:pt idx="4210">
                  <c:v>0.356295563165838</c:v>
                </c:pt>
                <c:pt idx="4211">
                  <c:v>0.380545871156237</c:v>
                </c:pt>
                <c:pt idx="4212">
                  <c:v>0.374630908352128</c:v>
                </c:pt>
                <c:pt idx="4213">
                  <c:v>0.358967356677282</c:v>
                </c:pt>
                <c:pt idx="4214">
                  <c:v>0.379112331329733</c:v>
                </c:pt>
                <c:pt idx="4215">
                  <c:v>0.361481985911599</c:v>
                </c:pt>
                <c:pt idx="4216">
                  <c:v>0.377373273122874</c:v>
                </c:pt>
                <c:pt idx="4217">
                  <c:v>0.360675442161973</c:v>
                </c:pt>
                <c:pt idx="4218">
                  <c:v>0.351044428577168</c:v>
                </c:pt>
                <c:pt idx="4219">
                  <c:v>0.363299429562865</c:v>
                </c:pt>
                <c:pt idx="4220">
                  <c:v>0.367058157847642</c:v>
                </c:pt>
                <c:pt idx="4221">
                  <c:v>0.367604524105876</c:v>
                </c:pt>
                <c:pt idx="4222">
                  <c:v>0.374640445566351</c:v>
                </c:pt>
                <c:pt idx="4223">
                  <c:v>0.362177030070913</c:v>
                </c:pt>
                <c:pt idx="4224">
                  <c:v>0.349980024856518</c:v>
                </c:pt>
                <c:pt idx="4225">
                  <c:v>0.354213223405324</c:v>
                </c:pt>
                <c:pt idx="4226">
                  <c:v>0.353023231419607</c:v>
                </c:pt>
                <c:pt idx="4227">
                  <c:v>0.36907302129441</c:v>
                </c:pt>
                <c:pt idx="4228">
                  <c:v>0.373474095839542</c:v>
                </c:pt>
                <c:pt idx="4229">
                  <c:v>0.377923697353151</c:v>
                </c:pt>
                <c:pt idx="4230">
                  <c:v>0.371717068868177</c:v>
                </c:pt>
                <c:pt idx="4231">
                  <c:v>0.367915156291927</c:v>
                </c:pt>
                <c:pt idx="4232">
                  <c:v>0.368078233982533</c:v>
                </c:pt>
                <c:pt idx="4233">
                  <c:v>0.380184783296193</c:v>
                </c:pt>
                <c:pt idx="4234">
                  <c:v>0.379758841321795</c:v>
                </c:pt>
                <c:pt idx="4235">
                  <c:v>0.350246757018247</c:v>
                </c:pt>
                <c:pt idx="4236">
                  <c:v>0.371878617593822</c:v>
                </c:pt>
                <c:pt idx="4237">
                  <c:v>0.373083338720554</c:v>
                </c:pt>
                <c:pt idx="4238">
                  <c:v>0.371106441577367</c:v>
                </c:pt>
                <c:pt idx="4239">
                  <c:v>0.382472787403593</c:v>
                </c:pt>
                <c:pt idx="4240">
                  <c:v>0.343538402467017</c:v>
                </c:pt>
                <c:pt idx="4241">
                  <c:v>0.362265214178464</c:v>
                </c:pt>
                <c:pt idx="4242">
                  <c:v>0.370948822028799</c:v>
                </c:pt>
                <c:pt idx="4243">
                  <c:v>0.360607351785872</c:v>
                </c:pt>
                <c:pt idx="4244">
                  <c:v>0.359128117722474</c:v>
                </c:pt>
                <c:pt idx="4245">
                  <c:v>0.354295519446572</c:v>
                </c:pt>
                <c:pt idx="4246">
                  <c:v>0.367035837165753</c:v>
                </c:pt>
                <c:pt idx="4247">
                  <c:v>0.374723330699354</c:v>
                </c:pt>
                <c:pt idx="4248">
                  <c:v>0.366027734090137</c:v>
                </c:pt>
                <c:pt idx="4249">
                  <c:v>0.356367946841141</c:v>
                </c:pt>
                <c:pt idx="4250">
                  <c:v>0.365671797123293</c:v>
                </c:pt>
                <c:pt idx="4251">
                  <c:v>0.365981322135383</c:v>
                </c:pt>
                <c:pt idx="4252">
                  <c:v>0.386895611944537</c:v>
                </c:pt>
                <c:pt idx="4253">
                  <c:v>0.348789191221917</c:v>
                </c:pt>
                <c:pt idx="4254">
                  <c:v>0.364442483073658</c:v>
                </c:pt>
                <c:pt idx="4255">
                  <c:v>0.361379820585635</c:v>
                </c:pt>
                <c:pt idx="4256">
                  <c:v>0.357119952660792</c:v>
                </c:pt>
                <c:pt idx="4257">
                  <c:v>0.356398313065695</c:v>
                </c:pt>
                <c:pt idx="4258">
                  <c:v>0.374517717820704</c:v>
                </c:pt>
                <c:pt idx="4259">
                  <c:v>0.370592632484656</c:v>
                </c:pt>
                <c:pt idx="4260">
                  <c:v>0.384422447099246</c:v>
                </c:pt>
                <c:pt idx="4261">
                  <c:v>0.362258475023098</c:v>
                </c:pt>
                <c:pt idx="4262">
                  <c:v>0.386361595063437</c:v>
                </c:pt>
                <c:pt idx="4263">
                  <c:v>0.371048616944486</c:v>
                </c:pt>
                <c:pt idx="4264">
                  <c:v>0.376647796604377</c:v>
                </c:pt>
                <c:pt idx="4265">
                  <c:v>0.371606156470247</c:v>
                </c:pt>
                <c:pt idx="4266">
                  <c:v>0.362253116690189</c:v>
                </c:pt>
                <c:pt idx="4267">
                  <c:v>0.404314000428688</c:v>
                </c:pt>
                <c:pt idx="4268">
                  <c:v>0.378264803915104</c:v>
                </c:pt>
                <c:pt idx="4269">
                  <c:v>0.364503779233815</c:v>
                </c:pt>
                <c:pt idx="4270">
                  <c:v>0.378459706879067</c:v>
                </c:pt>
                <c:pt idx="4271">
                  <c:v>0.339873911659245</c:v>
                </c:pt>
                <c:pt idx="4272">
                  <c:v>0.376453034858537</c:v>
                </c:pt>
                <c:pt idx="4273">
                  <c:v>0.350911899124433</c:v>
                </c:pt>
                <c:pt idx="4274">
                  <c:v>0.36206897288104</c:v>
                </c:pt>
                <c:pt idx="4275">
                  <c:v>0.400542957024713</c:v>
                </c:pt>
                <c:pt idx="4276">
                  <c:v>0.35249304705055</c:v>
                </c:pt>
                <c:pt idx="4277">
                  <c:v>0.366818440907973</c:v>
                </c:pt>
                <c:pt idx="4278">
                  <c:v>0.363116835184666</c:v>
                </c:pt>
                <c:pt idx="4279">
                  <c:v>0.360654437119352</c:v>
                </c:pt>
                <c:pt idx="4280">
                  <c:v>0.36730158047074</c:v>
                </c:pt>
                <c:pt idx="4281">
                  <c:v>0.377213091375538</c:v>
                </c:pt>
                <c:pt idx="4282">
                  <c:v>0.381889889656243</c:v>
                </c:pt>
                <c:pt idx="4283">
                  <c:v>0.357891566717672</c:v>
                </c:pt>
                <c:pt idx="4284">
                  <c:v>0.36864113820305</c:v>
                </c:pt>
                <c:pt idx="4285">
                  <c:v>0.3741405067449</c:v>
                </c:pt>
                <c:pt idx="4286">
                  <c:v>0.359716755397946</c:v>
                </c:pt>
                <c:pt idx="4287">
                  <c:v>0.366520844538765</c:v>
                </c:pt>
                <c:pt idx="4288">
                  <c:v>0.3780888226049</c:v>
                </c:pt>
                <c:pt idx="4289">
                  <c:v>0.367201245888516</c:v>
                </c:pt>
                <c:pt idx="4290">
                  <c:v>0.377092005424341</c:v>
                </c:pt>
                <c:pt idx="4291">
                  <c:v>0.385860975462503</c:v>
                </c:pt>
                <c:pt idx="4292">
                  <c:v>0.369156618720807</c:v>
                </c:pt>
                <c:pt idx="4293">
                  <c:v>0.36855000911849</c:v>
                </c:pt>
                <c:pt idx="4294">
                  <c:v>0.378093325425532</c:v>
                </c:pt>
                <c:pt idx="4295">
                  <c:v>0.371417277609858</c:v>
                </c:pt>
                <c:pt idx="4296">
                  <c:v>0.367701558878253</c:v>
                </c:pt>
                <c:pt idx="4297">
                  <c:v>0.346053440371382</c:v>
                </c:pt>
                <c:pt idx="4298">
                  <c:v>0.348834370499635</c:v>
                </c:pt>
                <c:pt idx="4299">
                  <c:v>0.385120213845127</c:v>
                </c:pt>
                <c:pt idx="4300">
                  <c:v>0.368638435417974</c:v>
                </c:pt>
                <c:pt idx="4301">
                  <c:v>0.370897285541695</c:v>
                </c:pt>
                <c:pt idx="4302">
                  <c:v>0.368031671311672</c:v>
                </c:pt>
                <c:pt idx="4303">
                  <c:v>0.358608523495099</c:v>
                </c:pt>
                <c:pt idx="4304">
                  <c:v>0.34796280115418</c:v>
                </c:pt>
                <c:pt idx="4305">
                  <c:v>0.360079154575782</c:v>
                </c:pt>
                <c:pt idx="4306">
                  <c:v>0.360060473508541</c:v>
                </c:pt>
                <c:pt idx="4307">
                  <c:v>0.355615045303851</c:v>
                </c:pt>
                <c:pt idx="4308">
                  <c:v>0.363386027196535</c:v>
                </c:pt>
                <c:pt idx="4309">
                  <c:v>0.363801412483701</c:v>
                </c:pt>
                <c:pt idx="4310">
                  <c:v>0.374406171521302</c:v>
                </c:pt>
                <c:pt idx="4311">
                  <c:v>0.367023439068315</c:v>
                </c:pt>
                <c:pt idx="4312">
                  <c:v>0.354664944097084</c:v>
                </c:pt>
                <c:pt idx="4313">
                  <c:v>0.354624906453491</c:v>
                </c:pt>
                <c:pt idx="4314">
                  <c:v>0.391277986887738</c:v>
                </c:pt>
                <c:pt idx="4315">
                  <c:v>0.379656845089379</c:v>
                </c:pt>
                <c:pt idx="4316">
                  <c:v>0.351292396947953</c:v>
                </c:pt>
                <c:pt idx="4317">
                  <c:v>0.37205838239062</c:v>
                </c:pt>
                <c:pt idx="4318">
                  <c:v>0.363064790964614</c:v>
                </c:pt>
                <c:pt idx="4319">
                  <c:v>0.352982097718909</c:v>
                </c:pt>
                <c:pt idx="4320">
                  <c:v>0.331772681830274</c:v>
                </c:pt>
                <c:pt idx="4321">
                  <c:v>0.350366285818625</c:v>
                </c:pt>
                <c:pt idx="4322">
                  <c:v>0.370419694600123</c:v>
                </c:pt>
                <c:pt idx="4323">
                  <c:v>0.358533683862043</c:v>
                </c:pt>
                <c:pt idx="4324">
                  <c:v>0.352480027397005</c:v>
                </c:pt>
                <c:pt idx="4325">
                  <c:v>0.359737999664269</c:v>
                </c:pt>
                <c:pt idx="4326">
                  <c:v>0.390570057138036</c:v>
                </c:pt>
                <c:pt idx="4327">
                  <c:v>0.343356684799647</c:v>
                </c:pt>
                <c:pt idx="4328">
                  <c:v>0.368408392041043</c:v>
                </c:pt>
                <c:pt idx="4329">
                  <c:v>0.409069703149095</c:v>
                </c:pt>
                <c:pt idx="4330">
                  <c:v>0.374966479164361</c:v>
                </c:pt>
                <c:pt idx="4331">
                  <c:v>0.353791982249937</c:v>
                </c:pt>
                <c:pt idx="4332">
                  <c:v>0.377146435348305</c:v>
                </c:pt>
                <c:pt idx="4333">
                  <c:v>0.410206720514879</c:v>
                </c:pt>
                <c:pt idx="4334">
                  <c:v>0.372266782921152</c:v>
                </c:pt>
                <c:pt idx="4335">
                  <c:v>0.367788678903111</c:v>
                </c:pt>
                <c:pt idx="4336">
                  <c:v>0.35079281669515</c:v>
                </c:pt>
                <c:pt idx="4337">
                  <c:v>0.380590396037028</c:v>
                </c:pt>
                <c:pt idx="4338">
                  <c:v>0.361962792326446</c:v>
                </c:pt>
                <c:pt idx="4339">
                  <c:v>0.354874360322949</c:v>
                </c:pt>
                <c:pt idx="4340">
                  <c:v>0.366304391730736</c:v>
                </c:pt>
                <c:pt idx="4341">
                  <c:v>0.382129822818046</c:v>
                </c:pt>
                <c:pt idx="4342">
                  <c:v>0.371540907323911</c:v>
                </c:pt>
                <c:pt idx="4343">
                  <c:v>0.364765088489388</c:v>
                </c:pt>
                <c:pt idx="4344">
                  <c:v>0.364530698208627</c:v>
                </c:pt>
                <c:pt idx="4345">
                  <c:v>0.367762054124784</c:v>
                </c:pt>
                <c:pt idx="4346">
                  <c:v>0.375443330860742</c:v>
                </c:pt>
                <c:pt idx="4347">
                  <c:v>0.369511999316696</c:v>
                </c:pt>
                <c:pt idx="4348">
                  <c:v>0.382300185396197</c:v>
                </c:pt>
                <c:pt idx="4349">
                  <c:v>0.376953913256977</c:v>
                </c:pt>
                <c:pt idx="4350">
                  <c:v>0.354724682232335</c:v>
                </c:pt>
                <c:pt idx="4351">
                  <c:v>0.345105674357793</c:v>
                </c:pt>
                <c:pt idx="4352">
                  <c:v>0.338072811542174</c:v>
                </c:pt>
                <c:pt idx="4353">
                  <c:v>0.384330085588848</c:v>
                </c:pt>
                <c:pt idx="4354">
                  <c:v>0.386594524183765</c:v>
                </c:pt>
                <c:pt idx="4355">
                  <c:v>0.36756980851741</c:v>
                </c:pt>
                <c:pt idx="4356">
                  <c:v>0.370370052559145</c:v>
                </c:pt>
                <c:pt idx="4357">
                  <c:v>0.353593327127516</c:v>
                </c:pt>
                <c:pt idx="4358">
                  <c:v>0.362107377349218</c:v>
                </c:pt>
                <c:pt idx="4359">
                  <c:v>0.365613205298342</c:v>
                </c:pt>
                <c:pt idx="4360">
                  <c:v>0.352615927607919</c:v>
                </c:pt>
                <c:pt idx="4361">
                  <c:v>0.370371207529953</c:v>
                </c:pt>
                <c:pt idx="4362">
                  <c:v>0.374713795204972</c:v>
                </c:pt>
                <c:pt idx="4363">
                  <c:v>0.357811657368415</c:v>
                </c:pt>
                <c:pt idx="4364">
                  <c:v>0.340517375644741</c:v>
                </c:pt>
                <c:pt idx="4365">
                  <c:v>0.363011351019806</c:v>
                </c:pt>
                <c:pt idx="4366">
                  <c:v>0.37747864770184</c:v>
                </c:pt>
                <c:pt idx="4367">
                  <c:v>0.348812992343282</c:v>
                </c:pt>
                <c:pt idx="4368">
                  <c:v>0.371388990487492</c:v>
                </c:pt>
                <c:pt idx="4369">
                  <c:v>0.381333764084895</c:v>
                </c:pt>
                <c:pt idx="4370">
                  <c:v>0.389497301182708</c:v>
                </c:pt>
                <c:pt idx="4371">
                  <c:v>0.368870495677266</c:v>
                </c:pt>
                <c:pt idx="4372">
                  <c:v>0.359088866778135</c:v>
                </c:pt>
                <c:pt idx="4373">
                  <c:v>0.396828393394741</c:v>
                </c:pt>
                <c:pt idx="4374">
                  <c:v>0.396387562795338</c:v>
                </c:pt>
                <c:pt idx="4375">
                  <c:v>0.348961896937187</c:v>
                </c:pt>
                <c:pt idx="4376">
                  <c:v>0.352178556730515</c:v>
                </c:pt>
                <c:pt idx="4377">
                  <c:v>0.37630160881376</c:v>
                </c:pt>
                <c:pt idx="4378">
                  <c:v>0.36862058885767</c:v>
                </c:pt>
                <c:pt idx="4379">
                  <c:v>0.407846349412381</c:v>
                </c:pt>
                <c:pt idx="4380">
                  <c:v>0.359997463113518</c:v>
                </c:pt>
                <c:pt idx="4381">
                  <c:v>0.341892246810417</c:v>
                </c:pt>
                <c:pt idx="4382">
                  <c:v>0.363266116954452</c:v>
                </c:pt>
                <c:pt idx="4383">
                  <c:v>0.36945064513658</c:v>
                </c:pt>
                <c:pt idx="4384">
                  <c:v>0.379241171600869</c:v>
                </c:pt>
                <c:pt idx="4385">
                  <c:v>0.375309723485292</c:v>
                </c:pt>
                <c:pt idx="4386">
                  <c:v>0.352242945488366</c:v>
                </c:pt>
                <c:pt idx="4387">
                  <c:v>0.379581016992992</c:v>
                </c:pt>
                <c:pt idx="4388">
                  <c:v>0.346087967529744</c:v>
                </c:pt>
                <c:pt idx="4389">
                  <c:v>0.365639157778837</c:v>
                </c:pt>
                <c:pt idx="4390">
                  <c:v>0.367051003936667</c:v>
                </c:pt>
                <c:pt idx="4391">
                  <c:v>0.352237212802872</c:v>
                </c:pt>
                <c:pt idx="4392">
                  <c:v>0.367285916507198</c:v>
                </c:pt>
                <c:pt idx="4393">
                  <c:v>0.363203408391422</c:v>
                </c:pt>
                <c:pt idx="4394">
                  <c:v>0.352579978939143</c:v>
                </c:pt>
                <c:pt idx="4395">
                  <c:v>0.350429974127347</c:v>
                </c:pt>
                <c:pt idx="4396">
                  <c:v>0.368142840966227</c:v>
                </c:pt>
                <c:pt idx="4397">
                  <c:v>0.345041843487854</c:v>
                </c:pt>
                <c:pt idx="4398">
                  <c:v>0.365400782153198</c:v>
                </c:pt>
                <c:pt idx="4399">
                  <c:v>0.370663391663096</c:v>
                </c:pt>
                <c:pt idx="4400">
                  <c:v>0.369551881729478</c:v>
                </c:pt>
                <c:pt idx="4401">
                  <c:v>0.358158446480389</c:v>
                </c:pt>
                <c:pt idx="4402">
                  <c:v>0.38386164036161</c:v>
                </c:pt>
                <c:pt idx="4403">
                  <c:v>0.376565160189068</c:v>
                </c:pt>
                <c:pt idx="4404">
                  <c:v>0.40212780918933</c:v>
                </c:pt>
                <c:pt idx="4405">
                  <c:v>0.35627393779767</c:v>
                </c:pt>
                <c:pt idx="4406">
                  <c:v>0.361993555675415</c:v>
                </c:pt>
                <c:pt idx="4407">
                  <c:v>0.36413116547079</c:v>
                </c:pt>
                <c:pt idx="4408">
                  <c:v>0.358430290141069</c:v>
                </c:pt>
                <c:pt idx="4409">
                  <c:v>0.355423844252816</c:v>
                </c:pt>
                <c:pt idx="4410">
                  <c:v>0.358060698521024</c:v>
                </c:pt>
                <c:pt idx="4411">
                  <c:v>0.364535258974095</c:v>
                </c:pt>
                <c:pt idx="4412">
                  <c:v>0.363317431167583</c:v>
                </c:pt>
                <c:pt idx="4413">
                  <c:v>0.364769341533896</c:v>
                </c:pt>
                <c:pt idx="4414">
                  <c:v>0.369415623918483</c:v>
                </c:pt>
                <c:pt idx="4415">
                  <c:v>0.368903060757114</c:v>
                </c:pt>
                <c:pt idx="4416">
                  <c:v>0.360795939109602</c:v>
                </c:pt>
                <c:pt idx="4417">
                  <c:v>0.367096243441245</c:v>
                </c:pt>
                <c:pt idx="4418">
                  <c:v>0.378642349928383</c:v>
                </c:pt>
                <c:pt idx="4419">
                  <c:v>0.351155705556823</c:v>
                </c:pt>
                <c:pt idx="4420">
                  <c:v>0.356656464987764</c:v>
                </c:pt>
                <c:pt idx="4421">
                  <c:v>0.359587671377874</c:v>
                </c:pt>
                <c:pt idx="4422">
                  <c:v>0.365828715391672</c:v>
                </c:pt>
                <c:pt idx="4423">
                  <c:v>0.356961516719731</c:v>
                </c:pt>
                <c:pt idx="4424">
                  <c:v>0.366551481690279</c:v>
                </c:pt>
                <c:pt idx="4425">
                  <c:v>0.364232094725889</c:v>
                </c:pt>
                <c:pt idx="4426">
                  <c:v>0.370096330218782</c:v>
                </c:pt>
                <c:pt idx="4427">
                  <c:v>0.388238360480104</c:v>
                </c:pt>
                <c:pt idx="4428">
                  <c:v>0.36935971394394</c:v>
                </c:pt>
                <c:pt idx="4429">
                  <c:v>0.3675641890896</c:v>
                </c:pt>
                <c:pt idx="4430">
                  <c:v>0.349316426675956</c:v>
                </c:pt>
                <c:pt idx="4431">
                  <c:v>0.379541637015144</c:v>
                </c:pt>
                <c:pt idx="4432">
                  <c:v>0.372206958449987</c:v>
                </c:pt>
                <c:pt idx="4433">
                  <c:v>0.385460111502413</c:v>
                </c:pt>
                <c:pt idx="4434">
                  <c:v>0.372123505753381</c:v>
                </c:pt>
                <c:pt idx="4435">
                  <c:v>0.359129264059752</c:v>
                </c:pt>
                <c:pt idx="4436">
                  <c:v>0.368521184578014</c:v>
                </c:pt>
                <c:pt idx="4437">
                  <c:v>0.351171652895921</c:v>
                </c:pt>
                <c:pt idx="4438">
                  <c:v>0.35710004556613</c:v>
                </c:pt>
                <c:pt idx="4439">
                  <c:v>0.374818676292148</c:v>
                </c:pt>
                <c:pt idx="4440">
                  <c:v>0.358839780841751</c:v>
                </c:pt>
                <c:pt idx="4441">
                  <c:v>0.388055171359093</c:v>
                </c:pt>
                <c:pt idx="4442">
                  <c:v>0.36368833390572</c:v>
                </c:pt>
                <c:pt idx="4443">
                  <c:v>0.357809988949267</c:v>
                </c:pt>
                <c:pt idx="4444">
                  <c:v>0.377811463718442</c:v>
                </c:pt>
                <c:pt idx="4445">
                  <c:v>0.377803402499976</c:v>
                </c:pt>
                <c:pt idx="4446">
                  <c:v>0.354935257062261</c:v>
                </c:pt>
                <c:pt idx="4447">
                  <c:v>0.35552623314808</c:v>
                </c:pt>
                <c:pt idx="4448">
                  <c:v>0.363109368127689</c:v>
                </c:pt>
                <c:pt idx="4449">
                  <c:v>0.366172704018829</c:v>
                </c:pt>
                <c:pt idx="4450">
                  <c:v>0.352088351480541</c:v>
                </c:pt>
                <c:pt idx="4451">
                  <c:v>0.342942917253628</c:v>
                </c:pt>
                <c:pt idx="4452">
                  <c:v>0.373972121836876</c:v>
                </c:pt>
                <c:pt idx="4453">
                  <c:v>0.36106930151203</c:v>
                </c:pt>
                <c:pt idx="4454">
                  <c:v>0.368565963146421</c:v>
                </c:pt>
                <c:pt idx="4455">
                  <c:v>0.347977958355921</c:v>
                </c:pt>
                <c:pt idx="4456">
                  <c:v>0.358305939109599</c:v>
                </c:pt>
                <c:pt idx="4457">
                  <c:v>0.338310391327452</c:v>
                </c:pt>
                <c:pt idx="4458">
                  <c:v>0.36055506239905</c:v>
                </c:pt>
                <c:pt idx="4459">
                  <c:v>0.363001543462994</c:v>
                </c:pt>
                <c:pt idx="4460">
                  <c:v>0.345263339990385</c:v>
                </c:pt>
                <c:pt idx="4461">
                  <c:v>0.370945270260497</c:v>
                </c:pt>
                <c:pt idx="4462">
                  <c:v>0.351810855355427</c:v>
                </c:pt>
                <c:pt idx="4463">
                  <c:v>0.346911194733151</c:v>
                </c:pt>
                <c:pt idx="4464">
                  <c:v>0.398724129258141</c:v>
                </c:pt>
                <c:pt idx="4465">
                  <c:v>0.371658908145954</c:v>
                </c:pt>
                <c:pt idx="4466">
                  <c:v>0.330716311421826</c:v>
                </c:pt>
                <c:pt idx="4467">
                  <c:v>0.361871509761829</c:v>
                </c:pt>
                <c:pt idx="4468">
                  <c:v>0.358027923769679</c:v>
                </c:pt>
                <c:pt idx="4469">
                  <c:v>0.349889031287436</c:v>
                </c:pt>
                <c:pt idx="4470">
                  <c:v>0.386841069066443</c:v>
                </c:pt>
                <c:pt idx="4471">
                  <c:v>0.382915446270308</c:v>
                </c:pt>
                <c:pt idx="4472">
                  <c:v>0.37265141876212</c:v>
                </c:pt>
                <c:pt idx="4473">
                  <c:v>0.38144896845757</c:v>
                </c:pt>
                <c:pt idx="4474">
                  <c:v>0.363043444925419</c:v>
                </c:pt>
                <c:pt idx="4475">
                  <c:v>0.355744909734804</c:v>
                </c:pt>
                <c:pt idx="4476">
                  <c:v>0.379276770875445</c:v>
                </c:pt>
                <c:pt idx="4477">
                  <c:v>0.357850847820695</c:v>
                </c:pt>
                <c:pt idx="4478">
                  <c:v>0.383758740561726</c:v>
                </c:pt>
                <c:pt idx="4479">
                  <c:v>0.374462262423773</c:v>
                </c:pt>
                <c:pt idx="4480">
                  <c:v>0.365239566724413</c:v>
                </c:pt>
                <c:pt idx="4481">
                  <c:v>0.350374639010103</c:v>
                </c:pt>
                <c:pt idx="4482">
                  <c:v>0.362181515875798</c:v>
                </c:pt>
                <c:pt idx="4483">
                  <c:v>0.374775291212642</c:v>
                </c:pt>
                <c:pt idx="4484">
                  <c:v>0.355336192275089</c:v>
                </c:pt>
                <c:pt idx="4485">
                  <c:v>0.354422736567744</c:v>
                </c:pt>
                <c:pt idx="4486">
                  <c:v>0.351691050178587</c:v>
                </c:pt>
                <c:pt idx="4487">
                  <c:v>0.356496679073419</c:v>
                </c:pt>
                <c:pt idx="4488">
                  <c:v>0.367126662946973</c:v>
                </c:pt>
                <c:pt idx="4489">
                  <c:v>0.357350102840466</c:v>
                </c:pt>
                <c:pt idx="4490">
                  <c:v>0.383811776094204</c:v>
                </c:pt>
                <c:pt idx="4491">
                  <c:v>0.388191997860306</c:v>
                </c:pt>
                <c:pt idx="4492">
                  <c:v>0.379385549697637</c:v>
                </c:pt>
                <c:pt idx="4493">
                  <c:v>0.381839714646236</c:v>
                </c:pt>
                <c:pt idx="4494">
                  <c:v>0.345660689036586</c:v>
                </c:pt>
                <c:pt idx="4495">
                  <c:v>0.361805483460343</c:v>
                </c:pt>
                <c:pt idx="4496">
                  <c:v>0.357510680848858</c:v>
                </c:pt>
                <c:pt idx="4497">
                  <c:v>0.359894382169643</c:v>
                </c:pt>
                <c:pt idx="4498">
                  <c:v>0.354522271383879</c:v>
                </c:pt>
                <c:pt idx="4499">
                  <c:v>0.358005108766842</c:v>
                </c:pt>
                <c:pt idx="4500">
                  <c:v>0.388244078316997</c:v>
                </c:pt>
                <c:pt idx="4501">
                  <c:v>0.339608176671857</c:v>
                </c:pt>
                <c:pt idx="4502">
                  <c:v>0.378288172720895</c:v>
                </c:pt>
                <c:pt idx="4503">
                  <c:v>0.357664291258976</c:v>
                </c:pt>
                <c:pt idx="4504">
                  <c:v>0.383218431647479</c:v>
                </c:pt>
                <c:pt idx="4505">
                  <c:v>0.357144639384218</c:v>
                </c:pt>
                <c:pt idx="4506">
                  <c:v>0.360940876949942</c:v>
                </c:pt>
                <c:pt idx="4507">
                  <c:v>0.343304660051718</c:v>
                </c:pt>
                <c:pt idx="4508">
                  <c:v>0.368321176552723</c:v>
                </c:pt>
                <c:pt idx="4509">
                  <c:v>0.38848971478881</c:v>
                </c:pt>
                <c:pt idx="4510">
                  <c:v>0.363724745072552</c:v>
                </c:pt>
                <c:pt idx="4511">
                  <c:v>0.375755022118078</c:v>
                </c:pt>
                <c:pt idx="4512">
                  <c:v>0.367943642183474</c:v>
                </c:pt>
                <c:pt idx="4513">
                  <c:v>0.358239144510832</c:v>
                </c:pt>
                <c:pt idx="4514">
                  <c:v>0.395343500939729</c:v>
                </c:pt>
                <c:pt idx="4515">
                  <c:v>0.366556374234849</c:v>
                </c:pt>
                <c:pt idx="4516">
                  <c:v>0.353635885318092</c:v>
                </c:pt>
                <c:pt idx="4517">
                  <c:v>0.382481516741752</c:v>
                </c:pt>
                <c:pt idx="4518">
                  <c:v>0.369265365882854</c:v>
                </c:pt>
                <c:pt idx="4519">
                  <c:v>0.34991477515847</c:v>
                </c:pt>
                <c:pt idx="4520">
                  <c:v>0.360334766118605</c:v>
                </c:pt>
                <c:pt idx="4521">
                  <c:v>0.364723997603869</c:v>
                </c:pt>
                <c:pt idx="4522">
                  <c:v>0.356450241732066</c:v>
                </c:pt>
                <c:pt idx="4523">
                  <c:v>0.363831888930662</c:v>
                </c:pt>
                <c:pt idx="4524">
                  <c:v>0.364229931206514</c:v>
                </c:pt>
                <c:pt idx="4525">
                  <c:v>0.359538504425505</c:v>
                </c:pt>
                <c:pt idx="4526">
                  <c:v>0.375672346799376</c:v>
                </c:pt>
                <c:pt idx="4527">
                  <c:v>0.347981057594466</c:v>
                </c:pt>
                <c:pt idx="4528">
                  <c:v>0.336812225908293</c:v>
                </c:pt>
                <c:pt idx="4529">
                  <c:v>0.342101377425177</c:v>
                </c:pt>
                <c:pt idx="4530">
                  <c:v>0.355787785191145</c:v>
                </c:pt>
                <c:pt idx="4531">
                  <c:v>0.365046320991697</c:v>
                </c:pt>
                <c:pt idx="4532">
                  <c:v>0.371259553379143</c:v>
                </c:pt>
                <c:pt idx="4533">
                  <c:v>0.360464297382201</c:v>
                </c:pt>
                <c:pt idx="4534">
                  <c:v>0.38475673901061</c:v>
                </c:pt>
                <c:pt idx="4535">
                  <c:v>0.358884788338971</c:v>
                </c:pt>
                <c:pt idx="4536">
                  <c:v>0.363905355235496</c:v>
                </c:pt>
                <c:pt idx="4537">
                  <c:v>0.367667964253315</c:v>
                </c:pt>
                <c:pt idx="4538">
                  <c:v>0.386157106086005</c:v>
                </c:pt>
                <c:pt idx="4539">
                  <c:v>0.356689474959639</c:v>
                </c:pt>
                <c:pt idx="4540">
                  <c:v>0.35270470857248</c:v>
                </c:pt>
                <c:pt idx="4541">
                  <c:v>0.366640688202875</c:v>
                </c:pt>
                <c:pt idx="4542">
                  <c:v>0.340900353587364</c:v>
                </c:pt>
                <c:pt idx="4543">
                  <c:v>0.361962220756845</c:v>
                </c:pt>
                <c:pt idx="4544">
                  <c:v>0.369986468560203</c:v>
                </c:pt>
                <c:pt idx="4545">
                  <c:v>0.37154103434294</c:v>
                </c:pt>
                <c:pt idx="4546">
                  <c:v>0.370522421046521</c:v>
                </c:pt>
                <c:pt idx="4547">
                  <c:v>0.369441413943194</c:v>
                </c:pt>
                <c:pt idx="4548">
                  <c:v>0.364293092928993</c:v>
                </c:pt>
                <c:pt idx="4549">
                  <c:v>0.36250483301365</c:v>
                </c:pt>
                <c:pt idx="4550">
                  <c:v>0.376505239351816</c:v>
                </c:pt>
                <c:pt idx="4551">
                  <c:v>0.359867021955627</c:v>
                </c:pt>
                <c:pt idx="4552">
                  <c:v>0.374358335108608</c:v>
                </c:pt>
                <c:pt idx="4553">
                  <c:v>0.390866713051617</c:v>
                </c:pt>
                <c:pt idx="4554">
                  <c:v>0.371518028023599</c:v>
                </c:pt>
                <c:pt idx="4555">
                  <c:v>0.367498360466743</c:v>
                </c:pt>
                <c:pt idx="4556">
                  <c:v>0.379927445220769</c:v>
                </c:pt>
                <c:pt idx="4557">
                  <c:v>0.349716443235436</c:v>
                </c:pt>
                <c:pt idx="4558">
                  <c:v>0.36795603403929</c:v>
                </c:pt>
                <c:pt idx="4559">
                  <c:v>0.366972140835409</c:v>
                </c:pt>
                <c:pt idx="4560">
                  <c:v>0.366207460104086</c:v>
                </c:pt>
                <c:pt idx="4561">
                  <c:v>0.383813598481406</c:v>
                </c:pt>
                <c:pt idx="4562">
                  <c:v>0.382774524907739</c:v>
                </c:pt>
                <c:pt idx="4563">
                  <c:v>0.376960165717139</c:v>
                </c:pt>
                <c:pt idx="4564">
                  <c:v>0.351548909929263</c:v>
                </c:pt>
                <c:pt idx="4565">
                  <c:v>0.391550465595275</c:v>
                </c:pt>
                <c:pt idx="4566">
                  <c:v>0.342151146115223</c:v>
                </c:pt>
                <c:pt idx="4567">
                  <c:v>0.371283384366987</c:v>
                </c:pt>
                <c:pt idx="4568">
                  <c:v>0.348527211760146</c:v>
                </c:pt>
                <c:pt idx="4569">
                  <c:v>0.373437846603031</c:v>
                </c:pt>
                <c:pt idx="4570">
                  <c:v>0.346890776518951</c:v>
                </c:pt>
                <c:pt idx="4571">
                  <c:v>0.366163077947786</c:v>
                </c:pt>
                <c:pt idx="4572">
                  <c:v>0.378566527036978</c:v>
                </c:pt>
                <c:pt idx="4573">
                  <c:v>0.361185780083876</c:v>
                </c:pt>
                <c:pt idx="4574">
                  <c:v>0.346788213661874</c:v>
                </c:pt>
                <c:pt idx="4575">
                  <c:v>0.369098418535273</c:v>
                </c:pt>
                <c:pt idx="4576">
                  <c:v>0.360286509227773</c:v>
                </c:pt>
                <c:pt idx="4577">
                  <c:v>0.372609306322844</c:v>
                </c:pt>
                <c:pt idx="4578">
                  <c:v>0.348580569851665</c:v>
                </c:pt>
                <c:pt idx="4579">
                  <c:v>0.348642085357215</c:v>
                </c:pt>
                <c:pt idx="4580">
                  <c:v>0.343157677713903</c:v>
                </c:pt>
                <c:pt idx="4581">
                  <c:v>0.353364570912609</c:v>
                </c:pt>
                <c:pt idx="4582">
                  <c:v>0.364356157770514</c:v>
                </c:pt>
                <c:pt idx="4583">
                  <c:v>0.351027437337912</c:v>
                </c:pt>
                <c:pt idx="4584">
                  <c:v>0.368581125812102</c:v>
                </c:pt>
                <c:pt idx="4585">
                  <c:v>0.354312140015612</c:v>
                </c:pt>
                <c:pt idx="4586">
                  <c:v>0.396284586587389</c:v>
                </c:pt>
                <c:pt idx="4587">
                  <c:v>0.340811317723079</c:v>
                </c:pt>
                <c:pt idx="4588">
                  <c:v>0.375362471023178</c:v>
                </c:pt>
                <c:pt idx="4589">
                  <c:v>0.38138718114669</c:v>
                </c:pt>
                <c:pt idx="4590">
                  <c:v>0.368416981014139</c:v>
                </c:pt>
                <c:pt idx="4591">
                  <c:v>0.365926044779739</c:v>
                </c:pt>
                <c:pt idx="4592">
                  <c:v>0.362673175561454</c:v>
                </c:pt>
                <c:pt idx="4593">
                  <c:v>0.389832196792953</c:v>
                </c:pt>
                <c:pt idx="4594">
                  <c:v>0.366430230139199</c:v>
                </c:pt>
                <c:pt idx="4595">
                  <c:v>0.394327429860092</c:v>
                </c:pt>
                <c:pt idx="4596">
                  <c:v>0.376048444460657</c:v>
                </c:pt>
                <c:pt idx="4597">
                  <c:v>0.365710280058195</c:v>
                </c:pt>
                <c:pt idx="4598">
                  <c:v>0.364809177678028</c:v>
                </c:pt>
                <c:pt idx="4599">
                  <c:v>0.369530352885494</c:v>
                </c:pt>
                <c:pt idx="4600">
                  <c:v>0.342614746815162</c:v>
                </c:pt>
                <c:pt idx="4601">
                  <c:v>0.386806306330636</c:v>
                </c:pt>
                <c:pt idx="4602">
                  <c:v>0.364384266052904</c:v>
                </c:pt>
                <c:pt idx="4603">
                  <c:v>0.405625379405688</c:v>
                </c:pt>
                <c:pt idx="4604">
                  <c:v>0.350714721877195</c:v>
                </c:pt>
                <c:pt idx="4605">
                  <c:v>0.357918124523669</c:v>
                </c:pt>
                <c:pt idx="4606">
                  <c:v>0.358737567742982</c:v>
                </c:pt>
                <c:pt idx="4607">
                  <c:v>0.38434203718644</c:v>
                </c:pt>
                <c:pt idx="4608">
                  <c:v>0.356764568605033</c:v>
                </c:pt>
                <c:pt idx="4609">
                  <c:v>0.337567108053999</c:v>
                </c:pt>
                <c:pt idx="4610">
                  <c:v>0.347421439210284</c:v>
                </c:pt>
                <c:pt idx="4611">
                  <c:v>0.359237177811024</c:v>
                </c:pt>
                <c:pt idx="4612">
                  <c:v>0.372011690021518</c:v>
                </c:pt>
                <c:pt idx="4613">
                  <c:v>0.35158553833596</c:v>
                </c:pt>
                <c:pt idx="4614">
                  <c:v>0.353620036744412</c:v>
                </c:pt>
                <c:pt idx="4615">
                  <c:v>0.37797118813987</c:v>
                </c:pt>
                <c:pt idx="4616">
                  <c:v>0.362073054365658</c:v>
                </c:pt>
                <c:pt idx="4617">
                  <c:v>0.388935737637097</c:v>
                </c:pt>
                <c:pt idx="4618">
                  <c:v>0.395617019780723</c:v>
                </c:pt>
                <c:pt idx="4619">
                  <c:v>0.366939651878921</c:v>
                </c:pt>
                <c:pt idx="4620">
                  <c:v>0.365976741098422</c:v>
                </c:pt>
                <c:pt idx="4621">
                  <c:v>0.366657373205127</c:v>
                </c:pt>
                <c:pt idx="4622">
                  <c:v>0.355140590170952</c:v>
                </c:pt>
                <c:pt idx="4623">
                  <c:v>0.380000850785476</c:v>
                </c:pt>
                <c:pt idx="4624">
                  <c:v>0.377065474314166</c:v>
                </c:pt>
                <c:pt idx="4625">
                  <c:v>0.378185032193129</c:v>
                </c:pt>
                <c:pt idx="4626">
                  <c:v>0.376082260638933</c:v>
                </c:pt>
                <c:pt idx="4627">
                  <c:v>0.384916963694844</c:v>
                </c:pt>
                <c:pt idx="4628">
                  <c:v>0.375156601688351</c:v>
                </c:pt>
                <c:pt idx="4629">
                  <c:v>0.34865260554051</c:v>
                </c:pt>
                <c:pt idx="4630">
                  <c:v>0.377717101614942</c:v>
                </c:pt>
                <c:pt idx="4631">
                  <c:v>0.362266308920164</c:v>
                </c:pt>
                <c:pt idx="4632">
                  <c:v>0.344897298397919</c:v>
                </c:pt>
                <c:pt idx="4633">
                  <c:v>0.349961971130586</c:v>
                </c:pt>
                <c:pt idx="4634">
                  <c:v>0.373723296865213</c:v>
                </c:pt>
                <c:pt idx="4635">
                  <c:v>0.395463932146348</c:v>
                </c:pt>
                <c:pt idx="4636">
                  <c:v>0.351254225142755</c:v>
                </c:pt>
                <c:pt idx="4637">
                  <c:v>0.362017566914353</c:v>
                </c:pt>
                <c:pt idx="4638">
                  <c:v>0.366740616774184</c:v>
                </c:pt>
                <c:pt idx="4639">
                  <c:v>0.375889881259852</c:v>
                </c:pt>
                <c:pt idx="4640">
                  <c:v>0.34782927403075</c:v>
                </c:pt>
                <c:pt idx="4641">
                  <c:v>0.386958942496986</c:v>
                </c:pt>
                <c:pt idx="4642">
                  <c:v>0.333472605515489</c:v>
                </c:pt>
                <c:pt idx="4643">
                  <c:v>0.354284816137652</c:v>
                </c:pt>
                <c:pt idx="4644">
                  <c:v>0.380129136727306</c:v>
                </c:pt>
                <c:pt idx="4645">
                  <c:v>0.36756842703981</c:v>
                </c:pt>
                <c:pt idx="4646">
                  <c:v>0.38798858839668</c:v>
                </c:pt>
                <c:pt idx="4647">
                  <c:v>0.355737065133697</c:v>
                </c:pt>
                <c:pt idx="4648">
                  <c:v>0.397509822638513</c:v>
                </c:pt>
                <c:pt idx="4649">
                  <c:v>0.35963269261018</c:v>
                </c:pt>
                <c:pt idx="4650">
                  <c:v>0.36257501536801</c:v>
                </c:pt>
                <c:pt idx="4651">
                  <c:v>0.371099218689336</c:v>
                </c:pt>
                <c:pt idx="4652">
                  <c:v>0.361177833352418</c:v>
                </c:pt>
                <c:pt idx="4653">
                  <c:v>0.356324398898774</c:v>
                </c:pt>
                <c:pt idx="4654">
                  <c:v>0.345435607754235</c:v>
                </c:pt>
                <c:pt idx="4655">
                  <c:v>0.367869323934067</c:v>
                </c:pt>
                <c:pt idx="4656">
                  <c:v>0.372833763212865</c:v>
                </c:pt>
                <c:pt idx="4657">
                  <c:v>0.365249514498809</c:v>
                </c:pt>
                <c:pt idx="4658">
                  <c:v>0.353138699754138</c:v>
                </c:pt>
                <c:pt idx="4659">
                  <c:v>0.347267802442994</c:v>
                </c:pt>
                <c:pt idx="4660">
                  <c:v>0.390541008206041</c:v>
                </c:pt>
                <c:pt idx="4661">
                  <c:v>0.384062537311572</c:v>
                </c:pt>
                <c:pt idx="4662">
                  <c:v>0.388084161624325</c:v>
                </c:pt>
                <c:pt idx="4663">
                  <c:v>0.341099693789278</c:v>
                </c:pt>
                <c:pt idx="4664">
                  <c:v>0.35437104216277</c:v>
                </c:pt>
                <c:pt idx="4665">
                  <c:v>0.377679532948358</c:v>
                </c:pt>
                <c:pt idx="4666">
                  <c:v>0.390154034036646</c:v>
                </c:pt>
                <c:pt idx="4667">
                  <c:v>0.376091862845742</c:v>
                </c:pt>
                <c:pt idx="4668">
                  <c:v>0.376536644163207</c:v>
                </c:pt>
                <c:pt idx="4669">
                  <c:v>0.357321672964092</c:v>
                </c:pt>
                <c:pt idx="4670">
                  <c:v>0.379239431322959</c:v>
                </c:pt>
                <c:pt idx="4671">
                  <c:v>0.364118796008516</c:v>
                </c:pt>
                <c:pt idx="4672">
                  <c:v>0.343259230872682</c:v>
                </c:pt>
                <c:pt idx="4673">
                  <c:v>0.388253134432972</c:v>
                </c:pt>
                <c:pt idx="4674">
                  <c:v>0.353297712320673</c:v>
                </c:pt>
                <c:pt idx="4675">
                  <c:v>0.393103781852795</c:v>
                </c:pt>
                <c:pt idx="4676">
                  <c:v>0.346502710752953</c:v>
                </c:pt>
                <c:pt idx="4677">
                  <c:v>0.379255236964935</c:v>
                </c:pt>
                <c:pt idx="4678">
                  <c:v>0.378699421094708</c:v>
                </c:pt>
                <c:pt idx="4679">
                  <c:v>0.381233910469527</c:v>
                </c:pt>
                <c:pt idx="4680">
                  <c:v>0.345941798850076</c:v>
                </c:pt>
                <c:pt idx="4681">
                  <c:v>0.359143012669485</c:v>
                </c:pt>
                <c:pt idx="4682">
                  <c:v>0.34454491813448</c:v>
                </c:pt>
                <c:pt idx="4683">
                  <c:v>0.382022137494506</c:v>
                </c:pt>
                <c:pt idx="4684">
                  <c:v>0.375145433758507</c:v>
                </c:pt>
                <c:pt idx="4685">
                  <c:v>0.359085608174245</c:v>
                </c:pt>
                <c:pt idx="4686">
                  <c:v>0.372868948886043</c:v>
                </c:pt>
                <c:pt idx="4687">
                  <c:v>0.364944350019161</c:v>
                </c:pt>
                <c:pt idx="4688">
                  <c:v>0.36573981237162</c:v>
                </c:pt>
                <c:pt idx="4689">
                  <c:v>0.386581832929509</c:v>
                </c:pt>
                <c:pt idx="4690">
                  <c:v>0.357200396123989</c:v>
                </c:pt>
                <c:pt idx="4691">
                  <c:v>0.35120116980951</c:v>
                </c:pt>
                <c:pt idx="4692">
                  <c:v>0.3545199900765</c:v>
                </c:pt>
                <c:pt idx="4693">
                  <c:v>0.349192633510002</c:v>
                </c:pt>
                <c:pt idx="4694">
                  <c:v>0.361726684681156</c:v>
                </c:pt>
                <c:pt idx="4695">
                  <c:v>0.380239276058653</c:v>
                </c:pt>
                <c:pt idx="4696">
                  <c:v>0.359622162817123</c:v>
                </c:pt>
                <c:pt idx="4697">
                  <c:v>0.355055251408434</c:v>
                </c:pt>
                <c:pt idx="4698">
                  <c:v>0.369569549045034</c:v>
                </c:pt>
                <c:pt idx="4699">
                  <c:v>0.362329415879223</c:v>
                </c:pt>
                <c:pt idx="4700">
                  <c:v>0.376362846472321</c:v>
                </c:pt>
                <c:pt idx="4701">
                  <c:v>0.383140132239947</c:v>
                </c:pt>
                <c:pt idx="4702">
                  <c:v>0.351462180718267</c:v>
                </c:pt>
                <c:pt idx="4703">
                  <c:v>0.376646854444372</c:v>
                </c:pt>
                <c:pt idx="4704">
                  <c:v>0.379617188253067</c:v>
                </c:pt>
                <c:pt idx="4705">
                  <c:v>0.381514313460996</c:v>
                </c:pt>
                <c:pt idx="4706">
                  <c:v>0.34668983450492</c:v>
                </c:pt>
                <c:pt idx="4707">
                  <c:v>0.376394488875668</c:v>
                </c:pt>
                <c:pt idx="4708">
                  <c:v>0.367430501318963</c:v>
                </c:pt>
                <c:pt idx="4709">
                  <c:v>0.385104767971063</c:v>
                </c:pt>
                <c:pt idx="4710">
                  <c:v>0.370065981279421</c:v>
                </c:pt>
                <c:pt idx="4711">
                  <c:v>0.378118975914627</c:v>
                </c:pt>
                <c:pt idx="4712">
                  <c:v>0.34194018170477</c:v>
                </c:pt>
                <c:pt idx="4713">
                  <c:v>0.356890593952491</c:v>
                </c:pt>
                <c:pt idx="4714">
                  <c:v>0.364982247007284</c:v>
                </c:pt>
                <c:pt idx="4715">
                  <c:v>0.375412382370822</c:v>
                </c:pt>
                <c:pt idx="4716">
                  <c:v>0.347283533509487</c:v>
                </c:pt>
                <c:pt idx="4717">
                  <c:v>0.36949256616061</c:v>
                </c:pt>
                <c:pt idx="4718">
                  <c:v>0.366047169404328</c:v>
                </c:pt>
                <c:pt idx="4719">
                  <c:v>0.38959292578559</c:v>
                </c:pt>
                <c:pt idx="4720">
                  <c:v>0.340785728615642</c:v>
                </c:pt>
                <c:pt idx="4721">
                  <c:v>0.37143138363867</c:v>
                </c:pt>
                <c:pt idx="4722">
                  <c:v>0.390061913981637</c:v>
                </c:pt>
                <c:pt idx="4723">
                  <c:v>0.394257087838904</c:v>
                </c:pt>
                <c:pt idx="4724">
                  <c:v>0.365266080253526</c:v>
                </c:pt>
                <c:pt idx="4725">
                  <c:v>0.357722833192105</c:v>
                </c:pt>
                <c:pt idx="4726">
                  <c:v>0.38498804308343</c:v>
                </c:pt>
                <c:pt idx="4727">
                  <c:v>0.383009265951766</c:v>
                </c:pt>
                <c:pt idx="4728">
                  <c:v>0.364929423512226</c:v>
                </c:pt>
                <c:pt idx="4729">
                  <c:v>0.356347476658891</c:v>
                </c:pt>
                <c:pt idx="4730">
                  <c:v>0.346206085168431</c:v>
                </c:pt>
                <c:pt idx="4731">
                  <c:v>0.360317049697024</c:v>
                </c:pt>
                <c:pt idx="4732">
                  <c:v>0.371111173175254</c:v>
                </c:pt>
                <c:pt idx="4733">
                  <c:v>0.357756569156138</c:v>
                </c:pt>
                <c:pt idx="4734">
                  <c:v>0.366639934635205</c:v>
                </c:pt>
                <c:pt idx="4735">
                  <c:v>0.357761001727449</c:v>
                </c:pt>
                <c:pt idx="4736">
                  <c:v>0.356431938405837</c:v>
                </c:pt>
                <c:pt idx="4737">
                  <c:v>0.352626753728437</c:v>
                </c:pt>
                <c:pt idx="4738">
                  <c:v>0.36436126785161</c:v>
                </c:pt>
                <c:pt idx="4739">
                  <c:v>0.357498125685838</c:v>
                </c:pt>
                <c:pt idx="4740">
                  <c:v>0.377419954744972</c:v>
                </c:pt>
                <c:pt idx="4741">
                  <c:v>0.366075682104704</c:v>
                </c:pt>
                <c:pt idx="4742">
                  <c:v>0.357349459681634</c:v>
                </c:pt>
                <c:pt idx="4743">
                  <c:v>0.34144827976049</c:v>
                </c:pt>
                <c:pt idx="4744">
                  <c:v>0.369240959158843</c:v>
                </c:pt>
                <c:pt idx="4745">
                  <c:v>0.377763641837884</c:v>
                </c:pt>
                <c:pt idx="4746">
                  <c:v>0.348346965937153</c:v>
                </c:pt>
                <c:pt idx="4747">
                  <c:v>0.37352495622364</c:v>
                </c:pt>
                <c:pt idx="4748">
                  <c:v>0.361508641413524</c:v>
                </c:pt>
                <c:pt idx="4749">
                  <c:v>0.355114199823301</c:v>
                </c:pt>
                <c:pt idx="4750">
                  <c:v>0.381605653760035</c:v>
                </c:pt>
                <c:pt idx="4751">
                  <c:v>0.3649821532636</c:v>
                </c:pt>
                <c:pt idx="4752">
                  <c:v>0.392549936582548</c:v>
                </c:pt>
                <c:pt idx="4753">
                  <c:v>0.357969582820735</c:v>
                </c:pt>
                <c:pt idx="4754">
                  <c:v>0.370061406785079</c:v>
                </c:pt>
                <c:pt idx="4755">
                  <c:v>0.399894241845656</c:v>
                </c:pt>
                <c:pt idx="4756">
                  <c:v>0.358671709578739</c:v>
                </c:pt>
                <c:pt idx="4757">
                  <c:v>0.356495649763114</c:v>
                </c:pt>
                <c:pt idx="4758">
                  <c:v>0.367741786529685</c:v>
                </c:pt>
                <c:pt idx="4759">
                  <c:v>0.372768257746039</c:v>
                </c:pt>
                <c:pt idx="4760">
                  <c:v>0.364422836256026</c:v>
                </c:pt>
                <c:pt idx="4761">
                  <c:v>0.36027745305298</c:v>
                </c:pt>
                <c:pt idx="4762">
                  <c:v>0.372898920702452</c:v>
                </c:pt>
                <c:pt idx="4763">
                  <c:v>0.399219608763645</c:v>
                </c:pt>
                <c:pt idx="4764">
                  <c:v>0.339763993029797</c:v>
                </c:pt>
                <c:pt idx="4765">
                  <c:v>0.386148395686032</c:v>
                </c:pt>
                <c:pt idx="4766">
                  <c:v>0.383124199501196</c:v>
                </c:pt>
                <c:pt idx="4767">
                  <c:v>0.356308442424778</c:v>
                </c:pt>
                <c:pt idx="4768">
                  <c:v>0.38281854530387</c:v>
                </c:pt>
                <c:pt idx="4769">
                  <c:v>0.364729630147273</c:v>
                </c:pt>
                <c:pt idx="4770">
                  <c:v>0.360175117547513</c:v>
                </c:pt>
                <c:pt idx="4771">
                  <c:v>0.369319432573728</c:v>
                </c:pt>
                <c:pt idx="4772">
                  <c:v>0.336168113507384</c:v>
                </c:pt>
                <c:pt idx="4773">
                  <c:v>0.38814497640495</c:v>
                </c:pt>
                <c:pt idx="4774">
                  <c:v>0.359348342737762</c:v>
                </c:pt>
                <c:pt idx="4775">
                  <c:v>0.364506561536032</c:v>
                </c:pt>
                <c:pt idx="4776">
                  <c:v>0.364931402800158</c:v>
                </c:pt>
                <c:pt idx="4777">
                  <c:v>0.356348132046572</c:v>
                </c:pt>
                <c:pt idx="4778">
                  <c:v>0.377806273047141</c:v>
                </c:pt>
                <c:pt idx="4779">
                  <c:v>0.361331830841763</c:v>
                </c:pt>
                <c:pt idx="4780">
                  <c:v>0.366589904118684</c:v>
                </c:pt>
                <c:pt idx="4781">
                  <c:v>0.384580358069526</c:v>
                </c:pt>
                <c:pt idx="4782">
                  <c:v>0.381780819773889</c:v>
                </c:pt>
                <c:pt idx="4783">
                  <c:v>0.351049094956548</c:v>
                </c:pt>
                <c:pt idx="4784">
                  <c:v>0.381065433703809</c:v>
                </c:pt>
                <c:pt idx="4785">
                  <c:v>0.383783678479076</c:v>
                </c:pt>
                <c:pt idx="4786">
                  <c:v>0.364816994976913</c:v>
                </c:pt>
                <c:pt idx="4787">
                  <c:v>0.362698168496087</c:v>
                </c:pt>
                <c:pt idx="4788">
                  <c:v>0.356059753471344</c:v>
                </c:pt>
                <c:pt idx="4789">
                  <c:v>0.36996609257226</c:v>
                </c:pt>
                <c:pt idx="4790">
                  <c:v>0.364888049645226</c:v>
                </c:pt>
                <c:pt idx="4791">
                  <c:v>0.369874207469543</c:v>
                </c:pt>
                <c:pt idx="4792">
                  <c:v>0.373132527052258</c:v>
                </c:pt>
                <c:pt idx="4793">
                  <c:v>0.380674159314428</c:v>
                </c:pt>
                <c:pt idx="4794">
                  <c:v>0.345289525867331</c:v>
                </c:pt>
                <c:pt idx="4795">
                  <c:v>0.369147651892708</c:v>
                </c:pt>
                <c:pt idx="4796">
                  <c:v>0.381916783682759</c:v>
                </c:pt>
                <c:pt idx="4797">
                  <c:v>0.348517407237445</c:v>
                </c:pt>
                <c:pt idx="4798">
                  <c:v>0.358910947988879</c:v>
                </c:pt>
                <c:pt idx="4799">
                  <c:v>0.406730689656385</c:v>
                </c:pt>
                <c:pt idx="4800">
                  <c:v>0.399779124557394</c:v>
                </c:pt>
                <c:pt idx="4801">
                  <c:v>0.378497975350637</c:v>
                </c:pt>
                <c:pt idx="4802">
                  <c:v>0.365408600081262</c:v>
                </c:pt>
                <c:pt idx="4803">
                  <c:v>0.361982427475632</c:v>
                </c:pt>
                <c:pt idx="4804">
                  <c:v>0.353741033684004</c:v>
                </c:pt>
                <c:pt idx="4805">
                  <c:v>0.369149310919931</c:v>
                </c:pt>
                <c:pt idx="4806">
                  <c:v>0.349459669037342</c:v>
                </c:pt>
                <c:pt idx="4807">
                  <c:v>0.383909299488288</c:v>
                </c:pt>
                <c:pt idx="4808">
                  <c:v>0.369826767217412</c:v>
                </c:pt>
                <c:pt idx="4809">
                  <c:v>0.399469749059519</c:v>
                </c:pt>
                <c:pt idx="4810">
                  <c:v>0.383151291509904</c:v>
                </c:pt>
                <c:pt idx="4811">
                  <c:v>0.376728252319292</c:v>
                </c:pt>
                <c:pt idx="4812">
                  <c:v>0.360540364472094</c:v>
                </c:pt>
                <c:pt idx="4813">
                  <c:v>0.362789207409165</c:v>
                </c:pt>
                <c:pt idx="4814">
                  <c:v>0.385310712761052</c:v>
                </c:pt>
                <c:pt idx="4815">
                  <c:v>0.3775625210757</c:v>
                </c:pt>
                <c:pt idx="4816">
                  <c:v>0.36929409258163</c:v>
                </c:pt>
                <c:pt idx="4817">
                  <c:v>0.356759458196092</c:v>
                </c:pt>
                <c:pt idx="4818">
                  <c:v>0.373525738043619</c:v>
                </c:pt>
                <c:pt idx="4819">
                  <c:v>0.36963285990011</c:v>
                </c:pt>
                <c:pt idx="4820">
                  <c:v>0.375514544530088</c:v>
                </c:pt>
                <c:pt idx="4821">
                  <c:v>0.391119746435035</c:v>
                </c:pt>
                <c:pt idx="4822">
                  <c:v>0.376446573856212</c:v>
                </c:pt>
                <c:pt idx="4823">
                  <c:v>0.367815217925758</c:v>
                </c:pt>
                <c:pt idx="4824">
                  <c:v>0.385484146289535</c:v>
                </c:pt>
                <c:pt idx="4825">
                  <c:v>0.367177696319916</c:v>
                </c:pt>
                <c:pt idx="4826">
                  <c:v>0.374532994968819</c:v>
                </c:pt>
                <c:pt idx="4827">
                  <c:v>0.34577252043887</c:v>
                </c:pt>
                <c:pt idx="4828">
                  <c:v>0.399325080456393</c:v>
                </c:pt>
                <c:pt idx="4829">
                  <c:v>0.358679292281299</c:v>
                </c:pt>
                <c:pt idx="4830">
                  <c:v>0.376588445282357</c:v>
                </c:pt>
                <c:pt idx="4831">
                  <c:v>0.382288759322918</c:v>
                </c:pt>
                <c:pt idx="4832">
                  <c:v>0.366809270780875</c:v>
                </c:pt>
                <c:pt idx="4833">
                  <c:v>0.365138733189317</c:v>
                </c:pt>
                <c:pt idx="4834">
                  <c:v>0.40469631758777</c:v>
                </c:pt>
                <c:pt idx="4835">
                  <c:v>0.38036741592008</c:v>
                </c:pt>
                <c:pt idx="4836">
                  <c:v>0.360698569490412</c:v>
                </c:pt>
                <c:pt idx="4837">
                  <c:v>0.356096818065503</c:v>
                </c:pt>
                <c:pt idx="4838">
                  <c:v>0.352840098323355</c:v>
                </c:pt>
                <c:pt idx="4839">
                  <c:v>0.379618480771339</c:v>
                </c:pt>
                <c:pt idx="4840">
                  <c:v>0.368007368216165</c:v>
                </c:pt>
                <c:pt idx="4841">
                  <c:v>0.374491549055007</c:v>
                </c:pt>
                <c:pt idx="4842">
                  <c:v>0.355206988632824</c:v>
                </c:pt>
                <c:pt idx="4843">
                  <c:v>0.358037151826053</c:v>
                </c:pt>
                <c:pt idx="4844">
                  <c:v>0.361575992070476</c:v>
                </c:pt>
                <c:pt idx="4845">
                  <c:v>0.385005731714179</c:v>
                </c:pt>
                <c:pt idx="4846">
                  <c:v>0.362881265814724</c:v>
                </c:pt>
                <c:pt idx="4847">
                  <c:v>0.359020890145005</c:v>
                </c:pt>
                <c:pt idx="4848">
                  <c:v>0.361019543124996</c:v>
                </c:pt>
                <c:pt idx="4849">
                  <c:v>0.364485388076599</c:v>
                </c:pt>
                <c:pt idx="4850">
                  <c:v>0.345015281405927</c:v>
                </c:pt>
                <c:pt idx="4851">
                  <c:v>0.358835313303619</c:v>
                </c:pt>
                <c:pt idx="4852">
                  <c:v>0.363875125894202</c:v>
                </c:pt>
                <c:pt idx="4853">
                  <c:v>0.404728013332525</c:v>
                </c:pt>
                <c:pt idx="4854">
                  <c:v>0.376619659273154</c:v>
                </c:pt>
                <c:pt idx="4855">
                  <c:v>0.372375630937932</c:v>
                </c:pt>
                <c:pt idx="4856">
                  <c:v>0.370099542004053</c:v>
                </c:pt>
                <c:pt idx="4857">
                  <c:v>0.35954778870917</c:v>
                </c:pt>
                <c:pt idx="4858">
                  <c:v>0.351742751281228</c:v>
                </c:pt>
                <c:pt idx="4859">
                  <c:v>0.358793816175191</c:v>
                </c:pt>
                <c:pt idx="4860">
                  <c:v>0.346036889377229</c:v>
                </c:pt>
                <c:pt idx="4861">
                  <c:v>0.379052711309771</c:v>
                </c:pt>
                <c:pt idx="4862">
                  <c:v>0.353123420975005</c:v>
                </c:pt>
                <c:pt idx="4863">
                  <c:v>0.36462069801864</c:v>
                </c:pt>
                <c:pt idx="4864">
                  <c:v>0.366490195507743</c:v>
                </c:pt>
                <c:pt idx="4865">
                  <c:v>0.366112588650316</c:v>
                </c:pt>
                <c:pt idx="4866">
                  <c:v>0.390640167305781</c:v>
                </c:pt>
                <c:pt idx="4867">
                  <c:v>0.35262370865643</c:v>
                </c:pt>
                <c:pt idx="4868">
                  <c:v>0.367984254995552</c:v>
                </c:pt>
                <c:pt idx="4869">
                  <c:v>0.361894785961859</c:v>
                </c:pt>
                <c:pt idx="4870">
                  <c:v>0.372056971631786</c:v>
                </c:pt>
                <c:pt idx="4871">
                  <c:v>0.359516883603205</c:v>
                </c:pt>
                <c:pt idx="4872">
                  <c:v>0.356829285821429</c:v>
                </c:pt>
                <c:pt idx="4873">
                  <c:v>0.380559904878407</c:v>
                </c:pt>
                <c:pt idx="4874">
                  <c:v>0.378738155643424</c:v>
                </c:pt>
                <c:pt idx="4875">
                  <c:v>0.366716605627625</c:v>
                </c:pt>
                <c:pt idx="4876">
                  <c:v>0.346000636031062</c:v>
                </c:pt>
                <c:pt idx="4877">
                  <c:v>0.351578617071744</c:v>
                </c:pt>
                <c:pt idx="4878">
                  <c:v>0.359392521266648</c:v>
                </c:pt>
                <c:pt idx="4879">
                  <c:v>0.369432521168793</c:v>
                </c:pt>
                <c:pt idx="4880">
                  <c:v>0.367808729965753</c:v>
                </c:pt>
                <c:pt idx="4881">
                  <c:v>0.377221410898107</c:v>
                </c:pt>
                <c:pt idx="4882">
                  <c:v>0.36196338793486</c:v>
                </c:pt>
                <c:pt idx="4883">
                  <c:v>0.35465672367733</c:v>
                </c:pt>
                <c:pt idx="4884">
                  <c:v>0.373974822307184</c:v>
                </c:pt>
                <c:pt idx="4885">
                  <c:v>0.365643250004452</c:v>
                </c:pt>
                <c:pt idx="4886">
                  <c:v>0.372843113997215</c:v>
                </c:pt>
                <c:pt idx="4887">
                  <c:v>0.359040017927839</c:v>
                </c:pt>
                <c:pt idx="4888">
                  <c:v>0.389303433776752</c:v>
                </c:pt>
                <c:pt idx="4889">
                  <c:v>0.373172054379488</c:v>
                </c:pt>
                <c:pt idx="4890">
                  <c:v>0.388444595324497</c:v>
                </c:pt>
                <c:pt idx="4891">
                  <c:v>0.365303588052116</c:v>
                </c:pt>
                <c:pt idx="4892">
                  <c:v>0.380712764343531</c:v>
                </c:pt>
                <c:pt idx="4893">
                  <c:v>0.377320546848636</c:v>
                </c:pt>
                <c:pt idx="4894">
                  <c:v>0.346940964045828</c:v>
                </c:pt>
                <c:pt idx="4895">
                  <c:v>0.355608891843347</c:v>
                </c:pt>
                <c:pt idx="4896">
                  <c:v>0.355788336605309</c:v>
                </c:pt>
                <c:pt idx="4897">
                  <c:v>0.373587004580245</c:v>
                </c:pt>
                <c:pt idx="4898">
                  <c:v>0.378448220564622</c:v>
                </c:pt>
                <c:pt idx="4899">
                  <c:v>0.35157532654208</c:v>
                </c:pt>
                <c:pt idx="4900">
                  <c:v>0.34729128438468</c:v>
                </c:pt>
                <c:pt idx="4901">
                  <c:v>0.375867756675826</c:v>
                </c:pt>
                <c:pt idx="4902">
                  <c:v>0.37184148373188</c:v>
                </c:pt>
                <c:pt idx="4903">
                  <c:v>0.399136653738475</c:v>
                </c:pt>
                <c:pt idx="4904">
                  <c:v>0.358616392409143</c:v>
                </c:pt>
                <c:pt idx="4905">
                  <c:v>0.371266782744294</c:v>
                </c:pt>
                <c:pt idx="4906">
                  <c:v>0.358963806544039</c:v>
                </c:pt>
                <c:pt idx="4907">
                  <c:v>0.375699125128575</c:v>
                </c:pt>
                <c:pt idx="4908">
                  <c:v>0.370566184803339</c:v>
                </c:pt>
                <c:pt idx="4909">
                  <c:v>0.368164602764778</c:v>
                </c:pt>
                <c:pt idx="4910">
                  <c:v>0.358703805230091</c:v>
                </c:pt>
                <c:pt idx="4911">
                  <c:v>0.381264013315896</c:v>
                </c:pt>
                <c:pt idx="4912">
                  <c:v>0.371404715307552</c:v>
                </c:pt>
                <c:pt idx="4913">
                  <c:v>0.375430285109299</c:v>
                </c:pt>
                <c:pt idx="4914">
                  <c:v>0.372423673815147</c:v>
                </c:pt>
                <c:pt idx="4915">
                  <c:v>0.364195623658687</c:v>
                </c:pt>
                <c:pt idx="4916">
                  <c:v>0.393998579128577</c:v>
                </c:pt>
                <c:pt idx="4917">
                  <c:v>0.368758927980263</c:v>
                </c:pt>
                <c:pt idx="4918">
                  <c:v>0.373937823692742</c:v>
                </c:pt>
                <c:pt idx="4919">
                  <c:v>0.386630461414192</c:v>
                </c:pt>
                <c:pt idx="4920">
                  <c:v>0.390714773446664</c:v>
                </c:pt>
                <c:pt idx="4921">
                  <c:v>0.382339553809437</c:v>
                </c:pt>
                <c:pt idx="4922">
                  <c:v>0.387576975263535</c:v>
                </c:pt>
                <c:pt idx="4923">
                  <c:v>0.37070591878667</c:v>
                </c:pt>
                <c:pt idx="4924">
                  <c:v>0.360072863702729</c:v>
                </c:pt>
                <c:pt idx="4925">
                  <c:v>0.370975646211124</c:v>
                </c:pt>
                <c:pt idx="4926">
                  <c:v>0.367546130681984</c:v>
                </c:pt>
                <c:pt idx="4927">
                  <c:v>0.370811868902471</c:v>
                </c:pt>
                <c:pt idx="4928">
                  <c:v>0.368826808210745</c:v>
                </c:pt>
                <c:pt idx="4929">
                  <c:v>0.343263631277217</c:v>
                </c:pt>
                <c:pt idx="4930">
                  <c:v>0.358931524744681</c:v>
                </c:pt>
                <c:pt idx="4931">
                  <c:v>0.35011961430814</c:v>
                </c:pt>
                <c:pt idx="4932">
                  <c:v>0.355957365645389</c:v>
                </c:pt>
                <c:pt idx="4933">
                  <c:v>0.369749820585649</c:v>
                </c:pt>
                <c:pt idx="4934">
                  <c:v>0.361802199692134</c:v>
                </c:pt>
                <c:pt idx="4935">
                  <c:v>0.352826337704329</c:v>
                </c:pt>
                <c:pt idx="4936">
                  <c:v>0.382216734773553</c:v>
                </c:pt>
                <c:pt idx="4937">
                  <c:v>0.374625520673998</c:v>
                </c:pt>
                <c:pt idx="4938">
                  <c:v>0.36539385811316</c:v>
                </c:pt>
                <c:pt idx="4939">
                  <c:v>0.341598963610508</c:v>
                </c:pt>
                <c:pt idx="4940">
                  <c:v>0.343426548938048</c:v>
                </c:pt>
                <c:pt idx="4941">
                  <c:v>0.380121043067099</c:v>
                </c:pt>
                <c:pt idx="4942">
                  <c:v>0.368757581617207</c:v>
                </c:pt>
                <c:pt idx="4943">
                  <c:v>0.363072534125039</c:v>
                </c:pt>
                <c:pt idx="4944">
                  <c:v>0.359197027600579</c:v>
                </c:pt>
                <c:pt idx="4945">
                  <c:v>0.358389774556121</c:v>
                </c:pt>
                <c:pt idx="4946">
                  <c:v>0.374515729256012</c:v>
                </c:pt>
                <c:pt idx="4947">
                  <c:v>0.354155497873585</c:v>
                </c:pt>
                <c:pt idx="4948">
                  <c:v>0.374546597592013</c:v>
                </c:pt>
                <c:pt idx="4949">
                  <c:v>0.368166916230603</c:v>
                </c:pt>
                <c:pt idx="4950">
                  <c:v>0.365700938488982</c:v>
                </c:pt>
                <c:pt idx="4951">
                  <c:v>0.358568623801308</c:v>
                </c:pt>
                <c:pt idx="4952">
                  <c:v>0.36950196568391</c:v>
                </c:pt>
                <c:pt idx="4953">
                  <c:v>0.356780200623643</c:v>
                </c:pt>
                <c:pt idx="4954">
                  <c:v>0.369121167437958</c:v>
                </c:pt>
                <c:pt idx="4955">
                  <c:v>0.380703919129407</c:v>
                </c:pt>
                <c:pt idx="4956">
                  <c:v>0.381956593899231</c:v>
                </c:pt>
                <c:pt idx="4957">
                  <c:v>0.357623609555967</c:v>
                </c:pt>
                <c:pt idx="4958">
                  <c:v>0.380916572472503</c:v>
                </c:pt>
                <c:pt idx="4959">
                  <c:v>0.379821997975763</c:v>
                </c:pt>
                <c:pt idx="4960">
                  <c:v>0.353700315960021</c:v>
                </c:pt>
                <c:pt idx="4961">
                  <c:v>0.356271714667202</c:v>
                </c:pt>
                <c:pt idx="4962">
                  <c:v>0.341567417574322</c:v>
                </c:pt>
                <c:pt idx="4963">
                  <c:v>0.369258039856324</c:v>
                </c:pt>
                <c:pt idx="4964">
                  <c:v>0.401753233156996</c:v>
                </c:pt>
                <c:pt idx="4965">
                  <c:v>0.391080289818016</c:v>
                </c:pt>
                <c:pt idx="4966">
                  <c:v>0.392679974478491</c:v>
                </c:pt>
                <c:pt idx="4967">
                  <c:v>0.353704071217609</c:v>
                </c:pt>
                <c:pt idx="4968">
                  <c:v>0.373715436671913</c:v>
                </c:pt>
                <c:pt idx="4969">
                  <c:v>0.356430393885768</c:v>
                </c:pt>
                <c:pt idx="4970">
                  <c:v>0.363558493771493</c:v>
                </c:pt>
                <c:pt idx="4971">
                  <c:v>0.373785871407219</c:v>
                </c:pt>
                <c:pt idx="4972">
                  <c:v>0.356821558188141</c:v>
                </c:pt>
                <c:pt idx="4973">
                  <c:v>0.364581926323134</c:v>
                </c:pt>
                <c:pt idx="4974">
                  <c:v>0.364963236079266</c:v>
                </c:pt>
                <c:pt idx="4975">
                  <c:v>0.381322699996614</c:v>
                </c:pt>
                <c:pt idx="4976">
                  <c:v>0.387608829627465</c:v>
                </c:pt>
                <c:pt idx="4977">
                  <c:v>0.372880814047966</c:v>
                </c:pt>
                <c:pt idx="4978">
                  <c:v>0.374914190206124</c:v>
                </c:pt>
                <c:pt idx="4979">
                  <c:v>0.356549559658621</c:v>
                </c:pt>
                <c:pt idx="4980">
                  <c:v>0.36652114440711</c:v>
                </c:pt>
                <c:pt idx="4981">
                  <c:v>0.343239944583906</c:v>
                </c:pt>
                <c:pt idx="4982">
                  <c:v>0.370189316585229</c:v>
                </c:pt>
                <c:pt idx="4983">
                  <c:v>0.384605408112745</c:v>
                </c:pt>
                <c:pt idx="4984">
                  <c:v>0.358136548933714</c:v>
                </c:pt>
                <c:pt idx="4985">
                  <c:v>0.368001088247727</c:v>
                </c:pt>
                <c:pt idx="4986">
                  <c:v>0.362132032228066</c:v>
                </c:pt>
                <c:pt idx="4987">
                  <c:v>0.383700500657087</c:v>
                </c:pt>
                <c:pt idx="4988">
                  <c:v>0.377049827037762</c:v>
                </c:pt>
                <c:pt idx="4989">
                  <c:v>0.361715276541664</c:v>
                </c:pt>
                <c:pt idx="4990">
                  <c:v>0.369777713190109</c:v>
                </c:pt>
                <c:pt idx="4991">
                  <c:v>0.33950439756762</c:v>
                </c:pt>
                <c:pt idx="4992">
                  <c:v>0.351387610137878</c:v>
                </c:pt>
                <c:pt idx="4993">
                  <c:v>0.360515346608616</c:v>
                </c:pt>
                <c:pt idx="4994">
                  <c:v>0.35674522866776</c:v>
                </c:pt>
                <c:pt idx="4995">
                  <c:v>0.368613421833237</c:v>
                </c:pt>
                <c:pt idx="4996">
                  <c:v>0.365942107569054</c:v>
                </c:pt>
                <c:pt idx="4997">
                  <c:v>0.358680608165137</c:v>
                </c:pt>
                <c:pt idx="4998">
                  <c:v>0.376993173968793</c:v>
                </c:pt>
                <c:pt idx="4999">
                  <c:v>0.389340672445113</c:v>
                </c:pt>
              </c:numCache>
            </c:numRef>
          </c:yVal>
          <c:smooth val="1"/>
        </c:ser>
        <c:axId val="15012585"/>
        <c:axId val="99427315"/>
      </c:scatterChart>
      <c:valAx>
        <c:axId val="150125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Volatility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427315"/>
        <c:crosses val="autoZero"/>
        <c:crossBetween val="midCat"/>
      </c:valAx>
      <c:valAx>
        <c:axId val="99427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12585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7</xdr:row>
      <xdr:rowOff>0</xdr:rowOff>
    </xdr:from>
    <xdr:to>
      <xdr:col>17</xdr:col>
      <xdr:colOff>429480</xdr:colOff>
      <xdr:row>24</xdr:row>
      <xdr:rowOff>1080</xdr:rowOff>
    </xdr:to>
    <xdr:graphicFrame>
      <xdr:nvGraphicFramePr>
        <xdr:cNvPr id="1" name="Chart 1"/>
        <xdr:cNvGraphicFramePr/>
      </xdr:nvGraphicFramePr>
      <xdr:xfrm>
        <a:off x="582948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n">
        <v>0.042</v>
      </c>
    </row>
    <row r="3" customFormat="false" ht="15" hidden="false" customHeight="false" outlineLevel="0" collapsed="false">
      <c r="A3" s="0" t="s">
        <v>2</v>
      </c>
      <c r="B3" s="0" t="n">
        <v>252</v>
      </c>
    </row>
    <row r="5" customFormat="false" ht="15" hidden="false" customHeight="false" outlineLevel="0" collapsed="false">
      <c r="A5" s="1" t="s">
        <v>3</v>
      </c>
      <c r="B5" s="1" t="s">
        <v>4</v>
      </c>
      <c r="C5" s="1" t="s">
        <v>5</v>
      </c>
      <c r="D5" s="1" t="s">
        <v>6</v>
      </c>
    </row>
    <row r="6" customFormat="false" ht="15" hidden="false" customHeight="false" outlineLevel="0" collapsed="false">
      <c r="A6" s="0" t="s">
        <v>7</v>
      </c>
      <c r="B6" s="0" t="n">
        <f aca="false">AVERAGE(Returns!B2:B252)*$B$3</f>
        <v>0.356483704456327</v>
      </c>
      <c r="C6" s="0" t="n">
        <f aca="false">AVERAGE(Returns!C2:C252)*$B$3</f>
        <v>0.414022410181653</v>
      </c>
      <c r="D6" s="0" t="n">
        <f aca="false">AVERAGE(Returns!D2:D252)*$B$3</f>
        <v>0.328909089076549</v>
      </c>
    </row>
    <row r="7" customFormat="false" ht="15" hidden="false" customHeight="false" outlineLevel="0" collapsed="false">
      <c r="A7" s="0" t="s">
        <v>8</v>
      </c>
      <c r="B7" s="0" t="n">
        <f aca="false">STDEV(Returns!B2:B252)*SQRT($B$3)</f>
        <v>0.233447262641915</v>
      </c>
      <c r="C7" s="0" t="n">
        <f aca="false">STDEV(Returns!C2:C252)*SQRT($B$3)</f>
        <v>0.254630595088617</v>
      </c>
      <c r="D7" s="0" t="n">
        <f aca="false">STDEV(Returns!D2:D252)*SQRT($B$3)</f>
        <v>0.259855631180038</v>
      </c>
    </row>
    <row r="8" customFormat="false" ht="15" hidden="false" customHeight="false" outlineLevel="0" collapsed="false">
      <c r="A8" s="0" t="s">
        <v>9</v>
      </c>
      <c r="B8" s="0" t="n">
        <f aca="false">(B6-$B$2)/B7</f>
        <v>1.34712954393779</v>
      </c>
      <c r="C8" s="0" t="n">
        <f aca="false">(C6-$B$2)/C7</f>
        <v>1.46102792577687</v>
      </c>
      <c r="D8" s="0" t="n">
        <f aca="false">(D6-$B$2)/D7</f>
        <v>1.10410956950849</v>
      </c>
    </row>
    <row r="9" customFormat="false" ht="15" hidden="false" customHeight="false" outlineLevel="0" collapsed="false">
      <c r="A9" s="0" t="s">
        <v>10</v>
      </c>
      <c r="B9" s="0" t="n">
        <f aca="false">B6-$B$2</f>
        <v>0.314483704456327</v>
      </c>
      <c r="C9" s="0" t="n">
        <f aca="false">C6-$B$2</f>
        <v>0.372022410181653</v>
      </c>
      <c r="D9" s="0" t="n">
        <f aca="false">D6-$B$2</f>
        <v>0.286909089076549</v>
      </c>
    </row>
    <row r="11" customFormat="false" ht="15" hidden="false" customHeight="false" outlineLevel="0" collapsed="false">
      <c r="A11" s="1" t="s">
        <v>11</v>
      </c>
      <c r="B11" s="1" t="s">
        <v>4</v>
      </c>
      <c r="C11" s="1" t="s">
        <v>5</v>
      </c>
      <c r="D11" s="1" t="s">
        <v>6</v>
      </c>
    </row>
    <row r="12" customFormat="false" ht="15" hidden="false" customHeight="false" outlineLevel="0" collapsed="false">
      <c r="A12" s="1" t="s">
        <v>4</v>
      </c>
      <c r="B12" s="0" t="n">
        <f aca="false">_xlfn.COVARIANCE.S(Returns!B2:B252,Returns!B2:B252)*$B$3</f>
        <v>0.0544976244350031</v>
      </c>
      <c r="C12" s="0" t="n">
        <f aca="false">_xlfn.COVARIANCE.S(Returns!B2:B252,Returns!C2:C252)*$B$3</f>
        <v>0.045836403013965</v>
      </c>
      <c r="D12" s="0" t="n">
        <f aca="false">_xlfn.COVARIANCE.S(Returns!B2:B252,Returns!D2:D252)*$B$3</f>
        <v>0.0389410495709706</v>
      </c>
    </row>
    <row r="13" customFormat="false" ht="15" hidden="false" customHeight="false" outlineLevel="0" collapsed="false">
      <c r="A13" s="1" t="s">
        <v>5</v>
      </c>
      <c r="B13" s="0" t="n">
        <f aca="false">_xlfn.COVARIANCE.S(Returns!C2:C252,Returns!B2:B252)*$B$3</f>
        <v>0.045836403013965</v>
      </c>
      <c r="C13" s="0" t="n">
        <f aca="false">_xlfn.COVARIANCE.S(Returns!C2:C252,Returns!C2:C252)*$B$3</f>
        <v>0.0648367399551833</v>
      </c>
      <c r="D13" s="0" t="n">
        <f aca="false">_xlfn.COVARIANCE.S(Returns!C2:C252,Returns!D2:D252)*$B$3</f>
        <v>0.0522689493854893</v>
      </c>
    </row>
    <row r="14" customFormat="false" ht="15" hidden="false" customHeight="false" outlineLevel="0" collapsed="false">
      <c r="A14" s="1" t="s">
        <v>6</v>
      </c>
      <c r="B14" s="0" t="n">
        <f aca="false">_xlfn.COVARIANCE.S(Returns!D2:D252,Returns!B2:B252)*$B$3</f>
        <v>0.0389410495709706</v>
      </c>
      <c r="C14" s="0" t="n">
        <f aca="false">_xlfn.COVARIANCE.S(Returns!D2:D252,Returns!C2:C252)*$B$3</f>
        <v>0.0522689493854893</v>
      </c>
      <c r="D14" s="0" t="n">
        <f aca="false">_xlfn.COVARIANCE.S(Returns!D2:D252,Returns!D2:D252)*$B$3</f>
        <v>0.067524949055976</v>
      </c>
    </row>
    <row r="16" customFormat="false" ht="15" hidden="false" customHeight="false" outlineLevel="0" collapsed="false">
      <c r="A16" s="1" t="s">
        <v>12</v>
      </c>
      <c r="B16" s="1" t="s">
        <v>4</v>
      </c>
      <c r="C16" s="1" t="s">
        <v>5</v>
      </c>
      <c r="D16" s="1" t="s">
        <v>6</v>
      </c>
    </row>
    <row r="17" customFormat="false" ht="15" hidden="false" customHeight="false" outlineLevel="0" collapsed="false">
      <c r="A17" s="1" t="s">
        <v>4</v>
      </c>
      <c r="B17" s="0" t="n">
        <f aca="false">CORREL(Returns!B2:B252,Returns!B2:B252)</f>
        <v>1</v>
      </c>
      <c r="C17" s="0" t="n">
        <f aca="false">CORREL(Returns!B2:B252,Returns!C2:C252)</f>
        <v>0.771100808383816</v>
      </c>
      <c r="D17" s="0" t="n">
        <f aca="false">CORREL(Returns!B2:B252,Returns!D2:D252)</f>
        <v>0.641928613322057</v>
      </c>
    </row>
    <row r="18" customFormat="false" ht="15" hidden="false" customHeight="false" outlineLevel="0" collapsed="false">
      <c r="A18" s="1" t="s">
        <v>5</v>
      </c>
      <c r="B18" s="0" t="n">
        <f aca="false">CORREL(Returns!C2:C252,Returns!B2:B252)</f>
        <v>0.771100808383816</v>
      </c>
      <c r="C18" s="0" t="n">
        <f aca="false">CORREL(Returns!C2:C252,Returns!C2:C252)</f>
        <v>1</v>
      </c>
      <c r="D18" s="0" t="n">
        <f aca="false">CORREL(Returns!C2:C252,Returns!D2:D252)</f>
        <v>0.789952636981001</v>
      </c>
    </row>
    <row r="19" customFormat="false" ht="15" hidden="false" customHeight="false" outlineLevel="0" collapsed="false">
      <c r="A19" s="1" t="s">
        <v>6</v>
      </c>
      <c r="B19" s="0" t="n">
        <f aca="false">CORREL(Returns!D2:D252,Returns!B2:B252)</f>
        <v>0.641928613322057</v>
      </c>
      <c r="C19" s="0" t="n">
        <f aca="false">CORREL(Returns!D2:D252,Returns!C2:C252)</f>
        <v>0.789952636981001</v>
      </c>
      <c r="D19" s="0" t="n">
        <f aca="false">CORREL(Returns!D2:D252,Returns!D2:D252)</f>
        <v>1</v>
      </c>
    </row>
    <row r="21" customFormat="false" ht="15" hidden="false" customHeight="false" outlineLevel="0" collapsed="false">
      <c r="A21" s="0" t="s">
        <v>13</v>
      </c>
    </row>
    <row r="22" customFormat="false" ht="15" hidden="false" customHeight="false" outlineLevel="0" collapsed="false">
      <c r="B22" s="0" t="n">
        <f aca="false" t="array" ref="B22:D24">MINVERSE(B12:D14)</f>
        <v>45.5837761789174</v>
      </c>
      <c r="C22" s="0" t="n">
        <v>-29.3458145449953</v>
      </c>
      <c r="D22" s="0" t="n">
        <v>-3.5720899616967</v>
      </c>
    </row>
    <row r="23" customFormat="false" ht="15" hidden="false" customHeight="false" outlineLevel="0" collapsed="false">
      <c r="B23" s="0" t="n">
        <v>-29.3458145449953</v>
      </c>
      <c r="C23" s="0" t="n">
        <v>59.9144831573241</v>
      </c>
      <c r="D23" s="0" t="n">
        <v>-29.4544504885447</v>
      </c>
    </row>
    <row r="24" customFormat="false" ht="15" hidden="false" customHeight="false" outlineLevel="0" collapsed="false">
      <c r="B24" s="0" t="n">
        <v>-3.5720899616967</v>
      </c>
      <c r="C24" s="0" t="n">
        <v>-29.4544504885447</v>
      </c>
      <c r="D24" s="0" t="n">
        <v>39.6691023315401</v>
      </c>
    </row>
    <row r="26" customFormat="false" ht="15" hidden="false" customHeight="false" outlineLevel="0" collapsed="false">
      <c r="A26" s="1" t="s">
        <v>14</v>
      </c>
      <c r="B26" s="1" t="s">
        <v>4</v>
      </c>
      <c r="C26" s="1" t="s">
        <v>5</v>
      </c>
      <c r="D26" s="1" t="s">
        <v>6</v>
      </c>
      <c r="E26" s="1" t="s">
        <v>15</v>
      </c>
      <c r="F26" s="1" t="s">
        <v>16</v>
      </c>
      <c r="G26" s="1" t="s">
        <v>17</v>
      </c>
    </row>
    <row r="27" customFormat="false" ht="15" hidden="false" customHeight="false" outlineLevel="0" collapsed="false">
      <c r="A27" s="0" t="s">
        <v>18</v>
      </c>
      <c r="B27" s="0" t="n">
        <f aca="false">SUM(B22:D22)/SUM(B22:D24)</f>
        <v>0.620187420926277</v>
      </c>
      <c r="C27" s="0" t="n">
        <f aca="false">SUM(B23:D23)/SUM(B22:D24)</f>
        <v>0.0545579556166067</v>
      </c>
      <c r="D27" s="0" t="n">
        <f aca="false">SUM(B24:D24)/SUM(B22:D24)</f>
        <v>0.325254623457116</v>
      </c>
      <c r="E27" s="0" t="n">
        <f aca="false">SUMPRODUCT(B27:D27,$B$6:$D$6)</f>
        <v>0.350654127467202</v>
      </c>
      <c r="F27" s="0" t="n">
        <f aca="false">SQRT(SUMPRODUCT(MMULT(B27:D27,$B$12:$D$14),B27:D27))</f>
        <v>0.22128090292984</v>
      </c>
      <c r="G27" s="0" t="n">
        <f aca="false">(E27-$B$2)/F27</f>
        <v>1.3948520788758</v>
      </c>
    </row>
    <row r="28" customFormat="false" ht="15" hidden="false" customHeight="false" outlineLevel="0" collapsed="false">
      <c r="A28" s="0" t="s">
        <v>19</v>
      </c>
      <c r="B28" s="0" t="n">
        <f aca="false">SUMPRODUCT(B22:D22,$B$9:$D$9)/(SUMPRODUCT(B22:D22,$B$9:$D$9)+SUMPRODUCT(B23:D23,$B$9:$D$9)+SUMPRODUCT(B24:D24,$B$9:$D$9))</f>
        <v>0.379658205180446</v>
      </c>
      <c r="C28" s="0" t="n">
        <f aca="false">SUMPRODUCT(B23:D23,$B$9:$D$9)/(SUMPRODUCT(B22:D22,$B$9:$D$9)+SUMPRODUCT(B23:D23,$B$9:$D$9)+SUMPRODUCT(B24:D24,$B$9:$D$9))</f>
        <v>0.731335649732912</v>
      </c>
      <c r="D28" s="0" t="n">
        <f aca="false">SUMPRODUCT(B24:D24,$B$9:$D$9)/(SUMPRODUCT(B22:D22,$B$9:$D$9)+SUMPRODUCT(B23:D23,$B$9:$D$9)+SUMPRODUCT(B24:D24,$B$9:$D$9))</f>
        <v>-0.110993854913359</v>
      </c>
      <c r="E28" s="0" t="n">
        <f aca="false">SUMPRODUCT(B28:D28,$B$6:$D$6)</f>
        <v>0.401624424051504</v>
      </c>
      <c r="F28" s="0" t="n">
        <f aca="false">SQRT(SUMPRODUCT(MMULT(B28:D28,$B$12:$D$14),B28:D28))</f>
        <v>0.238853978804093</v>
      </c>
      <c r="G28" s="0" t="n">
        <f aca="false">(E28-$B$2)/F28</f>
        <v>1.50562459060591</v>
      </c>
    </row>
    <row r="30" customFormat="false" ht="15" hidden="false" customHeight="false" outlineLevel="0" collapsed="false">
      <c r="A30" s="0" t="s">
        <v>20</v>
      </c>
    </row>
    <row r="31" customFormat="false" ht="15" hidden="false" customHeight="false" outlineLevel="0" collapsed="false">
      <c r="A31" s="1" t="s">
        <v>21</v>
      </c>
      <c r="B31" s="1" t="s">
        <v>4</v>
      </c>
      <c r="C31" s="1" t="s">
        <v>5</v>
      </c>
      <c r="D31" s="1" t="s">
        <v>6</v>
      </c>
      <c r="E31" s="1" t="s">
        <v>15</v>
      </c>
      <c r="F31" s="1" t="s">
        <v>16</v>
      </c>
      <c r="G31" s="1" t="s">
        <v>17</v>
      </c>
    </row>
    <row r="32" customFormat="false" ht="15" hidden="false" customHeight="false" outlineLevel="0" collapsed="false">
      <c r="A32" s="0" t="s">
        <v>22</v>
      </c>
      <c r="B32" s="0" t="n">
        <f aca="false">1/3</f>
        <v>0.333333333333333</v>
      </c>
      <c r="C32" s="0" t="n">
        <f aca="false">1/3</f>
        <v>0.333333333333333</v>
      </c>
      <c r="D32" s="0" t="n">
        <f aca="false">1/3</f>
        <v>0.333333333333333</v>
      </c>
      <c r="E32" s="0" t="n">
        <f aca="false">SUMPRODUCT(B32:D32,$B$6:$D$6)</f>
        <v>0.36647173457151</v>
      </c>
      <c r="F32" s="0" t="n">
        <f aca="false">SQRT(SUMPRODUCT(MMULT(B32:D32,$B$12:$D$14),B32:D32))</f>
        <v>0.22631151524368</v>
      </c>
      <c r="G32" s="0" t="n">
        <f aca="false">(E32-$B$2)/F32</f>
        <v>1.4337393933408</v>
      </c>
    </row>
    <row r="34" customFormat="false" ht="15" hidden="false" customHeight="false" outlineLevel="0" collapsed="false">
      <c r="A34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4</v>
      </c>
      <c r="C1" s="1" t="s">
        <v>5</v>
      </c>
      <c r="D1" s="1" t="s">
        <v>6</v>
      </c>
    </row>
    <row r="2" customFormat="false" ht="15" hidden="false" customHeight="false" outlineLevel="0" collapsed="false">
      <c r="A2" s="2" t="n">
        <v>45293</v>
      </c>
      <c r="B2" s="0" t="n">
        <v>162.278289794922</v>
      </c>
      <c r="C2" s="0" t="n">
        <v>366.173767089844</v>
      </c>
      <c r="D2" s="0" t="n">
        <v>86.7031555175781</v>
      </c>
    </row>
    <row r="3" customFormat="false" ht="15" hidden="false" customHeight="false" outlineLevel="0" collapsed="false">
      <c r="A3" s="2" t="n">
        <v>45294</v>
      </c>
      <c r="B3" s="0" t="n">
        <v>161.570999145508</v>
      </c>
      <c r="C3" s="0" t="n">
        <v>360.034790039063</v>
      </c>
      <c r="D3" s="0" t="n">
        <v>84.8656845092773</v>
      </c>
    </row>
    <row r="4" customFormat="false" ht="15" hidden="false" customHeight="false" outlineLevel="0" collapsed="false">
      <c r="A4" s="2" t="n">
        <v>45295</v>
      </c>
      <c r="B4" s="0" t="n">
        <v>162.64323425293</v>
      </c>
      <c r="C4" s="0" t="n">
        <v>361.128631591797</v>
      </c>
      <c r="D4" s="0" t="n">
        <v>85.0872802734375</v>
      </c>
    </row>
    <row r="5" customFormat="false" ht="15" hidden="false" customHeight="false" outlineLevel="0" collapsed="false">
      <c r="A5" s="2" t="n">
        <v>45296</v>
      </c>
      <c r="B5" s="0" t="n">
        <v>163.459243774414</v>
      </c>
      <c r="C5" s="0" t="n">
        <v>364.419738769531</v>
      </c>
      <c r="D5" s="0" t="n">
        <v>86.0937347412109</v>
      </c>
    </row>
    <row r="6" customFormat="false" ht="15" hidden="false" customHeight="false" outlineLevel="0" collapsed="false">
      <c r="A6" s="2" t="n">
        <v>45299</v>
      </c>
      <c r="B6" s="0" t="n">
        <v>163.222030639648</v>
      </c>
      <c r="C6" s="0" t="n">
        <v>366.701873779297</v>
      </c>
      <c r="D6" s="0" t="n">
        <v>86.3430328369141</v>
      </c>
    </row>
    <row r="7" customFormat="false" ht="15" hidden="false" customHeight="false" outlineLevel="0" collapsed="false">
      <c r="A7" s="2" t="n">
        <v>45300</v>
      </c>
      <c r="B7" s="0" t="n">
        <v>161.931579589844</v>
      </c>
      <c r="C7" s="0" t="n">
        <v>361.873626708984</v>
      </c>
      <c r="D7" s="0" t="n">
        <v>85.0041809082031</v>
      </c>
    </row>
    <row r="8" customFormat="false" ht="15" hidden="false" customHeight="false" outlineLevel="0" collapsed="false">
      <c r="A8" s="2" t="n">
        <v>45301</v>
      </c>
      <c r="B8" s="0" t="n">
        <v>162.273178100586</v>
      </c>
      <c r="C8" s="0" t="n">
        <v>360.195068359375</v>
      </c>
      <c r="D8" s="0" t="n">
        <v>84.468635559082</v>
      </c>
    </row>
    <row r="9" customFormat="false" ht="15" hidden="false" customHeight="false" outlineLevel="0" collapsed="false">
      <c r="A9" s="2" t="n">
        <v>45302</v>
      </c>
      <c r="B9" s="0" t="n">
        <v>161.59001159668</v>
      </c>
      <c r="C9" s="0" t="n">
        <v>358.111022949219</v>
      </c>
      <c r="D9" s="0" t="n">
        <v>83.5729827880859</v>
      </c>
    </row>
    <row r="10" customFormat="false" ht="15" hidden="false" customHeight="false" outlineLevel="0" collapsed="false">
      <c r="A10" s="2" t="n">
        <v>45303</v>
      </c>
      <c r="B10" s="0" t="n">
        <v>160.403930664063</v>
      </c>
      <c r="C10" s="0" t="n">
        <v>356.224945068359</v>
      </c>
      <c r="D10" s="0" t="n">
        <v>82.8250579833984</v>
      </c>
    </row>
    <row r="11" customFormat="false" ht="15" hidden="false" customHeight="false" outlineLevel="0" collapsed="false">
      <c r="A11" s="2" t="n">
        <v>45307</v>
      </c>
      <c r="B11" s="0" t="n">
        <v>159.398147583008</v>
      </c>
      <c r="C11" s="0" t="n">
        <v>358.771118164063</v>
      </c>
      <c r="D11" s="0" t="n">
        <v>79.3809280395508</v>
      </c>
    </row>
    <row r="12" customFormat="false" ht="15" hidden="false" customHeight="false" outlineLevel="0" collapsed="false">
      <c r="A12" s="2" t="n">
        <v>45308</v>
      </c>
      <c r="B12" s="0" t="n">
        <v>158.544174194336</v>
      </c>
      <c r="C12" s="0" t="n">
        <v>355.687408447266</v>
      </c>
      <c r="D12" s="0" t="n">
        <v>77.9405059814453</v>
      </c>
    </row>
    <row r="13" customFormat="false" ht="15" hidden="false" customHeight="false" outlineLevel="0" collapsed="false">
      <c r="A13" s="2" t="n">
        <v>45309</v>
      </c>
      <c r="B13" s="0" t="n">
        <v>158.857269287109</v>
      </c>
      <c r="C13" s="0" t="n">
        <v>355.432891845703</v>
      </c>
      <c r="D13" s="0" t="n">
        <v>77.4695892333984</v>
      </c>
    </row>
    <row r="14" customFormat="false" ht="15" hidden="false" customHeight="false" outlineLevel="0" collapsed="false">
      <c r="A14" s="2" t="n">
        <v>45310</v>
      </c>
      <c r="B14" s="0" t="n">
        <v>161.599472045898</v>
      </c>
      <c r="C14" s="0" t="n">
        <v>360.421417236328</v>
      </c>
      <c r="D14" s="0" t="n">
        <v>78.7992095947266</v>
      </c>
    </row>
    <row r="15" customFormat="false" ht="15" hidden="false" customHeight="false" outlineLevel="0" collapsed="false">
      <c r="A15" s="2" t="n">
        <v>45313</v>
      </c>
      <c r="B15" s="0" t="n">
        <v>161.409713745117</v>
      </c>
      <c r="C15" s="0" t="n">
        <v>363.967102050781</v>
      </c>
      <c r="D15" s="0" t="n">
        <v>79.1593399047852</v>
      </c>
    </row>
    <row r="16" customFormat="false" ht="15" hidden="false" customHeight="false" outlineLevel="0" collapsed="false">
      <c r="A16" s="2" t="n">
        <v>45314</v>
      </c>
      <c r="B16" s="0" t="n">
        <v>160.346984863281</v>
      </c>
      <c r="C16" s="0" t="n">
        <v>359.072875976563</v>
      </c>
      <c r="D16" s="0" t="n">
        <v>80.0919189453125</v>
      </c>
    </row>
    <row r="17" customFormat="false" ht="15" hidden="false" customHeight="false" outlineLevel="0" collapsed="false">
      <c r="A17" s="2" t="n">
        <v>45315</v>
      </c>
      <c r="B17" s="0" t="n">
        <v>161.779754638672</v>
      </c>
      <c r="C17" s="0" t="n">
        <v>357.780975341797</v>
      </c>
      <c r="D17" s="0" t="n">
        <v>80.8583068847656</v>
      </c>
    </row>
    <row r="18" customFormat="false" ht="15" hidden="false" customHeight="false" outlineLevel="0" collapsed="false">
      <c r="A18" s="2" t="n">
        <v>45316</v>
      </c>
      <c r="B18" s="0" t="n">
        <v>164.094955444336</v>
      </c>
      <c r="C18" s="0" t="n">
        <v>360.892883300781</v>
      </c>
      <c r="D18" s="0" t="n">
        <v>81.273811340332</v>
      </c>
    </row>
    <row r="19" customFormat="false" ht="15" hidden="false" customHeight="false" outlineLevel="0" collapsed="false">
      <c r="A19" s="2" t="n">
        <v>45317</v>
      </c>
      <c r="B19" s="0" t="n">
        <v>163.468719482422</v>
      </c>
      <c r="C19" s="0" t="n">
        <v>356.262664794922</v>
      </c>
      <c r="D19" s="0" t="n">
        <v>81.0060424804688</v>
      </c>
    </row>
    <row r="20" customFormat="false" ht="15" hidden="false" customHeight="false" outlineLevel="0" collapsed="false">
      <c r="A20" s="2" t="n">
        <v>45320</v>
      </c>
      <c r="B20" s="0" t="n">
        <v>163.895706176758</v>
      </c>
      <c r="C20" s="0" t="n">
        <v>358.874847412109</v>
      </c>
      <c r="D20" s="0" t="n">
        <v>80.9044876098633</v>
      </c>
    </row>
    <row r="21" customFormat="false" ht="15" hidden="false" customHeight="false" outlineLevel="0" collapsed="false">
      <c r="A21" s="2" t="n">
        <v>45321</v>
      </c>
      <c r="B21" s="0" t="n">
        <v>167.254653930664</v>
      </c>
      <c r="C21" s="0" t="n">
        <v>364.825286865234</v>
      </c>
      <c r="D21" s="0" t="n">
        <v>81.6970138549805</v>
      </c>
    </row>
    <row r="22" customFormat="false" ht="15" hidden="false" customHeight="false" outlineLevel="0" collapsed="false">
      <c r="A22" s="2" t="n">
        <v>45322</v>
      </c>
      <c r="B22" s="0" t="n">
        <v>165.442337036133</v>
      </c>
      <c r="C22" s="0" t="n">
        <v>362.128265380859</v>
      </c>
      <c r="D22" s="0" t="n">
        <v>81.3426971435547</v>
      </c>
    </row>
    <row r="23" customFormat="false" ht="15" hidden="false" customHeight="false" outlineLevel="0" collapsed="false">
      <c r="A23" s="2" t="n">
        <v>45323</v>
      </c>
      <c r="B23" s="0" t="n">
        <v>164.844543457031</v>
      </c>
      <c r="C23" s="0" t="n">
        <v>361.977355957031</v>
      </c>
      <c r="D23" s="0" t="n">
        <v>80.9511032104492</v>
      </c>
    </row>
    <row r="24" customFormat="false" ht="15" hidden="false" customHeight="false" outlineLevel="0" collapsed="false">
      <c r="A24" s="2" t="n">
        <v>45324</v>
      </c>
      <c r="B24" s="0" t="n">
        <v>165.793395996094</v>
      </c>
      <c r="C24" s="0" t="n">
        <v>365.758880615234</v>
      </c>
      <c r="D24" s="0" t="n">
        <v>81.3706665039063</v>
      </c>
    </row>
    <row r="25" customFormat="false" ht="15" hidden="false" customHeight="false" outlineLevel="0" collapsed="false">
      <c r="A25" s="2" t="n">
        <v>45327</v>
      </c>
      <c r="B25" s="0" t="n">
        <v>165.575164794922</v>
      </c>
      <c r="C25" s="0" t="n">
        <v>361.194610595703</v>
      </c>
      <c r="D25" s="0" t="n">
        <v>80.0839462280273</v>
      </c>
    </row>
    <row r="26" customFormat="false" ht="15" hidden="false" customHeight="false" outlineLevel="0" collapsed="false">
      <c r="A26" s="2" t="n">
        <v>45328</v>
      </c>
      <c r="B26" s="0" t="n">
        <v>166.144485473633</v>
      </c>
      <c r="C26" s="0" t="n">
        <v>363.052398681641</v>
      </c>
      <c r="D26" s="0" t="n">
        <v>80.2797546386719</v>
      </c>
    </row>
    <row r="27" customFormat="false" ht="15" hidden="false" customHeight="false" outlineLevel="0" collapsed="false">
      <c r="A27" s="2" t="n">
        <v>45329</v>
      </c>
      <c r="B27" s="0" t="n">
        <v>166.457595825195</v>
      </c>
      <c r="C27" s="0" t="n">
        <v>364.627227783203</v>
      </c>
      <c r="D27" s="0" t="n">
        <v>80.1865310668945</v>
      </c>
    </row>
    <row r="28" customFormat="false" ht="15" hidden="false" customHeight="false" outlineLevel="0" collapsed="false">
      <c r="A28" s="2" t="n">
        <v>45330</v>
      </c>
      <c r="B28" s="0" t="n">
        <v>165.85986328125</v>
      </c>
      <c r="C28" s="0" t="n">
        <v>363.099578857422</v>
      </c>
      <c r="D28" s="0" t="n">
        <v>79.8601837158203</v>
      </c>
    </row>
    <row r="29" customFormat="false" ht="15" hidden="false" customHeight="false" outlineLevel="0" collapsed="false">
      <c r="A29" s="2" t="n">
        <v>45331</v>
      </c>
      <c r="B29" s="0" t="n">
        <v>166.05908203125</v>
      </c>
      <c r="C29" s="0" t="n">
        <v>362.364013671875</v>
      </c>
      <c r="D29" s="0" t="n">
        <v>80.0839462280273</v>
      </c>
    </row>
    <row r="30" customFormat="false" ht="15" hidden="false" customHeight="false" outlineLevel="0" collapsed="false">
      <c r="A30" s="2" t="n">
        <v>45334</v>
      </c>
      <c r="B30" s="0" t="n">
        <v>166.799194335938</v>
      </c>
      <c r="C30" s="0" t="n">
        <v>370.266571044922</v>
      </c>
      <c r="D30" s="0" t="n">
        <v>80.9976959228516</v>
      </c>
    </row>
    <row r="31" customFormat="false" ht="15" hidden="false" customHeight="false" outlineLevel="0" collapsed="false">
      <c r="A31" s="2" t="n">
        <v>45335</v>
      </c>
      <c r="B31" s="0" t="n">
        <v>165.347442626953</v>
      </c>
      <c r="C31" s="0" t="n">
        <v>357.16796875</v>
      </c>
      <c r="D31" s="0" t="n">
        <v>78.2937469482422</v>
      </c>
    </row>
    <row r="32" customFormat="false" ht="15" hidden="false" customHeight="false" outlineLevel="0" collapsed="false">
      <c r="A32" s="2" t="n">
        <v>45336</v>
      </c>
      <c r="B32" s="0" t="n">
        <v>167.026901245117</v>
      </c>
      <c r="C32" s="0" t="n">
        <v>356.498443603516</v>
      </c>
      <c r="D32" s="0" t="n">
        <v>78.3217163085938</v>
      </c>
    </row>
    <row r="33" customFormat="false" ht="15" hidden="false" customHeight="false" outlineLevel="0" collapsed="false">
      <c r="A33" s="2" t="n">
        <v>45337</v>
      </c>
      <c r="B33" s="0" t="n">
        <v>170.670516967773</v>
      </c>
      <c r="C33" s="0" t="n">
        <v>363.457916259766</v>
      </c>
      <c r="D33" s="0" t="n">
        <v>79.8788299560547</v>
      </c>
    </row>
    <row r="34" customFormat="false" ht="15" hidden="false" customHeight="false" outlineLevel="0" collapsed="false">
      <c r="A34" s="2" t="n">
        <v>45338</v>
      </c>
      <c r="B34" s="0" t="n">
        <v>169.873504638672</v>
      </c>
      <c r="C34" s="0" t="n">
        <v>362.533721923828</v>
      </c>
      <c r="D34" s="0" t="n">
        <v>80.652717590332</v>
      </c>
    </row>
    <row r="35" customFormat="false" ht="15" hidden="false" customHeight="false" outlineLevel="0" collapsed="false">
      <c r="A35" s="2" t="n">
        <v>45342</v>
      </c>
      <c r="B35" s="0" t="n">
        <v>170.537673950195</v>
      </c>
      <c r="C35" s="0" t="n">
        <v>362.609161376953</v>
      </c>
      <c r="D35" s="0" t="n">
        <v>79.580451965332</v>
      </c>
    </row>
    <row r="36" customFormat="false" ht="15" hidden="false" customHeight="false" outlineLevel="0" collapsed="false">
      <c r="A36" s="2" t="n">
        <v>45343</v>
      </c>
      <c r="B36" s="0" t="n">
        <v>171.647857666016</v>
      </c>
      <c r="C36" s="0" t="n">
        <v>366.145477294922</v>
      </c>
      <c r="D36" s="0" t="n">
        <v>79.6830291748047</v>
      </c>
    </row>
    <row r="37" customFormat="false" ht="15" hidden="false" customHeight="false" outlineLevel="0" collapsed="false">
      <c r="A37" s="2" t="n">
        <v>45344</v>
      </c>
      <c r="B37" s="0" t="n">
        <v>173.706878662109</v>
      </c>
      <c r="C37" s="0" t="n">
        <v>368.220184326172</v>
      </c>
      <c r="D37" s="0" t="n">
        <v>80.0466613769531</v>
      </c>
    </row>
    <row r="38" customFormat="false" ht="15" hidden="false" customHeight="false" outlineLevel="0" collapsed="false">
      <c r="A38" s="2" t="n">
        <v>45345</v>
      </c>
      <c r="B38" s="0" t="n">
        <v>174.579818725586</v>
      </c>
      <c r="C38" s="0" t="n">
        <v>368.76708984375</v>
      </c>
      <c r="D38" s="0" t="n">
        <v>80.6993408203125</v>
      </c>
    </row>
    <row r="39" customFormat="false" ht="15" hidden="false" customHeight="false" outlineLevel="0" collapsed="false">
      <c r="A39" s="2" t="n">
        <v>45348</v>
      </c>
      <c r="B39" s="0" t="n">
        <v>173.982025146484</v>
      </c>
      <c r="C39" s="0" t="n">
        <v>367.984375</v>
      </c>
      <c r="D39" s="0" t="n">
        <v>79.8788299560547</v>
      </c>
    </row>
    <row r="40" customFormat="false" ht="15" hidden="false" customHeight="false" outlineLevel="0" collapsed="false">
      <c r="A40" s="2" t="n">
        <v>45349</v>
      </c>
      <c r="B40" s="0" t="n">
        <v>174.067428588867</v>
      </c>
      <c r="C40" s="0" t="n">
        <v>368.540771484375</v>
      </c>
      <c r="D40" s="0" t="n">
        <v>79.7109985351563</v>
      </c>
    </row>
    <row r="41" customFormat="false" ht="15" hidden="false" customHeight="false" outlineLevel="0" collapsed="false">
      <c r="A41" s="2" t="n">
        <v>45350</v>
      </c>
      <c r="B41" s="0" t="n">
        <v>174.94987487793</v>
      </c>
      <c r="C41" s="0" t="n">
        <v>373.403228759766</v>
      </c>
      <c r="D41" s="0" t="n">
        <v>80.2331466674805</v>
      </c>
    </row>
    <row r="42" customFormat="false" ht="15" hidden="false" customHeight="false" outlineLevel="0" collapsed="false">
      <c r="A42" s="2" t="n">
        <v>45351</v>
      </c>
      <c r="B42" s="0" t="n">
        <v>176.543960571289</v>
      </c>
      <c r="C42" s="0" t="n">
        <v>369.48095703125</v>
      </c>
      <c r="D42" s="0" t="n">
        <v>80.2238311767578</v>
      </c>
    </row>
    <row r="43" customFormat="false" ht="15" hidden="false" customHeight="false" outlineLevel="0" collapsed="false">
      <c r="A43" s="2" t="n">
        <v>45352</v>
      </c>
      <c r="B43" s="0" t="n">
        <v>175.813293457031</v>
      </c>
      <c r="C43" s="0" t="n">
        <v>368.578765869141</v>
      </c>
      <c r="D43" s="0" t="n">
        <v>80.6340713500977</v>
      </c>
    </row>
    <row r="44" customFormat="false" ht="15" hidden="false" customHeight="false" outlineLevel="0" collapsed="false">
      <c r="A44" s="2" t="n">
        <v>45355</v>
      </c>
      <c r="B44" s="0" t="n">
        <v>177.132202148438</v>
      </c>
      <c r="C44" s="0" t="n">
        <v>372.519989013672</v>
      </c>
      <c r="D44" s="0" t="n">
        <v>83.9534225463867</v>
      </c>
    </row>
    <row r="45" customFormat="false" ht="15" hidden="false" customHeight="false" outlineLevel="0" collapsed="false">
      <c r="A45" s="2" t="n">
        <v>45356</v>
      </c>
      <c r="B45" s="0" t="n">
        <v>178.906600952148</v>
      </c>
      <c r="C45" s="0" t="n">
        <v>371.247436523438</v>
      </c>
      <c r="D45" s="0" t="n">
        <v>83.1049423217773</v>
      </c>
    </row>
    <row r="46" customFormat="false" ht="15" hidden="false" customHeight="false" outlineLevel="0" collapsed="false">
      <c r="A46" s="2" t="n">
        <v>45357</v>
      </c>
      <c r="B46" s="0" t="n">
        <v>179.836456298828</v>
      </c>
      <c r="C46" s="0" t="n">
        <v>369.974822998047</v>
      </c>
      <c r="D46" s="0" t="n">
        <v>79.869499206543</v>
      </c>
    </row>
    <row r="47" customFormat="false" ht="15" hidden="false" customHeight="false" outlineLevel="0" collapsed="false">
      <c r="A47" s="2" t="n">
        <v>45358</v>
      </c>
      <c r="B47" s="0" t="n">
        <v>178.261352539063</v>
      </c>
      <c r="C47" s="0" t="n">
        <v>368.892181396484</v>
      </c>
      <c r="D47" s="0" t="n">
        <v>80.3170700073242</v>
      </c>
    </row>
    <row r="48" customFormat="false" ht="15" hidden="false" customHeight="false" outlineLevel="0" collapsed="false">
      <c r="A48" s="2" t="n">
        <v>45359</v>
      </c>
      <c r="B48" s="0" t="n">
        <v>178.593490600586</v>
      </c>
      <c r="C48" s="0" t="n">
        <v>367.524566650391</v>
      </c>
      <c r="D48" s="0" t="n">
        <v>81.1562194824219</v>
      </c>
    </row>
    <row r="49" customFormat="false" ht="15" hidden="false" customHeight="false" outlineLevel="0" collapsed="false">
      <c r="A49" s="2" t="n">
        <v>45362</v>
      </c>
      <c r="B49" s="0" t="n">
        <v>178.659866333008</v>
      </c>
      <c r="C49" s="0" t="n">
        <v>366.736358642578</v>
      </c>
      <c r="D49" s="0" t="n">
        <v>81.0629653930664</v>
      </c>
    </row>
    <row r="50" customFormat="false" ht="15" hidden="false" customHeight="false" outlineLevel="0" collapsed="false">
      <c r="A50" s="2" t="n">
        <v>45363</v>
      </c>
      <c r="B50" s="0" t="n">
        <v>180.130615234375</v>
      </c>
      <c r="C50" s="0" t="n">
        <v>368.654724121094</v>
      </c>
      <c r="D50" s="0" t="n">
        <v>81.1655426025391</v>
      </c>
    </row>
    <row r="51" customFormat="false" ht="15" hidden="false" customHeight="false" outlineLevel="0" collapsed="false">
      <c r="A51" s="2" t="n">
        <v>45364</v>
      </c>
      <c r="B51" s="0" t="n">
        <v>181.591857910156</v>
      </c>
      <c r="C51" s="0" t="n">
        <v>372.576995849609</v>
      </c>
      <c r="D51" s="0" t="n">
        <v>83.3100738525391</v>
      </c>
    </row>
    <row r="52" customFormat="false" ht="15" hidden="false" customHeight="false" outlineLevel="0" collapsed="false">
      <c r="A52" s="2" t="n">
        <v>45365</v>
      </c>
      <c r="B52" s="0" t="n">
        <v>178.356246948242</v>
      </c>
      <c r="C52" s="0" t="n">
        <v>369.063079833984</v>
      </c>
      <c r="D52" s="0" t="n">
        <v>83.0769653320313</v>
      </c>
    </row>
    <row r="53" customFormat="false" ht="15" hidden="false" customHeight="false" outlineLevel="0" collapsed="false">
      <c r="A53" s="2" t="n">
        <v>45366</v>
      </c>
      <c r="B53" s="0" t="n">
        <v>180.567077636719</v>
      </c>
      <c r="C53" s="0" t="n">
        <v>367.733489990234</v>
      </c>
      <c r="D53" s="0" t="n">
        <v>82.405632019043</v>
      </c>
    </row>
    <row r="54" customFormat="false" ht="15" hidden="false" customHeight="false" outlineLevel="0" collapsed="false">
      <c r="A54" s="2" t="n">
        <v>45369</v>
      </c>
      <c r="B54" s="0" t="n">
        <v>182.806381225586</v>
      </c>
      <c r="C54" s="0" t="n">
        <v>365.036407470703</v>
      </c>
      <c r="D54" s="0" t="n">
        <v>82.014030456543</v>
      </c>
    </row>
    <row r="55" customFormat="false" ht="15" hidden="false" customHeight="false" outlineLevel="0" collapsed="false">
      <c r="A55" s="2" t="n">
        <v>45370</v>
      </c>
      <c r="B55" s="0" t="n">
        <v>183.87858581543</v>
      </c>
      <c r="C55" s="0" t="n">
        <v>369.110626220703</v>
      </c>
      <c r="D55" s="0" t="n">
        <v>82.4429321289063</v>
      </c>
    </row>
    <row r="56" customFormat="false" ht="15" hidden="false" customHeight="false" outlineLevel="0" collapsed="false">
      <c r="A56" s="2" t="n">
        <v>45371</v>
      </c>
      <c r="B56" s="0" t="n">
        <v>186.288681030273</v>
      </c>
      <c r="C56" s="0" t="n">
        <v>376.527740478516</v>
      </c>
      <c r="D56" s="0" t="n">
        <v>85.1748657226563</v>
      </c>
    </row>
    <row r="57" customFormat="false" ht="15" hidden="false" customHeight="false" outlineLevel="0" collapsed="false">
      <c r="A57" s="2" t="n">
        <v>45372</v>
      </c>
      <c r="B57" s="0" t="n">
        <v>188.879043579102</v>
      </c>
      <c r="C57" s="0" t="n">
        <v>392.900543212891</v>
      </c>
      <c r="D57" s="0" t="n">
        <v>87.0863037109375</v>
      </c>
    </row>
    <row r="58" customFormat="false" ht="15" hidden="false" customHeight="false" outlineLevel="0" collapsed="false">
      <c r="A58" s="2" t="n">
        <v>45373</v>
      </c>
      <c r="B58" s="0" t="n">
        <v>186.563858032227</v>
      </c>
      <c r="C58" s="0" t="n">
        <v>386.357147216797</v>
      </c>
      <c r="D58" s="0" t="n">
        <v>85.7343063354492</v>
      </c>
    </row>
    <row r="59" customFormat="false" ht="15" hidden="false" customHeight="false" outlineLevel="0" collapsed="false">
      <c r="A59" s="2" t="n">
        <v>45376</v>
      </c>
      <c r="B59" s="0" t="n">
        <v>184.855911254883</v>
      </c>
      <c r="C59" s="0" t="n">
        <v>384.571746826172</v>
      </c>
      <c r="D59" s="0" t="n">
        <v>84.9790725708008</v>
      </c>
    </row>
    <row r="60" customFormat="false" ht="15" hidden="false" customHeight="false" outlineLevel="0" collapsed="false">
      <c r="A60" s="2" t="n">
        <v>45377</v>
      </c>
      <c r="B60" s="0" t="n">
        <v>185.719360351563</v>
      </c>
      <c r="C60" s="0" t="n">
        <v>385.749328613281</v>
      </c>
      <c r="D60" s="0" t="n">
        <v>85.1095962524414</v>
      </c>
    </row>
    <row r="61" customFormat="false" ht="15" hidden="false" customHeight="false" outlineLevel="0" collapsed="false">
      <c r="A61" s="2" t="n">
        <v>45378</v>
      </c>
      <c r="B61" s="0" t="n">
        <v>189.315521240234</v>
      </c>
      <c r="C61" s="0" t="n">
        <v>394.363159179688</v>
      </c>
      <c r="D61" s="0" t="n">
        <v>87.1795272827148</v>
      </c>
    </row>
    <row r="62" customFormat="false" ht="15" hidden="false" customHeight="false" outlineLevel="0" collapsed="false">
      <c r="A62" s="2" t="n">
        <v>45379</v>
      </c>
      <c r="B62" s="0" t="n">
        <v>190.055648803711</v>
      </c>
      <c r="C62" s="0" t="n">
        <v>396.680419921875</v>
      </c>
      <c r="D62" s="0" t="n">
        <v>87.7949295043945</v>
      </c>
    </row>
    <row r="63" customFormat="false" ht="15" hidden="false" customHeight="false" outlineLevel="0" collapsed="false">
      <c r="A63" s="2" t="n">
        <v>45383</v>
      </c>
      <c r="B63" s="0" t="n">
        <v>188.765197753906</v>
      </c>
      <c r="C63" s="0" t="n">
        <v>392.710662841797</v>
      </c>
      <c r="D63" s="0" t="n">
        <v>87.2074966430664</v>
      </c>
    </row>
    <row r="64" customFormat="false" ht="15" hidden="false" customHeight="false" outlineLevel="0" collapsed="false">
      <c r="A64" s="2" t="n">
        <v>45384</v>
      </c>
      <c r="B64" s="0" t="n">
        <v>188.68928527832</v>
      </c>
      <c r="C64" s="0" t="n">
        <v>389.519592285156</v>
      </c>
      <c r="D64" s="0" t="n">
        <v>86.4429473876953</v>
      </c>
    </row>
    <row r="65" customFormat="false" ht="15" hidden="false" customHeight="false" outlineLevel="0" collapsed="false">
      <c r="A65" s="2" t="n">
        <v>45385</v>
      </c>
      <c r="B65" s="0" t="n">
        <v>188.157913208008</v>
      </c>
      <c r="C65" s="0" t="n">
        <v>393.175994873047</v>
      </c>
      <c r="D65" s="0" t="n">
        <v>86.7133407592773</v>
      </c>
    </row>
    <row r="66" customFormat="false" ht="15" hidden="false" customHeight="false" outlineLevel="0" collapsed="false">
      <c r="A66" s="2" t="n">
        <v>45386</v>
      </c>
      <c r="B66" s="0" t="n">
        <v>186.726364135742</v>
      </c>
      <c r="C66" s="0" t="n">
        <v>385.815887451172</v>
      </c>
      <c r="D66" s="0" t="n">
        <v>86.0419998168945</v>
      </c>
    </row>
    <row r="67" customFormat="false" ht="15" hidden="false" customHeight="false" outlineLevel="0" collapsed="false">
      <c r="A67" s="2" t="n">
        <v>45387</v>
      </c>
      <c r="B67" s="0" t="n">
        <v>188.444244384766</v>
      </c>
      <c r="C67" s="0" t="n">
        <v>387.544281005859</v>
      </c>
      <c r="D67" s="0" t="n">
        <v>86.2191696166992</v>
      </c>
    </row>
    <row r="68" customFormat="false" ht="15" hidden="false" customHeight="false" outlineLevel="0" collapsed="false">
      <c r="A68" s="2" t="n">
        <v>45390</v>
      </c>
      <c r="B68" s="0" t="n">
        <v>189.427261352539</v>
      </c>
      <c r="C68" s="0" t="n">
        <v>389.89013671875</v>
      </c>
      <c r="D68" s="0" t="n">
        <v>86.9091415405273</v>
      </c>
    </row>
    <row r="69" customFormat="false" ht="15" hidden="false" customHeight="false" outlineLevel="0" collapsed="false">
      <c r="A69" s="2" t="n">
        <v>45391</v>
      </c>
      <c r="B69" s="0" t="n">
        <v>188.157913208008</v>
      </c>
      <c r="C69" s="0" t="n">
        <v>390.051483154297</v>
      </c>
      <c r="D69" s="0" t="n">
        <v>87.720329284668</v>
      </c>
    </row>
    <row r="70" customFormat="false" ht="15" hidden="false" customHeight="false" outlineLevel="0" collapsed="false">
      <c r="A70" s="2" t="n">
        <v>45392</v>
      </c>
      <c r="B70" s="0" t="n">
        <v>186.554534912109</v>
      </c>
      <c r="C70" s="0" t="n">
        <v>380.601959228516</v>
      </c>
      <c r="D70" s="0" t="n">
        <v>85.45458984375</v>
      </c>
    </row>
    <row r="71" customFormat="false" ht="15" hidden="false" customHeight="false" outlineLevel="0" collapsed="false">
      <c r="A71" s="2" t="n">
        <v>45393</v>
      </c>
      <c r="B71" s="0" t="n">
        <v>186.516372680664</v>
      </c>
      <c r="C71" s="0" t="n">
        <v>377.486968994141</v>
      </c>
      <c r="D71" s="0" t="n">
        <v>80.9697341918945</v>
      </c>
    </row>
    <row r="72" customFormat="false" ht="15" hidden="false" customHeight="false" outlineLevel="0" collapsed="false">
      <c r="A72" s="2" t="n">
        <v>45394</v>
      </c>
      <c r="B72" s="0" t="n">
        <v>174.452896118164</v>
      </c>
      <c r="C72" s="0" t="n">
        <v>369.898864746094</v>
      </c>
      <c r="D72" s="0" t="n">
        <v>80.3636932373047</v>
      </c>
    </row>
    <row r="73" customFormat="false" ht="15" hidden="false" customHeight="false" outlineLevel="0" collapsed="false">
      <c r="A73" s="2" t="n">
        <v>45397</v>
      </c>
      <c r="B73" s="0" t="n">
        <v>174.548294067383</v>
      </c>
      <c r="C73" s="0" t="n">
        <v>380.715942382813</v>
      </c>
      <c r="D73" s="0" t="n">
        <v>81.1095886230469</v>
      </c>
    </row>
    <row r="74" customFormat="false" ht="15" hidden="false" customHeight="false" outlineLevel="0" collapsed="false">
      <c r="A74" s="2" t="n">
        <v>45398</v>
      </c>
      <c r="B74" s="0" t="n">
        <v>172.553665161133</v>
      </c>
      <c r="C74" s="0" t="n">
        <v>376.898101806641</v>
      </c>
      <c r="D74" s="0" t="n">
        <v>83.1142578125</v>
      </c>
    </row>
    <row r="75" customFormat="false" ht="15" hidden="false" customHeight="false" outlineLevel="0" collapsed="false">
      <c r="A75" s="2" t="n">
        <v>45399</v>
      </c>
      <c r="B75" s="0" t="n">
        <v>171.866485595703</v>
      </c>
      <c r="C75" s="0" t="n">
        <v>383.593505859375</v>
      </c>
      <c r="D75" s="0" t="n">
        <v>83.99072265625</v>
      </c>
    </row>
    <row r="76" customFormat="false" ht="15" hidden="false" customHeight="false" outlineLevel="0" collapsed="false">
      <c r="A76" s="2" t="n">
        <v>45400</v>
      </c>
      <c r="B76" s="0" t="n">
        <v>172.983123779297</v>
      </c>
      <c r="C76" s="0" t="n">
        <v>382.833709716797</v>
      </c>
      <c r="D76" s="0" t="n">
        <v>84.1585540771484</v>
      </c>
    </row>
    <row r="77" customFormat="false" ht="15" hidden="false" customHeight="false" outlineLevel="0" collapsed="false">
      <c r="A77" s="2" t="n">
        <v>45401</v>
      </c>
      <c r="B77" s="0" t="n">
        <v>177.325622558594</v>
      </c>
      <c r="C77" s="0" t="n">
        <v>383.679016113281</v>
      </c>
      <c r="D77" s="0" t="n">
        <v>84.5315170288086</v>
      </c>
    </row>
    <row r="78" customFormat="false" ht="15" hidden="false" customHeight="false" outlineLevel="0" collapsed="false">
      <c r="A78" s="2" t="n">
        <v>45404</v>
      </c>
      <c r="B78" s="0" t="n">
        <v>180.770935058594</v>
      </c>
      <c r="C78" s="0" t="n">
        <v>396.357513427734</v>
      </c>
      <c r="D78" s="0" t="n">
        <v>85.8648452758789</v>
      </c>
    </row>
    <row r="79" customFormat="false" ht="15" hidden="false" customHeight="false" outlineLevel="0" collapsed="false">
      <c r="A79" s="2" t="n">
        <v>45405</v>
      </c>
      <c r="B79" s="0" t="n">
        <v>183.376449584961</v>
      </c>
      <c r="C79" s="0" t="n">
        <v>402.673034667969</v>
      </c>
      <c r="D79" s="0" t="n">
        <v>87.4219589233398</v>
      </c>
    </row>
    <row r="80" customFormat="false" ht="15" hidden="false" customHeight="false" outlineLevel="0" collapsed="false">
      <c r="A80" s="2" t="n">
        <v>45406</v>
      </c>
      <c r="B80" s="0" t="n">
        <v>184.273590087891</v>
      </c>
      <c r="C80" s="0" t="n">
        <v>401.761322021484</v>
      </c>
      <c r="D80" s="0" t="n">
        <v>87.5058670043945</v>
      </c>
    </row>
    <row r="81" customFormat="false" ht="15" hidden="false" customHeight="false" outlineLevel="0" collapsed="false">
      <c r="A81" s="2" t="n">
        <v>45407</v>
      </c>
      <c r="B81" s="0" t="n">
        <v>184.550338745117</v>
      </c>
      <c r="C81" s="0" t="n">
        <v>398.921722412109</v>
      </c>
      <c r="D81" s="0" t="n">
        <v>86.3030776977539</v>
      </c>
    </row>
    <row r="82" customFormat="false" ht="15" hidden="false" customHeight="false" outlineLevel="0" collapsed="false">
      <c r="A82" s="2" t="n">
        <v>45408</v>
      </c>
      <c r="B82" s="0" t="n">
        <v>184.66487121582</v>
      </c>
      <c r="C82" s="0" t="n">
        <v>406.063446044922</v>
      </c>
      <c r="D82" s="0" t="n">
        <v>86.5548248291016</v>
      </c>
    </row>
    <row r="83" customFormat="false" ht="15" hidden="false" customHeight="false" outlineLevel="0" collapsed="false">
      <c r="A83" s="2" t="n">
        <v>45411</v>
      </c>
      <c r="B83" s="0" t="n">
        <v>184.464431762695</v>
      </c>
      <c r="C83" s="0" t="n">
        <v>409.140472412109</v>
      </c>
      <c r="D83" s="0" t="n">
        <v>86.6771621704102</v>
      </c>
    </row>
    <row r="84" customFormat="false" ht="15" hidden="false" customHeight="false" outlineLevel="0" collapsed="false">
      <c r="A84" s="2" t="n">
        <v>45412</v>
      </c>
      <c r="B84" s="0" t="n">
        <v>182.994674682617</v>
      </c>
      <c r="C84" s="0" t="n">
        <v>405.246704101563</v>
      </c>
      <c r="D84" s="0" t="n">
        <v>85.4820556640625</v>
      </c>
    </row>
    <row r="85" customFormat="false" ht="15" hidden="false" customHeight="false" outlineLevel="0" collapsed="false">
      <c r="A85" s="2" t="n">
        <v>45413</v>
      </c>
      <c r="B85" s="0" t="n">
        <v>183.10920715332</v>
      </c>
      <c r="C85" s="0" t="n">
        <v>405.474700927734</v>
      </c>
      <c r="D85" s="0" t="n">
        <v>86.1407852172852</v>
      </c>
    </row>
    <row r="86" customFormat="false" ht="15" hidden="false" customHeight="false" outlineLevel="0" collapsed="false">
      <c r="A86" s="2" t="n">
        <v>45414</v>
      </c>
      <c r="B86" s="0" t="n">
        <v>182.918319702148</v>
      </c>
      <c r="C86" s="0" t="n">
        <v>410.811920166016</v>
      </c>
      <c r="D86" s="0" t="n">
        <v>87.1853103637695</v>
      </c>
    </row>
    <row r="87" customFormat="false" ht="15" hidden="false" customHeight="false" outlineLevel="0" collapsed="false">
      <c r="A87" s="2" t="n">
        <v>45415</v>
      </c>
      <c r="B87" s="0" t="n">
        <v>181.820770263672</v>
      </c>
      <c r="C87" s="0" t="n">
        <v>416.139770507813</v>
      </c>
      <c r="D87" s="0" t="n">
        <v>88.1169052124023</v>
      </c>
    </row>
    <row r="88" customFormat="false" ht="15" hidden="false" customHeight="false" outlineLevel="0" collapsed="false">
      <c r="A88" s="2" t="n">
        <v>45418</v>
      </c>
      <c r="B88" s="0" t="n">
        <v>183.242828369141</v>
      </c>
      <c r="C88" s="0" t="n">
        <v>421.353607177734</v>
      </c>
      <c r="D88" s="0" t="n">
        <v>89.1990737915039</v>
      </c>
    </row>
    <row r="89" customFormat="false" ht="15" hidden="false" customHeight="false" outlineLevel="0" collapsed="false">
      <c r="A89" s="2" t="n">
        <v>45419</v>
      </c>
      <c r="B89" s="0" t="n">
        <v>183.004211425781</v>
      </c>
      <c r="C89" s="0" t="n">
        <v>421.47705078125</v>
      </c>
      <c r="D89" s="0" t="n">
        <v>90.1401062011719</v>
      </c>
    </row>
    <row r="90" customFormat="false" ht="15" hidden="false" customHeight="false" outlineLevel="0" collapsed="false">
      <c r="A90" s="2" t="n">
        <v>45420</v>
      </c>
      <c r="B90" s="0" t="n">
        <v>186.726364135742</v>
      </c>
      <c r="C90" s="0" t="n">
        <v>424.468658447266</v>
      </c>
      <c r="D90" s="0" t="n">
        <v>89.9989471435547</v>
      </c>
    </row>
    <row r="91" customFormat="false" ht="15" hidden="false" customHeight="false" outlineLevel="0" collapsed="false">
      <c r="A91" s="2" t="n">
        <v>45421</v>
      </c>
      <c r="B91" s="0" t="n">
        <v>188.491958618164</v>
      </c>
      <c r="C91" s="0" t="n">
        <v>432.645568847656</v>
      </c>
      <c r="D91" s="0" t="n">
        <v>92.3232650756836</v>
      </c>
    </row>
    <row r="92" customFormat="false" ht="15" hidden="false" customHeight="false" outlineLevel="0" collapsed="false">
      <c r="A92" s="2" t="n">
        <v>45422</v>
      </c>
      <c r="B92" s="0" t="n">
        <v>189.704055786133</v>
      </c>
      <c r="C92" s="0" t="n">
        <v>431.857330322266</v>
      </c>
      <c r="D92" s="0" t="n">
        <v>92.4832305908203</v>
      </c>
    </row>
    <row r="93" customFormat="false" ht="15" hidden="false" customHeight="false" outlineLevel="0" collapsed="false">
      <c r="A93" s="2" t="n">
        <v>45425</v>
      </c>
      <c r="B93" s="0" t="n">
        <v>189.66584777832</v>
      </c>
      <c r="C93" s="0" t="n">
        <v>430.746154785156</v>
      </c>
      <c r="D93" s="0" t="n">
        <v>92.7467193603516</v>
      </c>
    </row>
    <row r="94" customFormat="false" ht="15" hidden="false" customHeight="false" outlineLevel="0" collapsed="false">
      <c r="A94" s="2" t="n">
        <v>45426</v>
      </c>
      <c r="B94" s="0" t="n">
        <v>192.319061279297</v>
      </c>
      <c r="C94" s="0" t="n">
        <v>435.409240722656</v>
      </c>
      <c r="D94" s="0" t="n">
        <v>93.5183563232422</v>
      </c>
    </row>
    <row r="95" customFormat="false" ht="15" hidden="false" customHeight="false" outlineLevel="0" collapsed="false">
      <c r="A95" s="2" t="n">
        <v>45427</v>
      </c>
      <c r="B95" s="0" t="n">
        <v>192.891693115234</v>
      </c>
      <c r="C95" s="0" t="n">
        <v>442.645935058594</v>
      </c>
      <c r="D95" s="0" t="n">
        <v>94.5911178588867</v>
      </c>
    </row>
    <row r="96" customFormat="false" ht="15" hidden="false" customHeight="false" outlineLevel="0" collapsed="false">
      <c r="A96" s="2" t="n">
        <v>45428</v>
      </c>
      <c r="B96" s="0" t="n">
        <v>193.235244750977</v>
      </c>
      <c r="C96" s="0" t="n">
        <v>441.154876708984</v>
      </c>
      <c r="D96" s="0" t="n">
        <v>93.7065658569336</v>
      </c>
    </row>
    <row r="97" customFormat="false" ht="15" hidden="false" customHeight="false" outlineLevel="0" collapsed="false">
      <c r="A97" s="2" t="n">
        <v>45429</v>
      </c>
      <c r="B97" s="0" t="n">
        <v>195.449447631836</v>
      </c>
      <c r="C97" s="0" t="n">
        <v>444.193939208984</v>
      </c>
      <c r="D97" s="0" t="n">
        <v>94.3088150024414</v>
      </c>
    </row>
    <row r="98" customFormat="false" ht="15" hidden="false" customHeight="false" outlineLevel="0" collapsed="false">
      <c r="A98" s="2" t="n">
        <v>45432</v>
      </c>
      <c r="B98" s="0" t="n">
        <v>186.659545898438</v>
      </c>
      <c r="C98" s="0" t="n">
        <v>439.654388427734</v>
      </c>
      <c r="D98" s="0" t="n">
        <v>94.4123306274414</v>
      </c>
    </row>
    <row r="99" customFormat="false" ht="15" hidden="false" customHeight="false" outlineLevel="0" collapsed="false">
      <c r="A99" s="2" t="n">
        <v>45433</v>
      </c>
      <c r="B99" s="0" t="n">
        <v>190.419815063477</v>
      </c>
      <c r="C99" s="0" t="n">
        <v>446.748596191406</v>
      </c>
      <c r="D99" s="0" t="n">
        <v>95.5415496826172</v>
      </c>
    </row>
    <row r="100" customFormat="false" ht="15" hidden="false" customHeight="false" outlineLevel="0" collapsed="false">
      <c r="A100" s="2" t="n">
        <v>45434</v>
      </c>
      <c r="B100" s="0" t="n">
        <v>189.264999389648</v>
      </c>
      <c r="C100" s="0" t="n">
        <v>439.122528076172</v>
      </c>
      <c r="D100" s="0" t="n">
        <v>94.7981338500977</v>
      </c>
    </row>
    <row r="101" customFormat="false" ht="15" hidden="false" customHeight="false" outlineLevel="0" collapsed="false">
      <c r="A101" s="2" t="n">
        <v>45435</v>
      </c>
      <c r="B101" s="0" t="n">
        <v>187.938400268555</v>
      </c>
      <c r="C101" s="0" t="n">
        <v>435.105255126953</v>
      </c>
      <c r="D101" s="0" t="n">
        <v>93.0854873657227</v>
      </c>
    </row>
    <row r="102" customFormat="false" ht="15" hidden="false" customHeight="false" outlineLevel="0" collapsed="false">
      <c r="A102" s="2" t="n">
        <v>45436</v>
      </c>
      <c r="B102" s="0" t="n">
        <v>191.555572509766</v>
      </c>
      <c r="C102" s="0" t="n">
        <v>437.982879638672</v>
      </c>
      <c r="D102" s="0" t="n">
        <v>93.1325378417969</v>
      </c>
    </row>
    <row r="103" customFormat="false" ht="15" hidden="false" customHeight="false" outlineLevel="0" collapsed="false">
      <c r="A103" s="2" t="n">
        <v>45440</v>
      </c>
      <c r="B103" s="0" t="n">
        <v>190.400756835938</v>
      </c>
      <c r="C103" s="0" t="n">
        <v>436.681793212891</v>
      </c>
      <c r="D103" s="0" t="n">
        <v>92.8502349853516</v>
      </c>
    </row>
    <row r="104" customFormat="false" ht="15" hidden="false" customHeight="false" outlineLevel="0" collapsed="false">
      <c r="A104" s="2" t="n">
        <v>45441</v>
      </c>
      <c r="B104" s="0" t="n">
        <v>189.074142456055</v>
      </c>
      <c r="C104" s="0" t="n">
        <v>434.174621582031</v>
      </c>
      <c r="D104" s="0" t="n">
        <v>91.5328063964844</v>
      </c>
    </row>
    <row r="105" customFormat="false" ht="15" hidden="false" customHeight="false" outlineLevel="0" collapsed="false">
      <c r="A105" s="2" t="n">
        <v>45442</v>
      </c>
      <c r="B105" s="0" t="n">
        <v>190.238510131836</v>
      </c>
      <c r="C105" s="0" t="n">
        <v>430.171234130859</v>
      </c>
      <c r="D105" s="0" t="n">
        <v>91.4951782226563</v>
      </c>
    </row>
    <row r="106" customFormat="false" ht="15" hidden="false" customHeight="false" outlineLevel="0" collapsed="false">
      <c r="A106" s="2" t="n">
        <v>45443</v>
      </c>
      <c r="B106" s="0" t="n">
        <v>193.387985229492</v>
      </c>
      <c r="C106" s="0" t="n">
        <v>436.181030273438</v>
      </c>
      <c r="D106" s="0" t="n">
        <v>92.0691909790039</v>
      </c>
    </row>
    <row r="107" customFormat="false" ht="15" hidden="false" customHeight="false" outlineLevel="0" collapsed="false">
      <c r="A107" s="2" t="n">
        <v>45446</v>
      </c>
      <c r="B107" s="0" t="n">
        <v>192.614929199219</v>
      </c>
      <c r="C107" s="0" t="n">
        <v>434.709594726563</v>
      </c>
      <c r="D107" s="0" t="n">
        <v>91.6645660400391</v>
      </c>
    </row>
    <row r="108" customFormat="false" ht="15" hidden="false" customHeight="false" outlineLevel="0" collapsed="false">
      <c r="A108" s="2" t="n">
        <v>45447</v>
      </c>
      <c r="B108" s="0" t="n">
        <v>190.076278686523</v>
      </c>
      <c r="C108" s="0" t="n">
        <v>435.015350341797</v>
      </c>
      <c r="D108" s="0" t="n">
        <v>90.8835067749023</v>
      </c>
    </row>
    <row r="109" customFormat="false" ht="15" hidden="false" customHeight="false" outlineLevel="0" collapsed="false">
      <c r="A109" s="2" t="n">
        <v>45448</v>
      </c>
      <c r="B109" s="0" t="n">
        <v>188.262924194336</v>
      </c>
      <c r="C109" s="0" t="n">
        <v>441.111145019531</v>
      </c>
      <c r="D109" s="0" t="n">
        <v>90.9587936401367</v>
      </c>
    </row>
    <row r="110" customFormat="false" ht="15" hidden="false" customHeight="false" outlineLevel="0" collapsed="false">
      <c r="A110" s="2" t="n">
        <v>45449</v>
      </c>
      <c r="B110" s="0" t="n">
        <v>187.928863525391</v>
      </c>
      <c r="C110" s="0" t="n">
        <v>437.690582275391</v>
      </c>
      <c r="D110" s="0" t="n">
        <v>91.1375885009766</v>
      </c>
    </row>
    <row r="111" customFormat="false" ht="15" hidden="false" customHeight="false" outlineLevel="0" collapsed="false">
      <c r="A111" s="2" t="n">
        <v>45450</v>
      </c>
      <c r="B111" s="0" t="n">
        <v>190.830215454102</v>
      </c>
      <c r="C111" s="0" t="n">
        <v>434.642700195313</v>
      </c>
      <c r="D111" s="0" t="n">
        <v>91.4104766845703</v>
      </c>
    </row>
    <row r="112" customFormat="false" ht="15" hidden="false" customHeight="false" outlineLevel="0" collapsed="false">
      <c r="A112" s="2" t="n">
        <v>45453</v>
      </c>
      <c r="B112" s="0" t="n">
        <v>190.505722045898</v>
      </c>
      <c r="C112" s="0" t="n">
        <v>433.343322753906</v>
      </c>
      <c r="D112" s="0" t="n">
        <v>90.7047119140625</v>
      </c>
    </row>
    <row r="113" customFormat="false" ht="15" hidden="false" customHeight="false" outlineLevel="0" collapsed="false">
      <c r="A113" s="2" t="n">
        <v>45454</v>
      </c>
      <c r="B113" s="0" t="n">
        <v>185.495193481445</v>
      </c>
      <c r="C113" s="0" t="n">
        <v>424.476776123047</v>
      </c>
      <c r="D113" s="0" t="n">
        <v>89.8013381958008</v>
      </c>
    </row>
    <row r="114" customFormat="false" ht="15" hidden="false" customHeight="false" outlineLevel="0" collapsed="false">
      <c r="A114" s="2" t="n">
        <v>45455</v>
      </c>
      <c r="B114" s="0" t="n">
        <v>182.794235229492</v>
      </c>
      <c r="C114" s="0" t="n">
        <v>428.709411621094</v>
      </c>
      <c r="D114" s="0" t="n">
        <v>90.0083618164063</v>
      </c>
    </row>
    <row r="115" customFormat="false" ht="15" hidden="false" customHeight="false" outlineLevel="0" collapsed="false">
      <c r="A115" s="2" t="n">
        <v>45456</v>
      </c>
      <c r="B115" s="0" t="n">
        <v>184.827102661133</v>
      </c>
      <c r="C115" s="0" t="n">
        <v>426.464080810547</v>
      </c>
      <c r="D115" s="0" t="n">
        <v>89.5943222045898</v>
      </c>
    </row>
    <row r="116" customFormat="false" ht="15" hidden="false" customHeight="false" outlineLevel="0" collapsed="false">
      <c r="A116" s="2" t="n">
        <v>45457</v>
      </c>
      <c r="B116" s="0" t="n">
        <v>184.941635131836</v>
      </c>
      <c r="C116" s="0" t="n">
        <v>426.569183349609</v>
      </c>
      <c r="D116" s="0" t="n">
        <v>89.8672103881836</v>
      </c>
    </row>
    <row r="117" customFormat="false" ht="15" hidden="false" customHeight="false" outlineLevel="0" collapsed="false">
      <c r="A117" s="2" t="n">
        <v>45460</v>
      </c>
      <c r="B117" s="0" t="n">
        <v>186.086883544922</v>
      </c>
      <c r="C117" s="0" t="n">
        <v>430.123413085938</v>
      </c>
      <c r="D117" s="0" t="n">
        <v>91.3163833618164</v>
      </c>
    </row>
    <row r="118" customFormat="false" ht="15" hidden="false" customHeight="false" outlineLevel="0" collapsed="false">
      <c r="A118" s="2" t="n">
        <v>45461</v>
      </c>
      <c r="B118" s="0" t="n">
        <v>188.014770507813</v>
      </c>
      <c r="C118" s="0" t="n">
        <v>437.050506591797</v>
      </c>
      <c r="D118" s="0" t="n">
        <v>91.8151321411133</v>
      </c>
    </row>
    <row r="119" customFormat="false" ht="15" hidden="false" customHeight="false" outlineLevel="0" collapsed="false">
      <c r="A119" s="2" t="n">
        <v>45463</v>
      </c>
      <c r="B119" s="0" t="n">
        <v>189.608596801758</v>
      </c>
      <c r="C119" s="0" t="n">
        <v>437.642852783203</v>
      </c>
      <c r="D119" s="0" t="n">
        <v>91.6927795410156</v>
      </c>
    </row>
    <row r="120" customFormat="false" ht="15" hidden="false" customHeight="false" outlineLevel="0" collapsed="false">
      <c r="A120" s="2" t="n">
        <v>45464</v>
      </c>
      <c r="B120" s="0" t="n">
        <v>187.346710205078</v>
      </c>
      <c r="C120" s="0" t="n">
        <v>430.123413085938</v>
      </c>
      <c r="D120" s="0" t="n">
        <v>90.4882888793945</v>
      </c>
    </row>
    <row r="121" customFormat="false" ht="15" hidden="false" customHeight="false" outlineLevel="0" collapsed="false">
      <c r="A121" s="2" t="n">
        <v>45467</v>
      </c>
      <c r="B121" s="0" t="n">
        <v>189.809005737305</v>
      </c>
      <c r="C121" s="0" t="n">
        <v>441.502838134766</v>
      </c>
      <c r="D121" s="0" t="n">
        <v>91.3728256225586</v>
      </c>
    </row>
    <row r="122" customFormat="false" ht="15" hidden="false" customHeight="false" outlineLevel="0" collapsed="false">
      <c r="A122" s="2" t="n">
        <v>45468</v>
      </c>
      <c r="B122" s="0" t="n">
        <v>189.035980224609</v>
      </c>
      <c r="C122" s="0" t="n">
        <v>437.002716064453</v>
      </c>
      <c r="D122" s="0" t="n">
        <v>92.0315628051758</v>
      </c>
    </row>
    <row r="123" customFormat="false" ht="15" hidden="false" customHeight="false" outlineLevel="0" collapsed="false">
      <c r="A123" s="2" t="n">
        <v>45469</v>
      </c>
      <c r="B123" s="0" t="n">
        <v>188.425155639648</v>
      </c>
      <c r="C123" s="0" t="n">
        <v>435.550384521484</v>
      </c>
      <c r="D123" s="0" t="n">
        <v>91.1752243041992</v>
      </c>
    </row>
    <row r="124" customFormat="false" ht="15" hidden="false" customHeight="false" outlineLevel="0" collapsed="false">
      <c r="A124" s="2" t="n">
        <v>45470</v>
      </c>
      <c r="B124" s="0" t="n">
        <v>190.085815429688</v>
      </c>
      <c r="C124" s="0" t="n">
        <v>426.091491699219</v>
      </c>
      <c r="D124" s="0" t="n">
        <v>90.1212844848633</v>
      </c>
    </row>
    <row r="125" customFormat="false" ht="15" hidden="false" customHeight="false" outlineLevel="0" collapsed="false">
      <c r="A125" s="2" t="n">
        <v>45471</v>
      </c>
      <c r="B125" s="0" t="n">
        <v>193.034851074219</v>
      </c>
      <c r="C125" s="0" t="n">
        <v>432.168121337891</v>
      </c>
      <c r="D125" s="0" t="n">
        <v>91.4575347900391</v>
      </c>
    </row>
    <row r="126" customFormat="false" ht="15" hidden="false" customHeight="false" outlineLevel="0" collapsed="false">
      <c r="A126" s="2" t="n">
        <v>45474</v>
      </c>
      <c r="B126" s="0" t="n">
        <v>196.079360961914</v>
      </c>
      <c r="C126" s="0" t="n">
        <v>443.002899169922</v>
      </c>
      <c r="D126" s="0" t="n">
        <v>93.3113403320313</v>
      </c>
    </row>
    <row r="127" customFormat="false" ht="15" hidden="false" customHeight="false" outlineLevel="0" collapsed="false">
      <c r="A127" s="2" t="n">
        <v>45475</v>
      </c>
      <c r="B127" s="0" t="n">
        <v>199.30517578125</v>
      </c>
      <c r="C127" s="0" t="n">
        <v>444.866027832031</v>
      </c>
      <c r="D127" s="0" t="n">
        <v>93.7724227905273</v>
      </c>
    </row>
    <row r="128" customFormat="false" ht="15" hidden="false" customHeight="false" outlineLevel="0" collapsed="false">
      <c r="A128" s="2" t="n">
        <v>45476</v>
      </c>
      <c r="B128" s="0" t="n">
        <v>199.171585083008</v>
      </c>
      <c r="C128" s="0" t="n">
        <v>447.073120117188</v>
      </c>
      <c r="D128" s="0" t="n">
        <v>94.2899856567383</v>
      </c>
    </row>
    <row r="129" customFormat="false" ht="15" hidden="false" customHeight="false" outlineLevel="0" collapsed="false">
      <c r="A129" s="2" t="n">
        <v>45478</v>
      </c>
      <c r="B129" s="0" t="n">
        <v>196.532455444336</v>
      </c>
      <c r="C129" s="0" t="n">
        <v>444.044342041016</v>
      </c>
      <c r="D129" s="0" t="n">
        <v>93.7159729003906</v>
      </c>
    </row>
    <row r="130" customFormat="false" ht="15" hidden="false" customHeight="false" outlineLevel="0" collapsed="false">
      <c r="A130" s="2" t="n">
        <v>45481</v>
      </c>
      <c r="B130" s="0" t="n">
        <v>196.89714050293</v>
      </c>
      <c r="C130" s="0" t="n">
        <v>444.111206054688</v>
      </c>
      <c r="D130" s="0" t="n">
        <v>94.656982421875</v>
      </c>
    </row>
    <row r="131" customFormat="false" ht="15" hidden="false" customHeight="false" outlineLevel="0" collapsed="false">
      <c r="A131" s="2" t="n">
        <v>45482</v>
      </c>
      <c r="B131" s="0" t="n">
        <v>199.257949829102</v>
      </c>
      <c r="C131" s="0" t="n">
        <v>451.764343261719</v>
      </c>
      <c r="D131" s="0" t="n">
        <v>96.5578460693359</v>
      </c>
    </row>
    <row r="132" customFormat="false" ht="15" hidden="false" customHeight="false" outlineLevel="0" collapsed="false">
      <c r="A132" s="2" t="n">
        <v>45483</v>
      </c>
      <c r="B132" s="0" t="n">
        <v>199.421096801758</v>
      </c>
      <c r="C132" s="0" t="n">
        <v>457.554412841797</v>
      </c>
      <c r="D132" s="0" t="n">
        <v>97.3577117919922</v>
      </c>
    </row>
    <row r="133" customFormat="false" ht="15" hidden="false" customHeight="false" outlineLevel="0" collapsed="false">
      <c r="A133" s="2" t="n">
        <v>45484</v>
      </c>
      <c r="B133" s="0" t="n">
        <v>199.085205078125</v>
      </c>
      <c r="C133" s="0" t="n">
        <v>457.879272460938</v>
      </c>
      <c r="D133" s="0" t="n">
        <v>98.4681015014648</v>
      </c>
    </row>
    <row r="134" customFormat="false" ht="15" hidden="false" customHeight="false" outlineLevel="0" collapsed="false">
      <c r="A134" s="2" t="n">
        <v>45485</v>
      </c>
      <c r="B134" s="0" t="n">
        <v>196.676422119141</v>
      </c>
      <c r="C134" s="0" t="n">
        <v>458.500274658203</v>
      </c>
      <c r="D134" s="0" t="n">
        <v>97.9505462646484</v>
      </c>
    </row>
    <row r="135" customFormat="false" ht="15" hidden="false" customHeight="false" outlineLevel="0" collapsed="false">
      <c r="A135" s="2" t="n">
        <v>45488</v>
      </c>
      <c r="B135" s="0" t="n">
        <v>201.58039855957</v>
      </c>
      <c r="C135" s="0" t="n">
        <v>470.300048828125</v>
      </c>
      <c r="D135" s="0" t="n">
        <v>99.0515365600586</v>
      </c>
    </row>
    <row r="136" customFormat="false" ht="15" hidden="false" customHeight="false" outlineLevel="0" collapsed="false">
      <c r="A136" s="2" t="n">
        <v>45489</v>
      </c>
      <c r="B136" s="0" t="n">
        <v>205.006423950195</v>
      </c>
      <c r="C136" s="0" t="n">
        <v>480.609283447266</v>
      </c>
      <c r="D136" s="0" t="n">
        <v>99.9549179077148</v>
      </c>
    </row>
    <row r="137" customFormat="false" ht="15" hidden="false" customHeight="false" outlineLevel="0" collapsed="false">
      <c r="A137" s="2" t="n">
        <v>45490</v>
      </c>
      <c r="B137" s="0" t="n">
        <v>208.125350952148</v>
      </c>
      <c r="C137" s="0" t="n">
        <v>479.806701660156</v>
      </c>
      <c r="D137" s="0" t="n">
        <v>100.651275634766</v>
      </c>
    </row>
    <row r="138" customFormat="false" ht="15" hidden="false" customHeight="false" outlineLevel="0" collapsed="false">
      <c r="A138" s="2" t="n">
        <v>45491</v>
      </c>
      <c r="B138" s="0" t="n">
        <v>201.513198852539</v>
      </c>
      <c r="C138" s="0" t="n">
        <v>464.548217773438</v>
      </c>
      <c r="D138" s="0" t="n">
        <v>98.6280899047852</v>
      </c>
    </row>
    <row r="139" customFormat="false" ht="15" hidden="false" customHeight="false" outlineLevel="0" collapsed="false">
      <c r="A139" s="2" t="n">
        <v>45492</v>
      </c>
      <c r="B139" s="0" t="n">
        <v>201.321273803711</v>
      </c>
      <c r="C139" s="0" t="n">
        <v>463.325317382813</v>
      </c>
      <c r="D139" s="0" t="n">
        <v>96.0685119628906</v>
      </c>
    </row>
    <row r="140" customFormat="false" ht="15" hidden="false" customHeight="false" outlineLevel="0" collapsed="false">
      <c r="A140" s="2" t="n">
        <v>45495</v>
      </c>
      <c r="B140" s="0" t="n">
        <v>201.80110168457</v>
      </c>
      <c r="C140" s="0" t="n">
        <v>465.34130859375</v>
      </c>
      <c r="D140" s="0" t="n">
        <v>96.3978881835938</v>
      </c>
    </row>
    <row r="141" customFormat="false" ht="15" hidden="false" customHeight="false" outlineLevel="0" collapsed="false">
      <c r="A141" s="2" t="n">
        <v>45496</v>
      </c>
      <c r="B141" s="0" t="n">
        <v>201.849075317383</v>
      </c>
      <c r="C141" s="0" t="n">
        <v>470.223571777344</v>
      </c>
      <c r="D141" s="0" t="n">
        <v>97.3953552246094</v>
      </c>
    </row>
    <row r="142" customFormat="false" ht="15" hidden="false" customHeight="false" outlineLevel="0" collapsed="false">
      <c r="A142" s="2" t="n">
        <v>45497</v>
      </c>
      <c r="B142" s="0" t="n">
        <v>200.179244995117</v>
      </c>
      <c r="C142" s="0" t="n">
        <v>465.016448974609</v>
      </c>
      <c r="D142" s="0" t="n">
        <v>95.9555969238281</v>
      </c>
    </row>
    <row r="143" customFormat="false" ht="15" hidden="false" customHeight="false" outlineLevel="0" collapsed="false">
      <c r="A143" s="2" t="n">
        <v>45498</v>
      </c>
      <c r="B143" s="0" t="n">
        <v>200.256011962891</v>
      </c>
      <c r="C143" s="0" t="n">
        <v>469.80322265625</v>
      </c>
      <c r="D143" s="0" t="n">
        <v>97.4518203735352</v>
      </c>
    </row>
    <row r="144" customFormat="false" ht="15" hidden="false" customHeight="false" outlineLevel="0" collapsed="false">
      <c r="A144" s="2" t="n">
        <v>45499</v>
      </c>
      <c r="B144" s="0" t="n">
        <v>203.682067871094</v>
      </c>
      <c r="C144" s="0" t="n">
        <v>476.797088623047</v>
      </c>
      <c r="D144" s="0" t="n">
        <v>98.0446701049805</v>
      </c>
    </row>
    <row r="145" customFormat="false" ht="15" hidden="false" customHeight="false" outlineLevel="0" collapsed="false">
      <c r="A145" s="2" t="n">
        <v>45502</v>
      </c>
      <c r="B145" s="0" t="n">
        <v>202.348114013672</v>
      </c>
      <c r="C145" s="0" t="n">
        <v>470.768157958984</v>
      </c>
      <c r="D145" s="0" t="n">
        <v>96.4355163574219</v>
      </c>
    </row>
    <row r="146" customFormat="false" ht="15" hidden="false" customHeight="false" outlineLevel="0" collapsed="false">
      <c r="A146" s="2" t="n">
        <v>45503</v>
      </c>
      <c r="B146" s="0" t="n">
        <v>206.513122558594</v>
      </c>
      <c r="C146" s="0" t="n">
        <v>483.141265869141</v>
      </c>
      <c r="D146" s="0" t="n">
        <v>97.640007019043</v>
      </c>
    </row>
    <row r="147" customFormat="false" ht="15" hidden="false" customHeight="false" outlineLevel="0" collapsed="false">
      <c r="A147" s="2" t="n">
        <v>45504</v>
      </c>
      <c r="B147" s="0" t="n">
        <v>204.219512939453</v>
      </c>
      <c r="C147" s="0" t="n">
        <v>486.3515625</v>
      </c>
      <c r="D147" s="0" t="n">
        <v>97.9960708618164</v>
      </c>
    </row>
    <row r="148" customFormat="false" ht="15" hidden="false" customHeight="false" outlineLevel="0" collapsed="false">
      <c r="A148" s="2" t="n">
        <v>45505</v>
      </c>
      <c r="B148" s="0" t="n">
        <v>199.574661254883</v>
      </c>
      <c r="C148" s="0" t="n">
        <v>477.838562011719</v>
      </c>
      <c r="D148" s="0" t="n">
        <v>96.6193237304688</v>
      </c>
    </row>
    <row r="149" customFormat="false" ht="15" hidden="false" customHeight="false" outlineLevel="0" collapsed="false">
      <c r="A149" s="2" t="n">
        <v>45506</v>
      </c>
      <c r="B149" s="0" t="n">
        <v>191.110275268555</v>
      </c>
      <c r="C149" s="0" t="n">
        <v>449.671936035156</v>
      </c>
      <c r="D149" s="0" t="n">
        <v>91.0078887939453</v>
      </c>
    </row>
    <row r="150" customFormat="false" ht="15" hidden="false" customHeight="false" outlineLevel="0" collapsed="false">
      <c r="A150" s="2" t="n">
        <v>45509</v>
      </c>
      <c r="B150" s="0" t="n">
        <v>187.041259765625</v>
      </c>
      <c r="C150" s="0" t="n">
        <v>438.569641113281</v>
      </c>
      <c r="D150" s="0" t="n">
        <v>87.4188385009766</v>
      </c>
    </row>
    <row r="151" customFormat="false" ht="15" hidden="false" customHeight="false" outlineLevel="0" collapsed="false">
      <c r="A151" s="2" t="n">
        <v>45510</v>
      </c>
      <c r="B151" s="0" t="n">
        <v>192.26188659668</v>
      </c>
      <c r="C151" s="0" t="n">
        <v>449.270629882813</v>
      </c>
      <c r="D151" s="0" t="n">
        <v>88.2733840942383</v>
      </c>
    </row>
    <row r="152" customFormat="false" ht="15" hidden="false" customHeight="false" outlineLevel="0" collapsed="false">
      <c r="A152" s="2" t="n">
        <v>45511</v>
      </c>
      <c r="B152" s="0" t="n">
        <v>192.319458007813</v>
      </c>
      <c r="C152" s="0" t="n">
        <v>451.936370849609</v>
      </c>
      <c r="D152" s="0" t="n">
        <v>87.4568176269531</v>
      </c>
    </row>
    <row r="153" customFormat="false" ht="15" hidden="false" customHeight="false" outlineLevel="0" collapsed="false">
      <c r="A153" s="2" t="n">
        <v>45512</v>
      </c>
      <c r="B153" s="0" t="n">
        <v>195.831909179688</v>
      </c>
      <c r="C153" s="0" t="n">
        <v>464.127868652344</v>
      </c>
      <c r="D153" s="0" t="n">
        <v>89.8495178222656</v>
      </c>
    </row>
    <row r="154" customFormat="false" ht="15" hidden="false" customHeight="false" outlineLevel="0" collapsed="false">
      <c r="A154" s="2" t="n">
        <v>45513</v>
      </c>
      <c r="B154" s="0" t="n">
        <v>197.501739501953</v>
      </c>
      <c r="C154" s="0" t="n">
        <v>468.417816162109</v>
      </c>
      <c r="D154" s="0" t="n">
        <v>89.9349670410156</v>
      </c>
    </row>
    <row r="155" customFormat="false" ht="15" hidden="false" customHeight="false" outlineLevel="0" collapsed="false">
      <c r="A155" s="2" t="n">
        <v>45516</v>
      </c>
      <c r="B155" s="0" t="n">
        <v>197.876022338867</v>
      </c>
      <c r="C155" s="0" t="n">
        <v>463.869903564453</v>
      </c>
      <c r="D155" s="0" t="n">
        <v>90.0488967895508</v>
      </c>
    </row>
    <row r="156" customFormat="false" ht="15" hidden="false" customHeight="false" outlineLevel="0" collapsed="false">
      <c r="A156" s="2" t="n">
        <v>45517</v>
      </c>
      <c r="B156" s="0" t="n">
        <v>199.555450439453</v>
      </c>
      <c r="C156" s="0" t="n">
        <v>470.02294921875</v>
      </c>
      <c r="D156" s="0" t="n">
        <v>91.8244400024414</v>
      </c>
    </row>
    <row r="157" customFormat="false" ht="15" hidden="false" customHeight="false" outlineLevel="0" collapsed="false">
      <c r="A157" s="2" t="n">
        <v>45518</v>
      </c>
      <c r="B157" s="0" t="n">
        <v>201.762725830078</v>
      </c>
      <c r="C157" s="0" t="n">
        <v>476.481811523438</v>
      </c>
      <c r="D157" s="0" t="n">
        <v>94.4165344238281</v>
      </c>
    </row>
    <row r="158" customFormat="false" ht="15" hidden="false" customHeight="false" outlineLevel="0" collapsed="false">
      <c r="A158" s="2" t="n">
        <v>45519</v>
      </c>
      <c r="B158" s="0" t="n">
        <v>203.019912719727</v>
      </c>
      <c r="C158" s="0" t="n">
        <v>476.787536621094</v>
      </c>
      <c r="D158" s="0" t="n">
        <v>95.5559005737305</v>
      </c>
    </row>
    <row r="159" customFormat="false" ht="15" hidden="false" customHeight="false" outlineLevel="0" collapsed="false">
      <c r="A159" s="2" t="n">
        <v>45520</v>
      </c>
      <c r="B159" s="0" t="n">
        <v>205.342315673828</v>
      </c>
      <c r="C159" s="0" t="n">
        <v>481.794097900391</v>
      </c>
      <c r="D159" s="0" t="n">
        <v>96.3154983520508</v>
      </c>
    </row>
    <row r="160" customFormat="false" ht="15" hidden="false" customHeight="false" outlineLevel="0" collapsed="false">
      <c r="A160" s="2" t="n">
        <v>45523</v>
      </c>
      <c r="B160" s="0" t="n">
        <v>206.762603759766</v>
      </c>
      <c r="C160" s="0" t="n">
        <v>482.195404052734</v>
      </c>
      <c r="D160" s="0" t="n">
        <v>96.6098251342773</v>
      </c>
    </row>
    <row r="161" customFormat="false" ht="15" hidden="false" customHeight="false" outlineLevel="0" collapsed="false">
      <c r="A161" s="2" t="n">
        <v>45524</v>
      </c>
      <c r="B161" s="0" t="n">
        <v>205.870132446289</v>
      </c>
      <c r="C161" s="0" t="n">
        <v>475.182403564453</v>
      </c>
      <c r="D161" s="0" t="n">
        <v>95.688835144043</v>
      </c>
    </row>
    <row r="162" customFormat="false" ht="15" hidden="false" customHeight="false" outlineLevel="0" collapsed="false">
      <c r="A162" s="2" t="n">
        <v>45525</v>
      </c>
      <c r="B162" s="0" t="n">
        <v>205.946914672852</v>
      </c>
      <c r="C162" s="0" t="n">
        <v>474.341583251953</v>
      </c>
      <c r="D162" s="0" t="n">
        <v>95.603385925293</v>
      </c>
    </row>
    <row r="163" customFormat="false" ht="15" hidden="false" customHeight="false" outlineLevel="0" collapsed="false">
      <c r="A163" s="2" t="n">
        <v>45526</v>
      </c>
      <c r="B163" s="0" t="n">
        <v>207.895080566406</v>
      </c>
      <c r="C163" s="0" t="n">
        <v>475.574096679688</v>
      </c>
      <c r="D163" s="0" t="n">
        <v>95.4799423217773</v>
      </c>
    </row>
    <row r="164" customFormat="false" ht="15" hidden="false" customHeight="false" outlineLevel="0" collapsed="false">
      <c r="A164" s="2" t="n">
        <v>45527</v>
      </c>
      <c r="B164" s="0" t="n">
        <v>209.507308959961</v>
      </c>
      <c r="C164" s="0" t="n">
        <v>486.724243164063</v>
      </c>
      <c r="D164" s="0" t="n">
        <v>96.7427520751953</v>
      </c>
    </row>
    <row r="165" customFormat="false" ht="15" hidden="false" customHeight="false" outlineLevel="0" collapsed="false">
      <c r="A165" s="2" t="n">
        <v>45530</v>
      </c>
      <c r="B165" s="0" t="n">
        <v>210.332626342773</v>
      </c>
      <c r="C165" s="0" t="n">
        <v>485.243255615234</v>
      </c>
      <c r="D165" s="0" t="n">
        <v>97.160530090332</v>
      </c>
    </row>
    <row r="166" customFormat="false" ht="15" hidden="false" customHeight="false" outlineLevel="0" collapsed="false">
      <c r="A166" s="2" t="n">
        <v>45531</v>
      </c>
      <c r="B166" s="0" t="n">
        <v>211.301895141602</v>
      </c>
      <c r="C166" s="0" t="n">
        <v>484.660430908203</v>
      </c>
      <c r="D166" s="0" t="n">
        <v>96.9231643676758</v>
      </c>
    </row>
    <row r="167" customFormat="false" ht="15" hidden="false" customHeight="false" outlineLevel="0" collapsed="false">
      <c r="A167" s="2" t="n">
        <v>45532</v>
      </c>
      <c r="B167" s="0" t="n">
        <v>212.367156982422</v>
      </c>
      <c r="C167" s="0" t="n">
        <v>480.905487060547</v>
      </c>
      <c r="D167" s="0" t="n">
        <v>97.0370941162109</v>
      </c>
    </row>
    <row r="168" customFormat="false" ht="15" hidden="false" customHeight="false" outlineLevel="0" collapsed="false">
      <c r="A168" s="2" t="n">
        <v>45533</v>
      </c>
      <c r="B168" s="0" t="n">
        <v>213.250076293945</v>
      </c>
      <c r="C168" s="0" t="n">
        <v>487.373870849609</v>
      </c>
      <c r="D168" s="0" t="n">
        <v>97.4168930053711</v>
      </c>
    </row>
    <row r="169" customFormat="false" ht="15" hidden="false" customHeight="false" outlineLevel="0" collapsed="false">
      <c r="A169" s="2" t="n">
        <v>45534</v>
      </c>
      <c r="B169" s="0" t="n">
        <v>215.735641479492</v>
      </c>
      <c r="C169" s="0" t="n">
        <v>490.401336669922</v>
      </c>
      <c r="D169" s="0" t="n">
        <v>98.3758697509766</v>
      </c>
    </row>
    <row r="170" customFormat="false" ht="15" hidden="false" customHeight="false" outlineLevel="0" collapsed="false">
      <c r="A170" s="2" t="n">
        <v>45538</v>
      </c>
      <c r="B170" s="0" t="n">
        <v>211.417068481445</v>
      </c>
      <c r="C170" s="0" t="n">
        <v>468.497894287109</v>
      </c>
      <c r="D170" s="0" t="n">
        <v>94.2551116943359</v>
      </c>
    </row>
    <row r="171" customFormat="false" ht="15" hidden="false" customHeight="false" outlineLevel="0" collapsed="false">
      <c r="A171" s="2" t="n">
        <v>45539</v>
      </c>
      <c r="B171" s="0" t="n">
        <v>210.486190795898</v>
      </c>
      <c r="C171" s="0" t="n">
        <v>471.55419921875</v>
      </c>
      <c r="D171" s="0" t="n">
        <v>95.0906600952148</v>
      </c>
    </row>
    <row r="172" customFormat="false" ht="15" hidden="false" customHeight="false" outlineLevel="0" collapsed="false">
      <c r="A172" s="2" t="n">
        <v>45540</v>
      </c>
      <c r="B172" s="0" t="n">
        <v>208.854751586914</v>
      </c>
      <c r="C172" s="0" t="n">
        <v>468.901550292969</v>
      </c>
      <c r="D172" s="0" t="n">
        <v>94.5304565429688</v>
      </c>
    </row>
    <row r="173" customFormat="false" ht="15" hidden="false" customHeight="false" outlineLevel="0" collapsed="false">
      <c r="A173" s="2" t="n">
        <v>45541</v>
      </c>
      <c r="B173" s="0" t="n">
        <v>203.893203735352</v>
      </c>
      <c r="C173" s="0" t="n">
        <v>460.953277587891</v>
      </c>
      <c r="D173" s="0" t="n">
        <v>91.7104949951172</v>
      </c>
    </row>
    <row r="174" customFormat="false" ht="15" hidden="false" customHeight="false" outlineLevel="0" collapsed="false">
      <c r="A174" s="2" t="n">
        <v>45544</v>
      </c>
      <c r="B174" s="0" t="n">
        <v>208.067794799805</v>
      </c>
      <c r="C174" s="0" t="n">
        <v>469.564727783203</v>
      </c>
      <c r="D174" s="0" t="n">
        <v>93.2201843261719</v>
      </c>
    </row>
    <row r="175" customFormat="false" ht="15" hidden="false" customHeight="false" outlineLevel="0" collapsed="false">
      <c r="A175" s="2" t="n">
        <v>45545</v>
      </c>
      <c r="B175" s="0" t="n">
        <v>197.271423339844</v>
      </c>
      <c r="C175" s="0" t="n">
        <v>448.958709716797</v>
      </c>
      <c r="D175" s="0" t="n">
        <v>91.7389755249023</v>
      </c>
    </row>
    <row r="176" customFormat="false" ht="15" hidden="false" customHeight="false" outlineLevel="0" collapsed="false">
      <c r="A176" s="2" t="n">
        <v>45546</v>
      </c>
      <c r="B176" s="0" t="n">
        <v>198.874069213867</v>
      </c>
      <c r="C176" s="0" t="n">
        <v>452.841583251953</v>
      </c>
      <c r="D176" s="0" t="n">
        <v>92.1282806396484</v>
      </c>
    </row>
    <row r="177" customFormat="false" ht="15" hidden="false" customHeight="false" outlineLevel="0" collapsed="false">
      <c r="A177" s="2" t="n">
        <v>45547</v>
      </c>
      <c r="B177" s="0" t="n">
        <v>198.269470214844</v>
      </c>
      <c r="C177" s="0" t="n">
        <v>455.619140625</v>
      </c>
      <c r="D177" s="0" t="n">
        <v>91.7579727172852</v>
      </c>
    </row>
    <row r="178" customFormat="false" ht="15" hidden="false" customHeight="false" outlineLevel="0" collapsed="false">
      <c r="A178" s="2" t="n">
        <v>45548</v>
      </c>
      <c r="B178" s="0" t="n">
        <v>196.081420898438</v>
      </c>
      <c r="C178" s="0" t="n">
        <v>460.357391357422</v>
      </c>
      <c r="D178" s="0" t="n">
        <v>93.2866439819336</v>
      </c>
    </row>
    <row r="179" customFormat="false" ht="15" hidden="false" customHeight="false" outlineLevel="0" collapsed="false">
      <c r="A179" s="2" t="n">
        <v>45551</v>
      </c>
      <c r="B179" s="0" t="n">
        <v>199.478668212891</v>
      </c>
      <c r="C179" s="0" t="n">
        <v>466.287353515625</v>
      </c>
      <c r="D179" s="0" t="n">
        <v>95.0336837768555</v>
      </c>
    </row>
    <row r="180" customFormat="false" ht="15" hidden="false" customHeight="false" outlineLevel="0" collapsed="false">
      <c r="A180" s="2" t="n">
        <v>45552</v>
      </c>
      <c r="B180" s="0" t="n">
        <v>200.812622070313</v>
      </c>
      <c r="C180" s="0" t="n">
        <v>466.508453369141</v>
      </c>
      <c r="D180" s="0" t="n">
        <v>94.7963180541992</v>
      </c>
    </row>
    <row r="181" customFormat="false" ht="15" hidden="false" customHeight="false" outlineLevel="0" collapsed="false">
      <c r="A181" s="2" t="n">
        <v>45553</v>
      </c>
      <c r="B181" s="0" t="n">
        <v>199.161987304688</v>
      </c>
      <c r="C181" s="0" t="n">
        <v>465.729919433594</v>
      </c>
      <c r="D181" s="0" t="n">
        <v>94.2836074829102</v>
      </c>
    </row>
    <row r="182" customFormat="false" ht="15" hidden="false" customHeight="false" outlineLevel="0" collapsed="false">
      <c r="A182" s="2" t="n">
        <v>45554</v>
      </c>
      <c r="B182" s="0" t="n">
        <v>201.993026733398</v>
      </c>
      <c r="C182" s="0" t="n">
        <v>484.231109619141</v>
      </c>
      <c r="D182" s="0" t="n">
        <v>95.6413650512695</v>
      </c>
    </row>
    <row r="183" customFormat="false" ht="15" hidden="false" customHeight="false" outlineLevel="0" collapsed="false">
      <c r="A183" s="2" t="n">
        <v>45555</v>
      </c>
      <c r="B183" s="0" t="n">
        <v>202.578460693359</v>
      </c>
      <c r="C183" s="0" t="n">
        <v>479.041168212891</v>
      </c>
      <c r="D183" s="0" t="n">
        <v>97.2934646606445</v>
      </c>
    </row>
    <row r="184" customFormat="false" ht="15" hidden="false" customHeight="false" outlineLevel="0" collapsed="false">
      <c r="A184" s="2" t="n">
        <v>45558</v>
      </c>
      <c r="B184" s="0" t="n">
        <v>202.914321899414</v>
      </c>
      <c r="C184" s="0" t="n">
        <v>478.060852050781</v>
      </c>
      <c r="D184" s="0" t="n">
        <v>97.2934646606445</v>
      </c>
    </row>
    <row r="185" customFormat="false" ht="15" hidden="false" customHeight="false" outlineLevel="0" collapsed="false">
      <c r="A185" s="2" t="n">
        <v>45559</v>
      </c>
      <c r="B185" s="0" t="n">
        <v>203.05827331543</v>
      </c>
      <c r="C185" s="0" t="n">
        <v>478.647094726563</v>
      </c>
      <c r="D185" s="0" t="n">
        <v>97.3979034423828</v>
      </c>
    </row>
    <row r="186" customFormat="false" ht="15" hidden="false" customHeight="false" outlineLevel="0" collapsed="false">
      <c r="A186" s="2" t="n">
        <v>45560</v>
      </c>
      <c r="B186" s="0" t="n">
        <v>201.714736938477</v>
      </c>
      <c r="C186" s="0" t="n">
        <v>472.034790039063</v>
      </c>
      <c r="D186" s="0" t="n">
        <v>97.1700210571289</v>
      </c>
    </row>
    <row r="187" customFormat="false" ht="15" hidden="false" customHeight="false" outlineLevel="0" collapsed="false">
      <c r="A187" s="2" t="n">
        <v>45561</v>
      </c>
      <c r="B187" s="0" t="n">
        <v>201.321273803711</v>
      </c>
      <c r="C187" s="0" t="n">
        <v>477.589904785156</v>
      </c>
      <c r="D187" s="0" t="n">
        <v>99.3158493041992</v>
      </c>
    </row>
    <row r="188" customFormat="false" ht="15" hidden="false" customHeight="false" outlineLevel="0" collapsed="false">
      <c r="A188" s="2" t="n">
        <v>45562</v>
      </c>
      <c r="B188" s="0" t="n">
        <v>202.01220703125</v>
      </c>
      <c r="C188" s="0" t="n">
        <v>479.118041992188</v>
      </c>
      <c r="D188" s="0" t="n">
        <v>98.8506088256836</v>
      </c>
    </row>
    <row r="189" customFormat="false" ht="15" hidden="false" customHeight="false" outlineLevel="0" collapsed="false">
      <c r="A189" s="2" t="n">
        <v>45565</v>
      </c>
      <c r="B189" s="0" t="n">
        <v>202.357711791992</v>
      </c>
      <c r="C189" s="0" t="n">
        <v>475.850280761719</v>
      </c>
      <c r="D189" s="0" t="n">
        <v>98.9740447998047</v>
      </c>
    </row>
    <row r="190" customFormat="false" ht="15" hidden="false" customHeight="false" outlineLevel="0" collapsed="false">
      <c r="A190" s="2" t="n">
        <v>45566</v>
      </c>
      <c r="B190" s="0" t="n">
        <v>198.691711425781</v>
      </c>
      <c r="C190" s="0" t="n">
        <v>471.1025390625</v>
      </c>
      <c r="D190" s="0" t="n">
        <v>99.1449508666992</v>
      </c>
    </row>
    <row r="191" customFormat="false" ht="15" hidden="false" customHeight="false" outlineLevel="0" collapsed="false">
      <c r="A191" s="2" t="n">
        <v>45567</v>
      </c>
      <c r="B191" s="0" t="n">
        <v>198.931640625</v>
      </c>
      <c r="C191" s="0" t="n">
        <v>472.851654052734</v>
      </c>
      <c r="D191" s="0" t="n">
        <v>99.239875793457</v>
      </c>
    </row>
    <row r="192" customFormat="false" ht="15" hidden="false" customHeight="false" outlineLevel="0" collapsed="false">
      <c r="A192" s="2" t="n">
        <v>45568</v>
      </c>
      <c r="B192" s="0" t="n">
        <v>196.954711914063</v>
      </c>
      <c r="C192" s="0" t="n">
        <v>467.190795898438</v>
      </c>
      <c r="D192" s="0" t="n">
        <v>99.2873764038086</v>
      </c>
    </row>
    <row r="193" customFormat="false" ht="15" hidden="false" customHeight="false" outlineLevel="0" collapsed="false">
      <c r="A193" s="2" t="n">
        <v>45569</v>
      </c>
      <c r="B193" s="0" t="n">
        <v>203.945388793945</v>
      </c>
      <c r="C193" s="0" t="n">
        <v>475.898345947266</v>
      </c>
      <c r="D193" s="0" t="n">
        <v>102.430152893066</v>
      </c>
    </row>
    <row r="194" customFormat="false" ht="15" hidden="false" customHeight="false" outlineLevel="0" collapsed="false">
      <c r="A194" s="2" t="n">
        <v>45572</v>
      </c>
      <c r="B194" s="0" t="n">
        <v>203.66535949707</v>
      </c>
      <c r="C194" s="0" t="n">
        <v>475.37939453125</v>
      </c>
      <c r="D194" s="0" t="n">
        <v>102.202293395996</v>
      </c>
    </row>
    <row r="195" customFormat="false" ht="15" hidden="false" customHeight="false" outlineLevel="0" collapsed="false">
      <c r="A195" s="2" t="n">
        <v>45573</v>
      </c>
      <c r="B195" s="0" t="n">
        <v>203.491546630859</v>
      </c>
      <c r="C195" s="0" t="n">
        <v>477.253540039063</v>
      </c>
      <c r="D195" s="0" t="n">
        <v>102.059867858887</v>
      </c>
    </row>
    <row r="196" customFormat="false" ht="15" hidden="false" customHeight="false" outlineLevel="0" collapsed="false">
      <c r="A196" s="2" t="n">
        <v>45574</v>
      </c>
      <c r="B196" s="0" t="n">
        <v>206.069580078125</v>
      </c>
      <c r="C196" s="0" t="n">
        <v>485.528564453125</v>
      </c>
      <c r="D196" s="0" t="n">
        <v>103.531555175781</v>
      </c>
    </row>
    <row r="197" customFormat="false" ht="15" hidden="false" customHeight="false" outlineLevel="0" collapsed="false">
      <c r="A197" s="2" t="n">
        <v>45575</v>
      </c>
      <c r="B197" s="0" t="n">
        <v>205.509567260742</v>
      </c>
      <c r="C197" s="0" t="n">
        <v>484.125396728516</v>
      </c>
      <c r="D197" s="0" t="n">
        <v>102.620056152344</v>
      </c>
    </row>
    <row r="198" customFormat="false" ht="15" hidden="false" customHeight="false" outlineLevel="0" collapsed="false">
      <c r="A198" s="2" t="n">
        <v>45576</v>
      </c>
      <c r="B198" s="0" t="n">
        <v>214.634078979492</v>
      </c>
      <c r="C198" s="0" t="n">
        <v>496.216064453125</v>
      </c>
      <c r="D198" s="0" t="n">
        <v>104.879821777344</v>
      </c>
    </row>
    <row r="199" customFormat="false" ht="15" hidden="false" customHeight="false" outlineLevel="0" collapsed="false">
      <c r="A199" s="2" t="n">
        <v>45579</v>
      </c>
      <c r="B199" s="0" t="n">
        <v>213.852005004883</v>
      </c>
      <c r="C199" s="0" t="n">
        <v>502.415161132813</v>
      </c>
      <c r="D199" s="0" t="n">
        <v>106.607887268066</v>
      </c>
    </row>
    <row r="200" customFormat="false" ht="15" hidden="false" customHeight="false" outlineLevel="0" collapsed="false">
      <c r="A200" s="2" t="n">
        <v>45580</v>
      </c>
      <c r="B200" s="0" t="n">
        <v>214.730651855469</v>
      </c>
      <c r="C200" s="0" t="n">
        <v>502.059509277344</v>
      </c>
      <c r="D200" s="0" t="n">
        <v>106.550903320313</v>
      </c>
    </row>
    <row r="201" customFormat="false" ht="15" hidden="false" customHeight="false" outlineLevel="0" collapsed="false">
      <c r="A201" s="2" t="n">
        <v>45581</v>
      </c>
      <c r="B201" s="0" t="n">
        <v>215.937606811523</v>
      </c>
      <c r="C201" s="0" t="n">
        <v>509.248565673828</v>
      </c>
      <c r="D201" s="0" t="n">
        <v>113.472640991211</v>
      </c>
    </row>
    <row r="202" customFormat="false" ht="15" hidden="false" customHeight="false" outlineLevel="0" collapsed="false">
      <c r="A202" s="2" t="n">
        <v>45582</v>
      </c>
      <c r="B202" s="0" t="n">
        <v>216.690734863281</v>
      </c>
      <c r="C202" s="0" t="n">
        <v>508.422027587891</v>
      </c>
      <c r="D202" s="0" t="n">
        <v>113.406173706055</v>
      </c>
    </row>
    <row r="203" customFormat="false" ht="15" hidden="false" customHeight="false" outlineLevel="0" collapsed="false">
      <c r="A203" s="2" t="n">
        <v>45583</v>
      </c>
      <c r="B203" s="0" t="n">
        <v>217.608032226563</v>
      </c>
      <c r="C203" s="0" t="n">
        <v>507.941467285156</v>
      </c>
      <c r="D203" s="0" t="n">
        <v>114.944328308106</v>
      </c>
    </row>
    <row r="204" customFormat="false" ht="15" hidden="false" customHeight="false" outlineLevel="0" collapsed="false">
      <c r="A204" s="2" t="n">
        <v>45586</v>
      </c>
      <c r="B204" s="0" t="n">
        <v>215.31965637207</v>
      </c>
      <c r="C204" s="0" t="n">
        <v>497.65771484375</v>
      </c>
      <c r="D204" s="0" t="n">
        <v>112.30477142334</v>
      </c>
    </row>
    <row r="205" customFormat="false" ht="15" hidden="false" customHeight="false" outlineLevel="0" collapsed="false">
      <c r="A205" s="2" t="n">
        <v>45587</v>
      </c>
      <c r="B205" s="0" t="n">
        <v>216.401077270508</v>
      </c>
      <c r="C205" s="0" t="n">
        <v>498.138244628906</v>
      </c>
      <c r="D205" s="0" t="n">
        <v>112.342750549316</v>
      </c>
    </row>
    <row r="206" customFormat="false" ht="15" hidden="false" customHeight="false" outlineLevel="0" collapsed="false">
      <c r="A206" s="2" t="n">
        <v>45588</v>
      </c>
      <c r="B206" s="0" t="n">
        <v>215.715530395508</v>
      </c>
      <c r="C206" s="0" t="n">
        <v>497.081024169922</v>
      </c>
      <c r="D206" s="0" t="n">
        <v>112.30477142334</v>
      </c>
    </row>
    <row r="207" customFormat="false" ht="15" hidden="false" customHeight="false" outlineLevel="0" collapsed="false">
      <c r="A207" s="2" t="n">
        <v>45589</v>
      </c>
      <c r="B207" s="0" t="n">
        <v>217.2314453125</v>
      </c>
      <c r="C207" s="0" t="n">
        <v>504.097015380859</v>
      </c>
      <c r="D207" s="0" t="n">
        <v>113.149810791016</v>
      </c>
    </row>
    <row r="208" customFormat="false" ht="15" hidden="false" customHeight="false" outlineLevel="0" collapsed="false">
      <c r="A208" s="2" t="n">
        <v>45590</v>
      </c>
      <c r="B208" s="0" t="n">
        <v>214.653411865234</v>
      </c>
      <c r="C208" s="0" t="n">
        <v>492.659912109375</v>
      </c>
      <c r="D208" s="0" t="n">
        <v>110.975509643555</v>
      </c>
    </row>
    <row r="209" customFormat="false" ht="15" hidden="false" customHeight="false" outlineLevel="0" collapsed="false">
      <c r="A209" s="2" t="n">
        <v>45593</v>
      </c>
      <c r="B209" s="0" t="n">
        <v>217.733551025391</v>
      </c>
      <c r="C209" s="0" t="n">
        <v>503.212829589844</v>
      </c>
      <c r="D209" s="0" t="n">
        <v>113.111831665039</v>
      </c>
    </row>
    <row r="210" customFormat="false" ht="15" hidden="false" customHeight="false" outlineLevel="0" collapsed="false">
      <c r="A210" s="2" t="n">
        <v>45594</v>
      </c>
      <c r="B210" s="0" t="n">
        <v>215.223083496094</v>
      </c>
      <c r="C210" s="0" t="n">
        <v>503.885589599609</v>
      </c>
      <c r="D210" s="0" t="n">
        <v>113.273246765137</v>
      </c>
    </row>
    <row r="211" customFormat="false" ht="15" hidden="false" customHeight="false" outlineLevel="0" collapsed="false">
      <c r="A211" s="2" t="n">
        <v>45595</v>
      </c>
      <c r="B211" s="0" t="n">
        <v>216.681091308594</v>
      </c>
      <c r="C211" s="0" t="n">
        <v>504.000915527344</v>
      </c>
      <c r="D211" s="0" t="n">
        <v>111.962959289551</v>
      </c>
    </row>
    <row r="212" customFormat="false" ht="15" hidden="false" customHeight="false" outlineLevel="0" collapsed="false">
      <c r="A212" s="2" t="n">
        <v>45596</v>
      </c>
      <c r="B212" s="0" t="n">
        <v>214.276840209961</v>
      </c>
      <c r="C212" s="0" t="n">
        <v>497.648010253906</v>
      </c>
      <c r="D212" s="0" t="n">
        <v>111.25</v>
      </c>
    </row>
    <row r="213" customFormat="false" ht="15" hidden="false" customHeight="false" outlineLevel="0" collapsed="false">
      <c r="A213" s="2" t="n">
        <v>45597</v>
      </c>
      <c r="B213" s="0" t="n">
        <v>215.261703491211</v>
      </c>
      <c r="C213" s="0" t="n">
        <v>499.147338867188</v>
      </c>
      <c r="D213" s="0" t="n">
        <v>111.824203491211</v>
      </c>
    </row>
    <row r="214" customFormat="false" ht="15" hidden="false" customHeight="false" outlineLevel="0" collapsed="false">
      <c r="A214" s="2" t="n">
        <v>45600</v>
      </c>
      <c r="B214" s="0" t="n">
        <v>212.210540771484</v>
      </c>
      <c r="C214" s="0" t="n">
        <v>491.573883056641</v>
      </c>
      <c r="D214" s="0" t="n">
        <v>111.144737243652</v>
      </c>
    </row>
    <row r="215" customFormat="false" ht="15" hidden="false" customHeight="false" outlineLevel="0" collapsed="false">
      <c r="A215" s="2" t="n">
        <v>45601</v>
      </c>
      <c r="B215" s="0" t="n">
        <v>213.861663818359</v>
      </c>
      <c r="C215" s="0" t="n">
        <v>506.461395263672</v>
      </c>
      <c r="D215" s="0" t="n">
        <v>112.742912292481</v>
      </c>
    </row>
    <row r="216" customFormat="false" ht="15" hidden="false" customHeight="false" outlineLevel="0" collapsed="false">
      <c r="A216" s="2" t="n">
        <v>45602</v>
      </c>
      <c r="B216" s="0" t="n">
        <v>238.551010131836</v>
      </c>
      <c r="C216" s="0" t="n">
        <v>572.796508789063</v>
      </c>
      <c r="D216" s="0" t="n">
        <v>125.834541320801</v>
      </c>
    </row>
    <row r="217" customFormat="false" ht="15" hidden="false" customHeight="false" outlineLevel="0" collapsed="false">
      <c r="A217" s="2" t="n">
        <v>45603</v>
      </c>
      <c r="B217" s="0" t="n">
        <v>228.238845825195</v>
      </c>
      <c r="C217" s="0" t="n">
        <v>559.523620605469</v>
      </c>
      <c r="D217" s="0" t="n">
        <v>122.915702819824</v>
      </c>
    </row>
    <row r="218" customFormat="false" ht="15" hidden="false" customHeight="false" outlineLevel="0" collapsed="false">
      <c r="A218" s="2" t="n">
        <v>45604</v>
      </c>
      <c r="B218" s="0" t="n">
        <v>228.818161010742</v>
      </c>
      <c r="C218" s="0" t="n">
        <v>566.337890625</v>
      </c>
      <c r="D218" s="0" t="n">
        <v>123.958831787109</v>
      </c>
    </row>
    <row r="219" customFormat="false" ht="15" hidden="false" customHeight="false" outlineLevel="0" collapsed="false">
      <c r="A219" s="2" t="n">
        <v>45607</v>
      </c>
      <c r="B219" s="0" t="n">
        <v>231.048599243164</v>
      </c>
      <c r="C219" s="0" t="n">
        <v>578.9091796875</v>
      </c>
      <c r="D219" s="0" t="n">
        <v>127.777214050293</v>
      </c>
    </row>
    <row r="220" customFormat="false" ht="15" hidden="false" customHeight="false" outlineLevel="0" collapsed="false">
      <c r="A220" s="2" t="n">
        <v>45608</v>
      </c>
      <c r="B220" s="0" t="n">
        <v>231.309295654297</v>
      </c>
      <c r="C220" s="0" t="n">
        <v>569.538452148438</v>
      </c>
      <c r="D220" s="0" t="n">
        <v>126.619247436523</v>
      </c>
    </row>
    <row r="221" customFormat="false" ht="15" hidden="false" customHeight="false" outlineLevel="0" collapsed="false">
      <c r="A221" s="2" t="n">
        <v>45609</v>
      </c>
      <c r="B221" s="0" t="n">
        <v>232.854202270508</v>
      </c>
      <c r="C221" s="0" t="n">
        <v>571.104919433594</v>
      </c>
      <c r="D221" s="0" t="n">
        <v>127.049903869629</v>
      </c>
    </row>
    <row r="222" customFormat="false" ht="15" hidden="false" customHeight="false" outlineLevel="0" collapsed="false">
      <c r="A222" s="2" t="n">
        <v>45610</v>
      </c>
      <c r="B222" s="0" t="n">
        <v>233.539749145508</v>
      </c>
      <c r="C222" s="0" t="n">
        <v>565.713134765625</v>
      </c>
      <c r="D222" s="0" t="n">
        <v>126.734085083008</v>
      </c>
    </row>
    <row r="223" customFormat="false" ht="15" hidden="false" customHeight="false" outlineLevel="0" collapsed="false">
      <c r="A223" s="2" t="n">
        <v>45611</v>
      </c>
      <c r="B223" s="0" t="n">
        <v>236.861267089844</v>
      </c>
      <c r="C223" s="0" t="n">
        <v>570.451416015625</v>
      </c>
      <c r="D223" s="0" t="n">
        <v>128.293975830078</v>
      </c>
    </row>
    <row r="224" customFormat="false" ht="15" hidden="false" customHeight="false" outlineLevel="0" collapsed="false">
      <c r="A224" s="2" t="n">
        <v>45614</v>
      </c>
      <c r="B224" s="0" t="n">
        <v>236.590911865234</v>
      </c>
      <c r="C224" s="0" t="n">
        <v>565.117248535156</v>
      </c>
      <c r="D224" s="0" t="n">
        <v>128.026031494141</v>
      </c>
    </row>
    <row r="225" customFormat="false" ht="15" hidden="false" customHeight="false" outlineLevel="0" collapsed="false">
      <c r="A225" s="2" t="n">
        <v>45615</v>
      </c>
      <c r="B225" s="0" t="n">
        <v>234.717727661133</v>
      </c>
      <c r="C225" s="0" t="n">
        <v>558.764404296875</v>
      </c>
      <c r="D225" s="0" t="n">
        <v>126.552268981934</v>
      </c>
    </row>
    <row r="226" customFormat="false" ht="15" hidden="false" customHeight="false" outlineLevel="0" collapsed="false">
      <c r="A226" s="2" t="n">
        <v>45616</v>
      </c>
      <c r="B226" s="0" t="n">
        <v>232.487274169922</v>
      </c>
      <c r="C226" s="0" t="n">
        <v>559.29296875</v>
      </c>
      <c r="D226" s="0" t="n">
        <v>126.025939941406</v>
      </c>
    </row>
    <row r="227" customFormat="false" ht="15" hidden="false" customHeight="false" outlineLevel="0" collapsed="false">
      <c r="A227" s="2" t="n">
        <v>45617</v>
      </c>
      <c r="B227" s="0" t="n">
        <v>236.330230712891</v>
      </c>
      <c r="C227" s="0" t="n">
        <v>572.921325683594</v>
      </c>
      <c r="D227" s="0" t="n">
        <v>129.183990478516</v>
      </c>
    </row>
    <row r="228" customFormat="false" ht="15" hidden="false" customHeight="false" outlineLevel="0" collapsed="false">
      <c r="A228" s="2" t="n">
        <v>45618</v>
      </c>
      <c r="B228" s="0" t="n">
        <v>239.989685058594</v>
      </c>
      <c r="C228" s="0" t="n">
        <v>579.331970214844</v>
      </c>
      <c r="D228" s="0" t="n">
        <v>128.896896362305</v>
      </c>
    </row>
    <row r="229" customFormat="false" ht="15" hidden="false" customHeight="false" outlineLevel="0" collapsed="false">
      <c r="A229" s="2" t="n">
        <v>45621</v>
      </c>
      <c r="B229" s="0" t="n">
        <v>241.66975402832</v>
      </c>
      <c r="C229" s="0" t="n">
        <v>579.572204589844</v>
      </c>
      <c r="D229" s="0" t="n">
        <v>127.911186218262</v>
      </c>
    </row>
    <row r="230" customFormat="false" ht="15" hidden="false" customHeight="false" outlineLevel="0" collapsed="false">
      <c r="A230" s="2" t="n">
        <v>45622</v>
      </c>
      <c r="B230" s="0" t="n">
        <v>241.360778808594</v>
      </c>
      <c r="C230" s="0" t="n">
        <v>581.946166992188</v>
      </c>
      <c r="D230" s="0" t="n">
        <v>125.633537292481</v>
      </c>
    </row>
    <row r="231" customFormat="false" ht="15" hidden="false" customHeight="false" outlineLevel="0" collapsed="false">
      <c r="A231" s="2" t="n">
        <v>45623</v>
      </c>
      <c r="B231" s="0" t="n">
        <v>241.186965942383</v>
      </c>
      <c r="C231" s="0" t="n">
        <v>581.878967285156</v>
      </c>
      <c r="D231" s="0" t="n">
        <v>125.566566467285</v>
      </c>
    </row>
    <row r="232" customFormat="false" ht="15" hidden="false" customHeight="false" outlineLevel="0" collapsed="false">
      <c r="A232" s="2" t="n">
        <v>45625</v>
      </c>
      <c r="B232" s="0" t="n">
        <v>241.119400024414</v>
      </c>
      <c r="C232" s="0" t="n">
        <v>584.896667480469</v>
      </c>
      <c r="D232" s="0" t="n">
        <v>125.949371337891</v>
      </c>
    </row>
    <row r="233" customFormat="false" ht="15" hidden="false" customHeight="false" outlineLevel="0" collapsed="false">
      <c r="A233" s="2" t="n">
        <v>45628</v>
      </c>
      <c r="B233" s="0" t="n">
        <v>237.768890380859</v>
      </c>
      <c r="C233" s="0" t="n">
        <v>581.168579101563</v>
      </c>
      <c r="D233" s="0" t="n">
        <v>125.394309997559</v>
      </c>
    </row>
    <row r="234" customFormat="false" ht="15" hidden="false" customHeight="false" outlineLevel="0" collapsed="false">
      <c r="A234" s="2" t="n">
        <v>45629</v>
      </c>
      <c r="B234" s="0" t="n">
        <v>236.388153076172</v>
      </c>
      <c r="C234" s="0" t="n">
        <v>581.52587890625</v>
      </c>
      <c r="D234" s="0" t="n">
        <v>124.829689025879</v>
      </c>
    </row>
    <row r="235" customFormat="false" ht="15" hidden="false" customHeight="false" outlineLevel="0" collapsed="false">
      <c r="A235" s="2" t="n">
        <v>45630</v>
      </c>
      <c r="B235" s="0" t="n">
        <v>235.017028808594</v>
      </c>
      <c r="C235" s="0" t="n">
        <v>578.27099609375</v>
      </c>
      <c r="D235" s="0" t="n">
        <v>124.399047851563</v>
      </c>
    </row>
    <row r="236" customFormat="false" ht="15" hidden="false" customHeight="false" outlineLevel="0" collapsed="false">
      <c r="A236" s="2" t="n">
        <v>45631</v>
      </c>
      <c r="B236" s="0" t="n">
        <v>237.025405883789</v>
      </c>
      <c r="C236" s="0" t="n">
        <v>576.426208496094</v>
      </c>
      <c r="D236" s="0" t="n">
        <v>124.714851379395</v>
      </c>
    </row>
    <row r="237" customFormat="false" ht="15" hidden="false" customHeight="false" outlineLevel="0" collapsed="false">
      <c r="A237" s="2" t="n">
        <v>45632</v>
      </c>
      <c r="B237" s="0" t="n">
        <v>238.840682983398</v>
      </c>
      <c r="C237" s="0" t="n">
        <v>579.207763671875</v>
      </c>
      <c r="D237" s="0" t="n">
        <v>124.370346069336</v>
      </c>
    </row>
    <row r="238" customFormat="false" ht="15" hidden="false" customHeight="false" outlineLevel="0" collapsed="false">
      <c r="A238" s="2" t="n">
        <v>45635</v>
      </c>
      <c r="B238" s="0" t="n">
        <v>235.412933349609</v>
      </c>
      <c r="C238" s="0" t="n">
        <v>573.837646484375</v>
      </c>
      <c r="D238" s="0" t="n">
        <v>123.049690246582</v>
      </c>
    </row>
    <row r="239" customFormat="false" ht="15" hidden="false" customHeight="false" outlineLevel="0" collapsed="false">
      <c r="A239" s="2" t="n">
        <v>45636</v>
      </c>
      <c r="B239" s="0" t="n">
        <v>234.495666503906</v>
      </c>
      <c r="C239" s="0" t="n">
        <v>565.057922363281</v>
      </c>
      <c r="D239" s="0" t="n">
        <v>121.33667755127</v>
      </c>
    </row>
    <row r="240" customFormat="false" ht="15" hidden="false" customHeight="false" outlineLevel="0" collapsed="false">
      <c r="A240" s="2" t="n">
        <v>45637</v>
      </c>
      <c r="B240" s="0" t="n">
        <v>235.142578125</v>
      </c>
      <c r="C240" s="0" t="n">
        <v>572.330871582031</v>
      </c>
      <c r="D240" s="0" t="n">
        <v>122.102272033691</v>
      </c>
    </row>
    <row r="241" customFormat="false" ht="15" hidden="false" customHeight="false" outlineLevel="0" collapsed="false">
      <c r="A241" s="2" t="n">
        <v>45638</v>
      </c>
      <c r="B241" s="0" t="n">
        <v>233.211471557617</v>
      </c>
      <c r="C241" s="0" t="n">
        <v>571.413330078125</v>
      </c>
      <c r="D241" s="0" t="n">
        <v>122.408500671387</v>
      </c>
    </row>
    <row r="242" customFormat="false" ht="15" hidden="false" customHeight="false" outlineLevel="0" collapsed="false">
      <c r="A242" s="2" t="n">
        <v>45639</v>
      </c>
      <c r="B242" s="0" t="n">
        <v>231.676208496094</v>
      </c>
      <c r="C242" s="0" t="n">
        <v>565.492553710938</v>
      </c>
      <c r="D242" s="0" t="n">
        <v>121.920433044434</v>
      </c>
    </row>
    <row r="243" customFormat="false" ht="15" hidden="false" customHeight="false" outlineLevel="0" collapsed="false">
      <c r="A243" s="2" t="n">
        <v>45642</v>
      </c>
      <c r="B243" s="0" t="n">
        <v>231.328598022461</v>
      </c>
      <c r="C243" s="0" t="n">
        <v>566.313659667969</v>
      </c>
      <c r="D243" s="0" t="n">
        <v>123.480339050293</v>
      </c>
    </row>
    <row r="244" customFormat="false" ht="15" hidden="false" customHeight="false" outlineLevel="0" collapsed="false">
      <c r="A244" s="2" t="n">
        <v>45643</v>
      </c>
      <c r="B244" s="0" t="n">
        <v>230.150650024414</v>
      </c>
      <c r="C244" s="0" t="n">
        <v>555.061340332031</v>
      </c>
      <c r="D244" s="0" t="n">
        <v>122.245819091797</v>
      </c>
    </row>
    <row r="245" customFormat="false" ht="15" hidden="false" customHeight="false" outlineLevel="0" collapsed="false">
      <c r="A245" s="2" t="n">
        <v>45644</v>
      </c>
      <c r="B245" s="0" t="n">
        <v>222.435821533203</v>
      </c>
      <c r="C245" s="0" t="n">
        <v>531.465209960938</v>
      </c>
      <c r="D245" s="0" t="n">
        <v>115.833992004395</v>
      </c>
    </row>
    <row r="246" customFormat="false" ht="15" hidden="false" customHeight="false" outlineLevel="0" collapsed="false">
      <c r="A246" s="2" t="n">
        <v>45645</v>
      </c>
      <c r="B246" s="0" t="n">
        <v>224.936630249023</v>
      </c>
      <c r="C246" s="0" t="n">
        <v>535.077697753906</v>
      </c>
      <c r="D246" s="0" t="n">
        <v>115.31721496582</v>
      </c>
    </row>
    <row r="247" customFormat="false" ht="15" hidden="false" customHeight="false" outlineLevel="0" collapsed="false">
      <c r="A247" s="2" t="n">
        <v>45646</v>
      </c>
      <c r="B247" s="0" t="n">
        <v>229.416809082031</v>
      </c>
      <c r="C247" s="0" t="n">
        <v>546.774108886719</v>
      </c>
      <c r="D247" s="0" t="n">
        <v>118.130767822266</v>
      </c>
    </row>
    <row r="248" customFormat="false" ht="15" hidden="false" customHeight="false" outlineLevel="0" collapsed="false">
      <c r="A248" s="2" t="n">
        <v>45649</v>
      </c>
      <c r="B248" s="0" t="n">
        <v>230.179626464844</v>
      </c>
      <c r="C248" s="0" t="n">
        <v>551.29443359375</v>
      </c>
      <c r="D248" s="0" t="n">
        <v>119.097320556641</v>
      </c>
    </row>
    <row r="249" customFormat="false" ht="15" hidden="false" customHeight="false" outlineLevel="0" collapsed="false">
      <c r="A249" s="2" t="n">
        <v>45650</v>
      </c>
      <c r="B249" s="0" t="n">
        <v>233.964584350586</v>
      </c>
      <c r="C249" s="0" t="n">
        <v>562.894409179688</v>
      </c>
      <c r="D249" s="0" t="n">
        <v>121.595062255859</v>
      </c>
    </row>
    <row r="250" customFormat="false" ht="15" hidden="false" customHeight="false" outlineLevel="0" collapsed="false">
      <c r="A250" s="2" t="n">
        <v>45652</v>
      </c>
      <c r="B250" s="0" t="n">
        <v>234.765991210938</v>
      </c>
      <c r="C250" s="0" t="n">
        <v>561.387573242188</v>
      </c>
      <c r="D250" s="0" t="n">
        <v>122.523345947266</v>
      </c>
    </row>
    <row r="251" customFormat="false" ht="15" hidden="false" customHeight="false" outlineLevel="0" collapsed="false">
      <c r="A251" s="2" t="n">
        <v>45653</v>
      </c>
      <c r="B251" s="0" t="n">
        <v>232.863861083984</v>
      </c>
      <c r="C251" s="0" t="n">
        <v>556.510070800781</v>
      </c>
      <c r="D251" s="0" t="n">
        <v>121.307960510254</v>
      </c>
    </row>
    <row r="252" customFormat="false" ht="15" hidden="false" customHeight="false" outlineLevel="0" collapsed="false">
      <c r="A252" s="2" t="n">
        <v>45656</v>
      </c>
      <c r="B252" s="0" t="n">
        <v>231.077575683594</v>
      </c>
      <c r="C252" s="0" t="n">
        <v>553.969787597656</v>
      </c>
      <c r="D252" s="0" t="n">
        <v>120.341407775879</v>
      </c>
    </row>
    <row r="253" customFormat="false" ht="15" hidden="false" customHeight="false" outlineLevel="0" collapsed="false">
      <c r="A253" s="2" t="n">
        <v>45657</v>
      </c>
      <c r="B253" s="0" t="n">
        <v>231.454147338867</v>
      </c>
      <c r="C253" s="0" t="n">
        <v>553.071594238281</v>
      </c>
      <c r="D253" s="0" t="n">
        <v>120.312698364258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</row>
    <row r="2" customFormat="false" ht="15" hidden="false" customHeight="false" outlineLevel="0" collapsed="false">
      <c r="A2" s="2" t="n">
        <f aca="false">Prices!A3</f>
        <v>45294</v>
      </c>
      <c r="B2" s="0" t="n">
        <f aca="false">LN(Prices!B3/Prices!B2)</f>
        <v>-0.00436803042737385</v>
      </c>
      <c r="C2" s="0" t="n">
        <f aca="false">LN(Prices!C3/Prices!C2)</f>
        <v>-0.0169073284233169</v>
      </c>
      <c r="D2" s="0" t="n">
        <f aca="false">LN(Prices!D3/Prices!D2)</f>
        <v>-0.021420454502229</v>
      </c>
    </row>
    <row r="3" customFormat="false" ht="15" hidden="false" customHeight="false" outlineLevel="0" collapsed="false">
      <c r="A3" s="2" t="n">
        <f aca="false">Prices!A4</f>
        <v>45295</v>
      </c>
      <c r="B3" s="0" t="n">
        <f aca="false">LN(Prices!B4/Prices!B3)</f>
        <v>0.00661438583605157</v>
      </c>
      <c r="C3" s="0" t="n">
        <f aca="false">LN(Prices!C4/Prices!C3)</f>
        <v>0.00303354928649374</v>
      </c>
      <c r="D3" s="0" t="n">
        <f aca="false">LN(Prices!D4/Prices!D3)</f>
        <v>0.00260773196889269</v>
      </c>
    </row>
    <row r="4" customFormat="false" ht="15" hidden="false" customHeight="false" outlineLevel="0" collapsed="false">
      <c r="A4" s="2" t="n">
        <f aca="false">Prices!A5</f>
        <v>45296</v>
      </c>
      <c r="B4" s="0" t="n">
        <f aca="false">LN(Prices!B5/Prices!B4)</f>
        <v>0.00500463062770982</v>
      </c>
      <c r="C4" s="0" t="n">
        <f aca="false">LN(Prices!C5/Prices!C4)</f>
        <v>0.0090721167176764</v>
      </c>
      <c r="D4" s="0" t="n">
        <f aca="false">LN(Prices!D5/Prices!D4)</f>
        <v>0.0117590851420341</v>
      </c>
    </row>
    <row r="5" customFormat="false" ht="15" hidden="false" customHeight="false" outlineLevel="0" collapsed="false">
      <c r="A5" s="2" t="n">
        <f aca="false">Prices!A6</f>
        <v>45299</v>
      </c>
      <c r="B5" s="0" t="n">
        <f aca="false">LN(Prices!B6/Prices!B5)</f>
        <v>-0.00145226062854415</v>
      </c>
      <c r="C5" s="0" t="n">
        <f aca="false">LN(Prices!C6/Prices!C5)</f>
        <v>0.0062428531243927</v>
      </c>
      <c r="D5" s="0" t="n">
        <f aca="false">LN(Prices!D6/Prices!D5)</f>
        <v>0.00289147463032582</v>
      </c>
    </row>
    <row r="6" customFormat="false" ht="15" hidden="false" customHeight="false" outlineLevel="0" collapsed="false">
      <c r="A6" s="2" t="n">
        <f aca="false">Prices!A7</f>
        <v>45300</v>
      </c>
      <c r="B6" s="0" t="n">
        <f aca="false">LN(Prices!B7/Prices!B6)</f>
        <v>-0.00793752727654686</v>
      </c>
      <c r="C6" s="0" t="n">
        <f aca="false">LN(Prices!C7/Prices!C6)</f>
        <v>-0.0132541315188032</v>
      </c>
      <c r="D6" s="0" t="n">
        <f aca="false">LN(Prices!D7/Prices!D6)</f>
        <v>-0.015627673747026</v>
      </c>
    </row>
    <row r="7" customFormat="false" ht="15" hidden="false" customHeight="false" outlineLevel="0" collapsed="false">
      <c r="A7" s="2" t="n">
        <f aca="false">Prices!A8</f>
        <v>45301</v>
      </c>
      <c r="B7" s="0" t="n">
        <f aca="false">LN(Prices!B8/Prices!B7)</f>
        <v>0.00210730181498603</v>
      </c>
      <c r="C7" s="0" t="n">
        <f aca="false">LN(Prices!C8/Prices!C7)</f>
        <v>-0.00464931213534179</v>
      </c>
      <c r="D7" s="0" t="n">
        <f aca="false">LN(Prices!D8/Prices!D7)</f>
        <v>-0.00632015379163287</v>
      </c>
    </row>
    <row r="8" customFormat="false" ht="15" hidden="false" customHeight="false" outlineLevel="0" collapsed="false">
      <c r="A8" s="2" t="n">
        <f aca="false">Prices!A9</f>
        <v>45302</v>
      </c>
      <c r="B8" s="0" t="n">
        <f aca="false">LN(Prices!B9/Prices!B8)</f>
        <v>-0.00421886487217668</v>
      </c>
      <c r="C8" s="0" t="n">
        <f aca="false">LN(Prices!C9/Prices!C8)</f>
        <v>-0.00580268295939543</v>
      </c>
      <c r="D8" s="0" t="n">
        <f aca="false">LN(Prices!D9/Prices!D8)</f>
        <v>-0.0106599931764773</v>
      </c>
    </row>
    <row r="9" customFormat="false" ht="15" hidden="false" customHeight="false" outlineLevel="0" collapsed="false">
      <c r="A9" s="2" t="n">
        <f aca="false">Prices!A10</f>
        <v>45303</v>
      </c>
      <c r="B9" s="0" t="n">
        <f aca="false">LN(Prices!B10/Prices!B9)</f>
        <v>-0.00736713423114126</v>
      </c>
      <c r="C9" s="0" t="n">
        <f aca="false">LN(Prices!C10/Prices!C9)</f>
        <v>-0.00528065881638671</v>
      </c>
      <c r="D9" s="0" t="n">
        <f aca="false">LN(Prices!D10/Prices!D9)</f>
        <v>-0.00898964721095851</v>
      </c>
    </row>
    <row r="10" customFormat="false" ht="15" hidden="false" customHeight="false" outlineLevel="0" collapsed="false">
      <c r="A10" s="2" t="n">
        <f aca="false">Prices!A11</f>
        <v>45307</v>
      </c>
      <c r="B10" s="0" t="n">
        <f aca="false">LN(Prices!B11/Prices!B10)</f>
        <v>-0.00629005541614459</v>
      </c>
      <c r="C10" s="0" t="n">
        <f aca="false">LN(Prices!C11/Prices!C10)</f>
        <v>0.00712223182690133</v>
      </c>
      <c r="D10" s="0" t="n">
        <f aca="false">LN(Prices!D11/Prices!D10)</f>
        <v>-0.0424725098699383</v>
      </c>
    </row>
    <row r="11" customFormat="false" ht="15" hidden="false" customHeight="false" outlineLevel="0" collapsed="false">
      <c r="A11" s="2" t="n">
        <f aca="false">Prices!A12</f>
        <v>45308</v>
      </c>
      <c r="B11" s="0" t="n">
        <f aca="false">LN(Prices!B12/Prices!B11)</f>
        <v>-0.00537188907411414</v>
      </c>
      <c r="C11" s="0" t="n">
        <f aca="false">LN(Prices!C12/Prices!C11)</f>
        <v>-0.0086323523370793</v>
      </c>
      <c r="D11" s="0" t="n">
        <f aca="false">LN(Prices!D12/Prices!D11)</f>
        <v>-0.0183123465620983</v>
      </c>
    </row>
    <row r="12" customFormat="false" ht="15" hidden="false" customHeight="false" outlineLevel="0" collapsed="false">
      <c r="A12" s="2" t="n">
        <f aca="false">Prices!A13</f>
        <v>45309</v>
      </c>
      <c r="B12" s="0" t="n">
        <f aca="false">LN(Prices!B13/Prices!B12)</f>
        <v>0.00197286559816264</v>
      </c>
      <c r="C12" s="0" t="n">
        <f aca="false">LN(Prices!C13/Prices!C12)</f>
        <v>-0.000715818722445255</v>
      </c>
      <c r="D12" s="0" t="n">
        <f aca="false">LN(Prices!D13/Prices!D12)</f>
        <v>-0.00606032946184363</v>
      </c>
    </row>
    <row r="13" customFormat="false" ht="15" hidden="false" customHeight="false" outlineLevel="0" collapsed="false">
      <c r="A13" s="2" t="n">
        <f aca="false">Prices!A14</f>
        <v>45310</v>
      </c>
      <c r="B13" s="0" t="n">
        <f aca="false">LN(Prices!B14/Prices!B13)</f>
        <v>0.0171147574119611</v>
      </c>
      <c r="C13" s="0" t="n">
        <f aca="false">LN(Prices!C14/Prices!C13)</f>
        <v>0.0139374900181118</v>
      </c>
      <c r="D13" s="0" t="n">
        <f aca="false">LN(Prices!D14/Prices!D13)</f>
        <v>0.0170175039267027</v>
      </c>
    </row>
    <row r="14" customFormat="false" ht="15" hidden="false" customHeight="false" outlineLevel="0" collapsed="false">
      <c r="A14" s="2" t="n">
        <f aca="false">Prices!A15</f>
        <v>45313</v>
      </c>
      <c r="B14" s="0" t="n">
        <f aca="false">LN(Prices!B15/Prices!B14)</f>
        <v>-0.00117494071969751</v>
      </c>
      <c r="C14" s="0" t="n">
        <f aca="false">LN(Prices!C15/Prices!C14)</f>
        <v>0.00978953430851522</v>
      </c>
      <c r="D14" s="0" t="n">
        <f aca="false">LN(Prices!D15/Prices!D14)</f>
        <v>0.00455981566281528</v>
      </c>
    </row>
    <row r="15" customFormat="false" ht="15" hidden="false" customHeight="false" outlineLevel="0" collapsed="false">
      <c r="A15" s="2" t="n">
        <f aca="false">Prices!A16</f>
        <v>45314</v>
      </c>
      <c r="B15" s="0" t="n">
        <f aca="false">LN(Prices!B16/Prices!B15)</f>
        <v>-0.00660581582877411</v>
      </c>
      <c r="C15" s="0" t="n">
        <f aca="false">LN(Prices!C16/Prices!C15)</f>
        <v>-0.0135381195345994</v>
      </c>
      <c r="D15" s="0" t="n">
        <f aca="false">LN(Prices!D16/Prices!D15)</f>
        <v>0.011712179957552</v>
      </c>
    </row>
    <row r="16" customFormat="false" ht="15" hidden="false" customHeight="false" outlineLevel="0" collapsed="false">
      <c r="A16" s="2" t="n">
        <f aca="false">Prices!A17</f>
        <v>45315</v>
      </c>
      <c r="B16" s="0" t="n">
        <f aca="false">LN(Prices!B17/Prices!B16)</f>
        <v>0.0088957484624496</v>
      </c>
      <c r="C16" s="0" t="n">
        <f aca="false">LN(Prices!C17/Prices!C16)</f>
        <v>-0.00360436658331084</v>
      </c>
      <c r="D16" s="0" t="n">
        <f aca="false">LN(Prices!D17/Prices!D16)</f>
        <v>0.00952336323546838</v>
      </c>
    </row>
    <row r="17" customFormat="false" ht="15" hidden="false" customHeight="false" outlineLevel="0" collapsed="false">
      <c r="A17" s="2" t="n">
        <f aca="false">Prices!A18</f>
        <v>45316</v>
      </c>
      <c r="B17" s="0" t="n">
        <f aca="false">LN(Prices!B18/Prices!B17)</f>
        <v>0.0142093859292086</v>
      </c>
      <c r="C17" s="0" t="n">
        <f aca="false">LN(Prices!C18/Prices!C17)</f>
        <v>0.00866019369061644</v>
      </c>
      <c r="D17" s="0" t="n">
        <f aca="false">LN(Prices!D18/Prices!D17)</f>
        <v>0.00512551578002843</v>
      </c>
    </row>
    <row r="18" customFormat="false" ht="15" hidden="false" customHeight="false" outlineLevel="0" collapsed="false">
      <c r="A18" s="2" t="n">
        <f aca="false">Prices!A19</f>
        <v>45317</v>
      </c>
      <c r="B18" s="0" t="n">
        <f aca="false">LN(Prices!B19/Prices!B18)</f>
        <v>-0.00382360299880537</v>
      </c>
      <c r="C18" s="0" t="n">
        <f aca="false">LN(Prices!C19/Prices!C18)</f>
        <v>-0.0129129108911519</v>
      </c>
      <c r="D18" s="0" t="n">
        <f aca="false">LN(Prices!D19/Prices!D18)</f>
        <v>-0.00330009051120406</v>
      </c>
    </row>
    <row r="19" customFormat="false" ht="15" hidden="false" customHeight="false" outlineLevel="0" collapsed="false">
      <c r="A19" s="2" t="n">
        <f aca="false">Prices!A20</f>
        <v>45320</v>
      </c>
      <c r="B19" s="0" t="n">
        <f aca="false">LN(Prices!B20/Prices!B19)</f>
        <v>0.00260863369996328</v>
      </c>
      <c r="C19" s="0" t="n">
        <f aca="false">LN(Prices!C20/Prices!C19)</f>
        <v>0.00730543200468757</v>
      </c>
      <c r="D19" s="0" t="n">
        <f aca="false">LN(Prices!D20/Prices!D19)</f>
        <v>-0.00125445681471809</v>
      </c>
    </row>
    <row r="20" customFormat="false" ht="15" hidden="false" customHeight="false" outlineLevel="0" collapsed="false">
      <c r="A20" s="2" t="n">
        <f aca="false">Prices!A21</f>
        <v>45321</v>
      </c>
      <c r="B20" s="0" t="n">
        <f aca="false">LN(Prices!B21/Prices!B20)</f>
        <v>0.0202872372302132</v>
      </c>
      <c r="C20" s="0" t="n">
        <f aca="false">LN(Prices!C21/Prices!C20)</f>
        <v>0.0164448596054608</v>
      </c>
      <c r="D20" s="0" t="n">
        <f aca="false">LN(Prices!D21/Prices!D20)</f>
        <v>0.00974815747565238</v>
      </c>
    </row>
    <row r="21" customFormat="false" ht="15" hidden="false" customHeight="false" outlineLevel="0" collapsed="false">
      <c r="A21" s="2" t="n">
        <f aca="false">Prices!A22</f>
        <v>45322</v>
      </c>
      <c r="B21" s="0" t="n">
        <f aca="false">LN(Prices!B22/Prices!B21)</f>
        <v>-0.010894807407695</v>
      </c>
      <c r="C21" s="0" t="n">
        <f aca="false">LN(Prices!C22/Prices!C21)</f>
        <v>-0.00742009953837353</v>
      </c>
      <c r="D21" s="0" t="n">
        <f aca="false">LN(Prices!D22/Prices!D21)</f>
        <v>-0.00434639226287121</v>
      </c>
    </row>
    <row r="22" customFormat="false" ht="15" hidden="false" customHeight="false" outlineLevel="0" collapsed="false">
      <c r="A22" s="2" t="n">
        <f aca="false">Prices!A23</f>
        <v>45323</v>
      </c>
      <c r="B22" s="0" t="n">
        <f aca="false">LN(Prices!B23/Prices!B22)</f>
        <v>-0.00361984848423135</v>
      </c>
      <c r="C22" s="0" t="n">
        <f aca="false">LN(Prices!C23/Prices!C22)</f>
        <v>-0.000416816059884224</v>
      </c>
      <c r="D22" s="0" t="n">
        <f aca="false">LN(Prices!D23/Prices!D22)</f>
        <v>-0.00482575048707943</v>
      </c>
    </row>
    <row r="23" customFormat="false" ht="15" hidden="false" customHeight="false" outlineLevel="0" collapsed="false">
      <c r="A23" s="2" t="n">
        <f aca="false">Prices!A24</f>
        <v>45324</v>
      </c>
      <c r="B23" s="0" t="n">
        <f aca="false">LN(Prices!B24/Prices!B23)</f>
        <v>0.00573954184093862</v>
      </c>
      <c r="C23" s="0" t="n">
        <f aca="false">LN(Prices!C24/Prices!C23)</f>
        <v>0.0103926629022096</v>
      </c>
      <c r="D23" s="0" t="n">
        <f aca="false">LN(Prices!D24/Prices!D23)</f>
        <v>0.00516953737710559</v>
      </c>
    </row>
    <row r="24" customFormat="false" ht="15" hidden="false" customHeight="false" outlineLevel="0" collapsed="false">
      <c r="A24" s="2" t="n">
        <f aca="false">Prices!A25</f>
        <v>45327</v>
      </c>
      <c r="B24" s="0" t="n">
        <f aca="false">LN(Prices!B25/Prices!B24)</f>
        <v>-0.00131715110330021</v>
      </c>
      <c r="C24" s="0" t="n">
        <f aca="false">LN(Prices!C25/Prices!C24)</f>
        <v>-0.0125574195664716</v>
      </c>
      <c r="D24" s="0" t="n">
        <f aca="false">LN(Prices!D25/Prices!D24)</f>
        <v>-0.0159394333379159</v>
      </c>
    </row>
    <row r="25" customFormat="false" ht="15" hidden="false" customHeight="false" outlineLevel="0" collapsed="false">
      <c r="A25" s="2" t="n">
        <f aca="false">Prices!A26</f>
        <v>45328</v>
      </c>
      <c r="B25" s="0" t="n">
        <f aca="false">LN(Prices!B26/Prices!B25)</f>
        <v>0.0034325445432315</v>
      </c>
      <c r="C25" s="0" t="n">
        <f aca="false">LN(Prices!C26/Prices!C25)</f>
        <v>0.00513027223264735</v>
      </c>
      <c r="D25" s="0" t="n">
        <f aca="false">LN(Prices!D26/Prices!D25)</f>
        <v>0.00244205523939713</v>
      </c>
    </row>
    <row r="26" customFormat="false" ht="15" hidden="false" customHeight="false" outlineLevel="0" collapsed="false">
      <c r="A26" s="2" t="n">
        <f aca="false">Prices!A27</f>
        <v>45329</v>
      </c>
      <c r="B26" s="0" t="n">
        <f aca="false">LN(Prices!B27/Prices!B26)</f>
        <v>0.00188279305310081</v>
      </c>
      <c r="C26" s="0" t="n">
        <f aca="false">LN(Prices!C27/Prices!C26)</f>
        <v>0.00432836512925586</v>
      </c>
      <c r="D26" s="0" t="n">
        <f aca="false">LN(Prices!D27/Prices!D26)</f>
        <v>-0.00116190864461457</v>
      </c>
    </row>
    <row r="27" customFormat="false" ht="15" hidden="false" customHeight="false" outlineLevel="0" collapsed="false">
      <c r="A27" s="2" t="n">
        <f aca="false">Prices!A28</f>
        <v>45330</v>
      </c>
      <c r="B27" s="0" t="n">
        <f aca="false">LN(Prices!B28/Prices!B27)</f>
        <v>-0.00359736253495673</v>
      </c>
      <c r="C27" s="0" t="n">
        <f aca="false">LN(Prices!C28/Prices!C27)</f>
        <v>-0.00419841939528553</v>
      </c>
      <c r="D27" s="0" t="n">
        <f aca="false">LN(Prices!D28/Prices!D27)</f>
        <v>-0.00407815685335711</v>
      </c>
    </row>
    <row r="28" customFormat="false" ht="15" hidden="false" customHeight="false" outlineLevel="0" collapsed="false">
      <c r="A28" s="2" t="n">
        <f aca="false">Prices!A29</f>
        <v>45331</v>
      </c>
      <c r="B28" s="0" t="n">
        <f aca="false">LN(Prices!B29/Prices!B28)</f>
        <v>0.00120040616382928</v>
      </c>
      <c r="C28" s="0" t="n">
        <f aca="false">LN(Prices!C29/Prices!C28)</f>
        <v>-0.002027849350914</v>
      </c>
      <c r="D28" s="0" t="n">
        <f aca="false">LN(Prices!D29/Prices!D28)</f>
        <v>0.00279801025857446</v>
      </c>
    </row>
    <row r="29" customFormat="false" ht="15" hidden="false" customHeight="false" outlineLevel="0" collapsed="false">
      <c r="A29" s="2" t="n">
        <f aca="false">Prices!A30</f>
        <v>45334</v>
      </c>
      <c r="B29" s="0" t="n">
        <f aca="false">LN(Prices!B30/Prices!B29)</f>
        <v>0.00444701890827755</v>
      </c>
      <c r="C29" s="0" t="n">
        <f aca="false">LN(Prices!C30/Prices!C29)</f>
        <v>0.0215739392976496</v>
      </c>
      <c r="D29" s="0" t="n">
        <f aca="false">LN(Prices!D30/Prices!D29)</f>
        <v>0.0113452965063803</v>
      </c>
    </row>
    <row r="30" customFormat="false" ht="15" hidden="false" customHeight="false" outlineLevel="0" collapsed="false">
      <c r="A30" s="2" t="n">
        <f aca="false">Prices!A31</f>
        <v>45335</v>
      </c>
      <c r="B30" s="0" t="n">
        <f aca="false">LN(Prices!B31/Prices!B30)</f>
        <v>-0.00874168690753038</v>
      </c>
      <c r="C30" s="0" t="n">
        <f aca="false">LN(Prices!C31/Prices!C30)</f>
        <v>-0.0360170366843094</v>
      </c>
      <c r="D30" s="0" t="n">
        <f aca="false">LN(Prices!D31/Prices!D30)</f>
        <v>-0.0339529692389091</v>
      </c>
    </row>
    <row r="31" customFormat="false" ht="15" hidden="false" customHeight="false" outlineLevel="0" collapsed="false">
      <c r="A31" s="2" t="n">
        <f aca="false">Prices!A32</f>
        <v>45336</v>
      </c>
      <c r="B31" s="0" t="n">
        <f aca="false">LN(Prices!B32/Prices!B31)</f>
        <v>0.0101059118588421</v>
      </c>
      <c r="C31" s="0" t="n">
        <f aca="false">LN(Prices!C32/Prices!C31)</f>
        <v>-0.00187629775288979</v>
      </c>
      <c r="D31" s="0" t="n">
        <f aca="false">LN(Prices!D32/Prices!D31)</f>
        <v>0.000357172402613225</v>
      </c>
    </row>
    <row r="32" customFormat="false" ht="15" hidden="false" customHeight="false" outlineLevel="0" collapsed="false">
      <c r="A32" s="2" t="n">
        <f aca="false">Prices!A33</f>
        <v>45337</v>
      </c>
      <c r="B32" s="0" t="n">
        <f aca="false">LN(Prices!B33/Prices!B32)</f>
        <v>0.0215800117309501</v>
      </c>
      <c r="C32" s="0" t="n">
        <f aca="false">LN(Prices!C33/Prices!C32)</f>
        <v>0.0193336424942185</v>
      </c>
      <c r="D32" s="0" t="n">
        <f aca="false">LN(Prices!D33/Prices!D32)</f>
        <v>0.0196859488850707</v>
      </c>
    </row>
    <row r="33" customFormat="false" ht="15" hidden="false" customHeight="false" outlineLevel="0" collapsed="false">
      <c r="A33" s="2" t="n">
        <f aca="false">Prices!A34</f>
        <v>45338</v>
      </c>
      <c r="B33" s="0" t="n">
        <f aca="false">LN(Prices!B34/Prices!B33)</f>
        <v>-0.00468082675809227</v>
      </c>
      <c r="C33" s="0" t="n">
        <f aca="false">LN(Prices!C34/Prices!C33)</f>
        <v>-0.00254602060565254</v>
      </c>
      <c r="D33" s="0" t="n">
        <f aca="false">LN(Prices!D34/Prices!D33)</f>
        <v>0.00964163918212721</v>
      </c>
    </row>
    <row r="34" customFormat="false" ht="15" hidden="false" customHeight="false" outlineLevel="0" collapsed="false">
      <c r="A34" s="2" t="n">
        <f aca="false">Prices!A35</f>
        <v>45342</v>
      </c>
      <c r="B34" s="0" t="n">
        <f aca="false">LN(Prices!B35/Prices!B34)</f>
        <v>0.00390216418300712</v>
      </c>
      <c r="C34" s="0" t="n">
        <f aca="false">LN(Prices!C35/Prices!C34)</f>
        <v>0.000208067830863241</v>
      </c>
      <c r="D34" s="0" t="n">
        <f aca="false">LN(Prices!D35/Prices!D34)</f>
        <v>-0.0133840157358002</v>
      </c>
    </row>
    <row r="35" customFormat="false" ht="15" hidden="false" customHeight="false" outlineLevel="0" collapsed="false">
      <c r="A35" s="2" t="n">
        <f aca="false">Prices!A36</f>
        <v>45343</v>
      </c>
      <c r="B35" s="0" t="n">
        <f aca="false">LN(Prices!B36/Prices!B35)</f>
        <v>0.00648880509876167</v>
      </c>
      <c r="C35" s="0" t="n">
        <f aca="false">LN(Prices!C36/Prices!C35)</f>
        <v>0.00970516957969925</v>
      </c>
      <c r="D35" s="0" t="n">
        <f aca="false">LN(Prices!D36/Prices!D35)</f>
        <v>0.00128814493972304</v>
      </c>
    </row>
    <row r="36" customFormat="false" ht="15" hidden="false" customHeight="false" outlineLevel="0" collapsed="false">
      <c r="A36" s="2" t="n">
        <f aca="false">Prices!A37</f>
        <v>45344</v>
      </c>
      <c r="B36" s="0" t="n">
        <f aca="false">LN(Prices!B37/Prices!B36)</f>
        <v>0.0119242342824578</v>
      </c>
      <c r="C36" s="0" t="n">
        <f aca="false">LN(Prices!C37/Prices!C36)</f>
        <v>0.00565035284059851</v>
      </c>
      <c r="D36" s="0" t="n">
        <f aca="false">LN(Prices!D37/Prices!D36)</f>
        <v>0.00455310254579778</v>
      </c>
    </row>
    <row r="37" customFormat="false" ht="15" hidden="false" customHeight="false" outlineLevel="0" collapsed="false">
      <c r="A37" s="2" t="n">
        <f aca="false">Prices!A38</f>
        <v>45345</v>
      </c>
      <c r="B37" s="0" t="n">
        <f aca="false">LN(Prices!B38/Prices!B37)</f>
        <v>0.00501277767974104</v>
      </c>
      <c r="C37" s="0" t="n">
        <f aca="false">LN(Prices!C38/Prices!C37)</f>
        <v>0.00148416570309264</v>
      </c>
      <c r="D37" s="0" t="n">
        <f aca="false">LN(Prices!D38/Prices!D37)</f>
        <v>0.00812067511725448</v>
      </c>
    </row>
    <row r="38" customFormat="false" ht="15" hidden="false" customHeight="false" outlineLevel="0" collapsed="false">
      <c r="A38" s="2" t="n">
        <f aca="false">Prices!A39</f>
        <v>45348</v>
      </c>
      <c r="B38" s="0" t="n">
        <f aca="false">LN(Prices!B39/Prices!B38)</f>
        <v>-0.00343006083834806</v>
      </c>
      <c r="C38" s="0" t="n">
        <f aca="false">LN(Prices!C39/Prices!C38)</f>
        <v>-0.00212477389071909</v>
      </c>
      <c r="D38" s="0" t="n">
        <f aca="false">LN(Prices!D39/Prices!D38)</f>
        <v>-0.0102195460491025</v>
      </c>
    </row>
    <row r="39" customFormat="false" ht="15" hidden="false" customHeight="false" outlineLevel="0" collapsed="false">
      <c r="A39" s="2" t="n">
        <f aca="false">Prices!A40</f>
        <v>45349</v>
      </c>
      <c r="B39" s="0" t="n">
        <f aca="false">LN(Prices!B40/Prices!B39)</f>
        <v>0.000490754650985802</v>
      </c>
      <c r="C39" s="0" t="n">
        <f aca="false">LN(Prices!C40/Prices!C39)</f>
        <v>0.00151086922930605</v>
      </c>
      <c r="D39" s="0" t="n">
        <f aca="false">LN(Prices!D40/Prices!D39)</f>
        <v>-0.00210328545818145</v>
      </c>
    </row>
    <row r="40" customFormat="false" ht="15" hidden="false" customHeight="false" outlineLevel="0" collapsed="false">
      <c r="A40" s="2" t="n">
        <f aca="false">Prices!A41</f>
        <v>45350</v>
      </c>
      <c r="B40" s="0" t="n">
        <f aca="false">LN(Prices!B41/Prices!B40)</f>
        <v>0.0050567588523655</v>
      </c>
      <c r="C40" s="0" t="n">
        <f aca="false">LN(Prices!C41/Prices!C40)</f>
        <v>0.0131075307321154</v>
      </c>
      <c r="D40" s="0" t="n">
        <f aca="false">LN(Prices!D41/Prices!D40)</f>
        <v>0.00652915411922393</v>
      </c>
    </row>
    <row r="41" customFormat="false" ht="15" hidden="false" customHeight="false" outlineLevel="0" collapsed="false">
      <c r="A41" s="2" t="n">
        <f aca="false">Prices!A42</f>
        <v>45351</v>
      </c>
      <c r="B41" s="0" t="n">
        <f aca="false">LN(Prices!B42/Prices!B41)</f>
        <v>0.00907041012769847</v>
      </c>
      <c r="C41" s="0" t="n">
        <f aca="false">LN(Prices!C42/Prices!C41)</f>
        <v>-0.0105596760575054</v>
      </c>
      <c r="D41" s="0" t="n">
        <f aca="false">LN(Prices!D42/Prices!D41)</f>
        <v>-0.000116112005327267</v>
      </c>
    </row>
    <row r="42" customFormat="false" ht="15" hidden="false" customHeight="false" outlineLevel="0" collapsed="false">
      <c r="A42" s="2" t="n">
        <f aca="false">Prices!A43</f>
        <v>45352</v>
      </c>
      <c r="B42" s="0" t="n">
        <f aca="false">LN(Prices!B43/Prices!B42)</f>
        <v>-0.00414731442708778</v>
      </c>
      <c r="C42" s="0" t="n">
        <f aca="false">LN(Prices!C43/Prices!C42)</f>
        <v>-0.00244476587320415</v>
      </c>
      <c r="D42" s="0" t="n">
        <f aca="false">LN(Prices!D43/Prices!D42)</f>
        <v>0.00510066408081048</v>
      </c>
    </row>
    <row r="43" customFormat="false" ht="15" hidden="false" customHeight="false" outlineLevel="0" collapsed="false">
      <c r="A43" s="2" t="n">
        <f aca="false">Prices!A44</f>
        <v>45355</v>
      </c>
      <c r="B43" s="0" t="n">
        <f aca="false">LN(Prices!B44/Prices!B43)</f>
        <v>0.00747375924623571</v>
      </c>
      <c r="C43" s="0" t="n">
        <f aca="false">LN(Prices!C44/Prices!C43)</f>
        <v>0.0106362621024483</v>
      </c>
      <c r="D43" s="0" t="n">
        <f aca="false">LN(Prices!D44/Prices!D43)</f>
        <v>0.0403408699032801</v>
      </c>
    </row>
    <row r="44" customFormat="false" ht="15" hidden="false" customHeight="false" outlineLevel="0" collapsed="false">
      <c r="A44" s="2" t="n">
        <f aca="false">Prices!A45</f>
        <v>45356</v>
      </c>
      <c r="B44" s="0" t="n">
        <f aca="false">LN(Prices!B45/Prices!B44)</f>
        <v>0.0099675287020302</v>
      </c>
      <c r="C44" s="0" t="n">
        <f aca="false">LN(Prices!C45/Prices!C44)</f>
        <v>-0.00342191305584566</v>
      </c>
      <c r="D44" s="0" t="n">
        <f aca="false">LN(Prices!D45/Prices!D44)</f>
        <v>-0.0101579770770567</v>
      </c>
    </row>
    <row r="45" customFormat="false" ht="15" hidden="false" customHeight="false" outlineLevel="0" collapsed="false">
      <c r="A45" s="2" t="n">
        <f aca="false">Prices!A46</f>
        <v>45357</v>
      </c>
      <c r="B45" s="0" t="n">
        <f aca="false">LN(Prices!B46/Prices!B45)</f>
        <v>0.00518397449240471</v>
      </c>
      <c r="C45" s="0" t="n">
        <f aca="false">LN(Prices!C46/Prices!C45)</f>
        <v>-0.00343382773388146</v>
      </c>
      <c r="D45" s="0" t="n">
        <f aca="false">LN(Prices!D46/Prices!D45)</f>
        <v>-0.0397101316799868</v>
      </c>
    </row>
    <row r="46" customFormat="false" ht="15" hidden="false" customHeight="false" outlineLevel="0" collapsed="false">
      <c r="A46" s="2" t="n">
        <f aca="false">Prices!A47</f>
        <v>45358</v>
      </c>
      <c r="B46" s="0" t="n">
        <f aca="false">LN(Prices!B47/Prices!B46)</f>
        <v>-0.00879711564207269</v>
      </c>
      <c r="C46" s="0" t="n">
        <f aca="false">LN(Prices!C47/Prices!C46)</f>
        <v>-0.00293054736493429</v>
      </c>
      <c r="D46" s="0" t="n">
        <f aca="false">LN(Prices!D47/Prices!D46)</f>
        <v>0.0055881334830638</v>
      </c>
    </row>
    <row r="47" customFormat="false" ht="15" hidden="false" customHeight="false" outlineLevel="0" collapsed="false">
      <c r="A47" s="2" t="n">
        <f aca="false">Prices!A48</f>
        <v>45359</v>
      </c>
      <c r="B47" s="0" t="n">
        <f aca="false">LN(Prices!B48/Prices!B47)</f>
        <v>0.00186147484791595</v>
      </c>
      <c r="C47" s="0" t="n">
        <f aca="false">LN(Prices!C48/Prices!C47)</f>
        <v>-0.0037142455599452</v>
      </c>
      <c r="D47" s="0" t="n">
        <f aca="false">LN(Prices!D48/Prices!D47)</f>
        <v>0.0103937565425363</v>
      </c>
    </row>
    <row r="48" customFormat="false" ht="15" hidden="false" customHeight="false" outlineLevel="0" collapsed="false">
      <c r="A48" s="2" t="n">
        <f aca="false">Prices!A49</f>
        <v>45362</v>
      </c>
      <c r="B48" s="0" t="n">
        <f aca="false">LN(Prices!B49/Prices!B48)</f>
        <v>0.000371589136378608</v>
      </c>
      <c r="C48" s="0" t="n">
        <f aca="false">LN(Prices!C49/Prices!C48)</f>
        <v>-0.00214694336419868</v>
      </c>
      <c r="D48" s="0" t="n">
        <f aca="false">LN(Prices!D49/Prices!D48)</f>
        <v>-0.00114972960441872</v>
      </c>
    </row>
    <row r="49" customFormat="false" ht="15" hidden="false" customHeight="false" outlineLevel="0" collapsed="false">
      <c r="A49" s="2" t="n">
        <f aca="false">Prices!A50</f>
        <v>45363</v>
      </c>
      <c r="B49" s="0" t="n">
        <f aca="false">LN(Prices!B50/Prices!B49)</f>
        <v>0.00819841782228652</v>
      </c>
      <c r="C49" s="0" t="n">
        <f aca="false">LN(Prices!C50/Prices!C49)</f>
        <v>0.00521727792182326</v>
      </c>
      <c r="D49" s="0" t="n">
        <f aca="false">LN(Prices!D50/Prices!D49)</f>
        <v>0.00126460169559977</v>
      </c>
    </row>
    <row r="50" customFormat="false" ht="15" hidden="false" customHeight="false" outlineLevel="0" collapsed="false">
      <c r="A50" s="2" t="n">
        <f aca="false">Prices!A51</f>
        <v>45364</v>
      </c>
      <c r="B50" s="0" t="n">
        <f aca="false">LN(Prices!B51/Prices!B50)</f>
        <v>0.00807940193393138</v>
      </c>
      <c r="C50" s="0" t="n">
        <f aca="false">LN(Prices!C51/Prices!C50)</f>
        <v>0.0105832177229051</v>
      </c>
      <c r="D50" s="0" t="n">
        <f aca="false">LN(Prices!D51/Prices!D50)</f>
        <v>0.0260786715458235</v>
      </c>
    </row>
    <row r="51" customFormat="false" ht="15" hidden="false" customHeight="false" outlineLevel="0" collapsed="false">
      <c r="A51" s="2" t="n">
        <f aca="false">Prices!A52</f>
        <v>45365</v>
      </c>
      <c r="B51" s="0" t="n">
        <f aca="false">LN(Prices!B52/Prices!B51)</f>
        <v>-0.0179786923312504</v>
      </c>
      <c r="C51" s="0" t="n">
        <f aca="false">LN(Prices!C52/Prices!C51)</f>
        <v>-0.00947613923731401</v>
      </c>
      <c r="D51" s="0" t="n">
        <f aca="false">LN(Prices!D52/Prices!D51)</f>
        <v>-0.00280200518220639</v>
      </c>
    </row>
    <row r="52" customFormat="false" ht="15" hidden="false" customHeight="false" outlineLevel="0" collapsed="false">
      <c r="A52" s="2" t="n">
        <f aca="false">Prices!A53</f>
        <v>45366</v>
      </c>
      <c r="B52" s="0" t="n">
        <f aca="false">LN(Prices!B53/Prices!B52)</f>
        <v>0.012319392460605</v>
      </c>
      <c r="C52" s="0" t="n">
        <f aca="false">LN(Prices!C53/Prices!C52)</f>
        <v>-0.00360911367245808</v>
      </c>
      <c r="D52" s="0" t="n">
        <f aca="false">LN(Prices!D53/Prices!D52)</f>
        <v>-0.00811368695754568</v>
      </c>
    </row>
    <row r="53" customFormat="false" ht="15" hidden="false" customHeight="false" outlineLevel="0" collapsed="false">
      <c r="A53" s="2" t="n">
        <f aca="false">Prices!A54</f>
        <v>45369</v>
      </c>
      <c r="B53" s="0" t="n">
        <f aca="false">LN(Prices!B54/Prices!B53)</f>
        <v>0.0123252366520991</v>
      </c>
      <c r="C53" s="0" t="n">
        <f aca="false">LN(Prices!C54/Prices!C53)</f>
        <v>-0.00736136871447513</v>
      </c>
      <c r="D53" s="0" t="n">
        <f aca="false">LN(Prices!D54/Prices!D53)</f>
        <v>-0.00476344856900057</v>
      </c>
    </row>
    <row r="54" customFormat="false" ht="15" hidden="false" customHeight="false" outlineLevel="0" collapsed="false">
      <c r="A54" s="2" t="n">
        <f aca="false">Prices!A55</f>
        <v>45370</v>
      </c>
      <c r="B54" s="0" t="n">
        <f aca="false">LN(Prices!B55/Prices!B54)</f>
        <v>0.0058481134599865</v>
      </c>
      <c r="C54" s="0" t="n">
        <f aca="false">LN(Prices!C55/Prices!C54)</f>
        <v>0.0110993040623586</v>
      </c>
      <c r="D54" s="0" t="n">
        <f aca="false">LN(Prices!D55/Prices!D54)</f>
        <v>0.00521598645663849</v>
      </c>
    </row>
    <row r="55" customFormat="false" ht="15" hidden="false" customHeight="false" outlineLevel="0" collapsed="false">
      <c r="A55" s="2" t="n">
        <f aca="false">Prices!A56</f>
        <v>45371</v>
      </c>
      <c r="B55" s="0" t="n">
        <f aca="false">LN(Prices!B56/Prices!B55)</f>
        <v>0.0130218389734741</v>
      </c>
      <c r="C55" s="0" t="n">
        <f aca="false">LN(Prices!C56/Prices!C55)</f>
        <v>0.0198953252499579</v>
      </c>
      <c r="D55" s="0" t="n">
        <f aca="false">LN(Prices!D56/Prices!D55)</f>
        <v>0.032600064845048</v>
      </c>
    </row>
    <row r="56" customFormat="false" ht="15" hidden="false" customHeight="false" outlineLevel="0" collapsed="false">
      <c r="A56" s="2" t="n">
        <f aca="false">Prices!A57</f>
        <v>45372</v>
      </c>
      <c r="B56" s="0" t="n">
        <f aca="false">LN(Prices!B57/Prices!B56)</f>
        <v>0.013809310040913</v>
      </c>
      <c r="C56" s="0" t="n">
        <f aca="false">LN(Prices!C57/Prices!C56)</f>
        <v>0.0425647847208195</v>
      </c>
      <c r="D56" s="0" t="n">
        <f aca="false">LN(Prices!D57/Prices!D56)</f>
        <v>0.0221932365704324</v>
      </c>
    </row>
    <row r="57" customFormat="false" ht="15" hidden="false" customHeight="false" outlineLevel="0" collapsed="false">
      <c r="A57" s="2" t="n">
        <f aca="false">Prices!A58</f>
        <v>45373</v>
      </c>
      <c r="B57" s="0" t="n">
        <f aca="false">LN(Prices!B58/Prices!B57)</f>
        <v>-0.0123332463262487</v>
      </c>
      <c r="C57" s="0" t="n">
        <f aca="false">LN(Prices!C58/Prices!C57)</f>
        <v>-0.0167943155961855</v>
      </c>
      <c r="D57" s="0" t="n">
        <f aca="false">LN(Prices!D58/Prices!D57)</f>
        <v>-0.0156465708282066</v>
      </c>
    </row>
    <row r="58" customFormat="false" ht="15" hidden="false" customHeight="false" outlineLevel="0" collapsed="false">
      <c r="A58" s="2" t="n">
        <f aca="false">Prices!A59</f>
        <v>45376</v>
      </c>
      <c r="B58" s="0" t="n">
        <f aca="false">LN(Prices!B59/Prices!B58)</f>
        <v>-0.00919691926607083</v>
      </c>
      <c r="C58" s="0" t="n">
        <f aca="false">LN(Prices!C59/Prices!C58)</f>
        <v>-0.00463182427429507</v>
      </c>
      <c r="D58" s="0" t="n">
        <f aca="false">LN(Prices!D59/Prices!D58)</f>
        <v>-0.0088480316727926</v>
      </c>
    </row>
    <row r="59" customFormat="false" ht="15" hidden="false" customHeight="false" outlineLevel="0" collapsed="false">
      <c r="A59" s="2" t="n">
        <f aca="false">Prices!A60</f>
        <v>45377</v>
      </c>
      <c r="B59" s="0" t="n">
        <f aca="false">LN(Prices!B60/Prices!B59)</f>
        <v>0.00466005546187436</v>
      </c>
      <c r="C59" s="0" t="n">
        <f aca="false">LN(Prices!C60/Prices!C59)</f>
        <v>0.00305738150480311</v>
      </c>
      <c r="D59" s="0" t="n">
        <f aca="false">LN(Prices!D60/Prices!D59)</f>
        <v>0.00153477251794201</v>
      </c>
    </row>
    <row r="60" customFormat="false" ht="15" hidden="false" customHeight="false" outlineLevel="0" collapsed="false">
      <c r="A60" s="2" t="n">
        <f aca="false">Prices!A61</f>
        <v>45378</v>
      </c>
      <c r="B60" s="0" t="n">
        <f aca="false">LN(Prices!B61/Prices!B60)</f>
        <v>0.0191783286799781</v>
      </c>
      <c r="C60" s="0" t="n">
        <f aca="false">LN(Prices!C61/Prices!C60)</f>
        <v>0.0220844578070275</v>
      </c>
      <c r="D60" s="0" t="n">
        <f aca="false">LN(Prices!D61/Prices!D60)</f>
        <v>0.0240297308366949</v>
      </c>
    </row>
    <row r="61" customFormat="false" ht="15" hidden="false" customHeight="false" outlineLevel="0" collapsed="false">
      <c r="A61" s="2" t="n">
        <f aca="false">Prices!A62</f>
        <v>45379</v>
      </c>
      <c r="B61" s="0" t="n">
        <f aca="false">LN(Prices!B62/Prices!B61)</f>
        <v>0.00390187004669896</v>
      </c>
      <c r="C61" s="0" t="n">
        <f aca="false">LN(Prices!C62/Prices!C61)</f>
        <v>0.00585876033065296</v>
      </c>
      <c r="D61" s="0" t="n">
        <f aca="false">LN(Prices!D62/Prices!D61)</f>
        <v>0.00703422397190917</v>
      </c>
    </row>
    <row r="62" customFormat="false" ht="15" hidden="false" customHeight="false" outlineLevel="0" collapsed="false">
      <c r="A62" s="2" t="n">
        <f aca="false">Prices!A63</f>
        <v>45383</v>
      </c>
      <c r="B62" s="0" t="n">
        <f aca="false">LN(Prices!B63/Prices!B62)</f>
        <v>-0.00681301492839218</v>
      </c>
      <c r="C62" s="0" t="n">
        <f aca="false">LN(Prices!C63/Prices!C62)</f>
        <v>-0.0100578550528437</v>
      </c>
      <c r="D62" s="0" t="n">
        <f aca="false">LN(Prices!D63/Prices!D62)</f>
        <v>-0.006713450556987</v>
      </c>
    </row>
    <row r="63" customFormat="false" ht="15" hidden="false" customHeight="false" outlineLevel="0" collapsed="false">
      <c r="A63" s="2" t="n">
        <f aca="false">Prices!A64</f>
        <v>45384</v>
      </c>
      <c r="B63" s="0" t="n">
        <f aca="false">LN(Prices!B64/Prices!B63)</f>
        <v>-0.000402233805779943</v>
      </c>
      <c r="C63" s="0" t="n">
        <f aca="false">LN(Prices!C64/Prices!C63)</f>
        <v>-0.00815894869255146</v>
      </c>
      <c r="D63" s="0" t="n">
        <f aca="false">LN(Prices!D64/Prices!D63)</f>
        <v>-0.00880566934202328</v>
      </c>
    </row>
    <row r="64" customFormat="false" ht="15" hidden="false" customHeight="false" outlineLevel="0" collapsed="false">
      <c r="A64" s="2" t="n">
        <f aca="false">Prices!A65</f>
        <v>45385</v>
      </c>
      <c r="B64" s="0" t="n">
        <f aca="false">LN(Prices!B65/Prices!B64)</f>
        <v>-0.00282009485335574</v>
      </c>
      <c r="C64" s="0" t="n">
        <f aca="false">LN(Prices!C65/Prices!C64)</f>
        <v>0.00934317056745681</v>
      </c>
      <c r="D64" s="0" t="n">
        <f aca="false">LN(Prices!D65/Prices!D64)</f>
        <v>0.00312311605032718</v>
      </c>
    </row>
    <row r="65" customFormat="false" ht="15" hidden="false" customHeight="false" outlineLevel="0" collapsed="false">
      <c r="A65" s="2" t="n">
        <f aca="false">Prices!A66</f>
        <v>45386</v>
      </c>
      <c r="B65" s="0" t="n">
        <f aca="false">LN(Prices!B66/Prices!B65)</f>
        <v>-0.00763732232659969</v>
      </c>
      <c r="C65" s="0" t="n">
        <f aca="false">LN(Prices!C66/Prices!C65)</f>
        <v>-0.0188970555696918</v>
      </c>
      <c r="D65" s="0" t="n">
        <f aca="false">LN(Prices!D66/Prices!D65)</f>
        <v>-0.0077721976017392</v>
      </c>
    </row>
    <row r="66" customFormat="false" ht="15" hidden="false" customHeight="false" outlineLevel="0" collapsed="false">
      <c r="A66" s="2" t="n">
        <f aca="false">Prices!A67</f>
        <v>45387</v>
      </c>
      <c r="B66" s="0" t="n">
        <f aca="false">LN(Prices!B67/Prices!B66)</f>
        <v>0.00915792557412249</v>
      </c>
      <c r="C66" s="0" t="n">
        <f aca="false">LN(Prices!C67/Prices!C66)</f>
        <v>0.00446983566745675</v>
      </c>
      <c r="D66" s="0" t="n">
        <f aca="false">LN(Prices!D67/Prices!D66)</f>
        <v>0.00205699128663169</v>
      </c>
    </row>
    <row r="67" customFormat="false" ht="15" hidden="false" customHeight="false" outlineLevel="0" collapsed="false">
      <c r="A67" s="2" t="n">
        <f aca="false">Prices!A68</f>
        <v>45390</v>
      </c>
      <c r="B67" s="0" t="n">
        <f aca="false">LN(Prices!B68/Prices!B67)</f>
        <v>0.00520292835213824</v>
      </c>
      <c r="C67" s="0" t="n">
        <f aca="false">LN(Prices!C68/Prices!C67)</f>
        <v>0.00603488288925361</v>
      </c>
      <c r="D67" s="0" t="n">
        <f aca="false">LN(Prices!D68/Prices!D67)</f>
        <v>0.00797068454192004</v>
      </c>
    </row>
    <row r="68" customFormat="false" ht="15" hidden="false" customHeight="false" outlineLevel="0" collapsed="false">
      <c r="A68" s="2" t="n">
        <f aca="false">Prices!A69</f>
        <v>45391</v>
      </c>
      <c r="B68" s="0" t="n">
        <f aca="false">LN(Prices!B69/Prices!B68)</f>
        <v>-0.00672353159966119</v>
      </c>
      <c r="C68" s="0" t="n">
        <f aca="false">LN(Prices!C69/Prices!C68)</f>
        <v>0.000413739781894765</v>
      </c>
      <c r="D68" s="0" t="n">
        <f aca="false">LN(Prices!D69/Prices!D68)</f>
        <v>0.00929045452567569</v>
      </c>
    </row>
    <row r="69" customFormat="false" ht="15" hidden="false" customHeight="false" outlineLevel="0" collapsed="false">
      <c r="A69" s="2" t="n">
        <f aca="false">Prices!A70</f>
        <v>45392</v>
      </c>
      <c r="B69" s="0" t="n">
        <f aca="false">LN(Prices!B70/Prices!B69)</f>
        <v>-0.00855796539302886</v>
      </c>
      <c r="C69" s="0" t="n">
        <f aca="false">LN(Prices!C70/Prices!C69)</f>
        <v>-0.0245246359140226</v>
      </c>
      <c r="D69" s="0" t="n">
        <f aca="false">LN(Prices!D70/Prices!D69)</f>
        <v>-0.0261685554441438</v>
      </c>
    </row>
    <row r="70" customFormat="false" ht="15" hidden="false" customHeight="false" outlineLevel="0" collapsed="false">
      <c r="A70" s="2" t="n">
        <f aca="false">Prices!A71</f>
        <v>45393</v>
      </c>
      <c r="B70" s="0" t="n">
        <f aca="false">LN(Prices!B71/Prices!B70)</f>
        <v>-0.000204584333979112</v>
      </c>
      <c r="C70" s="0" t="n">
        <f aca="false">LN(Prices!C71/Prices!C70)</f>
        <v>-0.00821805371285151</v>
      </c>
      <c r="D70" s="0" t="n">
        <f aca="false">LN(Prices!D71/Prices!D70)</f>
        <v>-0.0539096890184477</v>
      </c>
    </row>
    <row r="71" customFormat="false" ht="15" hidden="false" customHeight="false" outlineLevel="0" collapsed="false">
      <c r="A71" s="2" t="n">
        <f aca="false">Prices!A72</f>
        <v>45394</v>
      </c>
      <c r="B71" s="0" t="n">
        <f aca="false">LN(Prices!B72/Prices!B71)</f>
        <v>-0.0668642554855556</v>
      </c>
      <c r="C71" s="0" t="n">
        <f aca="false">LN(Prices!C72/Prices!C71)</f>
        <v>-0.0203064191220416</v>
      </c>
      <c r="D71" s="0" t="n">
        <f aca="false">LN(Prices!D72/Prices!D71)</f>
        <v>-0.00751293535219462</v>
      </c>
    </row>
    <row r="72" customFormat="false" ht="15" hidden="false" customHeight="false" outlineLevel="0" collapsed="false">
      <c r="A72" s="2" t="n">
        <f aca="false">Prices!A73</f>
        <v>45397</v>
      </c>
      <c r="B72" s="0" t="n">
        <f aca="false">LN(Prices!B73/Prices!B72)</f>
        <v>0.000546691267981041</v>
      </c>
      <c r="C72" s="0" t="n">
        <f aca="false">LN(Prices!C73/Prices!C72)</f>
        <v>0.0288239092593022</v>
      </c>
      <c r="D72" s="0" t="n">
        <f aca="false">LN(Prices!D73/Prices!D72)</f>
        <v>0.00923868868621927</v>
      </c>
    </row>
    <row r="73" customFormat="false" ht="15" hidden="false" customHeight="false" outlineLevel="0" collapsed="false">
      <c r="A73" s="2" t="n">
        <f aca="false">Prices!A74</f>
        <v>45398</v>
      </c>
      <c r="B73" s="0" t="n">
        <f aca="false">LN(Prices!B74/Prices!B73)</f>
        <v>-0.0114931697130325</v>
      </c>
      <c r="C73" s="0" t="n">
        <f aca="false">LN(Prices!C74/Prices!C73)</f>
        <v>-0.0100786750808562</v>
      </c>
      <c r="D73" s="0" t="n">
        <f aca="false">LN(Prices!D74/Prices!D73)</f>
        <v>0.0244150750726222</v>
      </c>
    </row>
    <row r="74" customFormat="false" ht="15" hidden="false" customHeight="false" outlineLevel="0" collapsed="false">
      <c r="A74" s="2" t="n">
        <f aca="false">Prices!A75</f>
        <v>45399</v>
      </c>
      <c r="B74" s="0" t="n">
        <f aca="false">LN(Prices!B75/Prices!B74)</f>
        <v>-0.00399036163098274</v>
      </c>
      <c r="C74" s="0" t="n">
        <f aca="false">LN(Prices!C75/Prices!C74)</f>
        <v>0.0176085494777182</v>
      </c>
      <c r="D74" s="0" t="n">
        <f aca="false">LN(Prices!D75/Prices!D74)</f>
        <v>0.0104900868735292</v>
      </c>
    </row>
    <row r="75" customFormat="false" ht="15" hidden="false" customHeight="false" outlineLevel="0" collapsed="false">
      <c r="A75" s="2" t="n">
        <f aca="false">Prices!A76</f>
        <v>45400</v>
      </c>
      <c r="B75" s="0" t="n">
        <f aca="false">LN(Prices!B76/Prices!B75)</f>
        <v>0.00647611048924191</v>
      </c>
      <c r="C75" s="0" t="n">
        <f aca="false">LN(Prices!C76/Prices!C75)</f>
        <v>-0.00198269679374304</v>
      </c>
      <c r="D75" s="0" t="n">
        <f aca="false">LN(Prices!D76/Prices!D75)</f>
        <v>0.00199622002415232</v>
      </c>
    </row>
    <row r="76" customFormat="false" ht="15" hidden="false" customHeight="false" outlineLevel="0" collapsed="false">
      <c r="A76" s="2" t="n">
        <f aca="false">Prices!A77</f>
        <v>45401</v>
      </c>
      <c r="B76" s="0" t="n">
        <f aca="false">LN(Prices!B77/Prices!B76)</f>
        <v>0.0247936785849924</v>
      </c>
      <c r="C76" s="0" t="n">
        <f aca="false">LN(Prices!C77/Prices!C76)</f>
        <v>0.00220559088107566</v>
      </c>
      <c r="D76" s="0" t="n">
        <f aca="false">LN(Prices!D77/Prices!D76)</f>
        <v>0.00442187921230088</v>
      </c>
    </row>
    <row r="77" customFormat="false" ht="15" hidden="false" customHeight="false" outlineLevel="0" collapsed="false">
      <c r="A77" s="2" t="n">
        <f aca="false">Prices!A78</f>
        <v>45404</v>
      </c>
      <c r="B77" s="0" t="n">
        <f aca="false">LN(Prices!B78/Prices!B77)</f>
        <v>0.0192429597002029</v>
      </c>
      <c r="C77" s="0" t="n">
        <f aca="false">LN(Prices!C78/Prices!C77)</f>
        <v>0.0325103081574136</v>
      </c>
      <c r="D77" s="0" t="n">
        <f aca="false">LN(Prices!D78/Prices!D77)</f>
        <v>0.015650046076014</v>
      </c>
    </row>
    <row r="78" customFormat="false" ht="15" hidden="false" customHeight="false" outlineLevel="0" collapsed="false">
      <c r="A78" s="2" t="n">
        <f aca="false">Prices!A79</f>
        <v>45405</v>
      </c>
      <c r="B78" s="0" t="n">
        <f aca="false">LN(Prices!B79/Prices!B78)</f>
        <v>0.0143104638464278</v>
      </c>
      <c r="C78" s="0" t="n">
        <f aca="false">LN(Prices!C79/Prices!C78)</f>
        <v>0.015808288623045</v>
      </c>
      <c r="D78" s="0" t="n">
        <f aca="false">LN(Prices!D79/Prices!D78)</f>
        <v>0.0179720038790248</v>
      </c>
    </row>
    <row r="79" customFormat="false" ht="15" hidden="false" customHeight="false" outlineLevel="0" collapsed="false">
      <c r="A79" s="2" t="n">
        <f aca="false">Prices!A80</f>
        <v>45406</v>
      </c>
      <c r="B79" s="0" t="n">
        <f aca="false">LN(Prices!B80/Prices!B79)</f>
        <v>0.00488041445302141</v>
      </c>
      <c r="C79" s="0" t="n">
        <f aca="false">LN(Prices!C80/Prices!C79)</f>
        <v>-0.0022667182953307</v>
      </c>
      <c r="D79" s="0" t="n">
        <f aca="false">LN(Prices!D80/Prices!D79)</f>
        <v>0.000959345227610612</v>
      </c>
    </row>
    <row r="80" customFormat="false" ht="15" hidden="false" customHeight="false" outlineLevel="0" collapsed="false">
      <c r="A80" s="2" t="n">
        <f aca="false">Prices!A81</f>
        <v>45407</v>
      </c>
      <c r="B80" s="0" t="n">
        <f aca="false">LN(Prices!B81/Prices!B80)</f>
        <v>0.00150070907840339</v>
      </c>
      <c r="C80" s="0" t="n">
        <f aca="false">LN(Prices!C81/Prices!C80)</f>
        <v>-0.00709297276666402</v>
      </c>
      <c r="D80" s="0" t="n">
        <f aca="false">LN(Prices!D81/Prices!D80)</f>
        <v>-0.0138405823628881</v>
      </c>
    </row>
    <row r="81" customFormat="false" ht="15" hidden="false" customHeight="false" outlineLevel="0" collapsed="false">
      <c r="A81" s="2" t="n">
        <f aca="false">Prices!A82</f>
        <v>45408</v>
      </c>
      <c r="B81" s="0" t="n">
        <f aca="false">LN(Prices!B82/Prices!B81)</f>
        <v>0.000620410380108354</v>
      </c>
      <c r="C81" s="0" t="n">
        <f aca="false">LN(Prices!C82/Prices!C81)</f>
        <v>0.017744205226913</v>
      </c>
      <c r="D81" s="0" t="n">
        <f aca="false">LN(Prices!D82/Prices!D81)</f>
        <v>0.00291276598474361</v>
      </c>
    </row>
    <row r="82" customFormat="false" ht="15" hidden="false" customHeight="false" outlineLevel="0" collapsed="false">
      <c r="A82" s="2" t="n">
        <f aca="false">Prices!A83</f>
        <v>45411</v>
      </c>
      <c r="B82" s="0" t="n">
        <f aca="false">LN(Prices!B83/Prices!B82)</f>
        <v>-0.0010860122521181</v>
      </c>
      <c r="C82" s="0" t="n">
        <f aca="false">LN(Prices!C83/Prices!C82)</f>
        <v>0.00754913196725849</v>
      </c>
      <c r="D82" s="0" t="n">
        <f aca="false">LN(Prices!D83/Prices!D82)</f>
        <v>0.001412410765069</v>
      </c>
    </row>
    <row r="83" customFormat="false" ht="15" hidden="false" customHeight="false" outlineLevel="0" collapsed="false">
      <c r="A83" s="2" t="n">
        <f aca="false">Prices!A84</f>
        <v>45412</v>
      </c>
      <c r="B83" s="0" t="n">
        <f aca="false">LN(Prices!B84/Prices!B83)</f>
        <v>-0.00799961079876106</v>
      </c>
      <c r="C83" s="0" t="n">
        <f aca="false">LN(Prices!C84/Prices!C83)</f>
        <v>-0.0095625228242988</v>
      </c>
      <c r="D83" s="0" t="n">
        <f aca="false">LN(Prices!D84/Prices!D83)</f>
        <v>-0.0138839583397436</v>
      </c>
    </row>
    <row r="84" customFormat="false" ht="15" hidden="false" customHeight="false" outlineLevel="0" collapsed="false">
      <c r="A84" s="2" t="n">
        <f aca="false">Prices!A85</f>
        <v>45413</v>
      </c>
      <c r="B84" s="0" t="n">
        <f aca="false">LN(Prices!B85/Prices!B84)</f>
        <v>0.000625682928381941</v>
      </c>
      <c r="C84" s="0" t="n">
        <f aca="false">LN(Prices!C85/Prices!C84)</f>
        <v>0.000562454206261616</v>
      </c>
      <c r="D84" s="0" t="n">
        <f aca="false">LN(Prices!D85/Prices!D84)</f>
        <v>0.00767651653693216</v>
      </c>
    </row>
    <row r="85" customFormat="false" ht="15" hidden="false" customHeight="false" outlineLevel="0" collapsed="false">
      <c r="A85" s="2" t="n">
        <f aca="false">Prices!A86</f>
        <v>45414</v>
      </c>
      <c r="B85" s="0" t="n">
        <f aca="false">LN(Prices!B86/Prices!B85)</f>
        <v>-0.00104302247493394</v>
      </c>
      <c r="C85" s="0" t="n">
        <f aca="false">LN(Prices!C86/Prices!C85)</f>
        <v>0.0130770128021027</v>
      </c>
      <c r="D85" s="0" t="n">
        <f aca="false">LN(Prices!D86/Prices!D85)</f>
        <v>0.0120528624143907</v>
      </c>
    </row>
    <row r="86" customFormat="false" ht="15" hidden="false" customHeight="false" outlineLevel="0" collapsed="false">
      <c r="A86" s="2" t="n">
        <f aca="false">Prices!A87</f>
        <v>45415</v>
      </c>
      <c r="B86" s="0" t="n">
        <f aca="false">LN(Prices!B87/Prices!B86)</f>
        <v>-0.00601828968389483</v>
      </c>
      <c r="C86" s="0" t="n">
        <f aca="false">LN(Prices!C87/Prices!C86)</f>
        <v>0.0128856960373509</v>
      </c>
      <c r="D86" s="0" t="n">
        <f aca="false">LN(Prices!D87/Prices!D86)</f>
        <v>0.0106285435746289</v>
      </c>
    </row>
    <row r="87" customFormat="false" ht="15" hidden="false" customHeight="false" outlineLevel="0" collapsed="false">
      <c r="A87" s="2" t="n">
        <f aca="false">Prices!A88</f>
        <v>45418</v>
      </c>
      <c r="B87" s="0" t="n">
        <f aca="false">LN(Prices!B88/Prices!B87)</f>
        <v>0.00779078113287167</v>
      </c>
      <c r="C87" s="0" t="n">
        <f aca="false">LN(Prices!C88/Prices!C87)</f>
        <v>0.0124512125546644</v>
      </c>
      <c r="D87" s="0" t="n">
        <f aca="false">LN(Prices!D88/Prices!D87)</f>
        <v>0.012206254861089</v>
      </c>
    </row>
    <row r="88" customFormat="false" ht="15" hidden="false" customHeight="false" outlineLevel="0" collapsed="false">
      <c r="A88" s="2" t="n">
        <f aca="false">Prices!A89</f>
        <v>45419</v>
      </c>
      <c r="B88" s="0" t="n">
        <f aca="false">LN(Prices!B89/Prices!B88)</f>
        <v>-0.00130303839318673</v>
      </c>
      <c r="C88" s="0" t="n">
        <f aca="false">LN(Prices!C89/Prices!C88)</f>
        <v>0.000292926231936664</v>
      </c>
      <c r="D88" s="0" t="n">
        <f aca="false">LN(Prices!D89/Prices!D88)</f>
        <v>0.0104945394133687</v>
      </c>
    </row>
    <row r="89" customFormat="false" ht="15" hidden="false" customHeight="false" outlineLevel="0" collapsed="false">
      <c r="A89" s="2" t="n">
        <f aca="false">Prices!A90</f>
        <v>45420</v>
      </c>
      <c r="B89" s="0" t="n">
        <f aca="false">LN(Prices!B90/Prices!B89)</f>
        <v>0.0201350859712413</v>
      </c>
      <c r="C89" s="0" t="n">
        <f aca="false">LN(Prices!C90/Prices!C89)</f>
        <v>0.00707284192036666</v>
      </c>
      <c r="D89" s="0" t="n">
        <f aca="false">LN(Prices!D90/Prices!D89)</f>
        <v>-0.00156722358521377</v>
      </c>
    </row>
    <row r="90" customFormat="false" ht="15" hidden="false" customHeight="false" outlineLevel="0" collapsed="false">
      <c r="A90" s="2" t="n">
        <f aca="false">Prices!A91</f>
        <v>45421</v>
      </c>
      <c r="B90" s="0" t="n">
        <f aca="false">LN(Prices!B91/Prices!B90)</f>
        <v>0.0094110943240237</v>
      </c>
      <c r="C90" s="0" t="n">
        <f aca="false">LN(Prices!C91/Prices!C90)</f>
        <v>0.0190806737785209</v>
      </c>
      <c r="D90" s="0" t="n">
        <f aca="false">LN(Prices!D91/Prices!D90)</f>
        <v>0.0254981972151509</v>
      </c>
    </row>
    <row r="91" customFormat="false" ht="15" hidden="false" customHeight="false" outlineLevel="0" collapsed="false">
      <c r="A91" s="2" t="n">
        <f aca="false">Prices!A92</f>
        <v>45422</v>
      </c>
      <c r="B91" s="0" t="n">
        <f aca="false">LN(Prices!B92/Prices!B91)</f>
        <v>0.00640991058559986</v>
      </c>
      <c r="C91" s="0" t="n">
        <f aca="false">LN(Prices!C92/Prices!C91)</f>
        <v>-0.00182356529881118</v>
      </c>
      <c r="D91" s="0" t="n">
        <f aca="false">LN(Prices!D92/Prices!D91)</f>
        <v>0.00173116810110411</v>
      </c>
    </row>
    <row r="92" customFormat="false" ht="15" hidden="false" customHeight="false" outlineLevel="0" collapsed="false">
      <c r="A92" s="2" t="n">
        <f aca="false">Prices!A93</f>
        <v>45425</v>
      </c>
      <c r="B92" s="0" t="n">
        <f aca="false">LN(Prices!B93/Prices!B92)</f>
        <v>-0.000201428777468563</v>
      </c>
      <c r="C92" s="0" t="n">
        <f aca="false">LN(Prices!C93/Prices!C92)</f>
        <v>-0.00257633123656655</v>
      </c>
      <c r="D92" s="0" t="n">
        <f aca="false">LN(Prices!D93/Prices!D92)</f>
        <v>0.00284499291095771</v>
      </c>
    </row>
    <row r="93" customFormat="false" ht="15" hidden="false" customHeight="false" outlineLevel="0" collapsed="false">
      <c r="A93" s="2" t="n">
        <f aca="false">Prices!A94</f>
        <v>45426</v>
      </c>
      <c r="B93" s="0" t="n">
        <f aca="false">LN(Prices!B94/Prices!B93)</f>
        <v>0.0138919423640096</v>
      </c>
      <c r="C93" s="0" t="n">
        <f aca="false">LN(Prices!C94/Prices!C93)</f>
        <v>0.0107674235218595</v>
      </c>
      <c r="D93" s="0" t="n">
        <f aca="false">LN(Prices!D94/Prices!D93)</f>
        <v>0.00828541125419293</v>
      </c>
    </row>
    <row r="94" customFormat="false" ht="15" hidden="false" customHeight="false" outlineLevel="0" collapsed="false">
      <c r="A94" s="2" t="n">
        <f aca="false">Prices!A95</f>
        <v>45427</v>
      </c>
      <c r="B94" s="0" t="n">
        <f aca="false">LN(Prices!B95/Prices!B94)</f>
        <v>0.00297308551854898</v>
      </c>
      <c r="C94" s="0" t="n">
        <f aca="false">LN(Prices!C95/Prices!C94)</f>
        <v>0.0164838347196419</v>
      </c>
      <c r="D94" s="0" t="n">
        <f aca="false">LN(Prices!D95/Prices!D94)</f>
        <v>0.0114058387563399</v>
      </c>
    </row>
    <row r="95" customFormat="false" ht="15" hidden="false" customHeight="false" outlineLevel="0" collapsed="false">
      <c r="A95" s="2" t="n">
        <f aca="false">Prices!A96</f>
        <v>45428</v>
      </c>
      <c r="B95" s="0" t="n">
        <f aca="false">LN(Prices!B96/Prices!B95)</f>
        <v>0.00177947556985446</v>
      </c>
      <c r="C95" s="0" t="n">
        <f aca="false">LN(Prices!C96/Prices!C95)</f>
        <v>-0.00337419867559441</v>
      </c>
      <c r="D95" s="0" t="n">
        <f aca="false">LN(Prices!D96/Prices!D95)</f>
        <v>-0.0093953201256158</v>
      </c>
    </row>
    <row r="96" customFormat="false" ht="15" hidden="false" customHeight="false" outlineLevel="0" collapsed="false">
      <c r="A96" s="2" t="n">
        <f aca="false">Prices!A97</f>
        <v>45429</v>
      </c>
      <c r="B96" s="0" t="n">
        <f aca="false">LN(Prices!B97/Prices!B96)</f>
        <v>0.0113934347115053</v>
      </c>
      <c r="C96" s="0" t="n">
        <f aca="false">LN(Prices!C97/Prices!C96)</f>
        <v>0.00686525893911862</v>
      </c>
      <c r="D96" s="0" t="n">
        <f aca="false">LN(Prices!D97/Prices!D96)</f>
        <v>0.00640640358832827</v>
      </c>
    </row>
    <row r="97" customFormat="false" ht="15" hidden="false" customHeight="false" outlineLevel="0" collapsed="false">
      <c r="A97" s="2" t="n">
        <f aca="false">Prices!A98</f>
        <v>45432</v>
      </c>
      <c r="B97" s="0" t="n">
        <f aca="false">LN(Prices!B98/Prices!B97)</f>
        <v>-0.0460154187387548</v>
      </c>
      <c r="C97" s="0" t="n">
        <f aca="false">LN(Prices!C98/Prices!C97)</f>
        <v>-0.0102723296685699</v>
      </c>
      <c r="D97" s="0" t="n">
        <f aca="false">LN(Prices!D98/Prices!D97)</f>
        <v>0.00109702211732429</v>
      </c>
    </row>
    <row r="98" customFormat="false" ht="15" hidden="false" customHeight="false" outlineLevel="0" collapsed="false">
      <c r="A98" s="2" t="n">
        <f aca="false">Prices!A99</f>
        <v>45433</v>
      </c>
      <c r="B98" s="0" t="n">
        <f aca="false">LN(Prices!B99/Prices!B98)</f>
        <v>0.0199448402930062</v>
      </c>
      <c r="C98" s="0" t="n">
        <f aca="false">LN(Prices!C99/Prices!C98)</f>
        <v>0.0160070743512522</v>
      </c>
      <c r="D98" s="0" t="n">
        <f aca="false">LN(Prices!D99/Prices!D98)</f>
        <v>0.0118895424048865</v>
      </c>
    </row>
    <row r="99" customFormat="false" ht="15" hidden="false" customHeight="false" outlineLevel="0" collapsed="false">
      <c r="A99" s="2" t="n">
        <f aca="false">Prices!A100</f>
        <v>45434</v>
      </c>
      <c r="B99" s="0" t="n">
        <f aca="false">LN(Prices!B100/Prices!B99)</f>
        <v>-0.00608304146426052</v>
      </c>
      <c r="C99" s="0" t="n">
        <f aca="false">LN(Prices!C100/Prices!C99)</f>
        <v>-0.0172175303987752</v>
      </c>
      <c r="D99" s="0" t="n">
        <f aca="false">LN(Prices!D100/Prices!D99)</f>
        <v>-0.00781150413788984</v>
      </c>
    </row>
    <row r="100" customFormat="false" ht="15" hidden="false" customHeight="false" outlineLevel="0" collapsed="false">
      <c r="A100" s="2" t="n">
        <f aca="false">Prices!A101</f>
        <v>45435</v>
      </c>
      <c r="B100" s="0" t="n">
        <f aca="false">LN(Prices!B101/Prices!B100)</f>
        <v>-0.00703389519725574</v>
      </c>
      <c r="C100" s="0" t="n">
        <f aca="false">LN(Prices!C101/Prices!C100)</f>
        <v>-0.00919051373824212</v>
      </c>
      <c r="D100" s="0" t="n">
        <f aca="false">LN(Prices!D101/Prices!D100)</f>
        <v>-0.0182314340251968</v>
      </c>
    </row>
    <row r="101" customFormat="false" ht="15" hidden="false" customHeight="false" outlineLevel="0" collapsed="false">
      <c r="A101" s="2" t="n">
        <f aca="false">Prices!A102</f>
        <v>45436</v>
      </c>
      <c r="B101" s="0" t="n">
        <f aca="false">LN(Prices!B102/Prices!B101)</f>
        <v>0.0190637114031676</v>
      </c>
      <c r="C101" s="0" t="n">
        <f aca="false">LN(Prices!C102/Prices!C101)</f>
        <v>0.00659185440079906</v>
      </c>
      <c r="D101" s="0" t="n">
        <f aca="false">LN(Prices!D102/Prices!D101)</f>
        <v>0.000505326775139047</v>
      </c>
    </row>
    <row r="102" customFormat="false" ht="15" hidden="false" customHeight="false" outlineLevel="0" collapsed="false">
      <c r="A102" s="2" t="n">
        <f aca="false">Prices!A103</f>
        <v>45440</v>
      </c>
      <c r="B102" s="0" t="n">
        <f aca="false">LN(Prices!B103/Prices!B102)</f>
        <v>-0.00604686506744411</v>
      </c>
      <c r="C102" s="0" t="n">
        <f aca="false">LN(Prices!C103/Prices!C102)</f>
        <v>-0.00297505415691084</v>
      </c>
      <c r="D102" s="0" t="n">
        <f aca="false">LN(Prices!D103/Prices!D102)</f>
        <v>-0.00303579808994349</v>
      </c>
    </row>
    <row r="103" customFormat="false" ht="15" hidden="false" customHeight="false" outlineLevel="0" collapsed="false">
      <c r="A103" s="2" t="n">
        <f aca="false">Prices!A104</f>
        <v>45441</v>
      </c>
      <c r="B103" s="0" t="n">
        <f aca="false">LN(Prices!B104/Prices!B103)</f>
        <v>-0.00699187106598244</v>
      </c>
      <c r="C103" s="0" t="n">
        <f aca="false">LN(Prices!C104/Prices!C103)</f>
        <v>-0.00575796081921714</v>
      </c>
      <c r="D103" s="0" t="n">
        <f aca="false">LN(Prices!D104/Prices!D103)</f>
        <v>-0.0142903707279576</v>
      </c>
    </row>
    <row r="104" customFormat="false" ht="15" hidden="false" customHeight="false" outlineLevel="0" collapsed="false">
      <c r="A104" s="2" t="n">
        <f aca="false">Prices!A105</f>
        <v>45442</v>
      </c>
      <c r="B104" s="0" t="n">
        <f aca="false">LN(Prices!B105/Prices!B104)</f>
        <v>0.00613937513081465</v>
      </c>
      <c r="C104" s="0" t="n">
        <f aca="false">LN(Prices!C105/Prices!C104)</f>
        <v>-0.00926345872496072</v>
      </c>
      <c r="D104" s="0" t="n">
        <f aca="false">LN(Prices!D105/Prices!D104)</f>
        <v>-0.000411174000921884</v>
      </c>
    </row>
    <row r="105" customFormat="false" ht="15" hidden="false" customHeight="false" outlineLevel="0" collapsed="false">
      <c r="A105" s="2" t="n">
        <f aca="false">Prices!A106</f>
        <v>45443</v>
      </c>
      <c r="B105" s="0" t="n">
        <f aca="false">LN(Prices!B106/Prices!B105)</f>
        <v>0.0164198557539153</v>
      </c>
      <c r="C105" s="0" t="n">
        <f aca="false">LN(Prices!C106/Prices!C105)</f>
        <v>0.0138740158951318</v>
      </c>
      <c r="D105" s="0" t="n">
        <f aca="false">LN(Prices!D106/Prices!D105)</f>
        <v>0.00625409636765708</v>
      </c>
    </row>
    <row r="106" customFormat="false" ht="15" hidden="false" customHeight="false" outlineLevel="0" collapsed="false">
      <c r="A106" s="2" t="n">
        <f aca="false">Prices!A107</f>
        <v>45446</v>
      </c>
      <c r="B106" s="0" t="n">
        <f aca="false">LN(Prices!B107/Prices!B106)</f>
        <v>-0.00400544677217079</v>
      </c>
      <c r="C106" s="0" t="n">
        <f aca="false">LN(Prices!C107/Prices!C106)</f>
        <v>-0.00337915440766078</v>
      </c>
      <c r="D106" s="0" t="n">
        <f aca="false">LN(Prices!D107/Prices!D106)</f>
        <v>-0.00440447743140459</v>
      </c>
    </row>
    <row r="107" customFormat="false" ht="15" hidden="false" customHeight="false" outlineLevel="0" collapsed="false">
      <c r="A107" s="2" t="n">
        <f aca="false">Prices!A108</f>
        <v>45447</v>
      </c>
      <c r="B107" s="0" t="n">
        <f aca="false">LN(Prices!B108/Prices!B107)</f>
        <v>-0.0132675520091646</v>
      </c>
      <c r="C107" s="0" t="n">
        <f aca="false">LN(Prices!C108/Prices!C107)</f>
        <v>0.000703108792185993</v>
      </c>
      <c r="D107" s="0" t="n">
        <f aca="false">LN(Prices!D108/Prices!D107)</f>
        <v>-0.00855735170892939</v>
      </c>
    </row>
    <row r="108" customFormat="false" ht="15" hidden="false" customHeight="false" outlineLevel="0" collapsed="false">
      <c r="A108" s="2" t="n">
        <f aca="false">Prices!A109</f>
        <v>45448</v>
      </c>
      <c r="B108" s="0" t="n">
        <f aca="false">LN(Prices!B109/Prices!B108)</f>
        <v>-0.00958593962326089</v>
      </c>
      <c r="C108" s="0" t="n">
        <f aca="false">LN(Prices!C109/Prices!C108)</f>
        <v>0.0139155546073535</v>
      </c>
      <c r="D108" s="0" t="n">
        <f aca="false">LN(Prices!D109/Prices!D108)</f>
        <v>0.000828045722742213</v>
      </c>
    </row>
    <row r="109" customFormat="false" ht="15" hidden="false" customHeight="false" outlineLevel="0" collapsed="false">
      <c r="A109" s="2" t="n">
        <f aca="false">Prices!A110</f>
        <v>45449</v>
      </c>
      <c r="B109" s="0" t="n">
        <f aca="false">LN(Prices!B110/Prices!B109)</f>
        <v>-0.00177601302132976</v>
      </c>
      <c r="C109" s="0" t="n">
        <f aca="false">LN(Prices!C110/Prices!C109)</f>
        <v>-0.00778464564173256</v>
      </c>
      <c r="D109" s="0" t="n">
        <f aca="false">LN(Prices!D110/Prices!D109)</f>
        <v>0.00196373938014959</v>
      </c>
    </row>
    <row r="110" customFormat="false" ht="15" hidden="false" customHeight="false" outlineLevel="0" collapsed="false">
      <c r="A110" s="2" t="n">
        <f aca="false">Prices!A111</f>
        <v>45450</v>
      </c>
      <c r="B110" s="0" t="n">
        <f aca="false">LN(Prices!B111/Prices!B110)</f>
        <v>0.0153206026741832</v>
      </c>
      <c r="C110" s="0" t="n">
        <f aca="false">LN(Prices!C111/Prices!C110)</f>
        <v>-0.00698791286287022</v>
      </c>
      <c r="D110" s="0" t="n">
        <f aca="false">LN(Prices!D111/Prices!D110)</f>
        <v>0.00298977024587007</v>
      </c>
    </row>
    <row r="111" customFormat="false" ht="15" hidden="false" customHeight="false" outlineLevel="0" collapsed="false">
      <c r="A111" s="2" t="n">
        <f aca="false">Prices!A112</f>
        <v>45453</v>
      </c>
      <c r="B111" s="0" t="n">
        <f aca="false">LN(Prices!B112/Prices!B111)</f>
        <v>-0.00170187729303479</v>
      </c>
      <c r="C111" s="0" t="n">
        <f aca="false">LN(Prices!C112/Prices!C111)</f>
        <v>-0.00299400768605698</v>
      </c>
      <c r="D111" s="0" t="n">
        <f aca="false">LN(Prices!D112/Prices!D111)</f>
        <v>-0.00775079013623379</v>
      </c>
    </row>
    <row r="112" customFormat="false" ht="15" hidden="false" customHeight="false" outlineLevel="0" collapsed="false">
      <c r="A112" s="2" t="n">
        <f aca="false">Prices!A113</f>
        <v>45454</v>
      </c>
      <c r="B112" s="0" t="n">
        <f aca="false">LN(Prices!B113/Prices!B112)</f>
        <v>-0.0266532605414458</v>
      </c>
      <c r="C112" s="0" t="n">
        <f aca="false">LN(Prices!C113/Prices!C112)</f>
        <v>-0.020673011549636</v>
      </c>
      <c r="D112" s="0" t="n">
        <f aca="false">LN(Prices!D113/Prices!D112)</f>
        <v>-0.0100094291578266</v>
      </c>
    </row>
    <row r="113" customFormat="false" ht="15" hidden="false" customHeight="false" outlineLevel="0" collapsed="false">
      <c r="A113" s="2" t="n">
        <f aca="false">Prices!A114</f>
        <v>45455</v>
      </c>
      <c r="B113" s="0" t="n">
        <f aca="false">LN(Prices!B114/Prices!B113)</f>
        <v>-0.0146678479814676</v>
      </c>
      <c r="C113" s="0" t="n">
        <f aca="false">LN(Prices!C114/Prices!C113)</f>
        <v>0.00992203175081715</v>
      </c>
      <c r="D113" s="0" t="n">
        <f aca="false">LN(Prices!D114/Prices!D113)</f>
        <v>0.0023026979308518</v>
      </c>
    </row>
    <row r="114" customFormat="false" ht="15" hidden="false" customHeight="false" outlineLevel="0" collapsed="false">
      <c r="A114" s="2" t="n">
        <f aca="false">Prices!A115</f>
        <v>45456</v>
      </c>
      <c r="B114" s="0" t="n">
        <f aca="false">LN(Prices!B115/Prices!B114)</f>
        <v>0.0110596852967722</v>
      </c>
      <c r="C114" s="0" t="n">
        <f aca="false">LN(Prices!C115/Prices!C114)</f>
        <v>-0.00525118233898346</v>
      </c>
      <c r="D114" s="0" t="n">
        <f aca="false">LN(Prices!D115/Prices!D114)</f>
        <v>-0.00461062536497839</v>
      </c>
    </row>
    <row r="115" customFormat="false" ht="15" hidden="false" customHeight="false" outlineLevel="0" collapsed="false">
      <c r="A115" s="2" t="n">
        <f aca="false">Prices!A116</f>
        <v>45457</v>
      </c>
      <c r="B115" s="0" t="n">
        <f aca="false">LN(Prices!B116/Prices!B115)</f>
        <v>0.000619481652502169</v>
      </c>
      <c r="C115" s="0" t="n">
        <f aca="false">LN(Prices!C116/Prices!C115)</f>
        <v>0.000246420729437385</v>
      </c>
      <c r="D115" s="0" t="n">
        <f aca="false">LN(Prices!D116/Prices!D115)</f>
        <v>0.00304119094466805</v>
      </c>
    </row>
    <row r="116" customFormat="false" ht="15" hidden="false" customHeight="false" outlineLevel="0" collapsed="false">
      <c r="A116" s="2" t="n">
        <f aca="false">Prices!A117</f>
        <v>45460</v>
      </c>
      <c r="B116" s="0" t="n">
        <f aca="false">LN(Prices!B117/Prices!B116)</f>
        <v>0.0061733909531179</v>
      </c>
      <c r="C116" s="0" t="n">
        <f aca="false">LN(Prices!C117/Prices!C116)</f>
        <v>0.00829760906906344</v>
      </c>
      <c r="D116" s="0" t="n">
        <f aca="false">LN(Prices!D117/Prices!D116)</f>
        <v>0.0159970762020856</v>
      </c>
    </row>
    <row r="117" customFormat="false" ht="15" hidden="false" customHeight="false" outlineLevel="0" collapsed="false">
      <c r="A117" s="2" t="n">
        <f aca="false">Prices!A118</f>
        <v>45461</v>
      </c>
      <c r="B117" s="0" t="n">
        <f aca="false">LN(Prices!B118/Prices!B117)</f>
        <v>0.0103068457932019</v>
      </c>
      <c r="C117" s="0" t="n">
        <f aca="false">LN(Prices!C118/Prices!C117)</f>
        <v>0.0159765894566402</v>
      </c>
      <c r="D117" s="0" t="n">
        <f aca="false">LN(Prices!D118/Prices!D117)</f>
        <v>0.00544690531318016</v>
      </c>
    </row>
    <row r="118" customFormat="false" ht="15" hidden="false" customHeight="false" outlineLevel="0" collapsed="false">
      <c r="A118" s="2" t="n">
        <f aca="false">Prices!A119</f>
        <v>45463</v>
      </c>
      <c r="B118" s="0" t="n">
        <f aca="false">LN(Prices!B119/Prices!B118)</f>
        <v>0.00844140429975854</v>
      </c>
      <c r="C118" s="0" t="n">
        <f aca="false">LN(Prices!C119/Prices!C118)</f>
        <v>0.00135440900655901</v>
      </c>
      <c r="D118" s="0" t="n">
        <f aca="false">LN(Prices!D119/Prices!D118)</f>
        <v>-0.00133348602909349</v>
      </c>
    </row>
    <row r="119" customFormat="false" ht="15" hidden="false" customHeight="false" outlineLevel="0" collapsed="false">
      <c r="A119" s="2" t="n">
        <f aca="false">Prices!A120</f>
        <v>45464</v>
      </c>
      <c r="B119" s="0" t="n">
        <f aca="false">LN(Prices!B120/Prices!B119)</f>
        <v>-0.0120009651095259</v>
      </c>
      <c r="C119" s="0" t="n">
        <f aca="false">LN(Prices!C120/Prices!C119)</f>
        <v>-0.0173309984631992</v>
      </c>
      <c r="D119" s="0" t="n">
        <f aca="false">LN(Prices!D120/Prices!D119)</f>
        <v>-0.0132231984667247</v>
      </c>
    </row>
    <row r="120" customFormat="false" ht="15" hidden="false" customHeight="false" outlineLevel="0" collapsed="false">
      <c r="A120" s="2" t="n">
        <f aca="false">Prices!A121</f>
        <v>45467</v>
      </c>
      <c r="B120" s="0" t="n">
        <f aca="false">LN(Prices!B121/Prices!B120)</f>
        <v>0.0130573681485179</v>
      </c>
      <c r="C120" s="0" t="n">
        <f aca="false">LN(Prices!C121/Prices!C120)</f>
        <v>0.0261122737291418</v>
      </c>
      <c r="D120" s="0" t="n">
        <f aca="false">LN(Prices!D121/Prices!D120)</f>
        <v>0.00972768390565693</v>
      </c>
    </row>
    <row r="121" customFormat="false" ht="15" hidden="false" customHeight="false" outlineLevel="0" collapsed="false">
      <c r="A121" s="2" t="n">
        <f aca="false">Prices!A122</f>
        <v>45468</v>
      </c>
      <c r="B121" s="0" t="n">
        <f aca="false">LN(Prices!B122/Prices!B121)</f>
        <v>-0.00408096511337259</v>
      </c>
      <c r="C121" s="0" t="n">
        <f aca="false">LN(Prices!C122/Prices!C121)</f>
        <v>-0.0102450380879274</v>
      </c>
      <c r="D121" s="0" t="n">
        <f aca="false">LN(Prices!D122/Prices!D121)</f>
        <v>0.00718347059146509</v>
      </c>
    </row>
    <row r="122" customFormat="false" ht="15" hidden="false" customHeight="false" outlineLevel="0" collapsed="false">
      <c r="A122" s="2" t="n">
        <f aca="false">Prices!A123</f>
        <v>45469</v>
      </c>
      <c r="B122" s="0" t="n">
        <f aca="false">LN(Prices!B123/Prices!B122)</f>
        <v>-0.00323649276768824</v>
      </c>
      <c r="C122" s="0" t="n">
        <f aca="false">LN(Prices!C123/Prices!C122)</f>
        <v>-0.00332892722102976</v>
      </c>
      <c r="D122" s="0" t="n">
        <f aca="false">LN(Prices!D123/Prices!D122)</f>
        <v>-0.00934839533995487</v>
      </c>
    </row>
    <row r="123" customFormat="false" ht="15" hidden="false" customHeight="false" outlineLevel="0" collapsed="false">
      <c r="A123" s="2" t="n">
        <f aca="false">Prices!A124</f>
        <v>45470</v>
      </c>
      <c r="B123" s="0" t="n">
        <f aca="false">LN(Prices!B124/Prices!B123)</f>
        <v>0.00877475461662157</v>
      </c>
      <c r="C123" s="0" t="n">
        <f aca="false">LN(Prices!C124/Prices!C123)</f>
        <v>-0.0219563906489609</v>
      </c>
      <c r="D123" s="0" t="n">
        <f aca="false">LN(Prices!D124/Prices!D123)</f>
        <v>-0.0116268283295299</v>
      </c>
    </row>
    <row r="124" customFormat="false" ht="15" hidden="false" customHeight="false" outlineLevel="0" collapsed="false">
      <c r="A124" s="2" t="n">
        <f aca="false">Prices!A125</f>
        <v>45471</v>
      </c>
      <c r="B124" s="0" t="n">
        <f aca="false">LN(Prices!B125/Prices!B124)</f>
        <v>0.0153951177681871</v>
      </c>
      <c r="C124" s="0" t="n">
        <f aca="false">LN(Prices!C125/Prices!C124)</f>
        <v>0.014160589844085</v>
      </c>
      <c r="D124" s="0" t="n">
        <f aca="false">LN(Prices!D125/Prices!D124)</f>
        <v>0.0147183953856836</v>
      </c>
    </row>
    <row r="125" customFormat="false" ht="15" hidden="false" customHeight="false" outlineLevel="0" collapsed="false">
      <c r="A125" s="2" t="n">
        <f aca="false">Prices!A126</f>
        <v>45474</v>
      </c>
      <c r="B125" s="0" t="n">
        <f aca="false">LN(Prices!B126/Prices!B125)</f>
        <v>0.0156487320292038</v>
      </c>
      <c r="C125" s="0" t="n">
        <f aca="false">LN(Prices!C126/Prices!C125)</f>
        <v>0.0247616321245159</v>
      </c>
      <c r="D125" s="0" t="n">
        <f aca="false">LN(Prices!D126/Prices!D125)</f>
        <v>0.0200668835360495</v>
      </c>
    </row>
    <row r="126" customFormat="false" ht="15" hidden="false" customHeight="false" outlineLevel="0" collapsed="false">
      <c r="A126" s="2" t="n">
        <f aca="false">Prices!A127</f>
        <v>45475</v>
      </c>
      <c r="B126" s="0" t="n">
        <f aca="false">LN(Prices!B127/Prices!B126)</f>
        <v>0.0163177165357107</v>
      </c>
      <c r="C126" s="0" t="n">
        <f aca="false">LN(Prices!C127/Prices!C126)</f>
        <v>0.00419686136129796</v>
      </c>
      <c r="D126" s="0" t="n">
        <f aca="false">LN(Prices!D127/Prices!D126)</f>
        <v>0.00492916525051602</v>
      </c>
    </row>
    <row r="127" customFormat="false" ht="15" hidden="false" customHeight="false" outlineLevel="0" collapsed="false">
      <c r="A127" s="2" t="n">
        <f aca="false">Prices!A128</f>
        <v>45476</v>
      </c>
      <c r="B127" s="0" t="n">
        <f aca="false">LN(Prices!B128/Prices!B127)</f>
        <v>-0.000670506872006299</v>
      </c>
      <c r="C127" s="0" t="n">
        <f aca="false">LN(Prices!C128/Prices!C127)</f>
        <v>0.00494898512973214</v>
      </c>
      <c r="D127" s="0" t="n">
        <f aca="false">LN(Prices!D128/Prices!D127)</f>
        <v>0.00550417467429681</v>
      </c>
    </row>
    <row r="128" customFormat="false" ht="15" hidden="false" customHeight="false" outlineLevel="0" collapsed="false">
      <c r="A128" s="2" t="n">
        <f aca="false">Prices!A129</f>
        <v>45478</v>
      </c>
      <c r="B128" s="0" t="n">
        <f aca="false">LN(Prices!B129/Prices!B128)</f>
        <v>-0.0133391044837912</v>
      </c>
      <c r="C128" s="0" t="n">
        <f aca="false">LN(Prices!C129/Prices!C128)</f>
        <v>-0.00679773400903175</v>
      </c>
      <c r="D128" s="0" t="n">
        <f aca="false">LN(Prices!D129/Prices!D128)</f>
        <v>-0.00610634412200544</v>
      </c>
    </row>
    <row r="129" customFormat="false" ht="15" hidden="false" customHeight="false" outlineLevel="0" collapsed="false">
      <c r="A129" s="2" t="n">
        <f aca="false">Prices!A130</f>
        <v>45481</v>
      </c>
      <c r="B129" s="0" t="n">
        <f aca="false">LN(Prices!B130/Prices!B129)</f>
        <v>0.00185387762790657</v>
      </c>
      <c r="C129" s="0" t="n">
        <f aca="false">LN(Prices!C130/Prices!C129)</f>
        <v>0.000150568251116804</v>
      </c>
      <c r="D129" s="0" t="n">
        <f aca="false">LN(Prices!D130/Prices!D129)</f>
        <v>0.0099910026628065</v>
      </c>
    </row>
    <row r="130" customFormat="false" ht="15" hidden="false" customHeight="false" outlineLevel="0" collapsed="false">
      <c r="A130" s="2" t="n">
        <f aca="false">Prices!A131</f>
        <v>45482</v>
      </c>
      <c r="B130" s="0" t="n">
        <f aca="false">LN(Prices!B131/Prices!B130)</f>
        <v>0.0119187526860694</v>
      </c>
      <c r="C130" s="0" t="n">
        <f aca="false">LN(Prices!C131/Prices!C130)</f>
        <v>0.017085684250831</v>
      </c>
      <c r="D130" s="0" t="n">
        <f aca="false">LN(Prices!D131/Prices!D130)</f>
        <v>0.019882623985099</v>
      </c>
    </row>
    <row r="131" customFormat="false" ht="15" hidden="false" customHeight="false" outlineLevel="0" collapsed="false">
      <c r="A131" s="2" t="n">
        <f aca="false">Prices!A132</f>
        <v>45483</v>
      </c>
      <c r="B131" s="0" t="n">
        <f aca="false">LN(Prices!B132/Prices!B131)</f>
        <v>0.000818437703921558</v>
      </c>
      <c r="C131" s="0" t="n">
        <f aca="false">LN(Prices!C132/Prices!C131)</f>
        <v>0.0127351334073787</v>
      </c>
      <c r="D131" s="0" t="n">
        <f aca="false">LN(Prices!D132/Prices!D131)</f>
        <v>0.00824967597086913</v>
      </c>
    </row>
    <row r="132" customFormat="false" ht="15" hidden="false" customHeight="false" outlineLevel="0" collapsed="false">
      <c r="A132" s="2" t="n">
        <f aca="false">Prices!A133</f>
        <v>45484</v>
      </c>
      <c r="B132" s="0" t="n">
        <f aca="false">LN(Prices!B133/Prices!B132)</f>
        <v>-0.00168575403496565</v>
      </c>
      <c r="C132" s="0" t="n">
        <f aca="false">LN(Prices!C133/Prices!C132)</f>
        <v>0.000709739302787276</v>
      </c>
      <c r="D132" s="0" t="n">
        <f aca="false">LN(Prices!D133/Prices!D132)</f>
        <v>0.0113407072492194</v>
      </c>
    </row>
    <row r="133" customFormat="false" ht="15" hidden="false" customHeight="false" outlineLevel="0" collapsed="false">
      <c r="A133" s="2" t="n">
        <f aca="false">Prices!A134</f>
        <v>45485</v>
      </c>
      <c r="B133" s="0" t="n">
        <f aca="false">LN(Prices!B134/Prices!B133)</f>
        <v>-0.0121730483121776</v>
      </c>
      <c r="C133" s="0" t="n">
        <f aca="false">LN(Prices!C134/Prices!C133)</f>
        <v>0.00135533861330718</v>
      </c>
      <c r="D133" s="0" t="n">
        <f aca="false">LN(Prices!D134/Prices!D133)</f>
        <v>-0.00526993175551508</v>
      </c>
    </row>
    <row r="134" customFormat="false" ht="15" hidden="false" customHeight="false" outlineLevel="0" collapsed="false">
      <c r="A134" s="2" t="n">
        <f aca="false">Prices!A135</f>
        <v>45488</v>
      </c>
      <c r="B134" s="0" t="n">
        <f aca="false">LN(Prices!B135/Prices!B134)</f>
        <v>0.0246284511058734</v>
      </c>
      <c r="C134" s="0" t="n">
        <f aca="false">LN(Prices!C135/Prices!C134)</f>
        <v>0.0254100020415844</v>
      </c>
      <c r="D134" s="0" t="n">
        <f aca="false">LN(Prices!D135/Prices!D134)</f>
        <v>0.0111775646486132</v>
      </c>
    </row>
    <row r="135" customFormat="false" ht="15" hidden="false" customHeight="false" outlineLevel="0" collapsed="false">
      <c r="A135" s="2" t="n">
        <f aca="false">Prices!A136</f>
        <v>45489</v>
      </c>
      <c r="B135" s="0" t="n">
        <f aca="false">LN(Prices!B136/Prices!B135)</f>
        <v>0.0168530128869299</v>
      </c>
      <c r="C135" s="0" t="n">
        <f aca="false">LN(Prices!C136/Prices!C135)</f>
        <v>0.0216837467111301</v>
      </c>
      <c r="D135" s="0" t="n">
        <f aca="false">LN(Prices!D136/Prices!D135)</f>
        <v>0.00907897741686333</v>
      </c>
    </row>
    <row r="136" customFormat="false" ht="15" hidden="false" customHeight="false" outlineLevel="0" collapsed="false">
      <c r="A136" s="2" t="n">
        <f aca="false">Prices!A137</f>
        <v>45490</v>
      </c>
      <c r="B136" s="0" t="n">
        <f aca="false">LN(Prices!B137/Prices!B136)</f>
        <v>0.0150992320000041</v>
      </c>
      <c r="C136" s="0" t="n">
        <f aca="false">LN(Prices!C137/Prices!C136)</f>
        <v>-0.0016713215656062</v>
      </c>
      <c r="D136" s="0" t="n">
        <f aca="false">LN(Prices!D137/Prices!D136)</f>
        <v>0.00694256255742206</v>
      </c>
    </row>
    <row r="137" customFormat="false" ht="15" hidden="false" customHeight="false" outlineLevel="0" collapsed="false">
      <c r="A137" s="2" t="n">
        <f aca="false">Prices!A138</f>
        <v>45491</v>
      </c>
      <c r="B137" s="0" t="n">
        <f aca="false">LN(Prices!B138/Prices!B137)</f>
        <v>-0.0322856647580766</v>
      </c>
      <c r="C137" s="0" t="n">
        <f aca="false">LN(Prices!C138/Prices!C137)</f>
        <v>-0.0323179592979131</v>
      </c>
      <c r="D137" s="0" t="n">
        <f aca="false">LN(Prices!D138/Prices!D137)</f>
        <v>-0.0203057174640323</v>
      </c>
    </row>
    <row r="138" customFormat="false" ht="15" hidden="false" customHeight="false" outlineLevel="0" collapsed="false">
      <c r="A138" s="2" t="n">
        <f aca="false">Prices!A139</f>
        <v>45492</v>
      </c>
      <c r="B138" s="0" t="n">
        <f aca="false">LN(Prices!B139/Prices!B138)</f>
        <v>-0.000952873084989238</v>
      </c>
      <c r="C138" s="0" t="n">
        <f aca="false">LN(Prices!C139/Prices!C138)</f>
        <v>-0.00263592192762978</v>
      </c>
      <c r="D138" s="0" t="n">
        <f aca="false">LN(Prices!D139/Prices!D138)</f>
        <v>-0.0262945052990616</v>
      </c>
    </row>
    <row r="139" customFormat="false" ht="15" hidden="false" customHeight="false" outlineLevel="0" collapsed="false">
      <c r="A139" s="2" t="n">
        <f aca="false">Prices!A140</f>
        <v>45495</v>
      </c>
      <c r="B139" s="0" t="n">
        <f aca="false">LN(Prices!B140/Prices!B139)</f>
        <v>0.00238055804706534</v>
      </c>
      <c r="C139" s="0" t="n">
        <f aca="false">LN(Prices!C140/Prices!C139)</f>
        <v>0.00434169662478842</v>
      </c>
      <c r="D139" s="0" t="n">
        <f aca="false">LN(Prices!D140/Prices!D139)</f>
        <v>0.00342269135808497</v>
      </c>
    </row>
    <row r="140" customFormat="false" ht="15" hidden="false" customHeight="false" outlineLevel="0" collapsed="false">
      <c r="A140" s="2" t="n">
        <f aca="false">Prices!A141</f>
        <v>45496</v>
      </c>
      <c r="B140" s="0" t="n">
        <f aca="false">LN(Prices!B141/Prices!B140)</f>
        <v>0.000237699056121882</v>
      </c>
      <c r="C140" s="0" t="n">
        <f aca="false">LN(Prices!C141/Prices!C140)</f>
        <v>0.0104371329155576</v>
      </c>
      <c r="D140" s="0" t="n">
        <f aca="false">LN(Prices!D141/Prices!D140)</f>
        <v>0.0102942273117019</v>
      </c>
    </row>
    <row r="141" customFormat="false" ht="15" hidden="false" customHeight="false" outlineLevel="0" collapsed="false">
      <c r="A141" s="2" t="n">
        <f aca="false">Prices!A142</f>
        <v>45497</v>
      </c>
      <c r="B141" s="0" t="n">
        <f aca="false">LN(Prices!B142/Prices!B141)</f>
        <v>-0.00830707609616374</v>
      </c>
      <c r="C141" s="0" t="n">
        <f aca="false">LN(Prices!C142/Prices!C141)</f>
        <v>-0.0111354871340306</v>
      </c>
      <c r="D141" s="0" t="n">
        <f aca="false">LN(Prices!D142/Prices!D141)</f>
        <v>-0.0148929694556127</v>
      </c>
    </row>
    <row r="142" customFormat="false" ht="15" hidden="false" customHeight="false" outlineLevel="0" collapsed="false">
      <c r="A142" s="2" t="n">
        <f aca="false">Prices!A143</f>
        <v>45498</v>
      </c>
      <c r="B142" s="0" t="n">
        <f aca="false">LN(Prices!B143/Prices!B142)</f>
        <v>0.00038341763059058</v>
      </c>
      <c r="C142" s="0" t="n">
        <f aca="false">LN(Prices!C143/Prices!C142)</f>
        <v>0.0102411527350531</v>
      </c>
      <c r="D142" s="0" t="n">
        <f aca="false">LN(Prices!D143/Prices!D142)</f>
        <v>0.0154725534329845</v>
      </c>
    </row>
    <row r="143" customFormat="false" ht="15" hidden="false" customHeight="false" outlineLevel="0" collapsed="false">
      <c r="A143" s="2" t="n">
        <f aca="false">Prices!A144</f>
        <v>45499</v>
      </c>
      <c r="B143" s="0" t="n">
        <f aca="false">LN(Prices!B144/Prices!B143)</f>
        <v>0.0169636795217314</v>
      </c>
      <c r="C143" s="0" t="n">
        <f aca="false">LN(Prices!C144/Prices!C143)</f>
        <v>0.0147770778209693</v>
      </c>
      <c r="D143" s="0" t="n">
        <f aca="false">LN(Prices!D144/Prices!D143)</f>
        <v>0.00606508635871667</v>
      </c>
    </row>
    <row r="144" customFormat="false" ht="15" hidden="false" customHeight="false" outlineLevel="0" collapsed="false">
      <c r="A144" s="2" t="n">
        <f aca="false">Prices!A145</f>
        <v>45502</v>
      </c>
      <c r="B144" s="0" t="n">
        <f aca="false">LN(Prices!B145/Prices!B144)</f>
        <v>-0.00657073644443939</v>
      </c>
      <c r="C144" s="0" t="n">
        <f aca="false">LN(Prices!C145/Prices!C144)</f>
        <v>-0.0127252704597296</v>
      </c>
      <c r="D144" s="0" t="n">
        <f aca="false">LN(Prices!D145/Prices!D144)</f>
        <v>-0.0165486315069703</v>
      </c>
    </row>
    <row r="145" customFormat="false" ht="15" hidden="false" customHeight="false" outlineLevel="0" collapsed="false">
      <c r="A145" s="2" t="n">
        <f aca="false">Prices!A146</f>
        <v>45503</v>
      </c>
      <c r="B145" s="0" t="n">
        <f aca="false">LN(Prices!B146/Prices!B145)</f>
        <v>0.0203744070195788</v>
      </c>
      <c r="C145" s="0" t="n">
        <f aca="false">LN(Prices!C146/Prices!C145)</f>
        <v>0.0259433476124307</v>
      </c>
      <c r="D145" s="0" t="n">
        <f aca="false">LN(Prices!D146/Prices!D145)</f>
        <v>0.0124127567035497</v>
      </c>
    </row>
    <row r="146" customFormat="false" ht="15" hidden="false" customHeight="false" outlineLevel="0" collapsed="false">
      <c r="A146" s="2" t="n">
        <f aca="false">Prices!A147</f>
        <v>45504</v>
      </c>
      <c r="B146" s="0" t="n">
        <f aca="false">LN(Prices!B147/Prices!B146)</f>
        <v>-0.0111684987363901</v>
      </c>
      <c r="C146" s="0" t="n">
        <f aca="false">LN(Prices!C147/Prices!C146)</f>
        <v>0.00662265520781244</v>
      </c>
      <c r="D146" s="0" t="n">
        <f aca="false">LN(Prices!D147/Prices!D146)</f>
        <v>0.00364006720832618</v>
      </c>
    </row>
    <row r="147" customFormat="false" ht="15" hidden="false" customHeight="false" outlineLevel="0" collapsed="false">
      <c r="A147" s="2" t="n">
        <f aca="false">Prices!A148</f>
        <v>45505</v>
      </c>
      <c r="B147" s="0" t="n">
        <f aca="false">LN(Prices!B148/Prices!B147)</f>
        <v>-0.0230070509468794</v>
      </c>
      <c r="C147" s="0" t="n">
        <f aca="false">LN(Prices!C148/Prices!C147)</f>
        <v>-0.0176588029486631</v>
      </c>
      <c r="D147" s="0" t="n">
        <f aca="false">LN(Prices!D148/Prices!D147)</f>
        <v>-0.0141486247889401</v>
      </c>
    </row>
    <row r="148" customFormat="false" ht="15" hidden="false" customHeight="false" outlineLevel="0" collapsed="false">
      <c r="A148" s="2" t="n">
        <f aca="false">Prices!A149</f>
        <v>45506</v>
      </c>
      <c r="B148" s="0" t="n">
        <f aca="false">LN(Prices!B149/Prices!B148)</f>
        <v>-0.0433377893310616</v>
      </c>
      <c r="C148" s="0" t="n">
        <f aca="false">LN(Prices!C149/Prices!C148)</f>
        <v>-0.0607546532094954</v>
      </c>
      <c r="D148" s="0" t="n">
        <f aca="false">LN(Prices!D149/Prices!D148)</f>
        <v>-0.0598325670282643</v>
      </c>
    </row>
    <row r="149" customFormat="false" ht="15" hidden="false" customHeight="false" outlineLevel="0" collapsed="false">
      <c r="A149" s="2" t="n">
        <f aca="false">Prices!A150</f>
        <v>45509</v>
      </c>
      <c r="B149" s="0" t="n">
        <f aca="false">LN(Prices!B150/Prices!B149)</f>
        <v>-0.0215213858919948</v>
      </c>
      <c r="C149" s="0" t="n">
        <f aca="false">LN(Prices!C150/Prices!C149)</f>
        <v>-0.0249996699788739</v>
      </c>
      <c r="D149" s="0" t="n">
        <f aca="false">LN(Prices!D150/Prices!D149)</f>
        <v>-0.0402353898780768</v>
      </c>
    </row>
    <row r="150" customFormat="false" ht="15" hidden="false" customHeight="false" outlineLevel="0" collapsed="false">
      <c r="A150" s="2" t="n">
        <f aca="false">Prices!A151</f>
        <v>45510</v>
      </c>
      <c r="B150" s="0" t="n">
        <f aca="false">LN(Prices!B151/Prices!B150)</f>
        <v>0.0275292023508702</v>
      </c>
      <c r="C150" s="0" t="n">
        <f aca="false">LN(Prices!C151/Prices!C150)</f>
        <v>0.0241068294477487</v>
      </c>
      <c r="D150" s="0" t="n">
        <f aca="false">LN(Prices!D151/Prices!D150)</f>
        <v>0.00972783336092108</v>
      </c>
    </row>
    <row r="151" customFormat="false" ht="15" hidden="false" customHeight="false" outlineLevel="0" collapsed="false">
      <c r="A151" s="2" t="n">
        <f aca="false">Prices!A152</f>
        <v>45511</v>
      </c>
      <c r="B151" s="0" t="n">
        <f aca="false">LN(Prices!B152/Prices!B151)</f>
        <v>0.000299397838041729</v>
      </c>
      <c r="C151" s="0" t="n">
        <f aca="false">LN(Prices!C152/Prices!C151)</f>
        <v>0.00591595213833925</v>
      </c>
      <c r="D151" s="0" t="n">
        <f aca="false">LN(Prices!D152/Prices!D151)</f>
        <v>-0.00929347757447709</v>
      </c>
    </row>
    <row r="152" customFormat="false" ht="15" hidden="false" customHeight="false" outlineLevel="0" collapsed="false">
      <c r="A152" s="2" t="n">
        <f aca="false">Prices!A153</f>
        <v>45512</v>
      </c>
      <c r="B152" s="0" t="n">
        <f aca="false">LN(Prices!B153/Prices!B152)</f>
        <v>0.0180988518859649</v>
      </c>
      <c r="C152" s="0" t="n">
        <f aca="false">LN(Prices!C153/Prices!C152)</f>
        <v>0.0266186957872173</v>
      </c>
      <c r="D152" s="0" t="n">
        <f aca="false">LN(Prices!D153/Prices!D152)</f>
        <v>0.0269910880294547</v>
      </c>
    </row>
    <row r="153" customFormat="false" ht="15" hidden="false" customHeight="false" outlineLevel="0" collapsed="false">
      <c r="A153" s="2" t="n">
        <f aca="false">Prices!A154</f>
        <v>45513</v>
      </c>
      <c r="B153" s="0" t="n">
        <f aca="false">LN(Prices!B154/Prices!B153)</f>
        <v>0.00849070685739052</v>
      </c>
      <c r="C153" s="0" t="n">
        <f aca="false">LN(Prices!C154/Prices!C153)</f>
        <v>0.00920057395961632</v>
      </c>
      <c r="D153" s="0" t="n">
        <f aca="false">LN(Prices!D154/Prices!D153)</f>
        <v>0.000950573963590267</v>
      </c>
    </row>
    <row r="154" customFormat="false" ht="15" hidden="false" customHeight="false" outlineLevel="0" collapsed="false">
      <c r="A154" s="2" t="n">
        <f aca="false">Prices!A155</f>
        <v>45516</v>
      </c>
      <c r="B154" s="0" t="n">
        <f aca="false">LN(Prices!B155/Prices!B154)</f>
        <v>0.00189329286996151</v>
      </c>
      <c r="C154" s="0" t="n">
        <f aca="false">LN(Prices!C155/Prices!C154)</f>
        <v>-0.00975653454973504</v>
      </c>
      <c r="D154" s="0" t="n">
        <f aca="false">LN(Prices!D155/Prices!D154)</f>
        <v>0.00126599975494703</v>
      </c>
    </row>
    <row r="155" customFormat="false" ht="15" hidden="false" customHeight="false" outlineLevel="0" collapsed="false">
      <c r="A155" s="2" t="n">
        <f aca="false">Prices!A156</f>
        <v>45517</v>
      </c>
      <c r="B155" s="0" t="n">
        <f aca="false">LN(Prices!B156/Prices!B155)</f>
        <v>0.00845145999753927</v>
      </c>
      <c r="C155" s="0" t="n">
        <f aca="false">LN(Prices!C156/Prices!C155)</f>
        <v>0.0131773889737092</v>
      </c>
      <c r="D155" s="0" t="n">
        <f aca="false">LN(Prices!D156/Prices!D155)</f>
        <v>0.0195256726974852</v>
      </c>
    </row>
    <row r="156" customFormat="false" ht="15" hidden="false" customHeight="false" outlineLevel="0" collapsed="false">
      <c r="A156" s="2" t="n">
        <f aca="false">Prices!A157</f>
        <v>45518</v>
      </c>
      <c r="B156" s="0" t="n">
        <f aca="false">LN(Prices!B157/Prices!B156)</f>
        <v>0.0110002376107318</v>
      </c>
      <c r="C156" s="0" t="n">
        <f aca="false">LN(Prices!C157/Prices!C156)</f>
        <v>0.0136480297390378</v>
      </c>
      <c r="D156" s="0" t="n">
        <f aca="false">LN(Prices!D157/Prices!D156)</f>
        <v>0.0278377174521</v>
      </c>
    </row>
    <row r="157" customFormat="false" ht="15" hidden="false" customHeight="false" outlineLevel="0" collapsed="false">
      <c r="A157" s="2" t="n">
        <f aca="false">Prices!A158</f>
        <v>45519</v>
      </c>
      <c r="B157" s="0" t="n">
        <f aca="false">LN(Prices!B158/Prices!B157)</f>
        <v>0.00621168406101412</v>
      </c>
      <c r="C157" s="0" t="n">
        <f aca="false">LN(Prices!C158/Prices!C157)</f>
        <v>0.000641424396438034</v>
      </c>
      <c r="D157" s="0" t="n">
        <f aca="false">LN(Prices!D158/Prices!D157)</f>
        <v>0.0119952119513499</v>
      </c>
    </row>
    <row r="158" customFormat="false" ht="15" hidden="false" customHeight="false" outlineLevel="0" collapsed="false">
      <c r="A158" s="2" t="n">
        <f aca="false">Prices!A159</f>
        <v>45520</v>
      </c>
      <c r="B158" s="0" t="n">
        <f aca="false">LN(Prices!B159/Prices!B158)</f>
        <v>0.011374352626903</v>
      </c>
      <c r="C158" s="0" t="n">
        <f aca="false">LN(Prices!C159/Prices!C158)</f>
        <v>0.0104458642302451</v>
      </c>
      <c r="D158" s="0" t="n">
        <f aca="false">LN(Prices!D159/Prices!D158)</f>
        <v>0.00791782152998751</v>
      </c>
    </row>
    <row r="159" customFormat="false" ht="15" hidden="false" customHeight="false" outlineLevel="0" collapsed="false">
      <c r="A159" s="2" t="n">
        <f aca="false">Prices!A160</f>
        <v>45523</v>
      </c>
      <c r="B159" s="0" t="n">
        <f aca="false">LN(Prices!B160/Prices!B159)</f>
        <v>0.00689287432552629</v>
      </c>
      <c r="C159" s="0" t="n">
        <f aca="false">LN(Prices!C160/Prices!C159)</f>
        <v>0.000832594493432263</v>
      </c>
      <c r="D159" s="0" t="n">
        <f aca="false">LN(Prices!D160/Prices!D159)</f>
        <v>0.00305120142086216</v>
      </c>
    </row>
    <row r="160" customFormat="false" ht="15" hidden="false" customHeight="false" outlineLevel="0" collapsed="false">
      <c r="A160" s="2" t="n">
        <f aca="false">Prices!A161</f>
        <v>45524</v>
      </c>
      <c r="B160" s="0" t="n">
        <f aca="false">LN(Prices!B161/Prices!B160)</f>
        <v>-0.00432574842873386</v>
      </c>
      <c r="C160" s="0" t="n">
        <f aca="false">LN(Prices!C161/Prices!C160)</f>
        <v>-0.0146506966694619</v>
      </c>
      <c r="D160" s="0" t="n">
        <f aca="false">LN(Prices!D161/Prices!D160)</f>
        <v>-0.00957881901950037</v>
      </c>
    </row>
    <row r="161" customFormat="false" ht="15" hidden="false" customHeight="false" outlineLevel="0" collapsed="false">
      <c r="A161" s="2" t="n">
        <f aca="false">Prices!A162</f>
        <v>45525</v>
      </c>
      <c r="B161" s="0" t="n">
        <f aca="false">LN(Prices!B162/Prices!B161)</f>
        <v>0.000372894847308211</v>
      </c>
      <c r="C161" s="0" t="n">
        <f aca="false">LN(Prices!C162/Prices!C161)</f>
        <v>-0.00177103589577194</v>
      </c>
      <c r="D161" s="0" t="n">
        <f aca="false">LN(Prices!D162/Prices!D161)</f>
        <v>-0.000893389432730004</v>
      </c>
    </row>
    <row r="162" customFormat="false" ht="15" hidden="false" customHeight="false" outlineLevel="0" collapsed="false">
      <c r="A162" s="2" t="n">
        <f aca="false">Prices!A163</f>
        <v>45526</v>
      </c>
      <c r="B162" s="0" t="n">
        <f aca="false">LN(Prices!B163/Prices!B162)</f>
        <v>0.00941509226729093</v>
      </c>
      <c r="C162" s="0" t="n">
        <f aca="false">LN(Prices!C163/Prices!C162)</f>
        <v>0.0025949968937651</v>
      </c>
      <c r="D162" s="0" t="n">
        <f aca="false">LN(Prices!D163/Prices!D162)</f>
        <v>-0.00129203967526386</v>
      </c>
    </row>
    <row r="163" customFormat="false" ht="15" hidden="false" customHeight="false" outlineLevel="0" collapsed="false">
      <c r="A163" s="2" t="n">
        <f aca="false">Prices!A164</f>
        <v>45527</v>
      </c>
      <c r="B163" s="0" t="n">
        <f aca="false">LN(Prices!B164/Prices!B163)</f>
        <v>0.00772509430592074</v>
      </c>
      <c r="C163" s="0" t="n">
        <f aca="false">LN(Prices!C164/Prices!C163)</f>
        <v>0.0231750280830749</v>
      </c>
      <c r="D163" s="0" t="n">
        <f aca="false">LN(Prices!D164/Prices!D163)</f>
        <v>0.0131392177687415</v>
      </c>
    </row>
    <row r="164" customFormat="false" ht="15" hidden="false" customHeight="false" outlineLevel="0" collapsed="false">
      <c r="A164" s="2" t="n">
        <f aca="false">Prices!A165</f>
        <v>45530</v>
      </c>
      <c r="B164" s="0" t="n">
        <f aca="false">LN(Prices!B165/Prices!B164)</f>
        <v>0.00393158619043774</v>
      </c>
      <c r="C164" s="0" t="n">
        <f aca="false">LN(Prices!C165/Prices!C164)</f>
        <v>-0.00304740373892765</v>
      </c>
      <c r="D164" s="0" t="n">
        <f aca="false">LN(Prices!D165/Prices!D164)</f>
        <v>0.00430914481630183</v>
      </c>
    </row>
    <row r="165" customFormat="false" ht="15" hidden="false" customHeight="false" outlineLevel="0" collapsed="false">
      <c r="A165" s="2" t="n">
        <f aca="false">Prices!A166</f>
        <v>45531</v>
      </c>
      <c r="B165" s="0" t="n">
        <f aca="false">LN(Prices!B166/Prices!B165)</f>
        <v>0.00459768096234807</v>
      </c>
      <c r="C165" s="0" t="n">
        <f aca="false">LN(Prices!C166/Prices!C165)</f>
        <v>-0.00120181990290528</v>
      </c>
      <c r="D165" s="0" t="n">
        <f aca="false">LN(Prices!D166/Prices!D165)</f>
        <v>-0.00244601527877455</v>
      </c>
    </row>
    <row r="166" customFormat="false" ht="15" hidden="false" customHeight="false" outlineLevel="0" collapsed="false">
      <c r="A166" s="2" t="n">
        <f aca="false">Prices!A167</f>
        <v>45532</v>
      </c>
      <c r="B166" s="0" t="n">
        <f aca="false">LN(Prices!B167/Prices!B166)</f>
        <v>0.00502875572513326</v>
      </c>
      <c r="C166" s="0" t="n">
        <f aca="false">LN(Prices!C167/Prices!C166)</f>
        <v>-0.00777774506503064</v>
      </c>
      <c r="D166" s="0" t="n">
        <f aca="false">LN(Prices!D167/Prices!D166)</f>
        <v>0.00117477428137625</v>
      </c>
    </row>
    <row r="167" customFormat="false" ht="15" hidden="false" customHeight="false" outlineLevel="0" collapsed="false">
      <c r="A167" s="2" t="n">
        <f aca="false">Prices!A168</f>
        <v>45533</v>
      </c>
      <c r="B167" s="0" t="n">
        <f aca="false">LN(Prices!B168/Prices!B167)</f>
        <v>0.00414889487074914</v>
      </c>
      <c r="C167" s="0" t="n">
        <f aca="false">LN(Prices!C168/Prices!C167)</f>
        <v>0.0133607722991511</v>
      </c>
      <c r="D167" s="0" t="n">
        <f aca="false">LN(Prices!D168/Prices!D167)</f>
        <v>0.00390631611866277</v>
      </c>
    </row>
    <row r="168" customFormat="false" ht="15" hidden="false" customHeight="false" outlineLevel="0" collapsed="false">
      <c r="A168" s="2" t="n">
        <f aca="false">Prices!A169</f>
        <v>45534</v>
      </c>
      <c r="B168" s="0" t="n">
        <f aca="false">LN(Prices!B169/Prices!B168)</f>
        <v>0.0115882319501672</v>
      </c>
      <c r="C168" s="0" t="n">
        <f aca="false">LN(Prices!C169/Prices!C168)</f>
        <v>0.00619257979095082</v>
      </c>
      <c r="D168" s="0" t="n">
        <f aca="false">LN(Prices!D169/Prices!D168)</f>
        <v>0.0097959127876097</v>
      </c>
    </row>
    <row r="169" customFormat="false" ht="15" hidden="false" customHeight="false" outlineLevel="0" collapsed="false">
      <c r="A169" s="2" t="n">
        <f aca="false">Prices!A170</f>
        <v>45538</v>
      </c>
      <c r="B169" s="0" t="n">
        <f aca="false">LN(Prices!B170/Prices!B169)</f>
        <v>-0.0202209656977186</v>
      </c>
      <c r="C169" s="0" t="n">
        <f aca="false">LN(Prices!C170/Prices!C169)</f>
        <v>-0.0456925032072833</v>
      </c>
      <c r="D169" s="0" t="n">
        <f aca="false">LN(Prices!D170/Prices!D169)</f>
        <v>-0.0427904875363075</v>
      </c>
    </row>
    <row r="170" customFormat="false" ht="15" hidden="false" customHeight="false" outlineLevel="0" collapsed="false">
      <c r="A170" s="2" t="n">
        <f aca="false">Prices!A171</f>
        <v>45539</v>
      </c>
      <c r="B170" s="0" t="n">
        <f aca="false">LN(Prices!B171/Prices!B170)</f>
        <v>-0.00441276134098105</v>
      </c>
      <c r="C170" s="0" t="n">
        <f aca="false">LN(Prices!C171/Prices!C170)</f>
        <v>0.00650243900644294</v>
      </c>
      <c r="D170" s="0" t="n">
        <f aca="false">LN(Prices!D171/Prices!D170)</f>
        <v>0.00882569298040482</v>
      </c>
    </row>
    <row r="171" customFormat="false" ht="15" hidden="false" customHeight="false" outlineLevel="0" collapsed="false">
      <c r="A171" s="2" t="n">
        <f aca="false">Prices!A172</f>
        <v>45540</v>
      </c>
      <c r="B171" s="0" t="n">
        <f aca="false">LN(Prices!B172/Prices!B171)</f>
        <v>-0.00778100717220769</v>
      </c>
      <c r="C171" s="0" t="n">
        <f aca="false">LN(Prices!C172/Prices!C171)</f>
        <v>-0.00564121376646019</v>
      </c>
      <c r="D171" s="0" t="n">
        <f aca="false">LN(Prices!D172/Prices!D171)</f>
        <v>-0.00590867928655705</v>
      </c>
    </row>
    <row r="172" customFormat="false" ht="15" hidden="false" customHeight="false" outlineLevel="0" collapsed="false">
      <c r="A172" s="2" t="n">
        <f aca="false">Prices!A173</f>
        <v>45541</v>
      </c>
      <c r="B172" s="0" t="n">
        <f aca="false">LN(Prices!B173/Prices!B172)</f>
        <v>-0.0240426962153876</v>
      </c>
      <c r="C172" s="0" t="n">
        <f aca="false">LN(Prices!C173/Prices!C172)</f>
        <v>-0.0170961445980979</v>
      </c>
      <c r="D172" s="0" t="n">
        <f aca="false">LN(Prices!D173/Prices!D172)</f>
        <v>-0.0302852520834236</v>
      </c>
    </row>
    <row r="173" customFormat="false" ht="15" hidden="false" customHeight="false" outlineLevel="0" collapsed="false">
      <c r="A173" s="2" t="n">
        <f aca="false">Prices!A174</f>
        <v>45544</v>
      </c>
      <c r="B173" s="0" t="n">
        <f aca="false">LN(Prices!B174/Prices!B173)</f>
        <v>0.0202676174698481</v>
      </c>
      <c r="C173" s="0" t="n">
        <f aca="false">LN(Prices!C174/Prices!C173)</f>
        <v>0.0185094667730494</v>
      </c>
      <c r="D173" s="0" t="n">
        <f aca="false">LN(Prices!D174/Prices!D173)</f>
        <v>0.0163274463154227</v>
      </c>
    </row>
    <row r="174" customFormat="false" ht="15" hidden="false" customHeight="false" outlineLevel="0" collapsed="false">
      <c r="A174" s="2" t="n">
        <f aca="false">Prices!A175</f>
        <v>45545</v>
      </c>
      <c r="B174" s="0" t="n">
        <f aca="false">LN(Prices!B175/Prices!B174)</f>
        <v>-0.0532833992168032</v>
      </c>
      <c r="C174" s="0" t="n">
        <f aca="false">LN(Prices!C175/Prices!C174)</f>
        <v>-0.0448752315267292</v>
      </c>
      <c r="D174" s="0" t="n">
        <f aca="false">LN(Prices!D175/Prices!D174)</f>
        <v>-0.0160169463185218</v>
      </c>
    </row>
    <row r="175" customFormat="false" ht="15" hidden="false" customHeight="false" outlineLevel="0" collapsed="false">
      <c r="A175" s="2" t="n">
        <f aca="false">Prices!A176</f>
        <v>45546</v>
      </c>
      <c r="B175" s="0" t="n">
        <f aca="false">LN(Prices!B176/Prices!B175)</f>
        <v>0.00809124247362508</v>
      </c>
      <c r="C175" s="0" t="n">
        <f aca="false">LN(Prices!C176/Prices!C175)</f>
        <v>0.00861143550413788</v>
      </c>
      <c r="D175" s="0" t="n">
        <f aca="false">LN(Prices!D176/Prices!D175)</f>
        <v>0.00423463866948081</v>
      </c>
    </row>
    <row r="176" customFormat="false" ht="15" hidden="false" customHeight="false" outlineLevel="0" collapsed="false">
      <c r="A176" s="2" t="n">
        <f aca="false">Prices!A177</f>
        <v>45547</v>
      </c>
      <c r="B176" s="0" t="n">
        <f aca="false">LN(Prices!B177/Prices!B176)</f>
        <v>-0.00304474028190455</v>
      </c>
      <c r="C176" s="0" t="n">
        <f aca="false">LN(Prices!C177/Prices!C176)</f>
        <v>0.00611488412181926</v>
      </c>
      <c r="D176" s="0" t="n">
        <f aca="false">LN(Prices!D177/Prices!D176)</f>
        <v>-0.00402758135727294</v>
      </c>
    </row>
    <row r="177" customFormat="false" ht="15" hidden="false" customHeight="false" outlineLevel="0" collapsed="false">
      <c r="A177" s="2" t="n">
        <f aca="false">Prices!A178</f>
        <v>45548</v>
      </c>
      <c r="B177" s="0" t="n">
        <f aca="false">LN(Prices!B178/Prices!B177)</f>
        <v>-0.0110970803903233</v>
      </c>
      <c r="C177" s="0" t="n">
        <f aca="false">LN(Prices!C178/Prices!C177)</f>
        <v>0.0103458829588563</v>
      </c>
      <c r="D177" s="0" t="n">
        <f aca="false">LN(Prices!D178/Prices!D177)</f>
        <v>0.0165225670264977</v>
      </c>
    </row>
    <row r="178" customFormat="false" ht="15" hidden="false" customHeight="false" outlineLevel="0" collapsed="false">
      <c r="A178" s="2" t="n">
        <f aca="false">Prices!A179</f>
        <v>45551</v>
      </c>
      <c r="B178" s="0" t="n">
        <f aca="false">LN(Prices!B179/Prices!B178)</f>
        <v>0.0171773186440638</v>
      </c>
      <c r="C178" s="0" t="n">
        <f aca="false">LN(Prices!C179/Prices!C178)</f>
        <v>0.0127989569710455</v>
      </c>
      <c r="D178" s="0" t="n">
        <f aca="false">LN(Prices!D179/Prices!D178)</f>
        <v>0.0185544485418779</v>
      </c>
    </row>
    <row r="179" customFormat="false" ht="15" hidden="false" customHeight="false" outlineLevel="0" collapsed="false">
      <c r="A179" s="2" t="n">
        <f aca="false">Prices!A180</f>
        <v>45552</v>
      </c>
      <c r="B179" s="0" t="n">
        <f aca="false">LN(Prices!B180/Prices!B179)</f>
        <v>0.00666494039621001</v>
      </c>
      <c r="C179" s="0" t="n">
        <f aca="false">LN(Prices!C180/Prices!C179)</f>
        <v>0.000474058429560647</v>
      </c>
      <c r="D179" s="0" t="n">
        <f aca="false">LN(Prices!D180/Prices!D179)</f>
        <v>-0.00250082541301469</v>
      </c>
    </row>
    <row r="180" customFormat="false" ht="15" hidden="false" customHeight="false" outlineLevel="0" collapsed="false">
      <c r="A180" s="2" t="n">
        <f aca="false">Prices!A181</f>
        <v>45553</v>
      </c>
      <c r="B180" s="0" t="n">
        <f aca="false">LN(Prices!B181/Prices!B180)</f>
        <v>-0.00825374460088093</v>
      </c>
      <c r="C180" s="0" t="n">
        <f aca="false">LN(Prices!C181/Prices!C180)</f>
        <v>-0.00167024687944875</v>
      </c>
      <c r="D180" s="0" t="n">
        <f aca="false">LN(Prices!D181/Prices!D180)</f>
        <v>-0.00542322857871172</v>
      </c>
    </row>
    <row r="181" customFormat="false" ht="15" hidden="false" customHeight="false" outlineLevel="0" collapsed="false">
      <c r="A181" s="2" t="n">
        <f aca="false">Prices!A182</f>
        <v>45554</v>
      </c>
      <c r="B181" s="0" t="n">
        <f aca="false">LN(Prices!B182/Prices!B181)</f>
        <v>0.0141146755264939</v>
      </c>
      <c r="C181" s="0" t="n">
        <f aca="false">LN(Prices!C182/Prices!C181)</f>
        <v>0.0389563978853207</v>
      </c>
      <c r="D181" s="0" t="n">
        <f aca="false">LN(Prices!D182/Prices!D181)</f>
        <v>0.0142980744580708</v>
      </c>
    </row>
    <row r="182" customFormat="false" ht="15" hidden="false" customHeight="false" outlineLevel="0" collapsed="false">
      <c r="A182" s="2" t="n">
        <f aca="false">Prices!A183</f>
        <v>45555</v>
      </c>
      <c r="B182" s="0" t="n">
        <f aca="false">LN(Prices!B183/Prices!B182)</f>
        <v>0.00289409603384206</v>
      </c>
      <c r="C182" s="0" t="n">
        <f aca="false">LN(Prices!C183/Prices!C182)</f>
        <v>-0.0107757520808069</v>
      </c>
      <c r="D182" s="0" t="n">
        <f aca="false">LN(Prices!D183/Prices!D182)</f>
        <v>0.0171264047409589</v>
      </c>
    </row>
    <row r="183" customFormat="false" ht="15" hidden="false" customHeight="false" outlineLevel="0" collapsed="false">
      <c r="A183" s="2" t="n">
        <f aca="false">Prices!A184</f>
        <v>45558</v>
      </c>
      <c r="B183" s="0" t="n">
        <f aca="false">LN(Prices!B184/Prices!B183)</f>
        <v>0.00165655862337498</v>
      </c>
      <c r="C183" s="0" t="n">
        <f aca="false">LN(Prices!C184/Prices!C183)</f>
        <v>-0.00204850994809381</v>
      </c>
      <c r="D183" s="0" t="n">
        <f aca="false">LN(Prices!D184/Prices!D183)</f>
        <v>0</v>
      </c>
    </row>
    <row r="184" customFormat="false" ht="15" hidden="false" customHeight="false" outlineLevel="0" collapsed="false">
      <c r="A184" s="2" t="n">
        <f aca="false">Prices!A185</f>
        <v>45559</v>
      </c>
      <c r="B184" s="0" t="n">
        <f aca="false">LN(Prices!B185/Prices!B184)</f>
        <v>0.000709168174134484</v>
      </c>
      <c r="C184" s="0" t="n">
        <f aca="false">LN(Prices!C185/Prices!C184)</f>
        <v>0.00122554171548753</v>
      </c>
      <c r="D184" s="0" t="n">
        <f aca="false">LN(Prices!D185/Prices!D184)</f>
        <v>0.0010728651482975</v>
      </c>
    </row>
    <row r="185" customFormat="false" ht="15" hidden="false" customHeight="false" outlineLevel="0" collapsed="false">
      <c r="A185" s="2" t="n">
        <f aca="false">Prices!A186</f>
        <v>45560</v>
      </c>
      <c r="B185" s="0" t="n">
        <f aca="false">LN(Prices!B186/Prices!B185)</f>
        <v>-0.00663849257240457</v>
      </c>
      <c r="C185" s="0" t="n">
        <f aca="false">LN(Prices!C186/Prices!C185)</f>
        <v>-0.0139108810706938</v>
      </c>
      <c r="D185" s="0" t="n">
        <f aca="false">LN(Prices!D186/Prices!D185)</f>
        <v>-0.00234244662927215</v>
      </c>
    </row>
    <row r="186" customFormat="false" ht="15" hidden="false" customHeight="false" outlineLevel="0" collapsed="false">
      <c r="A186" s="2" t="n">
        <f aca="false">Prices!A187</f>
        <v>45561</v>
      </c>
      <c r="B186" s="0" t="n">
        <f aca="false">LN(Prices!B187/Prices!B186)</f>
        <v>-0.0019524967957043</v>
      </c>
      <c r="C186" s="0" t="n">
        <f aca="false">LN(Prices!C187/Prices!C186)</f>
        <v>0.011699733891327</v>
      </c>
      <c r="D186" s="0" t="n">
        <f aca="false">LN(Prices!D187/Prices!D186)</f>
        <v>0.0218429300736107</v>
      </c>
    </row>
    <row r="187" customFormat="false" ht="15" hidden="false" customHeight="false" outlineLevel="0" collapsed="false">
      <c r="A187" s="2" t="n">
        <f aca="false">Prices!A188</f>
        <v>45562</v>
      </c>
      <c r="B187" s="0" t="n">
        <f aca="false">LN(Prices!B188/Prices!B187)</f>
        <v>0.00342611727631723</v>
      </c>
      <c r="C187" s="0" t="n">
        <f aca="false">LN(Prices!C188/Prices!C187)</f>
        <v>0.00319457680219505</v>
      </c>
      <c r="D187" s="0" t="n">
        <f aca="false">LN(Prices!D188/Prices!D187)</f>
        <v>-0.00469545994495995</v>
      </c>
    </row>
    <row r="188" customFormat="false" ht="15" hidden="false" customHeight="false" outlineLevel="0" collapsed="false">
      <c r="A188" s="2" t="n">
        <f aca="false">Prices!A189</f>
        <v>45565</v>
      </c>
      <c r="B188" s="0" t="n">
        <f aca="false">LN(Prices!B189/Prices!B188)</f>
        <v>0.00170885532645867</v>
      </c>
      <c r="C188" s="0" t="n">
        <f aca="false">LN(Prices!C189/Prices!C188)</f>
        <v>-0.00684373273302275</v>
      </c>
      <c r="D188" s="0" t="n">
        <f aca="false">LN(Prices!D189/Prices!D188)</f>
        <v>0.00124793333771301</v>
      </c>
    </row>
    <row r="189" customFormat="false" ht="15" hidden="false" customHeight="false" outlineLevel="0" collapsed="false">
      <c r="A189" s="2" t="n">
        <f aca="false">Prices!A190</f>
        <v>45566</v>
      </c>
      <c r="B189" s="0" t="n">
        <f aca="false">LN(Prices!B190/Prices!B189)</f>
        <v>-0.0182825470740212</v>
      </c>
      <c r="C189" s="0" t="n">
        <f aca="false">LN(Prices!C190/Prices!C189)</f>
        <v>-0.01002749320161</v>
      </c>
      <c r="D189" s="0" t="n">
        <f aca="false">LN(Prices!D190/Prices!D189)</f>
        <v>0.00172528745881305</v>
      </c>
    </row>
    <row r="190" customFormat="false" ht="15" hidden="false" customHeight="false" outlineLevel="0" collapsed="false">
      <c r="A190" s="2" t="n">
        <f aca="false">Prices!A191</f>
        <v>45567</v>
      </c>
      <c r="B190" s="0" t="n">
        <f aca="false">LN(Prices!B191/Prices!B190)</f>
        <v>0.00120681658710874</v>
      </c>
      <c r="C190" s="0" t="n">
        <f aca="false">LN(Prices!C191/Prices!C190)</f>
        <v>0.00370593616691966</v>
      </c>
      <c r="D190" s="0" t="n">
        <f aca="false">LN(Prices!D191/Prices!D190)</f>
        <v>0.000956977764885555</v>
      </c>
    </row>
    <row r="191" customFormat="false" ht="15" hidden="false" customHeight="false" outlineLevel="0" collapsed="false">
      <c r="A191" s="2" t="n">
        <f aca="false">Prices!A192</f>
        <v>45568</v>
      </c>
      <c r="B191" s="0" t="n">
        <f aca="false">LN(Prices!B192/Prices!B191)</f>
        <v>-0.0099874377142405</v>
      </c>
      <c r="C191" s="0" t="n">
        <f aca="false">LN(Prices!C192/Prices!C191)</f>
        <v>-0.0120439807448554</v>
      </c>
      <c r="D191" s="0" t="n">
        <f aca="false">LN(Prices!D192/Prices!D191)</f>
        <v>0.000478529881739347</v>
      </c>
    </row>
    <row r="192" customFormat="false" ht="15" hidden="false" customHeight="false" outlineLevel="0" collapsed="false">
      <c r="A192" s="2" t="n">
        <f aca="false">Prices!A193</f>
        <v>45569</v>
      </c>
      <c r="B192" s="0" t="n">
        <f aca="false">LN(Prices!B193/Prices!B192)</f>
        <v>0.0348784424667656</v>
      </c>
      <c r="C192" s="0" t="n">
        <f aca="false">LN(Prices!C193/Prices!C192)</f>
        <v>0.0184665417300402</v>
      </c>
      <c r="D192" s="0" t="n">
        <f aca="false">LN(Prices!D193/Prices!D192)</f>
        <v>0.0311626939792401</v>
      </c>
    </row>
    <row r="193" customFormat="false" ht="15" hidden="false" customHeight="false" outlineLevel="0" collapsed="false">
      <c r="A193" s="2" t="n">
        <f aca="false">Prices!A194</f>
        <v>45572</v>
      </c>
      <c r="B193" s="0" t="n">
        <f aca="false">LN(Prices!B194/Prices!B193)</f>
        <v>-0.00137400371361332</v>
      </c>
      <c r="C193" s="0" t="n">
        <f aca="false">LN(Prices!C194/Prices!C193)</f>
        <v>-0.00109106193788417</v>
      </c>
      <c r="D193" s="0" t="n">
        <f aca="false">LN(Prices!D194/Prices!D193)</f>
        <v>-0.00222701331461909</v>
      </c>
    </row>
    <row r="194" customFormat="false" ht="15" hidden="false" customHeight="false" outlineLevel="0" collapsed="false">
      <c r="A194" s="2" t="n">
        <f aca="false">Prices!A195</f>
        <v>45573</v>
      </c>
      <c r="B194" s="0" t="n">
        <f aca="false">LN(Prices!B195/Prices!B194)</f>
        <v>-0.000853788179217429</v>
      </c>
      <c r="C194" s="0" t="n">
        <f aca="false">LN(Prices!C195/Prices!C194)</f>
        <v>0.00393466960400373</v>
      </c>
      <c r="D194" s="0" t="n">
        <f aca="false">LN(Prices!D195/Prices!D194)</f>
        <v>-0.00139453689627136</v>
      </c>
    </row>
    <row r="195" customFormat="false" ht="15" hidden="false" customHeight="false" outlineLevel="0" collapsed="false">
      <c r="A195" s="2" t="n">
        <f aca="false">Prices!A196</f>
        <v>45574</v>
      </c>
      <c r="B195" s="0" t="n">
        <f aca="false">LN(Prices!B196/Prices!B195)</f>
        <v>0.0125894150062162</v>
      </c>
      <c r="C195" s="0" t="n">
        <f aca="false">LN(Prices!C196/Prices!C195)</f>
        <v>0.0171902409692655</v>
      </c>
      <c r="D195" s="0" t="n">
        <f aca="false">LN(Prices!D196/Prices!D195)</f>
        <v>0.014316866268613</v>
      </c>
    </row>
    <row r="196" customFormat="false" ht="15" hidden="false" customHeight="false" outlineLevel="0" collapsed="false">
      <c r="A196" s="2" t="n">
        <f aca="false">Prices!A197</f>
        <v>45575</v>
      </c>
      <c r="B196" s="0" t="n">
        <f aca="false">LN(Prices!B197/Prices!B196)</f>
        <v>-0.0027212902626279</v>
      </c>
      <c r="C196" s="0" t="n">
        <f aca="false">LN(Prices!C197/Prices!C196)</f>
        <v>-0.00289416381557793</v>
      </c>
      <c r="D196" s="0" t="n">
        <f aca="false">LN(Prices!D197/Prices!D196)</f>
        <v>-0.00884305446329676</v>
      </c>
    </row>
    <row r="197" customFormat="false" ht="15" hidden="false" customHeight="false" outlineLevel="0" collapsed="false">
      <c r="A197" s="2" t="n">
        <f aca="false">Prices!A198</f>
        <v>45576</v>
      </c>
      <c r="B197" s="0" t="n">
        <f aca="false">LN(Prices!B198/Prices!B197)</f>
        <v>0.0434420310504573</v>
      </c>
      <c r="C197" s="0" t="n">
        <f aca="false">LN(Prices!C198/Prices!C197)</f>
        <v>0.0246674883796032</v>
      </c>
      <c r="D197" s="0" t="n">
        <f aca="false">LN(Prices!D198/Prices!D197)</f>
        <v>0.0217817474525082</v>
      </c>
    </row>
    <row r="198" customFormat="false" ht="15" hidden="false" customHeight="false" outlineLevel="0" collapsed="false">
      <c r="A198" s="2" t="n">
        <f aca="false">Prices!A199</f>
        <v>45579</v>
      </c>
      <c r="B198" s="0" t="n">
        <f aca="false">LN(Prices!B199/Prices!B198)</f>
        <v>-0.00365040953394223</v>
      </c>
      <c r="C198" s="0" t="n">
        <f aca="false">LN(Prices!C199/Prices!C198)</f>
        <v>0.0124153464231395</v>
      </c>
      <c r="D198" s="0" t="n">
        <f aca="false">LN(Prices!D199/Prices!D198)</f>
        <v>0.0163423582228386</v>
      </c>
    </row>
    <row r="199" customFormat="false" ht="15" hidden="false" customHeight="false" outlineLevel="0" collapsed="false">
      <c r="A199" s="2" t="n">
        <f aca="false">Prices!A200</f>
        <v>45580</v>
      </c>
      <c r="B199" s="0" t="n">
        <f aca="false">LN(Prices!B200/Prices!B199)</f>
        <v>0.00410025029015585</v>
      </c>
      <c r="C199" s="0" t="n">
        <f aca="false">LN(Prices!C200/Prices!C199)</f>
        <v>-0.000708135069618868</v>
      </c>
      <c r="D199" s="0" t="n">
        <f aca="false">LN(Prices!D200/Prices!D199)</f>
        <v>-0.000534661966828397</v>
      </c>
    </row>
    <row r="200" customFormat="false" ht="15" hidden="false" customHeight="false" outlineLevel="0" collapsed="false">
      <c r="A200" s="2" t="n">
        <f aca="false">Prices!A201</f>
        <v>45581</v>
      </c>
      <c r="B200" s="0" t="n">
        <f aca="false">LN(Prices!B201/Prices!B200)</f>
        <v>0.00560504793017896</v>
      </c>
      <c r="C200" s="0" t="n">
        <f aca="false">LN(Prices!C201/Prices!C200)</f>
        <v>0.0142175815136316</v>
      </c>
      <c r="D200" s="0" t="n">
        <f aca="false">LN(Prices!D201/Prices!D200)</f>
        <v>0.0629389229196804</v>
      </c>
    </row>
    <row r="201" customFormat="false" ht="15" hidden="false" customHeight="false" outlineLevel="0" collapsed="false">
      <c r="A201" s="2" t="n">
        <f aca="false">Prices!A202</f>
        <v>45582</v>
      </c>
      <c r="B201" s="0" t="n">
        <f aca="false">LN(Prices!B202/Prices!B201)</f>
        <v>0.0034816434337935</v>
      </c>
      <c r="C201" s="0" t="n">
        <f aca="false">LN(Prices!C202/Prices!C201)</f>
        <v>-0.00162437290249189</v>
      </c>
      <c r="D201" s="0" t="n">
        <f aca="false">LN(Prices!D202/Prices!D201)</f>
        <v>-0.000585927664920758</v>
      </c>
    </row>
    <row r="202" customFormat="false" ht="15" hidden="false" customHeight="false" outlineLevel="0" collapsed="false">
      <c r="A202" s="2" t="n">
        <f aca="false">Prices!A203</f>
        <v>45583</v>
      </c>
      <c r="B202" s="0" t="n">
        <f aca="false">LN(Prices!B203/Prices!B202)</f>
        <v>0.00422427506984172</v>
      </c>
      <c r="C202" s="0" t="n">
        <f aca="false">LN(Prices!C203/Prices!C202)</f>
        <v>-0.000945646593901115</v>
      </c>
      <c r="D202" s="0" t="n">
        <f aca="false">LN(Prices!D203/Prices!D202)</f>
        <v>0.0134720778154765</v>
      </c>
    </row>
    <row r="203" customFormat="false" ht="15" hidden="false" customHeight="false" outlineLevel="0" collapsed="false">
      <c r="A203" s="2" t="n">
        <f aca="false">Prices!A204</f>
        <v>45586</v>
      </c>
      <c r="B203" s="0" t="n">
        <f aca="false">LN(Prices!B204/Prices!B203)</f>
        <v>-0.0105717293090935</v>
      </c>
      <c r="C203" s="0" t="n">
        <f aca="false">LN(Prices!C204/Prices!C203)</f>
        <v>-0.0204536979389255</v>
      </c>
      <c r="D203" s="0" t="n">
        <f aca="false">LN(Prices!D204/Prices!D203)</f>
        <v>-0.0232315604512955</v>
      </c>
    </row>
    <row r="204" customFormat="false" ht="15" hidden="false" customHeight="false" outlineLevel="0" collapsed="false">
      <c r="A204" s="2" t="n">
        <f aca="false">Prices!A205</f>
        <v>45587</v>
      </c>
      <c r="B204" s="0" t="n">
        <f aca="false">LN(Prices!B205/Prices!B204)</f>
        <v>0.00500982730728426</v>
      </c>
      <c r="C204" s="0" t="n">
        <f aca="false">LN(Prices!C205/Prices!C204)</f>
        <v>0.00096511703604376</v>
      </c>
      <c r="D204" s="0" t="n">
        <f aca="false">LN(Prices!D205/Prices!D204)</f>
        <v>0.000338121925449643</v>
      </c>
    </row>
    <row r="205" customFormat="false" ht="15" hidden="false" customHeight="false" outlineLevel="0" collapsed="false">
      <c r="A205" s="2" t="n">
        <f aca="false">Prices!A206</f>
        <v>45588</v>
      </c>
      <c r="B205" s="0" t="n">
        <f aca="false">LN(Prices!B206/Prices!B205)</f>
        <v>-0.00317297432220066</v>
      </c>
      <c r="C205" s="0" t="n">
        <f aca="false">LN(Prices!C206/Prices!C205)</f>
        <v>-0.00212459884934576</v>
      </c>
      <c r="D205" s="0" t="n">
        <f aca="false">LN(Prices!D206/Prices!D205)</f>
        <v>-0.000338121925449663</v>
      </c>
    </row>
    <row r="206" customFormat="false" ht="15" hidden="false" customHeight="false" outlineLevel="0" collapsed="false">
      <c r="A206" s="2" t="n">
        <f aca="false">Prices!A207</f>
        <v>45589</v>
      </c>
      <c r="B206" s="0" t="n">
        <f aca="false">LN(Prices!B207/Prices!B206)</f>
        <v>0.00700280263859865</v>
      </c>
      <c r="C206" s="0" t="n">
        <f aca="false">LN(Prices!C207/Prices!C206)</f>
        <v>0.0140157010743334</v>
      </c>
      <c r="D206" s="0" t="n">
        <f aca="false">LN(Prices!D207/Prices!D206)</f>
        <v>0.00749635085382318</v>
      </c>
    </row>
    <row r="207" customFormat="false" ht="15" hidden="false" customHeight="false" outlineLevel="0" collapsed="false">
      <c r="A207" s="2" t="n">
        <f aca="false">Prices!A208</f>
        <v>45590</v>
      </c>
      <c r="B207" s="0" t="n">
        <f aca="false">LN(Prices!B208/Prices!B207)</f>
        <v>-0.0119386638605311</v>
      </c>
      <c r="C207" s="0" t="n">
        <f aca="false">LN(Prices!C208/Prices!C207)</f>
        <v>-0.0229496378338512</v>
      </c>
      <c r="D207" s="0" t="n">
        <f aca="false">LN(Prices!D208/Prices!D207)</f>
        <v>-0.0194031567548285</v>
      </c>
    </row>
    <row r="208" customFormat="false" ht="15" hidden="false" customHeight="false" outlineLevel="0" collapsed="false">
      <c r="A208" s="2" t="n">
        <f aca="false">Prices!A209</f>
        <v>45593</v>
      </c>
      <c r="B208" s="0" t="n">
        <f aca="false">LN(Prices!B209/Prices!B208)</f>
        <v>0.0142473826776508</v>
      </c>
      <c r="C208" s="0" t="n">
        <f aca="false">LN(Prices!C209/Prices!C208)</f>
        <v>0.0211940985178951</v>
      </c>
      <c r="D208" s="0" t="n">
        <f aca="false">LN(Prices!D209/Prices!D208)</f>
        <v>0.0190674469462997</v>
      </c>
    </row>
    <row r="209" customFormat="false" ht="15" hidden="false" customHeight="false" outlineLevel="0" collapsed="false">
      <c r="A209" s="2" t="n">
        <f aca="false">Prices!A210</f>
        <v>45594</v>
      </c>
      <c r="B209" s="0" t="n">
        <f aca="false">LN(Prices!B210/Prices!B209)</f>
        <v>-0.0115969843865912</v>
      </c>
      <c r="C209" s="0" t="n">
        <f aca="false">LN(Prices!C210/Prices!C209)</f>
        <v>0.00133603647274065</v>
      </c>
      <c r="D209" s="0" t="n">
        <f aca="false">LN(Prices!D210/Prices!D209)</f>
        <v>0.00142602267402592</v>
      </c>
    </row>
    <row r="210" customFormat="false" ht="15" hidden="false" customHeight="false" outlineLevel="0" collapsed="false">
      <c r="A210" s="2" t="n">
        <f aca="false">Prices!A211</f>
        <v>45595</v>
      </c>
      <c r="B210" s="0" t="n">
        <f aca="false">LN(Prices!B211/Prices!B210)</f>
        <v>0.00675155942443333</v>
      </c>
      <c r="C210" s="0" t="n">
        <f aca="false">LN(Prices!C211/Prices!C210)</f>
        <v>0.000228847053018471</v>
      </c>
      <c r="D210" s="0" t="n">
        <f aca="false">LN(Prices!D211/Prices!D210)</f>
        <v>-0.0116349167816274</v>
      </c>
    </row>
    <row r="211" customFormat="false" ht="15" hidden="false" customHeight="false" outlineLevel="0" collapsed="false">
      <c r="A211" s="2" t="n">
        <f aca="false">Prices!A212</f>
        <v>45596</v>
      </c>
      <c r="B211" s="0" t="n">
        <f aca="false">LN(Prices!B212/Prices!B211)</f>
        <v>-0.0111578224520139</v>
      </c>
      <c r="C211" s="0" t="n">
        <f aca="false">LN(Prices!C212/Prices!C211)</f>
        <v>-0.0126850641922699</v>
      </c>
      <c r="D211" s="0" t="n">
        <f aca="false">LN(Prices!D212/Prices!D211)</f>
        <v>-0.00638817491960636</v>
      </c>
    </row>
    <row r="212" customFormat="false" ht="15" hidden="false" customHeight="false" outlineLevel="0" collapsed="false">
      <c r="A212" s="2" t="n">
        <f aca="false">Prices!A213</f>
        <v>45597</v>
      </c>
      <c r="B212" s="0" t="n">
        <f aca="false">LN(Prices!B213/Prices!B212)</f>
        <v>0.00458568862582754</v>
      </c>
      <c r="C212" s="0" t="n">
        <f aca="false">LN(Prices!C213/Prices!C212)</f>
        <v>0.0030083000393821</v>
      </c>
      <c r="D212" s="0" t="n">
        <f aca="false">LN(Prices!D213/Prices!D212)</f>
        <v>0.00514810543217939</v>
      </c>
    </row>
    <row r="213" customFormat="false" ht="15" hidden="false" customHeight="false" outlineLevel="0" collapsed="false">
      <c r="A213" s="2" t="n">
        <f aca="false">Prices!A214</f>
        <v>45600</v>
      </c>
      <c r="B213" s="0" t="n">
        <f aca="false">LN(Prices!B214/Prices!B213)</f>
        <v>-0.0142756147454288</v>
      </c>
      <c r="C213" s="0" t="n">
        <f aca="false">LN(Prices!C214/Prices!C213)</f>
        <v>-0.0152890705691302</v>
      </c>
      <c r="D213" s="0" t="n">
        <f aca="false">LN(Prices!D214/Prices!D213)</f>
        <v>-0.00609473542453341</v>
      </c>
    </row>
    <row r="214" customFormat="false" ht="15" hidden="false" customHeight="false" outlineLevel="0" collapsed="false">
      <c r="A214" s="2" t="n">
        <f aca="false">Prices!A215</f>
        <v>45601</v>
      </c>
      <c r="B214" s="0" t="n">
        <f aca="false">LN(Prices!B215/Prices!B214)</f>
        <v>0.00775047653571941</v>
      </c>
      <c r="C214" s="0" t="n">
        <f aca="false">LN(Prices!C215/Prices!C214)</f>
        <v>0.029835852283282</v>
      </c>
      <c r="D214" s="0" t="n">
        <f aca="false">LN(Prices!D215/Prices!D214)</f>
        <v>0.0142768232019354</v>
      </c>
    </row>
    <row r="215" customFormat="false" ht="15" hidden="false" customHeight="false" outlineLevel="0" collapsed="false">
      <c r="A215" s="2" t="n">
        <f aca="false">Prices!A216</f>
        <v>45602</v>
      </c>
      <c r="B215" s="0" t="n">
        <f aca="false">LN(Prices!B216/Prices!B215)</f>
        <v>0.109253791178956</v>
      </c>
      <c r="C215" s="0" t="n">
        <f aca="false">LN(Prices!C216/Prices!C215)</f>
        <v>0.123082418483209</v>
      </c>
      <c r="D215" s="0" t="n">
        <f aca="false">LN(Prices!D216/Prices!D215)</f>
        <v>0.109857765619364</v>
      </c>
    </row>
    <row r="216" customFormat="false" ht="15" hidden="false" customHeight="false" outlineLevel="0" collapsed="false">
      <c r="A216" s="2" t="n">
        <f aca="false">Prices!A217</f>
        <v>45603</v>
      </c>
      <c r="B216" s="0" t="n">
        <f aca="false">LN(Prices!B217/Prices!B216)</f>
        <v>-0.0441905163737719</v>
      </c>
      <c r="C216" s="0" t="n">
        <f aca="false">LN(Prices!C217/Prices!C216)</f>
        <v>-0.0234447764291644</v>
      </c>
      <c r="D216" s="0" t="n">
        <f aca="false">LN(Prices!D217/Prices!D216)</f>
        <v>-0.0234691023859562</v>
      </c>
    </row>
    <row r="217" customFormat="false" ht="15" hidden="false" customHeight="false" outlineLevel="0" collapsed="false">
      <c r="A217" s="2" t="n">
        <f aca="false">Prices!A218</f>
        <v>45604</v>
      </c>
      <c r="B217" s="0" t="n">
        <f aca="false">LN(Prices!B218/Prices!B217)</f>
        <v>0.0025349813573009</v>
      </c>
      <c r="C217" s="0" t="n">
        <f aca="false">LN(Prices!C218/Prices!C217)</f>
        <v>0.0121051357768591</v>
      </c>
      <c r="D217" s="0" t="n">
        <f aca="false">LN(Prices!D218/Prices!D217)</f>
        <v>0.00845073127406741</v>
      </c>
    </row>
    <row r="218" customFormat="false" ht="15" hidden="false" customHeight="false" outlineLevel="0" collapsed="false">
      <c r="A218" s="2" t="n">
        <f aca="false">Prices!A219</f>
        <v>45607</v>
      </c>
      <c r="B218" s="0" t="n">
        <f aca="false">LN(Prices!B219/Prices!B218)</f>
        <v>0.00970044332517544</v>
      </c>
      <c r="C218" s="0" t="n">
        <f aca="false">LN(Prices!C219/Prices!C218)</f>
        <v>0.0219547280961066</v>
      </c>
      <c r="D218" s="0" t="n">
        <f aca="false">LN(Prices!D219/Prices!D218)</f>
        <v>0.0303387234676229</v>
      </c>
    </row>
    <row r="219" customFormat="false" ht="15" hidden="false" customHeight="false" outlineLevel="0" collapsed="false">
      <c r="A219" s="2" t="n">
        <f aca="false">Prices!A220</f>
        <v>45608</v>
      </c>
      <c r="B219" s="0" t="n">
        <f aca="false">LN(Prices!B220/Prices!B219)</f>
        <v>0.0011276824366424</v>
      </c>
      <c r="C219" s="0" t="n">
        <f aca="false">LN(Prices!C220/Prices!C219)</f>
        <v>-0.0163193083357255</v>
      </c>
      <c r="D219" s="0" t="n">
        <f aca="false">LN(Prices!D220/Prices!D219)</f>
        <v>-0.00910370061301893</v>
      </c>
    </row>
    <row r="220" customFormat="false" ht="15" hidden="false" customHeight="false" outlineLevel="0" collapsed="false">
      <c r="A220" s="2" t="n">
        <f aca="false">Prices!A221</f>
        <v>45609</v>
      </c>
      <c r="B220" s="0" t="n">
        <f aca="false">LN(Prices!B221/Prices!B220)</f>
        <v>0.00665675921521606</v>
      </c>
      <c r="C220" s="0" t="n">
        <f aca="false">LN(Prices!C221/Prices!C220)</f>
        <v>0.00274663985075941</v>
      </c>
      <c r="D220" s="0" t="n">
        <f aca="false">LN(Prices!D221/Prices!D220)</f>
        <v>0.00339542151370849</v>
      </c>
    </row>
    <row r="221" customFormat="false" ht="15" hidden="false" customHeight="false" outlineLevel="0" collapsed="false">
      <c r="A221" s="2" t="n">
        <f aca="false">Prices!A222</f>
        <v>45610</v>
      </c>
      <c r="B221" s="0" t="n">
        <f aca="false">LN(Prices!B222/Prices!B221)</f>
        <v>0.00293977812809723</v>
      </c>
      <c r="C221" s="0" t="n">
        <f aca="false">LN(Prices!C222/Prices!C221)</f>
        <v>-0.00948581890959945</v>
      </c>
      <c r="D221" s="0" t="n">
        <f aca="false">LN(Prices!D222/Prices!D221)</f>
        <v>-0.00248888001921151</v>
      </c>
    </row>
    <row r="222" customFormat="false" ht="15" hidden="false" customHeight="false" outlineLevel="0" collapsed="false">
      <c r="A222" s="2" t="n">
        <f aca="false">Prices!A223</f>
        <v>45611</v>
      </c>
      <c r="B222" s="0" t="n">
        <f aca="false">LN(Prices!B223/Prices!B222)</f>
        <v>0.0141223043020579</v>
      </c>
      <c r="C222" s="0" t="n">
        <f aca="false">LN(Prices!C223/Prices!C222)</f>
        <v>0.0083408846316078</v>
      </c>
      <c r="D222" s="0" t="n">
        <f aca="false">LN(Prices!D223/Prices!D222)</f>
        <v>0.0122332436271266</v>
      </c>
    </row>
    <row r="223" customFormat="false" ht="15" hidden="false" customHeight="false" outlineLevel="0" collapsed="false">
      <c r="A223" s="2" t="n">
        <f aca="false">Prices!A224</f>
        <v>45614</v>
      </c>
      <c r="B223" s="0" t="n">
        <f aca="false">LN(Prices!B224/Prices!B223)</f>
        <v>-0.00114205939274133</v>
      </c>
      <c r="C223" s="0" t="n">
        <f aca="false">LN(Prices!C224/Prices!C223)</f>
        <v>-0.0093947761690513</v>
      </c>
      <c r="D223" s="0" t="n">
        <f aca="false">LN(Prices!D224/Prices!D223)</f>
        <v>-0.00209070244913119</v>
      </c>
    </row>
    <row r="224" customFormat="false" ht="15" hidden="false" customHeight="false" outlineLevel="0" collapsed="false">
      <c r="A224" s="2" t="n">
        <f aca="false">Prices!A225</f>
        <v>45615</v>
      </c>
      <c r="B224" s="0" t="n">
        <f aca="false">LN(Prices!B225/Prices!B224)</f>
        <v>-0.00794890613117519</v>
      </c>
      <c r="C224" s="0" t="n">
        <f aca="false">LN(Prices!C225/Prices!C224)</f>
        <v>-0.0113053040507614</v>
      </c>
      <c r="D224" s="0" t="n">
        <f aca="false">LN(Prices!D225/Prices!D224)</f>
        <v>-0.011578197930796</v>
      </c>
    </row>
    <row r="225" customFormat="false" ht="15" hidden="false" customHeight="false" outlineLevel="0" collapsed="false">
      <c r="A225" s="2" t="n">
        <f aca="false">Prices!A226</f>
        <v>45616</v>
      </c>
      <c r="B225" s="0" t="n">
        <f aca="false">LN(Prices!B226/Prices!B225)</f>
        <v>-0.00954814450944741</v>
      </c>
      <c r="C225" s="0" t="n">
        <f aca="false">LN(Prices!C226/Prices!C225)</f>
        <v>0.000945505132821129</v>
      </c>
      <c r="D225" s="0" t="n">
        <f aca="false">LN(Prices!D226/Prices!D225)</f>
        <v>-0.00416765804623108</v>
      </c>
    </row>
    <row r="226" customFormat="false" ht="15" hidden="false" customHeight="false" outlineLevel="0" collapsed="false">
      <c r="A226" s="2" t="n">
        <f aca="false">Prices!A227</f>
        <v>45617</v>
      </c>
      <c r="B226" s="0" t="n">
        <f aca="false">LN(Prices!B227/Prices!B226)</f>
        <v>0.0163946208472567</v>
      </c>
      <c r="C226" s="0" t="n">
        <f aca="false">LN(Prices!C227/Prices!C226)</f>
        <v>0.0240749745854279</v>
      </c>
      <c r="D226" s="0" t="n">
        <f aca="false">LN(Prices!D227/Prices!D226)</f>
        <v>0.024749912652225</v>
      </c>
    </row>
    <row r="227" customFormat="false" ht="15" hidden="false" customHeight="false" outlineLevel="0" collapsed="false">
      <c r="A227" s="2" t="n">
        <f aca="false">Prices!A228</f>
        <v>45618</v>
      </c>
      <c r="B227" s="0" t="n">
        <f aca="false">LN(Prices!B228/Prices!B227)</f>
        <v>0.0153658338722029</v>
      </c>
      <c r="C227" s="0" t="n">
        <f aca="false">LN(Prices!C228/Prices!C227)</f>
        <v>0.0111272594296953</v>
      </c>
      <c r="D227" s="0" t="n">
        <f aca="false">LN(Prices!D228/Prices!D227)</f>
        <v>-0.00222483918239269</v>
      </c>
    </row>
    <row r="228" customFormat="false" ht="15" hidden="false" customHeight="false" outlineLevel="0" collapsed="false">
      <c r="A228" s="2" t="n">
        <f aca="false">Prices!A229</f>
        <v>45621</v>
      </c>
      <c r="B228" s="0" t="n">
        <f aca="false">LN(Prices!B229/Prices!B228)</f>
        <v>0.00697619789871781</v>
      </c>
      <c r="C228" s="0" t="n">
        <f aca="false">LN(Prices!C229/Prices!C228)</f>
        <v>0.000414588856721418</v>
      </c>
      <c r="D228" s="0" t="n">
        <f aca="false">LN(Prices!D229/Prices!D228)</f>
        <v>-0.00767666636416184</v>
      </c>
    </row>
    <row r="229" customFormat="false" ht="15" hidden="false" customHeight="false" outlineLevel="0" collapsed="false">
      <c r="A229" s="2" t="n">
        <f aca="false">Prices!A230</f>
        <v>45622</v>
      </c>
      <c r="B229" s="0" t="n">
        <f aca="false">LN(Prices!B230/Prices!B229)</f>
        <v>-0.00127931979807749</v>
      </c>
      <c r="C229" s="0" t="n">
        <f aca="false">LN(Prices!C230/Prices!C229)</f>
        <v>0.00408769377397232</v>
      </c>
      <c r="D229" s="0" t="n">
        <f aca="false">LN(Prices!D230/Prices!D229)</f>
        <v>-0.0179669303677746</v>
      </c>
    </row>
    <row r="230" customFormat="false" ht="15" hidden="false" customHeight="false" outlineLevel="0" collapsed="false">
      <c r="A230" s="2" t="n">
        <f aca="false">Prices!A231</f>
        <v>45623</v>
      </c>
      <c r="B230" s="0" t="n">
        <f aca="false">LN(Prices!B231/Prices!B230)</f>
        <v>-0.000720396585078604</v>
      </c>
      <c r="C230" s="0" t="n">
        <f aca="false">LN(Prices!C231/Prices!C230)</f>
        <v>-0.000115480762748216</v>
      </c>
      <c r="D230" s="0" t="n">
        <f aca="false">LN(Prices!D231/Prices!D230)</f>
        <v>-0.000533206999357358</v>
      </c>
    </row>
    <row r="231" customFormat="false" ht="15" hidden="false" customHeight="false" outlineLevel="0" collapsed="false">
      <c r="A231" s="2" t="n">
        <f aca="false">Prices!A232</f>
        <v>45625</v>
      </c>
      <c r="B231" s="0" t="n">
        <f aca="false">LN(Prices!B232/Prices!B231)</f>
        <v>-0.000280178422589503</v>
      </c>
      <c r="C231" s="0" t="n">
        <f aca="false">LN(Prices!C232/Prices!C231)</f>
        <v>0.00517272873059868</v>
      </c>
      <c r="D231" s="0" t="n">
        <f aca="false">LN(Prices!D232/Prices!D231)</f>
        <v>0.00304398337162836</v>
      </c>
    </row>
    <row r="232" customFormat="false" ht="15" hidden="false" customHeight="false" outlineLevel="0" collapsed="false">
      <c r="A232" s="2" t="n">
        <f aca="false">Prices!A233</f>
        <v>45628</v>
      </c>
      <c r="B232" s="0" t="n">
        <f aca="false">LN(Prices!B233/Prices!B232)</f>
        <v>-0.0139930935106013</v>
      </c>
      <c r="C232" s="0" t="n">
        <f aca="false">LN(Prices!C233/Prices!C232)</f>
        <v>-0.00639432671968098</v>
      </c>
      <c r="D232" s="0" t="n">
        <f aca="false">LN(Prices!D233/Prices!D232)</f>
        <v>-0.00441675907439711</v>
      </c>
    </row>
    <row r="233" customFormat="false" ht="15" hidden="false" customHeight="false" outlineLevel="0" collapsed="false">
      <c r="A233" s="2" t="n">
        <f aca="false">Prices!A234</f>
        <v>45629</v>
      </c>
      <c r="B233" s="0" t="n">
        <f aca="false">LN(Prices!B234/Prices!B233)</f>
        <v>-0.00582398269299791</v>
      </c>
      <c r="C233" s="0" t="n">
        <f aca="false">LN(Prices!C234/Prices!C233)</f>
        <v>0.000614606552003292</v>
      </c>
      <c r="D233" s="0" t="n">
        <f aca="false">LN(Prices!D234/Prices!D233)</f>
        <v>-0.00451293187036341</v>
      </c>
    </row>
    <row r="234" customFormat="false" ht="15" hidden="false" customHeight="false" outlineLevel="0" collapsed="false">
      <c r="A234" s="2" t="n">
        <f aca="false">Prices!A235</f>
        <v>45630</v>
      </c>
      <c r="B234" s="0" t="n">
        <f aca="false">LN(Prices!B235/Prices!B234)</f>
        <v>-0.00581719585108406</v>
      </c>
      <c r="C234" s="0" t="n">
        <f aca="false">LN(Prices!C235/Prices!C234)</f>
        <v>-0.00561286450735623</v>
      </c>
      <c r="D234" s="0" t="n">
        <f aca="false">LN(Prices!D235/Prices!D234)</f>
        <v>-0.0034557941294406</v>
      </c>
    </row>
    <row r="235" customFormat="false" ht="15" hidden="false" customHeight="false" outlineLevel="0" collapsed="false">
      <c r="A235" s="2" t="n">
        <f aca="false">Prices!A236</f>
        <v>45631</v>
      </c>
      <c r="B235" s="0" t="n">
        <f aca="false">LN(Prices!B236/Prices!B235)</f>
        <v>0.00850935867761583</v>
      </c>
      <c r="C235" s="0" t="n">
        <f aca="false">LN(Prices!C236/Prices!C235)</f>
        <v>-0.00319527779213304</v>
      </c>
      <c r="D235" s="0" t="n">
        <f aca="false">LN(Prices!D236/Prices!D235)</f>
        <v>0.00253541611271897</v>
      </c>
    </row>
    <row r="236" customFormat="false" ht="15" hidden="false" customHeight="false" outlineLevel="0" collapsed="false">
      <c r="A236" s="2" t="n">
        <f aca="false">Prices!A237</f>
        <v>45632</v>
      </c>
      <c r="B236" s="0" t="n">
        <f aca="false">LN(Prices!B237/Prices!B236)</f>
        <v>0.00762939804844285</v>
      </c>
      <c r="C236" s="0" t="n">
        <f aca="false">LN(Prices!C237/Prices!C236)</f>
        <v>0.00481391273423885</v>
      </c>
      <c r="D236" s="0" t="n">
        <f aca="false">LN(Prices!D237/Prices!D236)</f>
        <v>-0.00276616622149717</v>
      </c>
    </row>
    <row r="237" customFormat="false" ht="15" hidden="false" customHeight="false" outlineLevel="0" collapsed="false">
      <c r="A237" s="2" t="n">
        <f aca="false">Prices!A238</f>
        <v>45635</v>
      </c>
      <c r="B237" s="0" t="n">
        <f aca="false">LN(Prices!B238/Prices!B237)</f>
        <v>-0.014455595931339</v>
      </c>
      <c r="C237" s="0" t="n">
        <f aca="false">LN(Prices!C238/Prices!C237)</f>
        <v>-0.00931473464619127</v>
      </c>
      <c r="D237" s="0" t="n">
        <f aca="false">LN(Prices!D238/Prices!D237)</f>
        <v>-0.0106755167039466</v>
      </c>
    </row>
    <row r="238" customFormat="false" ht="15" hidden="false" customHeight="false" outlineLevel="0" collapsed="false">
      <c r="A238" s="2" t="n">
        <f aca="false">Prices!A239</f>
        <v>45636</v>
      </c>
      <c r="B238" s="0" t="n">
        <f aca="false">LN(Prices!B239/Prices!B238)</f>
        <v>-0.00390402734075102</v>
      </c>
      <c r="C238" s="0" t="n">
        <f aca="false">LN(Prices!C239/Prices!C238)</f>
        <v>-0.0154182671160786</v>
      </c>
      <c r="D238" s="0" t="n">
        <f aca="false">LN(Prices!D239/Prices!D238)</f>
        <v>-0.0140191187121793</v>
      </c>
    </row>
    <row r="239" customFormat="false" ht="15" hidden="false" customHeight="false" outlineLevel="0" collapsed="false">
      <c r="A239" s="2" t="n">
        <f aca="false">Prices!A240</f>
        <v>45637</v>
      </c>
      <c r="B239" s="0" t="n">
        <f aca="false">LN(Prices!B240/Prices!B239)</f>
        <v>0.00275493760419513</v>
      </c>
      <c r="C239" s="0" t="n">
        <f aca="false">LN(Prices!C240/Prices!C239)</f>
        <v>0.0127890276166359</v>
      </c>
      <c r="D239" s="0" t="n">
        <f aca="false">LN(Prices!D240/Prices!D239)</f>
        <v>0.00628984809353623</v>
      </c>
    </row>
    <row r="240" customFormat="false" ht="15" hidden="false" customHeight="false" outlineLevel="0" collapsed="false">
      <c r="A240" s="2" t="n">
        <f aca="false">Prices!A241</f>
        <v>45638</v>
      </c>
      <c r="B240" s="0" t="n">
        <f aca="false">LN(Prices!B241/Prices!B240)</f>
        <v>-0.00824640039781126</v>
      </c>
      <c r="C240" s="0" t="n">
        <f aca="false">LN(Prices!C241/Prices!C240)</f>
        <v>-0.00160445263793706</v>
      </c>
      <c r="D240" s="0" t="n">
        <f aca="false">LN(Prices!D241/Prices!D240)</f>
        <v>0.00250482867824759</v>
      </c>
    </row>
    <row r="241" customFormat="false" ht="15" hidden="false" customHeight="false" outlineLevel="0" collapsed="false">
      <c r="A241" s="2" t="n">
        <f aca="false">Prices!A242</f>
        <v>45639</v>
      </c>
      <c r="B241" s="0" t="n">
        <f aca="false">LN(Prices!B242/Prices!B241)</f>
        <v>-0.00660490139307352</v>
      </c>
      <c r="C241" s="0" t="n">
        <f aca="false">LN(Prices!C242/Prices!C241)</f>
        <v>-0.0104156904781541</v>
      </c>
      <c r="D241" s="0" t="n">
        <f aca="false">LN(Prices!D242/Prices!D241)</f>
        <v>-0.00399517379065756</v>
      </c>
    </row>
    <row r="242" customFormat="false" ht="15" hidden="false" customHeight="false" outlineLevel="0" collapsed="false">
      <c r="A242" s="2" t="n">
        <f aca="false">Prices!A243</f>
        <v>45642</v>
      </c>
      <c r="B242" s="0" t="n">
        <f aca="false">LN(Prices!B243/Prices!B242)</f>
        <v>-0.00150154181576505</v>
      </c>
      <c r="C242" s="0" t="n">
        <f aca="false">LN(Prices!C243/Prices!C242)</f>
        <v>0.00145096588334905</v>
      </c>
      <c r="D242" s="0" t="n">
        <f aca="false">LN(Prices!D243/Prices!D242)</f>
        <v>0.01271330161569</v>
      </c>
    </row>
    <row r="243" customFormat="false" ht="15" hidden="false" customHeight="false" outlineLevel="0" collapsed="false">
      <c r="A243" s="2" t="n">
        <f aca="false">Prices!A244</f>
        <v>45643</v>
      </c>
      <c r="B243" s="0" t="n">
        <f aca="false">LN(Prices!B244/Prices!B243)</f>
        <v>-0.00510510737524944</v>
      </c>
      <c r="C243" s="0" t="n">
        <f aca="false">LN(Prices!C244/Prices!C243)</f>
        <v>-0.0200694629729328</v>
      </c>
      <c r="D243" s="0" t="n">
        <f aca="false">LN(Prices!D244/Prices!D243)</f>
        <v>-0.0100480173092966</v>
      </c>
    </row>
    <row r="244" customFormat="false" ht="15" hidden="false" customHeight="false" outlineLevel="0" collapsed="false">
      <c r="A244" s="2" t="n">
        <f aca="false">Prices!A245</f>
        <v>45644</v>
      </c>
      <c r="B244" s="0" t="n">
        <f aca="false">LN(Prices!B245/Prices!B244)</f>
        <v>-0.0340954771590582</v>
      </c>
      <c r="C244" s="0" t="n">
        <f aca="false">LN(Prices!C245/Prices!C244)</f>
        <v>-0.0434408914497122</v>
      </c>
      <c r="D244" s="0" t="n">
        <f aca="false">LN(Prices!D245/Prices!D244)</f>
        <v>-0.0538758654226135</v>
      </c>
    </row>
    <row r="245" customFormat="false" ht="15" hidden="false" customHeight="false" outlineLevel="0" collapsed="false">
      <c r="A245" s="2" t="n">
        <f aca="false">Prices!A246</f>
        <v>45645</v>
      </c>
      <c r="B245" s="0" t="n">
        <f aca="false">LN(Prices!B246/Prices!B245)</f>
        <v>0.0111801017464726</v>
      </c>
      <c r="C245" s="0" t="n">
        <f aca="false">LN(Prices!C246/Prices!C245)</f>
        <v>0.00677422648751597</v>
      </c>
      <c r="D245" s="0" t="n">
        <f aca="false">LN(Prices!D246/Prices!D245)</f>
        <v>-0.00447134069803302</v>
      </c>
    </row>
    <row r="246" customFormat="false" ht="15" hidden="false" customHeight="false" outlineLevel="0" collapsed="false">
      <c r="A246" s="2" t="n">
        <f aca="false">Prices!A247</f>
        <v>45646</v>
      </c>
      <c r="B246" s="0" t="n">
        <f aca="false">LN(Prices!B247/Prices!B246)</f>
        <v>0.0197217569282592</v>
      </c>
      <c r="C246" s="0" t="n">
        <f aca="false">LN(Prices!C247/Prices!C246)</f>
        <v>0.0216237876872034</v>
      </c>
      <c r="D246" s="0" t="n">
        <f aca="false">LN(Prices!D247/Prices!D246)</f>
        <v>0.0241054907554424</v>
      </c>
    </row>
    <row r="247" customFormat="false" ht="15" hidden="false" customHeight="false" outlineLevel="0" collapsed="false">
      <c r="A247" s="2" t="n">
        <f aca="false">Prices!A248</f>
        <v>45649</v>
      </c>
      <c r="B247" s="0" t="n">
        <f aca="false">LN(Prices!B248/Prices!B247)</f>
        <v>0.00331951261707378</v>
      </c>
      <c r="C247" s="0" t="n">
        <f aca="false">LN(Prices!C248/Prices!C247)</f>
        <v>0.00823327518637605</v>
      </c>
      <c r="D247" s="0" t="n">
        <f aca="false">LN(Prices!D248/Prices!D247)</f>
        <v>0.00814876593597922</v>
      </c>
    </row>
    <row r="248" customFormat="false" ht="15" hidden="false" customHeight="false" outlineLevel="0" collapsed="false">
      <c r="A248" s="2" t="n">
        <f aca="false">Prices!A249</f>
        <v>45650</v>
      </c>
      <c r="B248" s="0" t="n">
        <f aca="false">LN(Prices!B249/Prices!B248)</f>
        <v>0.0163097662310306</v>
      </c>
      <c r="C248" s="0" t="n">
        <f aca="false">LN(Prices!C249/Prices!C248)</f>
        <v>0.0208230315760596</v>
      </c>
      <c r="D248" s="0" t="n">
        <f aca="false">LN(Prices!D249/Prices!D248)</f>
        <v>0.0207553835762462</v>
      </c>
    </row>
    <row r="249" customFormat="false" ht="15" hidden="false" customHeight="false" outlineLevel="0" collapsed="false">
      <c r="A249" s="2" t="n">
        <f aca="false">Prices!A250</f>
        <v>45652</v>
      </c>
      <c r="B249" s="0" t="n">
        <f aca="false">LN(Prices!B250/Prices!B249)</f>
        <v>0.00341948096850973</v>
      </c>
      <c r="C249" s="0" t="n">
        <f aca="false">LN(Prices!C250/Prices!C249)</f>
        <v>-0.00268053186533058</v>
      </c>
      <c r="D249" s="0" t="n">
        <f aca="false">LN(Prices!D250/Prices!D249)</f>
        <v>0.00760522872915426</v>
      </c>
    </row>
    <row r="250" customFormat="false" ht="15" hidden="false" customHeight="false" outlineLevel="0" collapsed="false">
      <c r="A250" s="2" t="n">
        <f aca="false">Prices!A251</f>
        <v>45653</v>
      </c>
      <c r="B250" s="0" t="n">
        <f aca="false">LN(Prices!B251/Prices!B250)</f>
        <v>-0.00813524033246712</v>
      </c>
      <c r="C250" s="0" t="n">
        <f aca="false">LN(Prices!C251/Prices!C250)</f>
        <v>-0.00872626115318167</v>
      </c>
      <c r="D250" s="0" t="n">
        <f aca="false">LN(Prices!D251/Prices!D250)</f>
        <v>-0.009969150561273</v>
      </c>
    </row>
    <row r="251" customFormat="false" ht="15" hidden="false" customHeight="false" outlineLevel="0" collapsed="false">
      <c r="A251" s="2" t="n">
        <f aca="false">Prices!A252</f>
        <v>45656</v>
      </c>
      <c r="B251" s="0" t="n">
        <f aca="false">LN(Prices!B252/Prices!B251)</f>
        <v>-0.0077005159950742</v>
      </c>
      <c r="C251" s="0" t="n">
        <f aca="false">LN(Prices!C252/Prices!C251)</f>
        <v>-0.0045751169909976</v>
      </c>
      <c r="D251" s="0" t="n">
        <f aca="false">LN(Prices!D252/Prices!D251)</f>
        <v>-0.00799967238276192</v>
      </c>
    </row>
    <row r="252" customFormat="false" ht="15" hidden="false" customHeight="false" outlineLevel="0" collapsed="false">
      <c r="A252" s="2" t="n">
        <f aca="false">Prices!A253</f>
        <v>45657</v>
      </c>
      <c r="B252" s="0" t="n">
        <f aca="false">LN(Prices!B253/Prices!B252)</f>
        <v>0.00162830664247462</v>
      </c>
      <c r="C252" s="0" t="n">
        <f aca="false">LN(Prices!C253/Prices!C252)</f>
        <v>-0.00162269192678896</v>
      </c>
      <c r="D252" s="0" t="n">
        <f aca="false">LN(Prices!D253/Prices!D252)</f>
        <v>-0.00023859482157004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15</v>
      </c>
      <c r="H1" s="1" t="s">
        <v>16</v>
      </c>
      <c r="I1" s="1" t="s">
        <v>17</v>
      </c>
      <c r="K1" s="1" t="s">
        <v>34</v>
      </c>
      <c r="L1" s="0" t="n">
        <f aca="false">MAX(I2:I5001)</f>
        <v>1.50128940673226</v>
      </c>
    </row>
    <row r="2" customFormat="false" ht="15" hidden="false" customHeight="false" outlineLevel="0" collapsed="false">
      <c r="A2" s="0" t="n">
        <v>0.374540118847363</v>
      </c>
      <c r="B2" s="0" t="n">
        <v>0.950714306409916</v>
      </c>
      <c r="C2" s="0" t="n">
        <v>0.731993941811405</v>
      </c>
      <c r="D2" s="0" t="n">
        <f aca="false">A2/SUM($A2:$C2)</f>
        <v>0.1820587756164</v>
      </c>
      <c r="E2" s="0" t="n">
        <f aca="false">B2/SUM($A2:$C2)</f>
        <v>0.462129085446578</v>
      </c>
      <c r="F2" s="0" t="n">
        <f aca="false">C2/SUM($A2:$C2)</f>
        <v>0.355812138937022</v>
      </c>
      <c r="G2" s="0" t="n">
        <f aca="false">SUMPRODUCT(D2:F2,Stats!$B$6:$D$6)</f>
        <v>0.373262631032307</v>
      </c>
      <c r="H2" s="0" t="n">
        <f aca="false">SQRT(SUMPRODUCT(MMULT(D2:F2,Stats!$B$12:$D$14),D2:F2))</f>
        <v>0.232699707680352</v>
      </c>
      <c r="I2" s="0" t="n">
        <f aca="false">(G2-Stats!$B$2)/H2</f>
        <v>1.42356272955593</v>
      </c>
      <c r="K2" s="0" t="s">
        <v>35</v>
      </c>
      <c r="L2" s="0" t="n">
        <f aca="false">INDEX(G2:G5001,MATCH(L1,I2:I5001,0))</f>
        <v>0.392358103384544</v>
      </c>
    </row>
    <row r="3" customFormat="false" ht="15" hidden="false" customHeight="false" outlineLevel="0" collapsed="false">
      <c r="A3" s="0" t="n">
        <v>0.598658484197037</v>
      </c>
      <c r="B3" s="0" t="n">
        <v>0.156018640442437</v>
      </c>
      <c r="C3" s="0" t="n">
        <v>0.155994520336203</v>
      </c>
      <c r="D3" s="0" t="n">
        <f aca="false">A3/SUM($A3:$C3)</f>
        <v>0.657381271833743</v>
      </c>
      <c r="E3" s="0" t="n">
        <f aca="false">B3/SUM($A3:$C3)</f>
        <v>0.171322607114449</v>
      </c>
      <c r="F3" s="0" t="n">
        <f aca="false">C3/SUM($A3:$C3)</f>
        <v>0.171296121051808</v>
      </c>
      <c r="G3" s="0" t="n">
        <f aca="false">SUMPRODUCT(D3:F3,Stats!$B$6:$D$6)</f>
        <v>0.361617960877129</v>
      </c>
      <c r="H3" s="0" t="n">
        <f aca="false">SQRT(SUMPRODUCT(MMULT(D3:F3,Stats!$B$12:$D$14),D3:F3))</f>
        <v>0.222706204876436</v>
      </c>
      <c r="I3" s="0" t="n">
        <f aca="false">(G3-Stats!$B$2)/H3</f>
        <v>1.43515516801368</v>
      </c>
      <c r="K3" s="0" t="s">
        <v>36</v>
      </c>
      <c r="L3" s="0" t="n">
        <f aca="false">INDEX(H2:H5001,MATCH(L1,I2:I5001,0))</f>
        <v>0.233371461767084</v>
      </c>
    </row>
    <row r="4" customFormat="false" ht="15" hidden="false" customHeight="false" outlineLevel="0" collapsed="false">
      <c r="A4" s="0" t="n">
        <v>0.0580836121681995</v>
      </c>
      <c r="B4" s="0" t="n">
        <v>0.866176145774935</v>
      </c>
      <c r="C4" s="0" t="n">
        <v>0.601115011743209</v>
      </c>
      <c r="D4" s="0" t="n">
        <f aca="false">A4/SUM($A4:$C4)</f>
        <v>0.0380782567815403</v>
      </c>
      <c r="E4" s="0" t="n">
        <f aca="false">B4/SUM($A4:$C4)</f>
        <v>0.567844809674572</v>
      </c>
      <c r="F4" s="0" t="n">
        <f aca="false">C4/SUM($A4:$C4)</f>
        <v>0.394076933543888</v>
      </c>
      <c r="G4" s="0" t="n">
        <f aca="false">SUMPRODUCT(D4:F4,Stats!$B$6:$D$6)</f>
        <v>0.378290239985331</v>
      </c>
      <c r="H4" s="0" t="n">
        <f aca="false">SQRT(SUMPRODUCT(MMULT(D4:F4,Stats!$B$12:$D$14),D4:F4))</f>
        <v>0.240864433058026</v>
      </c>
      <c r="I4" s="0" t="n">
        <f aca="false">(G4-Stats!$B$2)/H4</f>
        <v>1.39618056396196</v>
      </c>
      <c r="K4" s="1" t="s">
        <v>37</v>
      </c>
      <c r="L4" s="0" t="n">
        <f aca="false">MIN(H2:H5001)</f>
        <v>0.221280939558201</v>
      </c>
    </row>
    <row r="5" customFormat="false" ht="15" hidden="false" customHeight="false" outlineLevel="0" collapsed="false">
      <c r="A5" s="0" t="n">
        <v>0.708072577796046</v>
      </c>
      <c r="B5" s="0" t="n">
        <v>0.0205844942958025</v>
      </c>
      <c r="C5" s="0" t="n">
        <v>0.969909852161994</v>
      </c>
      <c r="D5" s="0" t="n">
        <f aca="false">A5/SUM($A5:$C5)</f>
        <v>0.416864692044496</v>
      </c>
      <c r="E5" s="0" t="n">
        <f aca="false">B5/SUM($A5:$C5)</f>
        <v>0.0121187419829483</v>
      </c>
      <c r="F5" s="0" t="n">
        <f aca="false">C5/SUM($A5:$C5)</f>
        <v>0.571016565972555</v>
      </c>
      <c r="G5" s="0" t="n">
        <f aca="false">SUMPRODUCT(D5:F5,Stats!$B$6:$D$6)</f>
        <v>0.34143543900287</v>
      </c>
      <c r="H5" s="0" t="n">
        <f aca="false">SQRT(SUMPRODUCT(MMULT(D5:F5,Stats!$B$12:$D$14),D5:F5))</f>
        <v>0.226323674874301</v>
      </c>
      <c r="I5" s="0" t="n">
        <f aca="false">(G5-Stats!$B$2)/H5</f>
        <v>1.32304072549713</v>
      </c>
      <c r="K5" s="0" t="s">
        <v>35</v>
      </c>
      <c r="L5" s="0" t="n">
        <f aca="false">INDEX(G2:G5001,MATCH(L4,H2:H5001,0))</f>
        <v>0.350593416541285</v>
      </c>
    </row>
    <row r="6" customFormat="false" ht="15" hidden="false" customHeight="false" outlineLevel="0" collapsed="false">
      <c r="A6" s="0" t="n">
        <v>0.832442640800422</v>
      </c>
      <c r="B6" s="0" t="n">
        <v>0.212339110678276</v>
      </c>
      <c r="C6" s="0" t="n">
        <v>0.181824967207101</v>
      </c>
      <c r="D6" s="0" t="n">
        <f aca="false">A6/SUM($A6:$C6)</f>
        <v>0.678654884340036</v>
      </c>
      <c r="E6" s="0" t="n">
        <f aca="false">B6/SUM($A6:$C6)</f>
        <v>0.173110995923599</v>
      </c>
      <c r="F6" s="0" t="n">
        <f aca="false">C6/SUM($A6:$C6)</f>
        <v>0.148234119736365</v>
      </c>
      <c r="G6" s="0" t="n">
        <f aca="false">SUMPRODUCT(D6:F6,Stats!$B$6:$D$6)</f>
        <v>0.362356788270703</v>
      </c>
      <c r="H6" s="0" t="n">
        <f aca="false">SQRT(SUMPRODUCT(MMULT(D6:F6,Stats!$B$12:$D$14),D6:F6))</f>
        <v>0.223191111430392</v>
      </c>
      <c r="I6" s="0" t="n">
        <f aca="false">(G6-Stats!$B$2)/H6</f>
        <v>1.43534743035954</v>
      </c>
    </row>
    <row r="7" customFormat="false" ht="15" hidden="false" customHeight="false" outlineLevel="0" collapsed="false">
      <c r="A7" s="0" t="n">
        <v>0.183404509853434</v>
      </c>
      <c r="B7" s="0" t="n">
        <v>0.304242242959538</v>
      </c>
      <c r="C7" s="0" t="n">
        <v>0.524756431632238</v>
      </c>
      <c r="D7" s="0" t="n">
        <f aca="false">A7/SUM($A7:$C7)</f>
        <v>0.181157578987603</v>
      </c>
      <c r="E7" s="0" t="n">
        <f aca="false">B7/SUM($A7:$C7)</f>
        <v>0.30051490121128</v>
      </c>
      <c r="F7" s="0" t="n">
        <f aca="false">C7/SUM($A7:$C7)</f>
        <v>0.518327519801117</v>
      </c>
      <c r="G7" s="0" t="n">
        <f aca="false">SUMPRODUCT(D7:F7,Stats!$B$6:$D$6)</f>
        <v>0.359482260923928</v>
      </c>
      <c r="H7" s="0" t="n">
        <f aca="false">SQRT(SUMPRODUCT(MMULT(D7:F7,Stats!$B$12:$D$14),D7:F7))</f>
        <v>0.233179055274338</v>
      </c>
      <c r="I7" s="0" t="n">
        <f aca="false">(G7-Stats!$B$2)/H7</f>
        <v>1.36153849903203</v>
      </c>
    </row>
    <row r="8" customFormat="false" ht="15" hidden="false" customHeight="false" outlineLevel="0" collapsed="false">
      <c r="A8" s="0" t="n">
        <v>0.431945018642116</v>
      </c>
      <c r="B8" s="0" t="n">
        <v>0.291229140198042</v>
      </c>
      <c r="C8" s="0" t="n">
        <v>0.61185289472238</v>
      </c>
      <c r="D8" s="0" t="n">
        <f aca="false">A8/SUM($A8:$C8)</f>
        <v>0.323547764436282</v>
      </c>
      <c r="E8" s="0" t="n">
        <f aca="false">B8/SUM($A8:$C8)</f>
        <v>0.218144748019071</v>
      </c>
      <c r="F8" s="0" t="n">
        <f aca="false">C8/SUM($A8:$C8)</f>
        <v>0.458307487544647</v>
      </c>
      <c r="G8" s="0" t="n">
        <f aca="false">SUMPRODUCT(D8:F8,Stats!$B$6:$D$6)</f>
        <v>0.356397818223406</v>
      </c>
      <c r="H8" s="0" t="n">
        <f aca="false">SQRT(SUMPRODUCT(MMULT(D8:F8,Stats!$B$12:$D$14),D8:F8))</f>
        <v>0.226812957053972</v>
      </c>
      <c r="I8" s="0" t="n">
        <f aca="false">(G8-Stats!$B$2)/H8</f>
        <v>1.38615457558975</v>
      </c>
    </row>
    <row r="9" customFormat="false" ht="15" hidden="false" customHeight="false" outlineLevel="0" collapsed="false">
      <c r="A9" s="0" t="n">
        <v>0.139493860652042</v>
      </c>
      <c r="B9" s="0" t="n">
        <v>0.292144648535218</v>
      </c>
      <c r="C9" s="0" t="n">
        <v>0.366361843293692</v>
      </c>
      <c r="D9" s="0" t="n">
        <f aca="false">A9/SUM($A9:$C9)</f>
        <v>0.174804259444699</v>
      </c>
      <c r="E9" s="0" t="n">
        <f aca="false">B9/SUM($A9:$C9)</f>
        <v>0.366095889089462</v>
      </c>
      <c r="F9" s="0" t="n">
        <f aca="false">C9/SUM($A9:$C9)</f>
        <v>0.459099851465839</v>
      </c>
      <c r="G9" s="0" t="n">
        <f aca="false">SUMPRODUCT(D9:F9,Stats!$B$6:$D$6)</f>
        <v>0.364888886260813</v>
      </c>
      <c r="H9" s="0" t="n">
        <f aca="false">SQRT(SUMPRODUCT(MMULT(D9:F9,Stats!$B$12:$D$14),D9:F9))</f>
        <v>0.232968904293323</v>
      </c>
      <c r="I9" s="0" t="n">
        <f aca="false">(G9-Stats!$B$2)/H9</f>
        <v>1.38597418071845</v>
      </c>
    </row>
    <row r="10" customFormat="false" ht="15" hidden="false" customHeight="false" outlineLevel="0" collapsed="false">
      <c r="A10" s="0" t="n">
        <v>0.456069984217036</v>
      </c>
      <c r="B10" s="0" t="n">
        <v>0.785175961393014</v>
      </c>
      <c r="C10" s="0" t="n">
        <v>0.19967378215836</v>
      </c>
      <c r="D10" s="0" t="n">
        <f aca="false">A10/SUM($A10:$C10)</f>
        <v>0.316513109944968</v>
      </c>
      <c r="E10" s="0" t="n">
        <f aca="false">B10/SUM($A10:$C10)</f>
        <v>0.544913048424312</v>
      </c>
      <c r="F10" s="0" t="n">
        <f aca="false">C10/SUM($A10:$C10)</f>
        <v>0.13857384163072</v>
      </c>
      <c r="G10" s="0" t="n">
        <f aca="false">SUMPRODUCT(D10:F10,Stats!$B$6:$D$6)</f>
        <v>0.384016175610839</v>
      </c>
      <c r="H10" s="0" t="n">
        <f aca="false">SQRT(SUMPRODUCT(MMULT(D10:F10,Stats!$B$12:$D$14),D10:F10))</f>
        <v>0.23049713198539</v>
      </c>
      <c r="I10" s="0" t="n">
        <f aca="false">(G10-Stats!$B$2)/H10</f>
        <v>1.48381965825292</v>
      </c>
    </row>
    <row r="11" customFormat="false" ht="15" hidden="false" customHeight="false" outlineLevel="0" collapsed="false">
      <c r="A11" s="0" t="n">
        <v>0.514234438413612</v>
      </c>
      <c r="B11" s="0" t="n">
        <v>0.592414568862043</v>
      </c>
      <c r="C11" s="0" t="n">
        <v>0.0464504127199977</v>
      </c>
      <c r="D11" s="0" t="n">
        <f aca="false">A11/SUM($A11:$C11)</f>
        <v>0.445958457264293</v>
      </c>
      <c r="E11" s="0" t="n">
        <f aca="false">B11/SUM($A11:$C11)</f>
        <v>0.513758448394915</v>
      </c>
      <c r="F11" s="0" t="n">
        <f aca="false">C11/SUM($A11:$C11)</f>
        <v>0.0402830943407923</v>
      </c>
      <c r="G11" s="0" t="n">
        <f aca="false">SUMPRODUCT(D11:F11,Stats!$B$6:$D$6)</f>
        <v>0.384933909799668</v>
      </c>
      <c r="H11" s="0" t="n">
        <f aca="false">SQRT(SUMPRODUCT(MMULT(D11:F11,Stats!$B$12:$D$14),D11:F11))</f>
        <v>0.229407360477004</v>
      </c>
      <c r="I11" s="0" t="n">
        <f aca="false">(G11-Stats!$B$2)/H11</f>
        <v>1.49486881801268</v>
      </c>
    </row>
    <row r="12" customFormat="false" ht="15" hidden="false" customHeight="false" outlineLevel="0" collapsed="false">
      <c r="A12" s="0" t="n">
        <v>0.607544851901438</v>
      </c>
      <c r="B12" s="0" t="n">
        <v>0.170524123687292</v>
      </c>
      <c r="C12" s="0" t="n">
        <v>0.0650515929852795</v>
      </c>
      <c r="D12" s="0" t="n">
        <f aca="false">A12/SUM($A12:$C12)</f>
        <v>0.720590713293822</v>
      </c>
      <c r="E12" s="0" t="n">
        <f aca="false">B12/SUM($A12:$C12)</f>
        <v>0.202253544799296</v>
      </c>
      <c r="F12" s="0" t="n">
        <f aca="false">C12/SUM($A12:$C12)</f>
        <v>0.0771557419068816</v>
      </c>
      <c r="G12" s="0" t="n">
        <f aca="false">SUMPRODUCT(D12:F12,Stats!$B$6:$D$6)</f>
        <v>0.365993571745014</v>
      </c>
      <c r="H12" s="0" t="n">
        <f aca="false">SQRT(SUMPRODUCT(MMULT(D12:F12,Stats!$B$12:$D$14),D12:F12))</f>
        <v>0.225109147584847</v>
      </c>
      <c r="I12" s="0" t="n">
        <f aca="false">(G12-Stats!$B$2)/H12</f>
        <v>1.43927323798735</v>
      </c>
    </row>
    <row r="13" customFormat="false" ht="15" hidden="false" customHeight="false" outlineLevel="0" collapsed="false">
      <c r="A13" s="0" t="n">
        <v>0.948885537253333</v>
      </c>
      <c r="B13" s="0" t="n">
        <v>0.965632033074559</v>
      </c>
      <c r="C13" s="0" t="n">
        <v>0.808397348116461</v>
      </c>
      <c r="D13" s="0" t="n">
        <f aca="false">A13/SUM($A13:$C13)</f>
        <v>0.34848152280698</v>
      </c>
      <c r="E13" s="0" t="n">
        <f aca="false">B13/SUM($A13:$C13)</f>
        <v>0.354631731800948</v>
      </c>
      <c r="F13" s="0" t="n">
        <f aca="false">C13/SUM($A13:$C13)</f>
        <v>0.296886745392071</v>
      </c>
      <c r="G13" s="0" t="n">
        <f aca="false">SUMPRODUCT(D13:F13,Stats!$B$6:$D$6)</f>
        <v>0.368702217497744</v>
      </c>
      <c r="H13" s="0" t="n">
        <f aca="false">SQRT(SUMPRODUCT(MMULT(D13:F13,Stats!$B$12:$D$14),D13:F13))</f>
        <v>0.226091046809356</v>
      </c>
      <c r="I13" s="0" t="n">
        <f aca="false">(G13-Stats!$B$2)/H13</f>
        <v>1.4450028964359</v>
      </c>
    </row>
    <row r="14" customFormat="false" ht="15" hidden="false" customHeight="false" outlineLevel="0" collapsed="false">
      <c r="A14" s="0" t="n">
        <v>0.304613769173371</v>
      </c>
      <c r="B14" s="0" t="n">
        <v>0.0976721140063839</v>
      </c>
      <c r="C14" s="0" t="n">
        <v>0.684233026512157</v>
      </c>
      <c r="D14" s="0" t="n">
        <f aca="false">A14/SUM($A14:$C14)</f>
        <v>0.280357540449752</v>
      </c>
      <c r="E14" s="0" t="n">
        <f aca="false">B14/SUM($A14:$C14)</f>
        <v>0.0898945367035346</v>
      </c>
      <c r="F14" s="0" t="n">
        <f aca="false">C14/SUM($A14:$C14)</f>
        <v>0.629747922846713</v>
      </c>
      <c r="G14" s="0" t="n">
        <f aca="false">SUMPRODUCT(D14:F14,Stats!$B$6:$D$6)</f>
        <v>0.344291062991314</v>
      </c>
      <c r="H14" s="0" t="n">
        <f aca="false">SQRT(SUMPRODUCT(MMULT(D14:F14,Stats!$B$12:$D$14),D14:F14))</f>
        <v>0.231442236756202</v>
      </c>
      <c r="I14" s="0" t="n">
        <f aca="false">(G14-Stats!$B$2)/H14</f>
        <v>1.30611882786867</v>
      </c>
    </row>
    <row r="15" customFormat="false" ht="15" hidden="false" customHeight="false" outlineLevel="0" collapsed="false">
      <c r="A15" s="0" t="n">
        <v>0.440152493739601</v>
      </c>
      <c r="B15" s="0" t="n">
        <v>0.122038234844779</v>
      </c>
      <c r="C15" s="0" t="n">
        <v>0.49517691011127</v>
      </c>
      <c r="D15" s="0" t="n">
        <f aca="false">A15/SUM($A15:$C15)</f>
        <v>0.416271954646319</v>
      </c>
      <c r="E15" s="0" t="n">
        <f aca="false">B15/SUM($A15:$C15)</f>
        <v>0.115417032239915</v>
      </c>
      <c r="F15" s="0" t="n">
        <f aca="false">C15/SUM($A15:$C15)</f>
        <v>0.468311013113766</v>
      </c>
      <c r="G15" s="0" t="n">
        <f aca="false">SUMPRODUCT(D15:F15,Stats!$B$6:$D$6)</f>
        <v>0.350211155045344</v>
      </c>
      <c r="H15" s="0" t="n">
        <f aca="false">SQRT(SUMPRODUCT(MMULT(D15:F15,Stats!$B$12:$D$14),D15:F15))</f>
        <v>0.224396789393982</v>
      </c>
      <c r="I15" s="0" t="n">
        <f aca="false">(G15-Stats!$B$2)/H15</f>
        <v>1.37350964725349</v>
      </c>
    </row>
    <row r="16" customFormat="false" ht="15" hidden="false" customHeight="false" outlineLevel="0" collapsed="false">
      <c r="A16" s="0" t="n">
        <v>0.0343885211152184</v>
      </c>
      <c r="B16" s="0" t="n">
        <v>0.909320402078782</v>
      </c>
      <c r="C16" s="0" t="n">
        <v>0.258779981600017</v>
      </c>
      <c r="D16" s="0" t="n">
        <f aca="false">A16/SUM($A16:$C16)</f>
        <v>0.0285977866224962</v>
      </c>
      <c r="E16" s="0" t="n">
        <f aca="false">B16/SUM($A16:$C16)</f>
        <v>0.756198579840157</v>
      </c>
      <c r="F16" s="0" t="n">
        <f aca="false">C16/SUM($A16:$C16)</f>
        <v>0.215203633537347</v>
      </c>
      <c r="G16" s="0" t="n">
        <f aca="false">SUMPRODUCT(D16:F16,Stats!$B$6:$D$6)</f>
        <v>0.394060234588536</v>
      </c>
      <c r="H16" s="0" t="n">
        <f aca="false">SQRT(SUMPRODUCT(MMULT(D16:F16,Stats!$B$12:$D$14),D16:F16))</f>
        <v>0.244380382644809</v>
      </c>
      <c r="I16" s="0" t="n">
        <f aca="false">(G16-Stats!$B$2)/H16</f>
        <v>1.4406239599855</v>
      </c>
    </row>
    <row r="17" customFormat="false" ht="15" hidden="false" customHeight="false" outlineLevel="0" collapsed="false">
      <c r="A17" s="0" t="n">
        <v>0.662522284353982</v>
      </c>
      <c r="B17" s="0" t="n">
        <v>0.311711076089411</v>
      </c>
      <c r="C17" s="0" t="n">
        <v>0.520068021177811</v>
      </c>
      <c r="D17" s="0" t="n">
        <f aca="false">A17/SUM($A17:$C17)</f>
        <v>0.443365904965701</v>
      </c>
      <c r="E17" s="0" t="n">
        <f aca="false">B17/SUM($A17:$C17)</f>
        <v>0.208599871433718</v>
      </c>
      <c r="F17" s="0" t="n">
        <f aca="false">C17/SUM($A17:$C17)</f>
        <v>0.348034223600581</v>
      </c>
      <c r="G17" s="0" t="n">
        <f aca="false">SUMPRODUCT(D17:F17,Stats!$B$6:$D$6)</f>
        <v>0.358889361218307</v>
      </c>
      <c r="H17" s="0" t="n">
        <f aca="false">SQRT(SUMPRODUCT(MMULT(D17:F17,Stats!$B$12:$D$14),D17:F17))</f>
        <v>0.223156541149734</v>
      </c>
      <c r="I17" s="0" t="n">
        <f aca="false">(G17-Stats!$B$2)/H17</f>
        <v>1.42003169427904</v>
      </c>
    </row>
    <row r="18" customFormat="false" ht="15" hidden="false" customHeight="false" outlineLevel="0" collapsed="false">
      <c r="A18" s="0" t="n">
        <v>0.54671027934328</v>
      </c>
      <c r="B18" s="0" t="n">
        <v>0.184854455525527</v>
      </c>
      <c r="C18" s="0" t="n">
        <v>0.969584627764559</v>
      </c>
      <c r="D18" s="0" t="n">
        <f aca="false">A18/SUM($A18:$C18)</f>
        <v>0.321377000369313</v>
      </c>
      <c r="E18" s="0" t="n">
        <f aca="false">B18/SUM($A18:$C18)</f>
        <v>0.10866444745297</v>
      </c>
      <c r="F18" s="0" t="n">
        <f aca="false">C18/SUM($A18:$C18)</f>
        <v>0.569958552177717</v>
      </c>
      <c r="G18" s="0" t="n">
        <f aca="false">SUMPRODUCT(D18:F18,Stats!$B$6:$D$6)</f>
        <v>0.347019728262413</v>
      </c>
      <c r="H18" s="0" t="n">
        <f aca="false">SQRT(SUMPRODUCT(MMULT(D18:F18,Stats!$B$12:$D$14),D18:F18))</f>
        <v>0.228629886021688</v>
      </c>
      <c r="I18" s="0" t="n">
        <f aca="false">(G18-Stats!$B$2)/H18</f>
        <v>1.33412010813616</v>
      </c>
    </row>
    <row r="19" customFormat="false" ht="15" hidden="false" customHeight="false" outlineLevel="0" collapsed="false">
      <c r="A19" s="0" t="n">
        <v>0.775132823361115</v>
      </c>
      <c r="B19" s="0" t="n">
        <v>0.939498941564189</v>
      </c>
      <c r="C19" s="0" t="n">
        <v>0.894827350427649</v>
      </c>
      <c r="D19" s="0" t="n">
        <f aca="false">A19/SUM($A19:$C19)</f>
        <v>0.297047314824962</v>
      </c>
      <c r="E19" s="0" t="n">
        <f aca="false">B19/SUM($A19:$C19)</f>
        <v>0.360035892509898</v>
      </c>
      <c r="F19" s="0" t="n">
        <f aca="false">C19/SUM($A19:$C19)</f>
        <v>0.34291679266514</v>
      </c>
      <c r="G19" s="0" t="n">
        <f aca="false">SUMPRODUCT(D19:F19,Stats!$B$6:$D$6)</f>
        <v>0.367743905061001</v>
      </c>
      <c r="H19" s="0" t="n">
        <f aca="false">SQRT(SUMPRODUCT(MMULT(D19:F19,Stats!$B$12:$D$14),D19:F19))</f>
        <v>0.22759080679995</v>
      </c>
      <c r="I19" s="0" t="n">
        <f aca="false">(G19-Stats!$B$2)/H19</f>
        <v>1.431270048387</v>
      </c>
    </row>
    <row r="20" customFormat="false" ht="15" hidden="false" customHeight="false" outlineLevel="0" collapsed="false">
      <c r="A20" s="0" t="n">
        <v>0.597899978811085</v>
      </c>
      <c r="B20" s="0" t="n">
        <v>0.921874235023117</v>
      </c>
      <c r="C20" s="0" t="n">
        <v>0.0884925020519195</v>
      </c>
      <c r="D20" s="0" t="n">
        <f aca="false">A20/SUM($A20:$C20)</f>
        <v>0.3717666808031</v>
      </c>
      <c r="E20" s="0" t="n">
        <f aca="false">B20/SUM($A20:$C20)</f>
        <v>0.573209795313822</v>
      </c>
      <c r="F20" s="0" t="n">
        <f aca="false">C20/SUM($A20:$C20)</f>
        <v>0.055023523883078</v>
      </c>
      <c r="G20" s="0" t="n">
        <f aca="false">SUMPRODUCT(D20:F20,Stats!$B$6:$D$6)</f>
        <v>0.387948201679848</v>
      </c>
      <c r="H20" s="0" t="n">
        <f aca="false">SQRT(SUMPRODUCT(MMULT(D20:F20,Stats!$B$12:$D$14),D20:F20))</f>
        <v>0.231226583438206</v>
      </c>
      <c r="I20" s="0" t="n">
        <f aca="false">(G20-Stats!$B$2)/H20</f>
        <v>1.49614372420246</v>
      </c>
    </row>
    <row r="21" customFormat="false" ht="15" hidden="false" customHeight="false" outlineLevel="0" collapsed="false">
      <c r="A21" s="0" t="n">
        <v>0.195982862419145</v>
      </c>
      <c r="B21" s="0" t="n">
        <v>0.0452272889105381</v>
      </c>
      <c r="C21" s="0" t="n">
        <v>0.325330330763264</v>
      </c>
      <c r="D21" s="0" t="n">
        <f aca="false">A21/SUM($A21:$C21)</f>
        <v>0.345929141188876</v>
      </c>
      <c r="E21" s="0" t="n">
        <f aca="false">B21/SUM($A21:$C21)</f>
        <v>0.0798306393630632</v>
      </c>
      <c r="F21" s="0" t="n">
        <f aca="false">C21/SUM($A21:$C21)</f>
        <v>0.574240219448061</v>
      </c>
      <c r="G21" s="0" t="n">
        <f aca="false">SUMPRODUCT(D21:F21,Stats!$B$6:$D$6)</f>
        <v>0.345242602935623</v>
      </c>
      <c r="H21" s="0" t="n">
        <f aca="false">SQRT(SUMPRODUCT(MMULT(D21:F21,Stats!$B$12:$D$14),D21:F21))</f>
        <v>0.228026483553953</v>
      </c>
      <c r="I21" s="0" t="n">
        <f aca="false">(G21-Stats!$B$2)/H21</f>
        <v>1.32985694560287</v>
      </c>
    </row>
    <row r="22" customFormat="false" ht="15" hidden="false" customHeight="false" outlineLevel="0" collapsed="false">
      <c r="A22" s="0" t="n">
        <v>0.388677289689482</v>
      </c>
      <c r="B22" s="0" t="n">
        <v>0.271349031773896</v>
      </c>
      <c r="C22" s="0" t="n">
        <v>0.828737509151929</v>
      </c>
      <c r="D22" s="0" t="n">
        <f aca="false">A22/SUM($A22:$C22)</f>
        <v>0.261073839716298</v>
      </c>
      <c r="E22" s="0" t="n">
        <f aca="false">B22/SUM($A22:$C22)</f>
        <v>0.182264658902781</v>
      </c>
      <c r="F22" s="0" t="n">
        <f aca="false">C22/SUM($A22:$C22)</f>
        <v>0.556661501380922</v>
      </c>
      <c r="G22" s="0" t="n">
        <f aca="false">SUMPRODUCT(D22:F22,Stats!$B$6:$D$6)</f>
        <v>0.351621250231752</v>
      </c>
      <c r="H22" s="0" t="n">
        <f aca="false">SQRT(SUMPRODUCT(MMULT(D22:F22,Stats!$B$12:$D$14),D22:F22))</f>
        <v>0.230390341004899</v>
      </c>
      <c r="I22" s="0" t="n">
        <f aca="false">(G22-Stats!$B$2)/H22</f>
        <v>1.34389857179459</v>
      </c>
    </row>
    <row r="23" customFormat="false" ht="15" hidden="false" customHeight="false" outlineLevel="0" collapsed="false">
      <c r="A23" s="0" t="n">
        <v>0.356753326693589</v>
      </c>
      <c r="B23" s="0" t="n">
        <v>0.280934509687381</v>
      </c>
      <c r="C23" s="0" t="n">
        <v>0.542696083158249</v>
      </c>
      <c r="D23" s="0" t="n">
        <f aca="false">A23/SUM($A23:$C23)</f>
        <v>0.302234993876275</v>
      </c>
      <c r="E23" s="0" t="n">
        <f aca="false">B23/SUM($A23:$C23)</f>
        <v>0.238002657471857</v>
      </c>
      <c r="F23" s="0" t="n">
        <f aca="false">C23/SUM($A23:$C23)</f>
        <v>0.459762348651868</v>
      </c>
      <c r="G23" s="0" t="n">
        <f aca="false">SUMPRODUCT(D23:F23,Stats!$B$6:$D$6)</f>
        <v>0.357500299396267</v>
      </c>
      <c r="H23" s="0" t="n">
        <f aca="false">SQRT(SUMPRODUCT(MMULT(D23:F23,Stats!$B$12:$D$14),D23:F23))</f>
        <v>0.227551881566048</v>
      </c>
      <c r="I23" s="0" t="n">
        <f aca="false">(G23-Stats!$B$2)/H23</f>
        <v>1.38649831073663</v>
      </c>
    </row>
    <row r="24" customFormat="false" ht="15" hidden="false" customHeight="false" outlineLevel="0" collapsed="false">
      <c r="A24" s="0" t="n">
        <v>0.140924224974763</v>
      </c>
      <c r="B24" s="0" t="n">
        <v>0.80219698075404</v>
      </c>
      <c r="C24" s="0" t="n">
        <v>0.0745506436797708</v>
      </c>
      <c r="D24" s="0" t="n">
        <f aca="false">A24/SUM($A24:$C24)</f>
        <v>0.138477078890078</v>
      </c>
      <c r="E24" s="0" t="n">
        <f aca="false">B24/SUM($A24:$C24)</f>
        <v>0.788266847727233</v>
      </c>
      <c r="F24" s="0" t="n">
        <f aca="false">C24/SUM($A24:$C24)</f>
        <v>0.0732560733826886</v>
      </c>
      <c r="G24" s="0" t="n">
        <f aca="false">SUMPRODUCT(D24:F24,Stats!$B$6:$D$6)</f>
        <v>0.399819550592974</v>
      </c>
      <c r="H24" s="0" t="n">
        <f aca="false">SQRT(SUMPRODUCT(MMULT(D24:F24,Stats!$B$12:$D$14),D24:F24))</f>
        <v>0.241925649079477</v>
      </c>
      <c r="I24" s="0" t="n">
        <f aca="false">(G24-Stats!$B$2)/H24</f>
        <v>1.47904759976659</v>
      </c>
    </row>
    <row r="25" customFormat="false" ht="15" hidden="false" customHeight="false" outlineLevel="0" collapsed="false">
      <c r="A25" s="0" t="n">
        <v>0.986886936600517</v>
      </c>
      <c r="B25" s="0" t="n">
        <v>0.772244769296657</v>
      </c>
      <c r="C25" s="0" t="n">
        <v>0.198715681534172</v>
      </c>
      <c r="D25" s="0" t="n">
        <f aca="false">A25/SUM($A25:$C25)</f>
        <v>0.504067346074043</v>
      </c>
      <c r="E25" s="0" t="n">
        <f aca="false">B25/SUM($A25:$C25)</f>
        <v>0.394435630812791</v>
      </c>
      <c r="F25" s="0" t="n">
        <f aca="false">C25/SUM($A25:$C25)</f>
        <v>0.101497023113167</v>
      </c>
      <c r="G25" s="0" t="n">
        <f aca="false">SUMPRODUCT(D25:F25,Stats!$B$6:$D$6)</f>
        <v>0.37638027877071</v>
      </c>
      <c r="H25" s="0" t="n">
        <f aca="false">SQRT(SUMPRODUCT(MMULT(D25:F25,Stats!$B$12:$D$14),D25:F25))</f>
        <v>0.225889487447921</v>
      </c>
      <c r="I25" s="0" t="n">
        <f aca="false">(G25-Stats!$B$2)/H25</f>
        <v>1.48028260433236</v>
      </c>
    </row>
    <row r="26" customFormat="false" ht="15" hidden="false" customHeight="false" outlineLevel="0" collapsed="false">
      <c r="A26" s="0" t="n">
        <v>0.0055221171236024</v>
      </c>
      <c r="B26" s="0" t="n">
        <v>0.815461428454834</v>
      </c>
      <c r="C26" s="0" t="n">
        <v>0.706857343847617</v>
      </c>
      <c r="D26" s="0" t="n">
        <f aca="false">A26/SUM($A26:$C26)</f>
        <v>0.00361432735687342</v>
      </c>
      <c r="E26" s="0" t="n">
        <f aca="false">B26/SUM($A26:$C26)</f>
        <v>0.53373452307666</v>
      </c>
      <c r="F26" s="0" t="n">
        <f aca="false">C26/SUM($A26:$C26)</f>
        <v>0.462651149566467</v>
      </c>
      <c r="G26" s="0" t="n">
        <f aca="false">SUMPRODUCT(D26:F26,Stats!$B$6:$D$6)</f>
        <v>0.374436670610775</v>
      </c>
      <c r="H26" s="0" t="n">
        <f aca="false">SQRT(SUMPRODUCT(MMULT(D26:F26,Stats!$B$12:$D$14),D26:F26))</f>
        <v>0.242992372137276</v>
      </c>
      <c r="I26" s="0" t="n">
        <f aca="false">(G26-Stats!$B$2)/H26</f>
        <v>1.368095087458</v>
      </c>
    </row>
    <row r="27" customFormat="false" ht="15" hidden="false" customHeight="false" outlineLevel="0" collapsed="false">
      <c r="A27" s="0" t="n">
        <v>0.729007168040987</v>
      </c>
      <c r="B27" s="0" t="n">
        <v>0.771270346685946</v>
      </c>
      <c r="C27" s="0" t="n">
        <v>0.0740446517340904</v>
      </c>
      <c r="D27" s="0" t="n">
        <f aca="false">A27/SUM($A27:$C27)</f>
        <v>0.463060981780971</v>
      </c>
      <c r="E27" s="0" t="n">
        <f aca="false">B27/SUM($A27:$C27)</f>
        <v>0.489906299432798</v>
      </c>
      <c r="F27" s="0" t="n">
        <f aca="false">C27/SUM($A27:$C27)</f>
        <v>0.0470327187862304</v>
      </c>
      <c r="G27" s="0" t="n">
        <f aca="false">SUMPRODUCT(D27:F27,Stats!$B$6:$D$6)</f>
        <v>0.383375369721579</v>
      </c>
      <c r="H27" s="0" t="n">
        <f aca="false">SQRT(SUMPRODUCT(MMULT(D27:F27,Stats!$B$12:$D$14),D27:F27))</f>
        <v>0.228687313106705</v>
      </c>
      <c r="I27" s="0" t="n">
        <f aca="false">(G27-Stats!$B$2)/H27</f>
        <v>1.49276042069852</v>
      </c>
    </row>
    <row r="28" customFormat="false" ht="15" hidden="false" customHeight="false" outlineLevel="0" collapsed="false">
      <c r="A28" s="0" t="n">
        <v>0.358465728544273</v>
      </c>
      <c r="B28" s="0" t="n">
        <v>0.11586905952513</v>
      </c>
      <c r="C28" s="0" t="n">
        <v>0.863103425875594</v>
      </c>
      <c r="D28" s="0" t="n">
        <f aca="false">A28/SUM($A28:$C28)</f>
        <v>0.268024141083062</v>
      </c>
      <c r="E28" s="0" t="n">
        <f aca="false">B28/SUM($A28:$C28)</f>
        <v>0.0866350746651351</v>
      </c>
      <c r="F28" s="0" t="n">
        <f aca="false">C28/SUM($A28:$C28)</f>
        <v>0.645340784251802</v>
      </c>
      <c r="G28" s="0" t="n">
        <f aca="false">SUMPRODUCT(D28:F28,Stats!$B$6:$D$6)</f>
        <v>0.343673550608348</v>
      </c>
      <c r="H28" s="0" t="n">
        <f aca="false">SQRT(SUMPRODUCT(MMULT(D28:F28,Stats!$B$12:$D$14),D28:F28))</f>
        <v>0.23230941244945</v>
      </c>
      <c r="I28" s="0" t="n">
        <f aca="false">(G28-Stats!$B$2)/H28</f>
        <v>1.29858513879196</v>
      </c>
    </row>
    <row r="29" customFormat="false" ht="15" hidden="false" customHeight="false" outlineLevel="0" collapsed="false">
      <c r="A29" s="0" t="n">
        <v>0.623298126827558</v>
      </c>
      <c r="B29" s="0" t="n">
        <v>0.330898024852649</v>
      </c>
      <c r="C29" s="0" t="n">
        <v>0.0635583502860236</v>
      </c>
      <c r="D29" s="0" t="n">
        <f aca="false">A29/SUM($A29:$C29)</f>
        <v>0.612424828996963</v>
      </c>
      <c r="E29" s="0" t="n">
        <f aca="false">B29/SUM($A29:$C29)</f>
        <v>0.325125582066576</v>
      </c>
      <c r="F29" s="0" t="n">
        <f aca="false">C29/SUM($A29:$C29)</f>
        <v>0.0624495889364609</v>
      </c>
      <c r="G29" s="0" t="n">
        <f aca="false">SUMPRODUCT(D29:F29,Stats!$B$6:$D$6)</f>
        <v>0.373468986251083</v>
      </c>
      <c r="H29" s="0" t="n">
        <f aca="false">SQRT(SUMPRODUCT(MMULT(D29:F29,Stats!$B$12:$D$14),D29:F29))</f>
        <v>0.225636301027958</v>
      </c>
      <c r="I29" s="0" t="n">
        <f aca="false">(G29-Stats!$B$2)/H29</f>
        <v>1.46904103967744</v>
      </c>
    </row>
    <row r="30" customFormat="false" ht="15" hidden="false" customHeight="false" outlineLevel="0" collapsed="false">
      <c r="A30" s="0" t="n">
        <v>0.310982321715662</v>
      </c>
      <c r="B30" s="0" t="n">
        <v>0.325183322026747</v>
      </c>
      <c r="C30" s="0" t="n">
        <v>0.729606178338064</v>
      </c>
      <c r="D30" s="0" t="n">
        <f aca="false">A30/SUM($A30:$C30)</f>
        <v>0.227697128237676</v>
      </c>
      <c r="E30" s="0" t="n">
        <f aca="false">B30/SUM($A30:$C30)</f>
        <v>0.238094912173101</v>
      </c>
      <c r="F30" s="0" t="n">
        <f aca="false">C30/SUM($A30:$C30)</f>
        <v>0.534207959589222</v>
      </c>
      <c r="G30" s="0" t="n">
        <f aca="false">SUMPRODUCT(D30:F30,Stats!$B$6:$D$6)</f>
        <v>0.355452798524064</v>
      </c>
      <c r="H30" s="0" t="n">
        <f aca="false">SQRT(SUMPRODUCT(MMULT(D30:F30,Stats!$B$12:$D$14),D30:F30))</f>
        <v>0.231324174902456</v>
      </c>
      <c r="I30" s="0" t="n">
        <f aca="false">(G30-Stats!$B$2)/H30</f>
        <v>1.35503692450752</v>
      </c>
    </row>
    <row r="31" customFormat="false" ht="15" hidden="false" customHeight="false" outlineLevel="0" collapsed="false">
      <c r="A31" s="0" t="n">
        <v>0.637557471355213</v>
      </c>
      <c r="B31" s="0" t="n">
        <v>0.887212742576327</v>
      </c>
      <c r="C31" s="0" t="n">
        <v>0.472214925161949</v>
      </c>
      <c r="D31" s="0" t="n">
        <f aca="false">A31/SUM($A31:$C31)</f>
        <v>0.319259997920979</v>
      </c>
      <c r="E31" s="0" t="n">
        <f aca="false">B31/SUM($A31:$C31)</f>
        <v>0.444276086590743</v>
      </c>
      <c r="F31" s="0" t="n">
        <f aca="false">C31/SUM($A31:$C31)</f>
        <v>0.236463915488278</v>
      </c>
      <c r="G31" s="0" t="n">
        <f aca="false">SUMPRODUCT(D31:F31,Stats!$B$6:$D$6)</f>
        <v>0.375526373942686</v>
      </c>
      <c r="H31" s="0" t="n">
        <f aca="false">SQRT(SUMPRODUCT(MMULT(D31:F31,Stats!$B$12:$D$14),D31:F31))</f>
        <v>0.228019037310499</v>
      </c>
      <c r="I31" s="0" t="n">
        <f aca="false">(G31-Stats!$B$2)/H31</f>
        <v>1.46271284133401</v>
      </c>
    </row>
    <row r="32" customFormat="false" ht="15" hidden="false" customHeight="false" outlineLevel="0" collapsed="false">
      <c r="A32" s="0" t="n">
        <v>0.119594245938302</v>
      </c>
      <c r="B32" s="0" t="n">
        <v>0.713244787222995</v>
      </c>
      <c r="C32" s="0" t="n">
        <v>0.760785048616897</v>
      </c>
      <c r="D32" s="0" t="n">
        <f aca="false">A32/SUM($A32:$C32)</f>
        <v>0.0750454560179941</v>
      </c>
      <c r="E32" s="0" t="n">
        <f aca="false">B32/SUM($A32:$C32)</f>
        <v>0.447561501723257</v>
      </c>
      <c r="F32" s="0" t="n">
        <f aca="false">C32/SUM($A32:$C32)</f>
        <v>0.477393042258749</v>
      </c>
      <c r="G32" s="0" t="n">
        <f aca="false">SUMPRODUCT(D32:F32,Stats!$B$6:$D$6)</f>
        <v>0.369071884472699</v>
      </c>
      <c r="H32" s="0" t="n">
        <f aca="false">SQRT(SUMPRODUCT(MMULT(D32:F32,Stats!$B$12:$D$14),D32:F32))</f>
        <v>0.238513721340162</v>
      </c>
      <c r="I32" s="0" t="n">
        <f aca="false">(G32-Stats!$B$2)/H32</f>
        <v>1.37129169187813</v>
      </c>
    </row>
    <row r="33" customFormat="false" ht="15" hidden="false" customHeight="false" outlineLevel="0" collapsed="false">
      <c r="A33" s="0" t="n">
        <v>0.561277197569496</v>
      </c>
      <c r="B33" s="0" t="n">
        <v>0.770967179954561</v>
      </c>
      <c r="C33" s="0" t="n">
        <v>0.493795596364391</v>
      </c>
      <c r="D33" s="0" t="n">
        <f aca="false">A33/SUM($A33:$C33)</f>
        <v>0.307373992681162</v>
      </c>
      <c r="E33" s="0" t="n">
        <f aca="false">B33/SUM($A33:$C33)</f>
        <v>0.422207175625422</v>
      </c>
      <c r="F33" s="0" t="n">
        <f aca="false">C33/SUM($A33:$C33)</f>
        <v>0.270418831693416</v>
      </c>
      <c r="G33" s="0" t="n">
        <f aca="false">SUMPRODUCT(D33:F33,Stats!$B$6:$D$6)</f>
        <v>0.373320263614364</v>
      </c>
      <c r="H33" s="0" t="n">
        <f aca="false">SQRT(SUMPRODUCT(MMULT(D33:F33,Stats!$B$12:$D$14),D33:F33))</f>
        <v>0.227925978026712</v>
      </c>
      <c r="I33" s="0" t="n">
        <f aca="false">(G33-Stats!$B$2)/H33</f>
        <v>1.45363098354473</v>
      </c>
    </row>
    <row r="34" customFormat="false" ht="15" hidden="false" customHeight="false" outlineLevel="0" collapsed="false">
      <c r="A34" s="0" t="n">
        <v>0.522732829381994</v>
      </c>
      <c r="B34" s="0" t="n">
        <v>0.42754101835855</v>
      </c>
      <c r="C34" s="0" t="n">
        <v>0.0254191267440952</v>
      </c>
      <c r="D34" s="0" t="n">
        <f aca="false">A34/SUM($A34:$C34)</f>
        <v>0.535755450794449</v>
      </c>
      <c r="E34" s="0" t="n">
        <f aca="false">B34/SUM($A34:$C34)</f>
        <v>0.438192166531051</v>
      </c>
      <c r="F34" s="0" t="n">
        <f aca="false">C34/SUM($A34:$C34)</f>
        <v>0.0260523826745002</v>
      </c>
      <c r="G34" s="0" t="n">
        <f aca="false">SUMPRODUCT(D34:F34,Stats!$B$6:$D$6)</f>
        <v>0.380978330145524</v>
      </c>
      <c r="H34" s="0" t="n">
        <f aca="false">SQRT(SUMPRODUCT(MMULT(D34:F34,Stats!$B$12:$D$14),D34:F34))</f>
        <v>0.227903199273287</v>
      </c>
      <c r="I34" s="0" t="n">
        <f aca="false">(G34-Stats!$B$2)/H34</f>
        <v>1.48737855030742</v>
      </c>
    </row>
    <row r="35" customFormat="false" ht="15" hidden="false" customHeight="false" outlineLevel="0" collapsed="false">
      <c r="A35" s="0" t="n">
        <v>0.107891426993305</v>
      </c>
      <c r="B35" s="0" t="n">
        <v>0.0314291856867343</v>
      </c>
      <c r="C35" s="0" t="n">
        <v>0.63641041126378</v>
      </c>
      <c r="D35" s="0" t="n">
        <f aca="false">A35/SUM($A35:$C35)</f>
        <v>0.139083553014013</v>
      </c>
      <c r="E35" s="0" t="n">
        <f aca="false">B35/SUM($A35:$C35)</f>
        <v>0.0405155713986379</v>
      </c>
      <c r="F35" s="0" t="n">
        <f aca="false">C35/SUM($A35:$C35)</f>
        <v>0.82040087558735</v>
      </c>
      <c r="G35" s="0" t="n">
        <f aca="false">SUMPRODUCT(D35:F35,Stats!$B$6:$D$6)</f>
        <v>0.336192679394772</v>
      </c>
      <c r="H35" s="0" t="n">
        <f aca="false">SQRT(SUMPRODUCT(MMULT(D35:F35,Stats!$B$12:$D$14),D35:F35))</f>
        <v>0.243899204767477</v>
      </c>
      <c r="I35" s="0" t="n">
        <f aca="false">(G35-Stats!$B$2)/H35</f>
        <v>1.20620598035669</v>
      </c>
    </row>
    <row r="36" customFormat="false" ht="15" hidden="false" customHeight="false" outlineLevel="0" collapsed="false">
      <c r="A36" s="0" t="n">
        <v>0.314355981076327</v>
      </c>
      <c r="B36" s="0" t="n">
        <v>0.508570691164703</v>
      </c>
      <c r="C36" s="0" t="n">
        <v>0.907566473926093</v>
      </c>
      <c r="D36" s="0" t="n">
        <f aca="false">A36/SUM($A36:$C36)</f>
        <v>0.181656877273739</v>
      </c>
      <c r="E36" s="0" t="n">
        <f aca="false">B36/SUM($A36:$C36)</f>
        <v>0.293887723445273</v>
      </c>
      <c r="F36" s="0" t="n">
        <f aca="false">C36/SUM($A36:$C36)</f>
        <v>0.524455399280989</v>
      </c>
      <c r="G36" s="0" t="n">
        <f aca="false">SUMPRODUCT(D36:F36,Stats!$B$6:$D$6)</f>
        <v>0.358931967772909</v>
      </c>
      <c r="H36" s="0" t="n">
        <f aca="false">SQRT(SUMPRODUCT(MMULT(D36:F36,Stats!$B$12:$D$14),D36:F36))</f>
        <v>0.233233448502387</v>
      </c>
      <c r="I36" s="0" t="n">
        <f aca="false">(G36-Stats!$B$2)/H36</f>
        <v>1.35886156041493</v>
      </c>
    </row>
    <row r="37" customFormat="false" ht="15" hidden="false" customHeight="false" outlineLevel="0" collapsed="false">
      <c r="A37" s="0" t="n">
        <v>0.249292229148875</v>
      </c>
      <c r="B37" s="0" t="n">
        <v>0.41038292303563</v>
      </c>
      <c r="C37" s="0" t="n">
        <v>0.755551138543049</v>
      </c>
      <c r="D37" s="0" t="n">
        <f aca="false">A37/SUM($A37:$C37)</f>
        <v>0.176150083405189</v>
      </c>
      <c r="E37" s="0" t="n">
        <f aca="false">B37/SUM($A37:$C37)</f>
        <v>0.289976893253344</v>
      </c>
      <c r="F37" s="0" t="n">
        <f aca="false">C37/SUM($A37:$C37)</f>
        <v>0.533873023341467</v>
      </c>
      <c r="G37" s="0" t="n">
        <f aca="false">SUMPRODUCT(D37:F37,Stats!$B$6:$D$6)</f>
        <v>0.358447256304095</v>
      </c>
      <c r="H37" s="0" t="n">
        <f aca="false">SQRT(SUMPRODUCT(MMULT(D37:F37,Stats!$B$12:$D$14),D37:F37))</f>
        <v>0.233622036392014</v>
      </c>
      <c r="I37" s="0" t="n">
        <f aca="false">(G37-Stats!$B$2)/H37</f>
        <v>1.35452657288331</v>
      </c>
    </row>
    <row r="38" customFormat="false" ht="15" hidden="false" customHeight="false" outlineLevel="0" collapsed="false">
      <c r="A38" s="0" t="n">
        <v>0.228798165491623</v>
      </c>
      <c r="B38" s="0" t="n">
        <v>0.076979909828793</v>
      </c>
      <c r="C38" s="0" t="n">
        <v>0.289751452913768</v>
      </c>
      <c r="D38" s="0" t="n">
        <f aca="false">A38/SUM($A38:$C38)</f>
        <v>0.384192814368141</v>
      </c>
      <c r="E38" s="0" t="n">
        <f aca="false">B38/SUM($A38:$C38)</f>
        <v>0.12926296040609</v>
      </c>
      <c r="F38" s="0" t="n">
        <f aca="false">C38/SUM($A38:$C38)</f>
        <v>0.486544225225768</v>
      </c>
      <c r="G38" s="0" t="n">
        <f aca="false">SUMPRODUCT(D38:F38,Stats!$B$6:$D$6)</f>
        <v>0.350505058020465</v>
      </c>
      <c r="H38" s="0" t="n">
        <f aca="false">SQRT(SUMPRODUCT(MMULT(D38:F38,Stats!$B$12:$D$14),D38:F38))</f>
        <v>0.225383668012031</v>
      </c>
      <c r="I38" s="0" t="n">
        <f aca="false">(G38-Stats!$B$2)/H38</f>
        <v>1.36879952634366</v>
      </c>
    </row>
    <row r="39" customFormat="false" ht="15" hidden="false" customHeight="false" outlineLevel="0" collapsed="false">
      <c r="A39" s="0" t="n">
        <v>0.161221287254004</v>
      </c>
      <c r="B39" s="0" t="n">
        <v>0.929697652342573</v>
      </c>
      <c r="C39" s="0" t="n">
        <v>0.808120379564417</v>
      </c>
      <c r="D39" s="0" t="n">
        <f aca="false">A39/SUM($A39:$C39)</f>
        <v>0.0848962344419666</v>
      </c>
      <c r="E39" s="0" t="n">
        <f aca="false">B39/SUM($A39:$C39)</f>
        <v>0.48956208697844</v>
      </c>
      <c r="F39" s="0" t="n">
        <f aca="false">C39/SUM($A39:$C39)</f>
        <v>0.425541678579593</v>
      </c>
      <c r="G39" s="0" t="n">
        <f aca="false">SUMPRODUCT(D39:F39,Stats!$B$6:$D$6)</f>
        <v>0.372918325198359</v>
      </c>
      <c r="H39" s="0" t="n">
        <f aca="false">SQRT(SUMPRODUCT(MMULT(D39:F39,Stats!$B$12:$D$14),D39:F39))</f>
        <v>0.237827882351791</v>
      </c>
      <c r="I39" s="0" t="n">
        <f aca="false">(G39-Stats!$B$2)/H39</f>
        <v>1.39141938247959</v>
      </c>
    </row>
    <row r="40" customFormat="false" ht="15" hidden="false" customHeight="false" outlineLevel="0" collapsed="false">
      <c r="A40" s="0" t="n">
        <v>0.633403756510424</v>
      </c>
      <c r="B40" s="0" t="n">
        <v>0.871460590187718</v>
      </c>
      <c r="C40" s="0" t="n">
        <v>0.803672076899115</v>
      </c>
      <c r="D40" s="0" t="n">
        <f aca="false">A40/SUM($A40:$C40)</f>
        <v>0.274374599437088</v>
      </c>
      <c r="E40" s="0" t="n">
        <f aca="false">B40/SUM($A40:$C40)</f>
        <v>0.377494841008301</v>
      </c>
      <c r="F40" s="0" t="n">
        <f aca="false">C40/SUM($A40:$C40)</f>
        <v>0.348130559554612</v>
      </c>
      <c r="G40" s="0" t="n">
        <f aca="false">SUMPRODUCT(D40:F40,Stats!$B$6:$D$6)</f>
        <v>0.368604702744267</v>
      </c>
      <c r="H40" s="0" t="n">
        <f aca="false">SQRT(SUMPRODUCT(MMULT(D40:F40,Stats!$B$12:$D$14),D40:F40))</f>
        <v>0.228468817658394</v>
      </c>
      <c r="I40" s="0" t="n">
        <f aca="false">(G40-Stats!$B$2)/H40</f>
        <v>1.42953732632611</v>
      </c>
    </row>
    <row r="41" customFormat="false" ht="15" hidden="false" customHeight="false" outlineLevel="0" collapsed="false">
      <c r="A41" s="0" t="n">
        <v>0.186570058886036</v>
      </c>
      <c r="B41" s="0" t="n">
        <v>0.892558998489978</v>
      </c>
      <c r="C41" s="0" t="n">
        <v>0.539342241915651</v>
      </c>
      <c r="D41" s="0" t="n">
        <f aca="false">A41/SUM($A41:$C41)</f>
        <v>0.115275481849872</v>
      </c>
      <c r="E41" s="0" t="n">
        <f aca="false">B41/SUM($A41:$C41)</f>
        <v>0.551482747257003</v>
      </c>
      <c r="F41" s="0" t="n">
        <f aca="false">C41/SUM($A41:$C41)</f>
        <v>0.333241770893125</v>
      </c>
      <c r="G41" s="0" t="n">
        <f aca="false">SUMPRODUCT(D41:F41,Stats!$B$6:$D$6)</f>
        <v>0.379026294302488</v>
      </c>
      <c r="H41" s="0" t="n">
        <f aca="false">SQRT(SUMPRODUCT(MMULT(D41:F41,Stats!$B$12:$D$14),D41:F41))</f>
        <v>0.236586538508125</v>
      </c>
      <c r="I41" s="0" t="n">
        <f aca="false">(G41-Stats!$B$2)/H41</f>
        <v>1.42453706972391</v>
      </c>
    </row>
    <row r="42" customFormat="false" ht="15" hidden="false" customHeight="false" outlineLevel="0" collapsed="false">
      <c r="A42" s="0" t="n">
        <v>0.807440155164063</v>
      </c>
      <c r="B42" s="0" t="n">
        <v>0.896091299923493</v>
      </c>
      <c r="C42" s="0" t="n">
        <v>0.318003474971864</v>
      </c>
      <c r="D42" s="0" t="n">
        <f aca="false">A42/SUM($A42:$C42)</f>
        <v>0.399419343765843</v>
      </c>
      <c r="E42" s="0" t="n">
        <f aca="false">B42/SUM($A42:$C42)</f>
        <v>0.443272726381806</v>
      </c>
      <c r="F42" s="0" t="n">
        <f aca="false">C42/SUM($A42:$C42)</f>
        <v>0.157307929852351</v>
      </c>
      <c r="G42" s="0" t="n">
        <f aca="false">SUMPRODUCT(D42:F42,Stats!$B$6:$D$6)</f>
        <v>0.377651337753805</v>
      </c>
      <c r="H42" s="0" t="n">
        <f aca="false">SQRT(SUMPRODUCT(MMULT(D42:F42,Stats!$B$12:$D$14),D42:F42))</f>
        <v>0.22697766280457</v>
      </c>
      <c r="I42" s="0" t="n">
        <f aca="false">(G42-Stats!$B$2)/H42</f>
        <v>1.47878576951779</v>
      </c>
    </row>
    <row r="43" customFormat="false" ht="15" hidden="false" customHeight="false" outlineLevel="0" collapsed="false">
      <c r="A43" s="0" t="n">
        <v>0.110051924527677</v>
      </c>
      <c r="B43" s="0" t="n">
        <v>0.227935162541942</v>
      </c>
      <c r="C43" s="0" t="n">
        <v>0.427107788626256</v>
      </c>
      <c r="D43" s="0" t="n">
        <f aca="false">A43/SUM($A43:$C43)</f>
        <v>0.143840885651706</v>
      </c>
      <c r="E43" s="0" t="n">
        <f aca="false">B43/SUM($A43:$C43)</f>
        <v>0.297917512955015</v>
      </c>
      <c r="F43" s="0" t="n">
        <f aca="false">C43/SUM($A43:$C43)</f>
        <v>0.558241601393278</v>
      </c>
      <c r="G43" s="0" t="n">
        <f aca="false">SUMPRODUCT(D43:F43,Stats!$B$6:$D$6)</f>
        <v>0.358232195117256</v>
      </c>
      <c r="H43" s="0" t="n">
        <f aca="false">SQRT(SUMPRODUCT(MMULT(D43:F43,Stats!$B$12:$D$14),D43:F43))</f>
        <v>0.235569705428709</v>
      </c>
      <c r="I43" s="0" t="n">
        <f aca="false">(G43-Stats!$B$2)/H43</f>
        <v>1.34241452881961</v>
      </c>
    </row>
    <row r="44" customFormat="false" ht="15" hidden="false" customHeight="false" outlineLevel="0" collapsed="false">
      <c r="A44" s="0" t="n">
        <v>0.818014765922493</v>
      </c>
      <c r="B44" s="0" t="n">
        <v>0.860730583256343</v>
      </c>
      <c r="C44" s="0" t="n">
        <v>0.0069521305311907</v>
      </c>
      <c r="D44" s="0" t="n">
        <f aca="false">A44/SUM($A44:$C44)</f>
        <v>0.485267834690723</v>
      </c>
      <c r="E44" s="0" t="n">
        <f aca="false">B44/SUM($A44:$C44)</f>
        <v>0.51060797896216</v>
      </c>
      <c r="F44" s="0" t="n">
        <f aca="false">C44/SUM($A44:$C44)</f>
        <v>0.00412418634711764</v>
      </c>
      <c r="G44" s="0" t="n">
        <f aca="false">SUMPRODUCT(D44:F44,Stats!$B$6:$D$6)</f>
        <v>0.385749703846558</v>
      </c>
      <c r="H44" s="0" t="n">
        <f aca="false">SQRT(SUMPRODUCT(MMULT(D44:F44,Stats!$B$12:$D$14),D44:F44))</f>
        <v>0.229846966615307</v>
      </c>
      <c r="I44" s="0" t="n">
        <f aca="false">(G44-Stats!$B$2)/H44</f>
        <v>1.49555901871827</v>
      </c>
    </row>
    <row r="45" customFormat="false" ht="15" hidden="false" customHeight="false" outlineLevel="0" collapsed="false">
      <c r="A45" s="0" t="n">
        <v>0.510747302577566</v>
      </c>
      <c r="B45" s="0" t="n">
        <v>0.417411003148779</v>
      </c>
      <c r="C45" s="0" t="n">
        <v>0.22210781047073</v>
      </c>
      <c r="D45" s="0" t="n">
        <f aca="false">A45/SUM($A45:$C45)</f>
        <v>0.444025339341613</v>
      </c>
      <c r="E45" s="0" t="n">
        <f aca="false">B45/SUM($A45:$C45)</f>
        <v>0.362882116817274</v>
      </c>
      <c r="F45" s="0" t="n">
        <f aca="false">C45/SUM($A45:$C45)</f>
        <v>0.193092543841113</v>
      </c>
      <c r="G45" s="0" t="n">
        <f aca="false">SUMPRODUCT(D45:F45,Stats!$B$6:$D$6)</f>
        <v>0.372039019159738</v>
      </c>
      <c r="H45" s="0" t="n">
        <f aca="false">SQRT(SUMPRODUCT(MMULT(D45:F45,Stats!$B$12:$D$14),D45:F45))</f>
        <v>0.224886160297747</v>
      </c>
      <c r="I45" s="0" t="n">
        <f aca="false">(G45-Stats!$B$2)/H45</f>
        <v>1.4675826147895</v>
      </c>
    </row>
    <row r="46" customFormat="false" ht="15" hidden="false" customHeight="false" outlineLevel="0" collapsed="false">
      <c r="A46" s="0" t="n">
        <v>0.119865367333683</v>
      </c>
      <c r="B46" s="0" t="n">
        <v>0.337615171403628</v>
      </c>
      <c r="C46" s="0" t="n">
        <v>0.942909703912519</v>
      </c>
      <c r="D46" s="0" t="n">
        <f aca="false">A46/SUM($A46:$C46)</f>
        <v>0.0855942605733046</v>
      </c>
      <c r="E46" s="0" t="n">
        <f aca="false">B46/SUM($A46:$C46)</f>
        <v>0.241086492265749</v>
      </c>
      <c r="F46" s="0" t="n">
        <f aca="false">C46/SUM($A46:$C46)</f>
        <v>0.673319247160947</v>
      </c>
      <c r="G46" s="0" t="n">
        <f aca="false">SUMPRODUCT(D46:F46,Stats!$B$6:$D$6)</f>
        <v>0.351788989920892</v>
      </c>
      <c r="H46" s="0" t="n">
        <f aca="false">SQRT(SUMPRODUCT(MMULT(D46:F46,Stats!$B$12:$D$14),D46:F46))</f>
        <v>0.241102633731118</v>
      </c>
      <c r="I46" s="0" t="n">
        <f aca="false">(G46-Stats!$B$2)/H46</f>
        <v>1.28488430477443</v>
      </c>
    </row>
    <row r="47" customFormat="false" ht="15" hidden="false" customHeight="false" outlineLevel="0" collapsed="false">
      <c r="A47" s="0" t="n">
        <v>0.323202932020755</v>
      </c>
      <c r="B47" s="0" t="n">
        <v>0.518790621743366</v>
      </c>
      <c r="C47" s="0" t="n">
        <v>0.703018958895178</v>
      </c>
      <c r="D47" s="0" t="n">
        <f aca="false">A47/SUM($A47:$C47)</f>
        <v>0.209191142060366</v>
      </c>
      <c r="E47" s="0" t="n">
        <f aca="false">B47/SUM($A47:$C47)</f>
        <v>0.335784090738797</v>
      </c>
      <c r="F47" s="0" t="n">
        <f aca="false">C47/SUM($A47:$C47)</f>
        <v>0.455024767200837</v>
      </c>
      <c r="G47" s="0" t="n">
        <f aca="false">SUMPRODUCT(D47:F47,Stats!$B$6:$D$6)</f>
        <v>0.363257153496757</v>
      </c>
      <c r="H47" s="0" t="n">
        <f aca="false">SQRT(SUMPRODUCT(MMULT(D47:F47,Stats!$B$12:$D$14),D47:F47))</f>
        <v>0.231303378275281</v>
      </c>
      <c r="I47" s="0" t="n">
        <f aca="false">(G47-Stats!$B$2)/H47</f>
        <v>1.38889953053094</v>
      </c>
    </row>
    <row r="48" customFormat="false" ht="15" hidden="false" customHeight="false" outlineLevel="0" collapsed="false">
      <c r="A48" s="0" t="n">
        <v>0.363629602379294</v>
      </c>
      <c r="B48" s="0" t="n">
        <v>0.971782082720961</v>
      </c>
      <c r="C48" s="0" t="n">
        <v>0.962447294942111</v>
      </c>
      <c r="D48" s="0" t="n">
        <f aca="false">A48/SUM($A48:$C48)</f>
        <v>0.158247135937206</v>
      </c>
      <c r="E48" s="0" t="n">
        <f aca="false">B48/SUM($A48:$C48)</f>
        <v>0.422907624515341</v>
      </c>
      <c r="F48" s="0" t="n">
        <f aca="false">C48/SUM($A48:$C48)</f>
        <v>0.418845239547453</v>
      </c>
      <c r="G48" s="0" t="n">
        <f aca="false">SUMPRODUCT(D48:F48,Stats!$B$6:$D$6)</f>
        <v>0.36926776542814</v>
      </c>
      <c r="H48" s="0" t="n">
        <f aca="false">SQRT(SUMPRODUCT(MMULT(D48:F48,Stats!$B$12:$D$14),D48:F48))</f>
        <v>0.233711667767814</v>
      </c>
      <c r="I48" s="0" t="n">
        <f aca="false">(G48-Stats!$B$2)/H48</f>
        <v>1.40030563537492</v>
      </c>
    </row>
    <row r="49" customFormat="false" ht="15" hidden="false" customHeight="false" outlineLevel="0" collapsed="false">
      <c r="A49" s="0" t="n">
        <v>0.251782295825364</v>
      </c>
      <c r="B49" s="0" t="n">
        <v>0.497248505892386</v>
      </c>
      <c r="C49" s="0" t="n">
        <v>0.30087830981677</v>
      </c>
      <c r="D49" s="0" t="n">
        <f aca="false">A49/SUM($A49:$C49)</f>
        <v>0.239813421046862</v>
      </c>
      <c r="E49" s="0" t="n">
        <f aca="false">B49/SUM($A49:$C49)</f>
        <v>0.473611001590052</v>
      </c>
      <c r="F49" s="0" t="n">
        <f aca="false">C49/SUM($A49:$C49)</f>
        <v>0.286575577363086</v>
      </c>
      <c r="G49" s="0" t="n">
        <f aca="false">SUMPRODUCT(D49:F49,Stats!$B$6:$D$6)</f>
        <v>0.375832457182069</v>
      </c>
      <c r="H49" s="0" t="n">
        <f aca="false">SQRT(SUMPRODUCT(MMULT(D49:F49,Stats!$B$12:$D$14),D49:F49))</f>
        <v>0.230599157019106</v>
      </c>
      <c r="I49" s="0" t="n">
        <f aca="false">(G49-Stats!$B$2)/H49</f>
        <v>1.44767423045874</v>
      </c>
    </row>
    <row r="50" customFormat="false" ht="15" hidden="false" customHeight="false" outlineLevel="0" collapsed="false">
      <c r="A50" s="0" t="n">
        <v>0.284840494377468</v>
      </c>
      <c r="B50" s="0" t="n">
        <v>0.0368869473545328</v>
      </c>
      <c r="C50" s="0" t="n">
        <v>0.609564333979897</v>
      </c>
      <c r="D50" s="0" t="n">
        <f aca="false">A50/SUM($A50:$C50)</f>
        <v>0.305855266637279</v>
      </c>
      <c r="E50" s="0" t="n">
        <f aca="false">B50/SUM($A50:$C50)</f>
        <v>0.0396083679857859</v>
      </c>
      <c r="F50" s="0" t="n">
        <f aca="false">C50/SUM($A50:$C50)</f>
        <v>0.654536365376935</v>
      </c>
      <c r="G50" s="0" t="n">
        <f aca="false">SUMPRODUCT(D50:F50,Stats!$B$6:$D$6)</f>
        <v>0.340714130158775</v>
      </c>
      <c r="H50" s="0" t="n">
        <f aca="false">SQRT(SUMPRODUCT(MMULT(D50:F50,Stats!$B$12:$D$14),D50:F50))</f>
        <v>0.23138912519528</v>
      </c>
      <c r="I50" s="0" t="n">
        <f aca="false">(G50-Stats!$B$2)/H50</f>
        <v>1.29096010846092</v>
      </c>
    </row>
    <row r="51" customFormat="false" ht="15" hidden="false" customHeight="false" outlineLevel="0" collapsed="false">
      <c r="A51" s="0" t="n">
        <v>0.502679023228862</v>
      </c>
      <c r="B51" s="0" t="n">
        <v>0.0514787512499894</v>
      </c>
      <c r="C51" s="0" t="n">
        <v>0.278646464236611</v>
      </c>
      <c r="D51" s="0" t="n">
        <f aca="false">A51/SUM($A51:$C51)</f>
        <v>0.603598060456808</v>
      </c>
      <c r="E51" s="0" t="n">
        <f aca="false">B51/SUM($A51:$C51)</f>
        <v>0.0618137478855673</v>
      </c>
      <c r="F51" s="0" t="n">
        <f aca="false">C51/SUM($A51:$C51)</f>
        <v>0.334588191657625</v>
      </c>
      <c r="G51" s="0" t="n">
        <f aca="false">SUMPRODUCT(D51:F51,Stats!$B$6:$D$6)</f>
        <v>0.35081424681012</v>
      </c>
      <c r="H51" s="0" t="n">
        <f aca="false">SQRT(SUMPRODUCT(MMULT(D51:F51,Stats!$B$12:$D$14),D51:F51))</f>
        <v>0.221299611204118</v>
      </c>
      <c r="I51" s="0" t="n">
        <f aca="false">(G51-Stats!$B$2)/H51</f>
        <v>1.39545770157401</v>
      </c>
    </row>
    <row r="52" customFormat="false" ht="15" hidden="false" customHeight="false" outlineLevel="0" collapsed="false">
      <c r="A52" s="0" t="n">
        <v>0.908265885966654</v>
      </c>
      <c r="B52" s="0" t="n">
        <v>0.239561890666972</v>
      </c>
      <c r="C52" s="0" t="n">
        <v>0.144894872091223</v>
      </c>
      <c r="D52" s="0" t="n">
        <f aca="false">A52/SUM($A52:$C52)</f>
        <v>0.702599190060276</v>
      </c>
      <c r="E52" s="0" t="n">
        <f aca="false">B52/SUM($A52:$C52)</f>
        <v>0.185315768160539</v>
      </c>
      <c r="F52" s="0" t="n">
        <f aca="false">C52/SUM($A52:$C52)</f>
        <v>0.112085041779185</v>
      </c>
      <c r="G52" s="0" t="n">
        <f aca="false">SUMPRODUCT(D52:F52,Stats!$B$6:$D$6)</f>
        <v>0.364055831989892</v>
      </c>
      <c r="H52" s="0" t="n">
        <f aca="false">SQRT(SUMPRODUCT(MMULT(D52:F52,Stats!$B$12:$D$14),D52:F52))</f>
        <v>0.224094070050398</v>
      </c>
      <c r="I52" s="0" t="n">
        <f aca="false">(G52-Stats!$B$2)/H52</f>
        <v>1.43714571259053</v>
      </c>
    </row>
    <row r="53" customFormat="false" ht="15" hidden="false" customHeight="false" outlineLevel="0" collapsed="false">
      <c r="A53" s="0" t="n">
        <v>0.489452760277563</v>
      </c>
      <c r="B53" s="0" t="n">
        <v>0.985650454110601</v>
      </c>
      <c r="C53" s="0" t="n">
        <v>0.2420552715115</v>
      </c>
      <c r="D53" s="0" t="n">
        <f aca="false">A53/SUM($A53:$C53)</f>
        <v>0.28503645079745</v>
      </c>
      <c r="E53" s="0" t="n">
        <f aca="false">B53/SUM($A53:$C53)</f>
        <v>0.57400086375498</v>
      </c>
      <c r="F53" s="0" t="n">
        <f aca="false">C53/SUM($A53:$C53)</f>
        <v>0.14096268544757</v>
      </c>
      <c r="G53" s="0" t="n">
        <f aca="false">SUMPRODUCT(D53:F53,Stats!$B$6:$D$6)</f>
        <v>0.385623979407891</v>
      </c>
      <c r="H53" s="0" t="n">
        <f aca="false">SQRT(SUMPRODUCT(MMULT(D53:F53,Stats!$B$12:$D$14),D53:F53))</f>
        <v>0.231771594485161</v>
      </c>
      <c r="I53" s="0" t="n">
        <f aca="false">(G53-Stats!$B$2)/H53</f>
        <v>1.48259746916437</v>
      </c>
    </row>
    <row r="54" customFormat="false" ht="15" hidden="false" customHeight="false" outlineLevel="0" collapsed="false">
      <c r="A54" s="0" t="n">
        <v>0.672135547405879</v>
      </c>
      <c r="B54" s="0" t="n">
        <v>0.761619615328718</v>
      </c>
      <c r="C54" s="0" t="n">
        <v>0.2376375439924</v>
      </c>
      <c r="D54" s="0" t="n">
        <f aca="false">A54/SUM($A54:$C54)</f>
        <v>0.40214100773605</v>
      </c>
      <c r="E54" s="0" t="n">
        <f aca="false">B54/SUM($A54:$C54)</f>
        <v>0.455679633076872</v>
      </c>
      <c r="F54" s="0" t="n">
        <f aca="false">C54/SUM($A54:$C54)</f>
        <v>0.142179359187078</v>
      </c>
      <c r="G54" s="0" t="n">
        <f aca="false">SUMPRODUCT(D54:F54,Stats!$B$6:$D$6)</f>
        <v>0.378782379624435</v>
      </c>
      <c r="H54" s="0" t="n">
        <f aca="false">SQRT(SUMPRODUCT(MMULT(D54:F54,Stats!$B$12:$D$14),D54:F54))</f>
        <v>0.227301161901286</v>
      </c>
      <c r="I54" s="0" t="n">
        <f aca="false">(G54-Stats!$B$2)/H54</f>
        <v>1.48165709672305</v>
      </c>
    </row>
    <row r="55" customFormat="false" ht="15" hidden="false" customHeight="false" outlineLevel="0" collapsed="false">
      <c r="A55" s="0" t="n">
        <v>0.72821634861186</v>
      </c>
      <c r="B55" s="0" t="n">
        <v>0.367783132719253</v>
      </c>
      <c r="C55" s="0" t="n">
        <v>0.63230583059358</v>
      </c>
      <c r="D55" s="0" t="n">
        <f aca="false">A55/SUM($A55:$C55)</f>
        <v>0.421347052275675</v>
      </c>
      <c r="E55" s="0" t="n">
        <f aca="false">B55/SUM($A55:$C55)</f>
        <v>0.212799862490545</v>
      </c>
      <c r="F55" s="0" t="n">
        <f aca="false">C55/SUM($A55:$C55)</f>
        <v>0.36585308523378</v>
      </c>
      <c r="G55" s="0" t="n">
        <f aca="false">SUMPRODUCT(D55:F55,Stats!$B$6:$D$6)</f>
        <v>0.358639675011734</v>
      </c>
      <c r="H55" s="0" t="n">
        <f aca="false">SQRT(SUMPRODUCT(MMULT(D55:F55,Stats!$B$12:$D$14),D55:F55))</f>
        <v>0.223636276164305</v>
      </c>
      <c r="I55" s="0" t="n">
        <f aca="false">(G55-Stats!$B$2)/H55</f>
        <v>1.41586901929587</v>
      </c>
    </row>
    <row r="56" customFormat="false" ht="15" hidden="false" customHeight="false" outlineLevel="0" collapsed="false">
      <c r="A56" s="0" t="n">
        <v>0.633529710760895</v>
      </c>
      <c r="B56" s="0" t="n">
        <v>0.535774684074759</v>
      </c>
      <c r="C56" s="0" t="n">
        <v>0.0902897700544083</v>
      </c>
      <c r="D56" s="0" t="n">
        <f aca="false">A56/SUM($A56:$C56)</f>
        <v>0.502963357897256</v>
      </c>
      <c r="E56" s="0" t="n">
        <f aca="false">B56/SUM($A56:$C56)</f>
        <v>0.425355006405195</v>
      </c>
      <c r="F56" s="0" t="n">
        <f aca="false">C56/SUM($A56:$C56)</f>
        <v>0.0716816356975494</v>
      </c>
      <c r="G56" s="0" t="n">
        <f aca="false">SUMPRODUCT(D56:F56,Stats!$B$6:$D$6)</f>
        <v>0.378981487464517</v>
      </c>
      <c r="H56" s="0" t="n">
        <f aca="false">SQRT(SUMPRODUCT(MMULT(D56:F56,Stats!$B$12:$D$14),D56:F56))</f>
        <v>0.226873582987105</v>
      </c>
      <c r="I56" s="0" t="n">
        <f aca="false">(G56-Stats!$B$2)/H56</f>
        <v>1.48532712811994</v>
      </c>
    </row>
    <row r="57" customFormat="false" ht="15" hidden="false" customHeight="false" outlineLevel="0" collapsed="false">
      <c r="A57" s="0" t="n">
        <v>0.835302495589238</v>
      </c>
      <c r="B57" s="0" t="n">
        <v>0.320780064971736</v>
      </c>
      <c r="C57" s="0" t="n">
        <v>0.186518510399854</v>
      </c>
      <c r="D57" s="0" t="n">
        <f aca="false">A57/SUM($A57:$C57)</f>
        <v>0.62215241269803</v>
      </c>
      <c r="E57" s="0" t="n">
        <f aca="false">B57/SUM($A57:$C57)</f>
        <v>0.238924332707534</v>
      </c>
      <c r="F57" s="0" t="n">
        <f aca="false">C57/SUM($A57:$C57)</f>
        <v>0.138923254594437</v>
      </c>
      <c r="G57" s="0" t="n">
        <f aca="false">SUMPRODUCT(D57:F57,Stats!$B$6:$D$6)</f>
        <v>0.366400346013857</v>
      </c>
      <c r="H57" s="0" t="n">
        <f aca="false">SQRT(SUMPRODUCT(MMULT(D57:F57,Stats!$B$12:$D$14),D57:F57))</f>
        <v>0.223443987879377</v>
      </c>
      <c r="I57" s="0" t="n">
        <f aca="false">(G57-Stats!$B$2)/H57</f>
        <v>1.45181953245921</v>
      </c>
    </row>
    <row r="58" customFormat="false" ht="15" hidden="false" customHeight="false" outlineLevel="0" collapsed="false">
      <c r="A58" s="0" t="n">
        <v>0.0407751415547639</v>
      </c>
      <c r="B58" s="0" t="n">
        <v>0.590892943188242</v>
      </c>
      <c r="C58" s="0" t="n">
        <v>0.677564361842282</v>
      </c>
      <c r="D58" s="0" t="n">
        <f aca="false">A58/SUM($A58:$C58)</f>
        <v>0.0311443102873846</v>
      </c>
      <c r="E58" s="0" t="n">
        <f aca="false">B58/SUM($A58:$C58)</f>
        <v>0.451327756755033</v>
      </c>
      <c r="F58" s="0" t="n">
        <f aca="false">C58/SUM($A58:$C58)</f>
        <v>0.517527932957582</v>
      </c>
      <c r="G58" s="0" t="n">
        <f aca="false">SUMPRODUCT(D58:F58,Stats!$B$6:$D$6)</f>
        <v>0.36818188573833</v>
      </c>
      <c r="H58" s="0" t="n">
        <f aca="false">SQRT(SUMPRODUCT(MMULT(D58:F58,Stats!$B$12:$D$14),D58:F58))</f>
        <v>0.241467901096659</v>
      </c>
      <c r="I58" s="0" t="n">
        <f aca="false">(G58-Stats!$B$2)/H58</f>
        <v>1.35082917545948</v>
      </c>
    </row>
    <row r="59" customFormat="false" ht="15" hidden="false" customHeight="false" outlineLevel="0" collapsed="false">
      <c r="A59" s="0" t="n">
        <v>0.0165878289278562</v>
      </c>
      <c r="B59" s="0" t="n">
        <v>0.512093058299281</v>
      </c>
      <c r="C59" s="0" t="n">
        <v>0.226495775197938</v>
      </c>
      <c r="D59" s="0" t="n">
        <f aca="false">A59/SUM($A59:$C59)</f>
        <v>0.0219654946361666</v>
      </c>
      <c r="E59" s="0" t="n">
        <f aca="false">B59/SUM($A59:$C59)</f>
        <v>0.678110280387655</v>
      </c>
      <c r="F59" s="0" t="n">
        <f aca="false">C59/SUM($A59:$C59)</f>
        <v>0.299924224976179</v>
      </c>
      <c r="G59" s="0" t="n">
        <f aca="false">SUMPRODUCT(D59:F59,Stats!$B$6:$D$6)</f>
        <v>0.387230997182075</v>
      </c>
      <c r="H59" s="0" t="n">
        <f aca="false">SQRT(SUMPRODUCT(MMULT(D59:F59,Stats!$B$12:$D$14),D59:F59))</f>
        <v>0.243010759055246</v>
      </c>
      <c r="I59" s="0" t="n">
        <f aca="false">(G59-Stats!$B$2)/H59</f>
        <v>1.42064079189016</v>
      </c>
    </row>
    <row r="60" customFormat="false" ht="15" hidden="false" customHeight="false" outlineLevel="0" collapsed="false">
      <c r="A60" s="0" t="n">
        <v>0.64517279040945</v>
      </c>
      <c r="B60" s="0" t="n">
        <v>0.174366429004991</v>
      </c>
      <c r="C60" s="0" t="n">
        <v>0.690937738102466</v>
      </c>
      <c r="D60" s="0" t="n">
        <f aca="false">A60/SUM($A60:$C60)</f>
        <v>0.427131832232686</v>
      </c>
      <c r="E60" s="0" t="n">
        <f aca="false">B60/SUM($A60:$C60)</f>
        <v>0.115437993368422</v>
      </c>
      <c r="F60" s="0" t="n">
        <f aca="false">C60/SUM($A60:$C60)</f>
        <v>0.457430174398892</v>
      </c>
      <c r="G60" s="0" t="n">
        <f aca="false">SUMPRODUCT(D60:F60,Stats!$B$6:$D$6)</f>
        <v>0.35051239606412</v>
      </c>
      <c r="H60" s="0" t="n">
        <f aca="false">SQRT(SUMPRODUCT(MMULT(D60:F60,Stats!$B$12:$D$14),D60:F60))</f>
        <v>0.224037495405549</v>
      </c>
      <c r="I60" s="0" t="n">
        <f aca="false">(G60-Stats!$B$2)/H60</f>
        <v>1.37705697658178</v>
      </c>
    </row>
    <row r="61" customFormat="false" ht="15" hidden="false" customHeight="false" outlineLevel="0" collapsed="false">
      <c r="A61" s="0" t="n">
        <v>0.386735346300537</v>
      </c>
      <c r="B61" s="0" t="n">
        <v>0.936729988736735</v>
      </c>
      <c r="C61" s="0" t="n">
        <v>0.137520944145993</v>
      </c>
      <c r="D61" s="0" t="n">
        <f aca="false">A61/SUM($A61:$C61)</f>
        <v>0.264708404049307</v>
      </c>
      <c r="E61" s="0" t="n">
        <f aca="false">B61/SUM($A61:$C61)</f>
        <v>0.641162755655991</v>
      </c>
      <c r="F61" s="0" t="n">
        <f aca="false">C61/SUM($A61:$C61)</f>
        <v>0.0941288402947026</v>
      </c>
      <c r="G61" s="0" t="n">
        <f aca="false">SUMPRODUCT(D61:F61,Stats!$B$6:$D$6)</f>
        <v>0.390779813008785</v>
      </c>
      <c r="H61" s="0" t="n">
        <f aca="false">SQRT(SUMPRODUCT(MMULT(D61:F61,Stats!$B$12:$D$14),D61:F61))</f>
        <v>0.234262932657349</v>
      </c>
      <c r="I61" s="0" t="n">
        <f aca="false">(G61-Stats!$B$2)/H61</f>
        <v>1.4888390965332</v>
      </c>
    </row>
    <row r="62" customFormat="false" ht="15" hidden="false" customHeight="false" outlineLevel="0" collapsed="false">
      <c r="A62" s="0" t="n">
        <v>0.341066351050259</v>
      </c>
      <c r="B62" s="0" t="n">
        <v>0.113473521240589</v>
      </c>
      <c r="C62" s="0" t="n">
        <v>0.924693618278563</v>
      </c>
      <c r="D62" s="0" t="n">
        <f aca="false">A62/SUM($A62:$C62)</f>
        <v>0.24728688317266</v>
      </c>
      <c r="E62" s="0" t="n">
        <f aca="false">B62/SUM($A62:$C62)</f>
        <v>0.0822728870901634</v>
      </c>
      <c r="F62" s="0" t="n">
        <f aca="false">C62/SUM($A62:$C62)</f>
        <v>0.670440229737176</v>
      </c>
      <c r="G62" s="0" t="n">
        <f aca="false">SUMPRODUCT(D62:F62,Stats!$B$6:$D$6)</f>
        <v>0.342730448425648</v>
      </c>
      <c r="H62" s="0" t="n">
        <f aca="false">SQRT(SUMPRODUCT(MMULT(D62:F62,Stats!$B$12:$D$14),D62:F62))</f>
        <v>0.233809090183174</v>
      </c>
      <c r="I62" s="0" t="n">
        <f aca="false">(G62-Stats!$B$2)/H62</f>
        <v>1.28622222596241</v>
      </c>
    </row>
    <row r="63" customFormat="false" ht="15" hidden="false" customHeight="false" outlineLevel="0" collapsed="false">
      <c r="A63" s="0" t="n">
        <v>0.877339353380981</v>
      </c>
      <c r="B63" s="0" t="n">
        <v>0.257941627715156</v>
      </c>
      <c r="C63" s="0" t="n">
        <v>0.659984046034179</v>
      </c>
      <c r="D63" s="0" t="n">
        <f aca="false">A63/SUM($A63:$C63)</f>
        <v>0.488696287245892</v>
      </c>
      <c r="E63" s="0" t="n">
        <f aca="false">B63/SUM($A63:$C63)</f>
        <v>0.143678857336996</v>
      </c>
      <c r="F63" s="0" t="n">
        <f aca="false">C63/SUM($A63:$C63)</f>
        <v>0.367624855417112</v>
      </c>
      <c r="G63" s="0" t="n">
        <f aca="false">SUMPRODUCT(D63:F63,Stats!$B$6:$D$6)</f>
        <v>0.354613685955418</v>
      </c>
      <c r="H63" s="0" t="n">
        <f aca="false">SQRT(SUMPRODUCT(MMULT(D63:F63,Stats!$B$12:$D$14),D63:F63))</f>
        <v>0.22232914464752</v>
      </c>
      <c r="I63" s="0" t="n">
        <f aca="false">(G63-Stats!$B$2)/H63</f>
        <v>1.40608504769375</v>
      </c>
    </row>
    <row r="64" customFormat="false" ht="15" hidden="false" customHeight="false" outlineLevel="0" collapsed="false">
      <c r="A64" s="0" t="n">
        <v>0.817222200201216</v>
      </c>
      <c r="B64" s="0" t="n">
        <v>0.555200811599462</v>
      </c>
      <c r="C64" s="0" t="n">
        <v>0.529650578356007</v>
      </c>
      <c r="D64" s="0" t="n">
        <f aca="false">A64/SUM($A64:$C64)</f>
        <v>0.429648045391291</v>
      </c>
      <c r="E64" s="0" t="n">
        <f aca="false">B64/SUM($A64:$C64)</f>
        <v>0.291892392845709</v>
      </c>
      <c r="F64" s="0" t="n">
        <f aca="false">C64/SUM($A64:$C64)</f>
        <v>0.278459561763</v>
      </c>
      <c r="G64" s="0" t="n">
        <f aca="false">SUMPRODUCT(D64:F64,Stats!$B$6:$D$6)</f>
        <v>0.365600399637301</v>
      </c>
      <c r="H64" s="0" t="n">
        <f aca="false">SQRT(SUMPRODUCT(MMULT(D64:F64,Stats!$B$12:$D$14),D64:F64))</f>
        <v>0.223900826561276</v>
      </c>
      <c r="I64" s="0" t="n">
        <f aca="false">(G64-Stats!$B$2)/H64</f>
        <v>1.44528452443538</v>
      </c>
    </row>
    <row r="65" customFormat="false" ht="15" hidden="false" customHeight="false" outlineLevel="0" collapsed="false">
      <c r="A65" s="0" t="n">
        <v>0.241852290900452</v>
      </c>
      <c r="B65" s="0" t="n">
        <v>0.0931027678058992</v>
      </c>
      <c r="C65" s="0" t="n">
        <v>0.897215757953327</v>
      </c>
      <c r="D65" s="0" t="n">
        <f aca="false">A65/SUM($A65:$C65)</f>
        <v>0.196281463276411</v>
      </c>
      <c r="E65" s="0" t="n">
        <f aca="false">B65/SUM($A65:$C65)</f>
        <v>0.0755599520351357</v>
      </c>
      <c r="F65" s="0" t="n">
        <f aca="false">C65/SUM($A65:$C65)</f>
        <v>0.728158584688454</v>
      </c>
      <c r="G65" s="0" t="n">
        <f aca="false">SUMPRODUCT(D65:F65,Stats!$B$6:$D$6)</f>
        <v>0.340752633392829</v>
      </c>
      <c r="H65" s="0" t="n">
        <f aca="false">SQRT(SUMPRODUCT(MMULT(D65:F65,Stats!$B$12:$D$14),D65:F65))</f>
        <v>0.237728768822594</v>
      </c>
      <c r="I65" s="0" t="n">
        <f aca="false">(G65-Stats!$B$2)/H65</f>
        <v>1.25669532918741</v>
      </c>
    </row>
    <row r="66" customFormat="false" ht="15" hidden="false" customHeight="false" outlineLevel="0" collapsed="false">
      <c r="A66" s="0" t="n">
        <v>0.900418057163331</v>
      </c>
      <c r="B66" s="0" t="n">
        <v>0.633101457273268</v>
      </c>
      <c r="C66" s="0" t="n">
        <v>0.339029791048701</v>
      </c>
      <c r="D66" s="0" t="n">
        <f aca="false">A66/SUM($A66:$C66)</f>
        <v>0.480851454498804</v>
      </c>
      <c r="E66" s="0" t="n">
        <f aca="false">B66/SUM($A66:$C66)</f>
        <v>0.338096014571531</v>
      </c>
      <c r="F66" s="0" t="n">
        <f aca="false">C66/SUM($A66:$C66)</f>
        <v>0.181052530929665</v>
      </c>
      <c r="G66" s="0" t="n">
        <f aca="false">SUMPRODUCT(D66:F66,Stats!$B$6:$D$6)</f>
        <v>0.370944857641743</v>
      </c>
      <c r="H66" s="0" t="n">
        <f aca="false">SQRT(SUMPRODUCT(MMULT(D66:F66,Stats!$B$12:$D$14),D66:F66))</f>
        <v>0.224296222952396</v>
      </c>
      <c r="I66" s="0" t="n">
        <f aca="false">(G66-Stats!$B$2)/H66</f>
        <v>1.46656440894039</v>
      </c>
    </row>
    <row r="67" customFormat="false" ht="15" hidden="false" customHeight="false" outlineLevel="0" collapsed="false">
      <c r="A67" s="0" t="n">
        <v>0.349209574612661</v>
      </c>
      <c r="B67" s="0" t="n">
        <v>0.725955678870239</v>
      </c>
      <c r="C67" s="0" t="n">
        <v>0.897110259952577</v>
      </c>
      <c r="D67" s="0" t="n">
        <f aca="false">A67/SUM($A67:$C67)</f>
        <v>0.177059225363691</v>
      </c>
      <c r="E67" s="0" t="n">
        <f aca="false">B67/SUM($A67:$C67)</f>
        <v>0.368080257512151</v>
      </c>
      <c r="F67" s="0" t="n">
        <f aca="false">C67/SUM($A67:$C67)</f>
        <v>0.454860517124159</v>
      </c>
      <c r="G67" s="0" t="n">
        <f aca="false">SUMPRODUCT(D67:F67,Stats!$B$6:$D$6)</f>
        <v>0.365119962265475</v>
      </c>
      <c r="H67" s="0" t="n">
        <f aca="false">SQRT(SUMPRODUCT(MMULT(D67:F67,Stats!$B$12:$D$14),D67:F67))</f>
        <v>0.232836315220665</v>
      </c>
      <c r="I67" s="0" t="n">
        <f aca="false">(G67-Stats!$B$2)/H67</f>
        <v>1.38775586600074</v>
      </c>
    </row>
    <row r="68" customFormat="false" ht="15" hidden="false" customHeight="false" outlineLevel="0" collapsed="false">
      <c r="A68" s="0" t="n">
        <v>0.887086424265117</v>
      </c>
      <c r="B68" s="0" t="n">
        <v>0.779875545857624</v>
      </c>
      <c r="C68" s="0" t="n">
        <v>0.642031646154288</v>
      </c>
      <c r="D68" s="0" t="n">
        <f aca="false">A68/SUM($A68:$C68)</f>
        <v>0.384187473716552</v>
      </c>
      <c r="E68" s="0" t="n">
        <f aca="false">B68/SUM($A68:$C68)</f>
        <v>0.337755609352909</v>
      </c>
      <c r="F68" s="0" t="n">
        <f aca="false">C68/SUM($A68:$C68)</f>
        <v>0.278056916930539</v>
      </c>
      <c r="G68" s="0" t="n">
        <f aca="false">SUMPRODUCT(D68:F68,Stats!$B$6:$D$6)</f>
        <v>0.368250412531916</v>
      </c>
      <c r="H68" s="0" t="n">
        <f aca="false">SQRT(SUMPRODUCT(MMULT(D68:F68,Stats!$B$12:$D$14),D68:F68))</f>
        <v>0.225153776451286</v>
      </c>
      <c r="I68" s="0" t="n">
        <f aca="false">(G68-Stats!$B$2)/H68</f>
        <v>1.44901150526562</v>
      </c>
    </row>
    <row r="69" customFormat="false" ht="15" hidden="false" customHeight="false" outlineLevel="0" collapsed="false">
      <c r="A69" s="0" t="n">
        <v>0.0841399649950488</v>
      </c>
      <c r="B69" s="0" t="n">
        <v>0.161628714094614</v>
      </c>
      <c r="C69" s="0" t="n">
        <v>0.898554188527079</v>
      </c>
      <c r="D69" s="0" t="n">
        <f aca="false">A69/SUM($A69:$C69)</f>
        <v>0.0735281688202958</v>
      </c>
      <c r="E69" s="0" t="n">
        <f aca="false">B69/SUM($A69:$C69)</f>
        <v>0.141243978136376</v>
      </c>
      <c r="F69" s="0" t="n">
        <f aca="false">C69/SUM($A69:$C69)</f>
        <v>0.785227853043329</v>
      </c>
      <c r="G69" s="0" t="n">
        <f aca="false">SUMPRODUCT(D69:F69,Stats!$B$6:$D$6)</f>
        <v>0.342958344116632</v>
      </c>
      <c r="H69" s="0" t="n">
        <f aca="false">SQRT(SUMPRODUCT(MMULT(D69:F69,Stats!$B$12:$D$14),D69:F69))</f>
        <v>0.245490717906073</v>
      </c>
      <c r="I69" s="0" t="n">
        <f aca="false">(G69-Stats!$B$2)/H69</f>
        <v>1.22594592041472</v>
      </c>
    </row>
    <row r="70" customFormat="false" ht="15" hidden="false" customHeight="false" outlineLevel="0" collapsed="false">
      <c r="A70" s="0" t="n">
        <v>0.60642905965959</v>
      </c>
      <c r="B70" s="0" t="n">
        <v>0.00919705161662965</v>
      </c>
      <c r="C70" s="0" t="n">
        <v>0.101471542866032</v>
      </c>
      <c r="D70" s="0" t="n">
        <f aca="false">A70/SUM($A70:$C70)</f>
        <v>0.845671515109003</v>
      </c>
      <c r="E70" s="0" t="n">
        <f aca="false">B70/SUM($A70:$C70)</f>
        <v>0.0128253823778445</v>
      </c>
      <c r="F70" s="0" t="n">
        <f aca="false">C70/SUM($A70:$C70)</f>
        <v>0.141503102513152</v>
      </c>
      <c r="G70" s="0" t="n">
        <f aca="false">SUMPRODUCT(D70:F70,Stats!$B$6:$D$6)</f>
        <v>0.353319766731935</v>
      </c>
      <c r="H70" s="0" t="n">
        <f aca="false">SQRT(SUMPRODUCT(MMULT(D70:F70,Stats!$B$12:$D$14),D70:F70))</f>
        <v>0.225479586198183</v>
      </c>
      <c r="I70" s="0" t="n">
        <f aca="false">(G70-Stats!$B$2)/H70</f>
        <v>1.38070045267115</v>
      </c>
    </row>
    <row r="71" customFormat="false" ht="15" hidden="false" customHeight="false" outlineLevel="0" collapsed="false">
      <c r="A71" s="0" t="n">
        <v>0.663501769108056</v>
      </c>
      <c r="B71" s="0" t="n">
        <v>0.00506158384621869</v>
      </c>
      <c r="C71" s="0" t="n">
        <v>0.160808051417499</v>
      </c>
      <c r="D71" s="0" t="n">
        <f aca="false">A71/SUM($A71:$C71)</f>
        <v>0.800005601363409</v>
      </c>
      <c r="E71" s="0" t="n">
        <f aca="false">B71/SUM($A71:$C71)</f>
        <v>0.00610291579808289</v>
      </c>
      <c r="F71" s="0" t="n">
        <f aca="false">C71/SUM($A71:$C71)</f>
        <v>0.193891482838508</v>
      </c>
      <c r="G71" s="0" t="n">
        <f aca="false">SUMPRODUCT(D71:F71,Stats!$B$6:$D$6)</f>
        <v>0.351488375267813</v>
      </c>
      <c r="H71" s="0" t="n">
        <f aca="false">SQRT(SUMPRODUCT(MMULT(D71:F71,Stats!$B$12:$D$14),D71:F71))</f>
        <v>0.223767323475853</v>
      </c>
      <c r="I71" s="0" t="n">
        <f aca="false">(G71-Stats!$B$2)/H71</f>
        <v>1.38308118656659</v>
      </c>
    </row>
    <row r="72" customFormat="false" ht="15" hidden="false" customHeight="false" outlineLevel="0" collapsed="false">
      <c r="A72" s="0" t="n">
        <v>0.548733789366586</v>
      </c>
      <c r="B72" s="0" t="n">
        <v>0.691895197692693</v>
      </c>
      <c r="C72" s="0" t="n">
        <v>0.651961259502601</v>
      </c>
      <c r="D72" s="0" t="n">
        <f aca="false">A72/SUM($A72:$C72)</f>
        <v>0.289937978050678</v>
      </c>
      <c r="E72" s="0" t="n">
        <f aca="false">B72/SUM($A72:$C72)</f>
        <v>0.365581086000842</v>
      </c>
      <c r="F72" s="0" t="n">
        <f aca="false">C72/SUM($A72:$C72)</f>
        <v>0.34448093594848</v>
      </c>
      <c r="G72" s="0" t="n">
        <f aca="false">SUMPRODUCT(D72:F72,Stats!$B$6:$D$6)</f>
        <v>0.368019837668029</v>
      </c>
      <c r="H72" s="0" t="n">
        <f aca="false">SQRT(SUMPRODUCT(MMULT(D72:F72,Stats!$B$12:$D$14),D72:F72))</f>
        <v>0.227860458324619</v>
      </c>
      <c r="I72" s="0" t="n">
        <f aca="false">(G72-Stats!$B$2)/H72</f>
        <v>1.43078724612925</v>
      </c>
    </row>
    <row r="73" customFormat="false" ht="15" hidden="false" customHeight="false" outlineLevel="0" collapsed="false">
      <c r="A73" s="0" t="n">
        <v>0.22426930946056</v>
      </c>
      <c r="B73" s="0" t="n">
        <v>0.712179221347536</v>
      </c>
      <c r="C73" s="0" t="n">
        <v>0.2372490874968</v>
      </c>
      <c r="D73" s="0" t="n">
        <f aca="false">A73/SUM($A73:$C73)</f>
        <v>0.19107929160192</v>
      </c>
      <c r="E73" s="0" t="n">
        <f aca="false">B73/SUM($A73:$C73)</f>
        <v>0.606782539421095</v>
      </c>
      <c r="F73" s="0" t="n">
        <f aca="false">C73/SUM($A73:$C73)</f>
        <v>0.202138168976985</v>
      </c>
      <c r="G73" s="0" t="n">
        <f aca="false">SUMPRODUCT(D73:F73,Stats!$B$6:$D$6)</f>
        <v>0.385823304168231</v>
      </c>
      <c r="H73" s="0" t="n">
        <f aca="false">SQRT(SUMPRODUCT(MMULT(D73:F73,Stats!$B$12:$D$14),D73:F73))</f>
        <v>0.234690779248606</v>
      </c>
      <c r="I73" s="0" t="n">
        <f aca="false">(G73-Stats!$B$2)/H73</f>
        <v>1.46500559275923</v>
      </c>
    </row>
    <row r="74" customFormat="false" ht="15" hidden="false" customHeight="false" outlineLevel="0" collapsed="false">
      <c r="A74" s="0" t="n">
        <v>0.325399698159268</v>
      </c>
      <c r="B74" s="0" t="n">
        <v>0.746491405118024</v>
      </c>
      <c r="C74" s="0" t="n">
        <v>0.649632899047215</v>
      </c>
      <c r="D74" s="0" t="n">
        <f aca="false">A74/SUM($A74:$C74)</f>
        <v>0.189018391680797</v>
      </c>
      <c r="E74" s="0" t="n">
        <f aca="false">B74/SUM($A74:$C74)</f>
        <v>0.433622420663358</v>
      </c>
      <c r="F74" s="0" t="n">
        <f aca="false">C74/SUM($A74:$C74)</f>
        <v>0.377359187655845</v>
      </c>
      <c r="G74" s="0" t="n">
        <f aca="false">SUMPRODUCT(D74:F74,Stats!$B$6:$D$6)</f>
        <v>0.371028242855144</v>
      </c>
      <c r="H74" s="0" t="n">
        <f aca="false">SQRT(SUMPRODUCT(MMULT(D74:F74,Stats!$B$12:$D$14),D74:F74))</f>
        <v>0.232224834590562</v>
      </c>
      <c r="I74" s="0" t="n">
        <f aca="false">(G74-Stats!$B$2)/H74</f>
        <v>1.41685209265089</v>
      </c>
    </row>
    <row r="75" customFormat="false" ht="15" hidden="false" customHeight="false" outlineLevel="0" collapsed="false">
      <c r="A75" s="0" t="n">
        <v>0.849223410494178</v>
      </c>
      <c r="B75" s="0" t="n">
        <v>0.657612892300343</v>
      </c>
      <c r="C75" s="0" t="n">
        <v>0.568308603335472</v>
      </c>
      <c r="D75" s="0" t="n">
        <f aca="false">A75/SUM($A75:$C75)</f>
        <v>0.409235715532716</v>
      </c>
      <c r="E75" s="0" t="n">
        <f aca="false">B75/SUM($A75:$C75)</f>
        <v>0.316899745342</v>
      </c>
      <c r="F75" s="0" t="n">
        <f aca="false">C75/SUM($A75:$C75)</f>
        <v>0.273864539125284</v>
      </c>
      <c r="G75" s="0" t="n">
        <f aca="false">SUMPRODUCT(D75:F75,Stats!$B$6:$D$6)</f>
        <v>0.367165996315451</v>
      </c>
      <c r="H75" s="0" t="n">
        <f aca="false">SQRT(SUMPRODUCT(MMULT(D75:F75,Stats!$B$12:$D$14),D75:F75))</f>
        <v>0.224483102578399</v>
      </c>
      <c r="I75" s="0" t="n">
        <f aca="false">(G75-Stats!$B$2)/H75</f>
        <v>1.44850989932255</v>
      </c>
    </row>
    <row r="76" customFormat="false" ht="15" hidden="false" customHeight="false" outlineLevel="0" collapsed="false">
      <c r="A76" s="0" t="n">
        <v>0.0936747678280925</v>
      </c>
      <c r="B76" s="0" t="n">
        <v>0.367715803059434</v>
      </c>
      <c r="C76" s="0" t="n">
        <v>0.265202367681725</v>
      </c>
      <c r="D76" s="0" t="n">
        <f aca="false">A76/SUM($A76:$C76)</f>
        <v>0.128923311603536</v>
      </c>
      <c r="E76" s="0" t="n">
        <f aca="false">B76/SUM($A76:$C76)</f>
        <v>0.506082269094866</v>
      </c>
      <c r="F76" s="0" t="n">
        <f aca="false">C76/SUM($A76:$C76)</f>
        <v>0.364994419301598</v>
      </c>
      <c r="G76" s="0" t="n">
        <f aca="false">SUMPRODUCT(D76:F76,Stats!$B$6:$D$6)</f>
        <v>0.375538442482575</v>
      </c>
      <c r="H76" s="0" t="n">
        <f aca="false">SQRT(SUMPRODUCT(MMULT(D76:F76,Stats!$B$12:$D$14),D76:F76))</f>
        <v>0.235507002096348</v>
      </c>
      <c r="I76" s="0" t="n">
        <f aca="false">(G76-Stats!$B$2)/H76</f>
        <v>1.41625700940357</v>
      </c>
    </row>
    <row r="77" customFormat="false" ht="15" hidden="false" customHeight="false" outlineLevel="0" collapsed="false">
      <c r="A77" s="0" t="n">
        <v>0.243989643379084</v>
      </c>
      <c r="B77" s="0" t="n">
        <v>0.973010554752446</v>
      </c>
      <c r="C77" s="0" t="n">
        <v>0.39309772466676</v>
      </c>
      <c r="D77" s="0" t="n">
        <f aca="false">A77/SUM($A77:$C77)</f>
        <v>0.151537145613503</v>
      </c>
      <c r="E77" s="0" t="n">
        <f aca="false">B77/SUM($A77:$C77)</f>
        <v>0.604317626260513</v>
      </c>
      <c r="F77" s="0" t="n">
        <f aca="false">C77/SUM($A77:$C77)</f>
        <v>0.244145228125983</v>
      </c>
      <c r="G77" s="0" t="n">
        <f aca="false">SUMPRODUCT(D77:F77,Stats!$B$6:$D$6)</f>
        <v>0.384523147755976</v>
      </c>
      <c r="H77" s="0" t="n">
        <f aca="false">SQRT(SUMPRODUCT(MMULT(D77:F77,Stats!$B$12:$D$14),D77:F77))</f>
        <v>0.235912944276293</v>
      </c>
      <c r="I77" s="0" t="n">
        <f aca="false">(G77-Stats!$B$2)/H77</f>
        <v>1.45190484908207</v>
      </c>
    </row>
    <row r="78" customFormat="false" ht="15" hidden="false" customHeight="false" outlineLevel="0" collapsed="false">
      <c r="A78" s="0" t="n">
        <v>0.892046555177113</v>
      </c>
      <c r="B78" s="0" t="n">
        <v>0.631138625997263</v>
      </c>
      <c r="C78" s="0" t="n">
        <v>0.794811303541648</v>
      </c>
      <c r="D78" s="0" t="n">
        <f aca="false">A78/SUM($A78:$C78)</f>
        <v>0.384835163063846</v>
      </c>
      <c r="E78" s="0" t="n">
        <f aca="false">B78/SUM($A78:$C78)</f>
        <v>0.27227764587166</v>
      </c>
      <c r="F78" s="0" t="n">
        <f aca="false">C78/SUM($A78:$C78)</f>
        <v>0.342887191064494</v>
      </c>
      <c r="G78" s="0" t="n">
        <f aca="false">SUMPRODUCT(D78:F78,Stats!$B$6:$D$6)</f>
        <v>0.362695225385465</v>
      </c>
      <c r="H78" s="0" t="n">
        <f aca="false">SQRT(SUMPRODUCT(MMULT(D78:F78,Stats!$B$12:$D$14),D78:F78))</f>
        <v>0.224630811792237</v>
      </c>
      <c r="I78" s="0" t="n">
        <f aca="false">(G78-Stats!$B$2)/H78</f>
        <v>1.42765466067085</v>
      </c>
    </row>
    <row r="79" customFormat="false" ht="15" hidden="false" customHeight="false" outlineLevel="0" collapsed="false">
      <c r="A79" s="0" t="n">
        <v>0.502637093105192</v>
      </c>
      <c r="B79" s="0" t="n">
        <v>0.576903884626359</v>
      </c>
      <c r="C79" s="0" t="n">
        <v>0.492517693818864</v>
      </c>
      <c r="D79" s="0" t="n">
        <f aca="false">A79/SUM($A79:$C79)</f>
        <v>0.31973176459723</v>
      </c>
      <c r="E79" s="0" t="n">
        <f aca="false">B79/SUM($A79:$C79)</f>
        <v>0.366973507456562</v>
      </c>
      <c r="F79" s="0" t="n">
        <f aca="false">C79/SUM($A79:$C79)</f>
        <v>0.313294727946208</v>
      </c>
      <c r="G79" s="0" t="n">
        <f aca="false">SUMPRODUCT(D79:F79,Stats!$B$6:$D$6)</f>
        <v>0.368959903487232</v>
      </c>
      <c r="H79" s="0" t="n">
        <f aca="false">SQRT(SUMPRODUCT(MMULT(D79:F79,Stats!$B$12:$D$14),D79:F79))</f>
        <v>0.226951742147704</v>
      </c>
      <c r="I79" s="0" t="n">
        <f aca="false">(G79-Stats!$B$2)/H79</f>
        <v>1.4406582667889</v>
      </c>
    </row>
    <row r="80" customFormat="false" ht="15" hidden="false" customHeight="false" outlineLevel="0" collapsed="false">
      <c r="A80" s="0" t="n">
        <v>0.195242987798045</v>
      </c>
      <c r="B80" s="0" t="n">
        <v>0.722452115261505</v>
      </c>
      <c r="C80" s="0" t="n">
        <v>0.280772362440856</v>
      </c>
      <c r="D80" s="0" t="n">
        <f aca="false">A80/SUM($A80:$C80)</f>
        <v>0.162910544856988</v>
      </c>
      <c r="E80" s="0" t="n">
        <f aca="false">B80/SUM($A80:$C80)</f>
        <v>0.602813289520425</v>
      </c>
      <c r="F80" s="0" t="n">
        <f aca="false">C80/SUM($A80:$C80)</f>
        <v>0.234276165622588</v>
      </c>
      <c r="G80" s="0" t="n">
        <f aca="false">SUMPRODUCT(D80:F80,Stats!$B$6:$D$6)</f>
        <v>0.384708725769667</v>
      </c>
      <c r="H80" s="0" t="n">
        <f aca="false">SQRT(SUMPRODUCT(MMULT(D80:F80,Stats!$B$12:$D$14),D80:F80))</f>
        <v>0.235481638760918</v>
      </c>
      <c r="I80" s="0" t="n">
        <f aca="false">(G80-Stats!$B$2)/H80</f>
        <v>1.45535222012624</v>
      </c>
    </row>
    <row r="81" customFormat="false" ht="15" hidden="false" customHeight="false" outlineLevel="0" collapsed="false">
      <c r="A81" s="0" t="n">
        <v>0.0243159664314538</v>
      </c>
      <c r="B81" s="0" t="n">
        <v>0.645472295907168</v>
      </c>
      <c r="C81" s="0" t="n">
        <v>0.177110679407049</v>
      </c>
      <c r="D81" s="0" t="n">
        <f aca="false">A81/SUM($A81:$C81)</f>
        <v>0.0287117685863824</v>
      </c>
      <c r="E81" s="0" t="n">
        <f aca="false">B81/SUM($A81:$C81)</f>
        <v>0.76215976203334</v>
      </c>
      <c r="F81" s="0" t="n">
        <f aca="false">C81/SUM($A81:$C81)</f>
        <v>0.209128469380278</v>
      </c>
      <c r="G81" s="0" t="n">
        <f aca="false">SUMPRODUCT(D81:F81,Stats!$B$6:$D$6)</f>
        <v>0.394570753611525</v>
      </c>
      <c r="H81" s="0" t="n">
        <f aca="false">SQRT(SUMPRODUCT(MMULT(D81:F81,Stats!$B$12:$D$14),D81:F81))</f>
        <v>0.244534039189601</v>
      </c>
      <c r="I81" s="0" t="n">
        <f aca="false">(G81-Stats!$B$2)/H81</f>
        <v>1.44180644453412</v>
      </c>
    </row>
    <row r="82" customFormat="false" ht="15" hidden="false" customHeight="false" outlineLevel="0" collapsed="false">
      <c r="A82" s="0" t="n">
        <v>0.940458584352914</v>
      </c>
      <c r="B82" s="0" t="n">
        <v>0.953928577002587</v>
      </c>
      <c r="C82" s="0" t="n">
        <v>0.914864390220449</v>
      </c>
      <c r="D82" s="0" t="n">
        <f aca="false">A82/SUM($A82:$C82)</f>
        <v>0.334771937324491</v>
      </c>
      <c r="E82" s="0" t="n">
        <f aca="false">B82/SUM($A82:$C82)</f>
        <v>0.339566806136477</v>
      </c>
      <c r="F82" s="0" t="n">
        <f aca="false">C82/SUM($A82:$C82)</f>
        <v>0.325661256539032</v>
      </c>
      <c r="G82" s="0" t="n">
        <f aca="false">SUMPRODUCT(D82:F82,Stats!$B$6:$D$6)</f>
        <v>0.367041955095544</v>
      </c>
      <c r="H82" s="0" t="n">
        <f aca="false">SQRT(SUMPRODUCT(MMULT(D82:F82,Stats!$B$12:$D$14),D82:F82))</f>
        <v>0.226312376468442</v>
      </c>
      <c r="I82" s="0" t="n">
        <f aca="false">(G82-Stats!$B$2)/H82</f>
        <v>1.43625355434712</v>
      </c>
    </row>
    <row r="83" customFormat="false" ht="15" hidden="false" customHeight="false" outlineLevel="0" collapsed="false">
      <c r="A83" s="0" t="n">
        <v>0.370158700255444</v>
      </c>
      <c r="B83" s="0" t="n">
        <v>0.0154566165288674</v>
      </c>
      <c r="C83" s="0" t="n">
        <v>0.928318562587725</v>
      </c>
      <c r="D83" s="0" t="n">
        <f aca="false">A83/SUM($A83:$C83)</f>
        <v>0.281717905342659</v>
      </c>
      <c r="E83" s="0" t="n">
        <f aca="false">B83/SUM($A83:$C83)</f>
        <v>0.0117636182242706</v>
      </c>
      <c r="F83" s="0" t="n">
        <f aca="false">C83/SUM($A83:$C83)</f>
        <v>0.70651847643307</v>
      </c>
      <c r="G83" s="0" t="n">
        <f aca="false">SUMPRODUCT(D83:F83,Stats!$B$6:$D$6)</f>
        <v>0.33767859257725</v>
      </c>
      <c r="H83" s="0" t="n">
        <f aca="false">SQRT(SUMPRODUCT(MMULT(D83:F83,Stats!$B$12:$D$14),D83:F83))</f>
        <v>0.233911742371439</v>
      </c>
      <c r="I83" s="0" t="n">
        <f aca="false">(G83-Stats!$B$2)/H83</f>
        <v>1.264060493841</v>
      </c>
    </row>
    <row r="84" customFormat="false" ht="15" hidden="false" customHeight="false" outlineLevel="0" collapsed="false">
      <c r="A84" s="0" t="n">
        <v>0.428184148317314</v>
      </c>
      <c r="B84" s="0" t="n">
        <v>0.96665481904367</v>
      </c>
      <c r="C84" s="0" t="n">
        <v>0.963619977089253</v>
      </c>
      <c r="D84" s="0" t="n">
        <f aca="false">A84/SUM($A84:$C84)</f>
        <v>0.181552513061501</v>
      </c>
      <c r="E84" s="0" t="n">
        <f aca="false">B84/SUM($A84:$C84)</f>
        <v>0.40986713858994</v>
      </c>
      <c r="F84" s="0" t="n">
        <f aca="false">C84/SUM($A84:$C84)</f>
        <v>0.408580348348559</v>
      </c>
      <c r="G84" s="0" t="n">
        <f aca="false">SUMPRODUCT(D84:F84,Stats!$B$6:$D$6)</f>
        <v>0.368800483172688</v>
      </c>
      <c r="H84" s="0" t="n">
        <f aca="false">SQRT(SUMPRODUCT(MMULT(D84:F84,Stats!$B$12:$D$14),D84:F84))</f>
        <v>0.23252069398317</v>
      </c>
      <c r="I84" s="0" t="n">
        <f aca="false">(G84-Stats!$B$2)/H84</f>
        <v>1.40546838035991</v>
      </c>
    </row>
    <row r="85" customFormat="false" ht="15" hidden="false" customHeight="false" outlineLevel="0" collapsed="false">
      <c r="A85" s="0" t="n">
        <v>0.85300945546736</v>
      </c>
      <c r="B85" s="0" t="n">
        <v>0.294448892069586</v>
      </c>
      <c r="C85" s="0" t="n">
        <v>0.385097728601925</v>
      </c>
      <c r="D85" s="0" t="n">
        <f aca="false">A85/SUM($A85:$C85)</f>
        <v>0.556592655073631</v>
      </c>
      <c r="E85" s="0" t="n">
        <f aca="false">B85/SUM($A85:$C85)</f>
        <v>0.192129277782397</v>
      </c>
      <c r="F85" s="0" t="n">
        <f aca="false">C85/SUM($A85:$C85)</f>
        <v>0.251278067143972</v>
      </c>
      <c r="G85" s="0" t="n">
        <f aca="false">SUMPRODUCT(D85:F85,Stats!$B$6:$D$6)</f>
        <v>0.360609678376999</v>
      </c>
      <c r="H85" s="0" t="n">
        <f aca="false">SQRT(SUMPRODUCT(MMULT(D85:F85,Stats!$B$12:$D$14),D85:F85))</f>
        <v>0.221997180707525</v>
      </c>
      <c r="I85" s="0" t="n">
        <f aca="false">(G85-Stats!$B$2)/H85</f>
        <v>1.43519695773415</v>
      </c>
    </row>
    <row r="86" customFormat="false" ht="15" hidden="false" customHeight="false" outlineLevel="0" collapsed="false">
      <c r="A86" s="0" t="n">
        <v>0.851136671516857</v>
      </c>
      <c r="B86" s="0" t="n">
        <v>0.316922005156278</v>
      </c>
      <c r="C86" s="0" t="n">
        <v>0.169492746686093</v>
      </c>
      <c r="D86" s="0" t="n">
        <f aca="false">A86/SUM($A86:$C86)</f>
        <v>0.636339400977383</v>
      </c>
      <c r="E86" s="0" t="n">
        <f aca="false">B86/SUM($A86:$C86)</f>
        <v>0.236941922098469</v>
      </c>
      <c r="F86" s="0" t="n">
        <f aca="false">C86/SUM($A86:$C86)</f>
        <v>0.126718676924148</v>
      </c>
      <c r="G86" s="0" t="n">
        <f aca="false">SUMPRODUCT(D86:F86,Stats!$B$6:$D$6)</f>
        <v>0.366622817208326</v>
      </c>
      <c r="H86" s="0" t="n">
        <f aca="false">SQRT(SUMPRODUCT(MMULT(D86:F86,Stats!$B$12:$D$14),D86:F86))</f>
        <v>0.223680109552135</v>
      </c>
      <c r="I86" s="0" t="n">
        <f aca="false">(G86-Stats!$B$2)/H86</f>
        <v>1.45128155497735</v>
      </c>
    </row>
    <row r="87" customFormat="false" ht="15" hidden="false" customHeight="false" outlineLevel="0" collapsed="false">
      <c r="A87" s="0" t="n">
        <v>0.55680126245835</v>
      </c>
      <c r="B87" s="0" t="n">
        <v>0.936154774160781</v>
      </c>
      <c r="C87" s="0" t="n">
        <v>0.696029796674973</v>
      </c>
      <c r="D87" s="0" t="n">
        <f aca="false">A87/SUM($A87:$C87)</f>
        <v>0.25436494562436</v>
      </c>
      <c r="E87" s="0" t="n">
        <f aca="false">B87/SUM($A87:$C87)</f>
        <v>0.427665981169008</v>
      </c>
      <c r="F87" s="0" t="n">
        <f aca="false">C87/SUM($A87:$C87)</f>
        <v>0.317969073206632</v>
      </c>
      <c r="G87" s="0" t="n">
        <f aca="false">SUMPRODUCT(D87:F87,Stats!$B$6:$D$6)</f>
        <v>0.372323176599206</v>
      </c>
      <c r="H87" s="0" t="n">
        <f aca="false">SQRT(SUMPRODUCT(MMULT(D87:F87,Stats!$B$12:$D$14),D87:F87))</f>
        <v>0.22956216902591</v>
      </c>
      <c r="I87" s="0" t="n">
        <f aca="false">(G87-Stats!$B$2)/H87</f>
        <v>1.43892688416759</v>
      </c>
    </row>
    <row r="88" customFormat="false" ht="15" hidden="false" customHeight="false" outlineLevel="0" collapsed="false">
      <c r="A88" s="0" t="n">
        <v>0.570061170089365</v>
      </c>
      <c r="B88" s="0" t="n">
        <v>0.0971764937707685</v>
      </c>
      <c r="C88" s="0" t="n">
        <v>0.61500722669917</v>
      </c>
      <c r="D88" s="0" t="n">
        <f aca="false">A88/SUM($A88:$C88)</f>
        <v>0.444580574495961</v>
      </c>
      <c r="E88" s="0" t="n">
        <f aca="false">B88/SUM($A88:$C88)</f>
        <v>0.0757862203127057</v>
      </c>
      <c r="F88" s="0" t="n">
        <f aca="false">C88/SUM($A88:$C88)</f>
        <v>0.479633205191334</v>
      </c>
      <c r="G88" s="0" t="n">
        <f aca="false">SUMPRODUCT(D88:F88,Stats!$B$6:$D$6)</f>
        <v>0.347618644328413</v>
      </c>
      <c r="H88" s="0" t="n">
        <f aca="false">SQRT(SUMPRODUCT(MMULT(D88:F88,Stats!$B$12:$D$14),D88:F88))</f>
        <v>0.223995127513882</v>
      </c>
      <c r="I88" s="0" t="n">
        <f aca="false">(G88-Stats!$B$2)/H88</f>
        <v>1.3643986265258</v>
      </c>
    </row>
    <row r="89" customFormat="false" ht="15" hidden="false" customHeight="false" outlineLevel="0" collapsed="false">
      <c r="A89" s="0" t="n">
        <v>0.990053850104263</v>
      </c>
      <c r="B89" s="0" t="n">
        <v>0.140084015236524</v>
      </c>
      <c r="C89" s="0" t="n">
        <v>0.518329652363737</v>
      </c>
      <c r="D89" s="0" t="n">
        <f aca="false">A89/SUM($A89:$C89)</f>
        <v>0.600590451113592</v>
      </c>
      <c r="E89" s="0" t="n">
        <f aca="false">B89/SUM($A89:$C89)</f>
        <v>0.0849783291038635</v>
      </c>
      <c r="F89" s="0" t="n">
        <f aca="false">C89/SUM($A89:$C89)</f>
        <v>0.314431219782545</v>
      </c>
      <c r="G89" s="0" t="n">
        <f aca="false">SUMPRODUCT(D89:F89,Stats!$B$6:$D$6)</f>
        <v>0.352702927578766</v>
      </c>
      <c r="H89" s="0" t="n">
        <f aca="false">SQRT(SUMPRODUCT(MMULT(D89:F89,Stats!$B$12:$D$14),D89:F89))</f>
        <v>0.221317705895305</v>
      </c>
      <c r="I89" s="0" t="n">
        <f aca="false">(G89-Stats!$B$2)/H89</f>
        <v>1.403877409274</v>
      </c>
    </row>
    <row r="90" customFormat="false" ht="15" hidden="false" customHeight="false" outlineLevel="0" collapsed="false">
      <c r="A90" s="0" t="n">
        <v>0.877373071927955</v>
      </c>
      <c r="B90" s="0" t="n">
        <v>0.740768617754204</v>
      </c>
      <c r="C90" s="0" t="n">
        <v>0.697015740995268</v>
      </c>
      <c r="D90" s="0" t="n">
        <f aca="false">A90/SUM($A90:$C90)</f>
        <v>0.378969075840009</v>
      </c>
      <c r="E90" s="0" t="n">
        <f aca="false">B90/SUM($A90:$C90)</f>
        <v>0.319964684879961</v>
      </c>
      <c r="F90" s="0" t="n">
        <f aca="false">C90/SUM($A90:$C90)</f>
        <v>0.301066239280029</v>
      </c>
      <c r="G90" s="0" t="n">
        <f aca="false">SUMPRODUCT(D90:F90,Stats!$B$6:$D$6)</f>
        <v>0.366592272550149</v>
      </c>
      <c r="H90" s="0" t="n">
        <f aca="false">SQRT(SUMPRODUCT(MMULT(D90:F90,Stats!$B$12:$D$14),D90:F90))</f>
        <v>0.225071620329003</v>
      </c>
      <c r="I90" s="0" t="n">
        <f aca="false">(G90-Stats!$B$2)/H90</f>
        <v>1.44217326056333</v>
      </c>
    </row>
    <row r="91" customFormat="false" ht="15" hidden="false" customHeight="false" outlineLevel="0" collapsed="false">
      <c r="A91" s="0" t="n">
        <v>0.702484083987109</v>
      </c>
      <c r="B91" s="0" t="n">
        <v>0.359491151219755</v>
      </c>
      <c r="C91" s="0" t="n">
        <v>0.293591844264493</v>
      </c>
      <c r="D91" s="0" t="n">
        <f aca="false">A91/SUM($A91:$C91)</f>
        <v>0.518221558066358</v>
      </c>
      <c r="E91" s="0" t="n">
        <f aca="false">B91/SUM($A91:$C91)</f>
        <v>0.265196135745602</v>
      </c>
      <c r="F91" s="0" t="n">
        <f aca="false">C91/SUM($A91:$C91)</f>
        <v>0.21658230618804</v>
      </c>
      <c r="G91" s="0" t="n">
        <f aca="false">SUMPRODUCT(D91:F91,Stats!$B$6:$D$6)</f>
        <v>0.365770573079286</v>
      </c>
      <c r="H91" s="0" t="n">
        <f aca="false">SQRT(SUMPRODUCT(MMULT(D91:F91,Stats!$B$12:$D$14),D91:F91))</f>
        <v>0.222950974750506</v>
      </c>
      <c r="I91" s="0" t="n">
        <f aca="false">(G91-Stats!$B$2)/H91</f>
        <v>1.45220523678626</v>
      </c>
    </row>
    <row r="92" customFormat="false" ht="15" hidden="false" customHeight="false" outlineLevel="0" collapsed="false">
      <c r="A92" s="0" t="n">
        <v>0.809361155478514</v>
      </c>
      <c r="B92" s="0" t="n">
        <v>0.810113394679181</v>
      </c>
      <c r="C92" s="0" t="n">
        <v>0.867072318580104</v>
      </c>
      <c r="D92" s="0" t="n">
        <f aca="false">A92/SUM($A92:$C92)</f>
        <v>0.325496038564258</v>
      </c>
      <c r="E92" s="0" t="n">
        <f aca="false">B92/SUM($A92:$C92)</f>
        <v>0.325798562200601</v>
      </c>
      <c r="F92" s="0" t="n">
        <f aca="false">C92/SUM($A92:$C92)</f>
        <v>0.348705399235141</v>
      </c>
      <c r="G92" s="0" t="n">
        <f aca="false">SUMPRODUCT(D92:F92,Stats!$B$6:$D$6)</f>
        <v>0.365614314787761</v>
      </c>
      <c r="H92" s="0" t="n">
        <f aca="false">SQRT(SUMPRODUCT(MMULT(D92:F92,Stats!$B$12:$D$14),D92:F92))</f>
        <v>0.226504637711028</v>
      </c>
      <c r="I92" s="0" t="n">
        <f aca="false">(G92-Stats!$B$2)/H92</f>
        <v>1.42873151763287</v>
      </c>
    </row>
    <row r="93" customFormat="false" ht="15" hidden="false" customHeight="false" outlineLevel="0" collapsed="false">
      <c r="A93" s="0" t="n">
        <v>0.913240552556471</v>
      </c>
      <c r="B93" s="0" t="n">
        <v>0.511342398860938</v>
      </c>
      <c r="C93" s="0" t="n">
        <v>0.5015162946872</v>
      </c>
      <c r="D93" s="0" t="n">
        <f aca="false">A93/SUM($A93:$C93)</f>
        <v>0.474139925241875</v>
      </c>
      <c r="E93" s="0" t="n">
        <f aca="false">B93/SUM($A93:$C93)</f>
        <v>0.265480815640777</v>
      </c>
      <c r="F93" s="0" t="n">
        <f aca="false">C93/SUM($A93:$C93)</f>
        <v>0.260379259117348</v>
      </c>
      <c r="G93" s="0" t="n">
        <f aca="false">SUMPRODUCT(D93:F93,Stats!$B$6:$D$6)</f>
        <v>0.364579269060169</v>
      </c>
      <c r="H93" s="0" t="n">
        <f aca="false">SQRT(SUMPRODUCT(MMULT(D93:F93,Stats!$B$12:$D$14),D93:F93))</f>
        <v>0.22311398874395</v>
      </c>
      <c r="I93" s="0" t="n">
        <f aca="false">(G93-Stats!$B$2)/H93</f>
        <v>1.44580476946413</v>
      </c>
    </row>
    <row r="94" customFormat="false" ht="15" hidden="false" customHeight="false" outlineLevel="0" collapsed="false">
      <c r="A94" s="0" t="n">
        <v>0.798295178966775</v>
      </c>
      <c r="B94" s="0" t="n">
        <v>0.649963930777765</v>
      </c>
      <c r="C94" s="0" t="n">
        <v>0.701966877257703</v>
      </c>
      <c r="D94" s="0" t="n">
        <f aca="false">A94/SUM($A94:$C94)</f>
        <v>0.371261059903627</v>
      </c>
      <c r="E94" s="0" t="n">
        <f aca="false">B94/SUM($A94:$C94)</f>
        <v>0.302277032603405</v>
      </c>
      <c r="F94" s="0" t="n">
        <f aca="false">C94/SUM($A94:$C94)</f>
        <v>0.326461907492969</v>
      </c>
      <c r="G94" s="0" t="n">
        <f aca="false">SUMPRODUCT(D94:F94,Stats!$B$6:$D$6)</f>
        <v>0.364874272147552</v>
      </c>
      <c r="H94" s="0" t="n">
        <f aca="false">SQRT(SUMPRODUCT(MMULT(D94:F94,Stats!$B$12:$D$14),D94:F94))</f>
        <v>0.225113080825603</v>
      </c>
      <c r="I94" s="0" t="n">
        <f aca="false">(G94-Stats!$B$2)/H94</f>
        <v>1.43427592463045</v>
      </c>
    </row>
    <row r="95" customFormat="false" ht="15" hidden="false" customHeight="false" outlineLevel="0" collapsed="false">
      <c r="A95" s="0" t="n">
        <v>0.795792669436101</v>
      </c>
      <c r="B95" s="0" t="n">
        <v>0.890005341817566</v>
      </c>
      <c r="C95" s="0" t="n">
        <v>0.337995156851536</v>
      </c>
      <c r="D95" s="0" t="n">
        <f aca="false">A95/SUM($A95:$C95)</f>
        <v>0.393218379218648</v>
      </c>
      <c r="E95" s="0" t="n">
        <f aca="false">B95/SUM($A95:$C95)</f>
        <v>0.439770899439711</v>
      </c>
      <c r="F95" s="0" t="n">
        <f aca="false">C95/SUM($A95:$C95)</f>
        <v>0.167010721341641</v>
      </c>
      <c r="G95" s="0" t="n">
        <f aca="false">SUMPRODUCT(D95:F95,Stats!$B$6:$D$6)</f>
        <v>0.377182296420456</v>
      </c>
      <c r="H95" s="0" t="n">
        <f aca="false">SQRT(SUMPRODUCT(MMULT(D95:F95,Stats!$B$12:$D$14),D95:F95))</f>
        <v>0.226923838992595</v>
      </c>
      <c r="I95" s="0" t="n">
        <f aca="false">(G95-Stats!$B$2)/H95</f>
        <v>1.47706956619658</v>
      </c>
    </row>
    <row r="96" customFormat="false" ht="15" hidden="false" customHeight="false" outlineLevel="0" collapsed="false">
      <c r="A96" s="0" t="n">
        <v>0.375582952639944</v>
      </c>
      <c r="B96" s="0" t="n">
        <v>0.093981939840869</v>
      </c>
      <c r="C96" s="0" t="n">
        <v>0.578280140996174</v>
      </c>
      <c r="D96" s="0" t="n">
        <f aca="false">A96/SUM($A96:$C96)</f>
        <v>0.35843368116531</v>
      </c>
      <c r="E96" s="0" t="n">
        <f aca="false">B96/SUM($A96:$C96)</f>
        <v>0.089690685968149</v>
      </c>
      <c r="F96" s="0" t="n">
        <f aca="false">C96/SUM($A96:$C96)</f>
        <v>0.551875632866541</v>
      </c>
      <c r="G96" s="0" t="n">
        <f aca="false">SUMPRODUCT(D96:F96,Stats!$B$6:$D$6)</f>
        <v>0.346426632128784</v>
      </c>
      <c r="H96" s="0" t="n">
        <f aca="false">SQRT(SUMPRODUCT(MMULT(D96:F96,Stats!$B$12:$D$14),D96:F96))</f>
        <v>0.227192547157074</v>
      </c>
      <c r="I96" s="0" t="n">
        <f aca="false">(G96-Stats!$B$2)/H96</f>
        <v>1.33994990565563</v>
      </c>
    </row>
    <row r="97" customFormat="false" ht="15" hidden="false" customHeight="false" outlineLevel="0" collapsed="false">
      <c r="A97" s="0" t="n">
        <v>0.0359422737967421</v>
      </c>
      <c r="B97" s="0" t="n">
        <v>0.46559801813246</v>
      </c>
      <c r="C97" s="0" t="n">
        <v>0.542644634707577</v>
      </c>
      <c r="D97" s="0" t="n">
        <f aca="false">A97/SUM($A97:$C97)</f>
        <v>0.0344213681694379</v>
      </c>
      <c r="E97" s="0" t="n">
        <f aca="false">B97/SUM($A97:$C97)</f>
        <v>0.445896130326366</v>
      </c>
      <c r="F97" s="0" t="n">
        <f aca="false">C97/SUM($A97:$C97)</f>
        <v>0.519682501504196</v>
      </c>
      <c r="G97" s="0" t="n">
        <f aca="false">SUMPRODUCT(D97:F97,Stats!$B$6:$D$6)</f>
        <v>0.367809945584658</v>
      </c>
      <c r="H97" s="0" t="n">
        <f aca="false">SQRT(SUMPRODUCT(MMULT(D97:F97,Stats!$B$12:$D$14),D97:F97))</f>
        <v>0.241280469253483</v>
      </c>
      <c r="I97" s="0" t="n">
        <f aca="false">(G97-Stats!$B$2)/H97</f>
        <v>1.35033700238029</v>
      </c>
    </row>
    <row r="98" customFormat="false" ht="15" hidden="false" customHeight="false" outlineLevel="0" collapsed="false">
      <c r="A98" s="0" t="n">
        <v>0.286541252128284</v>
      </c>
      <c r="B98" s="0" t="n">
        <v>0.590833260569011</v>
      </c>
      <c r="C98" s="0" t="n">
        <v>0.0305002499390494</v>
      </c>
      <c r="D98" s="0" t="n">
        <f aca="false">A98/SUM($A98:$C98)</f>
        <v>0.315617598286583</v>
      </c>
      <c r="E98" s="0" t="n">
        <f aca="false">B98/SUM($A98:$C98)</f>
        <v>0.650787184405602</v>
      </c>
      <c r="F98" s="0" t="n">
        <f aca="false">C98/SUM($A98:$C98)</f>
        <v>0.0335952173078155</v>
      </c>
      <c r="G98" s="0" t="n">
        <f aca="false">SUMPRODUCT(D98:F98,Stats!$B$6:$D$6)</f>
        <v>0.393002781553792</v>
      </c>
      <c r="H98" s="0" t="n">
        <f aca="false">SQRT(SUMPRODUCT(MMULT(D98:F98,Stats!$B$12:$D$14),D98:F98))</f>
        <v>0.234319888400092</v>
      </c>
      <c r="I98" s="0" t="n">
        <f aca="false">(G98-Stats!$B$2)/H98</f>
        <v>1.49796410347579</v>
      </c>
    </row>
    <row r="99" customFormat="false" ht="15" hidden="false" customHeight="false" outlineLevel="0" collapsed="false">
      <c r="A99" s="0" t="n">
        <v>0.0373481887492144</v>
      </c>
      <c r="B99" s="0" t="n">
        <v>0.822600560659658</v>
      </c>
      <c r="C99" s="0" t="n">
        <v>0.360190641411263</v>
      </c>
      <c r="D99" s="0" t="n">
        <f aca="false">A99/SUM($A99:$C99)</f>
        <v>0.0306097721540735</v>
      </c>
      <c r="E99" s="0" t="n">
        <f aca="false">B99/SUM($A99:$C99)</f>
        <v>0.67418572570363</v>
      </c>
      <c r="F99" s="0" t="n">
        <f aca="false">C99/SUM($A99:$C99)</f>
        <v>0.295204502142296</v>
      </c>
      <c r="G99" s="0" t="n">
        <f aca="false">SUMPRODUCT(D99:F99,Stats!$B$6:$D$6)</f>
        <v>0.387135327926851</v>
      </c>
      <c r="H99" s="0" t="n">
        <f aca="false">SQRT(SUMPRODUCT(MMULT(D99:F99,Stats!$B$12:$D$14),D99:F99))</f>
        <v>0.242500652611552</v>
      </c>
      <c r="I99" s="0" t="n">
        <f aca="false">(G99-Stats!$B$2)/H99</f>
        <v>1.42323463549479</v>
      </c>
    </row>
    <row r="100" customFormat="false" ht="15" hidden="false" customHeight="false" outlineLevel="0" collapsed="false">
      <c r="A100" s="0" t="n">
        <v>0.127060512651885</v>
      </c>
      <c r="B100" s="0" t="n">
        <v>0.522243260054804</v>
      </c>
      <c r="C100" s="0" t="n">
        <v>0.769993553098611</v>
      </c>
      <c r="D100" s="0" t="n">
        <f aca="false">A100/SUM($A100:$C100)</f>
        <v>0.0895235341754706</v>
      </c>
      <c r="E100" s="0" t="n">
        <f aca="false">B100/SUM($A100:$C100)</f>
        <v>0.367959024905854</v>
      </c>
      <c r="F100" s="0" t="n">
        <f aca="false">C100/SUM($A100:$C100)</f>
        <v>0.542517440918676</v>
      </c>
      <c r="G100" s="0" t="n">
        <f aca="false">SUMPRODUCT(D100:F100,Stats!$B$6:$D$6)</f>
        <v>0.362695880739209</v>
      </c>
      <c r="H100" s="0" t="n">
        <f aca="false">SQRT(SUMPRODUCT(MMULT(D100:F100,Stats!$B$12:$D$14),D100:F100))</f>
        <v>0.238244049986158</v>
      </c>
      <c r="I100" s="0" t="n">
        <f aca="false">(G100-Stats!$B$2)/H100</f>
        <v>1.34608138485658</v>
      </c>
    </row>
    <row r="101" customFormat="false" ht="15" hidden="false" customHeight="false" outlineLevel="0" collapsed="false">
      <c r="A101" s="0" t="n">
        <v>0.215821027496843</v>
      </c>
      <c r="B101" s="0" t="n">
        <v>0.622890475819</v>
      </c>
      <c r="C101" s="0" t="n">
        <v>0.085347464993768</v>
      </c>
      <c r="D101" s="0" t="n">
        <f aca="false">A101/SUM($A101:$C101)</f>
        <v>0.233557635279106</v>
      </c>
      <c r="E101" s="0" t="n">
        <f aca="false">B101/SUM($A101:$C101)</f>
        <v>0.674080872737439</v>
      </c>
      <c r="F101" s="0" t="n">
        <f aca="false">C101/SUM($A101:$C101)</f>
        <v>0.0923614919834551</v>
      </c>
      <c r="G101" s="0" t="n">
        <f aca="false">SUMPRODUCT(D101:F101,Stats!$B$6:$D$6)</f>
        <v>0.392722612810491</v>
      </c>
      <c r="H101" s="0" t="n">
        <f aca="false">SQRT(SUMPRODUCT(MMULT(D101:F101,Stats!$B$12:$D$14),D101:F101))</f>
        <v>0.235861889960847</v>
      </c>
      <c r="I101" s="0" t="n">
        <f aca="false">(G101-Stats!$B$2)/H101</f>
        <v>1.48698296646699</v>
      </c>
    </row>
    <row r="102" customFormat="false" ht="15" hidden="false" customHeight="false" outlineLevel="0" collapsed="false">
      <c r="A102" s="0" t="n">
        <v>0.0516817211686077</v>
      </c>
      <c r="B102" s="0" t="n">
        <v>0.531354631568148</v>
      </c>
      <c r="C102" s="0" t="n">
        <v>0.540635121610107</v>
      </c>
      <c r="D102" s="0" t="n">
        <f aca="false">A102/SUM($A102:$C102)</f>
        <v>0.0459936221115232</v>
      </c>
      <c r="E102" s="0" t="n">
        <f aca="false">B102/SUM($A102:$C102)</f>
        <v>0.472873650082645</v>
      </c>
      <c r="F102" s="0" t="n">
        <f aca="false">C102/SUM($A102:$C102)</f>
        <v>0.481132727805832</v>
      </c>
      <c r="G102" s="0" t="n">
        <f aca="false">SUMPRODUCT(D102:F102,Stats!$B$6:$D$6)</f>
        <v>0.370425192337824</v>
      </c>
      <c r="H102" s="0" t="n">
        <f aca="false">SQRT(SUMPRODUCT(MMULT(D102:F102,Stats!$B$12:$D$14),D102:F102))</f>
        <v>0.240303683807306</v>
      </c>
      <c r="I102" s="0" t="n">
        <f aca="false">(G102-Stats!$B$2)/H102</f>
        <v>1.36670893735104</v>
      </c>
    </row>
    <row r="103" customFormat="false" ht="15" hidden="false" customHeight="false" outlineLevel="0" collapsed="false">
      <c r="A103" s="0" t="n">
        <v>0.637429901498207</v>
      </c>
      <c r="B103" s="0" t="n">
        <v>0.726091333722662</v>
      </c>
      <c r="C103" s="0" t="n">
        <v>0.975852079462535</v>
      </c>
      <c r="D103" s="0" t="n">
        <f aca="false">A103/SUM($A103:$C103)</f>
        <v>0.272478914544032</v>
      </c>
      <c r="E103" s="0" t="n">
        <f aca="false">B103/SUM($A103:$C103)</f>
        <v>0.310378565560806</v>
      </c>
      <c r="F103" s="0" t="n">
        <f aca="false">C103/SUM($A103:$C103)</f>
        <v>0.417142519895163</v>
      </c>
      <c r="G103" s="0" t="n">
        <f aca="false">SUMPRODUCT(D103:F103,Stats!$B$6:$D$6)</f>
        <v>0.362839940858918</v>
      </c>
      <c r="H103" s="0" t="n">
        <f aca="false">SQRT(SUMPRODUCT(MMULT(D103:F103,Stats!$B$12:$D$14),D103:F103))</f>
        <v>0.22843381908206</v>
      </c>
      <c r="I103" s="0" t="n">
        <f aca="false">(G103-Stats!$B$2)/H103</f>
        <v>1.40452032080094</v>
      </c>
    </row>
    <row r="104" customFormat="false" ht="15" hidden="false" customHeight="false" outlineLevel="0" collapsed="false">
      <c r="A104" s="0" t="n">
        <v>0.516300348301195</v>
      </c>
      <c r="B104" s="0" t="n">
        <v>0.322956472941246</v>
      </c>
      <c r="C104" s="0" t="n">
        <v>0.795186194768704</v>
      </c>
      <c r="D104" s="0" t="n">
        <f aca="false">A104/SUM($A104:$C104)</f>
        <v>0.315887640770264</v>
      </c>
      <c r="E104" s="0" t="n">
        <f aca="false">B104/SUM($A104:$C104)</f>
        <v>0.197594207798948</v>
      </c>
      <c r="F104" s="0" t="n">
        <f aca="false">C104/SUM($A104:$C104)</f>
        <v>0.486518151430788</v>
      </c>
      <c r="G104" s="0" t="n">
        <f aca="false">SUMPRODUCT(D104:F104,Stats!$B$6:$D$6)</f>
        <v>0.354437468530915</v>
      </c>
      <c r="H104" s="0" t="n">
        <f aca="false">SQRT(SUMPRODUCT(MMULT(D104:F104,Stats!$B$12:$D$14),D104:F104))</f>
        <v>0.227362079966698</v>
      </c>
      <c r="I104" s="0" t="n">
        <f aca="false">(G104-Stats!$B$2)/H104</f>
        <v>1.37418459831419</v>
      </c>
    </row>
    <row r="105" customFormat="false" ht="15" hidden="false" customHeight="false" outlineLevel="0" collapsed="false">
      <c r="A105" s="0" t="n">
        <v>0.270832251262074</v>
      </c>
      <c r="B105" s="0" t="n">
        <v>0.438971420705636</v>
      </c>
      <c r="C105" s="0" t="n">
        <v>0.078456381342266</v>
      </c>
      <c r="D105" s="0" t="n">
        <f aca="false">A105/SUM($A105:$C105)</f>
        <v>0.343582362349614</v>
      </c>
      <c r="E105" s="0" t="n">
        <f aca="false">B105/SUM($A105:$C105)</f>
        <v>0.556886548877309</v>
      </c>
      <c r="F105" s="0" t="n">
        <f aca="false">C105/SUM($A105:$C105)</f>
        <v>0.0995310887730774</v>
      </c>
      <c r="G105" s="0" t="n">
        <f aca="false">SUMPRODUCT(D105:F105,Stats!$B$6:$D$6)</f>
        <v>0.385781704223323</v>
      </c>
      <c r="H105" s="0" t="n">
        <f aca="false">SQRT(SUMPRODUCT(MMULT(D105:F105,Stats!$B$12:$D$14),D105:F105))</f>
        <v>0.230667766511457</v>
      </c>
      <c r="I105" s="0" t="n">
        <f aca="false">(G105-Stats!$B$2)/H105</f>
        <v>1.49037600451317</v>
      </c>
    </row>
    <row r="106" customFormat="false" ht="15" hidden="false" customHeight="false" outlineLevel="0" collapsed="false">
      <c r="A106" s="0" t="n">
        <v>0.0253507434154575</v>
      </c>
      <c r="B106" s="0" t="n">
        <v>0.962648414677925</v>
      </c>
      <c r="C106" s="0" t="n">
        <v>0.835980120512206</v>
      </c>
      <c r="D106" s="0" t="n">
        <f aca="false">A106/SUM($A106:$C106)</f>
        <v>0.0138985917838046</v>
      </c>
      <c r="E106" s="0" t="n">
        <f aca="false">B106/SUM($A106:$C106)</f>
        <v>0.527773766933284</v>
      </c>
      <c r="F106" s="0" t="n">
        <f aca="false">C106/SUM($A106:$C106)</f>
        <v>0.458327641282912</v>
      </c>
      <c r="G106" s="0" t="n">
        <f aca="false">SUMPRODUCT(D106:F106,Stats!$B$6:$D$6)</f>
        <v>0.374212915495151</v>
      </c>
      <c r="H106" s="0" t="n">
        <f aca="false">SQRT(SUMPRODUCT(MMULT(D106:F106,Stats!$B$12:$D$14),D106:F106))</f>
        <v>0.242302800144723</v>
      </c>
      <c r="I106" s="0" t="n">
        <f aca="false">(G106-Stats!$B$2)/H106</f>
        <v>1.37106511066619</v>
      </c>
    </row>
    <row r="107" customFormat="false" ht="15" hidden="false" customHeight="false" outlineLevel="0" collapsed="false">
      <c r="A107" s="0" t="n">
        <v>0.695974206093698</v>
      </c>
      <c r="B107" s="0" t="n">
        <v>0.40895294441427</v>
      </c>
      <c r="C107" s="0" t="n">
        <v>0.173294320070846</v>
      </c>
      <c r="D107" s="0" t="n">
        <f aca="false">A107/SUM($A107:$C107)</f>
        <v>0.54448639935499</v>
      </c>
      <c r="E107" s="0" t="n">
        <f aca="false">B107/SUM($A107:$C107)</f>
        <v>0.319939035470187</v>
      </c>
      <c r="F107" s="0" t="n">
        <f aca="false">C107/SUM($A107:$C107)</f>
        <v>0.135574565174823</v>
      </c>
      <c r="G107" s="0" t="n">
        <f aca="false">SUMPRODUCT(D107:F107,Stats!$B$6:$D$6)</f>
        <v>0.371154165978314</v>
      </c>
      <c r="H107" s="0" t="n">
        <f aca="false">SQRT(SUMPRODUCT(MMULT(D107:F107,Stats!$B$12:$D$14),D107:F107))</f>
        <v>0.224249227956288</v>
      </c>
      <c r="I107" s="0" t="n">
        <f aca="false">(G107-Stats!$B$2)/H107</f>
        <v>1.46780512458431</v>
      </c>
    </row>
    <row r="108" customFormat="false" ht="15" hidden="false" customHeight="false" outlineLevel="0" collapsed="false">
      <c r="A108" s="0" t="n">
        <v>0.156437042671086</v>
      </c>
      <c r="B108" s="0" t="n">
        <v>0.250242898164595</v>
      </c>
      <c r="C108" s="0" t="n">
        <v>0.549226664706121</v>
      </c>
      <c r="D108" s="0" t="n">
        <f aca="false">A108/SUM($A108:$C108)</f>
        <v>0.163653061673759</v>
      </c>
      <c r="E108" s="0" t="n">
        <f aca="false">B108/SUM($A108:$C108)</f>
        <v>0.261785928367719</v>
      </c>
      <c r="F108" s="0" t="n">
        <f aca="false">C108/SUM($A108:$C108)</f>
        <v>0.574561009958522</v>
      </c>
      <c r="G108" s="0" t="n">
        <f aca="false">SUMPRODUCT(D108:F108,Stats!$B$6:$D$6)</f>
        <v>0.355703229089885</v>
      </c>
      <c r="H108" s="0" t="n">
        <f aca="false">SQRT(SUMPRODUCT(MMULT(D108:F108,Stats!$B$12:$D$14),D108:F108))</f>
        <v>0.234880123010999</v>
      </c>
      <c r="I108" s="0" t="n">
        <f aca="false">(G108-Stats!$B$2)/H108</f>
        <v>1.33558866143473</v>
      </c>
    </row>
    <row r="109" customFormat="false" ht="15" hidden="false" customHeight="false" outlineLevel="0" collapsed="false">
      <c r="A109" s="0" t="n">
        <v>0.714595922700062</v>
      </c>
      <c r="B109" s="0" t="n">
        <v>0.660197376717731</v>
      </c>
      <c r="C109" s="0" t="n">
        <v>0.279933896945943</v>
      </c>
      <c r="D109" s="0" t="n">
        <f aca="false">A109/SUM($A109:$C109)</f>
        <v>0.431851198354863</v>
      </c>
      <c r="E109" s="0" t="n">
        <f aca="false">B109/SUM($A109:$C109)</f>
        <v>0.398976567357154</v>
      </c>
      <c r="F109" s="0" t="n">
        <f aca="false">C109/SUM($A109:$C109)</f>
        <v>0.169172234287983</v>
      </c>
      <c r="G109" s="0" t="n">
        <f aca="false">SUMPRODUCT(D109:F109,Stats!$B$6:$D$6)</f>
        <v>0.374775440463362</v>
      </c>
      <c r="H109" s="0" t="n">
        <f aca="false">SQRT(SUMPRODUCT(MMULT(D109:F109,Stats!$B$12:$D$14),D109:F109))</f>
        <v>0.225738204429319</v>
      </c>
      <c r="I109" s="0" t="n">
        <f aca="false">(G109-Stats!$B$2)/H109</f>
        <v>1.47416535585831</v>
      </c>
    </row>
    <row r="110" customFormat="false" ht="15" hidden="false" customHeight="false" outlineLevel="0" collapsed="false">
      <c r="A110" s="0" t="n">
        <v>0.954865280663194</v>
      </c>
      <c r="B110" s="0" t="n">
        <v>0.737896916695769</v>
      </c>
      <c r="C110" s="0" t="n">
        <v>0.554354052511401</v>
      </c>
      <c r="D110" s="0" t="n">
        <f aca="false">A110/SUM($A110:$C110)</f>
        <v>0.424929186782518</v>
      </c>
      <c r="E110" s="0" t="n">
        <f aca="false">B110/SUM($A110:$C110)</f>
        <v>0.328375052576091</v>
      </c>
      <c r="F110" s="0" t="n">
        <f aca="false">C110/SUM($A110:$C110)</f>
        <v>0.246695760641392</v>
      </c>
      <c r="G110" s="0" t="n">
        <f aca="false">SUMPRODUCT(D110:F110,Stats!$B$6:$D$6)</f>
        <v>0.368575439258533</v>
      </c>
      <c r="H110" s="0" t="n">
        <f aca="false">SQRT(SUMPRODUCT(MMULT(D110:F110,Stats!$B$12:$D$14),D110:F110))</f>
        <v>0.224422799300053</v>
      </c>
      <c r="I110" s="0" t="n">
        <f aca="false">(G110-Stats!$B$2)/H110</f>
        <v>1.45517942150745</v>
      </c>
    </row>
    <row r="111" customFormat="false" ht="15" hidden="false" customHeight="false" outlineLevel="0" collapsed="false">
      <c r="A111" s="0" t="n">
        <v>0.611720746234352</v>
      </c>
      <c r="B111" s="0" t="n">
        <v>0.41960006242779</v>
      </c>
      <c r="C111" s="0" t="n">
        <v>0.247730989501158</v>
      </c>
      <c r="D111" s="0" t="n">
        <f aca="false">A111/SUM($A111:$C111)</f>
        <v>0.478261120552565</v>
      </c>
      <c r="E111" s="0" t="n">
        <f aca="false">B111/SUM($A111:$C111)</f>
        <v>0.328055566655181</v>
      </c>
      <c r="F111" s="0" t="n">
        <f aca="false">C111/SUM($A111:$C111)</f>
        <v>0.193683312792254</v>
      </c>
      <c r="G111" s="0" t="n">
        <f aca="false">SUMPRODUCT(D111:F111,Stats!$B$6:$D$6)</f>
        <v>0.370018854311927</v>
      </c>
      <c r="H111" s="0" t="n">
        <f aca="false">SQRT(SUMPRODUCT(MMULT(D111:F111,Stats!$B$12:$D$14),D111:F111))</f>
        <v>0.224089117210296</v>
      </c>
      <c r="I111" s="0" t="n">
        <f aca="false">(G111-Stats!$B$2)/H111</f>
        <v>1.46378752522863</v>
      </c>
    </row>
    <row r="112" customFormat="false" ht="15" hidden="false" customHeight="false" outlineLevel="0" collapsed="false">
      <c r="A112" s="0" t="n">
        <v>0.355972678651262</v>
      </c>
      <c r="B112" s="0" t="n">
        <v>0.757846110464369</v>
      </c>
      <c r="C112" s="0" t="n">
        <v>0.0143934886297559</v>
      </c>
      <c r="D112" s="0" t="n">
        <f aca="false">A112/SUM($A112:$C112)</f>
        <v>0.315519238420836</v>
      </c>
      <c r="E112" s="0" t="n">
        <f aca="false">B112/SUM($A112:$C112)</f>
        <v>0.671722977504592</v>
      </c>
      <c r="F112" s="0" t="n">
        <f aca="false">C112/SUM($A112:$C112)</f>
        <v>0.0127577840745713</v>
      </c>
      <c r="G112" s="0" t="n">
        <f aca="false">SUMPRODUCT(D112:F112,Stats!$B$6:$D$6)</f>
        <v>0.394781984198949</v>
      </c>
      <c r="H112" s="0" t="n">
        <f aca="false">SQRT(SUMPRODUCT(MMULT(D112:F112,Stats!$B$12:$D$14),D112:F112))</f>
        <v>0.235223492973809</v>
      </c>
      <c r="I112" s="0" t="n">
        <f aca="false">(G112-Stats!$B$2)/H112</f>
        <v>1.49977359718159</v>
      </c>
    </row>
    <row r="113" customFormat="false" ht="15" hidden="false" customHeight="false" outlineLevel="0" collapsed="false">
      <c r="A113" s="0" t="n">
        <v>0.116072640506916</v>
      </c>
      <c r="B113" s="0" t="n">
        <v>0.0460026420217528</v>
      </c>
      <c r="C113" s="0" t="n">
        <v>0.0407288023189701</v>
      </c>
      <c r="D113" s="0" t="n">
        <f aca="false">A113/SUM($A113:$C113)</f>
        <v>0.572338770168847</v>
      </c>
      <c r="E113" s="0" t="n">
        <f aca="false">B113/SUM($A113:$C113)</f>
        <v>0.226832916389792</v>
      </c>
      <c r="F113" s="0" t="n">
        <f aca="false">C113/SUM($A113:$C113)</f>
        <v>0.200828313441362</v>
      </c>
      <c r="G113" s="0" t="n">
        <f aca="false">SUMPRODUCT(D113:F113,Stats!$B$6:$D$6)</f>
        <v>0.363997613380782</v>
      </c>
      <c r="H113" s="0" t="n">
        <f aca="false">SQRT(SUMPRODUCT(MMULT(D113:F113,Stats!$B$12:$D$14),D113:F113))</f>
        <v>0.222546349047231</v>
      </c>
      <c r="I113" s="0" t="n">
        <f aca="false">(G113-Stats!$B$2)/H113</f>
        <v>1.44687888504719</v>
      </c>
    </row>
    <row r="114" customFormat="false" ht="15" hidden="false" customHeight="false" outlineLevel="0" collapsed="false">
      <c r="A114" s="0" t="n">
        <v>0.855460584011007</v>
      </c>
      <c r="B114" s="0" t="n">
        <v>0.703657859380024</v>
      </c>
      <c r="C114" s="0" t="n">
        <v>0.474173829087325</v>
      </c>
      <c r="D114" s="0" t="n">
        <f aca="false">A114/SUM($A114:$C114)</f>
        <v>0.420726816105142</v>
      </c>
      <c r="E114" s="0" t="n">
        <f aca="false">B114/SUM($A114:$C114)</f>
        <v>0.346068230772521</v>
      </c>
      <c r="F114" s="0" t="n">
        <f aca="false">C114/SUM($A114:$C114)</f>
        <v>0.233204953122337</v>
      </c>
      <c r="G114" s="0" t="n">
        <f aca="false">SUMPRODUCT(D114:F114,Stats!$B$6:$D$6)</f>
        <v>0.369965485660624</v>
      </c>
      <c r="H114" s="0" t="n">
        <f aca="false">SQRT(SUMPRODUCT(MMULT(D114:F114,Stats!$B$12:$D$14),D114:F114))</f>
        <v>0.224743832397752</v>
      </c>
      <c r="I114" s="0" t="n">
        <f aca="false">(G114-Stats!$B$2)/H114</f>
        <v>1.45928581070109</v>
      </c>
    </row>
    <row r="115" customFormat="false" ht="15" hidden="false" customHeight="false" outlineLevel="0" collapsed="false">
      <c r="A115" s="0" t="n">
        <v>0.0978341606510015</v>
      </c>
      <c r="B115" s="0" t="n">
        <v>0.491615875116832</v>
      </c>
      <c r="C115" s="0" t="n">
        <v>0.473471770780566</v>
      </c>
      <c r="D115" s="0" t="n">
        <f aca="false">A115/SUM($A115:$C115)</f>
        <v>0.0920426696002183</v>
      </c>
      <c r="E115" s="0" t="n">
        <f aca="false">B115/SUM($A115:$C115)</f>
        <v>0.462513678887862</v>
      </c>
      <c r="F115" s="0" t="n">
        <f aca="false">C115/SUM($A115:$C115)</f>
        <v>0.44544365151192</v>
      </c>
      <c r="G115" s="0" t="n">
        <f aca="false">SUMPRODUCT(D115:F115,Stats!$B$6:$D$6)</f>
        <v>0.370813205555989</v>
      </c>
      <c r="H115" s="0" t="n">
        <f aca="false">SQRT(SUMPRODUCT(MMULT(D115:F115,Stats!$B$12:$D$14),D115:F115))</f>
        <v>0.237408617552915</v>
      </c>
      <c r="I115" s="0" t="n">
        <f aca="false">(G115-Stats!$B$2)/H115</f>
        <v>1.38500956260655</v>
      </c>
    </row>
    <row r="116" customFormat="false" ht="15" hidden="false" customHeight="false" outlineLevel="0" collapsed="false">
      <c r="A116" s="0" t="n">
        <v>0.173201869910015</v>
      </c>
      <c r="B116" s="0" t="n">
        <v>0.433851649237973</v>
      </c>
      <c r="C116" s="0" t="n">
        <v>0.398504734397373</v>
      </c>
      <c r="D116" s="0" t="n">
        <f aca="false">A116/SUM($A116:$C116)</f>
        <v>0.172244491355271</v>
      </c>
      <c r="E116" s="0" t="n">
        <f aca="false">B116/SUM($A116:$C116)</f>
        <v>0.431453521174248</v>
      </c>
      <c r="F116" s="0" t="n">
        <f aca="false">C116/SUM($A116:$C116)</f>
        <v>0.396301987470482</v>
      </c>
      <c r="G116" s="0" t="n">
        <f aca="false">SUMPRODUCT(D116:F116,Stats!$B$6:$D$6)</f>
        <v>0.370381106766588</v>
      </c>
      <c r="H116" s="0" t="n">
        <f aca="false">SQRT(SUMPRODUCT(MMULT(D116:F116,Stats!$B$12:$D$14),D116:F116))</f>
        <v>0.23301288260456</v>
      </c>
      <c r="I116" s="0" t="n">
        <f aca="false">(G116-Stats!$B$2)/H116</f>
        <v>1.40928305377808</v>
      </c>
    </row>
    <row r="117" customFormat="false" ht="15" hidden="false" customHeight="false" outlineLevel="0" collapsed="false">
      <c r="A117" s="0" t="n">
        <v>0.615850098052217</v>
      </c>
      <c r="B117" s="0" t="n">
        <v>0.635093650867644</v>
      </c>
      <c r="C117" s="0" t="n">
        <v>0.0453040097720445</v>
      </c>
      <c r="D117" s="0" t="n">
        <f aca="false">A117/SUM($A117:$C117)</f>
        <v>0.475102150744465</v>
      </c>
      <c r="E117" s="0" t="n">
        <f aca="false">B117/SUM($A117:$C117)</f>
        <v>0.489947733069596</v>
      </c>
      <c r="F117" s="0" t="n">
        <f aca="false">C117/SUM($A117:$C117)</f>
        <v>0.0349501161859386</v>
      </c>
      <c r="G117" s="0" t="n">
        <f aca="false">SUMPRODUCT(D117:F117,Stats!$B$6:$D$6)</f>
        <v>0.383710926878903</v>
      </c>
      <c r="H117" s="0" t="n">
        <f aca="false">SQRT(SUMPRODUCT(MMULT(D117:F117,Stats!$B$12:$D$14),D117:F117))</f>
        <v>0.228845444834501</v>
      </c>
      <c r="I117" s="0" t="n">
        <f aca="false">(G117-Stats!$B$2)/H117</f>
        <v>1.49319523106971</v>
      </c>
    </row>
    <row r="118" customFormat="false" ht="15" hidden="false" customHeight="false" outlineLevel="0" collapsed="false">
      <c r="A118" s="0" t="n">
        <v>0.374612614626471</v>
      </c>
      <c r="B118" s="0" t="n">
        <v>0.625859915714236</v>
      </c>
      <c r="C118" s="0" t="n">
        <v>0.503136258580088</v>
      </c>
      <c r="D118" s="0" t="n">
        <f aca="false">A118/SUM($A118:$C118)</f>
        <v>0.249142341669436</v>
      </c>
      <c r="E118" s="0" t="n">
        <f aca="false">B118/SUM($A118:$C118)</f>
        <v>0.416238532473226</v>
      </c>
      <c r="F118" s="0" t="n">
        <f aca="false">C118/SUM($A118:$C118)</f>
        <v>0.334619125857338</v>
      </c>
      <c r="G118" s="0" t="n">
        <f aca="false">SUMPRODUCT(D118:F118,Stats!$B$6:$D$6)</f>
        <v>0.371206537193612</v>
      </c>
      <c r="H118" s="0" t="n">
        <f aca="false">SQRT(SUMPRODUCT(MMULT(D118:F118,Stats!$B$12:$D$14),D118:F118))</f>
        <v>0.229644395401028</v>
      </c>
      <c r="I118" s="0" t="n">
        <f aca="false">(G118-Stats!$B$2)/H118</f>
        <v>1.43354919077698</v>
      </c>
    </row>
    <row r="119" customFormat="false" ht="15" hidden="false" customHeight="false" outlineLevel="0" collapsed="false">
      <c r="A119" s="0" t="n">
        <v>0.856489841188322</v>
      </c>
      <c r="B119" s="0" t="n">
        <v>0.658693631618945</v>
      </c>
      <c r="C119" s="0" t="n">
        <v>0.16293442708143</v>
      </c>
      <c r="D119" s="0" t="n">
        <f aca="false">A119/SUM($A119:$C119)</f>
        <v>0.510387167221761</v>
      </c>
      <c r="E119" s="0" t="n">
        <f aca="false">B119/SUM($A119:$C119)</f>
        <v>0.392519281072345</v>
      </c>
      <c r="F119" s="0" t="n">
        <f aca="false">C119/SUM($A119:$C119)</f>
        <v>0.0970935517058942</v>
      </c>
      <c r="G119" s="0" t="n">
        <f aca="false">SUMPRODUCT(D119:F119,Stats!$B$6:$D$6)</f>
        <v>0.376391438517319</v>
      </c>
      <c r="H119" s="0" t="n">
        <f aca="false">SQRT(SUMPRODUCT(MMULT(D119:F119,Stats!$B$12:$D$14),D119:F119))</f>
        <v>0.225901257346222</v>
      </c>
      <c r="I119" s="0" t="n">
        <f aca="false">(G119-Stats!$B$2)/H119</f>
        <v>1.48025487970092</v>
      </c>
    </row>
    <row r="120" customFormat="false" ht="15" hidden="false" customHeight="false" outlineLevel="0" collapsed="false">
      <c r="A120" s="0" t="n">
        <v>0.0705687474004298</v>
      </c>
      <c r="B120" s="0" t="n">
        <v>0.642419278206316</v>
      </c>
      <c r="C120" s="0" t="n">
        <v>0.0265113105416218</v>
      </c>
      <c r="D120" s="0" t="n">
        <f aca="false">A120/SUM($A120:$C120)</f>
        <v>0.0954277359706399</v>
      </c>
      <c r="E120" s="0" t="n">
        <f aca="false">B120/SUM($A120:$C120)</f>
        <v>0.868721913331678</v>
      </c>
      <c r="F120" s="0" t="n">
        <f aca="false">C120/SUM($A120:$C120)</f>
        <v>0.0358503506976818</v>
      </c>
      <c r="G120" s="0" t="n">
        <f aca="false">SUMPRODUCT(D120:F120,Stats!$B$6:$D$6)</f>
        <v>0.405480279352942</v>
      </c>
      <c r="H120" s="0" t="n">
        <f aca="false">SQRT(SUMPRODUCT(MMULT(D120:F120,Stats!$B$12:$D$14),D120:F120))</f>
        <v>0.246243321878829</v>
      </c>
      <c r="I120" s="0" t="n">
        <f aca="false">(G120-Stats!$B$2)/H120</f>
        <v>1.47610207895019</v>
      </c>
    </row>
    <row r="121" customFormat="false" ht="15" hidden="false" customHeight="false" outlineLevel="0" collapsed="false">
      <c r="A121" s="0" t="n">
        <v>0.585775581273463</v>
      </c>
      <c r="B121" s="0" t="n">
        <v>0.940230241424958</v>
      </c>
      <c r="C121" s="0" t="n">
        <v>0.575474177875879</v>
      </c>
      <c r="D121" s="0" t="n">
        <f aca="false">A121/SUM($A121:$C121)</f>
        <v>0.278744304544121</v>
      </c>
      <c r="E121" s="0" t="n">
        <f aca="false">B121/SUM($A121:$C121)</f>
        <v>0.447413366374178</v>
      </c>
      <c r="F121" s="0" t="n">
        <f aca="false">C121/SUM($A121:$C121)</f>
        <v>0.2738423290817</v>
      </c>
      <c r="G121" s="0" t="n">
        <f aca="false">SUMPRODUCT(D121:F121,Stats!$B$6:$D$6)</f>
        <v>0.374676193582578</v>
      </c>
      <c r="H121" s="0" t="n">
        <f aca="false">SQRT(SUMPRODUCT(MMULT(D121:F121,Stats!$B$12:$D$14),D121:F121))</f>
        <v>0.229047622228612</v>
      </c>
      <c r="I121" s="0" t="n">
        <f aca="false">(G121-Stats!$B$2)/H121</f>
        <v>1.45243242582337</v>
      </c>
    </row>
    <row r="122" customFormat="false" ht="15" hidden="false" customHeight="false" outlineLevel="0" collapsed="false">
      <c r="A122" s="0" t="n">
        <v>0.388169926206522</v>
      </c>
      <c r="B122" s="0" t="n">
        <v>0.643288218442353</v>
      </c>
      <c r="C122" s="0" t="n">
        <v>0.458252890491517</v>
      </c>
      <c r="D122" s="0" t="n">
        <f aca="false">A122/SUM($A122:$C122)</f>
        <v>0.260567262408673</v>
      </c>
      <c r="E122" s="0" t="n">
        <f aca="false">B122/SUM($A122:$C122)</f>
        <v>0.431820805020572</v>
      </c>
      <c r="F122" s="0" t="n">
        <f aca="false">C122/SUM($A122:$C122)</f>
        <v>0.307611932570756</v>
      </c>
      <c r="G122" s="0" t="n">
        <f aca="false">SUMPRODUCT(D122:F122,Stats!$B$6:$D$6)</f>
        <v>0.37284783395561</v>
      </c>
      <c r="H122" s="0" t="n">
        <f aca="false">SQRT(SUMPRODUCT(MMULT(D122:F122,Stats!$B$12:$D$14),D122:F122))</f>
        <v>0.229397591362354</v>
      </c>
      <c r="I122" s="0" t="n">
        <f aca="false">(G122-Stats!$B$2)/H122</f>
        <v>1.44224632870276</v>
      </c>
    </row>
    <row r="123" customFormat="false" ht="15" hidden="false" customHeight="false" outlineLevel="0" collapsed="false">
      <c r="A123" s="0" t="n">
        <v>0.545616789315935</v>
      </c>
      <c r="B123" s="0" t="n">
        <v>0.941464808776525</v>
      </c>
      <c r="C123" s="0" t="n">
        <v>0.386102637800774</v>
      </c>
      <c r="D123" s="0" t="n">
        <f aca="false">A123/SUM($A123:$C123)</f>
        <v>0.29127769648123</v>
      </c>
      <c r="E123" s="0" t="n">
        <f aca="false">B123/SUM($A123:$C123)</f>
        <v>0.502601287549051</v>
      </c>
      <c r="F123" s="0" t="n">
        <f aca="false">C123/SUM($A123:$C123)</f>
        <v>0.206121015969719</v>
      </c>
      <c r="G123" s="0" t="n">
        <f aca="false">SUMPRODUCT(D123:F123,Stats!$B$6:$D$6)</f>
        <v>0.379719024300728</v>
      </c>
      <c r="H123" s="0" t="n">
        <f aca="false">SQRT(SUMPRODUCT(MMULT(D123:F123,Stats!$B$12:$D$14),D123:F123))</f>
        <v>0.229776299092186</v>
      </c>
      <c r="I123" s="0" t="n">
        <f aca="false">(G123-Stats!$B$2)/H123</f>
        <v>1.46977310381884</v>
      </c>
    </row>
    <row r="124" customFormat="false" ht="15" hidden="false" customHeight="false" outlineLevel="0" collapsed="false">
      <c r="A124" s="0" t="n">
        <v>0.961190563823914</v>
      </c>
      <c r="B124" s="0" t="n">
        <v>0.905350641956064</v>
      </c>
      <c r="C124" s="0" t="n">
        <v>0.195791134789296</v>
      </c>
      <c r="D124" s="0" t="n">
        <f aca="false">A124/SUM($A124:$C124)</f>
        <v>0.466069675054697</v>
      </c>
      <c r="E124" s="0" t="n">
        <f aca="false">B124/SUM($A124:$C124)</f>
        <v>0.438993572542317</v>
      </c>
      <c r="F124" s="0" t="n">
        <f aca="false">C124/SUM($A124:$C124)</f>
        <v>0.0949367524029863</v>
      </c>
      <c r="G124" s="0" t="n">
        <f aca="false">SUMPRODUCT(D124:F124,Stats!$B$6:$D$6)</f>
        <v>0.379124982009232</v>
      </c>
      <c r="H124" s="0" t="n">
        <f aca="false">SQRT(SUMPRODUCT(MMULT(D124:F124,Stats!$B$12:$D$14),D124:F124))</f>
        <v>0.226938122098797</v>
      </c>
      <c r="I124" s="0" t="n">
        <f aca="false">(G124-Stats!$B$2)/H124</f>
        <v>1.48553702168411</v>
      </c>
    </row>
    <row r="125" customFormat="false" ht="15" hidden="false" customHeight="false" outlineLevel="0" collapsed="false">
      <c r="A125" s="0" t="n">
        <v>0.0693613008751655</v>
      </c>
      <c r="B125" s="0" t="n">
        <v>0.100778001377427</v>
      </c>
      <c r="C125" s="0" t="n">
        <v>0.0182218256515497</v>
      </c>
      <c r="D125" s="0" t="n">
        <f aca="false">A125/SUM($A125:$C125)</f>
        <v>0.368235748250902</v>
      </c>
      <c r="E125" s="0" t="n">
        <f aca="false">B125/SUM($A125:$C125)</f>
        <v>0.535025472074648</v>
      </c>
      <c r="F125" s="0" t="n">
        <f aca="false">C125/SUM($A125:$C125)</f>
        <v>0.0967387796744503</v>
      </c>
      <c r="G125" s="0" t="n">
        <f aca="false">SUMPRODUCT(D125:F125,Stats!$B$6:$D$6)</f>
        <v>0.384600843007752</v>
      </c>
      <c r="H125" s="0" t="n">
        <f aca="false">SQRT(SUMPRODUCT(MMULT(D125:F125,Stats!$B$12:$D$14),D125:F125))</f>
        <v>0.229841920967462</v>
      </c>
      <c r="I125" s="0" t="n">
        <f aca="false">(G125-Stats!$B$2)/H125</f>
        <v>1.49059336767488</v>
      </c>
    </row>
    <row r="126" customFormat="false" ht="15" hidden="false" customHeight="false" outlineLevel="0" collapsed="false">
      <c r="A126" s="0" t="n">
        <v>0.0944429607559284</v>
      </c>
      <c r="B126" s="0" t="n">
        <v>0.683006773416357</v>
      </c>
      <c r="C126" s="0" t="n">
        <v>0.071188648460229</v>
      </c>
      <c r="D126" s="0" t="n">
        <f aca="false">A126/SUM($A126:$C126)</f>
        <v>0.111287637571803</v>
      </c>
      <c r="E126" s="0" t="n">
        <f aca="false">B126/SUM($A126:$C126)</f>
        <v>0.80482663451733</v>
      </c>
      <c r="F126" s="0" t="n">
        <f aca="false">C126/SUM($A126:$C126)</f>
        <v>0.0838857279108666</v>
      </c>
      <c r="G126" s="0" t="n">
        <f aca="false">SUMPRODUCT(D126:F126,Stats!$B$6:$D$6)</f>
        <v>0.40047927065673</v>
      </c>
      <c r="H126" s="0" t="n">
        <f aca="false">SQRT(SUMPRODUCT(MMULT(D126:F126,Stats!$B$12:$D$14),D126:F126))</f>
        <v>0.243194377449881</v>
      </c>
      <c r="I126" s="0" t="n">
        <f aca="false">(G126-Stats!$B$2)/H126</f>
        <v>1.47404423743558</v>
      </c>
    </row>
    <row r="127" customFormat="false" ht="15" hidden="false" customHeight="false" outlineLevel="0" collapsed="false">
      <c r="A127" s="0" t="n">
        <v>0.318975630293761</v>
      </c>
      <c r="B127" s="0" t="n">
        <v>0.844875310969455</v>
      </c>
      <c r="C127" s="0" t="n">
        <v>0.0232719357358259</v>
      </c>
      <c r="D127" s="0" t="n">
        <f aca="false">A127/SUM($A127:$C127)</f>
        <v>0.268696388953524</v>
      </c>
      <c r="E127" s="0" t="n">
        <f aca="false">B127/SUM($A127:$C127)</f>
        <v>0.711699965807446</v>
      </c>
      <c r="F127" s="0" t="n">
        <f aca="false">C127/SUM($A127:$C127)</f>
        <v>0.01960364523903</v>
      </c>
      <c r="G127" s="0" t="n">
        <f aca="false">SUMPRODUCT(D127:F127,Stats!$B$6:$D$6)</f>
        <v>0.396893436376139</v>
      </c>
      <c r="H127" s="0" t="n">
        <f aca="false">SQRT(SUMPRODUCT(MMULT(D127:F127,Stats!$B$12:$D$14),D127:F127))</f>
        <v>0.237067290929917</v>
      </c>
      <c r="I127" s="0" t="n">
        <f aca="false">(G127-Stats!$B$2)/H127</f>
        <v>1.49701561520376</v>
      </c>
    </row>
    <row r="128" customFormat="false" ht="15" hidden="false" customHeight="false" outlineLevel="0" collapsed="false">
      <c r="A128" s="0" t="n">
        <v>0.814468482588936</v>
      </c>
      <c r="B128" s="0" t="n">
        <v>0.2818547747734</v>
      </c>
      <c r="C128" s="0" t="n">
        <v>0.118164827621656</v>
      </c>
      <c r="D128" s="0" t="n">
        <f aca="false">A128/SUM($A128:$C128)</f>
        <v>0.670626984866361</v>
      </c>
      <c r="E128" s="0" t="n">
        <f aca="false">B128/SUM($A128:$C128)</f>
        <v>0.232077019328778</v>
      </c>
      <c r="F128" s="0" t="n">
        <f aca="false">C128/SUM($A128:$C128)</f>
        <v>0.0972959958048611</v>
      </c>
      <c r="G128" s="0" t="n">
        <f aca="false">SUMPRODUCT(D128:F128,Stats!$B$6:$D$6)</f>
        <v>0.367154216114785</v>
      </c>
      <c r="H128" s="0" t="n">
        <f aca="false">SQRT(SUMPRODUCT(MMULT(D128:F128,Stats!$B$12:$D$14),D128:F128))</f>
        <v>0.224390363661679</v>
      </c>
      <c r="I128" s="0" t="n">
        <f aca="false">(G128-Stats!$B$2)/H128</f>
        <v>1.44905605931024</v>
      </c>
    </row>
    <row r="129" customFormat="false" ht="15" hidden="false" customHeight="false" outlineLevel="0" collapsed="false">
      <c r="A129" s="0" t="n">
        <v>0.696737165364151</v>
      </c>
      <c r="B129" s="0" t="n">
        <v>0.628942846779884</v>
      </c>
      <c r="C129" s="0" t="n">
        <v>0.877472013527053</v>
      </c>
      <c r="D129" s="0" t="n">
        <f aca="false">A129/SUM($A129:$C129)</f>
        <v>0.316245614122758</v>
      </c>
      <c r="E129" s="0" t="n">
        <f aca="false">B129/SUM($A129:$C129)</f>
        <v>0.285474102309533</v>
      </c>
      <c r="F129" s="0" t="n">
        <f aca="false">C129/SUM($A129:$C129)</f>
        <v>0.398280283567709</v>
      </c>
      <c r="G129" s="0" t="n">
        <f aca="false">SUMPRODUCT(D129:F129,Stats!$B$6:$D$6)</f>
        <v>0.361927089188588</v>
      </c>
      <c r="H129" s="0" t="n">
        <f aca="false">SQRT(SUMPRODUCT(MMULT(D129:F129,Stats!$B$12:$D$14),D129:F129))</f>
        <v>0.226753614007032</v>
      </c>
      <c r="I129" s="0" t="n">
        <f aca="false">(G129-Stats!$B$2)/H129</f>
        <v>1.41090183100088</v>
      </c>
    </row>
    <row r="130" customFormat="false" ht="15" hidden="false" customHeight="false" outlineLevel="0" collapsed="false">
      <c r="A130" s="0" t="n">
        <v>0.735071043803886</v>
      </c>
      <c r="B130" s="0" t="n">
        <v>0.803480930384849</v>
      </c>
      <c r="C130" s="0" t="n">
        <v>0.282034572571307</v>
      </c>
      <c r="D130" s="0" t="n">
        <f aca="false">A130/SUM($A130:$C130)</f>
        <v>0.403755067350155</v>
      </c>
      <c r="E130" s="0" t="n">
        <f aca="false">B130/SUM($A130:$C130)</f>
        <v>0.441330807269087</v>
      </c>
      <c r="F130" s="0" t="n">
        <f aca="false">C130/SUM($A130:$C130)</f>
        <v>0.154914125380758</v>
      </c>
      <c r="G130" s="0" t="n">
        <f aca="false">SUMPRODUCT(D130:F130,Stats!$B$6:$D$6)</f>
        <v>0.377605610479035</v>
      </c>
      <c r="H130" s="0" t="n">
        <f aca="false">SQRT(SUMPRODUCT(MMULT(D130:F130,Stats!$B$12:$D$14),D130:F130))</f>
        <v>0.226906529150431</v>
      </c>
      <c r="I130" s="0" t="n">
        <f aca="false">(G130-Stats!$B$2)/H130</f>
        <v>1.47904783408211</v>
      </c>
    </row>
    <row r="131" customFormat="false" ht="15" hidden="false" customHeight="false" outlineLevel="0" collapsed="false">
      <c r="A131" s="0" t="n">
        <v>0.177439543779723</v>
      </c>
      <c r="B131" s="0" t="n">
        <v>0.750614751640858</v>
      </c>
      <c r="C131" s="0" t="n">
        <v>0.806834739267264</v>
      </c>
      <c r="D131" s="0" t="n">
        <f aca="false">A131/SUM($A131:$C131)</f>
        <v>0.10227717175678</v>
      </c>
      <c r="E131" s="0" t="n">
        <f aca="false">B131/SUM($A131:$C131)</f>
        <v>0.432658652301595</v>
      </c>
      <c r="F131" s="0" t="n">
        <f aca="false">C131/SUM($A131:$C131)</f>
        <v>0.465064175941625</v>
      </c>
      <c r="G131" s="0" t="n">
        <f aca="false">SUMPRODUCT(D131:F131,Stats!$B$6:$D$6)</f>
        <v>0.368554357552121</v>
      </c>
      <c r="H131" s="0" t="n">
        <f aca="false">SQRT(SUMPRODUCT(MMULT(D131:F131,Stats!$B$12:$D$14),D131:F131))</f>
        <v>0.236869839870354</v>
      </c>
      <c r="I131" s="0" t="n">
        <f aca="false">(G131-Stats!$B$2)/H131</f>
        <v>1.37862362608449</v>
      </c>
    </row>
    <row r="132" customFormat="false" ht="15" hidden="false" customHeight="false" outlineLevel="0" collapsed="false">
      <c r="A132" s="0" t="n">
        <v>0.990505142000673</v>
      </c>
      <c r="B132" s="0" t="n">
        <v>0.412617676911427</v>
      </c>
      <c r="C132" s="0" t="n">
        <v>0.372018085792783</v>
      </c>
      <c r="D132" s="0" t="n">
        <f aca="false">A132/SUM($A132:$C132)</f>
        <v>0.557986771289767</v>
      </c>
      <c r="E132" s="0" t="n">
        <f aca="false">B132/SUM($A132:$C132)</f>
        <v>0.232442211104377</v>
      </c>
      <c r="F132" s="0" t="n">
        <f aca="false">C132/SUM($A132:$C132)</f>
        <v>0.209571017605857</v>
      </c>
      <c r="G132" s="0" t="n">
        <f aca="false">SUMPRODUCT(D132:F132,Stats!$B$6:$D$6)</f>
        <v>0.364079288233976</v>
      </c>
      <c r="H132" s="0" t="n">
        <f aca="false">SQRT(SUMPRODUCT(MMULT(D132:F132,Stats!$B$12:$D$14),D132:F132))</f>
        <v>0.222544936699465</v>
      </c>
      <c r="I132" s="0" t="n">
        <f aca="false">(G132-Stats!$B$2)/H132</f>
        <v>1.4472550713159</v>
      </c>
    </row>
    <row r="133" customFormat="false" ht="15" hidden="false" customHeight="false" outlineLevel="0" collapsed="false">
      <c r="A133" s="0" t="n">
        <v>0.776412960741997</v>
      </c>
      <c r="B133" s="0" t="n">
        <v>0.340803540253018</v>
      </c>
      <c r="C133" s="0" t="n">
        <v>0.930757325603565</v>
      </c>
      <c r="D133" s="0" t="n">
        <f aca="false">A133/SUM($A133:$C133)</f>
        <v>0.379112736040928</v>
      </c>
      <c r="E133" s="0" t="n">
        <f aca="false">B133/SUM($A133:$C133)</f>
        <v>0.166410105357181</v>
      </c>
      <c r="F133" s="0" t="n">
        <f aca="false">C133/SUM($A133:$C133)</f>
        <v>0.454477158601891</v>
      </c>
      <c r="G133" s="0" t="n">
        <f aca="false">SUMPRODUCT(D133:F133,Stats!$B$6:$D$6)</f>
        <v>0.353526693690853</v>
      </c>
      <c r="H133" s="0" t="n">
        <f aca="false">SQRT(SUMPRODUCT(MMULT(D133:F133,Stats!$B$12:$D$14),D133:F133))</f>
        <v>0.225131163364493</v>
      </c>
      <c r="I133" s="0" t="n">
        <f aca="false">(G133-Stats!$B$2)/H133</f>
        <v>1.3837564246336</v>
      </c>
    </row>
    <row r="134" customFormat="false" ht="15" hidden="false" customHeight="false" outlineLevel="0" collapsed="false">
      <c r="A134" s="0" t="n">
        <v>0.858412751843012</v>
      </c>
      <c r="B134" s="0" t="n">
        <v>0.428994027375018</v>
      </c>
      <c r="C134" s="0" t="n">
        <v>0.750871067791497</v>
      </c>
      <c r="D134" s="0" t="n">
        <f aca="false">A134/SUM($A134:$C134)</f>
        <v>0.421146093062061</v>
      </c>
      <c r="E134" s="0" t="n">
        <f aca="false">B134/SUM($A134:$C134)</f>
        <v>0.210468866157977</v>
      </c>
      <c r="F134" s="0" t="n">
        <f aca="false">C134/SUM($A134:$C134)</f>
        <v>0.368385040779962</v>
      </c>
      <c r="G134" s="0" t="n">
        <f aca="false">SUMPRODUCT(D134:F134,Stats!$B$6:$D$6)</f>
        <v>0.358435734799363</v>
      </c>
      <c r="H134" s="0" t="n">
        <f aca="false">SQRT(SUMPRODUCT(MMULT(D134:F134,Stats!$B$12:$D$14),D134:F134))</f>
        <v>0.223641419234178</v>
      </c>
      <c r="I134" s="0" t="n">
        <f aca="false">(G134-Stats!$B$2)/H134</f>
        <v>1.414924551467</v>
      </c>
    </row>
    <row r="135" customFormat="false" ht="15" hidden="false" customHeight="false" outlineLevel="0" collapsed="false">
      <c r="A135" s="0" t="n">
        <v>0.754542874084682</v>
      </c>
      <c r="B135" s="0" t="n">
        <v>0.103123868835933</v>
      </c>
      <c r="C135" s="0" t="n">
        <v>0.902552906679567</v>
      </c>
      <c r="D135" s="0" t="n">
        <f aca="false">A135/SUM($A135:$C135)</f>
        <v>0.428664044431086</v>
      </c>
      <c r="E135" s="0" t="n">
        <f aca="false">B135/SUM($A135:$C135)</f>
        <v>0.0585857957325702</v>
      </c>
      <c r="F135" s="0" t="n">
        <f aca="false">C135/SUM($A135:$C135)</f>
        <v>0.512750159836344</v>
      </c>
      <c r="G135" s="0" t="n">
        <f aca="false">SUMPRODUCT(D135:F135,Stats!$B$6:$D$6)</f>
        <v>0.34571576687326</v>
      </c>
      <c r="H135" s="0" t="n">
        <f aca="false">SQRT(SUMPRODUCT(MMULT(D135:F135,Stats!$B$12:$D$14),D135:F135))</f>
        <v>0.224834692373139</v>
      </c>
      <c r="I135" s="0" t="n">
        <f aca="false">(G135-Stats!$B$2)/H135</f>
        <v>1.35084031591179</v>
      </c>
    </row>
    <row r="136" customFormat="false" ht="15" hidden="false" customHeight="false" outlineLevel="0" collapsed="false">
      <c r="A136" s="0" t="n">
        <v>0.505252372447857</v>
      </c>
      <c r="B136" s="0" t="n">
        <v>0.826457466107742</v>
      </c>
      <c r="C136" s="0" t="n">
        <v>0.320049601030612</v>
      </c>
      <c r="D136" s="0" t="n">
        <f aca="false">A136/SUM($A136:$C136)</f>
        <v>0.30588738307706</v>
      </c>
      <c r="E136" s="0" t="n">
        <f aca="false">B136/SUM($A136:$C136)</f>
        <v>0.500349776305672</v>
      </c>
      <c r="F136" s="0" t="n">
        <f aca="false">C136/SUM($A136:$C136)</f>
        <v>0.193762840617269</v>
      </c>
      <c r="G136" s="0" t="n">
        <f aca="false">SUMPRODUCT(D136:F136,Stats!$B$6:$D$6)</f>
        <v>0.379930247189997</v>
      </c>
      <c r="H136" s="0" t="n">
        <f aca="false">SQRT(SUMPRODUCT(MMULT(D136:F136,Stats!$B$12:$D$14),D136:F136))</f>
        <v>0.22945088127519</v>
      </c>
      <c r="I136" s="0" t="n">
        <f aca="false">(G136-Stats!$B$2)/H136</f>
        <v>1.47277816198363</v>
      </c>
    </row>
    <row r="137" customFormat="false" ht="15" hidden="false" customHeight="false" outlineLevel="0" collapsed="false">
      <c r="A137" s="0" t="n">
        <v>0.895523228496201</v>
      </c>
      <c r="B137" s="0" t="n">
        <v>0.389201678734163</v>
      </c>
      <c r="C137" s="0" t="n">
        <v>0.0108376514802984</v>
      </c>
      <c r="D137" s="0" t="n">
        <f aca="false">A137/SUM($A137:$C137)</f>
        <v>0.691223455382518</v>
      </c>
      <c r="E137" s="0" t="n">
        <f aca="false">B137/SUM($A137:$C137)</f>
        <v>0.300411335691497</v>
      </c>
      <c r="F137" s="0" t="n">
        <f aca="false">C137/SUM($A137:$C137)</f>
        <v>0.00836520892598497</v>
      </c>
      <c r="G137" s="0" t="n">
        <f aca="false">SUMPRODUCT(D137:F137,Stats!$B$6:$D$6)</f>
        <v>0.373538316478527</v>
      </c>
      <c r="H137" s="0" t="n">
        <f aca="false">SQRT(SUMPRODUCT(MMULT(D137:F137,Stats!$B$12:$D$14),D137:F137))</f>
        <v>0.22725201072126</v>
      </c>
      <c r="I137" s="0" t="n">
        <f aca="false">(G137-Stats!$B$2)/H137</f>
        <v>1.45890157550765</v>
      </c>
    </row>
    <row r="138" customFormat="false" ht="15" hidden="false" customHeight="false" outlineLevel="0" collapsed="false">
      <c r="A138" s="0" t="n">
        <v>0.905381976419264</v>
      </c>
      <c r="B138" s="0" t="n">
        <v>0.0912866767861336</v>
      </c>
      <c r="C138" s="0" t="n">
        <v>0.319313637590415</v>
      </c>
      <c r="D138" s="0" t="n">
        <f aca="false">A138/SUM($A138:$C138)</f>
        <v>0.687989483408438</v>
      </c>
      <c r="E138" s="0" t="n">
        <f aca="false">B138/SUM($A138:$C138)</f>
        <v>0.0693677091436617</v>
      </c>
      <c r="F138" s="0" t="n">
        <f aca="false">C138/SUM($A138:$C138)</f>
        <v>0.2426428074479</v>
      </c>
      <c r="G138" s="0" t="n">
        <f aca="false">SUMPRODUCT(D138:F138,Stats!$B$6:$D$6)</f>
        <v>0.353784250569539</v>
      </c>
      <c r="H138" s="0" t="n">
        <f aca="false">SQRT(SUMPRODUCT(MMULT(D138:F138,Stats!$B$12:$D$14),D138:F138))</f>
        <v>0.221852981410632</v>
      </c>
      <c r="I138" s="0" t="n">
        <f aca="false">(G138-Stats!$B$2)/H138</f>
        <v>1.40536425783908</v>
      </c>
    </row>
    <row r="139" customFormat="false" ht="15" hidden="false" customHeight="false" outlineLevel="0" collapsed="false">
      <c r="A139" s="0" t="n">
        <v>0.950061967050805</v>
      </c>
      <c r="B139" s="0" t="n">
        <v>0.950607146937556</v>
      </c>
      <c r="C139" s="0" t="n">
        <v>0.573437888123286</v>
      </c>
      <c r="D139" s="0" t="n">
        <f aca="false">A139/SUM($A139:$C139)</f>
        <v>0.384001971717443</v>
      </c>
      <c r="E139" s="0" t="n">
        <f aca="false">B139/SUM($A139:$C139)</f>
        <v>0.384222325924551</v>
      </c>
      <c r="F139" s="0" t="n">
        <f aca="false">C139/SUM($A139:$C139)</f>
        <v>0.231775702358005</v>
      </c>
      <c r="G139" s="0" t="n">
        <f aca="false">SUMPRODUCT(D139:F139,Stats!$B$6:$D$6)</f>
        <v>0.3722002339539</v>
      </c>
      <c r="H139" s="0" t="n">
        <f aca="false">SQRT(SUMPRODUCT(MMULT(D139:F139,Stats!$B$12:$D$14),D139:F139))</f>
        <v>0.225836018997308</v>
      </c>
      <c r="I139" s="0" t="n">
        <f aca="false">(G139-Stats!$B$2)/H139</f>
        <v>1.46212386943394</v>
      </c>
    </row>
    <row r="140" customFormat="false" ht="15" hidden="false" customHeight="false" outlineLevel="0" collapsed="false">
      <c r="A140" s="0" t="n">
        <v>0.631837212169799</v>
      </c>
      <c r="B140" s="0" t="n">
        <v>0.44844552197832</v>
      </c>
      <c r="C140" s="0" t="n">
        <v>0.293210771698065</v>
      </c>
      <c r="D140" s="0" t="n">
        <f aca="false">A140/SUM($A140:$C140)</f>
        <v>0.460021987348631</v>
      </c>
      <c r="E140" s="0" t="n">
        <f aca="false">B140/SUM($A140:$C140)</f>
        <v>0.326499921601042</v>
      </c>
      <c r="F140" s="0" t="n">
        <f aca="false">C140/SUM($A140:$C140)</f>
        <v>0.213478091050327</v>
      </c>
      <c r="G140" s="0" t="n">
        <f aca="false">SUMPRODUCT(D140:F140,Stats!$B$6:$D$6)</f>
        <v>0.369383511111949</v>
      </c>
      <c r="H140" s="0" t="n">
        <f aca="false">SQRT(SUMPRODUCT(MMULT(D140:F140,Stats!$B$12:$D$14),D140:F140))</f>
        <v>0.224110627959149</v>
      </c>
      <c r="I140" s="0" t="n">
        <f aca="false">(G140-Stats!$B$2)/H140</f>
        <v>1.4608120734534</v>
      </c>
    </row>
    <row r="141" customFormat="false" ht="15" hidden="false" customHeight="false" outlineLevel="0" collapsed="false">
      <c r="A141" s="0" t="n">
        <v>0.328664545369916</v>
      </c>
      <c r="B141" s="0" t="n">
        <v>0.672518456077038</v>
      </c>
      <c r="C141" s="0" t="n">
        <v>0.75237452943768</v>
      </c>
      <c r="D141" s="0" t="n">
        <f aca="false">A141/SUM($A141:$C141)</f>
        <v>0.187427295415915</v>
      </c>
      <c r="E141" s="0" t="n">
        <f aca="false">B141/SUM($A141:$C141)</f>
        <v>0.383516619347964</v>
      </c>
      <c r="F141" s="0" t="n">
        <f aca="false">C141/SUM($A141:$C141)</f>
        <v>0.429056085236121</v>
      </c>
      <c r="G141" s="0" t="n">
        <f aca="false">SUMPRODUCT(D141:F141,Stats!$B$6:$D$6)</f>
        <v>0.366719697831022</v>
      </c>
      <c r="H141" s="0" t="n">
        <f aca="false">SQRT(SUMPRODUCT(MMULT(D141:F141,Stats!$B$12:$D$14),D141:F141))</f>
        <v>0.232241040574163</v>
      </c>
      <c r="I141" s="0" t="n">
        <f aca="false">(G141-Stats!$B$2)/H141</f>
        <v>1.39820118368496</v>
      </c>
    </row>
    <row r="142" customFormat="false" ht="15" hidden="false" customHeight="false" outlineLevel="0" collapsed="false">
      <c r="A142" s="0" t="n">
        <v>0.791579043725849</v>
      </c>
      <c r="B142" s="0" t="n">
        <v>0.789618142794554</v>
      </c>
      <c r="C142" s="0" t="n">
        <v>0.0912061030486904</v>
      </c>
      <c r="D142" s="0" t="n">
        <f aca="false">A142/SUM($A142:$C142)</f>
        <v>0.473318277154193</v>
      </c>
      <c r="E142" s="0" t="n">
        <f aca="false">B142/SUM($A142:$C142)</f>
        <v>0.472145772326246</v>
      </c>
      <c r="F142" s="0" t="n">
        <f aca="false">C142/SUM($A142:$C142)</f>
        <v>0.0545359505195606</v>
      </c>
      <c r="G142" s="0" t="n">
        <f aca="false">SUMPRODUCT(D142:F142,Stats!$B$6:$D$6)</f>
        <v>0.382146553249716</v>
      </c>
      <c r="H142" s="0" t="n">
        <f aca="false">SQRT(SUMPRODUCT(MMULT(D142:F142,Stats!$B$12:$D$14),D142:F142))</f>
        <v>0.228149412062474</v>
      </c>
      <c r="I142" s="0" t="n">
        <f aca="false">(G142-Stats!$B$2)/H142</f>
        <v>1.49089384090358</v>
      </c>
    </row>
    <row r="143" customFormat="false" ht="15" hidden="false" customHeight="false" outlineLevel="0" collapsed="false">
      <c r="A143" s="0" t="n">
        <v>0.494420304702582</v>
      </c>
      <c r="B143" s="0" t="n">
        <v>0.0575587600166443</v>
      </c>
      <c r="C143" s="0" t="n">
        <v>0.549528882323736</v>
      </c>
      <c r="D143" s="0" t="n">
        <f aca="false">A143/SUM($A143:$C143)</f>
        <v>0.448857682806439</v>
      </c>
      <c r="E143" s="0" t="n">
        <f aca="false">B143/SUM($A143:$C143)</f>
        <v>0.0522545118000854</v>
      </c>
      <c r="F143" s="0" t="n">
        <f aca="false">C143/SUM($A143:$C143)</f>
        <v>0.498887805393476</v>
      </c>
      <c r="G143" s="0" t="n">
        <f aca="false">SUMPRODUCT(D143:F143,Stats!$B$6:$D$6)</f>
        <v>0.345733722082226</v>
      </c>
      <c r="H143" s="0" t="n">
        <f aca="false">SQRT(SUMPRODUCT(MMULT(D143:F143,Stats!$B$12:$D$14),D143:F143))</f>
        <v>0.224228820123471</v>
      </c>
      <c r="I143" s="0" t="n">
        <f aca="false">(G143-Stats!$B$2)/H143</f>
        <v>1.3545703978417</v>
      </c>
    </row>
    <row r="144" customFormat="false" ht="15" hidden="false" customHeight="false" outlineLevel="0" collapsed="false">
      <c r="A144" s="0" t="n">
        <v>0.441530501373377</v>
      </c>
      <c r="B144" s="0" t="n">
        <v>0.8877041827583</v>
      </c>
      <c r="C144" s="0" t="n">
        <v>0.350915012552079</v>
      </c>
      <c r="D144" s="0" t="n">
        <f aca="false">A144/SUM($A144:$C144)</f>
        <v>0.262792358469523</v>
      </c>
      <c r="E144" s="0" t="n">
        <f aca="false">B144/SUM($A144:$C144)</f>
        <v>0.528348268318253</v>
      </c>
      <c r="F144" s="0" t="n">
        <f aca="false">C144/SUM($A144:$C144)</f>
        <v>0.208859373212225</v>
      </c>
      <c r="G144" s="0" t="n">
        <f aca="false">SUMPRODUCT(D144:F144,Stats!$B$6:$D$6)</f>
        <v>0.381124963102788</v>
      </c>
      <c r="H144" s="0" t="n">
        <f aca="false">SQRT(SUMPRODUCT(MMULT(D144:F144,Stats!$B$12:$D$14),D144:F144))</f>
        <v>0.230970500212271</v>
      </c>
      <c r="I144" s="0" t="n">
        <f aca="false">(G144-Stats!$B$2)/H144</f>
        <v>1.4682609371808</v>
      </c>
    </row>
    <row r="145" customFormat="false" ht="15" hidden="false" customHeight="false" outlineLevel="0" collapsed="false">
      <c r="A145" s="0" t="n">
        <v>0.117067016427606</v>
      </c>
      <c r="B145" s="0" t="n">
        <v>0.142991682052836</v>
      </c>
      <c r="C145" s="0" t="n">
        <v>0.761510631717472</v>
      </c>
      <c r="D145" s="0" t="n">
        <f aca="false">A145/SUM($A145:$C145)</f>
        <v>0.114595273142084</v>
      </c>
      <c r="E145" s="0" t="n">
        <f aca="false">B145/SUM($A145:$C145)</f>
        <v>0.139972567525234</v>
      </c>
      <c r="F145" s="0" t="n">
        <f aca="false">C145/SUM($A145:$C145)</f>
        <v>0.745432159332682</v>
      </c>
      <c r="G145" s="0" t="n">
        <f aca="false">SUMPRODUCT(D145:F145,Stats!$B$6:$D$6)</f>
        <v>0.343982539743464</v>
      </c>
      <c r="H145" s="0" t="n">
        <f aca="false">SQRT(SUMPRODUCT(MMULT(D145:F145,Stats!$B$12:$D$14),D145:F145))</f>
        <v>0.24194701763721</v>
      </c>
      <c r="I145" s="0" t="n">
        <f aca="false">(G145-Stats!$B$2)/H145</f>
        <v>1.24813499539091</v>
      </c>
    </row>
    <row r="146" customFormat="false" ht="15" hidden="false" customHeight="false" outlineLevel="0" collapsed="false">
      <c r="A146" s="0" t="n">
        <v>0.618218063316261</v>
      </c>
      <c r="B146" s="0" t="n">
        <v>0.10112267612279</v>
      </c>
      <c r="C146" s="0" t="n">
        <v>0.0841068061149974</v>
      </c>
      <c r="D146" s="0" t="n">
        <f aca="false">A146/SUM($A146:$C146)</f>
        <v>0.769456658044732</v>
      </c>
      <c r="E146" s="0" t="n">
        <f aca="false">B146/SUM($A146:$C146)</f>
        <v>0.125860955929683</v>
      </c>
      <c r="F146" s="0" t="n">
        <f aca="false">C146/SUM($A146:$C146)</f>
        <v>0.104682386025585</v>
      </c>
      <c r="G146" s="0" t="n">
        <f aca="false">SUMPRODUCT(D146:F146,Stats!$B$6:$D$6)</f>
        <v>0.36083900443018</v>
      </c>
      <c r="H146" s="0" t="n">
        <f aca="false">SQRT(SUMPRODUCT(MMULT(D146:F146,Stats!$B$12:$D$14),D146:F146))</f>
        <v>0.224859364429241</v>
      </c>
      <c r="I146" s="0" t="n">
        <f aca="false">(G146-Stats!$B$2)/H146</f>
        <v>1.41794852635774</v>
      </c>
    </row>
    <row r="147" customFormat="false" ht="15" hidden="false" customHeight="false" outlineLevel="0" collapsed="false">
      <c r="A147" s="0" t="n">
        <v>0.70096913145912</v>
      </c>
      <c r="B147" s="0" t="n">
        <v>0.0727630063641935</v>
      </c>
      <c r="C147" s="0" t="n">
        <v>0.821860059290356</v>
      </c>
      <c r="D147" s="0" t="n">
        <f aca="false">A147/SUM($A147:$C147)</f>
        <v>0.43931596853327</v>
      </c>
      <c r="E147" s="0" t="n">
        <f aca="false">B147/SUM($A147:$C147)</f>
        <v>0.0456025082698558</v>
      </c>
      <c r="F147" s="0" t="n">
        <f aca="false">C147/SUM($A147:$C147)</f>
        <v>0.515081523196874</v>
      </c>
      <c r="G147" s="0" t="n">
        <f aca="false">SUMPRODUCT(D147:F147,Stats!$B$6:$D$6)</f>
        <v>0.344904438868619</v>
      </c>
      <c r="H147" s="0" t="n">
        <f aca="false">SQRT(SUMPRODUCT(MMULT(D147:F147,Stats!$B$12:$D$14),D147:F147))</f>
        <v>0.224684808310667</v>
      </c>
      <c r="I147" s="0" t="n">
        <f aca="false">(G147-Stats!$B$2)/H147</f>
        <v>1.3481304817449</v>
      </c>
    </row>
    <row r="148" customFormat="false" ht="15" hidden="false" customHeight="false" outlineLevel="0" collapsed="false">
      <c r="A148" s="0" t="n">
        <v>0.706242227156496</v>
      </c>
      <c r="B148" s="0" t="n">
        <v>0.0813487806418998</v>
      </c>
      <c r="C148" s="0" t="n">
        <v>0.0848377140851919</v>
      </c>
      <c r="D148" s="0" t="n">
        <f aca="false">A148/SUM($A148:$C148)</f>
        <v>0.809512811123077</v>
      </c>
      <c r="E148" s="0" t="n">
        <f aca="false">B148/SUM($A148:$C148)</f>
        <v>0.0932440422940987</v>
      </c>
      <c r="F148" s="0" t="n">
        <f aca="false">C148/SUM($A148:$C148)</f>
        <v>0.0972431465828244</v>
      </c>
      <c r="G148" s="0" t="n">
        <f aca="false">SUMPRODUCT(D148:F148,Stats!$B$6:$D$6)</f>
        <v>0.359167403601186</v>
      </c>
      <c r="H148" s="0" t="n">
        <f aca="false">SQRT(SUMPRODUCT(MMULT(D148:F148,Stats!$B$12:$D$14),D148:F148))</f>
        <v>0.225640288185045</v>
      </c>
      <c r="I148" s="0" t="n">
        <f aca="false">(G148-Stats!$B$2)/H148</f>
        <v>1.40563285994867</v>
      </c>
    </row>
    <row r="149" customFormat="false" ht="15" hidden="false" customHeight="false" outlineLevel="0" collapsed="false">
      <c r="A149" s="0" t="n">
        <v>0.986639578501176</v>
      </c>
      <c r="B149" s="0" t="n">
        <v>0.37427079575612</v>
      </c>
      <c r="C149" s="0" t="n">
        <v>0.370642147066891</v>
      </c>
      <c r="D149" s="0" t="n">
        <f aca="false">A149/SUM($A149:$C149)</f>
        <v>0.569800549709375</v>
      </c>
      <c r="E149" s="0" t="n">
        <f aca="false">B149/SUM($A149:$C149)</f>
        <v>0.216147527231747</v>
      </c>
      <c r="F149" s="0" t="n">
        <f aca="false">C149/SUM($A149:$C149)</f>
        <v>0.214051923058878</v>
      </c>
      <c r="G149" s="0" t="n">
        <f aca="false">SUMPRODUCT(D149:F149,Stats!$B$6:$D$6)</f>
        <v>0.363018153969321</v>
      </c>
      <c r="H149" s="0" t="n">
        <f aca="false">SQRT(SUMPRODUCT(MMULT(D149:F149,Stats!$B$12:$D$14),D149:F149))</f>
        <v>0.222358052259125</v>
      </c>
      <c r="I149" s="0" t="n">
        <f aca="false">(G149-Stats!$B$2)/H149</f>
        <v>1.44369925310922</v>
      </c>
    </row>
    <row r="150" customFormat="false" ht="15" hidden="false" customHeight="false" outlineLevel="0" collapsed="false">
      <c r="A150" s="0" t="n">
        <v>0.812799567257503</v>
      </c>
      <c r="B150" s="0" t="n">
        <v>0.947248577383859</v>
      </c>
      <c r="C150" s="0" t="n">
        <v>0.986001063822871</v>
      </c>
      <c r="D150" s="0" t="n">
        <f aca="false">A150/SUM($A150:$C150)</f>
        <v>0.295988711619655</v>
      </c>
      <c r="E150" s="0" t="n">
        <f aca="false">B150/SUM($A150:$C150)</f>
        <v>0.344949600489359</v>
      </c>
      <c r="F150" s="0" t="n">
        <f aca="false">C150/SUM($A150:$C150)</f>
        <v>0.359061687890985</v>
      </c>
      <c r="G150" s="0" t="n">
        <f aca="false">SUMPRODUCT(D150:F150,Stats!$B$6:$D$6)</f>
        <v>0.366430670067745</v>
      </c>
      <c r="H150" s="0" t="n">
        <f aca="false">SQRT(SUMPRODUCT(MMULT(D150:F150,Stats!$B$12:$D$14),D150:F150))</f>
        <v>0.227552320973494</v>
      </c>
      <c r="I150" s="0" t="n">
        <f aca="false">(G150-Stats!$B$2)/H150</f>
        <v>1.42574098422638</v>
      </c>
    </row>
    <row r="151" customFormat="false" ht="15" hidden="false" customHeight="false" outlineLevel="0" collapsed="false">
      <c r="A151" s="0" t="n">
        <v>0.753378185258942</v>
      </c>
      <c r="B151" s="0" t="n">
        <v>0.376259585530916</v>
      </c>
      <c r="C151" s="0" t="n">
        <v>0.0835007166986688</v>
      </c>
      <c r="D151" s="0" t="n">
        <f aca="false">A151/SUM($A151:$C151)</f>
        <v>0.621015813964164</v>
      </c>
      <c r="E151" s="0" t="n">
        <f aca="false">B151/SUM($A151:$C151)</f>
        <v>0.310153860759837</v>
      </c>
      <c r="F151" s="0" t="n">
        <f aca="false">C151/SUM($A151:$C151)</f>
        <v>0.0688303252759991</v>
      </c>
      <c r="G151" s="0" t="n">
        <f aca="false">SUMPRODUCT(D151:F151,Stats!$B$6:$D$6)</f>
        <v>0.37243158643421</v>
      </c>
      <c r="H151" s="0" t="n">
        <f aca="false">SQRT(SUMPRODUCT(MMULT(D151:F151,Stats!$B$12:$D$14),D151:F151))</f>
        <v>0.225371596456786</v>
      </c>
      <c r="I151" s="0" t="n">
        <f aca="false">(G151-Stats!$B$2)/H151</f>
        <v>1.46616340137418</v>
      </c>
    </row>
    <row r="152" customFormat="false" ht="15" hidden="false" customHeight="false" outlineLevel="0" collapsed="false">
      <c r="A152" s="0" t="n">
        <v>0.777146915927437</v>
      </c>
      <c r="B152" s="0" t="n">
        <v>0.558404249735805</v>
      </c>
      <c r="C152" s="0" t="n">
        <v>0.424222009246976</v>
      </c>
      <c r="D152" s="0" t="n">
        <f aca="false">A152/SUM($A152:$C152)</f>
        <v>0.441617662439414</v>
      </c>
      <c r="E152" s="0" t="n">
        <f aca="false">B152/SUM($A152:$C152)</f>
        <v>0.317316036917255</v>
      </c>
      <c r="F152" s="0" t="n">
        <f aca="false">C152/SUM($A152:$C152)</f>
        <v>0.241066300643331</v>
      </c>
      <c r="G152" s="0" t="n">
        <f aca="false">SUMPRODUCT(D152:F152,Stats!$B$6:$D$6)</f>
        <v>0.36809434800517</v>
      </c>
      <c r="H152" s="0" t="n">
        <f aca="false">SQRT(SUMPRODUCT(MMULT(D152:F152,Stats!$B$12:$D$14),D152:F152))</f>
        <v>0.224087138149241</v>
      </c>
      <c r="I152" s="0" t="n">
        <f aca="false">(G152-Stats!$B$2)/H152</f>
        <v>1.4552122477819</v>
      </c>
    </row>
    <row r="153" customFormat="false" ht="15" hidden="false" customHeight="false" outlineLevel="0" collapsed="false">
      <c r="A153" s="0" t="n">
        <v>0.906354385094736</v>
      </c>
      <c r="B153" s="0" t="n">
        <v>0.111197482306151</v>
      </c>
      <c r="C153" s="0" t="n">
        <v>0.492625104290859</v>
      </c>
      <c r="D153" s="0" t="n">
        <f aca="false">A153/SUM($A153:$C153)</f>
        <v>0.600164352976069</v>
      </c>
      <c r="E153" s="0" t="n">
        <f aca="false">B153/SUM($A153:$C153)</f>
        <v>0.0736320870934646</v>
      </c>
      <c r="F153" s="0" t="n">
        <f aca="false">C153/SUM($A153:$C153)</f>
        <v>0.326203559930467</v>
      </c>
      <c r="G153" s="0" t="n">
        <f aca="false">SUMPRODUCT(D153:F153,Stats!$B$6:$D$6)</f>
        <v>0.351725461746942</v>
      </c>
      <c r="H153" s="0" t="n">
        <f aca="false">SQRT(SUMPRODUCT(MMULT(D153:F153,Stats!$B$12:$D$14),D153:F153))</f>
        <v>0.22130553011271</v>
      </c>
      <c r="I153" s="0" t="n">
        <f aca="false">(G153-Stats!$B$2)/H153</f>
        <v>1.39953783165383</v>
      </c>
    </row>
    <row r="154" customFormat="false" ht="15" hidden="false" customHeight="false" outlineLevel="0" collapsed="false">
      <c r="A154" s="0" t="n">
        <v>0.0113536447674191</v>
      </c>
      <c r="B154" s="0" t="n">
        <v>0.468660641994126</v>
      </c>
      <c r="C154" s="0" t="n">
        <v>0.0563032756818374</v>
      </c>
      <c r="D154" s="0" t="n">
        <f aca="false">A154/SUM($A154:$C154)</f>
        <v>0.0211696307607261</v>
      </c>
      <c r="E154" s="0" t="n">
        <f aca="false">B154/SUM($A154:$C154)</f>
        <v>0.873849142397982</v>
      </c>
      <c r="F154" s="0" t="n">
        <f aca="false">C154/SUM($A154:$C154)</f>
        <v>0.104981226841292</v>
      </c>
      <c r="G154" s="0" t="n">
        <f aca="false">SUMPRODUCT(D154:F154,Stats!$B$6:$D$6)</f>
        <v>0.403869036156847</v>
      </c>
      <c r="H154" s="0" t="n">
        <f aca="false">SQRT(SUMPRODUCT(MMULT(D154:F154,Stats!$B$12:$D$14),D154:F154))</f>
        <v>0.248470869124945</v>
      </c>
      <c r="I154" s="0" t="n">
        <f aca="false">(G154-Stats!$B$2)/H154</f>
        <v>1.45638415252164</v>
      </c>
    </row>
    <row r="155" customFormat="false" ht="15" hidden="false" customHeight="false" outlineLevel="0" collapsed="false">
      <c r="A155" s="0" t="n">
        <v>0.118817916268072</v>
      </c>
      <c r="B155" s="0" t="n">
        <v>0.117526246777105</v>
      </c>
      <c r="C155" s="0" t="n">
        <v>0.649210302116064</v>
      </c>
      <c r="D155" s="0" t="n">
        <f aca="false">A155/SUM($A155:$C155)</f>
        <v>0.134173470907222</v>
      </c>
      <c r="E155" s="0" t="n">
        <f aca="false">B155/SUM($A155:$C155)</f>
        <v>0.132714871191696</v>
      </c>
      <c r="F155" s="0" t="n">
        <f aca="false">C155/SUM($A155:$C155)</f>
        <v>0.733111657901083</v>
      </c>
      <c r="G155" s="0" t="n">
        <f aca="false">SUMPRODUCT(D155:F155,Stats!$B$6:$D$6)</f>
        <v>0.343904674378147</v>
      </c>
      <c r="H155" s="0" t="n">
        <f aca="false">SQRT(SUMPRODUCT(MMULT(D155:F155,Stats!$B$12:$D$14),D155:F155))</f>
        <v>0.24058002383715</v>
      </c>
      <c r="I155" s="0" t="n">
        <f aca="false">(G155-Stats!$B$2)/H155</f>
        <v>1.25490333554255</v>
      </c>
    </row>
    <row r="156" customFormat="false" ht="15" hidden="false" customHeight="false" outlineLevel="0" collapsed="false">
      <c r="A156" s="0" t="n">
        <v>0.746044879265423</v>
      </c>
      <c r="B156" s="0" t="n">
        <v>0.58336876509716</v>
      </c>
      <c r="C156" s="0" t="n">
        <v>0.962172548474542</v>
      </c>
      <c r="D156" s="0" t="n">
        <f aca="false">A156/SUM($A156:$C156)</f>
        <v>0.325558288663702</v>
      </c>
      <c r="E156" s="0" t="n">
        <f aca="false">B156/SUM($A156:$C156)</f>
        <v>0.254569855116343</v>
      </c>
      <c r="F156" s="0" t="n">
        <f aca="false">C156/SUM($A156:$C156)</f>
        <v>0.419871856219954</v>
      </c>
      <c r="G156" s="0" t="n">
        <f aca="false">SUMPRODUCT(D156:F156,Stats!$B$6:$D$6)</f>
        <v>0.359553519492346</v>
      </c>
      <c r="H156" s="0" t="n">
        <f aca="false">SQRT(SUMPRODUCT(MMULT(D156:F156,Stats!$B$12:$D$14),D156:F156))</f>
        <v>0.226493411685776</v>
      </c>
      <c r="I156" s="0" t="n">
        <f aca="false">(G156-Stats!$B$2)/H156</f>
        <v>1.40204307546439</v>
      </c>
    </row>
    <row r="157" customFormat="false" ht="15" hidden="false" customHeight="false" outlineLevel="0" collapsed="false">
      <c r="A157" s="0" t="n">
        <v>0.374870579523704</v>
      </c>
      <c r="B157" s="0" t="n">
        <v>0.285712086281861</v>
      </c>
      <c r="C157" s="0" t="n">
        <v>0.86859912818946</v>
      </c>
      <c r="D157" s="0" t="n">
        <f aca="false">A157/SUM($A157:$C157)</f>
        <v>0.245144547885537</v>
      </c>
      <c r="E157" s="0" t="n">
        <f aca="false">B157/SUM($A157:$C157)</f>
        <v>0.186839842982587</v>
      </c>
      <c r="F157" s="0" t="n">
        <f aca="false">C157/SUM($A157:$C157)</f>
        <v>0.568015609131877</v>
      </c>
      <c r="G157" s="0" t="n">
        <f aca="false">SUMPRODUCT(D157:F157,Stats!$B$6:$D$6)</f>
        <v>0.351571415247946</v>
      </c>
      <c r="H157" s="0" t="n">
        <f aca="false">SQRT(SUMPRODUCT(MMULT(D157:F157,Stats!$B$12:$D$14),D157:F157))</f>
        <v>0.231220387924826</v>
      </c>
      <c r="I157" s="0" t="n">
        <f aca="false">(G157-Stats!$B$2)/H157</f>
        <v>1.33885864488988</v>
      </c>
    </row>
    <row r="158" customFormat="false" ht="15" hidden="false" customHeight="false" outlineLevel="0" collapsed="false">
      <c r="A158" s="0" t="n">
        <v>0.223595838519453</v>
      </c>
      <c r="B158" s="0" t="n">
        <v>0.963222539440611</v>
      </c>
      <c r="C158" s="0" t="n">
        <v>0.0121544746898163</v>
      </c>
      <c r="D158" s="0" t="n">
        <f aca="false">A158/SUM($A158:$C158)</f>
        <v>0.186489492256041</v>
      </c>
      <c r="E158" s="0" t="n">
        <f aca="false">B158/SUM($A158:$C158)</f>
        <v>0.80337310166095</v>
      </c>
      <c r="F158" s="0" t="n">
        <f aca="false">C158/SUM($A158:$C158)</f>
        <v>0.0101374060830097</v>
      </c>
      <c r="G158" s="0" t="n">
        <f aca="false">SUMPRODUCT(D158:F158,Stats!$B$6:$D$6)</f>
        <v>0.402429217866751</v>
      </c>
      <c r="H158" s="0" t="n">
        <f aca="false">SQRT(SUMPRODUCT(MMULT(D158:F158,Stats!$B$12:$D$14),D158:F158))</f>
        <v>0.241829555441956</v>
      </c>
      <c r="I158" s="0" t="n">
        <f aca="false">(G158-Stats!$B$2)/H158</f>
        <v>1.49042666521075</v>
      </c>
    </row>
    <row r="159" customFormat="false" ht="15" hidden="false" customHeight="false" outlineLevel="0" collapsed="false">
      <c r="A159" s="0" t="n">
        <v>0.969878826707639</v>
      </c>
      <c r="B159" s="0" t="n">
        <v>0.0431599119505761</v>
      </c>
      <c r="C159" s="0" t="n">
        <v>0.891143113698071</v>
      </c>
      <c r="D159" s="0" t="n">
        <f aca="false">A159/SUM($A159:$C159)</f>
        <v>0.50934149251947</v>
      </c>
      <c r="E159" s="0" t="n">
        <f aca="false">B159/SUM($A159:$C159)</f>
        <v>0.022665856150855</v>
      </c>
      <c r="F159" s="0" t="n">
        <f aca="false">C159/SUM($A159:$C159)</f>
        <v>0.467992651329676</v>
      </c>
      <c r="G159" s="0" t="n">
        <f aca="false">SUMPRODUCT(D159:F159,Stats!$B$6:$D$6)</f>
        <v>0.344883151122425</v>
      </c>
      <c r="H159" s="0" t="n">
        <f aca="false">SQRT(SUMPRODUCT(MMULT(D159:F159,Stats!$B$12:$D$14),D159:F159))</f>
        <v>0.222918143527903</v>
      </c>
      <c r="I159" s="0" t="n">
        <f aca="false">(G159-Stats!$B$2)/H159</f>
        <v>1.35871915281994</v>
      </c>
    </row>
    <row r="160" customFormat="false" ht="15" hidden="false" customHeight="false" outlineLevel="0" collapsed="false">
      <c r="A160" s="0" t="n">
        <v>0.5277011090863</v>
      </c>
      <c r="B160" s="0" t="n">
        <v>0.9929647961193</v>
      </c>
      <c r="C160" s="0" t="n">
        <v>0.0737965647353989</v>
      </c>
      <c r="D160" s="0" t="n">
        <f aca="false">A160/SUM($A160:$C160)</f>
        <v>0.330958626518081</v>
      </c>
      <c r="E160" s="0" t="n">
        <f aca="false">B160/SUM($A160:$C160)</f>
        <v>0.622758336956055</v>
      </c>
      <c r="F160" s="0" t="n">
        <f aca="false">C160/SUM($A160:$C160)</f>
        <v>0.0462830365258642</v>
      </c>
      <c r="G160" s="0" t="n">
        <f aca="false">SUMPRODUCT(D160:F160,Stats!$B$6:$D$6)</f>
        <v>0.391040176213626</v>
      </c>
      <c r="H160" s="0" t="n">
        <f aca="false">SQRT(SUMPRODUCT(MMULT(D160:F160,Stats!$B$12:$D$14),D160:F160))</f>
        <v>0.233152286228887</v>
      </c>
      <c r="I160" s="0" t="n">
        <f aca="false">(G160-Stats!$B$2)/H160</f>
        <v>1.49704805326666</v>
      </c>
    </row>
    <row r="161" customFormat="false" ht="15" hidden="false" customHeight="false" outlineLevel="0" collapsed="false">
      <c r="A161" s="0" t="n">
        <v>0.553854284401321</v>
      </c>
      <c r="B161" s="0" t="n">
        <v>0.969302535619099</v>
      </c>
      <c r="C161" s="0" t="n">
        <v>0.523097844170149</v>
      </c>
      <c r="D161" s="0" t="n">
        <f aca="false">A161/SUM($A161:$C161)</f>
        <v>0.270667328995635</v>
      </c>
      <c r="E161" s="0" t="n">
        <f aca="false">B161/SUM($A161:$C161)</f>
        <v>0.47369594439142</v>
      </c>
      <c r="F161" s="0" t="n">
        <f aca="false">C161/SUM($A161:$C161)</f>
        <v>0.255636726612945</v>
      </c>
      <c r="G161" s="0" t="n">
        <f aca="false">SUMPRODUCT(D161:F161,Stats!$B$6:$D$6)</f>
        <v>0.376690471590648</v>
      </c>
      <c r="H161" s="0" t="n">
        <f aca="false">SQRT(SUMPRODUCT(MMULT(D161:F161,Stats!$B$12:$D$14),D161:F161))</f>
        <v>0.229685433038243</v>
      </c>
      <c r="I161" s="0" t="n">
        <f aca="false">(G161-Stats!$B$2)/H161</f>
        <v>1.45716890776839</v>
      </c>
    </row>
    <row r="162" customFormat="false" ht="15" hidden="false" customHeight="false" outlineLevel="0" collapsed="false">
      <c r="A162" s="0" t="n">
        <v>0.629398638135263</v>
      </c>
      <c r="B162" s="0" t="n">
        <v>0.695748688984617</v>
      </c>
      <c r="C162" s="0" t="n">
        <v>0.454541064767773</v>
      </c>
      <c r="D162" s="0" t="n">
        <f aca="false">A162/SUM($A162:$C162)</f>
        <v>0.353656651919655</v>
      </c>
      <c r="E162" s="0" t="n">
        <f aca="false">B162/SUM($A162:$C162)</f>
        <v>0.390938487971291</v>
      </c>
      <c r="F162" s="0" t="n">
        <f aca="false">C162/SUM($A162:$C162)</f>
        <v>0.255404860109054</v>
      </c>
      <c r="G162" s="0" t="n">
        <f aca="false">SUMPRODUCT(D162:F162,Stats!$B$6:$D$6)</f>
        <v>0.371935108288778</v>
      </c>
      <c r="H162" s="0" t="n">
        <f aca="false">SQRT(SUMPRODUCT(MMULT(D162:F162,Stats!$B$12:$D$14),D162:F162))</f>
        <v>0.226444780356894</v>
      </c>
      <c r="I162" s="0" t="n">
        <f aca="false">(G162-Stats!$B$2)/H162</f>
        <v>1.45702236001544</v>
      </c>
    </row>
    <row r="163" customFormat="false" ht="15" hidden="false" customHeight="false" outlineLevel="0" collapsed="false">
      <c r="A163" s="0" t="n">
        <v>0.627558080084063</v>
      </c>
      <c r="B163" s="0" t="n">
        <v>0.5843143119231</v>
      </c>
      <c r="C163" s="0" t="n">
        <v>0.901158010490989</v>
      </c>
      <c r="D163" s="0" t="n">
        <f aca="false">A163/SUM($A163:$C163)</f>
        <v>0.296994344871766</v>
      </c>
      <c r="E163" s="0" t="n">
        <f aca="false">B163/SUM($A163:$C163)</f>
        <v>0.276529060458519</v>
      </c>
      <c r="F163" s="0" t="n">
        <f aca="false">C163/SUM($A163:$C163)</f>
        <v>0.426476594669715</v>
      </c>
      <c r="G163" s="0" t="n">
        <f aca="false">SUMPRODUCT(D163:F163,Stats!$B$6:$D$6)</f>
        <v>0.360634900624056</v>
      </c>
      <c r="H163" s="0" t="n">
        <f aca="false">SQRT(SUMPRODUCT(MMULT(D163:F163,Stats!$B$12:$D$14),D163:F163))</f>
        <v>0.227526992647903</v>
      </c>
      <c r="I163" s="0" t="n">
        <f aca="false">(G163-Stats!$B$2)/H163</f>
        <v>1.40042681053295</v>
      </c>
    </row>
    <row r="164" customFormat="false" ht="15" hidden="false" customHeight="false" outlineLevel="0" collapsed="false">
      <c r="A164" s="0" t="n">
        <v>0.0454463803414579</v>
      </c>
      <c r="B164" s="0" t="n">
        <v>0.28096318959223</v>
      </c>
      <c r="C164" s="0" t="n">
        <v>0.950411484076559</v>
      </c>
      <c r="D164" s="0" t="n">
        <f aca="false">A164/SUM($A164:$C164)</f>
        <v>0.0355933826425556</v>
      </c>
      <c r="E164" s="0" t="n">
        <f aca="false">B164/SUM($A164:$C164)</f>
        <v>0.22004899489226</v>
      </c>
      <c r="F164" s="0" t="n">
        <f aca="false">C164/SUM($A164:$C164)</f>
        <v>0.744357622465185</v>
      </c>
      <c r="G164" s="0" t="n">
        <f aca="false">SUMPRODUCT(D164:F164,Stats!$B$6:$D$6)</f>
        <v>0.348619663674103</v>
      </c>
      <c r="H164" s="0" t="n">
        <f aca="false">SQRT(SUMPRODUCT(MMULT(D164:F164,Stats!$B$12:$D$14),D164:F164))</f>
        <v>0.246020736711802</v>
      </c>
      <c r="I164" s="0" t="n">
        <f aca="false">(G164-Stats!$B$2)/H164</f>
        <v>1.24631633809506</v>
      </c>
    </row>
    <row r="165" customFormat="false" ht="15" hidden="false" customHeight="false" outlineLevel="0" collapsed="false">
      <c r="A165" s="0" t="n">
        <v>0.890263783890916</v>
      </c>
      <c r="B165" s="0" t="n">
        <v>0.455656752785713</v>
      </c>
      <c r="C165" s="0" t="n">
        <v>0.620132597801537</v>
      </c>
      <c r="D165" s="0" t="n">
        <f aca="false">A165/SUM($A165:$C165)</f>
        <v>0.452817763812478</v>
      </c>
      <c r="E165" s="0" t="n">
        <f aca="false">B165/SUM($A165:$C165)</f>
        <v>0.231762176105507</v>
      </c>
      <c r="F165" s="0" t="n">
        <f aca="false">C165/SUM($A165:$C165)</f>
        <v>0.315420060082015</v>
      </c>
      <c r="G165" s="0" t="n">
        <f aca="false">SUMPRODUCT(D165:F165,Stats!$B$6:$D$6)</f>
        <v>0.361121413265695</v>
      </c>
      <c r="H165" s="0" t="n">
        <f aca="false">SQRT(SUMPRODUCT(MMULT(D165:F165,Stats!$B$12:$D$14),D165:F165))</f>
        <v>0.223072802145626</v>
      </c>
      <c r="I165" s="0" t="n">
        <f aca="false">(G165-Stats!$B$2)/H165</f>
        <v>1.43057069349659</v>
      </c>
    </row>
    <row r="166" customFormat="false" ht="15" hidden="false" customHeight="false" outlineLevel="0" collapsed="false">
      <c r="A166" s="0" t="n">
        <v>0.277381182981133</v>
      </c>
      <c r="B166" s="0" t="n">
        <v>0.188121159723761</v>
      </c>
      <c r="C166" s="0" t="n">
        <v>0.463698404939982</v>
      </c>
      <c r="D166" s="0" t="n">
        <f aca="false">A166/SUM($A166:$C166)</f>
        <v>0.298515884413755</v>
      </c>
      <c r="E166" s="0" t="n">
        <f aca="false">B166/SUM($A166:$C166)</f>
        <v>0.202454808824215</v>
      </c>
      <c r="F166" s="0" t="n">
        <f aca="false">C166/SUM($A166:$C166)</f>
        <v>0.49902930676203</v>
      </c>
      <c r="G166" s="0" t="n">
        <f aca="false">SUMPRODUCT(D166:F166,Stats!$B$6:$D$6)</f>
        <v>0.35437215092674</v>
      </c>
      <c r="H166" s="0" t="n">
        <f aca="false">SQRT(SUMPRODUCT(MMULT(D166:F166,Stats!$B$12:$D$14),D166:F166))</f>
        <v>0.228108534660869</v>
      </c>
      <c r="I166" s="0" t="n">
        <f aca="false">(G166-Stats!$B$2)/H166</f>
        <v>1.369401418457</v>
      </c>
    </row>
    <row r="167" customFormat="false" ht="15" hidden="false" customHeight="false" outlineLevel="0" collapsed="false">
      <c r="A167" s="0" t="n">
        <v>0.353352228026053</v>
      </c>
      <c r="B167" s="0" t="n">
        <v>0.583656111850872</v>
      </c>
      <c r="C167" s="0" t="n">
        <v>0.0777346369649848</v>
      </c>
      <c r="D167" s="0" t="n">
        <f aca="false">A167/SUM($A167:$C167)</f>
        <v>0.348218451460249</v>
      </c>
      <c r="E167" s="0" t="n">
        <f aca="false">B167/SUM($A167:$C167)</f>
        <v>0.575176300965719</v>
      </c>
      <c r="F167" s="0" t="n">
        <f aca="false">C167/SUM($A167:$C167)</f>
        <v>0.0766052475740321</v>
      </c>
      <c r="G167" s="0" t="n">
        <f aca="false">SUMPRODUCT(D167:F167,Stats!$B$6:$D$6)</f>
        <v>0.387466244139849</v>
      </c>
      <c r="H167" s="0" t="n">
        <f aca="false">SQRT(SUMPRODUCT(MMULT(D167:F167,Stats!$B$12:$D$14),D167:F167))</f>
        <v>0.231297920168474</v>
      </c>
      <c r="I167" s="0" t="n">
        <f aca="false">(G167-Stats!$B$2)/H167</f>
        <v>1.49359857575985</v>
      </c>
    </row>
    <row r="168" customFormat="false" ht="15" hidden="false" customHeight="false" outlineLevel="0" collapsed="false">
      <c r="A168" s="0" t="n">
        <v>0.974394807666167</v>
      </c>
      <c r="B168" s="0" t="n">
        <v>0.986210744479603</v>
      </c>
      <c r="C168" s="0" t="n">
        <v>0.698161714019745</v>
      </c>
      <c r="D168" s="0" t="n">
        <f aca="false">A168/SUM($A168:$C168)</f>
        <v>0.366483678382066</v>
      </c>
      <c r="E168" s="0" t="n">
        <f aca="false">B168/SUM($A168:$C168)</f>
        <v>0.370927819455939</v>
      </c>
      <c r="F168" s="0" t="n">
        <f aca="false">C168/SUM($A168:$C168)</f>
        <v>0.262588502161995</v>
      </c>
      <c r="G168" s="0" t="n">
        <f aca="false">SUMPRODUCT(D168:F168,Stats!$B$6:$D$6)</f>
        <v>0.37058563415507</v>
      </c>
      <c r="H168" s="0" t="n">
        <f aca="false">SQRT(SUMPRODUCT(MMULT(D168:F168,Stats!$B$12:$D$14),D168:F168))</f>
        <v>0.225909990182033</v>
      </c>
      <c r="I168" s="0" t="n">
        <f aca="false">(G168-Stats!$B$2)/H168</f>
        <v>1.45449802326273</v>
      </c>
    </row>
    <row r="169" customFormat="false" ht="15" hidden="false" customHeight="false" outlineLevel="0" collapsed="false">
      <c r="A169" s="0" t="n">
        <v>0.53609636634412</v>
      </c>
      <c r="B169" s="0" t="n">
        <v>0.309527616286328</v>
      </c>
      <c r="C169" s="0" t="n">
        <v>0.813795019706949</v>
      </c>
      <c r="D169" s="0" t="n">
        <f aca="false">A169/SUM($A169:$C169)</f>
        <v>0.323062689766114</v>
      </c>
      <c r="E169" s="0" t="n">
        <f aca="false">B169/SUM($A169:$C169)</f>
        <v>0.18652770388331</v>
      </c>
      <c r="F169" s="0" t="n">
        <f aca="false">C169/SUM($A169:$C169)</f>
        <v>0.490409606350576</v>
      </c>
      <c r="G169" s="0" t="n">
        <f aca="false">SUMPRODUCT(D169:F169,Stats!$B$6:$D$6)</f>
        <v>0.353693410846024</v>
      </c>
      <c r="H169" s="0" t="n">
        <f aca="false">SQRT(SUMPRODUCT(MMULT(D169:F169,Stats!$B$12:$D$14),D169:F169))</f>
        <v>0.227177246227833</v>
      </c>
      <c r="I169" s="0" t="n">
        <f aca="false">(G169-Stats!$B$2)/H169</f>
        <v>1.37202741921359</v>
      </c>
    </row>
    <row r="170" customFormat="false" ht="15" hidden="false" customHeight="false" outlineLevel="0" collapsed="false">
      <c r="A170" s="0" t="n">
        <v>0.684731172553879</v>
      </c>
      <c r="B170" s="0" t="n">
        <v>0.162616939344891</v>
      </c>
      <c r="C170" s="0" t="n">
        <v>0.910927184493843</v>
      </c>
      <c r="D170" s="0" t="n">
        <f aca="false">A170/SUM($A170:$C170)</f>
        <v>0.389433426016231</v>
      </c>
      <c r="E170" s="0" t="n">
        <f aca="false">B170/SUM($A170:$C170)</f>
        <v>0.0924866200864713</v>
      </c>
      <c r="F170" s="0" t="n">
        <f aca="false">C170/SUM($A170:$C170)</f>
        <v>0.518079953897298</v>
      </c>
      <c r="G170" s="0" t="n">
        <f aca="false">SUMPRODUCT(D170:F170,Stats!$B$6:$D$6)</f>
        <v>0.347519409408321</v>
      </c>
      <c r="H170" s="0" t="n">
        <f aca="false">SQRT(SUMPRODUCT(MMULT(D170:F170,Stats!$B$12:$D$14),D170:F170))</f>
        <v>0.2257606805348</v>
      </c>
      <c r="I170" s="0" t="n">
        <f aca="false">(G170-Stats!$B$2)/H170</f>
        <v>1.35328883968892</v>
      </c>
    </row>
    <row r="171" customFormat="false" ht="15" hidden="false" customHeight="false" outlineLevel="0" collapsed="false">
      <c r="A171" s="0" t="n">
        <v>0.822537242923169</v>
      </c>
      <c r="B171" s="0" t="n">
        <v>0.949799913291924</v>
      </c>
      <c r="C171" s="0" t="n">
        <v>0.72571950838836</v>
      </c>
      <c r="D171" s="0" t="n">
        <f aca="false">A171/SUM($A171:$C171)</f>
        <v>0.329270850648914</v>
      </c>
      <c r="E171" s="0" t="n">
        <f aca="false">B171/SUM($A171:$C171)</f>
        <v>0.380215519827969</v>
      </c>
      <c r="F171" s="0" t="n">
        <f aca="false">C171/SUM($A171:$C171)</f>
        <v>0.290513629523117</v>
      </c>
      <c r="G171" s="0" t="n">
        <f aca="false">SUMPRODUCT(D171:F171,Stats!$B$6:$D$6)</f>
        <v>0.370350011767227</v>
      </c>
      <c r="H171" s="0" t="n">
        <f aca="false">SQRT(SUMPRODUCT(MMULT(D171:F171,Stats!$B$12:$D$14),D171:F171))</f>
        <v>0.22683594208773</v>
      </c>
      <c r="I171" s="0" t="n">
        <f aca="false">(G171-Stats!$B$2)/H171</f>
        <v>1.44752197885923</v>
      </c>
    </row>
    <row r="172" customFormat="false" ht="15" hidden="false" customHeight="false" outlineLevel="0" collapsed="false">
      <c r="A172" s="0" t="n">
        <v>0.61341519593579</v>
      </c>
      <c r="B172" s="0" t="n">
        <v>0.418243036290619</v>
      </c>
      <c r="C172" s="0" t="n">
        <v>0.932728483354013</v>
      </c>
      <c r="D172" s="0" t="n">
        <f aca="false">A172/SUM($A172:$C172)</f>
        <v>0.31226804328828</v>
      </c>
      <c r="E172" s="0" t="n">
        <f aca="false">B172/SUM($A172:$C172)</f>
        <v>0.212912779837772</v>
      </c>
      <c r="F172" s="0" t="n">
        <f aca="false">C172/SUM($A172:$C172)</f>
        <v>0.474819176873948</v>
      </c>
      <c r="G172" s="0" t="n">
        <f aca="false">SUMPRODUCT(D172:F172,Stats!$B$6:$D$6)</f>
        <v>0.355641474063332</v>
      </c>
      <c r="H172" s="0" t="n">
        <f aca="false">SQRT(SUMPRODUCT(MMULT(D172:F172,Stats!$B$12:$D$14),D172:F172))</f>
        <v>0.22734968983208</v>
      </c>
      <c r="I172" s="0" t="n">
        <f aca="false">(G172-Stats!$B$2)/H172</f>
        <v>1.37955531980266</v>
      </c>
    </row>
    <row r="173" customFormat="false" ht="15" hidden="false" customHeight="false" outlineLevel="0" collapsed="false">
      <c r="A173" s="0" t="n">
        <v>0.866063889500408</v>
      </c>
      <c r="B173" s="0" t="n">
        <v>0.0452186701061894</v>
      </c>
      <c r="C173" s="0" t="n">
        <v>0.026366974497252</v>
      </c>
      <c r="D173" s="0" t="n">
        <f aca="false">A173/SUM($A173:$C173)</f>
        <v>0.923654156484108</v>
      </c>
      <c r="E173" s="0" t="n">
        <f aca="false">B173/SUM($A173:$C173)</f>
        <v>0.0482255559902845</v>
      </c>
      <c r="F173" s="0" t="n">
        <f aca="false">C173/SUM($A173:$C173)</f>
        <v>0.0281202875256073</v>
      </c>
      <c r="G173" s="0" t="n">
        <f aca="false">SUMPRODUCT(D173:F173,Stats!$B$6:$D$6)</f>
        <v>0.358483134418005</v>
      </c>
      <c r="H173" s="0" t="n">
        <f aca="false">SQRT(SUMPRODUCT(MMULT(D173:F173,Stats!$B$12:$D$14),D173:F173))</f>
        <v>0.230100425056253</v>
      </c>
      <c r="I173" s="0" t="n">
        <f aca="false">(G173-Stats!$B$2)/H173</f>
        <v>1.37541308035669</v>
      </c>
    </row>
    <row r="174" customFormat="false" ht="15" hidden="false" customHeight="false" outlineLevel="0" collapsed="false">
      <c r="A174" s="0" t="n">
        <v>0.37646336687805</v>
      </c>
      <c r="B174" s="0" t="n">
        <v>0.810553330781833</v>
      </c>
      <c r="C174" s="0" t="n">
        <v>0.987276129314945</v>
      </c>
      <c r="D174" s="0" t="n">
        <f aca="false">A174/SUM($A174:$C174)</f>
        <v>0.173142900628448</v>
      </c>
      <c r="E174" s="0" t="n">
        <f aca="false">B174/SUM($A174:$C174)</f>
        <v>0.372789405698213</v>
      </c>
      <c r="F174" s="0" t="n">
        <f aca="false">C174/SUM($A174:$C174)</f>
        <v>0.454067693673339</v>
      </c>
      <c r="G174" s="0" t="n">
        <f aca="false">SUMPRODUCT(D174:F174,Stats!$B$6:$D$6)</f>
        <v>0.36541278235889</v>
      </c>
      <c r="H174" s="0" t="n">
        <f aca="false">SQRT(SUMPRODUCT(MMULT(D174:F174,Stats!$B$12:$D$14),D174:F174))</f>
        <v>0.233027349300246</v>
      </c>
      <c r="I174" s="0" t="n">
        <f aca="false">(G174-Stats!$B$2)/H174</f>
        <v>1.38787478521325</v>
      </c>
    </row>
    <row r="175" customFormat="false" ht="15" hidden="false" customHeight="false" outlineLevel="0" collapsed="false">
      <c r="A175" s="0" t="n">
        <v>0.150416891103528</v>
      </c>
      <c r="B175" s="0" t="n">
        <v>0.594130715352135</v>
      </c>
      <c r="C175" s="0" t="n">
        <v>0.380890856631022</v>
      </c>
      <c r="D175" s="0" t="n">
        <f aca="false">A175/SUM($A175:$C175)</f>
        <v>0.133651813081799</v>
      </c>
      <c r="E175" s="0" t="n">
        <f aca="false">B175/SUM($A175:$C175)</f>
        <v>0.527910440987277</v>
      </c>
      <c r="F175" s="0" t="n">
        <f aca="false">C175/SUM($A175:$C175)</f>
        <v>0.338437745930924</v>
      </c>
      <c r="G175" s="0" t="n">
        <f aca="false">SUMPRODUCT(D175:F175,Stats!$B$6:$D$6)</f>
        <v>0.377526697295577</v>
      </c>
      <c r="H175" s="0" t="n">
        <f aca="false">SQRT(SUMPRODUCT(MMULT(D175:F175,Stats!$B$12:$D$14),D175:F175))</f>
        <v>0.235468183037751</v>
      </c>
      <c r="I175" s="0" t="n">
        <f aca="false">(G175-Stats!$B$2)/H175</f>
        <v>1.4249343285661</v>
      </c>
    </row>
    <row r="176" customFormat="false" ht="15" hidden="false" customHeight="false" outlineLevel="0" collapsed="false">
      <c r="A176" s="0" t="n">
        <v>0.969914397814603</v>
      </c>
      <c r="B176" s="0" t="n">
        <v>0.842118923135709</v>
      </c>
      <c r="C176" s="0" t="n">
        <v>0.838328704711138</v>
      </c>
      <c r="D176" s="0" t="n">
        <f aca="false">A176/SUM($A176:$C176)</f>
        <v>0.365955438699942</v>
      </c>
      <c r="E176" s="0" t="n">
        <f aca="false">B176/SUM($A176:$C176)</f>
        <v>0.31773731851804</v>
      </c>
      <c r="F176" s="0" t="n">
        <f aca="false">C176/SUM($A176:$C176)</f>
        <v>0.316307242782018</v>
      </c>
      <c r="G176" s="0" t="n">
        <f aca="false">SUMPRODUCT(D176:F176,Stats!$B$6:$D$6)</f>
        <v>0.366043847962939</v>
      </c>
      <c r="H176" s="0" t="n">
        <f aca="false">SQRT(SUMPRODUCT(MMULT(D176:F176,Stats!$B$12:$D$14),D176:F176))</f>
        <v>0.225346724346372</v>
      </c>
      <c r="I176" s="0" t="n">
        <f aca="false">(G176-Stats!$B$2)/H176</f>
        <v>1.43797895843768</v>
      </c>
    </row>
    <row r="177" customFormat="false" ht="15" hidden="false" customHeight="false" outlineLevel="0" collapsed="false">
      <c r="A177" s="0" t="n">
        <v>0.46869315979497</v>
      </c>
      <c r="B177" s="0" t="n">
        <v>0.414819502337665</v>
      </c>
      <c r="C177" s="0" t="n">
        <v>0.273407071930706</v>
      </c>
      <c r="D177" s="0" t="n">
        <f aca="false">A177/SUM($A177:$C177)</f>
        <v>0.405121587950465</v>
      </c>
      <c r="E177" s="0" t="n">
        <f aca="false">B177/SUM($A177:$C177)</f>
        <v>0.358555127139835</v>
      </c>
      <c r="F177" s="0" t="n">
        <f aca="false">C177/SUM($A177:$C177)</f>
        <v>0.236323284909701</v>
      </c>
      <c r="G177" s="0" t="n">
        <f aca="false">SUMPRODUCT(D177:F177,Stats!$B$6:$D$6)</f>
        <v>0.370597978716462</v>
      </c>
      <c r="H177" s="0" t="n">
        <f aca="false">SQRT(SUMPRODUCT(MMULT(D177:F177,Stats!$B$12:$D$14),D177:F177))</f>
        <v>0.225125991695374</v>
      </c>
      <c r="I177" s="0" t="n">
        <f aca="false">(G177-Stats!$B$2)/H177</f>
        <v>1.45961812868369</v>
      </c>
    </row>
    <row r="178" customFormat="false" ht="15" hidden="false" customHeight="false" outlineLevel="0" collapsed="false">
      <c r="A178" s="0" t="n">
        <v>0.0563754966509271</v>
      </c>
      <c r="B178" s="0" t="n">
        <v>0.864722376255053</v>
      </c>
      <c r="C178" s="0" t="n">
        <v>0.812901009130078</v>
      </c>
      <c r="D178" s="0" t="n">
        <f aca="false">A178/SUM($A178:$C178)</f>
        <v>0.0325118414059939</v>
      </c>
      <c r="E178" s="0" t="n">
        <f aca="false">B178/SUM($A178:$C178)</f>
        <v>0.49868681301553</v>
      </c>
      <c r="F178" s="0" t="n">
        <f aca="false">C178/SUM($A178:$C178)</f>
        <v>0.468801345578476</v>
      </c>
      <c r="G178" s="0" t="n">
        <f aca="false">SUMPRODUCT(D178:F178,Stats!$B$6:$D$6)</f>
        <v>0.372250481445679</v>
      </c>
      <c r="H178" s="0" t="n">
        <f aca="false">SQRT(SUMPRODUCT(MMULT(D178:F178,Stats!$B$12:$D$14),D178:F178))</f>
        <v>0.241111575426941</v>
      </c>
      <c r="I178" s="0" t="n">
        <f aca="false">(G178-Stats!$B$2)/H178</f>
        <v>1.36969981993149</v>
      </c>
    </row>
    <row r="179" customFormat="false" ht="15" hidden="false" customHeight="false" outlineLevel="0" collapsed="false">
      <c r="A179" s="0" t="n">
        <v>0.999717673286131</v>
      </c>
      <c r="B179" s="0" t="n">
        <v>0.996636837073905</v>
      </c>
      <c r="C179" s="0" t="n">
        <v>0.555431705602627</v>
      </c>
      <c r="D179" s="0" t="n">
        <f aca="false">A179/SUM($A179:$C179)</f>
        <v>0.391771719367559</v>
      </c>
      <c r="E179" s="0" t="n">
        <f aca="false">B179/SUM($A179:$C179)</f>
        <v>0.390564394007404</v>
      </c>
      <c r="F179" s="0" t="n">
        <f aca="false">C179/SUM($A179:$C179)</f>
        <v>0.217663886625036</v>
      </c>
      <c r="G179" s="0" t="n">
        <f aca="false">SUMPRODUCT(D179:F179,Stats!$B$6:$D$6)</f>
        <v>0.372954276234156</v>
      </c>
      <c r="H179" s="0" t="n">
        <f aca="false">SQRT(SUMPRODUCT(MMULT(D179:F179,Stats!$B$12:$D$14),D179:F179))</f>
        <v>0.225852455011284</v>
      </c>
      <c r="I179" s="0" t="n">
        <f aca="false">(G179-Stats!$B$2)/H179</f>
        <v>1.46535611586609</v>
      </c>
    </row>
    <row r="180" customFormat="false" ht="15" hidden="false" customHeight="false" outlineLevel="0" collapsed="false">
      <c r="A180" s="0" t="n">
        <v>0.768987415180511</v>
      </c>
      <c r="B180" s="0" t="n">
        <v>0.944765729882428</v>
      </c>
      <c r="C180" s="0" t="n">
        <v>0.849647390677412</v>
      </c>
      <c r="D180" s="0" t="n">
        <f aca="false">A180/SUM($A180:$C180)</f>
        <v>0.2999872257413</v>
      </c>
      <c r="E180" s="0" t="n">
        <f aca="false">B180/SUM($A180:$C180)</f>
        <v>0.368559542962553</v>
      </c>
      <c r="F180" s="0" t="n">
        <f aca="false">C180/SUM($A180:$C180)</f>
        <v>0.331453231296146</v>
      </c>
      <c r="G180" s="0" t="n">
        <f aca="false">SUMPRODUCT(D180:F180,Stats!$B$6:$D$6)</f>
        <v>0.368550448171734</v>
      </c>
      <c r="H180" s="0" t="n">
        <f aca="false">SQRT(SUMPRODUCT(MMULT(D180:F180,Stats!$B$12:$D$14),D180:F180))</f>
        <v>0.227551925135386</v>
      </c>
      <c r="I180" s="0" t="n">
        <f aca="false">(G180-Stats!$B$2)/H180</f>
        <v>1.43505904411684</v>
      </c>
    </row>
    <row r="181" customFormat="false" ht="15" hidden="false" customHeight="false" outlineLevel="0" collapsed="false">
      <c r="A181" s="0" t="n">
        <v>0.247348101743198</v>
      </c>
      <c r="B181" s="0" t="n">
        <v>0.450544135310094</v>
      </c>
      <c r="C181" s="0" t="n">
        <v>0.129159415151495</v>
      </c>
      <c r="D181" s="0" t="n">
        <f aca="false">A181/SUM($A181:$C181)</f>
        <v>0.299072133020722</v>
      </c>
      <c r="E181" s="0" t="n">
        <f aca="false">B181/SUM($A181:$C181)</f>
        <v>0.544759367941549</v>
      </c>
      <c r="F181" s="0" t="n">
        <f aca="false">C181/SUM($A181:$C181)</f>
        <v>0.156168499037729</v>
      </c>
      <c r="G181" s="0" t="n">
        <f aca="false">SUMPRODUCT(D181:F181,Stats!$B$6:$D$6)</f>
        <v>0.383522167124028</v>
      </c>
      <c r="H181" s="0" t="n">
        <f aca="false">SQRT(SUMPRODUCT(MMULT(D181:F181,Stats!$B$12:$D$14),D181:F181))</f>
        <v>0.230714170949248</v>
      </c>
      <c r="I181" s="0" t="n">
        <f aca="false">(G181-Stats!$B$2)/H181</f>
        <v>1.48028257526997</v>
      </c>
    </row>
    <row r="182" customFormat="false" ht="15" hidden="false" customHeight="false" outlineLevel="0" collapsed="false">
      <c r="A182" s="0" t="n">
        <v>0.954051027258722</v>
      </c>
      <c r="B182" s="0" t="n">
        <v>0.60617463445088</v>
      </c>
      <c r="C182" s="0" t="n">
        <v>0.228642805503463</v>
      </c>
      <c r="D182" s="0" t="n">
        <f aca="false">A182/SUM($A182:$C182)</f>
        <v>0.533326538392769</v>
      </c>
      <c r="E182" s="0" t="n">
        <f aca="false">B182/SUM($A182:$C182)</f>
        <v>0.33885925408214</v>
      </c>
      <c r="F182" s="0" t="n">
        <f aca="false">C182/SUM($A182:$C182)</f>
        <v>0.127814207525091</v>
      </c>
      <c r="G182" s="0" t="n">
        <f aca="false">SUMPRODUCT(D182:F182,Stats!$B$6:$D$6)</f>
        <v>0.372456799746687</v>
      </c>
      <c r="H182" s="0" t="n">
        <f aca="false">SQRT(SUMPRODUCT(MMULT(D182:F182,Stats!$B$12:$D$14),D182:F182))</f>
        <v>0.224617784528081</v>
      </c>
      <c r="I182" s="0" t="n">
        <f aca="false">(G182-Stats!$B$2)/H182</f>
        <v>1.47119606063684</v>
      </c>
    </row>
    <row r="183" customFormat="false" ht="15" hidden="false" customHeight="false" outlineLevel="0" collapsed="false">
      <c r="A183" s="0" t="n">
        <v>0.671700684405857</v>
      </c>
      <c r="B183" s="0" t="n">
        <v>0.618128240457896</v>
      </c>
      <c r="C183" s="0" t="n">
        <v>0.358162718032841</v>
      </c>
      <c r="D183" s="0" t="n">
        <f aca="false">A183/SUM($A183:$C183)</f>
        <v>0.407587433650599</v>
      </c>
      <c r="E183" s="0" t="n">
        <f aca="false">B183/SUM($A183:$C183)</f>
        <v>0.375079717862794</v>
      </c>
      <c r="F183" s="0" t="n">
        <f aca="false">C183/SUM($A183:$C183)</f>
        <v>0.217332848486607</v>
      </c>
      <c r="G183" s="0" t="n">
        <f aca="false">SUMPRODUCT(D183:F183,Stats!$B$6:$D$6)</f>
        <v>0.372072436259563</v>
      </c>
      <c r="H183" s="0" t="n">
        <f aca="false">SQRT(SUMPRODUCT(MMULT(D183:F183,Stats!$B$12:$D$14),D183:F183))</f>
        <v>0.225388268155332</v>
      </c>
      <c r="I183" s="0" t="n">
        <f aca="false">(G183-Stats!$B$2)/H183</f>
        <v>1.46446147779123</v>
      </c>
    </row>
    <row r="184" customFormat="false" ht="15" hidden="false" customHeight="false" outlineLevel="0" collapsed="false">
      <c r="A184" s="0" t="n">
        <v>0.113557592199629</v>
      </c>
      <c r="B184" s="0" t="n">
        <v>0.6715731955928</v>
      </c>
      <c r="C184" s="0" t="n">
        <v>0.520307700903793</v>
      </c>
      <c r="D184" s="0" t="n">
        <f aca="false">A184/SUM($A184:$C184)</f>
        <v>0.0869880834546576</v>
      </c>
      <c r="E184" s="0" t="n">
        <f aca="false">B184/SUM($A184:$C184)</f>
        <v>0.514442619401791</v>
      </c>
      <c r="F184" s="0" t="n">
        <f aca="false">C184/SUM($A184:$C184)</f>
        <v>0.398569297143552</v>
      </c>
      <c r="G184" s="0" t="n">
        <f aca="false">SUMPRODUCT(D184:F184,Stats!$B$6:$D$6)</f>
        <v>0.375093671875731</v>
      </c>
      <c r="H184" s="0" t="n">
        <f aca="false">SQRT(SUMPRODUCT(MMULT(D184:F184,Stats!$B$12:$D$14),D184:F184))</f>
        <v>0.237772010970988</v>
      </c>
      <c r="I184" s="0" t="n">
        <f aca="false">(G184-Stats!$B$2)/H184</f>
        <v>1.40089521266813</v>
      </c>
    </row>
    <row r="185" customFormat="false" ht="15" hidden="false" customHeight="false" outlineLevel="0" collapsed="false">
      <c r="A185" s="0" t="n">
        <v>0.772318391735639</v>
      </c>
      <c r="B185" s="0" t="n">
        <v>0.520163501111993</v>
      </c>
      <c r="C185" s="0" t="n">
        <v>0.85218150031854</v>
      </c>
      <c r="D185" s="0" t="n">
        <f aca="false">A185/SUM($A185:$C185)</f>
        <v>0.360111705266468</v>
      </c>
      <c r="E185" s="0" t="n">
        <f aca="false">B185/SUM($A185:$C185)</f>
        <v>0.242538527383579</v>
      </c>
      <c r="F185" s="0" t="n">
        <f aca="false">C185/SUM($A185:$C185)</f>
        <v>0.397349767349953</v>
      </c>
      <c r="G185" s="0" t="n">
        <f aca="false">SUMPRODUCT(D185:F185,Stats!$B$6:$D$6)</f>
        <v>0.359482290404585</v>
      </c>
      <c r="H185" s="0" t="n">
        <f aca="false">SQRT(SUMPRODUCT(MMULT(D185:F185,Stats!$B$12:$D$14),D185:F185))</f>
        <v>0.225317886482907</v>
      </c>
      <c r="I185" s="0" t="n">
        <f aca="false">(G185-Stats!$B$2)/H185</f>
        <v>1.40904166713223</v>
      </c>
    </row>
    <row r="186" customFormat="false" ht="15" hidden="false" customHeight="false" outlineLevel="0" collapsed="false">
      <c r="A186" s="0" t="n">
        <v>0.551906838774486</v>
      </c>
      <c r="B186" s="0" t="n">
        <v>0.560937971535386</v>
      </c>
      <c r="C186" s="0" t="n">
        <v>0.876653602658345</v>
      </c>
      <c r="D186" s="0" t="n">
        <f aca="false">A186/SUM($A186:$C186)</f>
        <v>0.277410042238271</v>
      </c>
      <c r="E186" s="0" t="n">
        <f aca="false">B186/SUM($A186:$C186)</f>
        <v>0.28194944408048</v>
      </c>
      <c r="F186" s="0" t="n">
        <f aca="false">C186/SUM($A186:$C186)</f>
        <v>0.440640513681249</v>
      </c>
      <c r="G186" s="0" t="n">
        <f aca="false">SUMPRODUCT(D186:F186,Stats!$B$6:$D$6)</f>
        <v>0.360556217863185</v>
      </c>
      <c r="H186" s="0" t="n">
        <f aca="false">SQRT(SUMPRODUCT(MMULT(D186:F186,Stats!$B$12:$D$14),D186:F186))</f>
        <v>0.228335507826506</v>
      </c>
      <c r="I186" s="0" t="n">
        <f aca="false">(G186-Stats!$B$2)/H186</f>
        <v>1.39512343435095</v>
      </c>
    </row>
    <row r="187" customFormat="false" ht="15" hidden="false" customHeight="false" outlineLevel="0" collapsed="false">
      <c r="A187" s="0" t="n">
        <v>0.403482866212397</v>
      </c>
      <c r="B187" s="0" t="n">
        <v>0.134015228450641</v>
      </c>
      <c r="C187" s="0" t="n">
        <v>0.028782676313339</v>
      </c>
      <c r="D187" s="0" t="n">
        <f aca="false">A187/SUM($A187:$C187)</f>
        <v>0.712513803915177</v>
      </c>
      <c r="E187" s="0" t="n">
        <f aca="false">B187/SUM($A187:$C187)</f>
        <v>0.23665862469526</v>
      </c>
      <c r="F187" s="0" t="n">
        <f aca="false">C187/SUM($A187:$C187)</f>
        <v>0.0508275713895637</v>
      </c>
      <c r="G187" s="0" t="n">
        <f aca="false">SUMPRODUCT(D187:F187,Stats!$B$6:$D$6)</f>
        <v>0.368699184688273</v>
      </c>
      <c r="H187" s="0" t="n">
        <f aca="false">SQRT(SUMPRODUCT(MMULT(D187:F187,Stats!$B$12:$D$14),D187:F187))</f>
        <v>0.225851724634376</v>
      </c>
      <c r="I187" s="0" t="n">
        <f aca="false">(G187-Stats!$B$2)/H187</f>
        <v>1.44652065516504</v>
      </c>
    </row>
    <row r="188" customFormat="false" ht="15" hidden="false" customHeight="false" outlineLevel="0" collapsed="false">
      <c r="A188" s="0" t="n">
        <v>0.755137255673619</v>
      </c>
      <c r="B188" s="0" t="n">
        <v>0.620309551353465</v>
      </c>
      <c r="C188" s="0" t="n">
        <v>0.704079768099224</v>
      </c>
      <c r="D188" s="0" t="n">
        <f aca="false">A188/SUM($A188:$C188)</f>
        <v>0.363129408734656</v>
      </c>
      <c r="E188" s="0" t="n">
        <f aca="false">B188/SUM($A188:$C188)</f>
        <v>0.298293639895315</v>
      </c>
      <c r="F188" s="0" t="n">
        <f aca="false">C188/SUM($A188:$C188)</f>
        <v>0.338576951370029</v>
      </c>
      <c r="G188" s="0" t="n">
        <f aca="false">SUMPRODUCT(D188:F188,Stats!$B$6:$D$6)</f>
        <v>0.364311005211514</v>
      </c>
      <c r="H188" s="0" t="n">
        <f aca="false">SQRT(SUMPRODUCT(MMULT(D188:F188,Stats!$B$12:$D$14),D188:F188))</f>
        <v>0.225297953140232</v>
      </c>
      <c r="I188" s="0" t="n">
        <f aca="false">(G188-Stats!$B$2)/H188</f>
        <v>1.43059890566737</v>
      </c>
    </row>
    <row r="189" customFormat="false" ht="15" hidden="false" customHeight="false" outlineLevel="0" collapsed="false">
      <c r="A189" s="0" t="n">
        <v>0.212964161508911</v>
      </c>
      <c r="B189" s="0" t="n">
        <v>0.13637147558677</v>
      </c>
      <c r="C189" s="0" t="n">
        <v>0.0145446656678819</v>
      </c>
      <c r="D189" s="0" t="n">
        <f aca="false">A189/SUM($A189:$C189)</f>
        <v>0.585258833444711</v>
      </c>
      <c r="E189" s="0" t="n">
        <f aca="false">B189/SUM($A189:$C189)</f>
        <v>0.374770149829681</v>
      </c>
      <c r="F189" s="0" t="n">
        <f aca="false">C189/SUM($A189:$C189)</f>
        <v>0.0399710167256088</v>
      </c>
      <c r="G189" s="0" t="n">
        <f aca="false">SUMPRODUCT(D189:F189,Stats!$B$6:$D$6)</f>
        <v>0.376945308409466</v>
      </c>
      <c r="H189" s="0" t="n">
        <f aca="false">SQRT(SUMPRODUCT(MMULT(D189:F189,Stats!$B$12:$D$14),D189:F189))</f>
        <v>0.226663890724971</v>
      </c>
      <c r="I189" s="0" t="n">
        <f aca="false">(G189-Stats!$B$2)/H189</f>
        <v>1.47771798736077</v>
      </c>
    </row>
    <row r="190" customFormat="false" ht="15" hidden="false" customHeight="false" outlineLevel="0" collapsed="false">
      <c r="A190" s="0" t="n">
        <v>0.350587558806597</v>
      </c>
      <c r="B190" s="0" t="n">
        <v>0.589917686854633</v>
      </c>
      <c r="C190" s="0" t="n">
        <v>0.392244045099732</v>
      </c>
      <c r="D190" s="0" t="n">
        <f aca="false">A190/SUM($A190:$C190)</f>
        <v>0.263055895986575</v>
      </c>
      <c r="E190" s="0" t="n">
        <f aca="false">B190/SUM($A190:$C190)</f>
        <v>0.442632152156545</v>
      </c>
      <c r="F190" s="0" t="n">
        <f aca="false">C190/SUM($A190:$C190)</f>
        <v>0.294311951856881</v>
      </c>
      <c r="G190" s="0" t="n">
        <f aca="false">SUMPRODUCT(D190:F190,Stats!$B$6:$D$6)</f>
        <v>0.373836646729705</v>
      </c>
      <c r="H190" s="0" t="n">
        <f aca="false">SQRT(SUMPRODUCT(MMULT(D190:F190,Stats!$B$12:$D$14),D190:F190))</f>
        <v>0.229445596298459</v>
      </c>
      <c r="I190" s="0" t="n">
        <f aca="false">(G190-Stats!$B$2)/H190</f>
        <v>1.44625415385204</v>
      </c>
    </row>
    <row r="191" customFormat="false" ht="15" hidden="false" customHeight="false" outlineLevel="0" collapsed="false">
      <c r="A191" s="0" t="n">
        <v>0.437474922023729</v>
      </c>
      <c r="B191" s="0" t="n">
        <v>0.904158694493748</v>
      </c>
      <c r="C191" s="0" t="n">
        <v>0.3482554670233</v>
      </c>
      <c r="D191" s="0" t="n">
        <f aca="false">A191/SUM($A191:$C191)</f>
        <v>0.258877891031227</v>
      </c>
      <c r="E191" s="0" t="n">
        <f aca="false">B191/SUM($A191:$C191)</f>
        <v>0.535040259920071</v>
      </c>
      <c r="F191" s="0" t="n">
        <f aca="false">C191/SUM($A191:$C191)</f>
        <v>0.206081849048702</v>
      </c>
      <c r="G191" s="0" t="n">
        <f aca="false">SUMPRODUCT(D191:F191,Stats!$B$6:$D$6)</f>
        <v>0.381586600798799</v>
      </c>
      <c r="H191" s="0" t="n">
        <f aca="false">SQRT(SUMPRODUCT(MMULT(D191:F191,Stats!$B$12:$D$14),D191:F191))</f>
        <v>0.231214083918492</v>
      </c>
      <c r="I191" s="0" t="n">
        <f aca="false">(G191-Stats!$B$2)/H191</f>
        <v>1.46871070759907</v>
      </c>
    </row>
    <row r="192" customFormat="false" ht="15" hidden="false" customHeight="false" outlineLevel="0" collapsed="false">
      <c r="A192" s="0" t="n">
        <v>0.513989489159811</v>
      </c>
      <c r="B192" s="0" t="n">
        <v>0.783653012741143</v>
      </c>
      <c r="C192" s="0" t="n">
        <v>0.39654278232127</v>
      </c>
      <c r="D192" s="0" t="n">
        <f aca="false">A192/SUM($A192:$C192)</f>
        <v>0.3033844609244</v>
      </c>
      <c r="E192" s="0" t="n">
        <f aca="false">B192/SUM($A192:$C192)</f>
        <v>0.462554491553683</v>
      </c>
      <c r="F192" s="0" t="n">
        <f aca="false">C192/SUM($A192:$C192)</f>
        <v>0.234061047521917</v>
      </c>
      <c r="G192" s="0" t="n">
        <f aca="false">SUMPRODUCT(D192:F192,Stats!$B$6:$D$6)</f>
        <v>0.376644347866957</v>
      </c>
      <c r="H192" s="0" t="n">
        <f aca="false">SQRT(SUMPRODUCT(MMULT(D192:F192,Stats!$B$12:$D$14),D192:F192))</f>
        <v>0.228693274582864</v>
      </c>
      <c r="I192" s="0" t="n">
        <f aca="false">(G192-Stats!$B$2)/H192</f>
        <v>1.46328897724407</v>
      </c>
    </row>
    <row r="193" customFormat="false" ht="15" hidden="false" customHeight="false" outlineLevel="0" collapsed="false">
      <c r="A193" s="0" t="n">
        <v>0.622086700227874</v>
      </c>
      <c r="B193" s="0" t="n">
        <v>0.862363708746745</v>
      </c>
      <c r="C193" s="0" t="n">
        <v>0.949520623657642</v>
      </c>
      <c r="D193" s="0" t="n">
        <f aca="false">A193/SUM($A193:$C193)</f>
        <v>0.255585087861587</v>
      </c>
      <c r="E193" s="0" t="n">
        <f aca="false">B193/SUM($A193:$C193)</f>
        <v>0.354303193088591</v>
      </c>
      <c r="F193" s="0" t="n">
        <f aca="false">C193/SUM($A193:$C193)</f>
        <v>0.390111719049822</v>
      </c>
      <c r="G193" s="0" t="n">
        <f aca="false">SUMPRODUCT(D193:F193,Stats!$B$6:$D$6)</f>
        <v>0.366112671013052</v>
      </c>
      <c r="H193" s="0" t="n">
        <f aca="false">SQRT(SUMPRODUCT(MMULT(D193:F193,Stats!$B$12:$D$14),D193:F193))</f>
        <v>0.229109558548496</v>
      </c>
      <c r="I193" s="0" t="n">
        <f aca="false">(G193-Stats!$B$2)/H193</f>
        <v>1.41466236968218</v>
      </c>
    </row>
    <row r="194" customFormat="false" ht="15" hidden="false" customHeight="false" outlineLevel="0" collapsed="false">
      <c r="A194" s="0" t="n">
        <v>0.147073480929038</v>
      </c>
      <c r="B194" s="0" t="n">
        <v>0.926587625161494</v>
      </c>
      <c r="C194" s="0" t="n">
        <v>0.492116293079538</v>
      </c>
      <c r="D194" s="0" t="n">
        <f aca="false">A194/SUM($A194:$C194)</f>
        <v>0.093930006274834</v>
      </c>
      <c r="E194" s="0" t="n">
        <f aca="false">B194/SUM($A194:$C194)</f>
        <v>0.591774811446778</v>
      </c>
      <c r="F194" s="0" t="n">
        <f aca="false">C194/SUM($A194:$C194)</f>
        <v>0.314295182278388</v>
      </c>
      <c r="G194" s="0" t="n">
        <f aca="false">SUMPRODUCT(D194:F194,Stats!$B$6:$D$6)</f>
        <v>0.38186709242078</v>
      </c>
      <c r="H194" s="0" t="n">
        <f aca="false">SQRT(SUMPRODUCT(MMULT(D194:F194,Stats!$B$12:$D$14),D194:F194))</f>
        <v>0.238106684546896</v>
      </c>
      <c r="I194" s="0" t="n">
        <f aca="false">(G194-Stats!$B$2)/H194</f>
        <v>1.42737316706387</v>
      </c>
    </row>
    <row r="195" customFormat="false" ht="15" hidden="false" customHeight="false" outlineLevel="0" collapsed="false">
      <c r="A195" s="0" t="n">
        <v>0.258244388298958</v>
      </c>
      <c r="B195" s="0" t="n">
        <v>0.459135756238261</v>
      </c>
      <c r="C195" s="0" t="n">
        <v>0.980032575285477</v>
      </c>
      <c r="D195" s="0" t="n">
        <f aca="false">A195/SUM($A195:$C195)</f>
        <v>0.15214001007718</v>
      </c>
      <c r="E195" s="0" t="n">
        <f aca="false">B195/SUM($A195:$C195)</f>
        <v>0.270491525647469</v>
      </c>
      <c r="F195" s="0" t="n">
        <f aca="false">C195/SUM($A195:$C195)</f>
        <v>0.577368464275351</v>
      </c>
      <c r="G195" s="0" t="n">
        <f aca="false">SUMPRODUCT(D195:F195,Stats!$B$6:$D$6)</f>
        <v>0.356126723416945</v>
      </c>
      <c r="H195" s="0" t="n">
        <f aca="false">SQRT(SUMPRODUCT(MMULT(D195:F195,Stats!$B$12:$D$14),D195:F195))</f>
        <v>0.235488471848308</v>
      </c>
      <c r="I195" s="0" t="n">
        <f aca="false">(G195-Stats!$B$2)/H195</f>
        <v>1.33393673563474</v>
      </c>
    </row>
    <row r="196" customFormat="false" ht="15" hidden="false" customHeight="false" outlineLevel="0" collapsed="false">
      <c r="A196" s="0" t="n">
        <v>0.49261809399287</v>
      </c>
      <c r="B196" s="0" t="n">
        <v>0.328751610287508</v>
      </c>
      <c r="C196" s="0" t="n">
        <v>0.633400854316726</v>
      </c>
      <c r="D196" s="0" t="n">
        <f aca="false">A196/SUM($A196:$C196)</f>
        <v>0.338622534723223</v>
      </c>
      <c r="E196" s="0" t="n">
        <f aca="false">B196/SUM($A196:$C196)</f>
        <v>0.225981759353542</v>
      </c>
      <c r="F196" s="0" t="n">
        <f aca="false">C196/SUM($A196:$C196)</f>
        <v>0.435395705923236</v>
      </c>
      <c r="G196" s="0" t="n">
        <f aca="false">SUMPRODUCT(D196:F196,Stats!$B$6:$D$6)</f>
        <v>0.357480533278222</v>
      </c>
      <c r="H196" s="0" t="n">
        <f aca="false">SQRT(SUMPRODUCT(MMULT(D196:F196,Stats!$B$12:$D$14),D196:F196))</f>
        <v>0.22615021355429</v>
      </c>
      <c r="I196" s="0" t="n">
        <f aca="false">(G196-Stats!$B$2)/H196</f>
        <v>1.39500435714816</v>
      </c>
    </row>
    <row r="197" customFormat="false" ht="15" hidden="false" customHeight="false" outlineLevel="0" collapsed="false">
      <c r="A197" s="0" t="n">
        <v>0.240145618778193</v>
      </c>
      <c r="B197" s="0" t="n">
        <v>0.0758633281086639</v>
      </c>
      <c r="C197" s="0" t="n">
        <v>0.128879721910649</v>
      </c>
      <c r="D197" s="0" t="n">
        <f aca="false">A197/SUM($A197:$C197)</f>
        <v>0.539788121435605</v>
      </c>
      <c r="E197" s="0" t="n">
        <f aca="false">B197/SUM($A197:$C197)</f>
        <v>0.170522050637333</v>
      </c>
      <c r="F197" s="0" t="n">
        <f aca="false">C197/SUM($A197:$C197)</f>
        <v>0.289689827927062</v>
      </c>
      <c r="G197" s="0" t="n">
        <f aca="false">SUMPRODUCT(D197:F197,Stats!$B$6:$D$6)</f>
        <v>0.358307236963105</v>
      </c>
      <c r="H197" s="0" t="n">
        <f aca="false">SQRT(SUMPRODUCT(MMULT(D197:F197,Stats!$B$12:$D$14),D197:F197))</f>
        <v>0.221837048383056</v>
      </c>
      <c r="I197" s="0" t="n">
        <f aca="false">(G197-Stats!$B$2)/H197</f>
        <v>1.4258539737552</v>
      </c>
    </row>
    <row r="198" customFormat="false" ht="15" hidden="false" customHeight="false" outlineLevel="0" collapsed="false">
      <c r="A198" s="0" t="n">
        <v>0.128045838957772</v>
      </c>
      <c r="B198" s="0" t="n">
        <v>0.151902693512294</v>
      </c>
      <c r="C198" s="0" t="n">
        <v>0.13882717264941</v>
      </c>
      <c r="D198" s="0" t="n">
        <f aca="false">A198/SUM($A198:$C198)</f>
        <v>0.305762338627645</v>
      </c>
      <c r="E198" s="0" t="n">
        <f aca="false">B198/SUM($A198:$C198)</f>
        <v>0.362730434586592</v>
      </c>
      <c r="F198" s="0" t="n">
        <f aca="false">C198/SUM($A198:$C198)</f>
        <v>0.331507226785763</v>
      </c>
      <c r="G198" s="0" t="n">
        <f aca="false">SUMPRODUCT(D198:F198,Stats!$B$6:$D$6)</f>
        <v>0.36821355991539</v>
      </c>
      <c r="H198" s="0" t="n">
        <f aca="false">SQRT(SUMPRODUCT(MMULT(D198:F198,Stats!$B$12:$D$14),D198:F198))</f>
        <v>0.227329563271667</v>
      </c>
      <c r="I198" s="0" t="n">
        <f aca="false">(G198-Stats!$B$2)/H198</f>
        <v>1.43498080593043</v>
      </c>
    </row>
    <row r="199" customFormat="false" ht="15" hidden="false" customHeight="false" outlineLevel="0" collapsed="false">
      <c r="A199" s="0" t="n">
        <v>0.640874744803215</v>
      </c>
      <c r="B199" s="0" t="n">
        <v>0.181880084399145</v>
      </c>
      <c r="C199" s="0" t="n">
        <v>0.345667283323863</v>
      </c>
      <c r="D199" s="0" t="n">
        <f aca="false">A199/SUM($A199:$C199)</f>
        <v>0.548495905659978</v>
      </c>
      <c r="E199" s="0" t="n">
        <f aca="false">B199/SUM($A199:$C199)</f>
        <v>0.155662994092011</v>
      </c>
      <c r="F199" s="0" t="n">
        <f aca="false">C199/SUM($A199:$C199)</f>
        <v>0.295841100248011</v>
      </c>
      <c r="G199" s="0" t="n">
        <f aca="false">SUMPRODUCT(D199:F199,Stats!$B$6:$D$6)</f>
        <v>0.357282647112841</v>
      </c>
      <c r="H199" s="0" t="n">
        <f aca="false">SQRT(SUMPRODUCT(MMULT(D199:F199,Stats!$B$12:$D$14),D199:F199))</f>
        <v>0.221710180672627</v>
      </c>
      <c r="I199" s="0" t="n">
        <f aca="false">(G199-Stats!$B$2)/H199</f>
        <v>1.42204857781601</v>
      </c>
    </row>
    <row r="200" customFormat="false" ht="15" hidden="false" customHeight="false" outlineLevel="0" collapsed="false">
      <c r="A200" s="0" t="n">
        <v>0.896788409906012</v>
      </c>
      <c r="B200" s="0" t="n">
        <v>0.473961640262872</v>
      </c>
      <c r="C200" s="0" t="n">
        <v>0.667557738521027</v>
      </c>
      <c r="D200" s="0" t="n">
        <f aca="false">A200/SUM($A200:$C200)</f>
        <v>0.439967121198319</v>
      </c>
      <c r="E200" s="0" t="n">
        <f aca="false">B200/SUM($A200:$C200)</f>
        <v>0.232527022117451</v>
      </c>
      <c r="F200" s="0" t="n">
        <f aca="false">C200/SUM($A200:$C200)</f>
        <v>0.32750585668423</v>
      </c>
      <c r="G200" s="0" t="n">
        <f aca="false">SUMPRODUCT(D200:F200,Stats!$B$6:$D$6)</f>
        <v>0.360832160322437</v>
      </c>
      <c r="H200" s="0" t="n">
        <f aca="false">SQRT(SUMPRODUCT(MMULT(D200:F200,Stats!$B$12:$D$14),D200:F200))</f>
        <v>0.22329175042652</v>
      </c>
      <c r="I200" s="0" t="n">
        <f aca="false">(G200-Stats!$B$2)/H200</f>
        <v>1.42787254662754</v>
      </c>
    </row>
    <row r="201" customFormat="false" ht="15" hidden="false" customHeight="false" outlineLevel="0" collapsed="false">
      <c r="A201" s="0" t="n">
        <v>0.17231987120163</v>
      </c>
      <c r="B201" s="0" t="n">
        <v>0.192289018808671</v>
      </c>
      <c r="C201" s="0" t="n">
        <v>0.0408686162664789</v>
      </c>
      <c r="D201" s="0" t="n">
        <f aca="false">A201/SUM($A201:$C201)</f>
        <v>0.424980100089705</v>
      </c>
      <c r="E201" s="0" t="n">
        <f aca="false">B201/SUM($A201:$C201)</f>
        <v>0.474228572071305</v>
      </c>
      <c r="F201" s="0" t="n">
        <f aca="false">C201/SUM($A201:$C201)</f>
        <v>0.10079132783899</v>
      </c>
      <c r="G201" s="0" t="n">
        <f aca="false">SUMPRODUCT(D201:F201,Stats!$B$6:$D$6)</f>
        <v>0.380990920612502</v>
      </c>
      <c r="H201" s="0" t="n">
        <f aca="false">SQRT(SUMPRODUCT(MMULT(D201:F201,Stats!$B$12:$D$14),D201:F201))</f>
        <v>0.227855811822797</v>
      </c>
      <c r="I201" s="0" t="n">
        <f aca="false">(G201-Stats!$B$2)/H201</f>
        <v>1.48774313852541</v>
      </c>
    </row>
    <row r="202" customFormat="false" ht="15" hidden="false" customHeight="false" outlineLevel="0" collapsed="false">
      <c r="A202" s="0" t="n">
        <v>0.168935063072165</v>
      </c>
      <c r="B202" s="0" t="n">
        <v>0.278590339031959</v>
      </c>
      <c r="C202" s="0" t="n">
        <v>0.177010484276747</v>
      </c>
      <c r="D202" s="0" t="n">
        <f aca="false">A202/SUM($A202:$C202)</f>
        <v>0.2704969670376</v>
      </c>
      <c r="E202" s="0" t="n">
        <f aca="false">B202/SUM($A202:$C202)</f>
        <v>0.446075790210175</v>
      </c>
      <c r="F202" s="0" t="n">
        <f aca="false">C202/SUM($A202:$C202)</f>
        <v>0.283427242752225</v>
      </c>
      <c r="G202" s="0" t="n">
        <f aca="false">SUMPRODUCT(D202:F202,Stats!$B$6:$D$6)</f>
        <v>0.374334930873379</v>
      </c>
      <c r="H202" s="0" t="n">
        <f aca="false">SQRT(SUMPRODUCT(MMULT(D202:F202,Stats!$B$12:$D$14),D202:F202))</f>
        <v>0.229264920287924</v>
      </c>
      <c r="I202" s="0" t="n">
        <f aca="false">(G202-Stats!$B$2)/H202</f>
        <v>1.44956729732579</v>
      </c>
    </row>
    <row r="203" customFormat="false" ht="15" hidden="false" customHeight="false" outlineLevel="0" collapsed="false">
      <c r="A203" s="0" t="n">
        <v>0.0887025337570556</v>
      </c>
      <c r="B203" s="0" t="n">
        <v>0.120635871100601</v>
      </c>
      <c r="C203" s="0" t="n">
        <v>0.460778768032726</v>
      </c>
      <c r="D203" s="0" t="n">
        <f aca="false">A203/SUM($A203:$C203)</f>
        <v>0.132368692141494</v>
      </c>
      <c r="E203" s="0" t="n">
        <f aca="false">B203/SUM($A203:$C203)</f>
        <v>0.180022055814908</v>
      </c>
      <c r="F203" s="0" t="n">
        <f aca="false">C203/SUM($A203:$C203)</f>
        <v>0.687609252043597</v>
      </c>
      <c r="G203" s="0" t="n">
        <f aca="false">SUMPRODUCT(D203:F203,Stats!$B$6:$D$6)</f>
        <v>0.34788137989325</v>
      </c>
      <c r="H203" s="0" t="n">
        <f aca="false">SQRT(SUMPRODUCT(MMULT(D203:F203,Stats!$B$12:$D$14),D203:F203))</f>
        <v>0.239156243833887</v>
      </c>
      <c r="I203" s="0" t="n">
        <f aca="false">(G203-Stats!$B$2)/H203</f>
        <v>1.27900227478781</v>
      </c>
    </row>
    <row r="204" customFormat="false" ht="15" hidden="false" customHeight="false" outlineLevel="0" collapsed="false">
      <c r="A204" s="0" t="n">
        <v>0.206333718405793</v>
      </c>
      <c r="B204" s="0" t="n">
        <v>0.364269861048076</v>
      </c>
      <c r="C204" s="0" t="n">
        <v>0.503417270854857</v>
      </c>
      <c r="D204" s="0" t="n">
        <f aca="false">A204/SUM($A204:$C204)</f>
        <v>0.192113326614174</v>
      </c>
      <c r="E204" s="0" t="n">
        <f aca="false">B204/SUM($A204:$C204)</f>
        <v>0.339164608343839</v>
      </c>
      <c r="F204" s="0" t="n">
        <f aca="false">C204/SUM($A204:$C204)</f>
        <v>0.468722065041988</v>
      </c>
      <c r="G204" s="0" t="n">
        <f aca="false">SUMPRODUCT(D204:F204,Stats!$B$6:$D$6)</f>
        <v>0.363073966384721</v>
      </c>
      <c r="H204" s="0" t="n">
        <f aca="false">SQRT(SUMPRODUCT(MMULT(D204:F204,Stats!$B$12:$D$14),D204:F204))</f>
        <v>0.232185486141988</v>
      </c>
      <c r="I204" s="0" t="n">
        <f aca="false">(G204-Stats!$B$2)/H204</f>
        <v>1.3828339217912</v>
      </c>
    </row>
    <row r="205" customFormat="false" ht="15" hidden="false" customHeight="false" outlineLevel="0" collapsed="false">
      <c r="A205" s="0" t="n">
        <v>0.690394828629365</v>
      </c>
      <c r="B205" s="0" t="n">
        <v>0.0393121398410989</v>
      </c>
      <c r="C205" s="0" t="n">
        <v>0.799410398909043</v>
      </c>
      <c r="D205" s="0" t="n">
        <f aca="false">A205/SUM($A205:$C205)</f>
        <v>0.451498912612912</v>
      </c>
      <c r="E205" s="0" t="n">
        <f aca="false">B205/SUM($A205:$C205)</f>
        <v>0.0257090401820949</v>
      </c>
      <c r="F205" s="0" t="n">
        <f aca="false">C205/SUM($A205:$C205)</f>
        <v>0.522792047204994</v>
      </c>
      <c r="G205" s="0" t="n">
        <f aca="false">SUMPRODUCT(D205:F205,Stats!$B$6:$D$6)</f>
        <v>0.343547179728561</v>
      </c>
      <c r="H205" s="0" t="n">
        <f aca="false">SQRT(SUMPRODUCT(MMULT(D205:F205,Stats!$B$12:$D$14),D205:F205))</f>
        <v>0.224633136380161</v>
      </c>
      <c r="I205" s="0" t="n">
        <f aca="false">(G205-Stats!$B$2)/H205</f>
        <v>1.34239847507731</v>
      </c>
    </row>
    <row r="206" customFormat="false" ht="15" hidden="false" customHeight="false" outlineLevel="0" collapsed="false">
      <c r="A206" s="0" t="n">
        <v>0.627900389490908</v>
      </c>
      <c r="B206" s="0" t="n">
        <v>0.0817590319488719</v>
      </c>
      <c r="C206" s="0" t="n">
        <v>0.873578624106777</v>
      </c>
      <c r="D206" s="0" t="n">
        <f aca="false">A206/SUM($A206:$C206)</f>
        <v>0.396592534683657</v>
      </c>
      <c r="E206" s="0" t="n">
        <f aca="false">B206/SUM($A206:$C206)</f>
        <v>0.0516403911457595</v>
      </c>
      <c r="F206" s="0" t="n">
        <f aca="false">C206/SUM($A206:$C206)</f>
        <v>0.551767074170584</v>
      </c>
      <c r="G206" s="0" t="n">
        <f aca="false">SUMPRODUCT(D206:F206,Stats!$B$6:$D$6)</f>
        <v>0.344240260876524</v>
      </c>
      <c r="H206" s="0" t="n">
        <f aca="false">SQRT(SUMPRODUCT(MMULT(D206:F206,Stats!$B$12:$D$14),D206:F206))</f>
        <v>0.226276742975378</v>
      </c>
      <c r="I206" s="0" t="n">
        <f aca="false">(G206-Stats!$B$2)/H206</f>
        <v>1.3357106740281</v>
      </c>
    </row>
    <row r="207" customFormat="false" ht="15" hidden="false" customHeight="false" outlineLevel="0" collapsed="false">
      <c r="A207" s="0" t="n">
        <v>0.920872400531813</v>
      </c>
      <c r="B207" s="0" t="n">
        <v>0.0610779598548638</v>
      </c>
      <c r="C207" s="0" t="n">
        <v>0.276877648147204</v>
      </c>
      <c r="D207" s="0" t="n">
        <f aca="false">A207/SUM($A207:$C207)</f>
        <v>0.731531547033439</v>
      </c>
      <c r="E207" s="0" t="n">
        <f aca="false">B207/SUM($A207:$C207)</f>
        <v>0.0485197020091724</v>
      </c>
      <c r="F207" s="0" t="n">
        <f aca="false">C207/SUM($A207:$C207)</f>
        <v>0.219948750957388</v>
      </c>
      <c r="G207" s="0" t="n">
        <f aca="false">SUMPRODUCT(D207:F207,Stats!$B$6:$D$6)</f>
        <v>0.353210463101201</v>
      </c>
      <c r="H207" s="0" t="n">
        <f aca="false">SQRT(SUMPRODUCT(MMULT(D207:F207,Stats!$B$12:$D$14),D207:F207))</f>
        <v>0.222449317513688</v>
      </c>
      <c r="I207" s="0" t="n">
        <f aca="false">(G207-Stats!$B$2)/H207</f>
        <v>1.39901738777891</v>
      </c>
    </row>
    <row r="208" customFormat="false" ht="15" hidden="false" customHeight="false" outlineLevel="0" collapsed="false">
      <c r="A208" s="0" t="n">
        <v>0.806201279793061</v>
      </c>
      <c r="B208" s="0" t="n">
        <v>0.748259690383658</v>
      </c>
      <c r="C208" s="0" t="n">
        <v>0.184521019356377</v>
      </c>
      <c r="D208" s="0" t="n">
        <f aca="false">A208/SUM($A208:$C208)</f>
        <v>0.46360530738419</v>
      </c>
      <c r="E208" s="0" t="n">
        <f aca="false">B208/SUM($A208:$C208)</f>
        <v>0.43028604947459</v>
      </c>
      <c r="F208" s="0" t="n">
        <f aca="false">C208/SUM($A208:$C208)</f>
        <v>0.106108643141221</v>
      </c>
      <c r="G208" s="0" t="n">
        <f aca="false">SUMPRODUCT(D208:F208,Stats!$B$6:$D$6)</f>
        <v>0.378315901811669</v>
      </c>
      <c r="H208" s="0" t="n">
        <f aca="false">SQRT(SUMPRODUCT(MMULT(D208:F208,Stats!$B$12:$D$14),D208:F208))</f>
        <v>0.226647239667744</v>
      </c>
      <c r="I208" s="0" t="n">
        <f aca="false">(G208-Stats!$B$2)/H208</f>
        <v>1.48387380452855</v>
      </c>
    </row>
    <row r="209" customFormat="false" ht="15" hidden="false" customHeight="false" outlineLevel="0" collapsed="false">
      <c r="A209" s="0" t="n">
        <v>0.20934932333671</v>
      </c>
      <c r="B209" s="0" t="n">
        <v>0.370472102791382</v>
      </c>
      <c r="C209" s="0" t="n">
        <v>0.484522985191021</v>
      </c>
      <c r="D209" s="0" t="n">
        <f aca="false">A209/SUM($A209:$C209)</f>
        <v>0.196693214255008</v>
      </c>
      <c r="E209" s="0" t="n">
        <f aca="false">B209/SUM($A209:$C209)</f>
        <v>0.348075396320474</v>
      </c>
      <c r="F209" s="0" t="n">
        <f aca="false">C209/SUM($A209:$C209)</f>
        <v>0.455231389424519</v>
      </c>
      <c r="G209" s="0" t="n">
        <f aca="false">SUMPRODUCT(D209:F209,Stats!$B$6:$D$6)</f>
        <v>0.363958681783254</v>
      </c>
      <c r="H209" s="0" t="n">
        <f aca="false">SQRT(SUMPRODUCT(MMULT(D209:F209,Stats!$B$12:$D$14),D209:F209))</f>
        <v>0.231887574289522</v>
      </c>
      <c r="I209" s="0" t="n">
        <f aca="false">(G209-Stats!$B$2)/H209</f>
        <v>1.38842576093048</v>
      </c>
    </row>
    <row r="210" customFormat="false" ht="15" hidden="false" customHeight="false" outlineLevel="0" collapsed="false">
      <c r="A210" s="0" t="n">
        <v>0.618254771530296</v>
      </c>
      <c r="B210" s="0" t="n">
        <v>0.368913639569772</v>
      </c>
      <c r="C210" s="0" t="n">
        <v>0.462534716133148</v>
      </c>
      <c r="D210" s="0" t="n">
        <f aca="false">A210/SUM($A210:$C210)</f>
        <v>0.426469916437475</v>
      </c>
      <c r="E210" s="0" t="n">
        <f aca="false">B210/SUM($A210:$C210)</f>
        <v>0.254475300935475</v>
      </c>
      <c r="F210" s="0" t="n">
        <f aca="false">C210/SUM($A210:$C210)</f>
        <v>0.31905478262705</v>
      </c>
      <c r="G210" s="0" t="n">
        <f aca="false">SUMPRODUCT(D210:F210,Stats!$B$6:$D$6)</f>
        <v>0.362328070995198</v>
      </c>
      <c r="H210" s="0" t="n">
        <f aca="false">SQRT(SUMPRODUCT(MMULT(D210:F210,Stats!$B$12:$D$14),D210:F210))</f>
        <v>0.223646984264311</v>
      </c>
      <c r="I210" s="0" t="n">
        <f aca="false">(G210-Stats!$B$2)/H210</f>
        <v>1.43229327258277</v>
      </c>
    </row>
    <row r="211" customFormat="false" ht="15" hidden="false" customHeight="false" outlineLevel="0" collapsed="false">
      <c r="A211" s="0" t="n">
        <v>0.747470938133757</v>
      </c>
      <c r="B211" s="0" t="n">
        <v>0.0366832028905979</v>
      </c>
      <c r="C211" s="0" t="n">
        <v>0.252436944344021</v>
      </c>
      <c r="D211" s="0" t="n">
        <f aca="false">A211/SUM($A211:$C211)</f>
        <v>0.721085632207735</v>
      </c>
      <c r="E211" s="0" t="n">
        <f aca="false">B211/SUM($A211:$C211)</f>
        <v>0.0353883063518357</v>
      </c>
      <c r="F211" s="0" t="n">
        <f aca="false">C211/SUM($A211:$C211)</f>
        <v>0.24352606144043</v>
      </c>
      <c r="G211" s="0" t="n">
        <f aca="false">SUMPRODUCT(D211:F211,Stats!$B$6:$D$6)</f>
        <v>0.351804764322451</v>
      </c>
      <c r="H211" s="0" t="n">
        <f aca="false">SQRT(SUMPRODUCT(MMULT(D211:F211,Stats!$B$12:$D$14),D211:F211))</f>
        <v>0.22212416090011</v>
      </c>
      <c r="I211" s="0" t="n">
        <f aca="false">(G211-Stats!$B$2)/H211</f>
        <v>1.39473690330234</v>
      </c>
    </row>
    <row r="212" customFormat="false" ht="15" hidden="false" customHeight="false" outlineLevel="0" collapsed="false">
      <c r="A212" s="0" t="n">
        <v>0.713349585884552</v>
      </c>
      <c r="B212" s="0" t="n">
        <v>0.895206837687199</v>
      </c>
      <c r="C212" s="0" t="n">
        <v>0.511677442115666</v>
      </c>
      <c r="D212" s="0" t="n">
        <f aca="false">A212/SUM($A212:$C212)</f>
        <v>0.336448538733849</v>
      </c>
      <c r="E212" s="0" t="n">
        <f aca="false">B212/SUM($A212:$C212)</f>
        <v>0.422220799400804</v>
      </c>
      <c r="F212" s="0" t="n">
        <f aca="false">C212/SUM($A212:$C212)</f>
        <v>0.241330661865346</v>
      </c>
      <c r="G212" s="0" t="n">
        <f aca="false">SUMPRODUCT(D212:F212,Stats!$B$6:$D$6)</f>
        <v>0.374123142603878</v>
      </c>
      <c r="H212" s="0" t="n">
        <f aca="false">SQRT(SUMPRODUCT(MMULT(D212:F212,Stats!$B$12:$D$14),D212:F212))</f>
        <v>0.227284682776537</v>
      </c>
      <c r="I212" s="0" t="n">
        <f aca="false">(G212-Stats!$B$2)/H212</f>
        <v>1.46126495875842</v>
      </c>
    </row>
    <row r="213" customFormat="false" ht="15" hidden="false" customHeight="false" outlineLevel="0" collapsed="false">
      <c r="A213" s="0" t="n">
        <v>0.532113485265316</v>
      </c>
      <c r="B213" s="0" t="n">
        <v>0.107172011339776</v>
      </c>
      <c r="C213" s="0" t="n">
        <v>0.447412366823455</v>
      </c>
      <c r="D213" s="0" t="n">
        <f aca="false">A213/SUM($A213:$C213)</f>
        <v>0.489660928923234</v>
      </c>
      <c r="E213" s="0" t="n">
        <f aca="false">B213/SUM($A213:$C213)</f>
        <v>0.0986217190136428</v>
      </c>
      <c r="F213" s="0" t="n">
        <f aca="false">C213/SUM($A213:$C213)</f>
        <v>0.411717352063123</v>
      </c>
      <c r="G213" s="0" t="n">
        <f aca="false">SUMPRODUCT(D213:F213,Stats!$B$6:$D$6)</f>
        <v>0.350805322896457</v>
      </c>
      <c r="H213" s="0" t="n">
        <f aca="false">SQRT(SUMPRODUCT(MMULT(D213:F213,Stats!$B$12:$D$14),D213:F213))</f>
        <v>0.222522994638358</v>
      </c>
      <c r="I213" s="0" t="n">
        <f aca="false">(G213-Stats!$B$2)/H213</f>
        <v>1.38774567274867</v>
      </c>
    </row>
    <row r="214" customFormat="false" ht="15" hidden="false" customHeight="false" outlineLevel="0" collapsed="false">
      <c r="A214" s="0" t="n">
        <v>0.532617266455023</v>
      </c>
      <c r="B214" s="0" t="n">
        <v>0.24247050363473</v>
      </c>
      <c r="C214" s="0" t="n">
        <v>0.269243230949381</v>
      </c>
      <c r="D214" s="0" t="n">
        <f aca="false">A214/SUM($A214:$C214)</f>
        <v>0.510008096977928</v>
      </c>
      <c r="E214" s="0" t="n">
        <f aca="false">B214/SUM($A214:$C214)</f>
        <v>0.232177828096136</v>
      </c>
      <c r="F214" s="0" t="n">
        <f aca="false">C214/SUM($A214:$C214)</f>
        <v>0.257814074925936</v>
      </c>
      <c r="G214" s="0" t="n">
        <f aca="false">SUMPRODUCT(D214:F214,Stats!$B$6:$D$6)</f>
        <v>0.36273379222752</v>
      </c>
      <c r="H214" s="0" t="n">
        <f aca="false">SQRT(SUMPRODUCT(MMULT(D214:F214,Stats!$B$12:$D$14),D214:F214))</f>
        <v>0.222512657308066</v>
      </c>
      <c r="I214" s="0" t="n">
        <f aca="false">(G214-Stats!$B$2)/H214</f>
        <v>1.44141819215016</v>
      </c>
    </row>
    <row r="215" customFormat="false" ht="15" hidden="false" customHeight="false" outlineLevel="0" collapsed="false">
      <c r="A215" s="0" t="n">
        <v>0.377284163104623</v>
      </c>
      <c r="B215" s="0" t="n">
        <v>0.0200711977777264</v>
      </c>
      <c r="C215" s="0" t="n">
        <v>0.322079165583178</v>
      </c>
      <c r="D215" s="0" t="n">
        <f aca="false">A215/SUM($A215:$C215)</f>
        <v>0.524417649175336</v>
      </c>
      <c r="E215" s="0" t="n">
        <f aca="false">B215/SUM($A215:$C215)</f>
        <v>0.0278985745601245</v>
      </c>
      <c r="F215" s="0" t="n">
        <f aca="false">C215/SUM($A215:$C215)</f>
        <v>0.44768377626454</v>
      </c>
      <c r="G215" s="0" t="n">
        <f aca="false">SUMPRODUCT(D215:F215,Stats!$B$6:$D$6)</f>
        <v>0.345744244385837</v>
      </c>
      <c r="H215" s="0" t="n">
        <f aca="false">SQRT(SUMPRODUCT(MMULT(D215:F215,Stats!$B$12:$D$14),D215:F215))</f>
        <v>0.222492639866252</v>
      </c>
      <c r="I215" s="0" t="n">
        <f aca="false">(G215-Stats!$B$2)/H215</f>
        <v>1.36518783079039</v>
      </c>
    </row>
    <row r="216" customFormat="false" ht="15" hidden="false" customHeight="false" outlineLevel="0" collapsed="false">
      <c r="A216" s="0" t="n">
        <v>0.211448006996545</v>
      </c>
      <c r="B216" s="0" t="n">
        <v>0.327497352177915</v>
      </c>
      <c r="C216" s="0" t="n">
        <v>0.119762131819251</v>
      </c>
      <c r="D216" s="0" t="n">
        <f aca="false">A216/SUM($A216:$C216)</f>
        <v>0.321004406185755</v>
      </c>
      <c r="E216" s="0" t="n">
        <f aca="false">B216/SUM($A216:$C216)</f>
        <v>0.497181763765674</v>
      </c>
      <c r="F216" s="0" t="n">
        <f aca="false">C216/SUM($A216:$C216)</f>
        <v>0.181813830048571</v>
      </c>
      <c r="G216" s="0" t="n">
        <f aca="false">SUMPRODUCT(D216:F216,Stats!$B$6:$D$6)</f>
        <v>0.380077453219325</v>
      </c>
      <c r="H216" s="0" t="n">
        <f aca="false">SQRT(SUMPRODUCT(MMULT(D216:F216,Stats!$B$12:$D$14),D216:F216))</f>
        <v>0.229130060997319</v>
      </c>
      <c r="I216" s="0" t="n">
        <f aca="false">(G216-Stats!$B$2)/H216</f>
        <v>1.4754827531045</v>
      </c>
    </row>
    <row r="217" customFormat="false" ht="15" hidden="false" customHeight="false" outlineLevel="0" collapsed="false">
      <c r="A217" s="0" t="n">
        <v>0.890527280739895</v>
      </c>
      <c r="B217" s="0" t="n">
        <v>0.593592453554049</v>
      </c>
      <c r="C217" s="0" t="n">
        <v>0.67910231914449</v>
      </c>
      <c r="D217" s="0" t="n">
        <f aca="false">A217/SUM($A217:$C217)</f>
        <v>0.411667068262551</v>
      </c>
      <c r="E217" s="0" t="n">
        <f aca="false">B217/SUM($A217:$C217)</f>
        <v>0.274401997987463</v>
      </c>
      <c r="F217" s="0" t="n">
        <f aca="false">C217/SUM($A217:$C217)</f>
        <v>0.313930933749986</v>
      </c>
      <c r="G217" s="0" t="n">
        <f aca="false">SUMPRODUCT(D217:F217,Stats!$B$6:$D$6)</f>
        <v>0.363615915514999</v>
      </c>
      <c r="H217" s="0" t="n">
        <f aca="false">SQRT(SUMPRODUCT(MMULT(D217:F217,Stats!$B$12:$D$14),D217:F217))</f>
        <v>0.224049857023006</v>
      </c>
      <c r="I217" s="0" t="n">
        <f aca="false">(G217-Stats!$B$2)/H217</f>
        <v>1.43546583688279</v>
      </c>
    </row>
    <row r="218" customFormat="false" ht="15" hidden="false" customHeight="false" outlineLevel="0" collapsed="false">
      <c r="A218" s="0" t="n">
        <v>0.789171238607338</v>
      </c>
      <c r="B218" s="0" t="n">
        <v>0.498442198929057</v>
      </c>
      <c r="C218" s="0" t="n">
        <v>0.0869202880874237</v>
      </c>
      <c r="D218" s="0" t="n">
        <f aca="false">A218/SUM($A218:$C218)</f>
        <v>0.574137413943176</v>
      </c>
      <c r="E218" s="0" t="n">
        <f aca="false">B218/SUM($A218:$C218)</f>
        <v>0.362626387142916</v>
      </c>
      <c r="F218" s="0" t="n">
        <f aca="false">C218/SUM($A218:$C218)</f>
        <v>0.0632361989139086</v>
      </c>
      <c r="G218" s="0" t="n">
        <f aca="false">SUMPRODUCT(D218:F218,Stats!$B$6:$D$6)</f>
        <v>0.375605043571251</v>
      </c>
      <c r="H218" s="0" t="n">
        <f aca="false">SQRT(SUMPRODUCT(MMULT(D218:F218,Stats!$B$12:$D$14),D218:F218))</f>
        <v>0.22598891293182</v>
      </c>
      <c r="I218" s="0" t="n">
        <f aca="false">(G218-Stats!$B$2)/H218</f>
        <v>1.47620093058237</v>
      </c>
    </row>
    <row r="219" customFormat="false" ht="15" hidden="false" customHeight="false" outlineLevel="0" collapsed="false">
      <c r="A219" s="0" t="n">
        <v>0.537106541818548</v>
      </c>
      <c r="B219" s="0" t="n">
        <v>0.586841118020879</v>
      </c>
      <c r="C219" s="0" t="n">
        <v>0.74543947418433</v>
      </c>
      <c r="D219" s="0" t="n">
        <f aca="false">A219/SUM($A219:$C219)</f>
        <v>0.287316913678792</v>
      </c>
      <c r="E219" s="0" t="n">
        <f aca="false">B219/SUM($A219:$C219)</f>
        <v>0.313921663062768</v>
      </c>
      <c r="F219" s="0" t="n">
        <f aca="false">C219/SUM($A219:$C219)</f>
        <v>0.39876142325844</v>
      </c>
      <c r="G219" s="0" t="n">
        <f aca="false">SUMPRODUCT(D219:F219,Stats!$B$6:$D$6)</f>
        <v>0.363550657773456</v>
      </c>
      <c r="H219" s="0" t="n">
        <f aca="false">SQRT(SUMPRODUCT(MMULT(D219:F219,Stats!$B$12:$D$14),D219:F219))</f>
        <v>0.227822222644091</v>
      </c>
      <c r="I219" s="0" t="n">
        <f aca="false">(G219-Stats!$B$2)/H219</f>
        <v>1.41141041484698</v>
      </c>
    </row>
    <row r="220" customFormat="false" ht="15" hidden="false" customHeight="false" outlineLevel="0" collapsed="false">
      <c r="A220" s="0" t="n">
        <v>0.431659546229679</v>
      </c>
      <c r="B220" s="0" t="n">
        <v>0.127580302795564</v>
      </c>
      <c r="C220" s="0" t="n">
        <v>0.283775905798725</v>
      </c>
      <c r="D220" s="0" t="n">
        <f aca="false">A220/SUM($A220:$C220)</f>
        <v>0.512042086710248</v>
      </c>
      <c r="E220" s="0" t="n">
        <f aca="false">B220/SUM($A220:$C220)</f>
        <v>0.151337981604157</v>
      </c>
      <c r="F220" s="0" t="n">
        <f aca="false">C220/SUM($A220:$C220)</f>
        <v>0.336619931685595</v>
      </c>
      <c r="G220" s="0" t="n">
        <f aca="false">SUMPRODUCT(D220:F220,Stats!$B$6:$D$6)</f>
        <v>0.355909330899516</v>
      </c>
      <c r="H220" s="0" t="n">
        <f aca="false">SQRT(SUMPRODUCT(MMULT(D220:F220,Stats!$B$12:$D$14),D220:F220))</f>
        <v>0.221987390007782</v>
      </c>
      <c r="I220" s="0" t="n">
        <f aca="false">(G220-Stats!$B$2)/H220</f>
        <v>1.41408631764404</v>
      </c>
    </row>
    <row r="221" customFormat="false" ht="15" hidden="false" customHeight="false" outlineLevel="0" collapsed="false">
      <c r="A221" s="0" t="n">
        <v>0.363082296398635</v>
      </c>
      <c r="B221" s="0" t="n">
        <v>0.645917241331601</v>
      </c>
      <c r="C221" s="0" t="n">
        <v>0.570778304668912</v>
      </c>
      <c r="D221" s="0" t="n">
        <f aca="false">A221/SUM($A221:$C221)</f>
        <v>0.229831237439839</v>
      </c>
      <c r="E221" s="0" t="n">
        <f aca="false">B221/SUM($A221:$C221)</f>
        <v>0.408865869615358</v>
      </c>
      <c r="F221" s="0" t="n">
        <f aca="false">C221/SUM($A221:$C221)</f>
        <v>0.361302892944803</v>
      </c>
      <c r="G221" s="0" t="n">
        <f aca="false">SUMPRODUCT(D221:F221,Stats!$B$6:$D$6)</f>
        <v>0.370046529100701</v>
      </c>
      <c r="H221" s="0" t="n">
        <f aca="false">SQRT(SUMPRODUCT(MMULT(D221:F221,Stats!$B$12:$D$14),D221:F221))</f>
        <v>0.23034054068957</v>
      </c>
      <c r="I221" s="0" t="n">
        <f aca="false">(G221-Stats!$B$2)/H221</f>
        <v>1.42418059851135</v>
      </c>
    </row>
    <row r="222" customFormat="false" ht="15" hidden="false" customHeight="false" outlineLevel="0" collapsed="false">
      <c r="A222" s="0" t="n">
        <v>0.356096725897846</v>
      </c>
      <c r="B222" s="0" t="n">
        <v>0.98651524879298</v>
      </c>
      <c r="C222" s="0" t="n">
        <v>0.605774819356887</v>
      </c>
      <c r="D222" s="0" t="n">
        <f aca="false">A222/SUM($A222:$C222)</f>
        <v>0.182764904271429</v>
      </c>
      <c r="E222" s="0" t="n">
        <f aca="false">B222/SUM($A222:$C222)</f>
        <v>0.50632413020185</v>
      </c>
      <c r="F222" s="0" t="n">
        <f aca="false">C222/SUM($A222:$C222)</f>
        <v>0.310910965526721</v>
      </c>
      <c r="G222" s="0" t="n">
        <f aca="false">SUMPRODUCT(D222:F222,Stats!$B$6:$D$6)</f>
        <v>0.377043689293888</v>
      </c>
      <c r="H222" s="0" t="n">
        <f aca="false">SQRT(SUMPRODUCT(MMULT(D222:F222,Stats!$B$12:$D$14),D222:F222))</f>
        <v>0.233098397376625</v>
      </c>
      <c r="I222" s="0" t="n">
        <f aca="false">(G222-Stats!$B$2)/H222</f>
        <v>1.43734874655765</v>
      </c>
    </row>
    <row r="223" customFormat="false" ht="15" hidden="false" customHeight="false" outlineLevel="0" collapsed="false">
      <c r="A223" s="0" t="n">
        <v>0.237226791735995</v>
      </c>
      <c r="B223" s="0" t="n">
        <v>0.101782472620404</v>
      </c>
      <c r="C223" s="0" t="n">
        <v>0.152859139184332</v>
      </c>
      <c r="D223" s="0" t="n">
        <f aca="false">A223/SUM($A223:$C223)</f>
        <v>0.482297277134107</v>
      </c>
      <c r="E223" s="0" t="n">
        <f aca="false">B223/SUM($A223:$C223)</f>
        <v>0.206930292508564</v>
      </c>
      <c r="F223" s="0" t="n">
        <f aca="false">C223/SUM($A223:$C223)</f>
        <v>0.310772430357329</v>
      </c>
      <c r="G223" s="0" t="n">
        <f aca="false">SUMPRODUCT(D223:F223,Stats!$B$6:$D$6)</f>
        <v>0.359820775424891</v>
      </c>
      <c r="H223" s="0" t="n">
        <f aca="false">SQRT(SUMPRODUCT(MMULT(D223:F223,Stats!$B$12:$D$14),D223:F223))</f>
        <v>0.222530171221617</v>
      </c>
      <c r="I223" s="0" t="n">
        <f aca="false">(G223-Stats!$B$2)/H223</f>
        <v>1.42821431215443</v>
      </c>
    </row>
    <row r="224" customFormat="false" ht="15" hidden="false" customHeight="false" outlineLevel="0" collapsed="false">
      <c r="A224" s="0" t="n">
        <v>0.245957728384508</v>
      </c>
      <c r="B224" s="0" t="n">
        <v>0.160681373259556</v>
      </c>
      <c r="C224" s="0" t="n">
        <v>0.186567024051306</v>
      </c>
      <c r="D224" s="0" t="n">
        <f aca="false">A224/SUM($A224:$C224)</f>
        <v>0.414624390630139</v>
      </c>
      <c r="E224" s="0" t="n">
        <f aca="false">B224/SUM($A224:$C224)</f>
        <v>0.270869376258044</v>
      </c>
      <c r="F224" s="0" t="n">
        <f aca="false">C224/SUM($A224:$C224)</f>
        <v>0.314506233111817</v>
      </c>
      <c r="G224" s="0" t="n">
        <f aca="false">SUMPRODUCT(D224:F224,Stats!$B$6:$D$6)</f>
        <v>0.36339678937424</v>
      </c>
      <c r="H224" s="0" t="n">
        <f aca="false">SQRT(SUMPRODUCT(MMULT(D224:F224,Stats!$B$12:$D$14),D224:F224))</f>
        <v>0.223969618082322</v>
      </c>
      <c r="I224" s="0" t="n">
        <f aca="false">(G224-Stats!$B$2)/H224</f>
        <v>1.43500172981546</v>
      </c>
    </row>
    <row r="225" customFormat="false" ht="15" hidden="false" customHeight="false" outlineLevel="0" collapsed="false">
      <c r="A225" s="0" t="n">
        <v>0.285095168693847</v>
      </c>
      <c r="B225" s="0" t="n">
        <v>0.173373595294755</v>
      </c>
      <c r="C225" s="0" t="n">
        <v>0.896765424626425</v>
      </c>
      <c r="D225" s="0" t="n">
        <f aca="false">A225/SUM($A225:$C225)</f>
        <v>0.210365980351483</v>
      </c>
      <c r="E225" s="0" t="n">
        <f aca="false">B225/SUM($A225:$C225)</f>
        <v>0.127928882514345</v>
      </c>
      <c r="F225" s="0" t="n">
        <f aca="false">C225/SUM($A225:$C225)</f>
        <v>0.661705137134172</v>
      </c>
      <c r="G225" s="0" t="n">
        <f aca="false">SUMPRODUCT(D225:F225,Stats!$B$6:$D$6)</f>
        <v>0.345598302129792</v>
      </c>
      <c r="H225" s="0" t="n">
        <f aca="false">SQRT(SUMPRODUCT(MMULT(D225:F225,Stats!$B$12:$D$14),D225:F225))</f>
        <v>0.234939219004125</v>
      </c>
      <c r="I225" s="0" t="n">
        <f aca="false">(G225-Stats!$B$2)/H225</f>
        <v>1.2922418973584</v>
      </c>
    </row>
    <row r="226" customFormat="false" ht="15" hidden="false" customHeight="false" outlineLevel="0" collapsed="false">
      <c r="A226" s="0" t="n">
        <v>0.0802337456616422</v>
      </c>
      <c r="B226" s="0" t="n">
        <v>0.524511389570255</v>
      </c>
      <c r="C226" s="0" t="n">
        <v>0.410396826989662</v>
      </c>
      <c r="D226" s="0" t="n">
        <f aca="false">A226/SUM($A226:$C226)</f>
        <v>0.07903697083515</v>
      </c>
      <c r="E226" s="0" t="n">
        <f aca="false">B226/SUM($A226:$C226)</f>
        <v>0.516687723579471</v>
      </c>
      <c r="F226" s="0" t="n">
        <f aca="false">C226/SUM($A226:$C226)</f>
        <v>0.404275305585379</v>
      </c>
      <c r="G226" s="0" t="n">
        <f aca="false">SUMPRODUCT(D226:F226,Stats!$B$6:$D$6)</f>
        <v>0.375065511276196</v>
      </c>
      <c r="H226" s="0" t="n">
        <f aca="false">SQRT(SUMPRODUCT(MMULT(D226:F226,Stats!$B$12:$D$14),D226:F226))</f>
        <v>0.238231742106391</v>
      </c>
      <c r="I226" s="0" t="n">
        <f aca="false">(G226-Stats!$B$2)/H226</f>
        <v>1.39807360820731</v>
      </c>
    </row>
    <row r="227" customFormat="false" ht="15" hidden="false" customHeight="false" outlineLevel="0" collapsed="false">
      <c r="A227" s="0" t="n">
        <v>0.982378616908606</v>
      </c>
      <c r="B227" s="0" t="n">
        <v>0.112038902168052</v>
      </c>
      <c r="C227" s="0" t="n">
        <v>0.397855599045742</v>
      </c>
      <c r="D227" s="0" t="n">
        <f aca="false">A227/SUM($A227:$C227)</f>
        <v>0.658310201382338</v>
      </c>
      <c r="E227" s="0" t="n">
        <f aca="false">B227/SUM($A227:$C227)</f>
        <v>0.0750793543135196</v>
      </c>
      <c r="F227" s="0" t="n">
        <f aca="false">C227/SUM($A227:$C227)</f>
        <v>0.266610444304143</v>
      </c>
      <c r="G227" s="0" t="n">
        <f aca="false">SUMPRODUCT(D227:F227,Stats!$B$6:$D$6)</f>
        <v>0.353451992872302</v>
      </c>
      <c r="H227" s="0" t="n">
        <f aca="false">SQRT(SUMPRODUCT(MMULT(D227:F227,Stats!$B$12:$D$14),D227:F227))</f>
        <v>0.221530508579236</v>
      </c>
      <c r="I227" s="0" t="n">
        <f aca="false">(G227-Stats!$B$2)/H227</f>
        <v>1.4059101605001</v>
      </c>
    </row>
    <row r="228" customFormat="false" ht="15" hidden="false" customHeight="false" outlineLevel="0" collapsed="false">
      <c r="A228" s="0" t="n">
        <v>0.969470433275369</v>
      </c>
      <c r="B228" s="0" t="n">
        <v>0.86550712589398</v>
      </c>
      <c r="C228" s="0" t="n">
        <v>0.81707207094928</v>
      </c>
      <c r="D228" s="0" t="n">
        <f aca="false">A228/SUM($A228:$C228)</f>
        <v>0.365555162416777</v>
      </c>
      <c r="E228" s="0" t="n">
        <f aca="false">B228/SUM($A228:$C228)</f>
        <v>0.326354045589737</v>
      </c>
      <c r="F228" s="0" t="n">
        <f aca="false">C228/SUM($A228:$C228)</f>
        <v>0.308090791993486</v>
      </c>
      <c r="G228" s="0" t="n">
        <f aca="false">SUMPRODUCT(D228:F228,Stats!$B$6:$D$6)</f>
        <v>0.366766208756513</v>
      </c>
      <c r="H228" s="0" t="n">
        <f aca="false">SQRT(SUMPRODUCT(MMULT(D228:F228,Stats!$B$12:$D$14),D228:F228))</f>
        <v>0.225425211292669</v>
      </c>
      <c r="I228" s="0" t="n">
        <f aca="false">(G228-Stats!$B$2)/H228</f>
        <v>1.44068272973634</v>
      </c>
    </row>
    <row r="229" customFormat="false" ht="15" hidden="false" customHeight="false" outlineLevel="0" collapsed="false">
      <c r="A229" s="0" t="n">
        <v>0.25790282704494</v>
      </c>
      <c r="B229" s="0" t="n">
        <v>0.170887587390066</v>
      </c>
      <c r="C229" s="0" t="n">
        <v>0.668643219924431</v>
      </c>
      <c r="D229" s="0" t="n">
        <f aca="false">A229/SUM($A229:$C229)</f>
        <v>0.235005397110392</v>
      </c>
      <c r="E229" s="0" t="n">
        <f aca="false">B229/SUM($A229:$C229)</f>
        <v>0.155715646067119</v>
      </c>
      <c r="F229" s="0" t="n">
        <f aca="false">C229/SUM($A229:$C229)</f>
        <v>0.60927895682249</v>
      </c>
      <c r="G229" s="0" t="n">
        <f aca="false">SUMPRODUCT(D229:F229,Stats!$B$6:$D$6)</f>
        <v>0.348642748298839</v>
      </c>
      <c r="H229" s="0" t="n">
        <f aca="false">SQRT(SUMPRODUCT(MMULT(D229:F229,Stats!$B$12:$D$14),D229:F229))</f>
        <v>0.232535264539175</v>
      </c>
      <c r="I229" s="0" t="n">
        <f aca="false">(G229-Stats!$B$2)/H229</f>
        <v>1.31869352765279</v>
      </c>
    </row>
    <row r="230" customFormat="false" ht="15" hidden="false" customHeight="false" outlineLevel="0" collapsed="false">
      <c r="A230" s="0" t="n">
        <v>0.929375989127586</v>
      </c>
      <c r="B230" s="0" t="n">
        <v>0.55676289301393</v>
      </c>
      <c r="C230" s="0" t="n">
        <v>0.5716126894699</v>
      </c>
      <c r="D230" s="0" t="n">
        <f aca="false">A230/SUM($A230:$C230)</f>
        <v>0.451646351264743</v>
      </c>
      <c r="E230" s="0" t="n">
        <f aca="false">B230/SUM($A230:$C230)</f>
        <v>0.270568566533973</v>
      </c>
      <c r="F230" s="0" t="n">
        <f aca="false">C230/SUM($A230:$C230)</f>
        <v>0.277785082201285</v>
      </c>
      <c r="G230" s="0" t="n">
        <f aca="false">SUMPRODUCT(D230:F230,Stats!$B$6:$D$6)</f>
        <v>0.364392052784708</v>
      </c>
      <c r="H230" s="0" t="n">
        <f aca="false">SQRT(SUMPRODUCT(MMULT(D230:F230,Stats!$B$12:$D$14),D230:F230))</f>
        <v>0.223393055284452</v>
      </c>
      <c r="I230" s="0" t="n">
        <f aca="false">(G230-Stats!$B$2)/H230</f>
        <v>1.4431605869493</v>
      </c>
    </row>
    <row r="231" customFormat="false" ht="15" hidden="false" customHeight="false" outlineLevel="0" collapsed="false">
      <c r="A231" s="0" t="n">
        <v>0.279979093660284</v>
      </c>
      <c r="B231" s="0" t="n">
        <v>0.769492933191937</v>
      </c>
      <c r="C231" s="0" t="n">
        <v>0.187043748557523</v>
      </c>
      <c r="D231" s="0" t="n">
        <f aca="false">A231/SUM($A231:$C231)</f>
        <v>0.226425816174895</v>
      </c>
      <c r="E231" s="0" t="n">
        <f aca="false">B231/SUM($A231:$C231)</f>
        <v>0.622307412889213</v>
      </c>
      <c r="F231" s="0" t="n">
        <f aca="false">C231/SUM($A231:$C231)</f>
        <v>0.151266770935893</v>
      </c>
      <c r="G231" s="0" t="n">
        <f aca="false">SUMPRODUCT(D231:F231,Stats!$B$6:$D$6)</f>
        <v>0.38811934452895</v>
      </c>
      <c r="H231" s="0" t="n">
        <f aca="false">SQRT(SUMPRODUCT(MMULT(D231:F231,Stats!$B$12:$D$14),D231:F231))</f>
        <v>0.234251195664602</v>
      </c>
      <c r="I231" s="0" t="n">
        <f aca="false">(G231-Stats!$B$2)/H231</f>
        <v>1.47755636229289</v>
      </c>
    </row>
    <row r="232" customFormat="false" ht="15" hidden="false" customHeight="false" outlineLevel="0" collapsed="false">
      <c r="A232" s="0" t="n">
        <v>0.323679236404244</v>
      </c>
      <c r="B232" s="0" t="n">
        <v>0.425436438616417</v>
      </c>
      <c r="C232" s="0" t="n">
        <v>0.507610378684455</v>
      </c>
      <c r="D232" s="0" t="n">
        <f aca="false">A232/SUM($A232:$C232)</f>
        <v>0.257557512593905</v>
      </c>
      <c r="E232" s="0" t="n">
        <f aca="false">B232/SUM($A232:$C232)</f>
        <v>0.338527587107893</v>
      </c>
      <c r="F232" s="0" t="n">
        <f aca="false">C232/SUM($A232:$C232)</f>
        <v>0.403914900298202</v>
      </c>
      <c r="G232" s="0" t="n">
        <f aca="false">SUMPRODUCT(D232:F232,Stats!$B$6:$D$6)</f>
        <v>0.364824345648948</v>
      </c>
      <c r="H232" s="0" t="n">
        <f aca="false">SQRT(SUMPRODUCT(MMULT(D232:F232,Stats!$B$12:$D$14),D232:F232))</f>
        <v>0.229022478691978</v>
      </c>
      <c r="I232" s="0" t="n">
        <f aca="false">(G232-Stats!$B$2)/H232</f>
        <v>1.40957493558145</v>
      </c>
    </row>
    <row r="233" customFormat="false" ht="15" hidden="false" customHeight="false" outlineLevel="0" collapsed="false">
      <c r="A233" s="0" t="n">
        <v>0.24240973241508</v>
      </c>
      <c r="B233" s="0" t="n">
        <v>0.114836824739204</v>
      </c>
      <c r="C233" s="0" t="n">
        <v>0.610620042441633</v>
      </c>
      <c r="D233" s="0" t="n">
        <f aca="false">A233/SUM($A233:$C233)</f>
        <v>0.250457792960606</v>
      </c>
      <c r="E233" s="0" t="n">
        <f aca="false">B233/SUM($A233:$C233)</f>
        <v>0.118649434526564</v>
      </c>
      <c r="F233" s="0" t="n">
        <f aca="false">C233/SUM($A233:$C233)</f>
        <v>0.63089277251283</v>
      </c>
      <c r="G233" s="0" t="n">
        <f aca="false">SUMPRODUCT(D233:F233,Stats!$B$6:$D$6)</f>
        <v>0.345914013806104</v>
      </c>
      <c r="H233" s="0" t="n">
        <f aca="false">SQRT(SUMPRODUCT(MMULT(D233:F233,Stats!$B$12:$D$14),D233:F233))</f>
        <v>0.232516049162094</v>
      </c>
      <c r="I233" s="0" t="n">
        <f aca="false">(G233-Stats!$B$2)/H233</f>
        <v>1.30706682356467</v>
      </c>
    </row>
    <row r="234" customFormat="false" ht="15" hidden="false" customHeight="false" outlineLevel="0" collapsed="false">
      <c r="A234" s="0" t="n">
        <v>0.288630553240256</v>
      </c>
      <c r="B234" s="0" t="n">
        <v>0.581238221422612</v>
      </c>
      <c r="C234" s="0" t="n">
        <v>0.154362715274202</v>
      </c>
      <c r="D234" s="0" t="n">
        <f aca="false">A234/SUM($A234:$C234)</f>
        <v>0.281802069235334</v>
      </c>
      <c r="E234" s="0" t="n">
        <f aca="false">B234/SUM($A234:$C234)</f>
        <v>0.567487161967969</v>
      </c>
      <c r="F234" s="0" t="n">
        <f aca="false">C234/SUM($A234:$C234)</f>
        <v>0.150710768796697</v>
      </c>
      <c r="G234" s="0" t="n">
        <f aca="false">SUMPRODUCT(D234:F234,Stats!$B$6:$D$6)</f>
        <v>0.384980389788543</v>
      </c>
      <c r="H234" s="0" t="n">
        <f aca="false">SQRT(SUMPRODUCT(MMULT(D234:F234,Stats!$B$12:$D$14),D234:F234))</f>
        <v>0.231625442225542</v>
      </c>
      <c r="I234" s="0" t="n">
        <f aca="false">(G234-Stats!$B$2)/H234</f>
        <v>1.48075438731196</v>
      </c>
    </row>
    <row r="235" customFormat="false" ht="15" hidden="false" customHeight="false" outlineLevel="0" collapsed="false">
      <c r="A235" s="0" t="n">
        <v>0.481140101854818</v>
      </c>
      <c r="B235" s="0" t="n">
        <v>0.532589432551586</v>
      </c>
      <c r="C235" s="0" t="n">
        <v>0.0518235368224269</v>
      </c>
      <c r="D235" s="0" t="n">
        <f aca="false">A235/SUM($A235:$C235)</f>
        <v>0.451540251580291</v>
      </c>
      <c r="E235" s="0" t="n">
        <f aca="false">B235/SUM($A235:$C235)</f>
        <v>0.499824407560842</v>
      </c>
      <c r="F235" s="0" t="n">
        <f aca="false">C235/SUM($A235:$C235)</f>
        <v>0.0486353408588672</v>
      </c>
      <c r="G235" s="0" t="n">
        <f aca="false">SUMPRODUCT(D235:F235,Stats!$B$6:$D$6)</f>
        <v>0.383901853139258</v>
      </c>
      <c r="H235" s="0" t="n">
        <f aca="false">SQRT(SUMPRODUCT(MMULT(D235:F235,Stats!$B$12:$D$14),D235:F235))</f>
        <v>0.228932876396786</v>
      </c>
      <c r="I235" s="0" t="n">
        <f aca="false">(G235-Stats!$B$2)/H235</f>
        <v>1.4934589497171</v>
      </c>
    </row>
    <row r="236" customFormat="false" ht="15" hidden="false" customHeight="false" outlineLevel="0" collapsed="false">
      <c r="A236" s="0" t="n">
        <v>0.336604278193921</v>
      </c>
      <c r="B236" s="0" t="n">
        <v>0.134414676938974</v>
      </c>
      <c r="C236" s="0" t="n">
        <v>0.0633749704727677</v>
      </c>
      <c r="D236" s="0" t="n">
        <f aca="false">A236/SUM($A236:$C236)</f>
        <v>0.629880434760604</v>
      </c>
      <c r="E236" s="0" t="n">
        <f aca="false">B236/SUM($A236:$C236)</f>
        <v>0.251527329369685</v>
      </c>
      <c r="F236" s="0" t="n">
        <f aca="false">C236/SUM($A236:$C236)</f>
        <v>0.118592235869711</v>
      </c>
      <c r="G236" s="0" t="n">
        <f aca="false">SUMPRODUCT(D236:F236,Stats!$B$6:$D$6)</f>
        <v>0.367686126151671</v>
      </c>
      <c r="H236" s="0" t="n">
        <f aca="false">SQRT(SUMPRODUCT(MMULT(D236:F236,Stats!$B$12:$D$14),D236:F236))</f>
        <v>0.223904995197428</v>
      </c>
      <c r="I236" s="0" t="n">
        <f aca="false">(G236-Stats!$B$2)/H236</f>
        <v>1.45457284623998</v>
      </c>
    </row>
    <row r="237" customFormat="false" ht="15" hidden="false" customHeight="false" outlineLevel="0" collapsed="false">
      <c r="A237" s="0" t="n">
        <v>0.989960232389945</v>
      </c>
      <c r="B237" s="0" t="n">
        <v>0.322353844974723</v>
      </c>
      <c r="C237" s="0" t="n">
        <v>0.809874445854635</v>
      </c>
      <c r="D237" s="0" t="n">
        <f aca="false">A237/SUM($A237:$C237)</f>
        <v>0.46648081523323</v>
      </c>
      <c r="E237" s="0" t="n">
        <f aca="false">B237/SUM($A237:$C237)</f>
        <v>0.15189689391295</v>
      </c>
      <c r="F237" s="0" t="n">
        <f aca="false">C237/SUM($A237:$C237)</f>
        <v>0.38162229085382</v>
      </c>
      <c r="G237" s="0" t="n">
        <f aca="false">SUMPRODUCT(D237:F237,Stats!$B$6:$D$6)</f>
        <v>0.354700567245131</v>
      </c>
      <c r="H237" s="0" t="n">
        <f aca="false">SQRT(SUMPRODUCT(MMULT(D237:F237,Stats!$B$12:$D$14),D237:F237))</f>
        <v>0.222730496873846</v>
      </c>
      <c r="I237" s="0" t="n">
        <f aca="false">(G237-Stats!$B$2)/H237</f>
        <v>1.4039414073693</v>
      </c>
    </row>
    <row r="238" customFormat="false" ht="15" hidden="false" customHeight="false" outlineLevel="0" collapsed="false">
      <c r="A238" s="0" t="n">
        <v>0.254640654763764</v>
      </c>
      <c r="B238" s="0" t="n">
        <v>0.681502722223929</v>
      </c>
      <c r="C238" s="0" t="n">
        <v>0.760227859889687</v>
      </c>
      <c r="D238" s="0" t="n">
        <f aca="false">A238/SUM($A238:$C238)</f>
        <v>0.150109038179931</v>
      </c>
      <c r="E238" s="0" t="n">
        <f aca="false">B238/SUM($A238:$C238)</f>
        <v>0.401741498210271</v>
      </c>
      <c r="F238" s="0" t="n">
        <f aca="false">C238/SUM($A238:$C238)</f>
        <v>0.448149463609798</v>
      </c>
      <c r="G238" s="0" t="n">
        <f aca="false">SUMPRODUCT(D238:F238,Stats!$B$6:$D$6)</f>
        <v>0.367241841207805</v>
      </c>
      <c r="H238" s="0" t="n">
        <f aca="false">SQRT(SUMPRODUCT(MMULT(D238:F238,Stats!$B$12:$D$14),D238:F238))</f>
        <v>0.234184853090036</v>
      </c>
      <c r="I238" s="0" t="n">
        <f aca="false">(G238-Stats!$B$2)/H238</f>
        <v>1.38882526737441</v>
      </c>
    </row>
    <row r="239" customFormat="false" ht="15" hidden="false" customHeight="false" outlineLevel="0" collapsed="false">
      <c r="A239" s="0" t="n">
        <v>0.595638740607844</v>
      </c>
      <c r="B239" s="0" t="n">
        <v>0.471576188550158</v>
      </c>
      <c r="C239" s="0" t="n">
        <v>0.411840914147269</v>
      </c>
      <c r="D239" s="0" t="n">
        <f aca="false">A239/SUM($A239:$C239)</f>
        <v>0.402715518351735</v>
      </c>
      <c r="E239" s="0" t="n">
        <f aca="false">B239/SUM($A239:$C239)</f>
        <v>0.318835959226745</v>
      </c>
      <c r="F239" s="0" t="n">
        <f aca="false">C239/SUM($A239:$C239)</f>
        <v>0.27844852242152</v>
      </c>
      <c r="G239" s="0" t="n">
        <f aca="false">SUMPRODUCT(D239:F239,Stats!$B$6:$D$6)</f>
        <v>0.367151001980086</v>
      </c>
      <c r="H239" s="0" t="n">
        <f aca="false">SQRT(SUMPRODUCT(MMULT(D239:F239,Stats!$B$12:$D$14),D239:F239))</f>
        <v>0.224610553639438</v>
      </c>
      <c r="I239" s="0" t="n">
        <f aca="false">(G239-Stats!$B$2)/H239</f>
        <v>1.44762121241214</v>
      </c>
    </row>
    <row r="240" customFormat="false" ht="15" hidden="false" customHeight="false" outlineLevel="0" collapsed="false">
      <c r="A240" s="0" t="n">
        <v>0.348868266542995</v>
      </c>
      <c r="B240" s="0" t="n">
        <v>0.929529144247826</v>
      </c>
      <c r="C240" s="0" t="n">
        <v>0.830619407787729</v>
      </c>
      <c r="D240" s="0" t="n">
        <f aca="false">A240/SUM($A240:$C240)</f>
        <v>0.165417489073476</v>
      </c>
      <c r="E240" s="0" t="n">
        <f aca="false">B240/SUM($A240:$C240)</f>
        <v>0.440740508117103</v>
      </c>
      <c r="F240" s="0" t="n">
        <f aca="false">C240/SUM($A240:$C240)</f>
        <v>0.393842002809421</v>
      </c>
      <c r="G240" s="0" t="n">
        <f aca="false">SUMPRODUCT(D240:F240,Stats!$B$6:$D$6)</f>
        <v>0.370983301106236</v>
      </c>
      <c r="H240" s="0" t="n">
        <f aca="false">SQRT(SUMPRODUCT(MMULT(D240:F240,Stats!$B$12:$D$14),D240:F240))</f>
        <v>0.23337332405862</v>
      </c>
      <c r="I240" s="0" t="n">
        <f aca="false">(G240-Stats!$B$2)/H240</f>
        <v>1.40968682874655</v>
      </c>
    </row>
    <row r="241" customFormat="false" ht="15" hidden="false" customHeight="false" outlineLevel="0" collapsed="false">
      <c r="A241" s="0" t="n">
        <v>0.965026910666513</v>
      </c>
      <c r="B241" s="0" t="n">
        <v>0.124297223485545</v>
      </c>
      <c r="C241" s="0" t="n">
        <v>0.730867475203644</v>
      </c>
      <c r="D241" s="0" t="n">
        <f aca="false">A241/SUM($A241:$C241)</f>
        <v>0.530178749152737</v>
      </c>
      <c r="E241" s="0" t="n">
        <f aca="false">B241/SUM($A241:$C241)</f>
        <v>0.068287988389059</v>
      </c>
      <c r="F241" s="0" t="n">
        <f aca="false">C241/SUM($A241:$C241)</f>
        <v>0.401533262458204</v>
      </c>
      <c r="G241" s="0" t="n">
        <f aca="false">SUMPRODUCT(D241:F241,Stats!$B$6:$D$6)</f>
        <v>0.349340781650347</v>
      </c>
      <c r="H241" s="0" t="n">
        <f aca="false">SQRT(SUMPRODUCT(MMULT(D241:F241,Stats!$B$12:$D$14),D241:F241))</f>
        <v>0.221975988916666</v>
      </c>
      <c r="I241" s="0" t="n">
        <f aca="false">(G241-Stats!$B$2)/H241</f>
        <v>1.38456768747961</v>
      </c>
    </row>
    <row r="242" customFormat="false" ht="15" hidden="false" customHeight="false" outlineLevel="0" collapsed="false">
      <c r="A242" s="0" t="n">
        <v>0.938340456821038</v>
      </c>
      <c r="B242" s="0" t="n">
        <v>0.18123306616566</v>
      </c>
      <c r="C242" s="0" t="n">
        <v>0.0664962673667775</v>
      </c>
      <c r="D242" s="0" t="n">
        <f aca="false">A242/SUM($A242:$C242)</f>
        <v>0.791134269208047</v>
      </c>
      <c r="E242" s="0" t="n">
        <f aca="false">B242/SUM($A242:$C242)</f>
        <v>0.152801350847701</v>
      </c>
      <c r="F242" s="0" t="n">
        <f aca="false">C242/SUM($A242:$C242)</f>
        <v>0.0560643799442528</v>
      </c>
      <c r="G242" s="0" t="n">
        <f aca="false">SUMPRODUCT(D242:F242,Stats!$B$6:$D$6)</f>
        <v>0.363729742703717</v>
      </c>
      <c r="H242" s="0" t="n">
        <f aca="false">SQRT(SUMPRODUCT(MMULT(D242:F242,Stats!$B$12:$D$14),D242:F242))</f>
        <v>0.226423791479654</v>
      </c>
      <c r="I242" s="0" t="n">
        <f aca="false">(G242-Stats!$B$2)/H242</f>
        <v>1.4209184494317</v>
      </c>
    </row>
    <row r="243" customFormat="false" ht="15" hidden="false" customHeight="false" outlineLevel="0" collapsed="false">
      <c r="A243" s="0" t="n">
        <v>0.741120649290059</v>
      </c>
      <c r="B243" s="0" t="n">
        <v>0.574473113179912</v>
      </c>
      <c r="C243" s="0" t="n">
        <v>0.841828776758272</v>
      </c>
      <c r="D243" s="0" t="n">
        <f aca="false">A243/SUM($A243:$C243)</f>
        <v>0.343521325013678</v>
      </c>
      <c r="E243" s="0" t="n">
        <f aca="false">B243/SUM($A243:$C243)</f>
        <v>0.266277515291656</v>
      </c>
      <c r="F243" s="0" t="n">
        <f aca="false">C243/SUM($A243:$C243)</f>
        <v>0.390201159694666</v>
      </c>
      <c r="G243" s="0" t="n">
        <f aca="false">SUMPRODUCT(D243:F243,Stats!$B$6:$D$6)</f>
        <v>0.361045321150641</v>
      </c>
      <c r="H243" s="0" t="n">
        <f aca="false">SQRT(SUMPRODUCT(MMULT(D243:F243,Stats!$B$12:$D$14),D243:F243))</f>
        <v>0.22582311588319</v>
      </c>
      <c r="I243" s="0" t="n">
        <f aca="false">(G243-Stats!$B$2)/H243</f>
        <v>1.41281072977344</v>
      </c>
    </row>
    <row r="244" customFormat="false" ht="15" hidden="false" customHeight="false" outlineLevel="0" collapsed="false">
      <c r="A244" s="0" t="n">
        <v>0.13977237662629</v>
      </c>
      <c r="B244" s="0" t="n">
        <v>0.79526731185989</v>
      </c>
      <c r="C244" s="0" t="n">
        <v>0.201627320047745</v>
      </c>
      <c r="D244" s="0" t="n">
        <f aca="false">A244/SUM($A244:$C244)</f>
        <v>0.122966863273852</v>
      </c>
      <c r="E244" s="0" t="n">
        <f aca="false">B244/SUM($A244:$C244)</f>
        <v>0.699648451031959</v>
      </c>
      <c r="F244" s="0" t="n">
        <f aca="false">C244/SUM($A244:$C244)</f>
        <v>0.177384685694189</v>
      </c>
      <c r="G244" s="0" t="n">
        <f aca="false">SUMPRODUCT(D244:F244,Stats!$B$6:$D$6)</f>
        <v>0.391849256309155</v>
      </c>
      <c r="H244" s="0" t="n">
        <f aca="false">SQRT(SUMPRODUCT(MMULT(D244:F244,Stats!$B$12:$D$14),D244:F244))</f>
        <v>0.23926232341621</v>
      </c>
      <c r="I244" s="0" t="n">
        <f aca="false">(G244-Stats!$B$2)/H244</f>
        <v>1.46219952775671</v>
      </c>
    </row>
    <row r="245" customFormat="false" ht="15" hidden="false" customHeight="false" outlineLevel="0" collapsed="false">
      <c r="A245" s="0" t="n">
        <v>0.163655942865705</v>
      </c>
      <c r="B245" s="0" t="n">
        <v>0.164265797930993</v>
      </c>
      <c r="C245" s="0" t="n">
        <v>0.814574720231382</v>
      </c>
      <c r="D245" s="0" t="n">
        <f aca="false">A245/SUM($A245:$C245)</f>
        <v>0.143244157376591</v>
      </c>
      <c r="E245" s="0" t="n">
        <f aca="false">B245/SUM($A245:$C245)</f>
        <v>0.143777949021547</v>
      </c>
      <c r="F245" s="0" t="n">
        <f aca="false">C245/SUM($A245:$C245)</f>
        <v>0.712977893601862</v>
      </c>
      <c r="G245" s="0" t="n">
        <f aca="false">SUMPRODUCT(D245:F245,Stats!$B$6:$D$6)</f>
        <v>0.345096410364513</v>
      </c>
      <c r="H245" s="0" t="n">
        <f aca="false">SQRT(SUMPRODUCT(MMULT(D245:F245,Stats!$B$12:$D$14),D245:F245))</f>
        <v>0.239462653836611</v>
      </c>
      <c r="I245" s="0" t="n">
        <f aca="false">(G245-Stats!$B$2)/H245</f>
        <v>1.26573561893004</v>
      </c>
    </row>
    <row r="246" customFormat="false" ht="15" hidden="false" customHeight="false" outlineLevel="0" collapsed="false">
      <c r="A246" s="0" t="n">
        <v>0.6651972206962</v>
      </c>
      <c r="B246" s="0" t="n">
        <v>0.523065424769119</v>
      </c>
      <c r="C246" s="0" t="n">
        <v>0.358830484123503</v>
      </c>
      <c r="D246" s="0" t="n">
        <f aca="false">A246/SUM($A246:$C246)</f>
        <v>0.429965855302449</v>
      </c>
      <c r="E246" s="0" t="n">
        <f aca="false">B246/SUM($A246:$C246)</f>
        <v>0.338095628999488</v>
      </c>
      <c r="F246" s="0" t="n">
        <f aca="false">C246/SUM($A246:$C246)</f>
        <v>0.231938515698063</v>
      </c>
      <c r="G246" s="0" t="n">
        <f aca="false">SUMPRODUCT(D246:F246,Stats!$B$6:$D$6)</f>
        <v>0.369541673998217</v>
      </c>
      <c r="H246" s="0" t="n">
        <f aca="false">SQRT(SUMPRODUCT(MMULT(D246:F246,Stats!$B$12:$D$14),D246:F246))</f>
        <v>0.224521306604512</v>
      </c>
      <c r="I246" s="0" t="n">
        <f aca="false">(G246-Stats!$B$2)/H246</f>
        <v>1.45884450323092</v>
      </c>
    </row>
    <row r="247" customFormat="false" ht="15" hidden="false" customHeight="false" outlineLevel="0" collapsed="false">
      <c r="A247" s="0" t="n">
        <v>0.877200540813108</v>
      </c>
      <c r="B247" s="0" t="n">
        <v>0.392445107422635</v>
      </c>
      <c r="C247" s="0" t="n">
        <v>0.816599439471577</v>
      </c>
      <c r="D247" s="0" t="n">
        <f aca="false">A247/SUM($A247:$C247)</f>
        <v>0.420468594980424</v>
      </c>
      <c r="E247" s="0" t="n">
        <f aca="false">B247/SUM($A247:$C247)</f>
        <v>0.188110740073168</v>
      </c>
      <c r="F247" s="0" t="n">
        <f aca="false">C247/SUM($A247:$C247)</f>
        <v>0.391420664946408</v>
      </c>
      <c r="G247" s="0" t="n">
        <f aca="false">SUMPRODUCT(D247:F247,Stats!$B$6:$D$6)</f>
        <v>0.356514078685576</v>
      </c>
      <c r="H247" s="0" t="n">
        <f aca="false">SQRT(SUMPRODUCT(MMULT(D247:F247,Stats!$B$12:$D$14),D247:F247))</f>
        <v>0.223697305393659</v>
      </c>
      <c r="I247" s="0" t="n">
        <f aca="false">(G247-Stats!$B$2)/H247</f>
        <v>1.40598063142558</v>
      </c>
    </row>
    <row r="248" customFormat="false" ht="15" hidden="false" customHeight="false" outlineLevel="0" collapsed="false">
      <c r="A248" s="0" t="n">
        <v>0.439134908570218</v>
      </c>
      <c r="B248" s="0" t="n">
        <v>0.376944429424908</v>
      </c>
      <c r="C248" s="0" t="n">
        <v>0.462679785669606</v>
      </c>
      <c r="D248" s="0" t="n">
        <f aca="false">A248/SUM($A248:$C248)</f>
        <v>0.34340705801709</v>
      </c>
      <c r="E248" s="0" t="n">
        <f aca="false">B248/SUM($A248:$C248)</f>
        <v>0.29477359922535</v>
      </c>
      <c r="F248" s="0" t="n">
        <f aca="false">C248/SUM($A248:$C248)</f>
        <v>0.36181934275756</v>
      </c>
      <c r="G248" s="0" t="n">
        <f aca="false">SUMPRODUCT(D248:F248,Stats!$B$6:$D$6)</f>
        <v>0.363467566624246</v>
      </c>
      <c r="H248" s="0" t="n">
        <f aca="false">SQRT(SUMPRODUCT(MMULT(D248:F248,Stats!$B$12:$D$14),D248:F248))</f>
        <v>0.225846634709861</v>
      </c>
      <c r="I248" s="0" t="n">
        <f aca="false">(G248-Stats!$B$2)/H248</f>
        <v>1.42338878344247</v>
      </c>
    </row>
    <row r="249" customFormat="false" ht="15" hidden="false" customHeight="false" outlineLevel="0" collapsed="false">
      <c r="A249" s="0" t="n">
        <v>0.301377874164142</v>
      </c>
      <c r="B249" s="0" t="n">
        <v>0.747609380176251</v>
      </c>
      <c r="C249" s="0" t="n">
        <v>0.502720390092479</v>
      </c>
      <c r="D249" s="0" t="n">
        <f aca="false">A249/SUM($A249:$C249)</f>
        <v>0.194223361111488</v>
      </c>
      <c r="E249" s="0" t="n">
        <f aca="false">B249/SUM($A249:$C249)</f>
        <v>0.481797832767326</v>
      </c>
      <c r="F249" s="0" t="n">
        <f aca="false">C249/SUM($A249:$C249)</f>
        <v>0.323978806121186</v>
      </c>
      <c r="G249" s="0" t="n">
        <f aca="false">SUMPRODUCT(D249:F249,Stats!$B$6:$D$6)</f>
        <v>0.375272137205035</v>
      </c>
      <c r="H249" s="0" t="n">
        <f aca="false">SQRT(SUMPRODUCT(MMULT(D249:F249,Stats!$B$12:$D$14),D249:F249))</f>
        <v>0.23235858207591</v>
      </c>
      <c r="I249" s="0" t="n">
        <f aca="false">(G249-Stats!$B$2)/H249</f>
        <v>1.43430095943759</v>
      </c>
    </row>
    <row r="250" customFormat="false" ht="15" hidden="false" customHeight="false" outlineLevel="0" collapsed="false">
      <c r="A250" s="0" t="n">
        <v>0.232212695146817</v>
      </c>
      <c r="B250" s="0" t="n">
        <v>0.899574573274569</v>
      </c>
      <c r="C250" s="0" t="n">
        <v>0.383891221373211</v>
      </c>
      <c r="D250" s="0" t="n">
        <f aca="false">A250/SUM($A250:$C250)</f>
        <v>0.153207092869865</v>
      </c>
      <c r="E250" s="0" t="n">
        <f aca="false">B250/SUM($A250:$C250)</f>
        <v>0.59351279267444</v>
      </c>
      <c r="F250" s="0" t="n">
        <f aca="false">C250/SUM($A250:$C250)</f>
        <v>0.253280114455696</v>
      </c>
      <c r="G250" s="0" t="n">
        <f aca="false">SUMPRODUCT(D250:F250,Stats!$B$6:$D$6)</f>
        <v>0.383649560638776</v>
      </c>
      <c r="H250" s="0" t="n">
        <f aca="false">SQRT(SUMPRODUCT(MMULT(D250:F250,Stats!$B$12:$D$14),D250:F250))</f>
        <v>0.235632885484003</v>
      </c>
      <c r="I250" s="0" t="n">
        <f aca="false">(G250-Stats!$B$2)/H250</f>
        <v>1.44992308665664</v>
      </c>
    </row>
    <row r="251" customFormat="false" ht="15" hidden="false" customHeight="false" outlineLevel="0" collapsed="false">
      <c r="A251" s="0" t="n">
        <v>0.543552861113989</v>
      </c>
      <c r="B251" s="0" t="n">
        <v>0.906472110964547</v>
      </c>
      <c r="C251" s="0" t="n">
        <v>0.624237995913992</v>
      </c>
      <c r="D251" s="0" t="n">
        <f aca="false">A251/SUM($A251:$C251)</f>
        <v>0.262046263902614</v>
      </c>
      <c r="E251" s="0" t="n">
        <f aca="false">B251/SUM($A251:$C251)</f>
        <v>0.437009253384025</v>
      </c>
      <c r="F251" s="0" t="n">
        <f aca="false">C251/SUM($A251:$C251)</f>
        <v>0.300944482713361</v>
      </c>
      <c r="G251" s="0" t="n">
        <f aca="false">SUMPRODUCT(D251:F251,Stats!$B$6:$D$6)</f>
        <v>0.373330222924548</v>
      </c>
      <c r="H251" s="0" t="n">
        <f aca="false">SQRT(SUMPRODUCT(MMULT(D251:F251,Stats!$B$12:$D$14),D251:F251))</f>
        <v>0.229408952157633</v>
      </c>
      <c r="I251" s="0" t="n">
        <f aca="false">(G251-Stats!$B$2)/H251</f>
        <v>1.44427765267365</v>
      </c>
    </row>
    <row r="252" customFormat="false" ht="15" hidden="false" customHeight="false" outlineLevel="0" collapsed="false">
      <c r="A252" s="0" t="n">
        <v>0.116898040708364</v>
      </c>
      <c r="B252" s="0" t="n">
        <v>0.939832123613475</v>
      </c>
      <c r="C252" s="0" t="n">
        <v>0.627708053071418</v>
      </c>
      <c r="D252" s="0" t="n">
        <f aca="false">A252/SUM($A252:$C252)</f>
        <v>0.0693988295333675</v>
      </c>
      <c r="E252" s="0" t="n">
        <f aca="false">B252/SUM($A252:$C252)</f>
        <v>0.557949893269405</v>
      </c>
      <c r="F252" s="0" t="n">
        <f aca="false">C252/SUM($A252:$C252)</f>
        <v>0.372651277197227</v>
      </c>
      <c r="G252" s="0" t="n">
        <f aca="false">SUMPRODUCT(D252:F252,Stats!$B$6:$D$6)</f>
        <v>0.378311703535136</v>
      </c>
      <c r="H252" s="0" t="n">
        <f aca="false">SQRT(SUMPRODUCT(MMULT(D252:F252,Stats!$B$12:$D$14),D252:F252))</f>
        <v>0.239004627924933</v>
      </c>
      <c r="I252" s="0" t="n">
        <f aca="false">(G252-Stats!$B$2)/H252</f>
        <v>1.40713469213979</v>
      </c>
    </row>
    <row r="253" customFormat="false" ht="15" hidden="false" customHeight="false" outlineLevel="0" collapsed="false">
      <c r="A253" s="0" t="n">
        <v>0.334905614657086</v>
      </c>
      <c r="B253" s="0" t="n">
        <v>0.139272072663387</v>
      </c>
      <c r="C253" s="0" t="n">
        <v>0.794025189270296</v>
      </c>
      <c r="D253" s="0" t="n">
        <f aca="false">A253/SUM($A253:$C253)</f>
        <v>0.264078895292678</v>
      </c>
      <c r="E253" s="0" t="n">
        <f aca="false">B253/SUM($A253:$C253)</f>
        <v>0.109818448794079</v>
      </c>
      <c r="F253" s="0" t="n">
        <f aca="false">C253/SUM($A253:$C253)</f>
        <v>0.626102655913243</v>
      </c>
      <c r="G253" s="0" t="n">
        <f aca="false">SUMPRODUCT(D253:F253,Stats!$B$6:$D$6)</f>
        <v>0.345537975939636</v>
      </c>
      <c r="H253" s="0" t="n">
        <f aca="false">SQRT(SUMPRODUCT(MMULT(D253:F253,Stats!$B$12:$D$14),D253:F253))</f>
        <v>0.231896488613562</v>
      </c>
      <c r="I253" s="0" t="n">
        <f aca="false">(G253-Stats!$B$2)/H253</f>
        <v>1.30893735284392</v>
      </c>
    </row>
    <row r="254" customFormat="false" ht="15" hidden="false" customHeight="false" outlineLevel="0" collapsed="false">
      <c r="A254" s="0" t="n">
        <v>0.620072755928514</v>
      </c>
      <c r="B254" s="0" t="n">
        <v>0.533461091976322</v>
      </c>
      <c r="C254" s="0" t="n">
        <v>0.893892583050958</v>
      </c>
      <c r="D254" s="0" t="n">
        <f aca="false">A254/SUM($A254:$C254)</f>
        <v>0.302854718759808</v>
      </c>
      <c r="E254" s="0" t="n">
        <f aca="false">B254/SUM($A254:$C254)</f>
        <v>0.260552019799455</v>
      </c>
      <c r="F254" s="0" t="n">
        <f aca="false">C254/SUM($A254:$C254)</f>
        <v>0.436593261440737</v>
      </c>
      <c r="G254" s="0" t="n">
        <f aca="false">SUMPRODUCT(D254:F254,Stats!$B$6:$D$6)</f>
        <v>0.359436639188076</v>
      </c>
      <c r="H254" s="0" t="n">
        <f aca="false">SQRT(SUMPRODUCT(MMULT(D254:F254,Stats!$B$12:$D$14),D254:F254))</f>
        <v>0.227364992451472</v>
      </c>
      <c r="I254" s="0" t="n">
        <f aca="false">(G254-Stats!$B$2)/H254</f>
        <v>1.39615442010418</v>
      </c>
    </row>
    <row r="255" customFormat="false" ht="15" hidden="false" customHeight="false" outlineLevel="0" collapsed="false">
      <c r="A255" s="0" t="n">
        <v>0.788597211224531</v>
      </c>
      <c r="B255" s="0" t="n">
        <v>0.151674879732751</v>
      </c>
      <c r="C255" s="0" t="n">
        <v>0.311722067795548</v>
      </c>
      <c r="D255" s="0" t="n">
        <f aca="false">A255/SUM($A255:$C255)</f>
        <v>0.629872915709199</v>
      </c>
      <c r="E255" s="0" t="n">
        <f aca="false">B255/SUM($A255:$C255)</f>
        <v>0.121146635287693</v>
      </c>
      <c r="F255" s="0" t="n">
        <f aca="false">C255/SUM($A255:$C255)</f>
        <v>0.248980449003108</v>
      </c>
      <c r="G255" s="0" t="n">
        <f aca="false">SUMPRODUCT(D255:F255,Stats!$B$6:$D$6)</f>
        <v>0.356588784935414</v>
      </c>
      <c r="H255" s="0" t="n">
        <f aca="false">SQRT(SUMPRODUCT(MMULT(D255:F255,Stats!$B$12:$D$14),D255:F255))</f>
        <v>0.221633309060406</v>
      </c>
      <c r="I255" s="0" t="n">
        <f aca="false">(G255-Stats!$B$2)/H255</f>
        <v>1.41941112673489</v>
      </c>
    </row>
    <row r="256" customFormat="false" ht="15" hidden="false" customHeight="false" outlineLevel="0" collapsed="false">
      <c r="A256" s="0" t="n">
        <v>0.248489139814466</v>
      </c>
      <c r="B256" s="0" t="n">
        <v>0.743946292572677</v>
      </c>
      <c r="C256" s="0" t="n">
        <v>0.0335324347357794</v>
      </c>
      <c r="D256" s="0" t="n">
        <f aca="false">A256/SUM($A256:$C256)</f>
        <v>0.242199729423586</v>
      </c>
      <c r="E256" s="0" t="n">
        <f aca="false">B256/SUM($A256:$C256)</f>
        <v>0.725116562040967</v>
      </c>
      <c r="F256" s="0" t="n">
        <f aca="false">C256/SUM($A256:$C256)</f>
        <v>0.0326837085354466</v>
      </c>
      <c r="G256" s="0" t="n">
        <f aca="false">SUMPRODUCT(D256:F256,Stats!$B$6:$D$6)</f>
        <v>0.397304732244113</v>
      </c>
      <c r="H256" s="0" t="n">
        <f aca="false">SQRT(SUMPRODUCT(MMULT(D256:F256,Stats!$B$12:$D$14),D256:F256))</f>
        <v>0.237810087170923</v>
      </c>
      <c r="I256" s="0" t="n">
        <f aca="false">(G256-Stats!$B$2)/H256</f>
        <v>1.49406922334939</v>
      </c>
    </row>
    <row r="257" customFormat="false" ht="15" hidden="false" customHeight="false" outlineLevel="0" collapsed="false">
      <c r="A257" s="0" t="n">
        <v>0.569889684871317</v>
      </c>
      <c r="B257" s="0" t="n">
        <v>0.762458685740691</v>
      </c>
      <c r="C257" s="0" t="n">
        <v>0.87676563676175</v>
      </c>
      <c r="D257" s="0" t="n">
        <f aca="false">A257/SUM($A257:$C257)</f>
        <v>0.257972057109363</v>
      </c>
      <c r="E257" s="0" t="n">
        <f aca="false">B257/SUM($A257:$C257)</f>
        <v>0.345142298313123</v>
      </c>
      <c r="F257" s="0" t="n">
        <f aca="false">C257/SUM($A257:$C257)</f>
        <v>0.396885644577515</v>
      </c>
      <c r="G257" s="0" t="n">
        <f aca="false">SUMPRODUCT(D257:F257,Stats!$B$6:$D$6)</f>
        <v>0.365398776593348</v>
      </c>
      <c r="H257" s="0" t="n">
        <f aca="false">SQRT(SUMPRODUCT(MMULT(D257:F257,Stats!$B$12:$D$14),D257:F257))</f>
        <v>0.229004028569784</v>
      </c>
      <c r="I257" s="0" t="n">
        <f aca="false">(G257-Stats!$B$2)/H257</f>
        <v>1.41219688847002</v>
      </c>
    </row>
    <row r="258" customFormat="false" ht="15" hidden="false" customHeight="false" outlineLevel="0" collapsed="false">
      <c r="A258" s="0" t="n">
        <v>0.342081748715908</v>
      </c>
      <c r="B258" s="0" t="n">
        <v>0.821257304672013</v>
      </c>
      <c r="C258" s="0" t="n">
        <v>0.110631736955207</v>
      </c>
      <c r="D258" s="0" t="n">
        <f aca="false">A258/SUM($A258:$C258)</f>
        <v>0.268516163250315</v>
      </c>
      <c r="E258" s="0" t="n">
        <f aca="false">B258/SUM($A258:$C258)</f>
        <v>0.644643747641041</v>
      </c>
      <c r="F258" s="0" t="n">
        <f aca="false">C258/SUM($A258:$C258)</f>
        <v>0.0868400891086443</v>
      </c>
      <c r="G258" s="0" t="n">
        <f aca="false">SUMPRODUCT(D258:F258,Stats!$B$6:$D$6)</f>
        <v>0.3911810892928</v>
      </c>
      <c r="H258" s="0" t="n">
        <f aca="false">SQRT(SUMPRODUCT(MMULT(D258:F258,Stats!$B$12:$D$14),D258:F258))</f>
        <v>0.234347940006052</v>
      </c>
      <c r="I258" s="0" t="n">
        <f aca="false">(G258-Stats!$B$2)/H258</f>
        <v>1.49001134502732</v>
      </c>
    </row>
    <row r="259" customFormat="false" ht="15" hidden="false" customHeight="false" outlineLevel="0" collapsed="false">
      <c r="A259" s="0" t="n">
        <v>0.846452291734518</v>
      </c>
      <c r="B259" s="0" t="n">
        <v>0.127488662331982</v>
      </c>
      <c r="C259" s="0" t="n">
        <v>0.397287290560367</v>
      </c>
      <c r="D259" s="0" t="n">
        <f aca="false">A259/SUM($A259:$C259)</f>
        <v>0.617294965335877</v>
      </c>
      <c r="E259" s="0" t="n">
        <f aca="false">B259/SUM($A259:$C259)</f>
        <v>0.0929740638231048</v>
      </c>
      <c r="F259" s="0" t="n">
        <f aca="false">C259/SUM($A259:$C259)</f>
        <v>0.289730970841018</v>
      </c>
      <c r="G259" s="0" t="n">
        <f aca="false">SUMPRODUCT(D259:F259,Stats!$B$6:$D$6)</f>
        <v>0.353844091670181</v>
      </c>
      <c r="H259" s="0" t="n">
        <f aca="false">SQRT(SUMPRODUCT(MMULT(D259:F259,Stats!$B$12:$D$14),D259:F259))</f>
        <v>0.221363381776481</v>
      </c>
      <c r="I259" s="0" t="n">
        <f aca="false">(G259-Stats!$B$2)/H259</f>
        <v>1.40874289671389</v>
      </c>
    </row>
    <row r="260" customFormat="false" ht="15" hidden="false" customHeight="false" outlineLevel="0" collapsed="false">
      <c r="A260" s="0" t="n">
        <v>0.797295365779554</v>
      </c>
      <c r="B260" s="0" t="n">
        <v>0.149917427348774</v>
      </c>
      <c r="C260" s="0" t="n">
        <v>0.229251395232642</v>
      </c>
      <c r="D260" s="0" t="n">
        <f aca="false">A260/SUM($A260:$C260)</f>
        <v>0.677704747554052</v>
      </c>
      <c r="E260" s="0" t="n">
        <f aca="false">B260/SUM($A260:$C260)</f>
        <v>0.1274305064548</v>
      </c>
      <c r="F260" s="0" t="n">
        <f aca="false">C260/SUM($A260:$C260)</f>
        <v>0.194864745991147</v>
      </c>
      <c r="G260" s="0" t="n">
        <f aca="false">SUMPRODUCT(D260:F260,Stats!$B$6:$D$6)</f>
        <v>0.358442570445875</v>
      </c>
      <c r="H260" s="0" t="n">
        <f aca="false">SQRT(SUMPRODUCT(MMULT(D260:F260,Stats!$B$12:$D$14),D260:F260))</f>
        <v>0.222361671585521</v>
      </c>
      <c r="I260" s="0" t="n">
        <f aca="false">(G260-Stats!$B$2)/H260</f>
        <v>1.42309854117178</v>
      </c>
    </row>
    <row r="261" customFormat="false" ht="15" hidden="false" customHeight="false" outlineLevel="0" collapsed="false">
      <c r="A261" s="0" t="n">
        <v>0.722252568393066</v>
      </c>
      <c r="B261" s="0" t="n">
        <v>0.720036536546074</v>
      </c>
      <c r="C261" s="0" t="n">
        <v>0.641147632885297</v>
      </c>
      <c r="D261" s="0" t="n">
        <f aca="false">A261/SUM($A261:$C261)</f>
        <v>0.346664026452397</v>
      </c>
      <c r="E261" s="0" t="n">
        <f aca="false">B261/SUM($A261:$C261)</f>
        <v>0.345600383958838</v>
      </c>
      <c r="F261" s="0" t="n">
        <f aca="false">C261/SUM($A261:$C261)</f>
        <v>0.307735589588765</v>
      </c>
      <c r="G261" s="0" t="n">
        <f aca="false">SUMPRODUCT(D261:F261,Stats!$B$6:$D$6)</f>
        <v>0.367883412725915</v>
      </c>
      <c r="H261" s="0" t="n">
        <f aca="false">SQRT(SUMPRODUCT(MMULT(D261:F261,Stats!$B$12:$D$14),D261:F261))</f>
        <v>0.226047874340445</v>
      </c>
      <c r="I261" s="0" t="n">
        <f aca="false">(G261-Stats!$B$2)/H261</f>
        <v>1.44165661224095</v>
      </c>
    </row>
    <row r="262" customFormat="false" ht="15" hidden="false" customHeight="false" outlineLevel="0" collapsed="false">
      <c r="A262" s="0" t="n">
        <v>0.6939484444671</v>
      </c>
      <c r="B262" s="0" t="n">
        <v>0.542724443347596</v>
      </c>
      <c r="C262" s="0" t="n">
        <v>0.251799058906953</v>
      </c>
      <c r="D262" s="0" t="n">
        <f aca="false">A262/SUM($A262:$C262)</f>
        <v>0.466215333110925</v>
      </c>
      <c r="E262" s="0" t="n">
        <f aca="false">B262/SUM($A262:$C262)</f>
        <v>0.36461852340781</v>
      </c>
      <c r="F262" s="0" t="n">
        <f aca="false">C262/SUM($A262:$C262)</f>
        <v>0.169166143481265</v>
      </c>
      <c r="G262" s="0" t="n">
        <f aca="false">SUMPRODUCT(D262:F262,Stats!$B$6:$D$6)</f>
        <v>0.372798691034916</v>
      </c>
      <c r="H262" s="0" t="n">
        <f aca="false">SQRT(SUMPRODUCT(MMULT(D262:F262,Stats!$B$12:$D$14),D262:F262))</f>
        <v>0.224881222484525</v>
      </c>
      <c r="I262" s="0" t="n">
        <f aca="false">(G262-Stats!$B$2)/H262</f>
        <v>1.47099294187481</v>
      </c>
    </row>
    <row r="263" customFormat="false" ht="15" hidden="false" customHeight="false" outlineLevel="0" collapsed="false">
      <c r="A263" s="0" t="n">
        <v>0.345695993503919</v>
      </c>
      <c r="B263" s="0" t="n">
        <v>0.181597716801426</v>
      </c>
      <c r="C263" s="0" t="n">
        <v>0.908450561333628</v>
      </c>
      <c r="D263" s="0" t="n">
        <f aca="false">A263/SUM($A263:$C263)</f>
        <v>0.240778250230656</v>
      </c>
      <c r="E263" s="0" t="n">
        <f aca="false">B263/SUM($A263:$C263)</f>
        <v>0.126483330206237</v>
      </c>
      <c r="F263" s="0" t="n">
        <f aca="false">C263/SUM($A263:$C263)</f>
        <v>0.632738419563107</v>
      </c>
      <c r="G263" s="0" t="n">
        <f aca="false">SUMPRODUCT(D263:F263,Stats!$B$6:$D$6)</f>
        <v>0.346313873016762</v>
      </c>
      <c r="H263" s="0" t="n">
        <f aca="false">SQRT(SUMPRODUCT(MMULT(D263:F263,Stats!$B$12:$D$14),D263:F263))</f>
        <v>0.232925469053331</v>
      </c>
      <c r="I263" s="0" t="n">
        <f aca="false">(G263-Stats!$B$2)/H263</f>
        <v>1.30648603715846</v>
      </c>
    </row>
    <row r="264" customFormat="false" ht="15" hidden="false" customHeight="false" outlineLevel="0" collapsed="false">
      <c r="A264" s="0" t="n">
        <v>0.583391794766121</v>
      </c>
      <c r="B264" s="0" t="n">
        <v>0.40085141676364</v>
      </c>
      <c r="C264" s="0" t="n">
        <v>0.462005803644133</v>
      </c>
      <c r="D264" s="0" t="n">
        <f aca="false">A264/SUM($A264:$C264)</f>
        <v>0.403382673830879</v>
      </c>
      <c r="E264" s="0" t="n">
        <f aca="false">B264/SUM($A264:$C264)</f>
        <v>0.277166250457528</v>
      </c>
      <c r="F264" s="0" t="n">
        <f aca="false">C264/SUM($A264:$C264)</f>
        <v>0.319451075711593</v>
      </c>
      <c r="G264" s="0" t="n">
        <f aca="false">SUMPRODUCT(D264:F264,Stats!$B$6:$D$6)</f>
        <v>0.363622751232991</v>
      </c>
      <c r="H264" s="0" t="n">
        <f aca="false">SQRT(SUMPRODUCT(MMULT(D264:F264,Stats!$B$12:$D$14),D264:F264))</f>
        <v>0.224233498431343</v>
      </c>
      <c r="I264" s="0" t="n">
        <f aca="false">(G264-Stats!$B$2)/H264</f>
        <v>1.43432071248474</v>
      </c>
    </row>
    <row r="265" customFormat="false" ht="15" hidden="false" customHeight="false" outlineLevel="0" collapsed="false">
      <c r="A265" s="0" t="n">
        <v>0.947283339611815</v>
      </c>
      <c r="B265" s="0" t="n">
        <v>0.15335140311608</v>
      </c>
      <c r="C265" s="0" t="n">
        <v>0.586229832016797</v>
      </c>
      <c r="D265" s="0" t="n">
        <f aca="false">A265/SUM($A265:$C265)</f>
        <v>0.561564546315277</v>
      </c>
      <c r="E265" s="0" t="n">
        <f aca="false">B265/SUM($A265:$C265)</f>
        <v>0.0909091372312979</v>
      </c>
      <c r="F265" s="0" t="n">
        <f aca="false">C265/SUM($A265:$C265)</f>
        <v>0.347526316453426</v>
      </c>
      <c r="G265" s="0" t="n">
        <f aca="false">SUMPRODUCT(D265:F265,Stats!$B$6:$D$6)</f>
        <v>0.352131594040668</v>
      </c>
      <c r="H265" s="0" t="n">
        <f aca="false">SQRT(SUMPRODUCT(MMULT(D265:F265,Stats!$B$12:$D$14),D265:F265))</f>
        <v>0.221493318253082</v>
      </c>
      <c r="I265" s="0" t="n">
        <f aca="false">(G265-Stats!$B$2)/H265</f>
        <v>1.40018487458979</v>
      </c>
    </row>
    <row r="266" customFormat="false" ht="15" hidden="false" customHeight="false" outlineLevel="0" collapsed="false">
      <c r="A266" s="0" t="n">
        <v>0.505888678884466</v>
      </c>
      <c r="B266" s="0" t="n">
        <v>0.611454235434648</v>
      </c>
      <c r="C266" s="0" t="n">
        <v>0.0181101838208405</v>
      </c>
      <c r="D266" s="0" t="n">
        <f aca="false">A266/SUM($A266:$C266)</f>
        <v>0.445539036102142</v>
      </c>
      <c r="E266" s="0" t="n">
        <f aca="false">B266/SUM($A266:$C266)</f>
        <v>0.538511222027844</v>
      </c>
      <c r="F266" s="0" t="n">
        <f aca="false">C266/SUM($A266:$C266)</f>
        <v>0.0159497418700145</v>
      </c>
      <c r="G266" s="0" t="n">
        <f aca="false">SUMPRODUCT(D266:F266,Stats!$B$6:$D$6)</f>
        <v>0.3870291351929</v>
      </c>
      <c r="H266" s="0" t="n">
        <f aca="false">SQRT(SUMPRODUCT(MMULT(D266:F266,Stats!$B$12:$D$14),D266:F266))</f>
        <v>0.23039901559379</v>
      </c>
      <c r="I266" s="0" t="n">
        <f aca="false">(G266-Stats!$B$2)/H266</f>
        <v>1.4975286864993</v>
      </c>
    </row>
    <row r="267" customFormat="false" ht="15" hidden="false" customHeight="false" outlineLevel="0" collapsed="false">
      <c r="A267" s="0" t="n">
        <v>0.872123908944152</v>
      </c>
      <c r="B267" s="0" t="n">
        <v>0.932118282483612</v>
      </c>
      <c r="C267" s="0" t="n">
        <v>0.565133183589209</v>
      </c>
      <c r="D267" s="0" t="n">
        <f aca="false">A267/SUM($A267:$C267)</f>
        <v>0.368081781443307</v>
      </c>
      <c r="E267" s="0" t="n">
        <f aca="false">B267/SUM($A267:$C267)</f>
        <v>0.393402536513209</v>
      </c>
      <c r="F267" s="0" t="n">
        <f aca="false">C267/SUM($A267:$C267)</f>
        <v>0.238515682043484</v>
      </c>
      <c r="G267" s="0" t="n">
        <f aca="false">SUMPRODUCT(D267:F267,Stats!$B$6:$D$6)</f>
        <v>0.372542599041963</v>
      </c>
      <c r="H267" s="0" t="n">
        <f aca="false">SQRT(SUMPRODUCT(MMULT(D267:F267,Stats!$B$12:$D$14),D267:F267))</f>
        <v>0.22623162821092</v>
      </c>
      <c r="I267" s="0" t="n">
        <f aca="false">(G267-Stats!$B$2)/H267</f>
        <v>1.46108040531712</v>
      </c>
    </row>
    <row r="268" customFormat="false" ht="15" hidden="false" customHeight="false" outlineLevel="0" collapsed="false">
      <c r="A268" s="0" t="n">
        <v>0.696650823876892</v>
      </c>
      <c r="B268" s="0" t="n">
        <v>0.922499381177296</v>
      </c>
      <c r="C268" s="0" t="n">
        <v>0.707238634313399</v>
      </c>
      <c r="D268" s="0" t="n">
        <f aca="false">A268/SUM($A268:$C268)</f>
        <v>0.299455882906605</v>
      </c>
      <c r="E268" s="0" t="n">
        <f aca="false">B268/SUM($A268:$C268)</f>
        <v>0.396537055872427</v>
      </c>
      <c r="F268" s="0" t="n">
        <f aca="false">C268/SUM($A268:$C268)</f>
        <v>0.304007061220968</v>
      </c>
      <c r="G268" s="0" t="n">
        <f aca="false">SUMPRODUCT(D268:F268,Stats!$B$6:$D$6)</f>
        <v>0.370917055637453</v>
      </c>
      <c r="H268" s="0" t="n">
        <f aca="false">SQRT(SUMPRODUCT(MMULT(D268:F268,Stats!$B$12:$D$14),D268:F268))</f>
        <v>0.227817077980657</v>
      </c>
      <c r="I268" s="0" t="n">
        <f aca="false">(G268-Stats!$B$2)/H268</f>
        <v>1.44377699228229</v>
      </c>
    </row>
    <row r="269" customFormat="false" ht="15" hidden="false" customHeight="false" outlineLevel="0" collapsed="false">
      <c r="A269" s="0" t="n">
        <v>0.152539042914261</v>
      </c>
      <c r="B269" s="0" t="n">
        <v>0.576288360166813</v>
      </c>
      <c r="C269" s="0" t="n">
        <v>0.606715046382856</v>
      </c>
      <c r="D269" s="0" t="n">
        <f aca="false">A269/SUM($A269:$C269)</f>
        <v>0.114215046459578</v>
      </c>
      <c r="E269" s="0" t="n">
        <f aca="false">B269/SUM($A269:$C269)</f>
        <v>0.431501342692722</v>
      </c>
      <c r="F269" s="0" t="n">
        <f aca="false">C269/SUM($A269:$C269)</f>
        <v>0.4542836108477</v>
      </c>
      <c r="G269" s="0" t="n">
        <f aca="false">SUMPRODUCT(D269:F269,Stats!$B$6:$D$6)</f>
        <v>0.368785037391145</v>
      </c>
      <c r="H269" s="0" t="n">
        <f aca="false">SQRT(SUMPRODUCT(MMULT(D269:F269,Stats!$B$12:$D$14),D269:F269))</f>
        <v>0.236155440255741</v>
      </c>
      <c r="I269" s="0" t="n">
        <f aca="false">(G269-Stats!$B$2)/H269</f>
        <v>1.3837709478014</v>
      </c>
    </row>
    <row r="270" customFormat="false" ht="15" hidden="false" customHeight="false" outlineLevel="0" collapsed="false">
      <c r="A270" s="0" t="n">
        <v>0.424130671302386</v>
      </c>
      <c r="B270" s="0" t="n">
        <v>0.736444235624723</v>
      </c>
      <c r="C270" s="0" t="n">
        <v>0.934367014769015</v>
      </c>
      <c r="D270" s="0" t="n">
        <f aca="false">A270/SUM($A270:$C270)</f>
        <v>0.202454620297539</v>
      </c>
      <c r="E270" s="0" t="n">
        <f aca="false">B270/SUM($A270:$C270)</f>
        <v>0.351534440166473</v>
      </c>
      <c r="F270" s="0" t="n">
        <f aca="false">C270/SUM($A270:$C270)</f>
        <v>0.446010939535987</v>
      </c>
      <c r="G270" s="0" t="n">
        <f aca="false">SUMPRODUCT(D270:F270,Stats!$B$6:$D$6)</f>
        <v>0.364411961048505</v>
      </c>
      <c r="H270" s="0" t="n">
        <f aca="false">SQRT(SUMPRODUCT(MMULT(D270:F270,Stats!$B$12:$D$14),D270:F270))</f>
        <v>0.23157212406294</v>
      </c>
      <c r="I270" s="0" t="n">
        <f aca="false">(G270-Stats!$B$2)/H270</f>
        <v>1.39227449052061</v>
      </c>
    </row>
    <row r="271" customFormat="false" ht="15" hidden="false" customHeight="false" outlineLevel="0" collapsed="false">
      <c r="A271" s="0" t="n">
        <v>0.925568512906776</v>
      </c>
      <c r="B271" s="0" t="n">
        <v>0.450839371404132</v>
      </c>
      <c r="C271" s="0" t="n">
        <v>0.113238045840755</v>
      </c>
      <c r="D271" s="0" t="n">
        <f aca="false">A271/SUM($A271:$C271)</f>
        <v>0.621334569626584</v>
      </c>
      <c r="E271" s="0" t="n">
        <f aca="false">B271/SUM($A271:$C271)</f>
        <v>0.302648677970228</v>
      </c>
      <c r="F271" s="0" t="n">
        <f aca="false">C271/SUM($A271:$C271)</f>
        <v>0.0760167524031877</v>
      </c>
      <c r="G271" s="0" t="n">
        <f aca="false">SUMPRODUCT(D271:F271,Stats!$B$6:$D$6)</f>
        <v>0.371801584966277</v>
      </c>
      <c r="H271" s="0" t="n">
        <f aca="false">SQRT(SUMPRODUCT(MMULT(D271:F271,Stats!$B$12:$D$14),D271:F271))</f>
        <v>0.22514535560391</v>
      </c>
      <c r="I271" s="0" t="n">
        <f aca="false">(G271-Stats!$B$2)/H271</f>
        <v>1.46483849991774</v>
      </c>
    </row>
    <row r="272" customFormat="false" ht="15" hidden="false" customHeight="false" outlineLevel="0" collapsed="false">
      <c r="A272" s="0" t="n">
        <v>0.984841198962335</v>
      </c>
      <c r="B272" s="0" t="n">
        <v>0.838898086445934</v>
      </c>
      <c r="C272" s="0" t="n">
        <v>0.124662681203267</v>
      </c>
      <c r="D272" s="0" t="n">
        <f aca="false">A272/SUM($A272:$C272)</f>
        <v>0.505460996159366</v>
      </c>
      <c r="E272" s="0" t="n">
        <f aca="false">B272/SUM($A272:$C272)</f>
        <v>0.430556990200981</v>
      </c>
      <c r="F272" s="0" t="n">
        <f aca="false">C272/SUM($A272:$C272)</f>
        <v>0.0639820136396534</v>
      </c>
      <c r="G272" s="0" t="n">
        <f aca="false">SUMPRODUCT(D272:F272,Stats!$B$6:$D$6)</f>
        <v>0.379493116996146</v>
      </c>
      <c r="H272" s="0" t="n">
        <f aca="false">SQRT(SUMPRODUCT(MMULT(D272:F272,Stats!$B$12:$D$14),D272:F272))</f>
        <v>0.227087495655608</v>
      </c>
      <c r="I272" s="0" t="n">
        <f aca="false">(G272-Stats!$B$2)/H272</f>
        <v>1.48618098069114</v>
      </c>
    </row>
    <row r="273" customFormat="false" ht="15" hidden="false" customHeight="false" outlineLevel="0" collapsed="false">
      <c r="A273" s="0" t="n">
        <v>0.920841882617372</v>
      </c>
      <c r="B273" s="0" t="n">
        <v>0.869896362062128</v>
      </c>
      <c r="C273" s="0" t="n">
        <v>0.518838057126072</v>
      </c>
      <c r="D273" s="0" t="n">
        <f aca="false">A273/SUM($A273:$C273)</f>
        <v>0.398705979922586</v>
      </c>
      <c r="E273" s="0" t="n">
        <f aca="false">B273/SUM($A273:$C273)</f>
        <v>0.376647596090271</v>
      </c>
      <c r="F273" s="0" t="n">
        <f aca="false">C273/SUM($A273:$C273)</f>
        <v>0.224646423987143</v>
      </c>
      <c r="G273" s="0" t="n">
        <f aca="false">SUMPRODUCT(D273:F273,Stats!$B$6:$D$6)</f>
        <v>0.371960980912029</v>
      </c>
      <c r="H273" s="0" t="n">
        <f aca="false">SQRT(SUMPRODUCT(MMULT(D273:F273,Stats!$B$12:$D$14),D273:F273))</f>
        <v>0.225514029889153</v>
      </c>
      <c r="I273" s="0" t="n">
        <f aca="false">(G273-Stats!$B$2)/H273</f>
        <v>1.46315056794566</v>
      </c>
    </row>
    <row r="274" customFormat="false" ht="15" hidden="false" customHeight="false" outlineLevel="0" collapsed="false">
      <c r="A274" s="0" t="n">
        <v>0.591275435744929</v>
      </c>
      <c r="B274" s="0" t="n">
        <v>0.39900270387013</v>
      </c>
      <c r="C274" s="0" t="n">
        <v>0.0547616388220313</v>
      </c>
      <c r="D274" s="0" t="n">
        <f aca="false">A274/SUM($A274:$C274)</f>
        <v>0.565792276949698</v>
      </c>
      <c r="E274" s="0" t="n">
        <f aca="false">B274/SUM($A274:$C274)</f>
        <v>0.381806235612255</v>
      </c>
      <c r="F274" s="0" t="n">
        <f aca="false">C274/SUM($A274:$C274)</f>
        <v>0.0524014874380477</v>
      </c>
      <c r="G274" s="0" t="n">
        <f aca="false">SUMPRODUCT(D274:F274,Stats!$B$6:$D$6)</f>
        <v>0.377007390229883</v>
      </c>
      <c r="H274" s="0" t="n">
        <f aca="false">SQRT(SUMPRODUCT(MMULT(D274:F274,Stats!$B$12:$D$14),D274:F274))</f>
        <v>0.226466138659091</v>
      </c>
      <c r="I274" s="0" t="n">
        <f aca="false">(G274-Stats!$B$2)/H274</f>
        <v>1.47928247557655</v>
      </c>
    </row>
    <row r="275" customFormat="false" ht="15" hidden="false" customHeight="false" outlineLevel="0" collapsed="false">
      <c r="A275" s="0" t="n">
        <v>0.335197241645901</v>
      </c>
      <c r="B275" s="0" t="n">
        <v>0.802853448598011</v>
      </c>
      <c r="C275" s="0" t="n">
        <v>0.00463202300460286</v>
      </c>
      <c r="D275" s="0" t="n">
        <f aca="false">A275/SUM($A275:$C275)</f>
        <v>0.293342358083788</v>
      </c>
      <c r="E275" s="0" t="n">
        <f aca="false">B275/SUM($A275:$C275)</f>
        <v>0.70260400309688</v>
      </c>
      <c r="F275" s="0" t="n">
        <f aca="false">C275/SUM($A275:$C275)</f>
        <v>0.00405363881933118</v>
      </c>
      <c r="G275" s="0" t="n">
        <f aca="false">SUMPRODUCT(D275:F275,Stats!$B$6:$D$6)</f>
        <v>0.396798851900623</v>
      </c>
      <c r="H275" s="0" t="n">
        <f aca="false">SQRT(SUMPRODUCT(MMULT(D275:F275,Stats!$B$12:$D$14),D275:F275))</f>
        <v>0.236604859240377</v>
      </c>
      <c r="I275" s="0" t="n">
        <f aca="false">(G275-Stats!$B$2)/H275</f>
        <v>1.49954169597239</v>
      </c>
    </row>
    <row r="276" customFormat="false" ht="15" hidden="false" customHeight="false" outlineLevel="0" collapsed="false">
      <c r="A276" s="0" t="n">
        <v>0.333499171691144</v>
      </c>
      <c r="B276" s="0" t="n">
        <v>0.398168693590943</v>
      </c>
      <c r="C276" s="0" t="n">
        <v>0.537395602937923</v>
      </c>
      <c r="D276" s="0" t="n">
        <f aca="false">A276/SUM($A276:$C276)</f>
        <v>0.26279156247316</v>
      </c>
      <c r="E276" s="0" t="n">
        <f aca="false">B276/SUM($A276:$C276)</f>
        <v>0.313750023983761</v>
      </c>
      <c r="F276" s="0" t="n">
        <f aca="false">C276/SUM($A276:$C276)</f>
        <v>0.423458413543079</v>
      </c>
      <c r="G276" s="0" t="n">
        <f aca="false">SUMPRODUCT(D276:F276,Stats!$B$6:$D$6)</f>
        <v>0.362859771874861</v>
      </c>
      <c r="H276" s="0" t="n">
        <f aca="false">SQRT(SUMPRODUCT(MMULT(D276:F276,Stats!$B$12:$D$14),D276:F276))</f>
        <v>0.228841981847477</v>
      </c>
      <c r="I276" s="0" t="n">
        <f aca="false">(G276-Stats!$B$2)/H276</f>
        <v>1.40210187520887</v>
      </c>
    </row>
    <row r="277" customFormat="false" ht="15" hidden="false" customHeight="false" outlineLevel="0" collapsed="false">
      <c r="A277" s="0" t="n">
        <v>0.919855616412761</v>
      </c>
      <c r="B277" s="0" t="n">
        <v>0.346345994365961</v>
      </c>
      <c r="C277" s="0" t="n">
        <v>0.346953201896228</v>
      </c>
      <c r="D277" s="0" t="n">
        <f aca="false">A277/SUM($A277:$C277)</f>
        <v>0.570221536820416</v>
      </c>
      <c r="E277" s="0" t="n">
        <f aca="false">B277/SUM($A277:$C277)</f>
        <v>0.214701026612348</v>
      </c>
      <c r="F277" s="0" t="n">
        <f aca="false">C277/SUM($A277:$C277)</f>
        <v>0.215077436567236</v>
      </c>
      <c r="G277" s="0" t="n">
        <f aca="false">SUMPRODUCT(D277:F277,Stats!$B$6:$D$6)</f>
        <v>0.36290664605529</v>
      </c>
      <c r="H277" s="0" t="n">
        <f aca="false">SQRT(SUMPRODUCT(MMULT(D277:F277,Stats!$B$12:$D$14),D277:F277))</f>
        <v>0.222338718110456</v>
      </c>
      <c r="I277" s="0" t="n">
        <f aca="false">(G277-Stats!$B$2)/H277</f>
        <v>1.44332327172934</v>
      </c>
    </row>
    <row r="278" customFormat="false" ht="15" hidden="false" customHeight="false" outlineLevel="0" collapsed="false">
      <c r="A278" s="0" t="n">
        <v>0.737501248109748</v>
      </c>
      <c r="B278" s="0" t="n">
        <v>0.452217940889807</v>
      </c>
      <c r="C278" s="0" t="n">
        <v>0.224604822939982</v>
      </c>
      <c r="D278" s="0" t="n">
        <f aca="false">A278/SUM($A278:$C278)</f>
        <v>0.521451408506014</v>
      </c>
      <c r="E278" s="0" t="n">
        <f aca="false">B278/SUM($A278:$C278)</f>
        <v>0.319741400889925</v>
      </c>
      <c r="F278" s="0" t="n">
        <f aca="false">C278/SUM($A278:$C278)</f>
        <v>0.158807190604061</v>
      </c>
      <c r="G278" s="0" t="n">
        <f aca="false">SUMPRODUCT(D278:F278,Stats!$B$6:$D$6)</f>
        <v>0.370502163629886</v>
      </c>
      <c r="H278" s="0" t="n">
        <f aca="false">SQRT(SUMPRODUCT(MMULT(D278:F278,Stats!$B$12:$D$14),D278:F278))</f>
        <v>0.224036161813217</v>
      </c>
      <c r="I278" s="0" t="n">
        <f aca="false">(G278-Stats!$B$2)/H278</f>
        <v>1.46629080310599</v>
      </c>
    </row>
    <row r="279" customFormat="false" ht="15" hidden="false" customHeight="false" outlineLevel="0" collapsed="false">
      <c r="A279" s="0" t="n">
        <v>0.452439516132693</v>
      </c>
      <c r="B279" s="0" t="n">
        <v>0.1408570203798</v>
      </c>
      <c r="C279" s="0" t="n">
        <v>0.176386986506223</v>
      </c>
      <c r="D279" s="0" t="n">
        <f aca="false">A279/SUM($A279:$C279)</f>
        <v>0.587825388749671</v>
      </c>
      <c r="E279" s="0" t="n">
        <f aca="false">B279/SUM($A279:$C279)</f>
        <v>0.183006412593264</v>
      </c>
      <c r="F279" s="0" t="n">
        <f aca="false">C279/SUM($A279:$C279)</f>
        <v>0.229168198657066</v>
      </c>
      <c r="G279" s="0" t="n">
        <f aca="false">SUMPRODUCT(D279:F279,Stats!$B$6:$D$6)</f>
        <v>0.360694431641133</v>
      </c>
      <c r="H279" s="0" t="n">
        <f aca="false">SQRT(SUMPRODUCT(MMULT(D279:F279,Stats!$B$12:$D$14),D279:F279))</f>
        <v>0.222005340956545</v>
      </c>
      <c r="I279" s="0" t="n">
        <f aca="false">(G279-Stats!$B$2)/H279</f>
        <v>1.43552596648345</v>
      </c>
    </row>
    <row r="280" customFormat="false" ht="15" hidden="false" customHeight="false" outlineLevel="0" collapsed="false">
      <c r="A280" s="0" t="n">
        <v>0.49836777273948</v>
      </c>
      <c r="B280" s="0" t="n">
        <v>0.418925449504548</v>
      </c>
      <c r="C280" s="0" t="n">
        <v>0.9148459010681</v>
      </c>
      <c r="D280" s="0" t="n">
        <f aca="false">A280/SUM($A280:$C280)</f>
        <v>0.272014153509551</v>
      </c>
      <c r="E280" s="0" t="n">
        <f aca="false">B280/SUM($A280:$C280)</f>
        <v>0.228653732772879</v>
      </c>
      <c r="F280" s="0" t="n">
        <f aca="false">C280/SUM($A280:$C280)</f>
        <v>0.49933211371757</v>
      </c>
      <c r="G280" s="0" t="n">
        <f aca="false">SUMPRODUCT(D280:F280,Stats!$B$6:$D$6)</f>
        <v>0.355871253316809</v>
      </c>
      <c r="H280" s="0" t="n">
        <f aca="false">SQRT(SUMPRODUCT(MMULT(D280:F280,Stats!$B$12:$D$14),D280:F280))</f>
        <v>0.229072129750943</v>
      </c>
      <c r="I280" s="0" t="n">
        <f aca="false">(G280-Stats!$B$2)/H280</f>
        <v>1.37018524976419</v>
      </c>
    </row>
    <row r="281" customFormat="false" ht="15" hidden="false" customHeight="false" outlineLevel="0" collapsed="false">
      <c r="A281" s="0" t="n">
        <v>0.362393899116633</v>
      </c>
      <c r="B281" s="0" t="n">
        <v>0.580588350278044</v>
      </c>
      <c r="C281" s="0" t="n">
        <v>0.63226428791953</v>
      </c>
      <c r="D281" s="0" t="n">
        <f aca="false">A281/SUM($A281:$C281)</f>
        <v>0.230055353579456</v>
      </c>
      <c r="E281" s="0" t="n">
        <f aca="false">B281/SUM($A281:$C281)</f>
        <v>0.368569831150333</v>
      </c>
      <c r="F281" s="0" t="n">
        <f aca="false">C281/SUM($A281:$C281)</f>
        <v>0.401374815270212</v>
      </c>
      <c r="G281" s="0" t="n">
        <f aca="false">SUMPRODUCT(D281:F281,Stats!$B$6:$D$6)</f>
        <v>0.366622979355914</v>
      </c>
      <c r="H281" s="0" t="n">
        <f aca="false">SQRT(SUMPRODUCT(MMULT(D281:F281,Stats!$B$12:$D$14),D281:F281))</f>
        <v>0.23021668492503</v>
      </c>
      <c r="I281" s="0" t="n">
        <f aca="false">(G281-Stats!$B$2)/H281</f>
        <v>1.41007581384306</v>
      </c>
    </row>
    <row r="282" customFormat="false" ht="15" hidden="false" customHeight="false" outlineLevel="0" collapsed="false">
      <c r="A282" s="0" t="n">
        <v>0.0130944565883336</v>
      </c>
      <c r="B282" s="0" t="n">
        <v>0.663537372016711</v>
      </c>
      <c r="C282" s="0" t="n">
        <v>0.178035966869751</v>
      </c>
      <c r="D282" s="0" t="n">
        <f aca="false">A282/SUM($A282:$C282)</f>
        <v>0.0153211068179529</v>
      </c>
      <c r="E282" s="0" t="n">
        <f aca="false">B282/SUM($A282:$C282)</f>
        <v>0.776368754655245</v>
      </c>
      <c r="F282" s="0" t="n">
        <f aca="false">C282/SUM($A282:$C282)</f>
        <v>0.208310138526802</v>
      </c>
      <c r="G282" s="0" t="n">
        <f aca="false">SUMPRODUCT(D282:F282,Stats!$B$6:$D$6)</f>
        <v>0.395410885815188</v>
      </c>
      <c r="H282" s="0" t="n">
        <f aca="false">SQRT(SUMPRODUCT(MMULT(D282:F282,Stats!$B$12:$D$14),D282:F282))</f>
        <v>0.245496625012603</v>
      </c>
      <c r="I282" s="0" t="n">
        <f aca="false">(G282-Stats!$B$2)/H282</f>
        <v>1.43957533345742</v>
      </c>
    </row>
    <row r="283" customFormat="false" ht="15" hidden="false" customHeight="false" outlineLevel="0" collapsed="false">
      <c r="A283" s="0" t="n">
        <v>0.961070317469455</v>
      </c>
      <c r="B283" s="0" t="n">
        <v>0.148662727753113</v>
      </c>
      <c r="C283" s="0" t="n">
        <v>0.414624123727024</v>
      </c>
      <c r="D283" s="0" t="n">
        <f aca="false">A283/SUM($A283:$C283)</f>
        <v>0.630475807800158</v>
      </c>
      <c r="E283" s="0" t="n">
        <f aca="false">B283/SUM($A283:$C283)</f>
        <v>0.0975248654195355</v>
      </c>
      <c r="F283" s="0" t="n">
        <f aca="false">C283/SUM($A283:$C283)</f>
        <v>0.271999326780307</v>
      </c>
      <c r="G283" s="0" t="n">
        <f aca="false">SUMPRODUCT(D283:F283,Stats!$B$6:$D$6)</f>
        <v>0.354594882169078</v>
      </c>
      <c r="H283" s="0" t="n">
        <f aca="false">SQRT(SUMPRODUCT(MMULT(D283:F283,Stats!$B$12:$D$14),D283:F283))</f>
        <v>0.221451714403441</v>
      </c>
      <c r="I283" s="0" t="n">
        <f aca="false">(G283-Stats!$B$2)/H283</f>
        <v>1.41157128998149</v>
      </c>
    </row>
    <row r="284" customFormat="false" ht="15" hidden="false" customHeight="false" outlineLevel="0" collapsed="false">
      <c r="A284" s="0" t="n">
        <v>0.0853496680786439</v>
      </c>
      <c r="B284" s="0" t="n">
        <v>0.996874251845947</v>
      </c>
      <c r="C284" s="0" t="n">
        <v>0.502195010331243</v>
      </c>
      <c r="D284" s="0" t="n">
        <f aca="false">A284/SUM($A284:$C284)</f>
        <v>0.0538681193772802</v>
      </c>
      <c r="E284" s="0" t="n">
        <f aca="false">B284/SUM($A284:$C284)</f>
        <v>0.629173404085108</v>
      </c>
      <c r="F284" s="0" t="n">
        <f aca="false">C284/SUM($A284:$C284)</f>
        <v>0.316958476537612</v>
      </c>
      <c r="G284" s="0" t="n">
        <f aca="false">SUMPRODUCT(D284:F284,Stats!$B$6:$D$6)</f>
        <v>0.383945519722297</v>
      </c>
      <c r="H284" s="0" t="n">
        <f aca="false">SQRT(SUMPRODUCT(MMULT(D284:F284,Stats!$B$12:$D$14),D284:F284))</f>
        <v>0.2406075674777</v>
      </c>
      <c r="I284" s="0" t="n">
        <f aca="false">(G284-Stats!$B$2)/H284</f>
        <v>1.42117524941932</v>
      </c>
    </row>
    <row r="285" customFormat="false" ht="15" hidden="false" customHeight="false" outlineLevel="0" collapsed="false">
      <c r="A285" s="0" t="n">
        <v>0.595385017320044</v>
      </c>
      <c r="B285" s="0" t="n">
        <v>0.0670764773884275</v>
      </c>
      <c r="C285" s="0" t="n">
        <v>0.749960470399178</v>
      </c>
      <c r="D285" s="0" t="n">
        <f aca="false">A285/SUM($A285:$C285)</f>
        <v>0.421534804773916</v>
      </c>
      <c r="E285" s="0" t="n">
        <f aca="false">B285/SUM($A285:$C285)</f>
        <v>0.047490395254024</v>
      </c>
      <c r="F285" s="0" t="n">
        <f aca="false">C285/SUM($A285:$C285)</f>
        <v>0.53097479997206</v>
      </c>
      <c r="G285" s="0" t="n">
        <f aca="false">SUMPRODUCT(D285:F285,Stats!$B$6:$D$6)</f>
        <v>0.344574814448044</v>
      </c>
      <c r="H285" s="0" t="n">
        <f aca="false">SQRT(SUMPRODUCT(MMULT(D285:F285,Stats!$B$12:$D$14),D285:F285))</f>
        <v>0.225323628993409</v>
      </c>
      <c r="I285" s="0" t="n">
        <f aca="false">(G285-Stats!$B$2)/H285</f>
        <v>1.34284546986812</v>
      </c>
    </row>
    <row r="286" customFormat="false" ht="15" hidden="false" customHeight="false" outlineLevel="0" collapsed="false">
      <c r="A286" s="0" t="n">
        <v>0.209905593095586</v>
      </c>
      <c r="B286" s="0" t="n">
        <v>0.898054289440714</v>
      </c>
      <c r="C286" s="0" t="n">
        <v>0.205139640482007</v>
      </c>
      <c r="D286" s="0" t="n">
        <f aca="false">A286/SUM($A286:$C286)</f>
        <v>0.159855052428238</v>
      </c>
      <c r="E286" s="0" t="n">
        <f aca="false">B286/SUM($A286:$C286)</f>
        <v>0.683919439233696</v>
      </c>
      <c r="F286" s="0" t="n">
        <f aca="false">C286/SUM($A286:$C286)</f>
        <v>0.156225508338066</v>
      </c>
      <c r="G286" s="0" t="n">
        <f aca="false">SUMPRODUCT(D286:F286,Stats!$B$6:$D$6)</f>
        <v>0.391527685505292</v>
      </c>
      <c r="H286" s="0" t="n">
        <f aca="false">SQRT(SUMPRODUCT(MMULT(D286:F286,Stats!$B$12:$D$14),D286:F286))</f>
        <v>0.237706907891219</v>
      </c>
      <c r="I286" s="0" t="n">
        <f aca="false">(G286-Stats!$B$2)/H286</f>
        <v>1.47041450585544</v>
      </c>
    </row>
    <row r="287" customFormat="false" ht="15" hidden="false" customHeight="false" outlineLevel="0" collapsed="false">
      <c r="A287" s="0" t="n">
        <v>0.190687720663667</v>
      </c>
      <c r="B287" s="0" t="n">
        <v>0.0365496678480949</v>
      </c>
      <c r="C287" s="0" t="n">
        <v>0.472066945109999</v>
      </c>
      <c r="D287" s="0" t="n">
        <f aca="false">A287/SUM($A287:$C287)</f>
        <v>0.272682023398994</v>
      </c>
      <c r="E287" s="0" t="n">
        <f aca="false">B287/SUM($A287:$C287)</f>
        <v>0.0522657533935201</v>
      </c>
      <c r="F287" s="0" t="n">
        <f aca="false">C287/SUM($A287:$C287)</f>
        <v>0.675052223207486</v>
      </c>
      <c r="G287" s="0" t="n">
        <f aca="false">SUMPRODUCT(D287:F287,Stats!$B$6:$D$6)</f>
        <v>0.340876702844139</v>
      </c>
      <c r="H287" s="0" t="n">
        <f aca="false">SQRT(SUMPRODUCT(MMULT(D287:F287,Stats!$B$12:$D$14),D287:F287))</f>
        <v>0.233090277298323</v>
      </c>
      <c r="I287" s="0" t="n">
        <f aca="false">(G287-Stats!$B$2)/H287</f>
        <v>1.28223581999355</v>
      </c>
    </row>
    <row r="288" customFormat="false" ht="15" hidden="false" customHeight="false" outlineLevel="0" collapsed="false">
      <c r="A288" s="0" t="n">
        <v>0.564841133262616</v>
      </c>
      <c r="B288" s="0" t="n">
        <v>0.0657086394283524</v>
      </c>
      <c r="C288" s="0" t="n">
        <v>0.775527616695011</v>
      </c>
      <c r="D288" s="0" t="n">
        <f aca="false">A288/SUM($A288:$C288)</f>
        <v>0.401714114405379</v>
      </c>
      <c r="E288" s="0" t="n">
        <f aca="false">B288/SUM($A288:$C288)</f>
        <v>0.0467318797132829</v>
      </c>
      <c r="F288" s="0" t="n">
        <f aca="false">C288/SUM($A288:$C288)</f>
        <v>0.551554005881338</v>
      </c>
      <c r="G288" s="0" t="n">
        <f aca="false">SUMPRODUCT(D288:F288,Stats!$B$6:$D$6)</f>
        <v>0.343963706757787</v>
      </c>
      <c r="H288" s="0" t="n">
        <f aca="false">SQRT(SUMPRODUCT(MMULT(D288:F288,Stats!$B$12:$D$14),D288:F288))</f>
        <v>0.226162643015396</v>
      </c>
      <c r="I288" s="0" t="n">
        <f aca="false">(G288-Stats!$B$2)/H288</f>
        <v>1.33516173463374</v>
      </c>
    </row>
    <row r="289" customFormat="false" ht="15" hidden="false" customHeight="false" outlineLevel="0" collapsed="false">
      <c r="A289" s="0" t="n">
        <v>0.453288834748028</v>
      </c>
      <c r="B289" s="0" t="n">
        <v>0.52439026932758</v>
      </c>
      <c r="C289" s="0" t="n">
        <v>0.440762746938228</v>
      </c>
      <c r="D289" s="0" t="n">
        <f aca="false">A289/SUM($A289:$C289)</f>
        <v>0.319568147558561</v>
      </c>
      <c r="E289" s="0" t="n">
        <f aca="false">B289/SUM($A289:$C289)</f>
        <v>0.369694583498626</v>
      </c>
      <c r="F289" s="0" t="n">
        <f aca="false">C289/SUM($A289:$C289)</f>
        <v>0.310737268942813</v>
      </c>
      <c r="G289" s="0" t="n">
        <f aca="false">SUMPRODUCT(D289:F289,Stats!$B$6:$D$6)</f>
        <v>0.369186991629241</v>
      </c>
      <c r="H289" s="0" t="n">
        <f aca="false">SQRT(SUMPRODUCT(MMULT(D289:F289,Stats!$B$12:$D$14),D289:F289))</f>
        <v>0.226981149276312</v>
      </c>
      <c r="I289" s="0" t="n">
        <f aca="false">(G289-Stats!$B$2)/H289</f>
        <v>1.44147208996173</v>
      </c>
    </row>
    <row r="290" customFormat="false" ht="15" hidden="false" customHeight="false" outlineLevel="0" collapsed="false">
      <c r="A290" s="0" t="n">
        <v>0.400763060875326</v>
      </c>
      <c r="B290" s="0" t="n">
        <v>0.559640331308218</v>
      </c>
      <c r="C290" s="0" t="n">
        <v>0.155240245930713</v>
      </c>
      <c r="D290" s="0" t="n">
        <f aca="false">A290/SUM($A290:$C290)</f>
        <v>0.359221392193591</v>
      </c>
      <c r="E290" s="0" t="n">
        <f aca="false">B290/SUM($A290:$C290)</f>
        <v>0.501630011760891</v>
      </c>
      <c r="F290" s="0" t="n">
        <f aca="false">C290/SUM($A290:$C290)</f>
        <v>0.139148596045518</v>
      </c>
      <c r="G290" s="0" t="n">
        <f aca="false">SUMPRODUCT(D290:F290,Stats!$B$6:$D$6)</f>
        <v>0.381509877069438</v>
      </c>
      <c r="H290" s="0" t="n">
        <f aca="false">SQRT(SUMPRODUCT(MMULT(D290:F290,Stats!$B$12:$D$14),D290:F290))</f>
        <v>0.228831292895464</v>
      </c>
      <c r="I290" s="0" t="n">
        <f aca="false">(G290-Stats!$B$2)/H290</f>
        <v>1.48366891946258</v>
      </c>
    </row>
    <row r="291" customFormat="false" ht="15" hidden="false" customHeight="false" outlineLevel="0" collapsed="false">
      <c r="A291" s="0" t="n">
        <v>0.181928130495271</v>
      </c>
      <c r="B291" s="0" t="n">
        <v>0.861785621013517</v>
      </c>
      <c r="C291" s="0" t="n">
        <v>0.946115462133633</v>
      </c>
      <c r="D291" s="0" t="n">
        <f aca="false">A291/SUM($A291:$C291)</f>
        <v>0.0914290177508491</v>
      </c>
      <c r="E291" s="0" t="n">
        <f aca="false">B291/SUM($A291:$C291)</f>
        <v>0.433095270239802</v>
      </c>
      <c r="F291" s="0" t="n">
        <f aca="false">C291/SUM($A291:$C291)</f>
        <v>0.475475712009349</v>
      </c>
      <c r="G291" s="0" t="n">
        <f aca="false">SUMPRODUCT(D291:F291,Stats!$B$6:$D$6)</f>
        <v>0.368292385880602</v>
      </c>
      <c r="H291" s="0" t="n">
        <f aca="false">SQRT(SUMPRODUCT(MMULT(D291:F291,Stats!$B$12:$D$14),D291:F291))</f>
        <v>0.237541066825451</v>
      </c>
      <c r="I291" s="0" t="n">
        <f aca="false">(G291-Stats!$B$2)/H291</f>
        <v>1.37362515981444</v>
      </c>
    </row>
    <row r="292" customFormat="false" ht="15" hidden="false" customHeight="false" outlineLevel="0" collapsed="false">
      <c r="A292" s="0" t="n">
        <v>0.373309316279753</v>
      </c>
      <c r="B292" s="0" t="n">
        <v>0.270744673143554</v>
      </c>
      <c r="C292" s="0" t="n">
        <v>0.643999543239016</v>
      </c>
      <c r="D292" s="0" t="n">
        <f aca="false">A292/SUM($A292:$C292)</f>
        <v>0.289824379820726</v>
      </c>
      <c r="E292" s="0" t="n">
        <f aca="false">B292/SUM($A292:$C292)</f>
        <v>0.210196755241952</v>
      </c>
      <c r="F292" s="0" t="n">
        <f aca="false">C292/SUM($A292:$C292)</f>
        <v>0.499978864937322</v>
      </c>
      <c r="G292" s="0" t="n">
        <f aca="false">SUMPRODUCT(D292:F292,Stats!$B$6:$D$6)</f>
        <v>0.354791428801947</v>
      </c>
      <c r="H292" s="0" t="n">
        <f aca="false">SQRT(SUMPRODUCT(MMULT(D292:F292,Stats!$B$12:$D$14),D292:F292))</f>
        <v>0.228426749297894</v>
      </c>
      <c r="I292" s="0" t="n">
        <f aca="false">(G292-Stats!$B$2)/H292</f>
        <v>1.36932924783705</v>
      </c>
    </row>
    <row r="293" customFormat="false" ht="15" hidden="false" customHeight="false" outlineLevel="0" collapsed="false">
      <c r="A293" s="0" t="n">
        <v>0.408734171098096</v>
      </c>
      <c r="B293" s="0" t="n">
        <v>0.0253863556603449</v>
      </c>
      <c r="C293" s="0" t="n">
        <v>0.15615259736619</v>
      </c>
      <c r="D293" s="0" t="n">
        <f aca="false">A293/SUM($A293:$C293)</f>
        <v>0.692449231369367</v>
      </c>
      <c r="E293" s="0" t="n">
        <f aca="false">B293/SUM($A293:$C293)</f>
        <v>0.0430078121852364</v>
      </c>
      <c r="F293" s="0" t="n">
        <f aca="false">C293/SUM($A293:$C293)</f>
        <v>0.264542956445396</v>
      </c>
      <c r="G293" s="0" t="n">
        <f aca="false">SUMPRODUCT(D293:F293,Stats!$B$6:$D$6)</f>
        <v>0.351663648030132</v>
      </c>
      <c r="H293" s="0" t="n">
        <f aca="false">SQRT(SUMPRODUCT(MMULT(D293:F293,Stats!$B$12:$D$14),D293:F293))</f>
        <v>0.221726102818949</v>
      </c>
      <c r="I293" s="0" t="n">
        <f aca="false">(G293-Stats!$B$2)/H293</f>
        <v>1.3966043875447</v>
      </c>
    </row>
    <row r="294" customFormat="false" ht="15" hidden="false" customHeight="false" outlineLevel="0" collapsed="false">
      <c r="A294" s="0" t="n">
        <v>0.715972228847398</v>
      </c>
      <c r="B294" s="0" t="n">
        <v>0.658923941910151</v>
      </c>
      <c r="C294" s="0" t="n">
        <v>0.0270959925034835</v>
      </c>
      <c r="D294" s="0" t="n">
        <f aca="false">A294/SUM($A294:$C294)</f>
        <v>0.510682047738446</v>
      </c>
      <c r="E294" s="0" t="n">
        <f aca="false">B294/SUM($A294:$C294)</f>
        <v>0.469991173401066</v>
      </c>
      <c r="F294" s="0" t="n">
        <f aca="false">C294/SUM($A294:$C294)</f>
        <v>0.0193267788604882</v>
      </c>
      <c r="G294" s="0" t="n">
        <f aca="false">SUMPRODUCT(D294:F294,Stats!$B$6:$D$6)</f>
        <v>0.382993459782544</v>
      </c>
      <c r="H294" s="0" t="n">
        <f aca="false">SQRT(SUMPRODUCT(MMULT(D294:F294,Stats!$B$12:$D$14),D294:F294))</f>
        <v>0.228650565625708</v>
      </c>
      <c r="I294" s="0" t="n">
        <f aca="false">(G294-Stats!$B$2)/H294</f>
        <v>1.49133005137952</v>
      </c>
    </row>
    <row r="295" customFormat="false" ht="15" hidden="false" customHeight="false" outlineLevel="0" collapsed="false">
      <c r="A295" s="0" t="n">
        <v>0.221972161932949</v>
      </c>
      <c r="B295" s="0" t="n">
        <v>0.231074796588071</v>
      </c>
      <c r="C295" s="0" t="n">
        <v>0.671892743598728</v>
      </c>
      <c r="D295" s="0" t="n">
        <f aca="false">A295/SUM($A295:$C295)</f>
        <v>0.197319164320258</v>
      </c>
      <c r="E295" s="0" t="n">
        <f aca="false">B295/SUM($A295:$C295)</f>
        <v>0.205410828822782</v>
      </c>
      <c r="F295" s="0" t="n">
        <f aca="false">C295/SUM($A295:$C295)</f>
        <v>0.597270006856959</v>
      </c>
      <c r="G295" s="0" t="n">
        <f aca="false">SUMPRODUCT(D295:F295,Stats!$B$6:$D$6)</f>
        <v>0.351833286971798</v>
      </c>
      <c r="H295" s="0" t="n">
        <f aca="false">SQRT(SUMPRODUCT(MMULT(D295:F295,Stats!$B$12:$D$14),D295:F295))</f>
        <v>0.233806320429015</v>
      </c>
      <c r="I295" s="0" t="n">
        <f aca="false">(G295-Stats!$B$2)/H295</f>
        <v>1.32517070711895</v>
      </c>
    </row>
    <row r="296" customFormat="false" ht="15" hidden="false" customHeight="false" outlineLevel="0" collapsed="false">
      <c r="A296" s="0" t="n">
        <v>0.0197105377543642</v>
      </c>
      <c r="B296" s="0" t="n">
        <v>0.104108581984574</v>
      </c>
      <c r="C296" s="0" t="n">
        <v>0.799916085373189</v>
      </c>
      <c r="D296" s="0" t="n">
        <f aca="false">A296/SUM($A296:$C296)</f>
        <v>0.0213378657057588</v>
      </c>
      <c r="E296" s="0" t="n">
        <f aca="false">B296/SUM($A296:$C296)</f>
        <v>0.112703923601068</v>
      </c>
      <c r="F296" s="0" t="n">
        <f aca="false">C296/SUM($A296:$C296)</f>
        <v>0.865958210693174</v>
      </c>
      <c r="G296" s="0" t="n">
        <f aca="false">SUMPRODUCT(D296:F296,Stats!$B$6:$D$6)</f>
        <v>0.339090077755673</v>
      </c>
      <c r="H296" s="0" t="n">
        <f aca="false">SQRT(SUMPRODUCT(MMULT(D296:F296,Stats!$B$12:$D$14),D296:F296))</f>
        <v>0.251687008103333</v>
      </c>
      <c r="I296" s="0" t="n">
        <f aca="false">(G296-Stats!$B$2)/H296</f>
        <v>1.18039496752132</v>
      </c>
    </row>
    <row r="297" customFormat="false" ht="15" hidden="false" customHeight="false" outlineLevel="0" collapsed="false">
      <c r="A297" s="0" t="n">
        <v>0.178544662054334</v>
      </c>
      <c r="B297" s="0" t="n">
        <v>0.652746107851875</v>
      </c>
      <c r="C297" s="0" t="n">
        <v>0.238182781046727</v>
      </c>
      <c r="D297" s="0" t="n">
        <f aca="false">A297/SUM($A297:$C297)</f>
        <v>0.166946309139899</v>
      </c>
      <c r="E297" s="0" t="n">
        <f aca="false">B297/SUM($A297:$C297)</f>
        <v>0.61034338555662</v>
      </c>
      <c r="F297" s="0" t="n">
        <f aca="false">C297/SUM($A297:$C297)</f>
        <v>0.222710305303481</v>
      </c>
      <c r="G297" s="0" t="n">
        <f aca="false">SUMPRODUCT(D297:F297,Stats!$B$6:$D$6)</f>
        <v>0.385460921899412</v>
      </c>
      <c r="H297" s="0" t="n">
        <f aca="false">SQRT(SUMPRODUCT(MMULT(D297:F297,Stats!$B$12:$D$14),D297:F297))</f>
        <v>0.235515474227595</v>
      </c>
      <c r="I297" s="0" t="n">
        <f aca="false">(G297-Stats!$B$2)/H297</f>
        <v>1.45833696501616</v>
      </c>
    </row>
    <row r="298" customFormat="false" ht="15" hidden="false" customHeight="false" outlineLevel="0" collapsed="false">
      <c r="A298" s="0" t="n">
        <v>0.0994413927593452</v>
      </c>
      <c r="B298" s="0" t="n">
        <v>0.243172190999454</v>
      </c>
      <c r="C298" s="0" t="n">
        <v>0.722266931855659</v>
      </c>
      <c r="D298" s="0" t="n">
        <f aca="false">A298/SUM($A298:$C298)</f>
        <v>0.0933826765549987</v>
      </c>
      <c r="E298" s="0" t="n">
        <f aca="false">B298/SUM($A298:$C298)</f>
        <v>0.228356315505631</v>
      </c>
      <c r="F298" s="0" t="n">
        <f aca="false">C298/SUM($A298:$C298)</f>
        <v>0.678261007939371</v>
      </c>
      <c r="G298" s="0" t="n">
        <f aca="false">SUMPRODUCT(D298:F298,Stats!$B$6:$D$6)</f>
        <v>0.350920244873696</v>
      </c>
      <c r="H298" s="0" t="n">
        <f aca="false">SQRT(SUMPRODUCT(MMULT(D298:F298,Stats!$B$12:$D$14),D298:F298))</f>
        <v>0.24083070578232</v>
      </c>
      <c r="I298" s="0" t="n">
        <f aca="false">(G298-Stats!$B$2)/H298</f>
        <v>1.28272781442131</v>
      </c>
    </row>
    <row r="299" customFormat="false" ht="15" hidden="false" customHeight="false" outlineLevel="0" collapsed="false">
      <c r="A299" s="0" t="n">
        <v>0.855696468106286</v>
      </c>
      <c r="B299" s="0" t="n">
        <v>0.830219864566992</v>
      </c>
      <c r="C299" s="0" t="n">
        <v>0.397183529618455</v>
      </c>
      <c r="D299" s="0" t="n">
        <f aca="false">A299/SUM($A299:$C299)</f>
        <v>0.41078033924158</v>
      </c>
      <c r="E299" s="0" t="n">
        <f aca="false">B299/SUM($A299:$C299)</f>
        <v>0.398550198958595</v>
      </c>
      <c r="F299" s="0" t="n">
        <f aca="false">C299/SUM($A299:$C299)</f>
        <v>0.190669461799825</v>
      </c>
      <c r="G299" s="0" t="n">
        <f aca="false">SUMPRODUCT(D299:F299,Stats!$B$6:$D$6)</f>
        <v>0.374158129997176</v>
      </c>
      <c r="H299" s="0" t="n">
        <f aca="false">SQRT(SUMPRODUCT(MMULT(D299:F299,Stats!$B$12:$D$14),D299:F299))</f>
        <v>0.225836100969562</v>
      </c>
      <c r="I299" s="0" t="n">
        <f aca="false">(G299-Stats!$B$2)/H299</f>
        <v>1.47079288285244</v>
      </c>
    </row>
    <row r="300" customFormat="false" ht="15" hidden="false" customHeight="false" outlineLevel="0" collapsed="false">
      <c r="A300" s="0" t="n">
        <v>0.668085136570646</v>
      </c>
      <c r="B300" s="0" t="n">
        <v>0.204984295415821</v>
      </c>
      <c r="C300" s="0" t="n">
        <v>0.293147730261013</v>
      </c>
      <c r="D300" s="0" t="n">
        <f aca="false">A300/SUM($A300:$C300)</f>
        <v>0.572865121692381</v>
      </c>
      <c r="E300" s="0" t="n">
        <f aca="false">B300/SUM($A300:$C300)</f>
        <v>0.175768546417877</v>
      </c>
      <c r="F300" s="0" t="n">
        <f aca="false">C300/SUM($A300:$C300)</f>
        <v>0.251366331889742</v>
      </c>
      <c r="G300" s="0" t="n">
        <f aca="false">SUMPRODUCT(D300:F300,Stats!$B$6:$D$6)</f>
        <v>0.359665869203148</v>
      </c>
      <c r="H300" s="0" t="n">
        <f aca="false">SQRT(SUMPRODUCT(MMULT(D300:F300,Stats!$B$12:$D$14),D300:F300))</f>
        <v>0.221853002658434</v>
      </c>
      <c r="I300" s="0" t="n">
        <f aca="false">(G300-Stats!$B$2)/H300</f>
        <v>1.43187545535378</v>
      </c>
    </row>
    <row r="301" customFormat="false" ht="15" hidden="false" customHeight="false" outlineLevel="0" collapsed="false">
      <c r="A301" s="0" t="n">
        <v>0.89633581852112</v>
      </c>
      <c r="B301" s="0" t="n">
        <v>0.013001923510736</v>
      </c>
      <c r="C301" s="0" t="n">
        <v>0.0855085308544681</v>
      </c>
      <c r="D301" s="0" t="n">
        <f aca="false">A301/SUM($A301:$C301)</f>
        <v>0.900979219553793</v>
      </c>
      <c r="E301" s="0" t="n">
        <f aca="false">B301/SUM($A301:$C301)</f>
        <v>0.0130692790083174</v>
      </c>
      <c r="F301" s="0" t="n">
        <f aca="false">C301/SUM($A301:$C301)</f>
        <v>0.0859515014378897</v>
      </c>
      <c r="G301" s="0" t="n">
        <f aca="false">SUMPRODUCT(D301:F301,Stats!$B$6:$D$6)</f>
        <v>0.354865614261764</v>
      </c>
      <c r="H301" s="0" t="n">
        <f aca="false">SQRT(SUMPRODUCT(MMULT(D301:F301,Stats!$B$12:$D$14),D301:F301))</f>
        <v>0.227985157608154</v>
      </c>
      <c r="I301" s="0" t="n">
        <f aca="false">(G301-Stats!$B$2)/H301</f>
        <v>1.37230694113648</v>
      </c>
    </row>
    <row r="302" customFormat="false" ht="15" hidden="false" customHeight="false" outlineLevel="0" collapsed="false">
      <c r="A302" s="0" t="n">
        <v>0.207886255146027</v>
      </c>
      <c r="B302" s="0" t="n">
        <v>0.0265322038738197</v>
      </c>
      <c r="C302" s="0" t="n">
        <v>0.181435435089797</v>
      </c>
      <c r="D302" s="0" t="n">
        <f aca="false">A302/SUM($A302:$C302)</f>
        <v>0.499902148544546</v>
      </c>
      <c r="E302" s="0" t="n">
        <f aca="false">B302/SUM($A302:$C302)</f>
        <v>0.0638017444338858</v>
      </c>
      <c r="F302" s="0" t="n">
        <f aca="false">C302/SUM($A302:$C302)</f>
        <v>0.436296107021568</v>
      </c>
      <c r="G302" s="0" t="n">
        <f aca="false">SUMPRODUCT(D302:F302,Stats!$B$6:$D$6)</f>
        <v>0.348124076911256</v>
      </c>
      <c r="H302" s="0" t="n">
        <f aca="false">SQRT(SUMPRODUCT(MMULT(D302:F302,Stats!$B$12:$D$14),D302:F302))</f>
        <v>0.222614025132781</v>
      </c>
      <c r="I302" s="0" t="n">
        <f aca="false">(G302-Stats!$B$2)/H302</f>
        <v>1.37513382963479</v>
      </c>
    </row>
    <row r="303" customFormat="false" ht="15" hidden="false" customHeight="false" outlineLevel="0" collapsed="false">
      <c r="A303" s="0" t="n">
        <v>0.583041560969692</v>
      </c>
      <c r="B303" s="0" t="n">
        <v>0.421424550592498</v>
      </c>
      <c r="C303" s="0" t="n">
        <v>0.892671711076975</v>
      </c>
      <c r="D303" s="0" t="n">
        <f aca="false">A303/SUM($A303:$C303)</f>
        <v>0.30732693956763</v>
      </c>
      <c r="E303" s="0" t="n">
        <f aca="false">B303/SUM($A303:$C303)</f>
        <v>0.222137024291805</v>
      </c>
      <c r="F303" s="0" t="n">
        <f aca="false">C303/SUM($A303:$C303)</f>
        <v>0.470536036140565</v>
      </c>
      <c r="G303" s="0" t="n">
        <f aca="false">SUMPRODUCT(D303:F303,Stats!$B$6:$D$6)</f>
        <v>0.356290331108851</v>
      </c>
      <c r="H303" s="0" t="n">
        <f aca="false">SQRT(SUMPRODUCT(MMULT(D303:F303,Stats!$B$12:$D$14),D303:F303))</f>
        <v>0.227473975361141</v>
      </c>
      <c r="I303" s="0" t="n">
        <f aca="false">(G303-Stats!$B$2)/H303</f>
        <v>1.38165401387072</v>
      </c>
    </row>
    <row r="304" customFormat="false" ht="15" hidden="false" customHeight="false" outlineLevel="0" collapsed="false">
      <c r="A304" s="0" t="n">
        <v>0.817443561738441</v>
      </c>
      <c r="B304" s="0" t="n">
        <v>0.341817351697876</v>
      </c>
      <c r="C304" s="0" t="n">
        <v>0.259423433431293</v>
      </c>
      <c r="D304" s="0" t="n">
        <f aca="false">A304/SUM($A304:$C304)</f>
        <v>0.57619833724346</v>
      </c>
      <c r="E304" s="0" t="n">
        <f aca="false">B304/SUM($A304:$C304)</f>
        <v>0.240939679395627</v>
      </c>
      <c r="F304" s="0" t="n">
        <f aca="false">C304/SUM($A304:$C304)</f>
        <v>0.182861983360913</v>
      </c>
      <c r="G304" s="0" t="n">
        <f aca="false">SUMPRODUCT(D304:F304,Stats!$B$6:$D$6)</f>
        <v>0.365304712907866</v>
      </c>
      <c r="H304" s="0" t="n">
        <f aca="false">SQRT(SUMPRODUCT(MMULT(D304:F304,Stats!$B$12:$D$14),D304:F304))</f>
        <v>0.222831710413051</v>
      </c>
      <c r="I304" s="0" t="n">
        <f aca="false">(G304-Stats!$B$2)/H304</f>
        <v>1.45089185156176</v>
      </c>
    </row>
    <row r="305" customFormat="false" ht="15" hidden="false" customHeight="false" outlineLevel="0" collapsed="false">
      <c r="A305" s="0" t="n">
        <v>0.379692408167267</v>
      </c>
      <c r="B305" s="0" t="n">
        <v>0.590294942514808</v>
      </c>
      <c r="C305" s="0" t="n">
        <v>0.268063640822876</v>
      </c>
      <c r="D305" s="0" t="n">
        <f aca="false">A305/SUM($A305:$C305)</f>
        <v>0.306685597582471</v>
      </c>
      <c r="E305" s="0" t="n">
        <f aca="false">B305/SUM($A305:$C305)</f>
        <v>0.476793723816865</v>
      </c>
      <c r="F305" s="0" t="n">
        <f aca="false">C305/SUM($A305:$C305)</f>
        <v>0.216520678600664</v>
      </c>
      <c r="G305" s="0" t="n">
        <f aca="false">SUMPRODUCT(D305:F305,Stats!$B$6:$D$6)</f>
        <v>0.377947323788526</v>
      </c>
      <c r="H305" s="0" t="n">
        <f aca="false">SQRT(SUMPRODUCT(MMULT(D305:F305,Stats!$B$12:$D$14),D305:F305))</f>
        <v>0.228909588754532</v>
      </c>
      <c r="I305" s="0" t="n">
        <f aca="false">(G305-Stats!$B$2)/H305</f>
        <v>1.46759830209112</v>
      </c>
    </row>
    <row r="306" customFormat="false" ht="15" hidden="false" customHeight="false" outlineLevel="0" collapsed="false">
      <c r="A306" s="0" t="n">
        <v>0.624148907849134</v>
      </c>
      <c r="B306" s="0" t="n">
        <v>0.40941165219124</v>
      </c>
      <c r="C306" s="0" t="n">
        <v>0.55204718085198</v>
      </c>
      <c r="D306" s="0" t="n">
        <f aca="false">A306/SUM($A306:$C306)</f>
        <v>0.393633867792467</v>
      </c>
      <c r="E306" s="0" t="n">
        <f aca="false">B306/SUM($A306:$C306)</f>
        <v>0.258204877305171</v>
      </c>
      <c r="F306" s="0" t="n">
        <f aca="false">C306/SUM($A306:$C306)</f>
        <v>0.348161254902361</v>
      </c>
      <c r="G306" s="0" t="n">
        <f aca="false">SUMPRODUCT(D306:F306,Stats!$B$6:$D$6)</f>
        <v>0.36174006621436</v>
      </c>
      <c r="H306" s="0" t="n">
        <f aca="false">SQRT(SUMPRODUCT(MMULT(D306:F306,Stats!$B$12:$D$14),D306:F306))</f>
        <v>0.224367407900961</v>
      </c>
      <c r="I306" s="0" t="n">
        <f aca="false">(G306-Stats!$B$2)/H306</f>
        <v>1.42507358446418</v>
      </c>
    </row>
    <row r="307" customFormat="false" ht="15" hidden="false" customHeight="false" outlineLevel="0" collapsed="false">
      <c r="A307" s="0" t="n">
        <v>0.436126529135317</v>
      </c>
      <c r="B307" s="0" t="n">
        <v>0.294465759541918</v>
      </c>
      <c r="C307" s="0" t="n">
        <v>0.948453306962157</v>
      </c>
      <c r="D307" s="0" t="n">
        <f aca="false">A307/SUM($A307:$C307)</f>
        <v>0.259746686014942</v>
      </c>
      <c r="E307" s="0" t="n">
        <f aca="false">B307/SUM($A307:$C307)</f>
        <v>0.175376869041953</v>
      </c>
      <c r="F307" s="0" t="n">
        <f aca="false">C307/SUM($A307:$C307)</f>
        <v>0.564876444943105</v>
      </c>
      <c r="G307" s="0" t="n">
        <f aca="false">SUMPRODUCT(D307:F307,Stats!$B$6:$D$6)</f>
        <v>0.350998411808758</v>
      </c>
      <c r="H307" s="0" t="n">
        <f aca="false">SQRT(SUMPRODUCT(MMULT(D307:F307,Stats!$B$12:$D$14),D307:F307))</f>
        <v>0.230600763217755</v>
      </c>
      <c r="I307" s="0" t="n">
        <f aca="false">(G307-Stats!$B$2)/H307</f>
        <v>1.33997133182501</v>
      </c>
    </row>
    <row r="308" customFormat="false" ht="15" hidden="false" customHeight="false" outlineLevel="0" collapsed="false">
      <c r="A308" s="0" t="n">
        <v>0.763605794159761</v>
      </c>
      <c r="B308" s="0" t="n">
        <v>0.140113175766453</v>
      </c>
      <c r="C308" s="0" t="n">
        <v>0.868467975897913</v>
      </c>
      <c r="D308" s="0" t="n">
        <f aca="false">A308/SUM($A308:$C308)</f>
        <v>0.430883319595077</v>
      </c>
      <c r="E308" s="0" t="n">
        <f aca="false">B308/SUM($A308:$C308)</f>
        <v>0.0790622998869316</v>
      </c>
      <c r="F308" s="0" t="n">
        <f aca="false">C308/SUM($A308:$C308)</f>
        <v>0.490054380517991</v>
      </c>
      <c r="G308" s="0" t="n">
        <f aca="false">SUMPRODUCT(D308:F308,Stats!$B$6:$D$6)</f>
        <v>0.34751978580553</v>
      </c>
      <c r="H308" s="0" t="n">
        <f aca="false">SQRT(SUMPRODUCT(MMULT(D308:F308,Stats!$B$12:$D$14),D308:F308))</f>
        <v>0.224406450197582</v>
      </c>
      <c r="I308" s="0" t="n">
        <f aca="false">(G308-Stats!$B$2)/H308</f>
        <v>1.36145723768871</v>
      </c>
    </row>
    <row r="309" customFormat="false" ht="15" hidden="false" customHeight="false" outlineLevel="0" collapsed="false">
      <c r="A309" s="0" t="n">
        <v>0.487431198249514</v>
      </c>
      <c r="B309" s="0" t="n">
        <v>0.894552226894091</v>
      </c>
      <c r="C309" s="0" t="n">
        <v>0.799855255947315</v>
      </c>
      <c r="D309" s="0" t="n">
        <f aca="false">A309/SUM($A309:$C309)</f>
        <v>0.223403866873328</v>
      </c>
      <c r="E309" s="0" t="n">
        <f aca="false">B309/SUM($A309:$C309)</f>
        <v>0.409999251845152</v>
      </c>
      <c r="F309" s="0" t="n">
        <f aca="false">C309/SUM($A309:$C309)</f>
        <v>0.36659688128152</v>
      </c>
      <c r="G309" s="0" t="n">
        <f aca="false">SUMPRODUCT(D309:F309,Stats!$B$6:$D$6)</f>
        <v>0.369965762755085</v>
      </c>
      <c r="H309" s="0" t="n">
        <f aca="false">SQRT(SUMPRODUCT(MMULT(D309:F309,Stats!$B$12:$D$14),D309:F309))</f>
        <v>0.230611472862637</v>
      </c>
      <c r="I309" s="0" t="n">
        <f aca="false">(G309-Stats!$B$2)/H309</f>
        <v>1.42215718361262</v>
      </c>
    </row>
    <row r="310" customFormat="false" ht="15" hidden="false" customHeight="false" outlineLevel="0" collapsed="false">
      <c r="A310" s="0" t="n">
        <v>0.425213504469233</v>
      </c>
      <c r="B310" s="0" t="n">
        <v>0.0224693083201174</v>
      </c>
      <c r="C310" s="0" t="n">
        <v>0.268677359384946</v>
      </c>
      <c r="D310" s="0" t="n">
        <f aca="false">A310/SUM($A310:$C310)</f>
        <v>0.593575021317315</v>
      </c>
      <c r="E310" s="0" t="n">
        <f aca="false">B310/SUM($A310:$C310)</f>
        <v>0.0313659374053677</v>
      </c>
      <c r="F310" s="0" t="n">
        <f aca="false">C310/SUM($A310:$C310)</f>
        <v>0.375059041277318</v>
      </c>
      <c r="G310" s="0" t="n">
        <f aca="false">SUMPRODUCT(D310:F310,Stats!$B$6:$D$6)</f>
        <v>0.347946351090563</v>
      </c>
      <c r="H310" s="0" t="n">
        <f aca="false">SQRT(SUMPRODUCT(MMULT(D310:F310,Stats!$B$12:$D$14),D310:F310))</f>
        <v>0.221447077546785</v>
      </c>
      <c r="I310" s="0" t="n">
        <f aca="false">(G310-Stats!$B$2)/H310</f>
        <v>1.3815777317085</v>
      </c>
    </row>
    <row r="311" customFormat="false" ht="15" hidden="false" customHeight="false" outlineLevel="0" collapsed="false">
      <c r="A311" s="0" t="n">
        <v>0.541634214660867</v>
      </c>
      <c r="B311" s="0" t="n">
        <v>0.633478219826147</v>
      </c>
      <c r="C311" s="0" t="n">
        <v>0.257887685433202</v>
      </c>
      <c r="D311" s="0" t="n">
        <f aca="false">A311/SUM($A311:$C311)</f>
        <v>0.377972204699482</v>
      </c>
      <c r="E311" s="0" t="n">
        <f aca="false">B311/SUM($A311:$C311)</f>
        <v>0.442064317385693</v>
      </c>
      <c r="F311" s="0" t="n">
        <f aca="false">C311/SUM($A311:$C311)</f>
        <v>0.179963477914824</v>
      </c>
      <c r="G311" s="0" t="n">
        <f aca="false">SUMPRODUCT(D311:F311,Stats!$B$6:$D$6)</f>
        <v>0.376957089440141</v>
      </c>
      <c r="H311" s="0" t="n">
        <f aca="false">SQRT(SUMPRODUCT(MMULT(D311:F311,Stats!$B$12:$D$14),D311:F311))</f>
        <v>0.22710060463252</v>
      </c>
      <c r="I311" s="0" t="n">
        <f aca="false">(G311-Stats!$B$2)/H311</f>
        <v>1.47492821510602</v>
      </c>
    </row>
    <row r="312" customFormat="false" ht="15" hidden="false" customHeight="false" outlineLevel="0" collapsed="false">
      <c r="A312" s="0" t="n">
        <v>0.139356074072824</v>
      </c>
      <c r="B312" s="0" t="n">
        <v>0.834930236799299</v>
      </c>
      <c r="C312" s="0" t="n">
        <v>0.984402180703552</v>
      </c>
      <c r="D312" s="0" t="n">
        <f aca="false">A312/SUM($A312:$C312)</f>
        <v>0.0711476453107245</v>
      </c>
      <c r="E312" s="0" t="n">
        <f aca="false">B312/SUM($A312:$C312)</f>
        <v>0.426270047733642</v>
      </c>
      <c r="F312" s="0" t="n">
        <f aca="false">C312/SUM($A312:$C312)</f>
        <v>0.502582306955633</v>
      </c>
      <c r="G312" s="0" t="n">
        <f aca="false">SUMPRODUCT(D312:F312,Stats!$B$6:$D$6)</f>
        <v>0.367152217481411</v>
      </c>
      <c r="H312" s="0" t="n">
        <f aca="false">SQRT(SUMPRODUCT(MMULT(D312:F312,Stats!$B$12:$D$14),D312:F312))</f>
        <v>0.238901764624127</v>
      </c>
      <c r="I312" s="0" t="n">
        <f aca="false">(G312-Stats!$B$2)/H312</f>
        <v>1.36102894841729</v>
      </c>
    </row>
    <row r="313" customFormat="false" ht="15" hidden="false" customHeight="false" outlineLevel="0" collapsed="false">
      <c r="A313" s="0" t="n">
        <v>0.525690182302686</v>
      </c>
      <c r="B313" s="0" t="n">
        <v>0.171679285848304</v>
      </c>
      <c r="C313" s="0" t="n">
        <v>0.272307326519369</v>
      </c>
      <c r="D313" s="0" t="n">
        <f aca="false">A313/SUM($A313:$C313)</f>
        <v>0.542129279768311</v>
      </c>
      <c r="E313" s="0" t="n">
        <f aca="false">B313/SUM($A313:$C313)</f>
        <v>0.177047947101452</v>
      </c>
      <c r="F313" s="0" t="n">
        <f aca="false">C313/SUM($A313:$C313)</f>
        <v>0.280822773130237</v>
      </c>
      <c r="G313" s="0" t="n">
        <f aca="false">SUMPRODUCT(D313:F313,Stats!$B$6:$D$6)</f>
        <v>0.358927234224922</v>
      </c>
      <c r="H313" s="0" t="n">
        <f aca="false">SQRT(SUMPRODUCT(MMULT(D313:F313,Stats!$B$12:$D$14),D313:F313))</f>
        <v>0.221873969624358</v>
      </c>
      <c r="I313" s="0" t="n">
        <f aca="false">(G313-Stats!$B$2)/H313</f>
        <v>1.42841106940797</v>
      </c>
    </row>
    <row r="314" customFormat="false" ht="15" hidden="false" customHeight="false" outlineLevel="0" collapsed="false">
      <c r="A314" s="0" t="n">
        <v>0.0183906765474667</v>
      </c>
      <c r="B314" s="0" t="n">
        <v>0.914298806560499</v>
      </c>
      <c r="C314" s="0" t="n">
        <v>0.117751082890141</v>
      </c>
      <c r="D314" s="0" t="n">
        <f aca="false">A314/SUM($A314:$C314)</f>
        <v>0.0175075840963856</v>
      </c>
      <c r="E314" s="0" t="n">
        <f aca="false">B314/SUM($A314:$C314)</f>
        <v>0.870395561781976</v>
      </c>
      <c r="F314" s="0" t="n">
        <f aca="false">C314/SUM($A314:$C314)</f>
        <v>0.112096854121638</v>
      </c>
      <c r="G314" s="0" t="n">
        <f aca="false">SUMPRODUCT(D314:F314,Stats!$B$6:$D$6)</f>
        <v>0.403474110912643</v>
      </c>
      <c r="H314" s="0" t="n">
        <f aca="false">SQRT(SUMPRODUCT(MMULT(D314:F314,Stats!$B$12:$D$14),D314:F314))</f>
        <v>0.248463658197581</v>
      </c>
      <c r="I314" s="0" t="n">
        <f aca="false">(G314-Stats!$B$2)/H314</f>
        <v>1.45483695094433</v>
      </c>
    </row>
    <row r="315" customFormat="false" ht="15" hidden="false" customHeight="false" outlineLevel="0" collapsed="false">
      <c r="A315" s="0" t="n">
        <v>0.576516475514254</v>
      </c>
      <c r="B315" s="0" t="n">
        <v>0.274055220687206</v>
      </c>
      <c r="C315" s="0" t="n">
        <v>0.554178002515793</v>
      </c>
      <c r="D315" s="0" t="n">
        <f aca="false">A315/SUM($A315:$C315)</f>
        <v>0.410405124870786</v>
      </c>
      <c r="E315" s="0" t="n">
        <f aca="false">B315/SUM($A315:$C315)</f>
        <v>0.195091852261979</v>
      </c>
      <c r="F315" s="0" t="n">
        <f aca="false">C315/SUM($A315:$C315)</f>
        <v>0.394503022867235</v>
      </c>
      <c r="G315" s="0" t="n">
        <f aca="false">SUMPRODUCT(D315:F315,Stats!$B$6:$D$6)</f>
        <v>0.356830768011314</v>
      </c>
      <c r="H315" s="0" t="n">
        <f aca="false">SQRT(SUMPRODUCT(MMULT(D315:F315,Stats!$B$12:$D$14),D315:F315))</f>
        <v>0.223944639032551</v>
      </c>
      <c r="I315" s="0" t="n">
        <f aca="false">(G315-Stats!$B$2)/H315</f>
        <v>1.40584194991849</v>
      </c>
    </row>
    <row r="316" customFormat="false" ht="15" hidden="false" customHeight="false" outlineLevel="0" collapsed="false">
      <c r="A316" s="0" t="n">
        <v>0.651420388351864</v>
      </c>
      <c r="B316" s="0" t="n">
        <v>0.829741803707202</v>
      </c>
      <c r="C316" s="0" t="n">
        <v>0.206421271760603</v>
      </c>
      <c r="D316" s="0" t="n">
        <f aca="false">A316/SUM($A316:$C316)</f>
        <v>0.386007804839141</v>
      </c>
      <c r="E316" s="0" t="n">
        <f aca="false">B316/SUM($A316:$C316)</f>
        <v>0.491674528398831</v>
      </c>
      <c r="F316" s="0" t="n">
        <f aca="false">C316/SUM($A316:$C316)</f>
        <v>0.122317666762028</v>
      </c>
      <c r="G316" s="0" t="n">
        <f aca="false">SUMPRODUCT(D316:F316,Stats!$B$6:$D$6)</f>
        <v>0.381401157843391</v>
      </c>
      <c r="H316" s="0" t="n">
        <f aca="false">SQRT(SUMPRODUCT(MMULT(D316:F316,Stats!$B$12:$D$14),D316:F316))</f>
        <v>0.22840146524158</v>
      </c>
      <c r="I316" s="0" t="n">
        <f aca="false">(G316-Stats!$B$2)/H316</f>
        <v>1.48598502853039</v>
      </c>
    </row>
    <row r="317" customFormat="false" ht="15" hidden="false" customHeight="false" outlineLevel="0" collapsed="false">
      <c r="A317" s="0" t="n">
        <v>0.0109958286584805</v>
      </c>
      <c r="B317" s="0" t="n">
        <v>0.136885630068807</v>
      </c>
      <c r="C317" s="0" t="n">
        <v>0.900018641848105</v>
      </c>
      <c r="D317" s="0" t="n">
        <f aca="false">A317/SUM($A317:$C317)</f>
        <v>0.010493203171221</v>
      </c>
      <c r="E317" s="0" t="n">
        <f aca="false">B317/SUM($A317:$C317)</f>
        <v>0.130628511242288</v>
      </c>
      <c r="F317" s="0" t="n">
        <f aca="false">C317/SUM($A317:$C317)</f>
        <v>0.858878285586491</v>
      </c>
      <c r="G317" s="0" t="n">
        <f aca="false">SUMPRODUCT(D317:F317,Stats!$B$6:$D$6)</f>
        <v>0.340316661540944</v>
      </c>
      <c r="H317" s="0" t="n">
        <f aca="false">SQRT(SUMPRODUCT(MMULT(D317:F317,Stats!$B$12:$D$14),D317:F317))</f>
        <v>0.251951790842956</v>
      </c>
      <c r="I317" s="0" t="n">
        <f aca="false">(G317-Stats!$B$2)/H317</f>
        <v>1.18402278683102</v>
      </c>
    </row>
    <row r="318" customFormat="false" ht="15" hidden="false" customHeight="false" outlineLevel="0" collapsed="false">
      <c r="A318" s="0" t="n">
        <v>0.873890077562515</v>
      </c>
      <c r="B318" s="0" t="n">
        <v>0.597413102170308</v>
      </c>
      <c r="C318" s="0" t="n">
        <v>0.600516860433653</v>
      </c>
      <c r="D318" s="0" t="n">
        <f aca="false">A318/SUM($A318:$C318)</f>
        <v>0.421798254974064</v>
      </c>
      <c r="E318" s="0" t="n">
        <f aca="false">B318/SUM($A318:$C318)</f>
        <v>0.288351831041418</v>
      </c>
      <c r="F318" s="0" t="n">
        <f aca="false">C318/SUM($A318:$C318)</f>
        <v>0.289849913984518</v>
      </c>
      <c r="G318" s="0" t="n">
        <f aca="false">SUMPRODUCT(D318:F318,Stats!$B$6:$D$6)</f>
        <v>0.365082595711993</v>
      </c>
      <c r="H318" s="0" t="n">
        <f aca="false">SQRT(SUMPRODUCT(MMULT(D318:F318,Stats!$B$12:$D$14),D318:F318))</f>
        <v>0.223983283222787</v>
      </c>
      <c r="I318" s="0" t="n">
        <f aca="false">(G318-Stats!$B$2)/H318</f>
        <v>1.44244066371077</v>
      </c>
    </row>
    <row r="319" customFormat="false" ht="15" hidden="false" customHeight="false" outlineLevel="0" collapsed="false">
      <c r="A319" s="0" t="n">
        <v>0.665036674546256</v>
      </c>
      <c r="B319" s="0" t="n">
        <v>0.17537127862345</v>
      </c>
      <c r="C319" s="0" t="n">
        <v>0.91441194592496</v>
      </c>
      <c r="D319" s="0" t="n">
        <f aca="false">A319/SUM($A319:$C319)</f>
        <v>0.378977167337433</v>
      </c>
      <c r="E319" s="0" t="n">
        <f aca="false">B319/SUM($A319:$C319)</f>
        <v>0.0999369101717652</v>
      </c>
      <c r="F319" s="0" t="n">
        <f aca="false">C319/SUM($A319:$C319)</f>
        <v>0.521085922490802</v>
      </c>
      <c r="G319" s="0" t="n">
        <f aca="false">SUMPRODUCT(D319:F319,Stats!$B$6:$D$6)</f>
        <v>0.347865201029298</v>
      </c>
      <c r="H319" s="0" t="n">
        <f aca="false">SQRT(SUMPRODUCT(MMULT(D319:F319,Stats!$B$12:$D$14),D319:F319))</f>
        <v>0.22606592100399</v>
      </c>
      <c r="I319" s="0" t="n">
        <f aca="false">(G319-Stats!$B$2)/H319</f>
        <v>1.35299119686376</v>
      </c>
    </row>
    <row r="320" customFormat="false" ht="15" hidden="false" customHeight="false" outlineLevel="0" collapsed="false">
      <c r="A320" s="0" t="n">
        <v>0.418770524892073</v>
      </c>
      <c r="B320" s="0" t="n">
        <v>0.383138528249498</v>
      </c>
      <c r="C320" s="0" t="n">
        <v>0.518917705282838</v>
      </c>
      <c r="D320" s="0" t="n">
        <f aca="false">A320/SUM($A320:$C320)</f>
        <v>0.317051817902007</v>
      </c>
      <c r="E320" s="0" t="n">
        <f aca="false">B320/SUM($A320:$C320)</f>
        <v>0.290074777638921</v>
      </c>
      <c r="F320" s="0" t="n">
        <f aca="false">C320/SUM($A320:$C320)</f>
        <v>0.392873404459072</v>
      </c>
      <c r="G320" s="0" t="n">
        <f aca="false">SUMPRODUCT(D320:F320,Stats!$B$6:$D$6)</f>
        <v>0.362340898704329</v>
      </c>
      <c r="H320" s="0" t="n">
        <f aca="false">SQRT(SUMPRODUCT(MMULT(D320:F320,Stats!$B$12:$D$14),D320:F320))</f>
        <v>0.226719577785104</v>
      </c>
      <c r="I320" s="0" t="n">
        <f aca="false">(G320-Stats!$B$2)/H320</f>
        <v>1.41293884645447</v>
      </c>
    </row>
    <row r="321" customFormat="false" ht="15" hidden="false" customHeight="false" outlineLevel="0" collapsed="false">
      <c r="A321" s="0" t="n">
        <v>0.0469659667750551</v>
      </c>
      <c r="B321" s="0" t="n">
        <v>0.166283368756079</v>
      </c>
      <c r="C321" s="0" t="n">
        <v>0.73803361642637</v>
      </c>
      <c r="D321" s="0" t="n">
        <f aca="false">A321/SUM($A321:$C321)</f>
        <v>0.0493711851751476</v>
      </c>
      <c r="E321" s="0" t="n">
        <f aca="false">B321/SUM($A321:$C321)</f>
        <v>0.174799063111464</v>
      </c>
      <c r="F321" s="0" t="n">
        <f aca="false">C321/SUM($A321:$C321)</f>
        <v>0.775829751713389</v>
      </c>
      <c r="G321" s="0" t="n">
        <f aca="false">SUMPRODUCT(D321:F321,Stats!$B$6:$D$6)</f>
        <v>0.345148209306075</v>
      </c>
      <c r="H321" s="0" t="n">
        <f aca="false">SQRT(SUMPRODUCT(MMULT(D321:F321,Stats!$B$12:$D$14),D321:F321))</f>
        <v>0.246392193646602</v>
      </c>
      <c r="I321" s="0" t="n">
        <f aca="false">(G321-Stats!$B$2)/H321</f>
        <v>1.23034827045242</v>
      </c>
    </row>
    <row r="322" customFormat="false" ht="15" hidden="false" customHeight="false" outlineLevel="0" collapsed="false">
      <c r="A322" s="0" t="n">
        <v>0.0827986679251265</v>
      </c>
      <c r="B322" s="0" t="n">
        <v>0.603152109466388</v>
      </c>
      <c r="C322" s="0" t="n">
        <v>0.245349109681321</v>
      </c>
      <c r="D322" s="0" t="n">
        <f aca="false">A322/SUM($A322:$C322)</f>
        <v>0.0889065585365532</v>
      </c>
      <c r="E322" s="0" t="n">
        <f aca="false">B322/SUM($A322:$C322)</f>
        <v>0.647645423175292</v>
      </c>
      <c r="F322" s="0" t="n">
        <f aca="false">C322/SUM($A322:$C322)</f>
        <v>0.263448018288155</v>
      </c>
      <c r="G322" s="0" t="n">
        <f aca="false">SUMPRODUCT(D322:F322,Stats!$B$6:$D$6)</f>
        <v>0.386483906097904</v>
      </c>
      <c r="H322" s="0" t="n">
        <f aca="false">SQRT(SUMPRODUCT(MMULT(D322:F322,Stats!$B$12:$D$14),D322:F322))</f>
        <v>0.239273458447394</v>
      </c>
      <c r="I322" s="0" t="n">
        <f aca="false">(G322-Stats!$B$2)/H322</f>
        <v>1.43970797401936</v>
      </c>
    </row>
    <row r="323" customFormat="false" ht="15" hidden="false" customHeight="false" outlineLevel="0" collapsed="false">
      <c r="A323" s="0" t="n">
        <v>0.389295614041977</v>
      </c>
      <c r="B323" s="0" t="n">
        <v>0.2886937367707</v>
      </c>
      <c r="C323" s="0" t="n">
        <v>0.355672716464949</v>
      </c>
      <c r="D323" s="0" t="n">
        <f aca="false">A323/SUM($A323:$C323)</f>
        <v>0.376617877704724</v>
      </c>
      <c r="E323" s="0" t="n">
        <f aca="false">B323/SUM($A323:$C323)</f>
        <v>0.279292184467055</v>
      </c>
      <c r="F323" s="0" t="n">
        <f aca="false">C323/SUM($A323:$C323)</f>
        <v>0.344089937828222</v>
      </c>
      <c r="G323" s="0" t="n">
        <f aca="false">SUMPRODUCT(D323:F323,Stats!$B$6:$D$6)</f>
        <v>0.363065667578095</v>
      </c>
      <c r="H323" s="0" t="n">
        <f aca="false">SQRT(SUMPRODUCT(MMULT(D323:F323,Stats!$B$12:$D$14),D323:F323))</f>
        <v>0.224864659378795</v>
      </c>
      <c r="I323" s="0" t="n">
        <f aca="false">(G323-Stats!$B$2)/H323</f>
        <v>1.42781737452681</v>
      </c>
    </row>
    <row r="324" customFormat="false" ht="15" hidden="false" customHeight="false" outlineLevel="0" collapsed="false">
      <c r="A324" s="0" t="n">
        <v>0.719045905184246</v>
      </c>
      <c r="B324" s="0" t="n">
        <v>0.297121715623175</v>
      </c>
      <c r="C324" s="0" t="n">
        <v>0.566404640296897</v>
      </c>
      <c r="D324" s="0" t="n">
        <f aca="false">A324/SUM($A324:$C324)</f>
        <v>0.454352652865592</v>
      </c>
      <c r="E324" s="0" t="n">
        <f aca="false">B324/SUM($A324:$C324)</f>
        <v>0.187746065646218</v>
      </c>
      <c r="F324" s="0" t="n">
        <f aca="false">C324/SUM($A324:$C324)</f>
        <v>0.35790128148819</v>
      </c>
      <c r="G324" s="0" t="n">
        <f aca="false">SUMPRODUCT(D324:F324,Stats!$B$6:$D$6)</f>
        <v>0.357417379897666</v>
      </c>
      <c r="H324" s="0" t="n">
        <f aca="false">SQRT(SUMPRODUCT(MMULT(D324:F324,Stats!$B$12:$D$14),D324:F324))</f>
        <v>0.222921953496112</v>
      </c>
      <c r="I324" s="0" t="n">
        <f aca="false">(G324-Stats!$B$2)/H324</f>
        <v>1.41492291338263</v>
      </c>
    </row>
    <row r="325" customFormat="false" ht="15" hidden="false" customHeight="false" outlineLevel="0" collapsed="false">
      <c r="A325" s="0" t="n">
        <v>0.4760504021991</v>
      </c>
      <c r="B325" s="0" t="n">
        <v>0.663671165362648</v>
      </c>
      <c r="C325" s="0" t="n">
        <v>0.936829739324758</v>
      </c>
      <c r="D325" s="0" t="n">
        <f aca="false">A325/SUM($A325:$C325)</f>
        <v>0.229250488837124</v>
      </c>
      <c r="E325" s="0" t="n">
        <f aca="false">B325/SUM($A325:$C325)</f>
        <v>0.319602584902046</v>
      </c>
      <c r="F325" s="0" t="n">
        <f aca="false">C325/SUM($A325:$C325)</f>
        <v>0.451146926260831</v>
      </c>
      <c r="G325" s="0" t="n">
        <f aca="false">SUMPRODUCT(D325:F325,Stats!$B$6:$D$6)</f>
        <v>0.362433020566648</v>
      </c>
      <c r="H325" s="0" t="n">
        <f aca="false">SQRT(SUMPRODUCT(MMULT(D325:F325,Stats!$B$12:$D$14),D325:F325))</f>
        <v>0.230381048457485</v>
      </c>
      <c r="I325" s="0" t="n">
        <f aca="false">(G325-Stats!$B$2)/H325</f>
        <v>1.39088272543295</v>
      </c>
    </row>
    <row r="326" customFormat="false" ht="15" hidden="false" customHeight="false" outlineLevel="0" collapsed="false">
      <c r="A326" s="0" t="n">
        <v>0.73257209721025</v>
      </c>
      <c r="B326" s="0" t="n">
        <v>0.214940378590757</v>
      </c>
      <c r="C326" s="0" t="n">
        <v>0.0311831350612847</v>
      </c>
      <c r="D326" s="0" t="n">
        <f aca="false">A326/SUM($A326:$C326)</f>
        <v>0.748518833720741</v>
      </c>
      <c r="E326" s="0" t="n">
        <f aca="false">B326/SUM($A326:$C326)</f>
        <v>0.219619232175141</v>
      </c>
      <c r="F326" s="0" t="n">
        <f aca="false">C326/SUM($A326:$C326)</f>
        <v>0.0318619341041188</v>
      </c>
      <c r="G326" s="0" t="n">
        <f aca="false">SUMPRODUCT(D326:F326,Stats!$B$6:$D$6)</f>
        <v>0.368241730249898</v>
      </c>
      <c r="H326" s="0" t="n">
        <f aca="false">SQRT(SUMPRODUCT(MMULT(D326:F326,Stats!$B$12:$D$14),D326:F326))</f>
        <v>0.226690747292284</v>
      </c>
      <c r="I326" s="0" t="n">
        <f aca="false">(G326-Stats!$B$2)/H326</f>
        <v>1.43914885872804</v>
      </c>
    </row>
    <row r="327" customFormat="false" ht="15" hidden="false" customHeight="false" outlineLevel="0" collapsed="false">
      <c r="A327" s="0" t="n">
        <v>0.262264044299825</v>
      </c>
      <c r="B327" s="0" t="n">
        <v>0.595077930700255</v>
      </c>
      <c r="C327" s="0" t="n">
        <v>0.0514258134842504</v>
      </c>
      <c r="D327" s="0" t="n">
        <f aca="false">A327/SUM($A327:$C327)</f>
        <v>0.288593024118116</v>
      </c>
      <c r="E327" s="0" t="n">
        <f aca="false">B327/SUM($A327:$C327)</f>
        <v>0.654818467644791</v>
      </c>
      <c r="F327" s="0" t="n">
        <f aca="false">C327/SUM($A327:$C327)</f>
        <v>0.056588508237093</v>
      </c>
      <c r="G327" s="0" t="n">
        <f aca="false">SUMPRODUCT(D327:F327,Stats!$B$6:$D$6)</f>
        <v>0.392600705220097</v>
      </c>
      <c r="H327" s="0" t="n">
        <f aca="false">SQRT(SUMPRODUCT(MMULT(D327:F327,Stats!$B$12:$D$14),D327:F327))</f>
        <v>0.234575823385571</v>
      </c>
      <c r="I327" s="0" t="n">
        <f aca="false">(G327-Stats!$B$2)/H327</f>
        <v>1.49461568613495</v>
      </c>
    </row>
    <row r="328" customFormat="false" ht="15" hidden="false" customHeight="false" outlineLevel="0" collapsed="false">
      <c r="A328" s="0" t="n">
        <v>0.496366247201236</v>
      </c>
      <c r="B328" s="0" t="n">
        <v>0.596842848916889</v>
      </c>
      <c r="C328" s="0" t="n">
        <v>0.334243890816961</v>
      </c>
      <c r="D328" s="0" t="n">
        <f aca="false">A328/SUM($A328:$C328)</f>
        <v>0.347728612952077</v>
      </c>
      <c r="E328" s="0" t="n">
        <f aca="false">B328/SUM($A328:$C328)</f>
        <v>0.418117342132845</v>
      </c>
      <c r="F328" s="0" t="n">
        <f aca="false">C328/SUM($A328:$C328)</f>
        <v>0.234154044915078</v>
      </c>
      <c r="G328" s="0" t="n">
        <f aca="false">SUMPRODUCT(D328:F328,Stats!$B$6:$D$6)</f>
        <v>0.374084927435812</v>
      </c>
      <c r="H328" s="0" t="n">
        <f aca="false">SQRT(SUMPRODUCT(MMULT(D328:F328,Stats!$B$12:$D$14),D328:F328))</f>
        <v>0.227004783964846</v>
      </c>
      <c r="I328" s="0" t="n">
        <f aca="false">(G328-Stats!$B$2)/H328</f>
        <v>1.46289836555708</v>
      </c>
    </row>
    <row r="329" customFormat="false" ht="15" hidden="false" customHeight="false" outlineLevel="0" collapsed="false">
      <c r="A329" s="0" t="n">
        <v>0.770912203745822</v>
      </c>
      <c r="B329" s="0" t="n">
        <v>0.106598253133772</v>
      </c>
      <c r="C329" s="0" t="n">
        <v>0.0751377817358088</v>
      </c>
      <c r="D329" s="0" t="n">
        <f aca="false">A329/SUM($A329:$C329)</f>
        <v>0.809230702894366</v>
      </c>
      <c r="E329" s="0" t="n">
        <f aca="false">B329/SUM($A329:$C329)</f>
        <v>0.111896761903117</v>
      </c>
      <c r="F329" s="0" t="n">
        <f aca="false">C329/SUM($A329:$C329)</f>
        <v>0.0788725352025166</v>
      </c>
      <c r="G329" s="0" t="n">
        <f aca="false">SUMPRODUCT(D329:F329,Stats!$B$6:$D$6)</f>
        <v>0.36074721948885</v>
      </c>
      <c r="H329" s="0" t="n">
        <f aca="false">SQRT(SUMPRODUCT(MMULT(D329:F329,Stats!$B$12:$D$14),D329:F329))</f>
        <v>0.226084938425651</v>
      </c>
      <c r="I329" s="0" t="n">
        <f aca="false">(G329-Stats!$B$2)/H329</f>
        <v>1.40985605546506</v>
      </c>
    </row>
    <row r="330" customFormat="false" ht="15" hidden="false" customHeight="false" outlineLevel="0" collapsed="false">
      <c r="A330" s="0" t="n">
        <v>0.728188756203603</v>
      </c>
      <c r="B330" s="0" t="n">
        <v>0.495491316206199</v>
      </c>
      <c r="C330" s="0" t="n">
        <v>0.688402396427736</v>
      </c>
      <c r="D330" s="0" t="n">
        <f aca="false">A330/SUM($A330:$C330)</f>
        <v>0.380835433654862</v>
      </c>
      <c r="E330" s="0" t="n">
        <f aca="false">B330/SUM($A330:$C330)</f>
        <v>0.259137000773526</v>
      </c>
      <c r="F330" s="0" t="n">
        <f aca="false">C330/SUM($A330:$C330)</f>
        <v>0.360027565571612</v>
      </c>
      <c r="G330" s="0" t="n">
        <f aca="false">SUMPRODUCT(D330:F330,Stats!$B$6:$D$6)</f>
        <v>0.361466490439623</v>
      </c>
      <c r="H330" s="0" t="n">
        <f aca="false">SQRT(SUMPRODUCT(MMULT(D330:F330,Stats!$B$12:$D$14),D330:F330))</f>
        <v>0.224697956429461</v>
      </c>
      <c r="I330" s="0" t="n">
        <f aca="false">(G330-Stats!$B$2)/H330</f>
        <v>1.42175966135194</v>
      </c>
    </row>
    <row r="331" customFormat="false" ht="15" hidden="false" customHeight="false" outlineLevel="0" collapsed="false">
      <c r="A331" s="0" t="n">
        <v>0.434827338603746</v>
      </c>
      <c r="B331" s="0" t="n">
        <v>0.246402033239107</v>
      </c>
      <c r="C331" s="0" t="n">
        <v>0.8191023176742</v>
      </c>
      <c r="D331" s="0" t="n">
        <f aca="false">A331/SUM($A331:$C331)</f>
        <v>0.289820805387184</v>
      </c>
      <c r="E331" s="0" t="n">
        <f aca="false">B331/SUM($A331:$C331)</f>
        <v>0.164231706202528</v>
      </c>
      <c r="F331" s="0" t="n">
        <f aca="false">C331/SUM($A331:$C331)</f>
        <v>0.545947488410289</v>
      </c>
      <c r="G331" s="0" t="n">
        <f aca="false">SUMPRODUCT(D331:F331,Stats!$B$6:$D$6)</f>
        <v>0.350879092259813</v>
      </c>
      <c r="H331" s="0" t="n">
        <f aca="false">SQRT(SUMPRODUCT(MMULT(D331:F331,Stats!$B$12:$D$14),D331:F331))</f>
        <v>0.229155615332539</v>
      </c>
      <c r="I331" s="0" t="n">
        <f aca="false">(G331-Stats!$B$2)/H331</f>
        <v>1.34790104013634</v>
      </c>
    </row>
    <row r="332" customFormat="false" ht="15" hidden="false" customHeight="false" outlineLevel="0" collapsed="false">
      <c r="A332" s="0" t="n">
        <v>0.799415878968979</v>
      </c>
      <c r="B332" s="0" t="n">
        <v>0.694696470854427</v>
      </c>
      <c r="C332" s="0" t="n">
        <v>0.272145137229963</v>
      </c>
      <c r="D332" s="0" t="n">
        <f aca="false">A332/SUM($A332:$C332)</f>
        <v>0.452604382333086</v>
      </c>
      <c r="E332" s="0" t="n">
        <f aca="false">B332/SUM($A332:$C332)</f>
        <v>0.39331551370428</v>
      </c>
      <c r="F332" s="0" t="n">
        <f aca="false">C332/SUM($A332:$C332)</f>
        <v>0.154080103962633</v>
      </c>
      <c r="G332" s="0" t="n">
        <f aca="false">SUMPRODUCT(D332:F332,Stats!$B$6:$D$6)</f>
        <v>0.374865870452117</v>
      </c>
      <c r="H332" s="0" t="n">
        <f aca="false">SQRT(SUMPRODUCT(MMULT(D332:F332,Stats!$B$12:$D$14),D332:F332))</f>
        <v>0.225572123071509</v>
      </c>
      <c r="I332" s="0" t="n">
        <f aca="false">(G332-Stats!$B$2)/H332</f>
        <v>1.47565162715871</v>
      </c>
    </row>
    <row r="333" customFormat="false" ht="15" hidden="false" customHeight="false" outlineLevel="0" collapsed="false">
      <c r="A333" s="0" t="n">
        <v>0.590230666869087</v>
      </c>
      <c r="B333" s="0" t="n">
        <v>0.360973896940027</v>
      </c>
      <c r="C333" s="0" t="n">
        <v>0.0915820733266342</v>
      </c>
      <c r="D333" s="0" t="n">
        <f aca="false">A333/SUM($A333:$C333)</f>
        <v>0.5660128791929</v>
      </c>
      <c r="E333" s="0" t="n">
        <f aca="false">B333/SUM($A333:$C333)</f>
        <v>0.346162756680047</v>
      </c>
      <c r="F333" s="0" t="n">
        <f aca="false">C333/SUM($A333:$C333)</f>
        <v>0.0878243641270522</v>
      </c>
      <c r="G333" s="0" t="n">
        <f aca="false">SUMPRODUCT(D333:F333,Stats!$B$6:$D$6)</f>
        <v>0.373979738384231</v>
      </c>
      <c r="H333" s="0" t="n">
        <f aca="false">SQRT(SUMPRODUCT(MMULT(D333:F333,Stats!$B$12:$D$14),D333:F333))</f>
        <v>0.225301710842793</v>
      </c>
      <c r="I333" s="0" t="n">
        <f aca="false">(G333-Stats!$B$2)/H333</f>
        <v>1.47348964702658</v>
      </c>
    </row>
    <row r="334" customFormat="false" ht="15" hidden="false" customHeight="false" outlineLevel="0" collapsed="false">
      <c r="A334" s="0" t="n">
        <v>0.917313575462243</v>
      </c>
      <c r="B334" s="0" t="n">
        <v>0.136818630918961</v>
      </c>
      <c r="C334" s="0" t="n">
        <v>0.950237353820802</v>
      </c>
      <c r="D334" s="0" t="n">
        <f aca="false">A334/SUM($A334:$C334)</f>
        <v>0.457656908025381</v>
      </c>
      <c r="E334" s="0" t="n">
        <f aca="false">B334/SUM($A334:$C334)</f>
        <v>0.0682601819722169</v>
      </c>
      <c r="F334" s="0" t="n">
        <f aca="false">C334/SUM($A334:$C334)</f>
        <v>0.474082910002402</v>
      </c>
      <c r="G334" s="0" t="n">
        <f aca="false">SUMPRODUCT(D334:F334,Stats!$B$6:$D$6)</f>
        <v>0.347338653078141</v>
      </c>
      <c r="H334" s="0" t="n">
        <f aca="false">SQRT(SUMPRODUCT(MMULT(D334:F334,Stats!$B$12:$D$14),D334:F334))</f>
        <v>0.223691351341673</v>
      </c>
      <c r="I334" s="0" t="n">
        <f aca="false">(G334-Stats!$B$2)/H334</f>
        <v>1.36499981446202</v>
      </c>
    </row>
    <row r="335" customFormat="false" ht="15" hidden="false" customHeight="false" outlineLevel="0" collapsed="false">
      <c r="A335" s="0" t="n">
        <v>0.446005772957956</v>
      </c>
      <c r="B335" s="0" t="n">
        <v>0.18513292883862</v>
      </c>
      <c r="C335" s="0" t="n">
        <v>0.541900947378358</v>
      </c>
      <c r="D335" s="0" t="n">
        <f aca="false">A335/SUM($A335:$C335)</f>
        <v>0.380213723612546</v>
      </c>
      <c r="E335" s="0" t="n">
        <f aca="false">B335/SUM($A335:$C335)</f>
        <v>0.157823249170507</v>
      </c>
      <c r="F335" s="0" t="n">
        <f aca="false">C335/SUM($A335:$C335)</f>
        <v>0.461963027216947</v>
      </c>
      <c r="G335" s="0" t="n">
        <f aca="false">SUMPRODUCT(D335:F335,Stats!$B$6:$D$6)</f>
        <v>0.352826197151778</v>
      </c>
      <c r="H335" s="0" t="n">
        <f aca="false">SQRT(SUMPRODUCT(MMULT(D335:F335,Stats!$B$12:$D$14),D335:F335))</f>
        <v>0.225179958837614</v>
      </c>
      <c r="I335" s="0" t="n">
        <f aca="false">(G335-Stats!$B$2)/H335</f>
        <v>1.38034574105206</v>
      </c>
    </row>
    <row r="336" customFormat="false" ht="15" hidden="false" customHeight="false" outlineLevel="0" collapsed="false">
      <c r="A336" s="0" t="n">
        <v>0.872945835876408</v>
      </c>
      <c r="B336" s="0" t="n">
        <v>0.732224886409561</v>
      </c>
      <c r="C336" s="0" t="n">
        <v>0.80656114786145</v>
      </c>
      <c r="D336" s="0" t="n">
        <f aca="false">A336/SUM($A336:$C336)</f>
        <v>0.361958079453936</v>
      </c>
      <c r="E336" s="0" t="n">
        <f aca="false">B336/SUM($A336:$C336)</f>
        <v>0.303609574295174</v>
      </c>
      <c r="F336" s="0" t="n">
        <f aca="false">C336/SUM($A336:$C336)</f>
        <v>0.334432346250891</v>
      </c>
      <c r="G336" s="0" t="n">
        <f aca="false">SUMPRODUCT(D336:F336,Stats!$B$6:$D$6)</f>
        <v>0.364731163088664</v>
      </c>
      <c r="H336" s="0" t="n">
        <f aca="false">SQRT(SUMPRODUCT(MMULT(D336:F336,Stats!$B$12:$D$14),D336:F336))</f>
        <v>0.22535579346505</v>
      </c>
      <c r="I336" s="0" t="n">
        <f aca="false">(G336-Stats!$B$2)/H336</f>
        <v>1.4320961450619</v>
      </c>
    </row>
    <row r="337" customFormat="false" ht="15" hidden="false" customHeight="false" outlineLevel="0" collapsed="false">
      <c r="A337" s="0" t="n">
        <v>0.658783366710717</v>
      </c>
      <c r="B337" s="0" t="n">
        <v>0.692276564517853</v>
      </c>
      <c r="C337" s="0" t="n">
        <v>0.849195651565319</v>
      </c>
      <c r="D337" s="0" t="n">
        <f aca="false">A337/SUM($A337:$C337)</f>
        <v>0.299412200956306</v>
      </c>
      <c r="E337" s="0" t="n">
        <f aca="false">B337/SUM($A337:$C337)</f>
        <v>0.314634613329238</v>
      </c>
      <c r="F337" s="0" t="n">
        <f aca="false">C337/SUM($A337:$C337)</f>
        <v>0.385953185714456</v>
      </c>
      <c r="G337" s="0" t="n">
        <f aca="false">SUMPRODUCT(D337:F337,Stats!$B$6:$D$6)</f>
        <v>0.363944862233004</v>
      </c>
      <c r="H337" s="0" t="n">
        <f aca="false">SQRT(SUMPRODUCT(MMULT(D337:F337,Stats!$B$12:$D$14),D337:F337))</f>
        <v>0.227361259675092</v>
      </c>
      <c r="I337" s="0" t="n">
        <f aca="false">(G337-Stats!$B$2)/H337</f>
        <v>1.41600579928646</v>
      </c>
    </row>
    <row r="338" customFormat="false" ht="15" hidden="false" customHeight="false" outlineLevel="0" collapsed="false">
      <c r="A338" s="0" t="n">
        <v>0.249668008859186</v>
      </c>
      <c r="B338" s="0" t="n">
        <v>0.489424963643141</v>
      </c>
      <c r="C338" s="0" t="n">
        <v>0.221209441819602</v>
      </c>
      <c r="D338" s="0" t="n">
        <f aca="false">A338/SUM($A338:$C338)</f>
        <v>0.259988942166179</v>
      </c>
      <c r="E338" s="0" t="n">
        <f aca="false">B338/SUM($A338:$C338)</f>
        <v>0.509657120865123</v>
      </c>
      <c r="F338" s="0" t="n">
        <f aca="false">C338/SUM($A338:$C338)</f>
        <v>0.230353936968698</v>
      </c>
      <c r="G338" s="0" t="n">
        <f aca="false">SUMPRODUCT(D338:F338,Stats!$B$6:$D$6)</f>
        <v>0.379456794341473</v>
      </c>
      <c r="H338" s="0" t="n">
        <f aca="false">SQRT(SUMPRODUCT(MMULT(D338:F338,Stats!$B$12:$D$14),D338:F338))</f>
        <v>0.230635031505242</v>
      </c>
      <c r="I338" s="0" t="n">
        <f aca="false">(G338-Stats!$B$2)/H338</f>
        <v>1.46316364924729</v>
      </c>
    </row>
    <row r="339" customFormat="false" ht="15" hidden="false" customHeight="false" outlineLevel="0" collapsed="false">
      <c r="A339" s="0" t="n">
        <v>0.987668007996647</v>
      </c>
      <c r="B339" s="0" t="n">
        <v>0.944059339686613</v>
      </c>
      <c r="C339" s="0" t="n">
        <v>0.0394268113685059</v>
      </c>
      <c r="D339" s="0" t="n">
        <f aca="false">A339/SUM($A339:$C339)</f>
        <v>0.501060763543613</v>
      </c>
      <c r="E339" s="0" t="n">
        <f aca="false">B339/SUM($A339:$C339)</f>
        <v>0.478937345083531</v>
      </c>
      <c r="F339" s="0" t="n">
        <f aca="false">C339/SUM($A339:$C339)</f>
        <v>0.0200018913728556</v>
      </c>
      <c r="G339" s="0" t="n">
        <f aca="false">SUMPRODUCT(D339:F339,Stats!$B$6:$D$6)</f>
        <v>0.383489594954483</v>
      </c>
      <c r="H339" s="0" t="n">
        <f aca="false">SQRT(SUMPRODUCT(MMULT(D339:F339,Stats!$B$12:$D$14),D339:F339))</f>
        <v>0.228829475831368</v>
      </c>
      <c r="I339" s="0" t="n">
        <f aca="false">(G339-Stats!$B$2)/H339</f>
        <v>1.49233219939785</v>
      </c>
    </row>
    <row r="340" customFormat="false" ht="15" hidden="false" customHeight="false" outlineLevel="0" collapsed="false">
      <c r="A340" s="0" t="n">
        <v>0.705575172515689</v>
      </c>
      <c r="B340" s="0" t="n">
        <v>0.925248317415666</v>
      </c>
      <c r="C340" s="0" t="n">
        <v>0.180575345127334</v>
      </c>
      <c r="D340" s="0" t="n">
        <f aca="false">A340/SUM($A340:$C340)</f>
        <v>0.389519502198879</v>
      </c>
      <c r="E340" s="0" t="n">
        <f aca="false">B340/SUM($A340:$C340)</f>
        <v>0.510792156596307</v>
      </c>
      <c r="F340" s="0" t="n">
        <f aca="false">C340/SUM($A340:$C340)</f>
        <v>0.0996883412048142</v>
      </c>
      <c r="G340" s="0" t="n">
        <f aca="false">SUMPRODUCT(D340:F340,Stats!$B$6:$D$6)</f>
        <v>0.383125156374956</v>
      </c>
      <c r="H340" s="0" t="n">
        <f aca="false">SQRT(SUMPRODUCT(MMULT(D340:F340,Stats!$B$12:$D$14),D340:F340))</f>
        <v>0.229004384713952</v>
      </c>
      <c r="I340" s="0" t="n">
        <f aca="false">(G340-Stats!$B$2)/H340</f>
        <v>1.48960098209933</v>
      </c>
    </row>
    <row r="341" customFormat="false" ht="15" hidden="false" customHeight="false" outlineLevel="0" collapsed="false">
      <c r="A341" s="0" t="n">
        <v>0.56794523055263</v>
      </c>
      <c r="B341" s="0" t="n">
        <v>0.915488297588042</v>
      </c>
      <c r="C341" s="0" t="n">
        <v>0.0339459785857988</v>
      </c>
      <c r="D341" s="0" t="n">
        <f aca="false">A341/SUM($A341:$C341)</f>
        <v>0.374293463194248</v>
      </c>
      <c r="E341" s="0" t="n">
        <f aca="false">B341/SUM($A341:$C341)</f>
        <v>0.603335087583381</v>
      </c>
      <c r="F341" s="0" t="n">
        <f aca="false">C341/SUM($A341:$C341)</f>
        <v>0.0223714492223718</v>
      </c>
      <c r="G341" s="0" t="n">
        <f aca="false">SUMPRODUCT(D341:F341,Stats!$B$6:$D$6)</f>
        <v>0.390581940406756</v>
      </c>
      <c r="H341" s="0" t="n">
        <f aca="false">SQRT(SUMPRODUCT(MMULT(D341:F341,Stats!$B$12:$D$14),D341:F341))</f>
        <v>0.232454728337845</v>
      </c>
      <c r="I341" s="0" t="n">
        <f aca="false">(G341-Stats!$B$2)/H341</f>
        <v>1.49956915438663</v>
      </c>
    </row>
    <row r="342" customFormat="false" ht="15" hidden="false" customHeight="false" outlineLevel="0" collapsed="false">
      <c r="A342" s="0" t="n">
        <v>0.69742026724684</v>
      </c>
      <c r="B342" s="0" t="n">
        <v>0.297349007372551</v>
      </c>
      <c r="C342" s="0" t="n">
        <v>0.92439619537653</v>
      </c>
      <c r="D342" s="0" t="n">
        <f aca="false">A342/SUM($A342:$C342)</f>
        <v>0.363397673702582</v>
      </c>
      <c r="E342" s="0" t="n">
        <f aca="false">B342/SUM($A342:$C342)</f>
        <v>0.154936618035954</v>
      </c>
      <c r="F342" s="0" t="n">
        <f aca="false">C342/SUM($A342:$C342)</f>
        <v>0.481665708261464</v>
      </c>
      <c r="G342" s="0" t="n">
        <f aca="false">SUMPRODUCT(D342:F342,Stats!$B$6:$D$6)</f>
        <v>0.352116810280637</v>
      </c>
      <c r="H342" s="0" t="n">
        <f aca="false">SQRT(SUMPRODUCT(MMULT(D342:F342,Stats!$B$12:$D$14),D342:F342))</f>
        <v>0.225863447735091</v>
      </c>
      <c r="I342" s="0" t="n">
        <f aca="false">(G342-Stats!$B$2)/H342</f>
        <v>1.37302787764209</v>
      </c>
    </row>
    <row r="343" customFormat="false" ht="15" hidden="false" customHeight="false" outlineLevel="0" collapsed="false">
      <c r="A343" s="0" t="n">
        <v>0.971058245165368</v>
      </c>
      <c r="B343" s="0" t="n">
        <v>0.944266489113434</v>
      </c>
      <c r="C343" s="0" t="n">
        <v>0.474214216657464</v>
      </c>
      <c r="D343" s="0" t="n">
        <f aca="false">A343/SUM($A343:$C343)</f>
        <v>0.406378914553742</v>
      </c>
      <c r="E343" s="0" t="n">
        <f aca="false">B343/SUM($A343:$C343)</f>
        <v>0.395166811883712</v>
      </c>
      <c r="F343" s="0" t="n">
        <f aca="false">C343/SUM($A343:$C343)</f>
        <v>0.198454273562546</v>
      </c>
      <c r="G343" s="0" t="n">
        <f aca="false">SUMPRODUCT(D343:F343,Stats!$B$6:$D$6)</f>
        <v>0.373748791093759</v>
      </c>
      <c r="H343" s="0" t="n">
        <f aca="false">SQRT(SUMPRODUCT(MMULT(D343:F343,Stats!$B$12:$D$14),D343:F343))</f>
        <v>0.225797899632954</v>
      </c>
      <c r="I343" s="0" t="n">
        <f aca="false">(G343-Stats!$B$2)/H343</f>
        <v>1.46922886188504</v>
      </c>
    </row>
    <row r="344" customFormat="false" ht="15" hidden="false" customHeight="false" outlineLevel="0" collapsed="false">
      <c r="A344" s="0" t="n">
        <v>0.862042650989313</v>
      </c>
      <c r="B344" s="0" t="n">
        <v>0.84454939853507</v>
      </c>
      <c r="C344" s="0" t="n">
        <v>0.319100473243256</v>
      </c>
      <c r="D344" s="0" t="n">
        <f aca="false">A344/SUM($A344:$C344)</f>
        <v>0.425554540632619</v>
      </c>
      <c r="E344" s="0" t="n">
        <f aca="false">B344/SUM($A344:$C344)</f>
        <v>0.41691885073515</v>
      </c>
      <c r="F344" s="0" t="n">
        <f aca="false">C344/SUM($A344:$C344)</f>
        <v>0.157526608632232</v>
      </c>
      <c r="G344" s="0" t="n">
        <f aca="false">SUMPRODUCT(D344:F344,Stats!$B$6:$D$6)</f>
        <v>0.376128939875003</v>
      </c>
      <c r="H344" s="0" t="n">
        <f aca="false">SQRT(SUMPRODUCT(MMULT(D344:F344,Stats!$B$12:$D$14),D344:F344))</f>
        <v>0.226199530908311</v>
      </c>
      <c r="I344" s="0" t="n">
        <f aca="false">(G344-Stats!$B$2)/H344</f>
        <v>1.47714249686239</v>
      </c>
    </row>
    <row r="345" customFormat="false" ht="15" hidden="false" customHeight="false" outlineLevel="0" collapsed="false">
      <c r="A345" s="0" t="n">
        <v>0.828915474150677</v>
      </c>
      <c r="B345" s="0" t="n">
        <v>0.0370076347154926</v>
      </c>
      <c r="C345" s="0" t="n">
        <v>0.596269878482053</v>
      </c>
      <c r="D345" s="0" t="n">
        <f aca="false">A345/SUM($A345:$C345)</f>
        <v>0.566898816587793</v>
      </c>
      <c r="E345" s="0" t="n">
        <f aca="false">B345/SUM($A345:$C345)</f>
        <v>0.0253096787056873</v>
      </c>
      <c r="F345" s="0" t="n">
        <f aca="false">C345/SUM($A345:$C345)</f>
        <v>0.40779150470652</v>
      </c>
      <c r="G345" s="0" t="n">
        <f aca="false">SUMPRODUCT(D345:F345,Stats!$B$6:$D$6)</f>
        <v>0.346695296713953</v>
      </c>
      <c r="H345" s="0" t="n">
        <f aca="false">SQRT(SUMPRODUCT(MMULT(D345:F345,Stats!$B$12:$D$14),D345:F345))</f>
        <v>0.221773386584139</v>
      </c>
      <c r="I345" s="0" t="n">
        <f aca="false">(G345-Stats!$B$2)/H345</f>
        <v>1.37390379164524</v>
      </c>
    </row>
    <row r="346" customFormat="false" ht="15" hidden="false" customHeight="false" outlineLevel="0" collapsed="false">
      <c r="A346" s="0" t="n">
        <v>0.230008837287703</v>
      </c>
      <c r="B346" s="0" t="n">
        <v>0.120566885777279</v>
      </c>
      <c r="C346" s="0" t="n">
        <v>0.0769532016292092</v>
      </c>
      <c r="D346" s="0" t="n">
        <f aca="false">A346/SUM($A346:$C346)</f>
        <v>0.537995967061707</v>
      </c>
      <c r="E346" s="0" t="n">
        <f aca="false">B346/SUM($A346:$C346)</f>
        <v>0.282008722248488</v>
      </c>
      <c r="F346" s="0" t="n">
        <f aca="false">C346/SUM($A346:$C346)</f>
        <v>0.179995310689805</v>
      </c>
      <c r="G346" s="0" t="n">
        <f aca="false">SUMPRODUCT(D346:F346,Stats!$B$6:$D$6)</f>
        <v>0.367746819875323</v>
      </c>
      <c r="H346" s="0" t="n">
        <f aca="false">SQRT(SUMPRODUCT(MMULT(D346:F346,Stats!$B$12:$D$14),D346:F346))</f>
        <v>0.223326309661768</v>
      </c>
      <c r="I346" s="0" t="n">
        <f aca="false">(G346-Stats!$B$2)/H346</f>
        <v>1.45861372253306</v>
      </c>
    </row>
    <row r="347" customFormat="false" ht="15" hidden="false" customHeight="false" outlineLevel="0" collapsed="false">
      <c r="A347" s="0" t="n">
        <v>0.69628877587814</v>
      </c>
      <c r="B347" s="0" t="n">
        <v>0.339874963768066</v>
      </c>
      <c r="C347" s="0" t="n">
        <v>0.724766771528762</v>
      </c>
      <c r="D347" s="0" t="n">
        <f aca="false">A347/SUM($A347:$C347)</f>
        <v>0.395409569803834</v>
      </c>
      <c r="E347" s="0" t="n">
        <f aca="false">B347/SUM($A347:$C347)</f>
        <v>0.193008731242488</v>
      </c>
      <c r="F347" s="0" t="n">
        <f aca="false">C347/SUM($A347:$C347)</f>
        <v>0.411581698953678</v>
      </c>
      <c r="G347" s="0" t="n">
        <f aca="false">SUMPRODUCT(D347:F347,Stats!$B$6:$D$6)</f>
        <v>0.356239969999704</v>
      </c>
      <c r="H347" s="0" t="n">
        <f aca="false">SQRT(SUMPRODUCT(MMULT(D347:F347,Stats!$B$12:$D$14),D347:F347))</f>
        <v>0.224388174565329</v>
      </c>
      <c r="I347" s="0" t="n">
        <f aca="false">(G347-Stats!$B$2)/H347</f>
        <v>1.40043017243859</v>
      </c>
    </row>
    <row r="348" customFormat="false" ht="15" hidden="false" customHeight="false" outlineLevel="0" collapsed="false">
      <c r="A348" s="0" t="n">
        <v>0.0653563407989424</v>
      </c>
      <c r="B348" s="0" t="n">
        <v>0.31529033783061</v>
      </c>
      <c r="C348" s="0" t="n">
        <v>0.539491292375337</v>
      </c>
      <c r="D348" s="0" t="n">
        <f aca="false">A348/SUM($A348:$C348)</f>
        <v>0.071028848779674</v>
      </c>
      <c r="E348" s="0" t="n">
        <f aca="false">B348/SUM($A348:$C348)</f>
        <v>0.342655501420379</v>
      </c>
      <c r="F348" s="0" t="n">
        <f aca="false">C348/SUM($A348:$C348)</f>
        <v>0.586315649799948</v>
      </c>
      <c r="G348" s="0" t="n">
        <f aca="false">SUMPRODUCT(D348:F348,Stats!$B$6:$D$6)</f>
        <v>0.36003222998334</v>
      </c>
      <c r="H348" s="0" t="n">
        <f aca="false">SQRT(SUMPRODUCT(MMULT(D348:F348,Stats!$B$12:$D$14),D348:F348))</f>
        <v>0.239952290481241</v>
      </c>
      <c r="I348" s="0" t="n">
        <f aca="false">(G348-Stats!$B$2)/H348</f>
        <v>1.32539776697069</v>
      </c>
    </row>
    <row r="349" customFormat="false" ht="15" hidden="false" customHeight="false" outlineLevel="0" collapsed="false">
      <c r="A349" s="0" t="n">
        <v>0.790723164838964</v>
      </c>
      <c r="B349" s="0" t="n">
        <v>0.31875250293207</v>
      </c>
      <c r="C349" s="0" t="n">
        <v>0.625891376437009</v>
      </c>
      <c r="D349" s="0" t="n">
        <f aca="false">A349/SUM($A349:$C349)</f>
        <v>0.455651827363024</v>
      </c>
      <c r="E349" s="0" t="n">
        <f aca="false">B349/SUM($A349:$C349)</f>
        <v>0.183680163799317</v>
      </c>
      <c r="F349" s="0" t="n">
        <f aca="false">C349/SUM($A349:$C349)</f>
        <v>0.360668008837659</v>
      </c>
      <c r="G349" s="0" t="n">
        <f aca="false">SUMPRODUCT(D349:F349,Stats!$B$6:$D$6)</f>
        <v>0.357107141725267</v>
      </c>
      <c r="H349" s="0" t="n">
        <f aca="false">SQRT(SUMPRODUCT(MMULT(D349:F349,Stats!$B$12:$D$14),D349:F349))</f>
        <v>0.222896569721075</v>
      </c>
      <c r="I349" s="0" t="n">
        <f aca="false">(G349-Stats!$B$2)/H349</f>
        <v>1.41369219867126</v>
      </c>
    </row>
    <row r="350" customFormat="false" ht="15" hidden="false" customHeight="false" outlineLevel="0" collapsed="false">
      <c r="A350" s="0" t="n">
        <v>0.885977748236187</v>
      </c>
      <c r="B350" s="0" t="n">
        <v>0.615863188182305</v>
      </c>
      <c r="C350" s="0" t="n">
        <v>0.232959474753634</v>
      </c>
      <c r="D350" s="0" t="n">
        <f aca="false">A350/SUM($A350:$C350)</f>
        <v>0.510708749277718</v>
      </c>
      <c r="E350" s="0" t="n">
        <f aca="false">B350/SUM($A350:$C350)</f>
        <v>0.355005212251589</v>
      </c>
      <c r="F350" s="0" t="n">
        <f aca="false">C350/SUM($A350:$C350)</f>
        <v>0.134286038470693</v>
      </c>
      <c r="G350" s="0" t="n">
        <f aca="false">SUMPRODUCT(D350:F350,Stats!$B$6:$D$6)</f>
        <v>0.373207359033325</v>
      </c>
      <c r="H350" s="0" t="n">
        <f aca="false">SQRT(SUMPRODUCT(MMULT(D350:F350,Stats!$B$12:$D$14),D350:F350))</f>
        <v>0.224830315498276</v>
      </c>
      <c r="I350" s="0" t="n">
        <f aca="false">(G350-Stats!$B$2)/H350</f>
        <v>1.47314368304511</v>
      </c>
    </row>
    <row r="351" customFormat="false" ht="15" hidden="false" customHeight="false" outlineLevel="0" collapsed="false">
      <c r="A351" s="0" t="n">
        <v>0.024400781556538</v>
      </c>
      <c r="B351" s="0" t="n">
        <v>0.87009887390093</v>
      </c>
      <c r="C351" s="0" t="n">
        <v>0.0212694108503871</v>
      </c>
      <c r="D351" s="0" t="n">
        <f aca="false">A351/SUM($A351:$C351)</f>
        <v>0.0266451253424793</v>
      </c>
      <c r="E351" s="0" t="n">
        <f aca="false">B351/SUM($A351:$C351)</f>
        <v>0.950129138352472</v>
      </c>
      <c r="F351" s="0" t="n">
        <f aca="false">C351/SUM($A351:$C351)</f>
        <v>0.023225736305049</v>
      </c>
      <c r="G351" s="0" t="n">
        <f aca="false">SUMPRODUCT(D351:F351,Stats!$B$6:$D$6)</f>
        <v>0.410512464603524</v>
      </c>
      <c r="H351" s="0" t="n">
        <f aca="false">SQRT(SUMPRODUCT(MMULT(D351:F351,Stats!$B$12:$D$14),D351:F351))</f>
        <v>0.251559304059461</v>
      </c>
      <c r="I351" s="0" t="n">
        <f aca="false">(G351-Stats!$B$2)/H351</f>
        <v>1.46491288001186</v>
      </c>
    </row>
    <row r="352" customFormat="false" ht="15" hidden="false" customHeight="false" outlineLevel="0" collapsed="false">
      <c r="A352" s="0" t="n">
        <v>0.874701672684199</v>
      </c>
      <c r="B352" s="0" t="n">
        <v>0.528937134027212</v>
      </c>
      <c r="C352" s="0" t="n">
        <v>0.939067698512896</v>
      </c>
      <c r="D352" s="0" t="n">
        <f aca="false">A352/SUM($A352:$C352)</f>
        <v>0.373372281475971</v>
      </c>
      <c r="E352" s="0" t="n">
        <f aca="false">B352/SUM($A352:$C352)</f>
        <v>0.225780366788441</v>
      </c>
      <c r="F352" s="0" t="n">
        <f aca="false">C352/SUM($A352:$C352)</f>
        <v>0.400847351735587</v>
      </c>
      <c r="G352" s="0" t="n">
        <f aca="false">SUMPRODUCT(D352:F352,Stats!$B$6:$D$6)</f>
        <v>0.358421602989412</v>
      </c>
      <c r="H352" s="0" t="n">
        <f aca="false">SQRT(SUMPRODUCT(MMULT(D352:F352,Stats!$B$12:$D$14),D352:F352))</f>
        <v>0.224939198605735</v>
      </c>
      <c r="I352" s="0" t="n">
        <f aca="false">(G352-Stats!$B$2)/H352</f>
        <v>1.40669836538372</v>
      </c>
    </row>
    <row r="353" customFormat="false" ht="15" hidden="false" customHeight="false" outlineLevel="0" collapsed="false">
      <c r="A353" s="0" t="n">
        <v>0.798783235773665</v>
      </c>
      <c r="B353" s="0" t="n">
        <v>0.997934110533338</v>
      </c>
      <c r="C353" s="0" t="n">
        <v>0.35071181545171</v>
      </c>
      <c r="D353" s="0" t="n">
        <f aca="false">A353/SUM($A353:$C353)</f>
        <v>0.371971867569999</v>
      </c>
      <c r="E353" s="0" t="n">
        <f aca="false">B353/SUM($A353:$C353)</f>
        <v>0.464711073270535</v>
      </c>
      <c r="F353" s="0" t="n">
        <f aca="false">C353/SUM($A353:$C353)</f>
        <v>0.163317059159466</v>
      </c>
      <c r="G353" s="0" t="n">
        <f aca="false">SUMPRODUCT(D353:F353,Stats!$B$6:$D$6)</f>
        <v>0.378719173057262</v>
      </c>
      <c r="H353" s="0" t="n">
        <f aca="false">SQRT(SUMPRODUCT(MMULT(D353:F353,Stats!$B$12:$D$14),D353:F353))</f>
        <v>0.227717258919833</v>
      </c>
      <c r="I353" s="0" t="n">
        <f aca="false">(G353-Stats!$B$2)/H353</f>
        <v>1.4786721685237</v>
      </c>
    </row>
    <row r="354" customFormat="false" ht="15" hidden="false" customHeight="false" outlineLevel="0" collapsed="false">
      <c r="A354" s="0" t="n">
        <v>0.767188288931127</v>
      </c>
      <c r="B354" s="0" t="n">
        <v>0.401930913609242</v>
      </c>
      <c r="C354" s="0" t="n">
        <v>0.479875620303909</v>
      </c>
      <c r="D354" s="0" t="n">
        <f aca="false">A354/SUM($A354:$C354)</f>
        <v>0.465246026429506</v>
      </c>
      <c r="E354" s="0" t="n">
        <f aca="false">B354/SUM($A354:$C354)</f>
        <v>0.24374298090031</v>
      </c>
      <c r="F354" s="0" t="n">
        <f aca="false">C354/SUM($A354:$C354)</f>
        <v>0.291010992670185</v>
      </c>
      <c r="G354" s="0" t="n">
        <f aca="false">SUMPRODUCT(D354:F354,Stats!$B$6:$D$6)</f>
        <v>0.362483843912796</v>
      </c>
      <c r="H354" s="0" t="n">
        <f aca="false">SQRT(SUMPRODUCT(MMULT(D354:F354,Stats!$B$12:$D$14),D354:F354))</f>
        <v>0.222984583613805</v>
      </c>
      <c r="I354" s="0" t="n">
        <f aca="false">(G354-Stats!$B$2)/H354</f>
        <v>1.43724664153399</v>
      </c>
    </row>
    <row r="355" customFormat="false" ht="15" hidden="false" customHeight="false" outlineLevel="0" collapsed="false">
      <c r="A355" s="0" t="n">
        <v>0.62750546321837</v>
      </c>
      <c r="B355" s="0" t="n">
        <v>0.873677114186339</v>
      </c>
      <c r="C355" s="0" t="n">
        <v>0.984083469199295</v>
      </c>
      <c r="D355" s="0" t="n">
        <f aca="false">A355/SUM($A355:$C355)</f>
        <v>0.252490257160124</v>
      </c>
      <c r="E355" s="0" t="n">
        <f aca="false">B355/SUM($A355:$C355)</f>
        <v>0.351542691125635</v>
      </c>
      <c r="F355" s="0" t="n">
        <f aca="false">C355/SUM($A355:$C355)</f>
        <v>0.395967051714241</v>
      </c>
      <c r="G355" s="0" t="n">
        <f aca="false">SUMPRODUCT(D355:F355,Stats!$B$6:$D$6)</f>
        <v>0.365792376756809</v>
      </c>
      <c r="H355" s="0" t="n">
        <f aca="false">SQRT(SUMPRODUCT(MMULT(D355:F355,Stats!$B$12:$D$14),D355:F355))</f>
        <v>0.229236263484185</v>
      </c>
      <c r="I355" s="0" t="n">
        <f aca="false">(G355-Stats!$B$2)/H355</f>
        <v>1.41248322510347</v>
      </c>
    </row>
    <row r="356" customFormat="false" ht="15" hidden="false" customHeight="false" outlineLevel="0" collapsed="false">
      <c r="A356" s="0" t="n">
        <v>0.768273413864518</v>
      </c>
      <c r="B356" s="0" t="n">
        <v>0.417766782167334</v>
      </c>
      <c r="C356" s="0" t="n">
        <v>0.42135700227707</v>
      </c>
      <c r="D356" s="0" t="n">
        <f aca="false">A356/SUM($A356:$C356)</f>
        <v>0.477961150282449</v>
      </c>
      <c r="E356" s="0" t="n">
        <f aca="false">B356/SUM($A356:$C356)</f>
        <v>0.259902644229348</v>
      </c>
      <c r="F356" s="0" t="n">
        <f aca="false">C356/SUM($A356:$C356)</f>
        <v>0.262136205488203</v>
      </c>
      <c r="G356" s="0" t="n">
        <f aca="false">SUMPRODUCT(D356:F356,Stats!$B$6:$D$6)</f>
        <v>0.364209861176422</v>
      </c>
      <c r="H356" s="0" t="n">
        <f aca="false">SQRT(SUMPRODUCT(MMULT(D356:F356,Stats!$B$12:$D$14),D356:F356))</f>
        <v>0.223019005553367</v>
      </c>
      <c r="I356" s="0" t="n">
        <f aca="false">(G356-Stats!$B$2)/H356</f>
        <v>1.44476413737447</v>
      </c>
    </row>
    <row r="357" customFormat="false" ht="15" hidden="false" customHeight="false" outlineLevel="0" collapsed="false">
      <c r="A357" s="0" t="n">
        <v>0.737582301588892</v>
      </c>
      <c r="B357" s="0" t="n">
        <v>0.238777145768302</v>
      </c>
      <c r="C357" s="0" t="n">
        <v>0.110474113131395</v>
      </c>
      <c r="D357" s="0" t="n">
        <f aca="false">A357/SUM($A357:$C357)</f>
        <v>0.678652489583879</v>
      </c>
      <c r="E357" s="0" t="n">
        <f aca="false">B357/SUM($A357:$C357)</f>
        <v>0.21969982750713</v>
      </c>
      <c r="F357" s="0" t="n">
        <f aca="false">C357/SUM($A357:$C357)</f>
        <v>0.101647682908992</v>
      </c>
      <c r="G357" s="0" t="n">
        <f aca="false">SUMPRODUCT(D357:F357,Stats!$B$6:$D$6)</f>
        <v>0.366322052418704</v>
      </c>
      <c r="H357" s="0" t="n">
        <f aca="false">SQRT(SUMPRODUCT(MMULT(D357:F357,Stats!$B$12:$D$14),D357:F357))</f>
        <v>0.224282561260212</v>
      </c>
      <c r="I357" s="0" t="n">
        <f aca="false">(G357-Stats!$B$2)/H357</f>
        <v>1.44604221833558</v>
      </c>
    </row>
    <row r="358" customFormat="false" ht="15" hidden="false" customHeight="false" outlineLevel="0" collapsed="false">
      <c r="A358" s="0" t="n">
        <v>0.354622157640777</v>
      </c>
      <c r="B358" s="0" t="n">
        <v>0.287238991654082</v>
      </c>
      <c r="C358" s="0" t="n">
        <v>0.29630812045599</v>
      </c>
      <c r="D358" s="0" t="n">
        <f aca="false">A358/SUM($A358:$C358)</f>
        <v>0.377993789686753</v>
      </c>
      <c r="E358" s="0" t="n">
        <f aca="false">B358/SUM($A358:$C358)</f>
        <v>0.306169686980223</v>
      </c>
      <c r="F358" s="0" t="n">
        <f aca="false">C358/SUM($A358:$C358)</f>
        <v>0.315836523333024</v>
      </c>
      <c r="G358" s="0" t="n">
        <f aca="false">SUMPRODUCT(D358:F358,Stats!$B$6:$D$6)</f>
        <v>0.365391241323703</v>
      </c>
      <c r="H358" s="0" t="n">
        <f aca="false">SQRT(SUMPRODUCT(MMULT(D358:F358,Stats!$B$12:$D$14),D358:F358))</f>
        <v>0.224980329372059</v>
      </c>
      <c r="I358" s="0" t="n">
        <f aca="false">(G358-Stats!$B$2)/H358</f>
        <v>1.43742007235174</v>
      </c>
    </row>
    <row r="359" customFormat="false" ht="15" hidden="false" customHeight="false" outlineLevel="0" collapsed="false">
      <c r="A359" s="0" t="n">
        <v>0.23360775104991</v>
      </c>
      <c r="B359" s="0" t="n">
        <v>0.0420931896363619</v>
      </c>
      <c r="C359" s="0" t="n">
        <v>0.0178739347334138</v>
      </c>
      <c r="D359" s="0" t="n">
        <f aca="false">A359/SUM($A359:$C359)</f>
        <v>0.795734821366956</v>
      </c>
      <c r="E359" s="0" t="n">
        <f aca="false">B359/SUM($A359:$C359)</f>
        <v>0.14338144426081</v>
      </c>
      <c r="F359" s="0" t="n">
        <f aca="false">C359/SUM($A359:$C359)</f>
        <v>0.0608837343722339</v>
      </c>
      <c r="G359" s="0" t="n">
        <f aca="false">SUMPRODUCT(D359:F359,Stats!$B$6:$D$6)</f>
        <v>0.363054841625923</v>
      </c>
      <c r="H359" s="0" t="n">
        <f aca="false">SQRT(SUMPRODUCT(MMULT(D359:F359,Stats!$B$12:$D$14),D359:F359))</f>
        <v>0.226353328442274</v>
      </c>
      <c r="I359" s="0" t="n">
        <f aca="false">(G359-Stats!$B$2)/H359</f>
        <v>1.41837915013386</v>
      </c>
    </row>
    <row r="360" customFormat="false" ht="15" hidden="false" customHeight="false" outlineLevel="0" collapsed="false">
      <c r="A360" s="0" t="n">
        <v>0.987722389736032</v>
      </c>
      <c r="B360" s="0" t="n">
        <v>0.427773133735862</v>
      </c>
      <c r="C360" s="0" t="n">
        <v>0.384326647159682</v>
      </c>
      <c r="D360" s="0" t="n">
        <f aca="false">A360/SUM($A360:$C360)</f>
        <v>0.548788878064231</v>
      </c>
      <c r="E360" s="0" t="n">
        <f aca="false">B360/SUM($A360:$C360)</f>
        <v>0.237675221872477</v>
      </c>
      <c r="F360" s="0" t="n">
        <f aca="false">C360/SUM($A360:$C360)</f>
        <v>0.213535900063292</v>
      </c>
      <c r="G360" s="0" t="n">
        <f aca="false">SUMPRODUCT(D360:F360,Stats!$B$6:$D$6)</f>
        <v>0.364271058791829</v>
      </c>
      <c r="H360" s="0" t="n">
        <f aca="false">SQRT(SUMPRODUCT(MMULT(D360:F360,Stats!$B$12:$D$14),D360:F360))</f>
        <v>0.222584845683741</v>
      </c>
      <c r="I360" s="0" t="n">
        <f aca="false">(G360-Stats!$B$2)/H360</f>
        <v>1.44785714320249</v>
      </c>
    </row>
    <row r="361" customFormat="false" ht="15" hidden="false" customHeight="false" outlineLevel="0" collapsed="false">
      <c r="A361" s="0" t="n">
        <v>0.67964728269307</v>
      </c>
      <c r="B361" s="0" t="n">
        <v>0.218253887865064</v>
      </c>
      <c r="C361" s="0" t="n">
        <v>0.949961183950225</v>
      </c>
      <c r="D361" s="0" t="n">
        <f aca="false">A361/SUM($A361:$C361)</f>
        <v>0.367801898791264</v>
      </c>
      <c r="E361" s="0" t="n">
        <f aca="false">B361/SUM($A361:$C361)</f>
        <v>0.118111550534365</v>
      </c>
      <c r="F361" s="0" t="n">
        <f aca="false">C361/SUM($A361:$C361)</f>
        <v>0.514086550674372</v>
      </c>
      <c r="G361" s="0" t="n">
        <f aca="false">SUMPRODUCT(D361:F361,Stats!$B$6:$D$6)</f>
        <v>0.349103951298523</v>
      </c>
      <c r="H361" s="0" t="n">
        <f aca="false">SQRT(SUMPRODUCT(MMULT(D361:F361,Stats!$B$12:$D$14),D361:F361))</f>
        <v>0.226227063129574</v>
      </c>
      <c r="I361" s="0" t="n">
        <f aca="false">(G361-Stats!$B$2)/H361</f>
        <v>1.35750315214332</v>
      </c>
    </row>
    <row r="362" customFormat="false" ht="15" hidden="false" customHeight="false" outlineLevel="0" collapsed="false">
      <c r="A362" s="0" t="n">
        <v>0.786345014415552</v>
      </c>
      <c r="B362" s="0" t="n">
        <v>0.0894110023122595</v>
      </c>
      <c r="C362" s="0" t="n">
        <v>0.417580775784928</v>
      </c>
      <c r="D362" s="0" t="n">
        <f aca="false">A362/SUM($A362:$C362)</f>
        <v>0.60799709632308</v>
      </c>
      <c r="E362" s="0" t="n">
        <f aca="false">B362/SUM($A362:$C362)</f>
        <v>0.0691320333805309</v>
      </c>
      <c r="F362" s="0" t="n">
        <f aca="false">C362/SUM($A362:$C362)</f>
        <v>0.322870870296389</v>
      </c>
      <c r="G362" s="0" t="n">
        <f aca="false">SUMPRODUCT(D362:F362,Stats!$B$6:$D$6)</f>
        <v>0.351558432115446</v>
      </c>
      <c r="H362" s="0" t="n">
        <f aca="false">SQRT(SUMPRODUCT(MMULT(D362:F362,Stats!$B$12:$D$14),D362:F362))</f>
        <v>0.221291293073566</v>
      </c>
      <c r="I362" s="0" t="n">
        <f aca="false">(G362-Stats!$B$2)/H362</f>
        <v>1.39887307727257</v>
      </c>
    </row>
    <row r="363" customFormat="false" ht="15" hidden="false" customHeight="false" outlineLevel="0" collapsed="false">
      <c r="A363" s="0" t="n">
        <v>0.879118307562165</v>
      </c>
      <c r="B363" s="0" t="n">
        <v>0.94473202229141</v>
      </c>
      <c r="C363" s="0" t="n">
        <v>0.46740151124987</v>
      </c>
      <c r="D363" s="0" t="n">
        <f aca="false">A363/SUM($A363:$C363)</f>
        <v>0.383684714090089</v>
      </c>
      <c r="E363" s="0" t="n">
        <f aca="false">B363/SUM($A363:$C363)</f>
        <v>0.412321336896967</v>
      </c>
      <c r="F363" s="0" t="n">
        <f aca="false">C363/SUM($A363:$C363)</f>
        <v>0.203993949012944</v>
      </c>
      <c r="G363" s="0" t="n">
        <f aca="false">SUMPRODUCT(D363:F363,Stats!$B$6:$D$6)</f>
        <v>0.374583085840481</v>
      </c>
      <c r="H363" s="0" t="n">
        <f aca="false">SQRT(SUMPRODUCT(MMULT(D363:F363,Stats!$B$12:$D$14),D363:F363))</f>
        <v>0.226377838042557</v>
      </c>
      <c r="I363" s="0" t="n">
        <f aca="false">(G363-Stats!$B$2)/H363</f>
        <v>1.46915037583298</v>
      </c>
    </row>
    <row r="364" customFormat="false" ht="15" hidden="false" customHeight="false" outlineLevel="0" collapsed="false">
      <c r="A364" s="0" t="n">
        <v>0.613411389210708</v>
      </c>
      <c r="B364" s="0" t="n">
        <v>0.167033946092075</v>
      </c>
      <c r="C364" s="0" t="n">
        <v>0.991168626136977</v>
      </c>
      <c r="D364" s="0" t="n">
        <f aca="false">A364/SUM($A364:$C364)</f>
        <v>0.346244386509688</v>
      </c>
      <c r="E364" s="0" t="n">
        <f aca="false">B364/SUM($A364:$C364)</f>
        <v>0.0942834893648781</v>
      </c>
      <c r="F364" s="0" t="n">
        <f aca="false">C364/SUM($A364:$C364)</f>
        <v>0.559472124125434</v>
      </c>
      <c r="G364" s="0" t="n">
        <f aca="false">SUMPRODUCT(D364:F364,Stats!$B$6:$D$6)</f>
        <v>0.346481425767183</v>
      </c>
      <c r="H364" s="0" t="n">
        <f aca="false">SQRT(SUMPRODUCT(MMULT(D364:F364,Stats!$B$12:$D$14),D364:F364))</f>
        <v>0.227682968200682</v>
      </c>
      <c r="I364" s="0" t="n">
        <f aca="false">(G364-Stats!$B$2)/H364</f>
        <v>1.33730435865897</v>
      </c>
    </row>
    <row r="365" customFormat="false" ht="15" hidden="false" customHeight="false" outlineLevel="0" collapsed="false">
      <c r="A365" s="0" t="n">
        <v>0.231671701383443</v>
      </c>
      <c r="B365" s="0" t="n">
        <v>0.942731774135126</v>
      </c>
      <c r="C365" s="0" t="n">
        <v>0.649646648992369</v>
      </c>
      <c r="D365" s="0" t="n">
        <f aca="false">A365/SUM($A365:$C365)</f>
        <v>0.127009503889351</v>
      </c>
      <c r="E365" s="0" t="n">
        <f aca="false">B365/SUM($A365:$C365)</f>
        <v>0.516834357492171</v>
      </c>
      <c r="F365" s="0" t="n">
        <f aca="false">C365/SUM($A365:$C365)</f>
        <v>0.356156138618477</v>
      </c>
      <c r="G365" s="0" t="n">
        <f aca="false">SUMPRODUCT(D365:F365,Stats!$B$6:$D$6)</f>
        <v>0.376400815923256</v>
      </c>
      <c r="H365" s="0" t="n">
        <f aca="false">SQRT(SUMPRODUCT(MMULT(D365:F365,Stats!$B$12:$D$14),D365:F365))</f>
        <v>0.235683854597065</v>
      </c>
      <c r="I365" s="0" t="n">
        <f aca="false">(G365-Stats!$B$2)/H365</f>
        <v>1.4188533045463</v>
      </c>
    </row>
    <row r="366" customFormat="false" ht="15" hidden="false" customHeight="false" outlineLevel="0" collapsed="false">
      <c r="A366" s="0" t="n">
        <v>0.607736794878859</v>
      </c>
      <c r="B366" s="0" t="n">
        <v>0.512688511016509</v>
      </c>
      <c r="C366" s="0" t="n">
        <v>0.230669811717759</v>
      </c>
      <c r="D366" s="0" t="n">
        <f aca="false">A366/SUM($A366:$C366)</f>
        <v>0.449810518116963</v>
      </c>
      <c r="E366" s="0" t="n">
        <f aca="false">B366/SUM($A366:$C366)</f>
        <v>0.379461448963146</v>
      </c>
      <c r="F366" s="0" t="n">
        <f aca="false">C366/SUM($A366:$C366)</f>
        <v>0.170728032919892</v>
      </c>
      <c r="G366" s="0" t="n">
        <f aca="false">SUMPRODUCT(D366:F366,Stats!$B$6:$D$6)</f>
        <v>0.373609665260011</v>
      </c>
      <c r="H366" s="0" t="n">
        <f aca="false">SQRT(SUMPRODUCT(MMULT(D366:F366,Stats!$B$12:$D$14),D366:F366))</f>
        <v>0.225236054667841</v>
      </c>
      <c r="I366" s="0" t="n">
        <f aca="false">(G366-Stats!$B$2)/H366</f>
        <v>1.4722761227062</v>
      </c>
    </row>
    <row r="367" customFormat="false" ht="15" hidden="false" customHeight="false" outlineLevel="0" collapsed="false">
      <c r="A367" s="0" t="n">
        <v>0.176528032005508</v>
      </c>
      <c r="B367" s="0" t="n">
        <v>0.220486209070175</v>
      </c>
      <c r="C367" s="0" t="n">
        <v>0.186438262144255</v>
      </c>
      <c r="D367" s="0" t="n">
        <f aca="false">A367/SUM($A367:$C367)</f>
        <v>0.302557673557473</v>
      </c>
      <c r="E367" s="0" t="n">
        <f aca="false">B367/SUM($A367:$C367)</f>
        <v>0.377899156920852</v>
      </c>
      <c r="F367" s="0" t="n">
        <f aca="false">C367/SUM($A367:$C367)</f>
        <v>0.319543169521675</v>
      </c>
      <c r="G367" s="0" t="n">
        <f aca="false">SUMPRODUCT(D367:F367,Stats!$B$6:$D$6)</f>
        <v>0.369416252843449</v>
      </c>
      <c r="H367" s="0" t="n">
        <f aca="false">SQRT(SUMPRODUCT(MMULT(D367:F367,Stats!$B$12:$D$14),D367:F367))</f>
        <v>0.227546619708807</v>
      </c>
      <c r="I367" s="0" t="n">
        <f aca="false">(G367-Stats!$B$2)/H367</f>
        <v>1.43889745873811</v>
      </c>
    </row>
    <row r="368" customFormat="false" ht="15" hidden="false" customHeight="false" outlineLevel="0" collapsed="false">
      <c r="A368" s="0" t="n">
        <v>0.779584473566753</v>
      </c>
      <c r="B368" s="0" t="n">
        <v>0.35012525916673</v>
      </c>
      <c r="C368" s="0" t="n">
        <v>0.0578426765633964</v>
      </c>
      <c r="D368" s="0" t="n">
        <f aca="false">A368/SUM($A368:$C368)</f>
        <v>0.656463215824156</v>
      </c>
      <c r="E368" s="0" t="n">
        <f aca="false">B368/SUM($A368:$C368)</f>
        <v>0.294829311469319</v>
      </c>
      <c r="F368" s="0" t="n">
        <f aca="false">C368/SUM($A368:$C368)</f>
        <v>0.0487074727065255</v>
      </c>
      <c r="G368" s="0" t="n">
        <f aca="false">SUMPRODUCT(D368:F368,Stats!$B$6:$D$6)</f>
        <v>0.372104711622157</v>
      </c>
      <c r="H368" s="0" t="n">
        <f aca="false">SQRT(SUMPRODUCT(MMULT(D368:F368,Stats!$B$12:$D$14),D368:F368))</f>
        <v>0.225866651526317</v>
      </c>
      <c r="I368" s="0" t="n">
        <f aca="false">(G368-Stats!$B$2)/H368</f>
        <v>1.46150265827842</v>
      </c>
    </row>
    <row r="369" customFormat="false" ht="15" hidden="false" customHeight="false" outlineLevel="0" collapsed="false">
      <c r="A369" s="0" t="n">
        <v>0.969102630140811</v>
      </c>
      <c r="B369" s="0" t="n">
        <v>0.883785884963426</v>
      </c>
      <c r="C369" s="0" t="n">
        <v>0.927752283195213</v>
      </c>
      <c r="D369" s="0" t="n">
        <f aca="false">A369/SUM($A369:$C369)</f>
        <v>0.348517734017815</v>
      </c>
      <c r="E369" s="0" t="n">
        <f aca="false">B369/SUM($A369:$C369)</f>
        <v>0.317835329721092</v>
      </c>
      <c r="F369" s="0" t="n">
        <f aca="false">C369/SUM($A369:$C369)</f>
        <v>0.333646936261094</v>
      </c>
      <c r="G369" s="0" t="n">
        <f aca="false">SUMPRODUCT(D369:F369,Stats!$B$6:$D$6)</f>
        <v>0.36557135202222</v>
      </c>
      <c r="H369" s="0" t="n">
        <f aca="false">SQRT(SUMPRODUCT(MMULT(D369:F369,Stats!$B$12:$D$14),D369:F369))</f>
        <v>0.225793882325367</v>
      </c>
      <c r="I369" s="0" t="n">
        <f aca="false">(G369-Stats!$B$2)/H369</f>
        <v>1.43303861331352</v>
      </c>
    </row>
    <row r="370" customFormat="false" ht="15" hidden="false" customHeight="false" outlineLevel="0" collapsed="false">
      <c r="A370" s="0" t="n">
        <v>0.994907822646435</v>
      </c>
      <c r="B370" s="0" t="n">
        <v>0.173895249219487</v>
      </c>
      <c r="C370" s="0" t="n">
        <v>0.396242018902659</v>
      </c>
      <c r="D370" s="0" t="n">
        <f aca="false">A370/SUM($A370:$C370)</f>
        <v>0.635705532393219</v>
      </c>
      <c r="E370" s="0" t="n">
        <f aca="false">B370/SUM($A370:$C370)</f>
        <v>0.111111973862739</v>
      </c>
      <c r="F370" s="0" t="n">
        <f aca="false">C370/SUM($A370:$C370)</f>
        <v>0.253182493744041</v>
      </c>
      <c r="G370" s="0" t="n">
        <f aca="false">SUMPRODUCT(D370:F370,Stats!$B$6:$D$6)</f>
        <v>0.35589553373709</v>
      </c>
      <c r="H370" s="0" t="n">
        <f aca="false">SQRT(SUMPRODUCT(MMULT(D370:F370,Stats!$B$12:$D$14),D370:F370))</f>
        <v>0.22159363377272</v>
      </c>
      <c r="I370" s="0" t="n">
        <f aca="false">(G370-Stats!$B$2)/H370</f>
        <v>1.41653678579521</v>
      </c>
    </row>
    <row r="371" customFormat="false" ht="15" hidden="false" customHeight="false" outlineLevel="0" collapsed="false">
      <c r="A371" s="0" t="n">
        <v>0.758238475704091</v>
      </c>
      <c r="B371" s="0" t="n">
        <v>0.696020618053792</v>
      </c>
      <c r="C371" s="0" t="n">
        <v>0.153895906339855</v>
      </c>
      <c r="D371" s="0" t="n">
        <f aca="false">A371/SUM($A371:$C371)</f>
        <v>0.471495891663433</v>
      </c>
      <c r="E371" s="0" t="n">
        <f aca="false">B371/SUM($A371:$C371)</f>
        <v>0.432806923469125</v>
      </c>
      <c r="F371" s="0" t="n">
        <f aca="false">C371/SUM($A371:$C371)</f>
        <v>0.0956971848674424</v>
      </c>
      <c r="G371" s="0" t="n">
        <f aca="false">SUMPRODUCT(D371:F371,Stats!$B$6:$D$6)</f>
        <v>0.378748041596053</v>
      </c>
      <c r="H371" s="0" t="n">
        <f aca="false">SQRT(SUMPRODUCT(MMULT(D371:F371,Stats!$B$12:$D$14),D371:F371))</f>
        <v>0.226782426892475</v>
      </c>
      <c r="I371" s="0" t="n">
        <f aca="false">(G371-Stats!$B$2)/H371</f>
        <v>1.48489477871104</v>
      </c>
    </row>
    <row r="372" customFormat="false" ht="15" hidden="false" customHeight="false" outlineLevel="0" collapsed="false">
      <c r="A372" s="0" t="n">
        <v>0.815833124990618</v>
      </c>
      <c r="B372" s="0" t="n">
        <v>0.224440571836661</v>
      </c>
      <c r="C372" s="0" t="n">
        <v>0.223817614822623</v>
      </c>
      <c r="D372" s="0" t="n">
        <f aca="false">A372/SUM($A372:$C372)</f>
        <v>0.645390975692876</v>
      </c>
      <c r="E372" s="0" t="n">
        <f aca="false">B372/SUM($A372:$C372)</f>
        <v>0.17755091722268</v>
      </c>
      <c r="F372" s="0" t="n">
        <f aca="false">C372/SUM($A372:$C372)</f>
        <v>0.177058107084444</v>
      </c>
      <c r="G372" s="0" t="n">
        <f aca="false">SUMPRODUCT(D372:F372,Stats!$B$6:$D$6)</f>
        <v>0.361817445230939</v>
      </c>
      <c r="H372" s="0" t="n">
        <f aca="false">SQRT(SUMPRODUCT(MMULT(D372:F372,Stats!$B$12:$D$14),D372:F372))</f>
        <v>0.222601677903864</v>
      </c>
      <c r="I372" s="0" t="n">
        <f aca="false">(G372-Stats!$B$2)/H372</f>
        <v>1.43672522257024</v>
      </c>
    </row>
    <row r="373" customFormat="false" ht="15" hidden="false" customHeight="false" outlineLevel="0" collapsed="false">
      <c r="A373" s="0" t="n">
        <v>0.536974422893414</v>
      </c>
      <c r="B373" s="0" t="n">
        <v>0.592939934841703</v>
      </c>
      <c r="C373" s="0" t="n">
        <v>0.580086207837811</v>
      </c>
      <c r="D373" s="0" t="n">
        <f aca="false">A373/SUM($A373:$C373)</f>
        <v>0.31402002648666</v>
      </c>
      <c r="E373" s="0" t="n">
        <f aca="false">B373/SUM($A373:$C373)</f>
        <v>0.346748385222341</v>
      </c>
      <c r="F373" s="0" t="n">
        <f aca="false">C373/SUM($A373:$C373)</f>
        <v>0.339231588290999</v>
      </c>
      <c r="G373" s="0" t="n">
        <f aca="false">SUMPRODUCT(D373:F373,Stats!$B$6:$D$6)</f>
        <v>0.367080977182572</v>
      </c>
      <c r="H373" s="0" t="n">
        <f aca="false">SQRT(SUMPRODUCT(MMULT(D373:F373,Stats!$B$12:$D$14),D373:F373))</f>
        <v>0.226969332221784</v>
      </c>
      <c r="I373" s="0" t="n">
        <f aca="false">(G373-Stats!$B$2)/H373</f>
        <v>1.43226828928993</v>
      </c>
    </row>
    <row r="374" customFormat="false" ht="15" hidden="false" customHeight="false" outlineLevel="0" collapsed="false">
      <c r="A374" s="0" t="n">
        <v>0.0914868373977549</v>
      </c>
      <c r="B374" s="0" t="n">
        <v>0.87746086263038</v>
      </c>
      <c r="C374" s="0" t="n">
        <v>0.265600042588706</v>
      </c>
      <c r="D374" s="0" t="n">
        <f aca="false">A374/SUM($A374:$C374)</f>
        <v>0.0741055483231717</v>
      </c>
      <c r="E374" s="0" t="n">
        <f aca="false">B374/SUM($A374:$C374)</f>
        <v>0.710754904278102</v>
      </c>
      <c r="F374" s="0" t="n">
        <f aca="false">C374/SUM($A374:$C374)</f>
        <v>0.215139547398726</v>
      </c>
      <c r="G374" s="0" t="n">
        <f aca="false">SUMPRODUCT(D374:F374,Stats!$B$6:$D$6)</f>
        <v>0.391447231463918</v>
      </c>
      <c r="H374" s="0" t="n">
        <f aca="false">SQRT(SUMPRODUCT(MMULT(D374:F374,Stats!$B$12:$D$14),D374:F374))</f>
        <v>0.241316442203805</v>
      </c>
      <c r="I374" s="0" t="n">
        <f aca="false">(G374-Stats!$B$2)/H374</f>
        <v>1.44808711860914</v>
      </c>
    </row>
    <row r="375" customFormat="false" ht="15" hidden="false" customHeight="false" outlineLevel="0" collapsed="false">
      <c r="A375" s="0" t="n">
        <v>0.129514921282804</v>
      </c>
      <c r="B375" s="0" t="n">
        <v>0.888748079868977</v>
      </c>
      <c r="C375" s="0" t="n">
        <v>0.955651498229753</v>
      </c>
      <c r="D375" s="0" t="n">
        <f aca="false">A375/SUM($A375:$C375)</f>
        <v>0.0656132377179375</v>
      </c>
      <c r="E375" s="0" t="n">
        <f aca="false">B375/SUM($A375:$C375)</f>
        <v>0.450246492513956</v>
      </c>
      <c r="F375" s="0" t="n">
        <f aca="false">C375/SUM($A375:$C375)</f>
        <v>0.484140269768107</v>
      </c>
      <c r="G375" s="0" t="n">
        <f aca="false">SUMPRODUCT(D375:F375,Stats!$B$6:$D$6)</f>
        <v>0.36904032316423</v>
      </c>
      <c r="H375" s="0" t="n">
        <f aca="false">SQRT(SUMPRODUCT(MMULT(D375:F375,Stats!$B$12:$D$14),D375:F375))</f>
        <v>0.239113740841658</v>
      </c>
      <c r="I375" s="0" t="n">
        <f aca="false">(G375-Stats!$B$2)/H375</f>
        <v>1.36771865143792</v>
      </c>
    </row>
    <row r="376" customFormat="false" ht="15" hidden="false" customHeight="false" outlineLevel="0" collapsed="false">
      <c r="A376" s="0" t="n">
        <v>0.862127617265451</v>
      </c>
      <c r="B376" s="0" t="n">
        <v>0.809516074724878</v>
      </c>
      <c r="C376" s="0" t="n">
        <v>0.655241980639022</v>
      </c>
      <c r="D376" s="0" t="n">
        <f aca="false">A376/SUM($A376:$C376)</f>
        <v>0.370507080518166</v>
      </c>
      <c r="E376" s="0" t="n">
        <f aca="false">B376/SUM($A376:$C376)</f>
        <v>0.347896797959195</v>
      </c>
      <c r="F376" s="0" t="n">
        <f aca="false">C376/SUM($A376:$C376)</f>
        <v>0.281596121522639</v>
      </c>
      <c r="G376" s="0" t="n">
        <f aca="false">SUMPRODUCT(D376:F376,Stats!$B$6:$D$6)</f>
        <v>0.36873633119346</v>
      </c>
      <c r="H376" s="0" t="n">
        <f aca="false">SQRT(SUMPRODUCT(MMULT(D376:F376,Stats!$B$12:$D$14),D376:F376))</f>
        <v>0.225535734990005</v>
      </c>
      <c r="I376" s="0" t="n">
        <f aca="false">(G376-Stats!$B$2)/H376</f>
        <v>1.44871202431819</v>
      </c>
    </row>
    <row r="377" customFormat="false" ht="15" hidden="false" customHeight="false" outlineLevel="0" collapsed="false">
      <c r="A377" s="0" t="n">
        <v>0.550857370609139</v>
      </c>
      <c r="B377" s="0" t="n">
        <v>0.0869867599114101</v>
      </c>
      <c r="C377" s="0" t="n">
        <v>0.408453213070699</v>
      </c>
      <c r="D377" s="0" t="n">
        <f aca="false">A377/SUM($A377:$C377)</f>
        <v>0.526482623685548</v>
      </c>
      <c r="E377" s="0" t="n">
        <f aca="false">B377/SUM($A377:$C377)</f>
        <v>0.0831377050168569</v>
      </c>
      <c r="F377" s="0" t="n">
        <f aca="false">C377/SUM($A377:$C377)</f>
        <v>0.390379671297595</v>
      </c>
      <c r="G377" s="0" t="n">
        <f aca="false">SUMPRODUCT(D377:F377,Stats!$B$6:$D$6)</f>
        <v>0.350502771111855</v>
      </c>
      <c r="H377" s="0" t="n">
        <f aca="false">SQRT(SUMPRODUCT(MMULT(D377:F377,Stats!$B$12:$D$14),D377:F377))</f>
        <v>0.2219389524329</v>
      </c>
      <c r="I377" s="0" t="n">
        <f aca="false">(G377-Stats!$B$2)/H377</f>
        <v>1.39003436634282</v>
      </c>
    </row>
    <row r="378" customFormat="false" ht="15" hidden="false" customHeight="false" outlineLevel="0" collapsed="false">
      <c r="A378" s="0" t="n">
        <v>0.372688517012314</v>
      </c>
      <c r="B378" s="0" t="n">
        <v>0.259753783760326</v>
      </c>
      <c r="C378" s="0" t="n">
        <v>0.723420113688585</v>
      </c>
      <c r="D378" s="0" t="n">
        <f aca="false">A378/SUM($A378:$C378)</f>
        <v>0.274871928771923</v>
      </c>
      <c r="E378" s="0" t="n">
        <f aca="false">B378/SUM($A378:$C378)</f>
        <v>0.191578275929674</v>
      </c>
      <c r="F378" s="0" t="n">
        <f aca="false">C378/SUM($A378:$C378)</f>
        <v>0.533549795298403</v>
      </c>
      <c r="G378" s="0" t="n">
        <f aca="false">SUMPRODUCT(D378:F378,Stats!$B$6:$D$6)</f>
        <v>0.352794440107097</v>
      </c>
      <c r="H378" s="0" t="n">
        <f aca="false">SQRT(SUMPRODUCT(MMULT(D378:F378,Stats!$B$12:$D$14),D378:F378))</f>
        <v>0.229466463288472</v>
      </c>
      <c r="I378" s="0" t="n">
        <f aca="false">(G378-Stats!$B$2)/H378</f>
        <v>1.35442206086727</v>
      </c>
    </row>
    <row r="379" customFormat="false" ht="15" hidden="false" customHeight="false" outlineLevel="0" collapsed="false">
      <c r="A379" s="0" t="n">
        <v>0.495875735078771</v>
      </c>
      <c r="B379" s="0" t="n">
        <v>0.0810462159076479</v>
      </c>
      <c r="C379" s="0" t="n">
        <v>0.220183201949811</v>
      </c>
      <c r="D379" s="0" t="n">
        <f aca="false">A379/SUM($A379:$C379)</f>
        <v>0.622095758949938</v>
      </c>
      <c r="E379" s="0" t="n">
        <f aca="false">B379/SUM($A379:$C379)</f>
        <v>0.101675689348017</v>
      </c>
      <c r="F379" s="0" t="n">
        <f aca="false">C379/SUM($A379:$C379)</f>
        <v>0.276228551702044</v>
      </c>
      <c r="G379" s="0" t="n">
        <f aca="false">SUMPRODUCT(D379:F379,Stats!$B$6:$D$6)</f>
        <v>0.354717095955045</v>
      </c>
      <c r="H379" s="0" t="n">
        <f aca="false">SQRT(SUMPRODUCT(MMULT(D379:F379,Stats!$B$12:$D$14),D379:F379))</f>
        <v>0.221429793299479</v>
      </c>
      <c r="I379" s="0" t="n">
        <f aca="false">(G379-Stats!$B$2)/H379</f>
        <v>1.41226296288008</v>
      </c>
    </row>
    <row r="380" customFormat="false" ht="15" hidden="false" customHeight="false" outlineLevel="0" collapsed="false">
      <c r="A380" s="0" t="n">
        <v>0.683258763659596</v>
      </c>
      <c r="B380" s="0" t="n">
        <v>0.0761308594903002</v>
      </c>
      <c r="C380" s="0" t="n">
        <v>0.851206914048769</v>
      </c>
      <c r="D380" s="0" t="n">
        <f aca="false">A380/SUM($A380:$C380)</f>
        <v>0.424227140614619</v>
      </c>
      <c r="E380" s="0" t="n">
        <f aca="false">B380/SUM($A380:$C380)</f>
        <v>0.0472687341192946</v>
      </c>
      <c r="F380" s="0" t="n">
        <f aca="false">C380/SUM($A380:$C380)</f>
        <v>0.528504125266087</v>
      </c>
      <c r="G380" s="0" t="n">
        <f aca="false">SUMPRODUCT(D380:F380,Stats!$B$6:$D$6)</f>
        <v>0.344630188257987</v>
      </c>
      <c r="H380" s="0" t="n">
        <f aca="false">SQRT(SUMPRODUCT(MMULT(D380:F380,Stats!$B$12:$D$14),D380:F380))</f>
        <v>0.225222138138734</v>
      </c>
      <c r="I380" s="0" t="n">
        <f aca="false">(G380-Stats!$B$2)/H380</f>
        <v>1.3436964534613</v>
      </c>
    </row>
    <row r="381" customFormat="false" ht="15" hidden="false" customHeight="false" outlineLevel="0" collapsed="false">
      <c r="A381" s="0" t="n">
        <v>0.495146527013974</v>
      </c>
      <c r="B381" s="0" t="n">
        <v>0.480586577326648</v>
      </c>
      <c r="C381" s="0" t="n">
        <v>0.592407784659518</v>
      </c>
      <c r="D381" s="0" t="n">
        <f aca="false">A381/SUM($A381:$C381)</f>
        <v>0.315753852531506</v>
      </c>
      <c r="E381" s="0" t="n">
        <f aca="false">B381/SUM($A381:$C381)</f>
        <v>0.306469004601413</v>
      </c>
      <c r="F381" s="0" t="n">
        <f aca="false">C381/SUM($A381:$C381)</f>
        <v>0.377777142867081</v>
      </c>
      <c r="G381" s="0" t="n">
        <f aca="false">SUMPRODUCT(D381:F381,Stats!$B$6:$D$6)</f>
        <v>0.36370047491219</v>
      </c>
      <c r="H381" s="0" t="n">
        <f aca="false">SQRT(SUMPRODUCT(MMULT(D381:F381,Stats!$B$12:$D$14),D381:F381))</f>
        <v>0.226769179015911</v>
      </c>
      <c r="I381" s="0" t="n">
        <f aca="false">(G381-Stats!$B$2)/H381</f>
        <v>1.41862521312748</v>
      </c>
    </row>
    <row r="382" customFormat="false" ht="15" hidden="false" customHeight="false" outlineLevel="0" collapsed="false">
      <c r="A382" s="0" t="n">
        <v>0.824680965925149</v>
      </c>
      <c r="B382" s="0" t="n">
        <v>0.347809207902193</v>
      </c>
      <c r="C382" s="0" t="n">
        <v>0.678016152559064</v>
      </c>
      <c r="D382" s="0" t="n">
        <f aca="false">A382/SUM($A382:$C382)</f>
        <v>0.445651524756229</v>
      </c>
      <c r="E382" s="0" t="n">
        <f aca="false">B382/SUM($A382:$C382)</f>
        <v>0.187953536252632</v>
      </c>
      <c r="F382" s="0" t="n">
        <f aca="false">C382/SUM($A382:$C382)</f>
        <v>0.366394938991139</v>
      </c>
      <c r="G382" s="0" t="n">
        <f aca="false">SUMPRODUCT(D382:F382,Stats!$B$6:$D$6)</f>
        <v>0.357195108149024</v>
      </c>
      <c r="H382" s="0" t="n">
        <f aca="false">SQRT(SUMPRODUCT(MMULT(D382:F382,Stats!$B$12:$D$14),D382:F382))</f>
        <v>0.223099791532005</v>
      </c>
      <c r="I382" s="0" t="n">
        <f aca="false">(G382-Stats!$B$2)/H382</f>
        <v>1.41279875693567</v>
      </c>
    </row>
    <row r="383" customFormat="false" ht="15" hidden="false" customHeight="false" outlineLevel="0" collapsed="false">
      <c r="A383" s="0" t="n">
        <v>0.565731963995791</v>
      </c>
      <c r="B383" s="0" t="n">
        <v>0.267028270169421</v>
      </c>
      <c r="C383" s="0" t="n">
        <v>0.878629986355158</v>
      </c>
      <c r="D383" s="0" t="n">
        <f aca="false">A383/SUM($A383:$C383)</f>
        <v>0.330568655361238</v>
      </c>
      <c r="E383" s="0" t="n">
        <f aca="false">B383/SUM($A383:$C383)</f>
        <v>0.156030031589305</v>
      </c>
      <c r="F383" s="0" t="n">
        <f aca="false">C383/SUM($A383:$C383)</f>
        <v>0.513401313049457</v>
      </c>
      <c r="G383" s="0" t="n">
        <f aca="false">SUMPRODUCT(D383:F383,Stats!$B$6:$D$6)</f>
        <v>0.351304626785446</v>
      </c>
      <c r="H383" s="0" t="n">
        <f aca="false">SQRT(SUMPRODUCT(MMULT(D383:F383,Stats!$B$12:$D$14),D383:F383))</f>
        <v>0.227271226792598</v>
      </c>
      <c r="I383" s="0" t="n">
        <f aca="false">(G383-Stats!$B$2)/H383</f>
        <v>1.36094934299673</v>
      </c>
    </row>
    <row r="384" customFormat="false" ht="15" hidden="false" customHeight="false" outlineLevel="0" collapsed="false">
      <c r="A384" s="0" t="n">
        <v>0.797426021606928</v>
      </c>
      <c r="B384" s="0" t="n">
        <v>0.658451834658426</v>
      </c>
      <c r="C384" s="0" t="n">
        <v>0.850581729094242</v>
      </c>
      <c r="D384" s="0" t="n">
        <f aca="false">A384/SUM($A384:$C384)</f>
        <v>0.345735961153901</v>
      </c>
      <c r="E384" s="0" t="n">
        <f aca="false">B384/SUM($A384:$C384)</f>
        <v>0.285481626835342</v>
      </c>
      <c r="F384" s="0" t="n">
        <f aca="false">C384/SUM($A384:$C384)</f>
        <v>0.368782412010757</v>
      </c>
      <c r="G384" s="0" t="n">
        <f aca="false">SUMPRODUCT(D384:F384,Stats!$B$6:$D$6)</f>
        <v>0.36274091460277</v>
      </c>
      <c r="H384" s="0" t="n">
        <f aca="false">SQRT(SUMPRODUCT(MMULT(D384:F384,Stats!$B$12:$D$14),D384:F384))</f>
        <v>0.225756493247114</v>
      </c>
      <c r="I384" s="0" t="n">
        <f aca="false">(G384-Stats!$B$2)/H384</f>
        <v>1.42073838049781</v>
      </c>
    </row>
    <row r="385" customFormat="false" ht="15" hidden="false" customHeight="false" outlineLevel="0" collapsed="false">
      <c r="A385" s="0" t="n">
        <v>0.867294200959802</v>
      </c>
      <c r="B385" s="0" t="n">
        <v>0.708362976715035</v>
      </c>
      <c r="C385" s="0" t="n">
        <v>0.837013328363672</v>
      </c>
      <c r="D385" s="0" t="n">
        <f aca="false">A385/SUM($A385:$C385)</f>
        <v>0.359474780658656</v>
      </c>
      <c r="E385" s="0" t="n">
        <f aca="false">B385/SUM($A385:$C385)</f>
        <v>0.293601208678152</v>
      </c>
      <c r="F385" s="0" t="n">
        <f aca="false">C385/SUM($A385:$C385)</f>
        <v>0.346924010663192</v>
      </c>
      <c r="G385" s="0" t="n">
        <f aca="false">SUMPRODUCT(D385:F385,Stats!$B$6:$D$6)</f>
        <v>0.363810841843012</v>
      </c>
      <c r="H385" s="0" t="n">
        <f aca="false">SQRT(SUMPRODUCT(MMULT(D385:F385,Stats!$B$12:$D$14),D385:F385))</f>
        <v>0.225376121956088</v>
      </c>
      <c r="I385" s="0" t="n">
        <f aca="false">(G385-Stats!$B$2)/H385</f>
        <v>1.42788348228706</v>
      </c>
    </row>
    <row r="386" customFormat="false" ht="15" hidden="false" customHeight="false" outlineLevel="0" collapsed="false">
      <c r="A386" s="0" t="n">
        <v>0.697471461669284</v>
      </c>
      <c r="B386" s="0" t="n">
        <v>0.6801407717603</v>
      </c>
      <c r="C386" s="0" t="n">
        <v>0.618611378215184</v>
      </c>
      <c r="D386" s="0" t="n">
        <f aca="false">A386/SUM($A386:$C386)</f>
        <v>0.349395457302806</v>
      </c>
      <c r="E386" s="0" t="n">
        <f aca="false">B386/SUM($A386:$C386)</f>
        <v>0.340713719541623</v>
      </c>
      <c r="F386" s="0" t="n">
        <f aca="false">C386/SUM($A386:$C386)</f>
        <v>0.309890823155571</v>
      </c>
      <c r="G386" s="0" t="n">
        <f aca="false">SUMPRODUCT(D386:F386,Stats!$B$6:$D$6)</f>
        <v>0.367542810643376</v>
      </c>
      <c r="H386" s="0" t="n">
        <f aca="false">SQRT(SUMPRODUCT(MMULT(D386:F386,Stats!$B$12:$D$14),D386:F386))</f>
        <v>0.225936671557995</v>
      </c>
      <c r="I386" s="0" t="n">
        <f aca="false">(G386-Stats!$B$2)/H386</f>
        <v>1.44085866361811</v>
      </c>
    </row>
    <row r="387" customFormat="false" ht="15" hidden="false" customHeight="false" outlineLevel="0" collapsed="false">
      <c r="A387" s="0" t="n">
        <v>0.752716639557641</v>
      </c>
      <c r="B387" s="0" t="n">
        <v>0.158605105293074</v>
      </c>
      <c r="C387" s="0" t="n">
        <v>0.880870759198928</v>
      </c>
      <c r="D387" s="0" t="n">
        <f aca="false">A387/SUM($A387:$C387)</f>
        <v>0.419997649726132</v>
      </c>
      <c r="E387" s="0" t="n">
        <f aca="false">B387/SUM($A387:$C387)</f>
        <v>0.0884978064212908</v>
      </c>
      <c r="F387" s="0" t="n">
        <f aca="false">C387/SUM($A387:$C387)</f>
        <v>0.491504543852577</v>
      </c>
      <c r="G387" s="0" t="n">
        <f aca="false">SUMPRODUCT(D387:F387,Stats!$B$6:$D$6)</f>
        <v>0.34802270494319</v>
      </c>
      <c r="H387" s="0" t="n">
        <f aca="false">SQRT(SUMPRODUCT(MMULT(D387:F387,Stats!$B$12:$D$14),D387:F387))</f>
        <v>0.224644717291847</v>
      </c>
      <c r="I387" s="0" t="n">
        <f aca="false">(G387-Stats!$B$2)/H387</f>
        <v>1.36225195336163</v>
      </c>
    </row>
    <row r="388" customFormat="false" ht="15" hidden="false" customHeight="false" outlineLevel="0" collapsed="false">
      <c r="A388" s="0" t="n">
        <v>0.871843527745232</v>
      </c>
      <c r="B388" s="0" t="n">
        <v>0.0292472830345592</v>
      </c>
      <c r="C388" s="0" t="n">
        <v>0.825816750564763</v>
      </c>
      <c r="D388" s="0" t="n">
        <f aca="false">A388/SUM($A388:$C388)</f>
        <v>0.504858249081047</v>
      </c>
      <c r="E388" s="0" t="n">
        <f aca="false">B388/SUM($A388:$C388)</f>
        <v>0.0169362180635699</v>
      </c>
      <c r="F388" s="0" t="n">
        <f aca="false">C388/SUM($A388:$C388)</f>
        <v>0.478205532855383</v>
      </c>
      <c r="G388" s="0" t="n">
        <f aca="false">SUMPRODUCT(D388:F388,Stats!$B$6:$D$6)</f>
        <v>0.344271858882618</v>
      </c>
      <c r="H388" s="0" t="n">
        <f aca="false">SQRT(SUMPRODUCT(MMULT(D388:F388,Stats!$B$12:$D$14),D388:F388))</f>
        <v>0.223123168597815</v>
      </c>
      <c r="I388" s="0" t="n">
        <f aca="false">(G388-Stats!$B$2)/H388</f>
        <v>1.35473093530448</v>
      </c>
    </row>
    <row r="389" customFormat="false" ht="15" hidden="false" customHeight="false" outlineLevel="0" collapsed="false">
      <c r="A389" s="0" t="n">
        <v>0.128869867473445</v>
      </c>
      <c r="B389" s="0" t="n">
        <v>0.335118854259142</v>
      </c>
      <c r="C389" s="0" t="n">
        <v>0.743508256291608</v>
      </c>
      <c r="D389" s="0" t="n">
        <f aca="false">A389/SUM($A389:$C389)</f>
        <v>0.106724795025419</v>
      </c>
      <c r="E389" s="0" t="n">
        <f aca="false">B389/SUM($A389:$C389)</f>
        <v>0.277531836814607</v>
      </c>
      <c r="F389" s="0" t="n">
        <f aca="false">C389/SUM($A389:$C389)</f>
        <v>0.615743368159974</v>
      </c>
      <c r="G389" s="0" t="n">
        <f aca="false">SUMPRODUCT(D389:F389,Stats!$B$6:$D$6)</f>
        <v>0.355473640594551</v>
      </c>
      <c r="H389" s="0" t="n">
        <f aca="false">SQRT(SUMPRODUCT(MMULT(D389:F389,Stats!$B$12:$D$14),D389:F389))</f>
        <v>0.238566064034221</v>
      </c>
      <c r="I389" s="0" t="n">
        <f aca="false">(G389-Stats!$B$2)/H389</f>
        <v>1.3139909142718</v>
      </c>
    </row>
    <row r="390" customFormat="false" ht="15" hidden="false" customHeight="false" outlineLevel="0" collapsed="false">
      <c r="A390" s="0" t="n">
        <v>0.160759896048308</v>
      </c>
      <c r="B390" s="0" t="n">
        <v>0.817967024119062</v>
      </c>
      <c r="C390" s="0" t="n">
        <v>0.832134177957742</v>
      </c>
      <c r="D390" s="0" t="n">
        <f aca="false">A390/SUM($A390:$C390)</f>
        <v>0.0887753876952529</v>
      </c>
      <c r="E390" s="0" t="n">
        <f aca="false">B390/SUM($A390:$C390)</f>
        <v>0.451700588723205</v>
      </c>
      <c r="F390" s="0" t="n">
        <f aca="false">C390/SUM($A390:$C390)</f>
        <v>0.459524023581542</v>
      </c>
      <c r="G390" s="0" t="n">
        <f aca="false">SUMPRODUCT(D390:F390,Stats!$B$6:$D$6)</f>
        <v>0.369802773498799</v>
      </c>
      <c r="H390" s="0" t="n">
        <f aca="false">SQRT(SUMPRODUCT(MMULT(D390:F390,Stats!$B$12:$D$14),D390:F390))</f>
        <v>0.237631981459024</v>
      </c>
      <c r="I390" s="0" t="n">
        <f aca="false">(G390-Stats!$B$2)/H390</f>
        <v>1.37945562498002</v>
      </c>
    </row>
    <row r="391" customFormat="false" ht="15" hidden="false" customHeight="false" outlineLevel="0" collapsed="false">
      <c r="A391" s="0" t="n">
        <v>0.507467733760836</v>
      </c>
      <c r="B391" s="0" t="n">
        <v>0.00638587171683358</v>
      </c>
      <c r="C391" s="0" t="n">
        <v>0.287038133174913</v>
      </c>
      <c r="D391" s="0" t="n">
        <f aca="false">A391/SUM($A391:$C391)</f>
        <v>0.633628378555382</v>
      </c>
      <c r="E391" s="0" t="n">
        <f aca="false">B391/SUM($A391:$C391)</f>
        <v>0.00797345185202828</v>
      </c>
      <c r="F391" s="0" t="n">
        <f aca="false">C391/SUM($A391:$C391)</f>
        <v>0.35839816959259</v>
      </c>
      <c r="G391" s="0" t="n">
        <f aca="false">SUMPRODUCT(D391:F391,Stats!$B$6:$D$6)</f>
        <v>0.347059794876724</v>
      </c>
      <c r="H391" s="0" t="n">
        <f aca="false">SQRT(SUMPRODUCT(MMULT(D391:F391,Stats!$B$12:$D$14),D391:F391))</f>
        <v>0.221372657595806</v>
      </c>
      <c r="I391" s="0" t="n">
        <f aca="false">(G391-Stats!$B$2)/H391</f>
        <v>1.37803737006093</v>
      </c>
    </row>
    <row r="392" customFormat="false" ht="15" hidden="false" customHeight="false" outlineLevel="0" collapsed="false">
      <c r="A392" s="0" t="n">
        <v>0.616926918375742</v>
      </c>
      <c r="B392" s="0" t="n">
        <v>0.981186178027424</v>
      </c>
      <c r="C392" s="0" t="n">
        <v>0.631813527016668</v>
      </c>
      <c r="D392" s="0" t="n">
        <f aca="false">A392/SUM($A392:$C392)</f>
        <v>0.276657945555903</v>
      </c>
      <c r="E392" s="0" t="n">
        <f aca="false">B392/SUM($A392:$C392)</f>
        <v>0.440008279968723</v>
      </c>
      <c r="F392" s="0" t="n">
        <f aca="false">C392/SUM($A392:$C392)</f>
        <v>0.283333774475374</v>
      </c>
      <c r="G392" s="0" t="n">
        <f aca="false">SUMPRODUCT(D392:F392,Stats!$B$6:$D$6)</f>
        <v>0.373988391538895</v>
      </c>
      <c r="H392" s="0" t="n">
        <f aca="false">SQRT(SUMPRODUCT(MMULT(D392:F392,Stats!$B$12:$D$14),D392:F392))</f>
        <v>0.229002013285892</v>
      </c>
      <c r="I392" s="0" t="n">
        <f aca="false">(G392-Stats!$B$2)/H392</f>
        <v>1.44971822201595</v>
      </c>
    </row>
    <row r="393" customFormat="false" ht="15" hidden="false" customHeight="false" outlineLevel="0" collapsed="false">
      <c r="A393" s="0" t="n">
        <v>0.25980358106416</v>
      </c>
      <c r="B393" s="0" t="n">
        <v>0.634005703099611</v>
      </c>
      <c r="C393" s="0" t="n">
        <v>0.539985379715856</v>
      </c>
      <c r="D393" s="0" t="n">
        <f aca="false">A393/SUM($A393:$C393)</f>
        <v>0.181199991609099</v>
      </c>
      <c r="E393" s="0" t="n">
        <f aca="false">B393/SUM($A393:$C393)</f>
        <v>0.442187238571589</v>
      </c>
      <c r="F393" s="0" t="n">
        <f aca="false">C393/SUM($A393:$C393)</f>
        <v>0.376612769819312</v>
      </c>
      <c r="G393" s="0" t="n">
        <f aca="false">SUMPRODUCT(D393:F393,Stats!$B$6:$D$6)</f>
        <v>0.371541633577112</v>
      </c>
      <c r="H393" s="0" t="n">
        <f aca="false">SQRT(SUMPRODUCT(MMULT(D393:F393,Stats!$B$12:$D$14),D393:F393))</f>
        <v>0.232623104595238</v>
      </c>
      <c r="I393" s="0" t="n">
        <f aca="false">(G393-Stats!$B$2)/H393</f>
        <v>1.41663328821318</v>
      </c>
    </row>
    <row r="394" customFormat="false" ht="15" hidden="false" customHeight="false" outlineLevel="0" collapsed="false">
      <c r="A394" s="0" t="n">
        <v>0.779845395151144</v>
      </c>
      <c r="B394" s="0" t="n">
        <v>0.106980638826958</v>
      </c>
      <c r="C394" s="0" t="n">
        <v>0.761027902502028</v>
      </c>
      <c r="D394" s="0" t="n">
        <f aca="false">A394/SUM($A394:$C394)</f>
        <v>0.473249101687325</v>
      </c>
      <c r="E394" s="0" t="n">
        <f aca="false">B394/SUM($A394:$C394)</f>
        <v>0.0649211901969131</v>
      </c>
      <c r="F394" s="0" t="n">
        <f aca="false">C394/SUM($A394:$C394)</f>
        <v>0.461829708115762</v>
      </c>
      <c r="G394" s="0" t="n">
        <f aca="false">SUMPRODUCT(D394:F394,Stats!$B$6:$D$6)</f>
        <v>0.347484409142158</v>
      </c>
      <c r="H394" s="0" t="n">
        <f aca="false">SQRT(SUMPRODUCT(MMULT(D394:F394,Stats!$B$12:$D$14),D394:F394))</f>
        <v>0.223279634511251</v>
      </c>
      <c r="I394" s="0" t="n">
        <f aca="false">(G394-Stats!$B$2)/H394</f>
        <v>1.36816960405211</v>
      </c>
    </row>
    <row r="395" customFormat="false" ht="15" hidden="false" customHeight="false" outlineLevel="0" collapsed="false">
      <c r="A395" s="0" t="n">
        <v>0.54126657867611</v>
      </c>
      <c r="B395" s="0" t="n">
        <v>0.962992003858995</v>
      </c>
      <c r="C395" s="0" t="n">
        <v>0.341872166038686</v>
      </c>
      <c r="D395" s="0" t="n">
        <f aca="false">A395/SUM($A395:$C395)</f>
        <v>0.293189731601762</v>
      </c>
      <c r="E395" s="0" t="n">
        <f aca="false">B395/SUM($A395:$C395)</f>
        <v>0.521627194933481</v>
      </c>
      <c r="F395" s="0" t="n">
        <f aca="false">C395/SUM($A395:$C395)</f>
        <v>0.185183073464756</v>
      </c>
      <c r="G395" s="0" t="n">
        <f aca="false">SUMPRODUCT(D395:F395,Stats!$B$6:$D$6)</f>
        <v>0.381391106098296</v>
      </c>
      <c r="H395" s="0" t="n">
        <f aca="false">SQRT(SUMPRODUCT(MMULT(D395:F395,Stats!$B$12:$D$14),D395:F395))</f>
        <v>0.2301924258804</v>
      </c>
      <c r="I395" s="0" t="n">
        <f aca="false">(G395-Stats!$B$2)/H395</f>
        <v>1.47437998796117</v>
      </c>
    </row>
    <row r="396" customFormat="false" ht="15" hidden="false" customHeight="false" outlineLevel="0" collapsed="false">
      <c r="A396" s="0" t="n">
        <v>0.632621893133948</v>
      </c>
      <c r="B396" s="0" t="n">
        <v>0.932028105510018</v>
      </c>
      <c r="C396" s="0" t="n">
        <v>0.102509727990679</v>
      </c>
      <c r="D396" s="0" t="n">
        <f aca="false">A396/SUM($A396:$C396)</f>
        <v>0.379460877699444</v>
      </c>
      <c r="E396" s="0" t="n">
        <f aca="false">B396/SUM($A396:$C396)</f>
        <v>0.559051475764367</v>
      </c>
      <c r="F396" s="0" t="n">
        <f aca="false">C396/SUM($A396:$C396)</f>
        <v>0.0614876465361883</v>
      </c>
      <c r="G396" s="0" t="n">
        <f aca="false">SUMPRODUCT(D396:F396,Stats!$B$6:$D$6)</f>
        <v>0.386955304601799</v>
      </c>
      <c r="H396" s="0" t="n">
        <f aca="false">SQRT(SUMPRODUCT(MMULT(D396:F396,Stats!$B$12:$D$14),D396:F396))</f>
        <v>0.230704011699828</v>
      </c>
      <c r="I396" s="0" t="n">
        <f aca="false">(G396-Stats!$B$2)/H396</f>
        <v>1.49522889550193</v>
      </c>
    </row>
    <row r="397" customFormat="false" ht="15" hidden="false" customHeight="false" outlineLevel="0" collapsed="false">
      <c r="A397" s="0" t="n">
        <v>0.937228487236451</v>
      </c>
      <c r="B397" s="0" t="n">
        <v>0.687885722300813</v>
      </c>
      <c r="C397" s="0" t="n">
        <v>0.0678370591051719</v>
      </c>
      <c r="D397" s="0" t="n">
        <f aca="false">A397/SUM($A397:$C397)</f>
        <v>0.55360629960011</v>
      </c>
      <c r="E397" s="0" t="n">
        <f aca="false">B397/SUM($A397:$C397)</f>
        <v>0.406323404011755</v>
      </c>
      <c r="F397" s="0" t="n">
        <f aca="false">C397/SUM($A397:$C397)</f>
        <v>0.0400702963881352</v>
      </c>
      <c r="G397" s="0" t="n">
        <f aca="false">SUMPRODUCT(D397:F397,Stats!$B$6:$D$6)</f>
        <v>0.378758104218016</v>
      </c>
      <c r="H397" s="0" t="n">
        <f aca="false">SQRT(SUMPRODUCT(MMULT(D397:F397,Stats!$B$12:$D$14),D397:F397))</f>
        <v>0.227081901212838</v>
      </c>
      <c r="I397" s="0" t="n">
        <f aca="false">(G397-Stats!$B$2)/H397</f>
        <v>1.48298082066162</v>
      </c>
    </row>
    <row r="398" customFormat="false" ht="15" hidden="false" customHeight="false" outlineLevel="0" collapsed="false">
      <c r="A398" s="0" t="n">
        <v>0.300963566946816</v>
      </c>
      <c r="B398" s="0" t="n">
        <v>0.708172088645282</v>
      </c>
      <c r="C398" s="0" t="n">
        <v>0.0673506014687717</v>
      </c>
      <c r="D398" s="0" t="n">
        <f aca="false">A398/SUM($A398:$C398)</f>
        <v>0.279579571938556</v>
      </c>
      <c r="E398" s="0" t="n">
        <f aca="false">B398/SUM($A398:$C398)</f>
        <v>0.657855206232548</v>
      </c>
      <c r="F398" s="0" t="n">
        <f aca="false">C398/SUM($A398:$C398)</f>
        <v>0.0625652218288964</v>
      </c>
      <c r="G398" s="0" t="n">
        <f aca="false">SUMPRODUCT(D398:F398,Stats!$B$6:$D$6)</f>
        <v>0.392610629649533</v>
      </c>
      <c r="H398" s="0" t="n">
        <f aca="false">SQRT(SUMPRODUCT(MMULT(D398:F398,Stats!$B$12:$D$14),D398:F398))</f>
        <v>0.234753979190258</v>
      </c>
      <c r="I398" s="0" t="n">
        <f aca="false">(G398-Stats!$B$2)/H398</f>
        <v>1.49352369173423</v>
      </c>
    </row>
    <row r="399" customFormat="false" ht="15" hidden="false" customHeight="false" outlineLevel="0" collapsed="false">
      <c r="A399" s="0" t="n">
        <v>0.582170460176273</v>
      </c>
      <c r="B399" s="0" t="n">
        <v>0.345883056952957</v>
      </c>
      <c r="C399" s="0" t="n">
        <v>0.620915517767477</v>
      </c>
      <c r="D399" s="0" t="n">
        <f aca="false">A399/SUM($A399:$C399)</f>
        <v>0.375843833582571</v>
      </c>
      <c r="E399" s="0" t="n">
        <f aca="false">B399/SUM($A399:$C399)</f>
        <v>0.223298884070992</v>
      </c>
      <c r="F399" s="0" t="n">
        <f aca="false">C399/SUM($A399:$C399)</f>
        <v>0.400857282346437</v>
      </c>
      <c r="G399" s="0" t="n">
        <f aca="false">SUMPRODUCT(D399:F399,Stats!$B$6:$D$6)</f>
        <v>0.358278547852795</v>
      </c>
      <c r="H399" s="0" t="n">
        <f aca="false">SQRT(SUMPRODUCT(MMULT(D399:F399,Stats!$B$12:$D$14),D399:F399))</f>
        <v>0.224869290601813</v>
      </c>
      <c r="I399" s="0" t="n">
        <f aca="false">(G399-Stats!$B$2)/H399</f>
        <v>1.40649951359008</v>
      </c>
    </row>
    <row r="400" customFormat="false" ht="15" hidden="false" customHeight="false" outlineLevel="0" collapsed="false">
      <c r="A400" s="0" t="n">
        <v>0.0457420338125129</v>
      </c>
      <c r="B400" s="0" t="n">
        <v>0.871536806152376</v>
      </c>
      <c r="C400" s="0" t="n">
        <v>0.973488969177397</v>
      </c>
      <c r="D400" s="0" t="n">
        <f aca="false">A400/SUM($A400:$C400)</f>
        <v>0.0241923062109159</v>
      </c>
      <c r="E400" s="0" t="n">
        <f aca="false">B400/SUM($A400:$C400)</f>
        <v>0.460943327857763</v>
      </c>
      <c r="F400" s="0" t="n">
        <f aca="false">C400/SUM($A400:$C400)</f>
        <v>0.514864365931322</v>
      </c>
      <c r="G400" s="0" t="n">
        <f aca="false">SUMPRODUCT(D400:F400,Stats!$B$6:$D$6)</f>
        <v>0.368808600090678</v>
      </c>
      <c r="H400" s="0" t="n">
        <f aca="false">SQRT(SUMPRODUCT(MMULT(D400:F400,Stats!$B$12:$D$14),D400:F400))</f>
        <v>0.241886704028394</v>
      </c>
      <c r="I400" s="0" t="n">
        <f aca="false">(G400-Stats!$B$2)/H400</f>
        <v>1.35108128990966</v>
      </c>
    </row>
    <row r="401" customFormat="false" ht="15" hidden="false" customHeight="false" outlineLevel="0" collapsed="false">
      <c r="A401" s="0" t="n">
        <v>0.968877855285692</v>
      </c>
      <c r="B401" s="0" t="n">
        <v>0.749651831742925</v>
      </c>
      <c r="C401" s="0" t="n">
        <v>0.130086240130632</v>
      </c>
      <c r="D401" s="0" t="n">
        <f aca="false">A401/SUM($A401:$C401)</f>
        <v>0.524109871093969</v>
      </c>
      <c r="E401" s="0" t="n">
        <f aca="false">B401/SUM($A401:$C401)</f>
        <v>0.405520595559786</v>
      </c>
      <c r="F401" s="0" t="n">
        <f aca="false">C401/SUM($A401:$C401)</f>
        <v>0.0703695333462448</v>
      </c>
      <c r="G401" s="0" t="n">
        <f aca="false">SUMPRODUCT(D401:F401,Stats!$B$6:$D$6)</f>
        <v>0.377876421853323</v>
      </c>
      <c r="H401" s="0" t="n">
        <f aca="false">SQRT(SUMPRODUCT(MMULT(D401:F401,Stats!$B$12:$D$14),D401:F401))</f>
        <v>0.226508305185615</v>
      </c>
      <c r="I401" s="0" t="n">
        <f aca="false">(G401-Stats!$B$2)/H401</f>
        <v>1.48284373757548</v>
      </c>
    </row>
    <row r="402" customFormat="false" ht="15" hidden="false" customHeight="false" outlineLevel="0" collapsed="false">
      <c r="A402" s="0" t="n">
        <v>0.758263195929023</v>
      </c>
      <c r="B402" s="0" t="n">
        <v>0.0245869164588015</v>
      </c>
      <c r="C402" s="0" t="n">
        <v>0.0221235515289973</v>
      </c>
      <c r="D402" s="0" t="n">
        <f aca="false">A402/SUM($A402:$C402)</f>
        <v>0.941972675527649</v>
      </c>
      <c r="E402" s="0" t="n">
        <f aca="false">B402/SUM($A402:$C402)</f>
        <v>0.0305437526231195</v>
      </c>
      <c r="F402" s="0" t="n">
        <f aca="false">C402/SUM($A402:$C402)</f>
        <v>0.0274835718492317</v>
      </c>
      <c r="G402" s="0" t="n">
        <f aca="false">SUMPRODUCT(D402:F402,Stats!$B$6:$D$6)</f>
        <v>0.357483303527251</v>
      </c>
      <c r="H402" s="0" t="n">
        <f aca="false">SQRT(SUMPRODUCT(MMULT(D402:F402,Stats!$B$12:$D$14),D402:F402))</f>
        <v>0.230671837345824</v>
      </c>
      <c r="I402" s="0" t="n">
        <f aca="false">(G402-Stats!$B$2)/H402</f>
        <v>1.36767152486967</v>
      </c>
    </row>
    <row r="403" customFormat="false" ht="15" hidden="false" customHeight="false" outlineLevel="0" collapsed="false">
      <c r="A403" s="0" t="n">
        <v>0.323610219149541</v>
      </c>
      <c r="B403" s="0" t="n">
        <v>0.488643190404666</v>
      </c>
      <c r="C403" s="0" t="n">
        <v>0.770407417807793</v>
      </c>
      <c r="D403" s="0" t="n">
        <f aca="false">A403/SUM($A403:$C403)</f>
        <v>0.20447224923671</v>
      </c>
      <c r="E403" s="0" t="n">
        <f aca="false">B403/SUM($A403:$C403)</f>
        <v>0.308747889602564</v>
      </c>
      <c r="F403" s="0" t="n">
        <f aca="false">C403/SUM($A403:$C403)</f>
        <v>0.486779861160725</v>
      </c>
      <c r="G403" s="0" t="n">
        <f aca="false">SUMPRODUCT(D403:F403,Stats!$B$6:$D$6)</f>
        <v>0.360825890973356</v>
      </c>
      <c r="H403" s="0" t="n">
        <f aca="false">SQRT(SUMPRODUCT(MMULT(D403:F403,Stats!$B$12:$D$14),D403:F403))</f>
        <v>0.231753805619243</v>
      </c>
      <c r="I403" s="0" t="n">
        <f aca="false">(G403-Stats!$B$2)/H403</f>
        <v>1.37570940904922</v>
      </c>
    </row>
    <row r="404" customFormat="false" ht="15" hidden="false" customHeight="false" outlineLevel="0" collapsed="false">
      <c r="A404" s="0" t="n">
        <v>0.683295376606505</v>
      </c>
      <c r="B404" s="0" t="n">
        <v>0.445902706376748</v>
      </c>
      <c r="C404" s="0" t="n">
        <v>0.273626666281666</v>
      </c>
      <c r="D404" s="0" t="n">
        <f aca="false">A404/SUM($A404:$C404)</f>
        <v>0.487085344740711</v>
      </c>
      <c r="E404" s="0" t="n">
        <f aca="false">B404/SUM($A404:$C404)</f>
        <v>0.317860592786377</v>
      </c>
      <c r="F404" s="0" t="n">
        <f aca="false">C404/SUM($A404:$C404)</f>
        <v>0.195054062472911</v>
      </c>
      <c r="G404" s="0" t="n">
        <f aca="false">SUMPRODUCT(D404:F404,Stats!$B$6:$D$6)</f>
        <v>0.369394450815386</v>
      </c>
      <c r="H404" s="0" t="n">
        <f aca="false">SQRT(SUMPRODUCT(MMULT(D404:F404,Stats!$B$12:$D$14),D404:F404))</f>
        <v>0.223882949356862</v>
      </c>
      <c r="I404" s="0" t="n">
        <f aca="false">(G404-Stats!$B$2)/H404</f>
        <v>1.46234651524771</v>
      </c>
    </row>
    <row r="405" customFormat="false" ht="15" hidden="false" customHeight="false" outlineLevel="0" collapsed="false">
      <c r="A405" s="0" t="n">
        <v>0.997124500157711</v>
      </c>
      <c r="B405" s="0" t="n">
        <v>0.426181302235973</v>
      </c>
      <c r="C405" s="0" t="n">
        <v>0.451387024329676</v>
      </c>
      <c r="D405" s="0" t="n">
        <f aca="false">A405/SUM($A405:$C405)</f>
        <v>0.531886870181561</v>
      </c>
      <c r="E405" s="0" t="n">
        <f aca="false">B405/SUM($A405:$C405)</f>
        <v>0.227333937678134</v>
      </c>
      <c r="F405" s="0" t="n">
        <f aca="false">C405/SUM($A405:$C405)</f>
        <v>0.240779192140305</v>
      </c>
      <c r="G405" s="0" t="n">
        <f aca="false">SUMPRODUCT(D405:F405,Stats!$B$6:$D$6)</f>
        <v>0.362924811383046</v>
      </c>
      <c r="H405" s="0" t="n">
        <f aca="false">SQRT(SUMPRODUCT(MMULT(D405:F405,Stats!$B$12:$D$14),D405:F405))</f>
        <v>0.222405243015795</v>
      </c>
      <c r="I405" s="0" t="n">
        <f aca="false">(G405-Stats!$B$2)/H405</f>
        <v>1.44297322775009</v>
      </c>
    </row>
    <row r="406" customFormat="false" ht="15" hidden="false" customHeight="false" outlineLevel="0" collapsed="false">
      <c r="A406" s="0" t="n">
        <v>0.163623821191669</v>
      </c>
      <c r="B406" s="0" t="n">
        <v>0.794809548749929</v>
      </c>
      <c r="C406" s="0" t="n">
        <v>0.693682225781489</v>
      </c>
      <c r="D406" s="0" t="n">
        <f aca="false">A406/SUM($A406:$C406)</f>
        <v>0.0990389665319123</v>
      </c>
      <c r="E406" s="0" t="n">
        <f aca="false">B406/SUM($A406:$C406)</f>
        <v>0.48108591844753</v>
      </c>
      <c r="F406" s="0" t="n">
        <f aca="false">C406/SUM($A406:$C406)</f>
        <v>0.419875115020558</v>
      </c>
      <c r="G406" s="0" t="n">
        <f aca="false">SUMPRODUCT(D406:F406,Stats!$B$6:$D$6)</f>
        <v>0.372586870742246</v>
      </c>
      <c r="H406" s="0" t="n">
        <f aca="false">SQRT(SUMPRODUCT(MMULT(D406:F406,Stats!$B$12:$D$14),D406:F406))</f>
        <v>0.236997205265975</v>
      </c>
      <c r="I406" s="0" t="n">
        <f aca="false">(G406-Stats!$B$2)/H406</f>
        <v>1.39489775995982</v>
      </c>
    </row>
    <row r="407" customFormat="false" ht="15" hidden="false" customHeight="false" outlineLevel="0" collapsed="false">
      <c r="A407" s="0" t="n">
        <v>0.22076961278876</v>
      </c>
      <c r="B407" s="0" t="n">
        <v>0.0823810456158427</v>
      </c>
      <c r="C407" s="0" t="n">
        <v>0.680499302074713</v>
      </c>
      <c r="D407" s="0" t="n">
        <f aca="false">A407/SUM($A407:$C407)</f>
        <v>0.224439202621615</v>
      </c>
      <c r="E407" s="0" t="n">
        <f aca="false">B407/SUM($A407:$C407)</f>
        <v>0.0837503674332481</v>
      </c>
      <c r="F407" s="0" t="n">
        <f aca="false">C407/SUM($A407:$C407)</f>
        <v>0.691810429945137</v>
      </c>
      <c r="G407" s="0" t="n">
        <f aca="false">SUMPRODUCT(D407:F407,Stats!$B$6:$D$6)</f>
        <v>0.342226185681</v>
      </c>
      <c r="H407" s="0" t="n">
        <f aca="false">SQRT(SUMPRODUCT(MMULT(D407:F407,Stats!$B$12:$D$14),D407:F407))</f>
        <v>0.235351355160744</v>
      </c>
      <c r="I407" s="0" t="n">
        <f aca="false">(G407-Stats!$B$2)/H407</f>
        <v>1.27565097501116</v>
      </c>
    </row>
    <row r="408" customFormat="false" ht="15" hidden="false" customHeight="false" outlineLevel="0" collapsed="false">
      <c r="A408" s="0" t="n">
        <v>0.654511214281135</v>
      </c>
      <c r="B408" s="0" t="n">
        <v>0.273259526998209</v>
      </c>
      <c r="C408" s="0" t="n">
        <v>0.95086356225041</v>
      </c>
      <c r="D408" s="0" t="n">
        <f aca="false">A408/SUM($A408:$C408)</f>
        <v>0.348397350698525</v>
      </c>
      <c r="E408" s="0" t="n">
        <f aca="false">B408/SUM($A408:$C408)</f>
        <v>0.145456476805935</v>
      </c>
      <c r="F408" s="0" t="n">
        <f aca="false">C408/SUM($A408:$C408)</f>
        <v>0.50614617249554</v>
      </c>
      <c r="G408" s="0" t="n">
        <f aca="false">SUMPRODUCT(D408:F408,Stats!$B$6:$D$6)</f>
        <v>0.350896295838595</v>
      </c>
      <c r="H408" s="0" t="n">
        <f aca="false">SQRT(SUMPRODUCT(MMULT(D408:F408,Stats!$B$12:$D$14),D408:F408))</f>
        <v>0.226630251198936</v>
      </c>
      <c r="I408" s="0" t="n">
        <f aca="false">(G408-Stats!$B$2)/H408</f>
        <v>1.36299675001219</v>
      </c>
    </row>
    <row r="409" customFormat="false" ht="15" hidden="false" customHeight="false" outlineLevel="0" collapsed="false">
      <c r="A409" s="0" t="n">
        <v>0.1510578917809</v>
      </c>
      <c r="B409" s="0" t="n">
        <v>0.432334801042602</v>
      </c>
      <c r="C409" s="0" t="n">
        <v>0.943615920167599</v>
      </c>
      <c r="D409" s="0" t="n">
        <f aca="false">A409/SUM($A409:$C409)</f>
        <v>0.0989240600843818</v>
      </c>
      <c r="E409" s="0" t="n">
        <f aca="false">B409/SUM($A409:$C409)</f>
        <v>0.283125319244759</v>
      </c>
      <c r="F409" s="0" t="n">
        <f aca="false">C409/SUM($A409:$C409)</f>
        <v>0.617950620670859</v>
      </c>
      <c r="G409" s="0" t="n">
        <f aca="false">SUMPRODUCT(D409:F409,Stats!$B$6:$D$6)</f>
        <v>0.355734618195046</v>
      </c>
      <c r="H409" s="0" t="n">
        <f aca="false">SQRT(SUMPRODUCT(MMULT(D409:F409,Stats!$B$12:$D$14),D409:F409))</f>
        <v>0.239027395154512</v>
      </c>
      <c r="I409" s="0" t="n">
        <f aca="false">(G409-Stats!$B$2)/H409</f>
        <v>1.31254669780525</v>
      </c>
    </row>
    <row r="410" customFormat="false" ht="15" hidden="false" customHeight="false" outlineLevel="0" collapsed="false">
      <c r="A410" s="0" t="n">
        <v>0.419727316926122</v>
      </c>
      <c r="B410" s="0" t="n">
        <v>0.638525947664086</v>
      </c>
      <c r="C410" s="0" t="n">
        <v>0.397594397962794</v>
      </c>
      <c r="D410" s="0" t="n">
        <f aca="false">A410/SUM($A410:$C410)</f>
        <v>0.288304420663135</v>
      </c>
      <c r="E410" s="0" t="n">
        <f aca="false">B410/SUM($A410:$C410)</f>
        <v>0.438593929906344</v>
      </c>
      <c r="F410" s="0" t="n">
        <f aca="false">C410/SUM($A410:$C410)</f>
        <v>0.273101649430522</v>
      </c>
      <c r="G410" s="0" t="n">
        <f aca="false">SUMPRODUCT(D410:F410,Stats!$B$6:$D$6)</f>
        <v>0.374189158579493</v>
      </c>
      <c r="H410" s="0" t="n">
        <f aca="false">SQRT(SUMPRODUCT(MMULT(D410:F410,Stats!$B$12:$D$14),D410:F410))</f>
        <v>0.228657168529708</v>
      </c>
      <c r="I410" s="0" t="n">
        <f aca="false">(G410-Stats!$B$2)/H410</f>
        <v>1.45278261213286</v>
      </c>
    </row>
    <row r="411" customFormat="false" ht="15" hidden="false" customHeight="false" outlineLevel="0" collapsed="false">
      <c r="A411" s="0" t="n">
        <v>0.27421520234867</v>
      </c>
      <c r="B411" s="0" t="n">
        <v>0.983977647959828</v>
      </c>
      <c r="C411" s="0" t="n">
        <v>0.409334006315043</v>
      </c>
      <c r="D411" s="0" t="n">
        <f aca="false">A411/SUM($A411:$C411)</f>
        <v>0.164444249434105</v>
      </c>
      <c r="E411" s="0" t="n">
        <f aca="false">B411/SUM($A411:$C411)</f>
        <v>0.590082039189591</v>
      </c>
      <c r="F411" s="0" t="n">
        <f aca="false">C411/SUM($A411:$C411)</f>
        <v>0.245473711376304</v>
      </c>
      <c r="G411" s="0" t="n">
        <f aca="false">SUMPRODUCT(D411:F411,Stats!$B$6:$D$6)</f>
        <v>0.383667418086009</v>
      </c>
      <c r="H411" s="0" t="n">
        <f aca="false">SQRT(SUMPRODUCT(MMULT(D411:F411,Stats!$B$12:$D$14),D411:F411))</f>
        <v>0.235159919922781</v>
      </c>
      <c r="I411" s="0" t="n">
        <f aca="false">(G411-Stats!$B$2)/H411</f>
        <v>1.45291518298782</v>
      </c>
    </row>
    <row r="412" customFormat="false" ht="15" hidden="false" customHeight="false" outlineLevel="0" collapsed="false">
      <c r="A412" s="0" t="n">
        <v>0.894099203679134</v>
      </c>
      <c r="B412" s="0" t="n">
        <v>0.229954605891086</v>
      </c>
      <c r="C412" s="0" t="n">
        <v>0.213104704025083</v>
      </c>
      <c r="D412" s="0" t="n">
        <f aca="false">A412/SUM($A412:$C412)</f>
        <v>0.668656105157729</v>
      </c>
      <c r="E412" s="0" t="n">
        <f aca="false">B412/SUM($A412:$C412)</f>
        <v>0.171972584815537</v>
      </c>
      <c r="F412" s="0" t="n">
        <f aca="false">C412/SUM($A412:$C412)</f>
        <v>0.159371310026734</v>
      </c>
      <c r="G412" s="0" t="n">
        <f aca="false">SUMPRODUCT(D412:F412,Stats!$B$6:$D$6)</f>
        <v>0.361984181830293</v>
      </c>
      <c r="H412" s="0" t="n">
        <f aca="false">SQRT(SUMPRODUCT(MMULT(D412:F412,Stats!$B$12:$D$14),D412:F412))</f>
        <v>0.222945377412771</v>
      </c>
      <c r="I412" s="0" t="n">
        <f aca="false">(G412-Stats!$B$2)/H412</f>
        <v>1.43525820334844</v>
      </c>
    </row>
    <row r="413" customFormat="false" ht="15" hidden="false" customHeight="false" outlineLevel="0" collapsed="false">
      <c r="A413" s="0" t="n">
        <v>0.0311340828845114</v>
      </c>
      <c r="B413" s="0" t="n">
        <v>0.651666825375885</v>
      </c>
      <c r="C413" s="0" t="n">
        <v>0.368526343723761</v>
      </c>
      <c r="D413" s="0" t="n">
        <f aca="false">A413/SUM($A413:$C413)</f>
        <v>0.0296140738535526</v>
      </c>
      <c r="E413" s="0" t="n">
        <f aca="false">B413/SUM($A413:$C413)</f>
        <v>0.619851548740891</v>
      </c>
      <c r="F413" s="0" t="n">
        <f aca="false">C413/SUM($A413:$C413)</f>
        <v>0.350534377405556</v>
      </c>
      <c r="G413" s="0" t="n">
        <f aca="false">SUMPRODUCT(D413:F413,Stats!$B$6:$D$6)</f>
        <v>0.382483309678369</v>
      </c>
      <c r="H413" s="0" t="n">
        <f aca="false">SQRT(SUMPRODUCT(MMULT(D413:F413,Stats!$B$12:$D$14),D413:F413))</f>
        <v>0.241787835420734</v>
      </c>
      <c r="I413" s="0" t="n">
        <f aca="false">(G413-Stats!$B$2)/H413</f>
        <v>1.40819040414459</v>
      </c>
    </row>
    <row r="414" customFormat="false" ht="15" hidden="false" customHeight="false" outlineLevel="0" collapsed="false">
      <c r="A414" s="0" t="n">
        <v>0.864358249839637</v>
      </c>
      <c r="B414" s="0" t="n">
        <v>0.473209906691557</v>
      </c>
      <c r="C414" s="0" t="n">
        <v>0.968193427914722</v>
      </c>
      <c r="D414" s="0" t="n">
        <f aca="false">A414/SUM($A414:$C414)</f>
        <v>0.374868874418925</v>
      </c>
      <c r="E414" s="0" t="n">
        <f aca="false">B414/SUM($A414:$C414)</f>
        <v>0.205229330683498</v>
      </c>
      <c r="F414" s="0" t="n">
        <f aca="false">C414/SUM($A414:$C414)</f>
        <v>0.419901794897577</v>
      </c>
      <c r="G414" s="0" t="n">
        <f aca="false">SUMPRODUCT(D414:F414,Stats!$B$6:$D$6)</f>
        <v>0.356713704029151</v>
      </c>
      <c r="H414" s="0" t="n">
        <f aca="false">SQRT(SUMPRODUCT(MMULT(D414:F414,Stats!$B$12:$D$14),D414:F414))</f>
        <v>0.224979505977646</v>
      </c>
      <c r="I414" s="0" t="n">
        <f aca="false">(G414-Stats!$B$2)/H414</f>
        <v>1.39885498753127</v>
      </c>
    </row>
    <row r="415" customFormat="false" ht="15" hidden="false" customHeight="false" outlineLevel="0" collapsed="false">
      <c r="A415" s="0" t="n">
        <v>0.185525515703121</v>
      </c>
      <c r="B415" s="0" t="n">
        <v>0.868623167955611</v>
      </c>
      <c r="C415" s="0" t="n">
        <v>0.776596852791742</v>
      </c>
      <c r="D415" s="0" t="n">
        <f aca="false">A415/SUM($A415:$C415)</f>
        <v>0.101338778114858</v>
      </c>
      <c r="E415" s="0" t="n">
        <f aca="false">B415/SUM($A415:$C415)</f>
        <v>0.474464173562719</v>
      </c>
      <c r="F415" s="0" t="n">
        <f aca="false">C415/SUM($A415:$C415)</f>
        <v>0.424197048322423</v>
      </c>
      <c r="G415" s="0" t="n">
        <f aca="false">SUMPRODUCT(D415:F415,Stats!$B$6:$D$6)</f>
        <v>0.372086688463434</v>
      </c>
      <c r="H415" s="0" t="n">
        <f aca="false">SQRT(SUMPRODUCT(MMULT(D415:F415,Stats!$B$12:$D$14),D415:F415))</f>
        <v>0.236858226733209</v>
      </c>
      <c r="I415" s="0" t="n">
        <f aca="false">(G415-Stats!$B$2)/H415</f>
        <v>1.39360449082157</v>
      </c>
    </row>
    <row r="416" customFormat="false" ht="15" hidden="false" customHeight="false" outlineLevel="0" collapsed="false">
      <c r="A416" s="0" t="n">
        <v>0.770921844644052</v>
      </c>
      <c r="B416" s="0" t="n">
        <v>0.844783228116888</v>
      </c>
      <c r="C416" s="0" t="n">
        <v>0.761023990942999</v>
      </c>
      <c r="D416" s="0" t="n">
        <f aca="false">A416/SUM($A416:$C416)</f>
        <v>0.324362526809275</v>
      </c>
      <c r="E416" s="0" t="n">
        <f aca="false">B416/SUM($A416:$C416)</f>
        <v>0.355439431872122</v>
      </c>
      <c r="F416" s="0" t="n">
        <f aca="false">C416/SUM($A416:$C416)</f>
        <v>0.320198041318603</v>
      </c>
      <c r="G416" s="0" t="n">
        <f aca="false">SUMPRODUCT(D416:F416,Stats!$B$6:$D$6)</f>
        <v>0.368105891495275</v>
      </c>
      <c r="H416" s="0" t="n">
        <f aca="false">SQRT(SUMPRODUCT(MMULT(D416:F416,Stats!$B$12:$D$14),D416:F416))</f>
        <v>0.226723726766919</v>
      </c>
      <c r="I416" s="0" t="n">
        <f aca="false">(G416-Stats!$B$2)/H416</f>
        <v>1.43834038080419</v>
      </c>
    </row>
    <row r="417" customFormat="false" ht="15" hidden="false" customHeight="false" outlineLevel="0" collapsed="false">
      <c r="A417" s="0" t="n">
        <v>0.626220321631415</v>
      </c>
      <c r="B417" s="0" t="n">
        <v>0.131244877682388</v>
      </c>
      <c r="C417" s="0" t="n">
        <v>0.0325261794912519</v>
      </c>
      <c r="D417" s="0" t="n">
        <f aca="false">A417/SUM($A417:$C417)</f>
        <v>0.792692602011227</v>
      </c>
      <c r="E417" s="0" t="n">
        <f aca="false">B417/SUM($A417:$C417)</f>
        <v>0.166134569570758</v>
      </c>
      <c r="F417" s="0" t="n">
        <f aca="false">C417/SUM($A417:$C417)</f>
        <v>0.0411728284180154</v>
      </c>
      <c r="G417" s="0" t="n">
        <f aca="false">SUMPRODUCT(D417:F417,Stats!$B$6:$D$6)</f>
        <v>0.364907547657938</v>
      </c>
      <c r="H417" s="0" t="n">
        <f aca="false">SQRT(SUMPRODUCT(MMULT(D417:F417,Stats!$B$12:$D$14),D417:F417))</f>
        <v>0.226887368591061</v>
      </c>
      <c r="I417" s="0" t="n">
        <f aca="false">(G417-Stats!$B$2)/H417</f>
        <v>1.42320636738462</v>
      </c>
    </row>
    <row r="418" customFormat="false" ht="15" hidden="false" customHeight="false" outlineLevel="0" collapsed="false">
      <c r="A418" s="0" t="n">
        <v>0.920847847815687</v>
      </c>
      <c r="B418" s="0" t="n">
        <v>0.616650314520738</v>
      </c>
      <c r="C418" s="0" t="n">
        <v>0.796537290976176</v>
      </c>
      <c r="D418" s="0" t="n">
        <f aca="false">A418/SUM($A418:$C418)</f>
        <v>0.394530360071765</v>
      </c>
      <c r="E418" s="0" t="n">
        <f aca="false">B418/SUM($A418:$C418)</f>
        <v>0.264199206419745</v>
      </c>
      <c r="F418" s="0" t="n">
        <f aca="false">C418/SUM($A418:$C418)</f>
        <v>0.34127043350849</v>
      </c>
      <c r="G418" s="0" t="n">
        <f aca="false">SUMPRODUCT(D418:F418,Stats!$B$6:$D$6)</f>
        <v>0.362274983902891</v>
      </c>
      <c r="H418" s="0" t="n">
        <f aca="false">SQRT(SUMPRODUCT(MMULT(D418:F418,Stats!$B$12:$D$14),D418:F418))</f>
        <v>0.224365618838446</v>
      </c>
      <c r="I418" s="0" t="n">
        <f aca="false">(G418-Stats!$B$2)/H418</f>
        <v>1.42746908176472</v>
      </c>
    </row>
    <row r="419" customFormat="false" ht="15" hidden="false" customHeight="false" outlineLevel="0" collapsed="false">
      <c r="A419" s="0" t="n">
        <v>0.48152235151255</v>
      </c>
      <c r="B419" s="0" t="n">
        <v>0.117308188962395</v>
      </c>
      <c r="C419" s="0" t="n">
        <v>0.12518579220255</v>
      </c>
      <c r="D419" s="0" t="n">
        <f aca="false">A419/SUM($A419:$C419)</f>
        <v>0.665071117569718</v>
      </c>
      <c r="E419" s="0" t="n">
        <f aca="false">B419/SUM($A419:$C419)</f>
        <v>0.162024230211182</v>
      </c>
      <c r="F419" s="0" t="n">
        <f aca="false">C419/SUM($A419:$C419)</f>
        <v>0.1729046522191</v>
      </c>
      <c r="G419" s="0" t="n">
        <f aca="false">SUMPRODUCT(D419:F419,Stats!$B$6:$D$6)</f>
        <v>0.361038589676505</v>
      </c>
      <c r="H419" s="0" t="n">
        <f aca="false">SQRT(SUMPRODUCT(MMULT(D419:F419,Stats!$B$12:$D$14),D419:F419))</f>
        <v>0.222686307090702</v>
      </c>
      <c r="I419" s="0" t="n">
        <f aca="false">(G419-Stats!$B$2)/H419</f>
        <v>1.43268166707061</v>
      </c>
    </row>
    <row r="420" customFormat="false" ht="15" hidden="false" customHeight="false" outlineLevel="0" collapsed="false">
      <c r="A420" s="0" t="n">
        <v>0.685565287228971</v>
      </c>
      <c r="B420" s="0" t="n">
        <v>0.430305894899463</v>
      </c>
      <c r="C420" s="0" t="n">
        <v>0.200524726700337</v>
      </c>
      <c r="D420" s="0" t="n">
        <f aca="false">A420/SUM($A420:$C420)</f>
        <v>0.520789591209635</v>
      </c>
      <c r="E420" s="0" t="n">
        <f aca="false">B420/SUM($A420:$C420)</f>
        <v>0.326881823327996</v>
      </c>
      <c r="F420" s="0" t="n">
        <f aca="false">C420/SUM($A420:$C420)</f>
        <v>0.152328585462369</v>
      </c>
      <c r="G420" s="0" t="n">
        <f aca="false">SUMPRODUCT(D420:F420,Stats!$B$6:$D$6)</f>
        <v>0.371091659340284</v>
      </c>
      <c r="H420" s="0" t="n">
        <f aca="false">SQRT(SUMPRODUCT(MMULT(D420:F420,Stats!$B$12:$D$14),D420:F420))</f>
        <v>0.224199820742299</v>
      </c>
      <c r="I420" s="0" t="n">
        <f aca="false">(G420-Stats!$B$2)/H420</f>
        <v>1.46784978797352</v>
      </c>
    </row>
    <row r="421" customFormat="false" ht="15" hidden="false" customHeight="false" outlineLevel="0" collapsed="false">
      <c r="A421" s="0" t="n">
        <v>0.491594546741437</v>
      </c>
      <c r="B421" s="0" t="n">
        <v>0.0642089370751341</v>
      </c>
      <c r="C421" s="0" t="n">
        <v>0.581971401914399</v>
      </c>
      <c r="D421" s="0" t="n">
        <f aca="false">A421/SUM($A421:$C421)</f>
        <v>0.43206661784032</v>
      </c>
      <c r="E421" s="0" t="n">
        <f aca="false">B421/SUM($A421:$C421)</f>
        <v>0.0564337795467182</v>
      </c>
      <c r="F421" s="0" t="n">
        <f aca="false">C421/SUM($A421:$C421)</f>
        <v>0.511499602612962</v>
      </c>
      <c r="G421" s="0" t="n">
        <f aca="false">SUMPRODUCT(D421:F421,Stats!$B$6:$D$6)</f>
        <v>0.345626426281672</v>
      </c>
      <c r="H421" s="0" t="n">
        <f aca="false">SQRT(SUMPRODUCT(MMULT(D421:F421,Stats!$B$12:$D$14),D421:F421))</f>
        <v>0.224748323277968</v>
      </c>
      <c r="I421" s="0" t="n">
        <f aca="false">(G421-Stats!$B$2)/H421</f>
        <v>1.35096191977436</v>
      </c>
    </row>
    <row r="422" customFormat="false" ht="15" hidden="false" customHeight="false" outlineLevel="0" collapsed="false">
      <c r="A422" s="0" t="n">
        <v>0.268993404435098</v>
      </c>
      <c r="B422" s="0" t="n">
        <v>0.797559100637188</v>
      </c>
      <c r="C422" s="0" t="n">
        <v>0.310361958923574</v>
      </c>
      <c r="D422" s="0" t="n">
        <f aca="false">A422/SUM($A422:$C422)</f>
        <v>0.195359560429388</v>
      </c>
      <c r="E422" s="0" t="n">
        <f aca="false">B422/SUM($A422:$C422)</f>
        <v>0.579236489623793</v>
      </c>
      <c r="F422" s="0" t="n">
        <f aca="false">C422/SUM($A422:$C422)</f>
        <v>0.225403949946819</v>
      </c>
      <c r="G422" s="0" t="n">
        <f aca="false">SUMPRODUCT(D422:F422,Stats!$B$6:$D$6)</f>
        <v>0.383596795153295</v>
      </c>
      <c r="H422" s="0" t="n">
        <f aca="false">SQRT(SUMPRODUCT(MMULT(D422:F422,Stats!$B$12:$D$14),D422:F422))</f>
        <v>0.23391496345124</v>
      </c>
      <c r="I422" s="0" t="n">
        <f aca="false">(G422-Stats!$B$2)/H422</f>
        <v>1.46034605958204</v>
      </c>
    </row>
    <row r="423" customFormat="false" ht="15" hidden="false" customHeight="false" outlineLevel="0" collapsed="false">
      <c r="A423" s="0" t="n">
        <v>0.455220149081801</v>
      </c>
      <c r="B423" s="0" t="n">
        <v>0.0116205399081006</v>
      </c>
      <c r="C423" s="0" t="n">
        <v>0.0724468877945589</v>
      </c>
      <c r="D423" s="0" t="n">
        <f aca="false">A423/SUM($A423:$C423)</f>
        <v>0.844113917468826</v>
      </c>
      <c r="E423" s="0" t="n">
        <f aca="false">B423/SUM($A423:$C423)</f>
        <v>0.021547946602792</v>
      </c>
      <c r="F423" s="0" t="n">
        <f aca="false">C423/SUM($A423:$C423)</f>
        <v>0.134338135928382</v>
      </c>
      <c r="G423" s="0" t="n">
        <f aca="false">SUMPRODUCT(D423:F423,Stats!$B$6:$D$6)</f>
        <v>0.354019222985829</v>
      </c>
      <c r="H423" s="0" t="n">
        <f aca="false">SQRT(SUMPRODUCT(MMULT(D423:F423,Stats!$B$12:$D$14),D423:F423))</f>
        <v>0.225569098520797</v>
      </c>
      <c r="I423" s="0" t="n">
        <f aca="false">(G423-Stats!$B$2)/H423</f>
        <v>1.38325340231415</v>
      </c>
    </row>
    <row r="424" customFormat="false" ht="15" hidden="false" customHeight="false" outlineLevel="0" collapsed="false">
      <c r="A424" s="0" t="n">
        <v>0.392493556406685</v>
      </c>
      <c r="B424" s="0" t="n">
        <v>0.479938834717124</v>
      </c>
      <c r="C424" s="0" t="n">
        <v>0.600020548119304</v>
      </c>
      <c r="D424" s="0" t="n">
        <f aca="false">A424/SUM($A424:$C424)</f>
        <v>0.266557623640209</v>
      </c>
      <c r="E424" s="0" t="n">
        <f aca="false">B424/SUM($A424:$C424)</f>
        <v>0.325945109637139</v>
      </c>
      <c r="F424" s="0" t="n">
        <f aca="false">C424/SUM($A424:$C424)</f>
        <v>0.407497266722652</v>
      </c>
      <c r="G424" s="0" t="n">
        <f aca="false">SUMPRODUCT(D424:F424,Stats!$B$6:$D$6)</f>
        <v>0.36400158380416</v>
      </c>
      <c r="H424" s="0" t="n">
        <f aca="false">SQRT(SUMPRODUCT(MMULT(D424:F424,Stats!$B$12:$D$14),D424:F424))</f>
        <v>0.228654051753179</v>
      </c>
      <c r="I424" s="0" t="n">
        <f aca="false">(G424-Stats!$B$2)/H424</f>
        <v>1.40824788074057</v>
      </c>
    </row>
    <row r="425" customFormat="false" ht="15" hidden="false" customHeight="false" outlineLevel="0" collapsed="false">
      <c r="A425" s="0" t="n">
        <v>0.291662578709303</v>
      </c>
      <c r="B425" s="0" t="n">
        <v>0.694981886126543</v>
      </c>
      <c r="C425" s="0" t="n">
        <v>0.860122397189205</v>
      </c>
      <c r="D425" s="0" t="n">
        <f aca="false">A425/SUM($A425:$C425)</f>
        <v>0.157931455619408</v>
      </c>
      <c r="E425" s="0" t="n">
        <f aca="false">B425/SUM($A425:$C425)</f>
        <v>0.376323563313492</v>
      </c>
      <c r="F425" s="0" t="n">
        <f aca="false">C425/SUM($A425:$C425)</f>
        <v>0.4657449810671</v>
      </c>
      <c r="G425" s="0" t="n">
        <f aca="false">SUMPRODUCT(D425:F425,Stats!$B$6:$D$6)</f>
        <v>0.365294136505341</v>
      </c>
      <c r="H425" s="0" t="n">
        <f aca="false">SQRT(SUMPRODUCT(MMULT(D425:F425,Stats!$B$12:$D$14),D425:F425))</f>
        <v>0.233855477575243</v>
      </c>
      <c r="I425" s="0" t="n">
        <f aca="false">(G425-Stats!$B$2)/H425</f>
        <v>1.38245270052022</v>
      </c>
    </row>
    <row r="426" customFormat="false" ht="15" hidden="false" customHeight="false" outlineLevel="0" collapsed="false">
      <c r="A426" s="0" t="n">
        <v>0.77985098889335</v>
      </c>
      <c r="B426" s="0" t="n">
        <v>0.0396188253483572</v>
      </c>
      <c r="C426" s="0" t="n">
        <v>0.480506947257829</v>
      </c>
      <c r="D426" s="0" t="n">
        <f aca="false">A426/SUM($A426:$C426)</f>
        <v>0.599896099676262</v>
      </c>
      <c r="E426" s="0" t="n">
        <f aca="false">B426/SUM($A426:$C426)</f>
        <v>0.0304765642907774</v>
      </c>
      <c r="F426" s="0" t="n">
        <f aca="false">C426/SUM($A426:$C426)</f>
        <v>0.369627336032961</v>
      </c>
      <c r="G426" s="0" t="n">
        <f aca="false">SUMPRODUCT(D426:F426,Stats!$B$6:$D$6)</f>
        <v>0.348044954895612</v>
      </c>
      <c r="H426" s="0" t="n">
        <f aca="false">SQRT(SUMPRODUCT(MMULT(D426:F426,Stats!$B$12:$D$14),D426:F426))</f>
        <v>0.221407307708894</v>
      </c>
      <c r="I426" s="0" t="n">
        <f aca="false">(G426-Stats!$B$2)/H426</f>
        <v>1.38227124507562</v>
      </c>
    </row>
    <row r="427" customFormat="false" ht="15" hidden="false" customHeight="false" outlineLevel="0" collapsed="false">
      <c r="A427" s="0" t="n">
        <v>0.104930178418175</v>
      </c>
      <c r="B427" s="0" t="n">
        <v>0.242045015862528</v>
      </c>
      <c r="C427" s="0" t="n">
        <v>0.986662593267146</v>
      </c>
      <c r="D427" s="0" t="n">
        <f aca="false">A427/SUM($A427:$C427)</f>
        <v>0.0786796680462312</v>
      </c>
      <c r="E427" s="0" t="n">
        <f aca="false">B427/SUM($A427:$C427)</f>
        <v>0.181492319820642</v>
      </c>
      <c r="F427" s="0" t="n">
        <f aca="false">C427/SUM($A427:$C427)</f>
        <v>0.739828012133127</v>
      </c>
      <c r="G427" s="0" t="n">
        <f aca="false">SUMPRODUCT(D427:F427,Stats!$B$6:$D$6)</f>
        <v>0.346526064756137</v>
      </c>
      <c r="H427" s="0" t="n">
        <f aca="false">SQRT(SUMPRODUCT(MMULT(D427:F427,Stats!$B$12:$D$14),D427:F427))</f>
        <v>0.243539926371566</v>
      </c>
      <c r="I427" s="0" t="n">
        <f aca="false">(G427-Stats!$B$2)/H427</f>
        <v>1.25041536019653</v>
      </c>
    </row>
    <row r="428" customFormat="false" ht="15" hidden="false" customHeight="false" outlineLevel="0" collapsed="false">
      <c r="A428" s="0" t="n">
        <v>0.142495542901513</v>
      </c>
      <c r="B428" s="0" t="n">
        <v>0.498888153451356</v>
      </c>
      <c r="C428" s="0" t="n">
        <v>0.618155734318119</v>
      </c>
      <c r="D428" s="0" t="n">
        <f aca="false">A428/SUM($A428:$C428)</f>
        <v>0.113133054378141</v>
      </c>
      <c r="E428" s="0" t="n">
        <f aca="false">B428/SUM($A428:$C428)</f>
        <v>0.396087761369714</v>
      </c>
      <c r="F428" s="0" t="n">
        <f aca="false">C428/SUM($A428:$C428)</f>
        <v>0.490779184252145</v>
      </c>
      <c r="G428" s="0" t="n">
        <f aca="false">SUMPRODUCT(D428:F428,Stats!$B$6:$D$6)</f>
        <v>0.365741034357028</v>
      </c>
      <c r="H428" s="0" t="n">
        <f aca="false">SQRT(SUMPRODUCT(MMULT(D428:F428,Stats!$B$12:$D$14),D428:F428))</f>
        <v>0.236404930060043</v>
      </c>
      <c r="I428" s="0" t="n">
        <f aca="false">(G428-Stats!$B$2)/H428</f>
        <v>1.3694343610973</v>
      </c>
    </row>
    <row r="429" customFormat="false" ht="15" hidden="false" customHeight="false" outlineLevel="0" collapsed="false">
      <c r="A429" s="0" t="n">
        <v>0.702464970544104</v>
      </c>
      <c r="B429" s="0" t="n">
        <v>0.559648683486914</v>
      </c>
      <c r="C429" s="0" t="n">
        <v>0.00977084741918366</v>
      </c>
      <c r="D429" s="0" t="n">
        <f aca="false">A429/SUM($A429:$C429)</f>
        <v>0.552302484811438</v>
      </c>
      <c r="E429" s="0" t="n">
        <f aca="false">B429/SUM($A429:$C429)</f>
        <v>0.440015333820644</v>
      </c>
      <c r="F429" s="0" t="n">
        <f aca="false">C429/SUM($A429:$C429)</f>
        <v>0.00768218136791741</v>
      </c>
      <c r="G429" s="0" t="n">
        <f aca="false">SUMPRODUCT(D429:F429,Stats!$B$6:$D$6)</f>
        <v>0.381589784067166</v>
      </c>
      <c r="H429" s="0" t="n">
        <f aca="false">SQRT(SUMPRODUCT(MMULT(D429:F429,Stats!$B$12:$D$14),D429:F429))</f>
        <v>0.228349253837635</v>
      </c>
      <c r="I429" s="0" t="n">
        <f aca="false">(G429-Stats!$B$2)/H429</f>
        <v>1.48715083741253</v>
      </c>
    </row>
    <row r="430" customFormat="false" ht="15" hidden="false" customHeight="false" outlineLevel="0" collapsed="false">
      <c r="A430" s="0" t="n">
        <v>0.326461308243992</v>
      </c>
      <c r="B430" s="0" t="n">
        <v>0.517711643384711</v>
      </c>
      <c r="C430" s="0" t="n">
        <v>0.0878664991448334</v>
      </c>
      <c r="D430" s="0" t="n">
        <f aca="false">A430/SUM($A430:$C430)</f>
        <v>0.350265547207308</v>
      </c>
      <c r="E430" s="0" t="n">
        <f aca="false">B430/SUM($A430:$C430)</f>
        <v>0.555461083707392</v>
      </c>
      <c r="F430" s="0" t="n">
        <f aca="false">C430/SUM($A430:$C430)</f>
        <v>0.0942733690852994</v>
      </c>
      <c r="G430" s="0" t="n">
        <f aca="false">SUMPRODUCT(D430:F430,Stats!$B$6:$D$6)</f>
        <v>0.385844664400555</v>
      </c>
      <c r="H430" s="0" t="n">
        <f aca="false">SQRT(SUMPRODUCT(MMULT(D430:F430,Stats!$B$12:$D$14),D430:F430))</f>
        <v>0.230591371820461</v>
      </c>
      <c r="I430" s="0" t="n">
        <f aca="false">(G430-Stats!$B$2)/H430</f>
        <v>1.49114280246476</v>
      </c>
    </row>
    <row r="431" customFormat="false" ht="15" hidden="false" customHeight="false" outlineLevel="0" collapsed="false">
      <c r="A431" s="0" t="n">
        <v>0.350626931209181</v>
      </c>
      <c r="B431" s="0" t="n">
        <v>0.0332031087913666</v>
      </c>
      <c r="C431" s="0" t="n">
        <v>0.0785784971550207</v>
      </c>
      <c r="D431" s="0" t="n">
        <f aca="false">A431/SUM($A431:$C431)</f>
        <v>0.758262235740729</v>
      </c>
      <c r="E431" s="0" t="n">
        <f aca="false">B431/SUM($A431:$C431)</f>
        <v>0.0718047054139834</v>
      </c>
      <c r="F431" s="0" t="n">
        <f aca="false">C431/SUM($A431:$C431)</f>
        <v>0.169933058845288</v>
      </c>
      <c r="G431" s="0" t="n">
        <f aca="false">SUMPRODUCT(D431:F431,Stats!$B$6:$D$6)</f>
        <v>0.355929415532868</v>
      </c>
      <c r="H431" s="0" t="n">
        <f aca="false">SQRT(SUMPRODUCT(MMULT(D431:F431,Stats!$B$12:$D$14),D431:F431))</f>
        <v>0.223429042374086</v>
      </c>
      <c r="I431" s="0" t="n">
        <f aca="false">(G431-Stats!$B$2)/H431</f>
        <v>1.40505196726958</v>
      </c>
    </row>
    <row r="432" customFormat="false" ht="15" hidden="false" customHeight="false" outlineLevel="0" collapsed="false">
      <c r="A432" s="0" t="n">
        <v>0.396923276201596</v>
      </c>
      <c r="B432" s="0" t="n">
        <v>0.13271575404306</v>
      </c>
      <c r="C432" s="0" t="n">
        <v>0.567540848261558</v>
      </c>
      <c r="D432" s="0" t="n">
        <f aca="false">A432/SUM($A432:$C432)</f>
        <v>0.361766820534476</v>
      </c>
      <c r="E432" s="0" t="n">
        <f aca="false">B432/SUM($A432:$C432)</f>
        <v>0.120960798354915</v>
      </c>
      <c r="F432" s="0" t="n">
        <f aca="false">C432/SUM($A432:$C432)</f>
        <v>0.517272381110609</v>
      </c>
      <c r="G432" s="0" t="n">
        <f aca="false">SUMPRODUCT(D432:F432,Stats!$B$6:$D$6)</f>
        <v>0.349180045281464</v>
      </c>
      <c r="H432" s="0" t="n">
        <f aca="false">SQRT(SUMPRODUCT(MMULT(D432:F432,Stats!$B$12:$D$14),D432:F432))</f>
        <v>0.226440827323029</v>
      </c>
      <c r="I432" s="0" t="n">
        <f aca="false">(G432-Stats!$B$2)/H432</f>
        <v>1.35655768843865</v>
      </c>
    </row>
    <row r="433" customFormat="false" ht="15" hidden="false" customHeight="false" outlineLevel="0" collapsed="false">
      <c r="A433" s="0" t="n">
        <v>0.689464969137266</v>
      </c>
      <c r="B433" s="0" t="n">
        <v>0.800586699109083</v>
      </c>
      <c r="C433" s="0" t="n">
        <v>0.20015024424481</v>
      </c>
      <c r="D433" s="0" t="n">
        <f aca="false">A433/SUM($A433:$C433)</f>
        <v>0.407918701334964</v>
      </c>
      <c r="E433" s="0" t="n">
        <f aca="false">B433/SUM($A433:$C433)</f>
        <v>0.473663349445104</v>
      </c>
      <c r="F433" s="0" t="n">
        <f aca="false">C433/SUM($A433:$C433)</f>
        <v>0.118417949219932</v>
      </c>
      <c r="G433" s="0" t="n">
        <f aca="false">SUMPRODUCT(D433:F433,Stats!$B$6:$D$6)</f>
        <v>0.38047235112912</v>
      </c>
      <c r="H433" s="0" t="n">
        <f aca="false">SQRT(SUMPRODUCT(MMULT(D433:F433,Stats!$B$12:$D$14),D433:F433))</f>
        <v>0.227815824589837</v>
      </c>
      <c r="I433" s="0" t="n">
        <f aca="false">(G433-Stats!$B$2)/H433</f>
        <v>1.48572800743105</v>
      </c>
    </row>
    <row r="434" customFormat="false" ht="15" hidden="false" customHeight="false" outlineLevel="0" collapsed="false">
      <c r="A434" s="0" t="n">
        <v>0.16748258225907</v>
      </c>
      <c r="B434" s="0" t="n">
        <v>0.1045678403344</v>
      </c>
      <c r="C434" s="0" t="n">
        <v>0.636430249543637</v>
      </c>
      <c r="D434" s="0" t="n">
        <f aca="false">A434/SUM($A434:$C434)</f>
        <v>0.184354590467054</v>
      </c>
      <c r="E434" s="0" t="n">
        <f aca="false">B434/SUM($A434:$C434)</f>
        <v>0.115101887735724</v>
      </c>
      <c r="F434" s="0" t="n">
        <f aca="false">C434/SUM($A434:$C434)</f>
        <v>0.700543521797223</v>
      </c>
      <c r="G434" s="0" t="n">
        <f aca="false">SUMPRODUCT(D434:F434,Stats!$B$6:$D$6)</f>
        <v>0.343789299932829</v>
      </c>
      <c r="H434" s="0" t="n">
        <f aca="false">SQRT(SUMPRODUCT(MMULT(D434:F434,Stats!$B$12:$D$14),D434:F434))</f>
        <v>0.237239763554377</v>
      </c>
      <c r="I434" s="0" t="n">
        <f aca="false">(G434-Stats!$B$2)/H434</f>
        <v>1.27208565466158</v>
      </c>
    </row>
    <row r="435" customFormat="false" ht="15" hidden="false" customHeight="false" outlineLevel="0" collapsed="false">
      <c r="A435" s="0" t="n">
        <v>0.706475726486901</v>
      </c>
      <c r="B435" s="0" t="n">
        <v>0.031586144825642</v>
      </c>
      <c r="C435" s="0" t="n">
        <v>0.93621224624369</v>
      </c>
      <c r="D435" s="0" t="n">
        <f aca="false">A435/SUM($A435:$C435)</f>
        <v>0.421959414577866</v>
      </c>
      <c r="E435" s="0" t="n">
        <f aca="false">B435/SUM($A435:$C435)</f>
        <v>0.0188655755317684</v>
      </c>
      <c r="F435" s="0" t="n">
        <f aca="false">C435/SUM($A435:$C435)</f>
        <v>0.559175009890366</v>
      </c>
      <c r="G435" s="0" t="n">
        <f aca="false">SUMPRODUCT(D435:F435,Stats!$B$6:$D$6)</f>
        <v>0.342150169427478</v>
      </c>
      <c r="H435" s="0" t="n">
        <f aca="false">SQRT(SUMPRODUCT(MMULT(D435:F435,Stats!$B$12:$D$14),D435:F435))</f>
        <v>0.225939387296785</v>
      </c>
      <c r="I435" s="0" t="n">
        <f aca="false">(G435-Stats!$B$2)/H435</f>
        <v>1.3284543833573</v>
      </c>
    </row>
    <row r="436" customFormat="false" ht="15" hidden="false" customHeight="false" outlineLevel="0" collapsed="false">
      <c r="A436" s="0" t="n">
        <v>0.0519712836514724</v>
      </c>
      <c r="B436" s="0" t="n">
        <v>0.541296335301071</v>
      </c>
      <c r="C436" s="0" t="n">
        <v>0.709060519450916</v>
      </c>
      <c r="D436" s="0" t="n">
        <f aca="false">A436/SUM($A436:$C436)</f>
        <v>0.0399064430222514</v>
      </c>
      <c r="E436" s="0" t="n">
        <f aca="false">B436/SUM($A436:$C436)</f>
        <v>0.415637441393728</v>
      </c>
      <c r="F436" s="0" t="n">
        <f aca="false">C436/SUM($A436:$C436)</f>
        <v>0.544456115584021</v>
      </c>
      <c r="G436" s="0" t="n">
        <f aca="false">SUMPRODUCT(D436:F436,Stats!$B$6:$D$6)</f>
        <v>0.365385776906711</v>
      </c>
      <c r="H436" s="0" t="n">
        <f aca="false">SQRT(SUMPRODUCT(MMULT(D436:F436,Stats!$B$12:$D$14),D436:F436))</f>
        <v>0.241191764497929</v>
      </c>
      <c r="I436" s="0" t="n">
        <f aca="false">(G436-Stats!$B$2)/H436</f>
        <v>1.34078283137021</v>
      </c>
    </row>
    <row r="437" customFormat="false" ht="15" hidden="false" customHeight="false" outlineLevel="0" collapsed="false">
      <c r="A437" s="0" t="n">
        <v>0.870969123746086</v>
      </c>
      <c r="B437" s="0" t="n">
        <v>0.714086932132428</v>
      </c>
      <c r="C437" s="0" t="n">
        <v>0.801728083069792</v>
      </c>
      <c r="D437" s="0" t="n">
        <f aca="false">A437/SUM($A437:$C437)</f>
        <v>0.364913235987006</v>
      </c>
      <c r="E437" s="0" t="n">
        <f aca="false">B437/SUM($A437:$C437)</f>
        <v>0.299183709360109</v>
      </c>
      <c r="F437" s="0" t="n">
        <f aca="false">C437/SUM($A437:$C437)</f>
        <v>0.335903054652885</v>
      </c>
      <c r="G437" s="0" t="n">
        <f aca="false">SUMPRODUCT(D437:F437,Stats!$B$6:$D$6)</f>
        <v>0.364435950330064</v>
      </c>
      <c r="H437" s="0" t="n">
        <f aca="false">SQRT(SUMPRODUCT(MMULT(D437:F437,Stats!$B$12:$D$14),D437:F437))</f>
        <v>0.225255671262871</v>
      </c>
      <c r="I437" s="0" t="n">
        <f aca="false">(G437-Stats!$B$2)/H437</f>
        <v>1.43142211924061</v>
      </c>
    </row>
    <row r="438" customFormat="false" ht="15" hidden="false" customHeight="false" outlineLevel="0" collapsed="false">
      <c r="A438" s="0" t="n">
        <v>0.339450192542806</v>
      </c>
      <c r="B438" s="0" t="n">
        <v>0.814825113746512</v>
      </c>
      <c r="C438" s="0" t="n">
        <v>0.0801148463846751</v>
      </c>
      <c r="D438" s="0" t="n">
        <f aca="false">A438/SUM($A438:$C438)</f>
        <v>0.274994248623479</v>
      </c>
      <c r="E438" s="0" t="n">
        <f aca="false">B438/SUM($A438:$C438)</f>
        <v>0.660103381399633</v>
      </c>
      <c r="F438" s="0" t="n">
        <f aca="false">C438/SUM($A438:$C438)</f>
        <v>0.0649023699768883</v>
      </c>
      <c r="G438" s="0" t="n">
        <f aca="false">SUMPRODUCT(D438:F438,Stats!$B$6:$D$6)</f>
        <v>0.392675540777625</v>
      </c>
      <c r="H438" s="0" t="n">
        <f aca="false">SQRT(SUMPRODUCT(MMULT(D438:F438,Stats!$B$12:$D$14),D438:F438))</f>
        <v>0.234876383876633</v>
      </c>
      <c r="I438" s="0" t="n">
        <f aca="false">(G438-Stats!$B$2)/H438</f>
        <v>1.4930217120586</v>
      </c>
    </row>
    <row r="439" customFormat="false" ht="15" hidden="false" customHeight="false" outlineLevel="0" collapsed="false">
      <c r="A439" s="0" t="n">
        <v>0.894816656060528</v>
      </c>
      <c r="B439" s="0" t="n">
        <v>0.547592376153736</v>
      </c>
      <c r="C439" s="0" t="n">
        <v>0.817297769962494</v>
      </c>
      <c r="D439" s="0" t="n">
        <f aca="false">A439/SUM($A439:$C439)</f>
        <v>0.395987946400196</v>
      </c>
      <c r="E439" s="0" t="n">
        <f aca="false">B439/SUM($A439:$C439)</f>
        <v>0.242328949767397</v>
      </c>
      <c r="F439" s="0" t="n">
        <f aca="false">C439/SUM($A439:$C439)</f>
        <v>0.361683103832408</v>
      </c>
      <c r="G439" s="0" t="n">
        <f aca="false">SUMPRODUCT(D439:F439,Stats!$B$6:$D$6)</f>
        <v>0.360453726108178</v>
      </c>
      <c r="H439" s="0" t="n">
        <f aca="false">SQRT(SUMPRODUCT(MMULT(D439:F439,Stats!$B$12:$D$14),D439:F439))</f>
        <v>0.224276445839324</v>
      </c>
      <c r="I439" s="0" t="n">
        <f aca="false">(G439-Stats!$B$2)/H439</f>
        <v>1.41991605456564</v>
      </c>
    </row>
    <row r="440" customFormat="false" ht="15" hidden="false" customHeight="false" outlineLevel="0" collapsed="false">
      <c r="A440" s="0" t="n">
        <v>0.4523182845183</v>
      </c>
      <c r="B440" s="0" t="n">
        <v>0.643577695196525</v>
      </c>
      <c r="C440" s="0" t="n">
        <v>0.526402660936113</v>
      </c>
      <c r="D440" s="0" t="n">
        <f aca="false">A440/SUM($A440:$C440)</f>
        <v>0.278813205648012</v>
      </c>
      <c r="E440" s="0" t="n">
        <f aca="false">B440/SUM($A440:$C440)</f>
        <v>0.396707288701353</v>
      </c>
      <c r="F440" s="0" t="n">
        <f aca="false">C440/SUM($A440:$C440)</f>
        <v>0.324479505650635</v>
      </c>
      <c r="G440" s="0" t="n">
        <f aca="false">SUMPRODUCT(D440:F440,Stats!$B$6:$D$6)</f>
        <v>0.370362330833069</v>
      </c>
      <c r="H440" s="0" t="n">
        <f aca="false">SQRT(SUMPRODUCT(MMULT(D440:F440,Stats!$B$12:$D$14),D440:F440))</f>
        <v>0.228455321261034</v>
      </c>
      <c r="I440" s="0" t="n">
        <f aca="false">(G440-Stats!$B$2)/H440</f>
        <v>1.43731530970943</v>
      </c>
    </row>
    <row r="441" customFormat="false" ht="15" hidden="false" customHeight="false" outlineLevel="0" collapsed="false">
      <c r="A441" s="0" t="n">
        <v>0.731589521755332</v>
      </c>
      <c r="B441" s="0" t="n">
        <v>0.0816299820305896</v>
      </c>
      <c r="C441" s="0" t="n">
        <v>0.0603520839905638</v>
      </c>
      <c r="D441" s="0" t="n">
        <f aca="false">A441/SUM($A441:$C441)</f>
        <v>0.837469455270927</v>
      </c>
      <c r="E441" s="0" t="n">
        <f aca="false">B441/SUM($A441:$C441)</f>
        <v>0.0934439525882058</v>
      </c>
      <c r="F441" s="0" t="n">
        <f aca="false">C441/SUM($A441:$C441)</f>
        <v>0.0690865921408672</v>
      </c>
      <c r="G441" s="0" t="n">
        <f aca="false">SUMPRODUCT(D441:F441,Stats!$B$6:$D$6)</f>
        <v>0.359955312339927</v>
      </c>
      <c r="H441" s="0" t="n">
        <f aca="false">SQRT(SUMPRODUCT(MMULT(D441:F441,Stats!$B$12:$D$14),D441:F441))</f>
        <v>0.226860247402906</v>
      </c>
      <c r="I441" s="0" t="n">
        <f aca="false">(G441-Stats!$B$2)/H441</f>
        <v>1.40154705806714</v>
      </c>
    </row>
    <row r="442" customFormat="false" ht="15" hidden="false" customHeight="false" outlineLevel="0" collapsed="false">
      <c r="A442" s="0" t="n">
        <v>0.247103234010146</v>
      </c>
      <c r="B442" s="0" t="n">
        <v>0.159544680113188</v>
      </c>
      <c r="C442" s="0" t="n">
        <v>0.871783566592202</v>
      </c>
      <c r="D442" s="0" t="n">
        <f aca="false">A442/SUM($A442:$C442)</f>
        <v>0.193286255648088</v>
      </c>
      <c r="E442" s="0" t="n">
        <f aca="false">B442/SUM($A442:$C442)</f>
        <v>0.124797208548002</v>
      </c>
      <c r="F442" s="0" t="n">
        <f aca="false">C442/SUM($A442:$C442)</f>
        <v>0.68191653580391</v>
      </c>
      <c r="G442" s="0" t="n">
        <f aca="false">SUMPRODUCT(D442:F442,Stats!$B$6:$D$6)</f>
        <v>0.344860788118409</v>
      </c>
      <c r="H442" s="0" t="n">
        <f aca="false">SQRT(SUMPRODUCT(MMULT(D442:F442,Stats!$B$12:$D$14),D442:F442))</f>
        <v>0.236259275159626</v>
      </c>
      <c r="I442" s="0" t="n">
        <f aca="false">(G442-Stats!$B$2)/H442</f>
        <v>1.28190009858358</v>
      </c>
    </row>
    <row r="443" customFormat="false" ht="15" hidden="false" customHeight="false" outlineLevel="0" collapsed="false">
      <c r="A443" s="0" t="n">
        <v>0.219213987358044</v>
      </c>
      <c r="B443" s="0" t="n">
        <v>0.975865255819131</v>
      </c>
      <c r="C443" s="0" t="n">
        <v>0.336895791771107</v>
      </c>
      <c r="D443" s="0" t="n">
        <f aca="false">A443/SUM($A443:$C443)</f>
        <v>0.143092401871578</v>
      </c>
      <c r="E443" s="0" t="n">
        <f aca="false">B443/SUM($A443:$C443)</f>
        <v>0.636998145242018</v>
      </c>
      <c r="F443" s="0" t="n">
        <f aca="false">C443/SUM($A443:$C443)</f>
        <v>0.219909452886404</v>
      </c>
      <c r="G443" s="0" t="n">
        <f aca="false">SUMPRODUCT(D443:F443,Stats!$B$6:$D$6)</f>
        <v>0.387071834701266</v>
      </c>
      <c r="H443" s="0" t="n">
        <f aca="false">SQRT(SUMPRODUCT(MMULT(D443:F443,Stats!$B$12:$D$14),D443:F443))</f>
        <v>0.236939906612368</v>
      </c>
      <c r="I443" s="0" t="n">
        <f aca="false">(G443-Stats!$B$2)/H443</f>
        <v>1.45636857731104</v>
      </c>
    </row>
    <row r="444" customFormat="false" ht="15" hidden="false" customHeight="false" outlineLevel="0" collapsed="false">
      <c r="A444" s="0" t="n">
        <v>0.182117915688699</v>
      </c>
      <c r="B444" s="0" t="n">
        <v>0.789698507142479</v>
      </c>
      <c r="C444" s="0" t="n">
        <v>0.658707775500876</v>
      </c>
      <c r="D444" s="0" t="n">
        <f aca="false">A444/SUM($A444:$C444)</f>
        <v>0.111692862868884</v>
      </c>
      <c r="E444" s="0" t="n">
        <f aca="false">B444/SUM($A444:$C444)</f>
        <v>0.484321856707372</v>
      </c>
      <c r="F444" s="0" t="n">
        <f aca="false">C444/SUM($A444:$C444)</f>
        <v>0.403985280423744</v>
      </c>
      <c r="G444" s="0" t="n">
        <f aca="false">SUMPRODUCT(D444:F444,Stats!$B$6:$D$6)</f>
        <v>0.37321121851898</v>
      </c>
      <c r="H444" s="0" t="n">
        <f aca="false">SQRT(SUMPRODUCT(MMULT(D444:F444,Stats!$B$12:$D$14),D444:F444))</f>
        <v>0.236296171282198</v>
      </c>
      <c r="I444" s="0" t="n">
        <f aca="false">(G444-Stats!$B$2)/H444</f>
        <v>1.40167831210193</v>
      </c>
    </row>
    <row r="445" customFormat="false" ht="15" hidden="false" customHeight="false" outlineLevel="0" collapsed="false">
      <c r="A445" s="0" t="n">
        <v>0.498195716453139</v>
      </c>
      <c r="B445" s="0" t="n">
        <v>0.555363550937631</v>
      </c>
      <c r="C445" s="0" t="n">
        <v>0.719201778272264</v>
      </c>
      <c r="D445" s="0" t="n">
        <f aca="false">A445/SUM($A445:$C445)</f>
        <v>0.281028127096965</v>
      </c>
      <c r="E445" s="0" t="n">
        <f aca="false">B445/SUM($A445:$C445)</f>
        <v>0.313276034746081</v>
      </c>
      <c r="F445" s="0" t="n">
        <f aca="false">C445/SUM($A445:$C445)</f>
        <v>0.405695838156955</v>
      </c>
      <c r="G445" s="0" t="n">
        <f aca="false">SUMPRODUCT(D445:F445,Stats!$B$6:$D$6)</f>
        <v>0.363322295332024</v>
      </c>
      <c r="H445" s="0" t="n">
        <f aca="false">SQRT(SUMPRODUCT(MMULT(D445:F445,Stats!$B$12:$D$14),D445:F445))</f>
        <v>0.228073774855059</v>
      </c>
      <c r="I445" s="0" t="n">
        <f aca="false">(G445-Stats!$B$2)/H445</f>
        <v>1.40885244494342</v>
      </c>
    </row>
    <row r="446" customFormat="false" ht="15" hidden="false" customHeight="false" outlineLevel="0" collapsed="false">
      <c r="A446" s="0" t="n">
        <v>0.228454741331299</v>
      </c>
      <c r="B446" s="0" t="n">
        <v>0.996333916056742</v>
      </c>
      <c r="C446" s="0" t="n">
        <v>0.974793162146783</v>
      </c>
      <c r="D446" s="0" t="n">
        <f aca="false">A446/SUM($A446:$C446)</f>
        <v>0.103862806694599</v>
      </c>
      <c r="E446" s="0" t="n">
        <f aca="false">B446/SUM($A446:$C446)</f>
        <v>0.452965153288751</v>
      </c>
      <c r="F446" s="0" t="n">
        <f aca="false">C446/SUM($A446:$C446)</f>
        <v>0.44317204001665</v>
      </c>
      <c r="G446" s="0" t="n">
        <f aca="false">SUMPRODUCT(D446:F446,Stats!$B$6:$D$6)</f>
        <v>0.370326434564705</v>
      </c>
      <c r="H446" s="0" t="n">
        <f aca="false">SQRT(SUMPRODUCT(MMULT(D446:F446,Stats!$B$12:$D$14),D446:F446))</f>
        <v>0.236718656473507</v>
      </c>
      <c r="I446" s="0" t="n">
        <f aca="false">(G446-Stats!$B$2)/H446</f>
        <v>1.38699010655061</v>
      </c>
    </row>
    <row r="447" customFormat="false" ht="15" hidden="false" customHeight="false" outlineLevel="0" collapsed="false">
      <c r="A447" s="0" t="n">
        <v>0.650325686346937</v>
      </c>
      <c r="B447" s="0" t="n">
        <v>0.199542450929145</v>
      </c>
      <c r="C447" s="0" t="n">
        <v>0.680228242431291</v>
      </c>
      <c r="D447" s="0" t="n">
        <f aca="false">A447/SUM($A447:$C447)</f>
        <v>0.425022694630066</v>
      </c>
      <c r="E447" s="0" t="n">
        <f aca="false">B447/SUM($A447:$C447)</f>
        <v>0.130411687509062</v>
      </c>
      <c r="F447" s="0" t="n">
        <f aca="false">C447/SUM($A447:$C447)</f>
        <v>0.444565617860872</v>
      </c>
      <c r="G447" s="0" t="n">
        <f aca="false">SUMPRODUCT(D447:F447,Stats!$B$6:$D$6)</f>
        <v>0.351728698243467</v>
      </c>
      <c r="H447" s="0" t="n">
        <f aca="false">SQRT(SUMPRODUCT(MMULT(D447:F447,Stats!$B$12:$D$14),D447:F447))</f>
        <v>0.223943637135236</v>
      </c>
      <c r="I447" s="0" t="n">
        <f aca="false">(G447-Stats!$B$2)/H447</f>
        <v>1.38306540969694</v>
      </c>
    </row>
    <row r="448" customFormat="false" ht="15" hidden="false" customHeight="false" outlineLevel="0" collapsed="false">
      <c r="A448" s="0" t="n">
        <v>0.0721984089791758</v>
      </c>
      <c r="B448" s="0" t="n">
        <v>0.0306525022058061</v>
      </c>
      <c r="C448" s="0" t="n">
        <v>0.257682888511214</v>
      </c>
      <c r="D448" s="0" t="n">
        <f aca="false">A448/SUM($A448:$C448)</f>
        <v>0.20025420373905</v>
      </c>
      <c r="E448" s="0" t="n">
        <f aca="false">B448/SUM($A448:$C448)</f>
        <v>0.0850197741006126</v>
      </c>
      <c r="F448" s="0" t="n">
        <f aca="false">C448/SUM($A448:$C448)</f>
        <v>0.714726022160337</v>
      </c>
      <c r="G448" s="0" t="n">
        <f aca="false">SUMPRODUCT(D448:F448,Stats!$B$6:$D$6)</f>
        <v>0.341667337056146</v>
      </c>
      <c r="H448" s="0" t="n">
        <f aca="false">SQRT(SUMPRODUCT(MMULT(D448:F448,Stats!$B$12:$D$14),D448:F448))</f>
        <v>0.2370827765282</v>
      </c>
      <c r="I448" s="0" t="n">
        <f aca="false">(G448-Stats!$B$2)/H448</f>
        <v>1.26397767667657</v>
      </c>
    </row>
    <row r="449" customFormat="false" ht="15" hidden="false" customHeight="false" outlineLevel="0" collapsed="false">
      <c r="A449" s="0" t="n">
        <v>0.462622956739316</v>
      </c>
      <c r="B449" s="0" t="n">
        <v>0.868272505408381</v>
      </c>
      <c r="C449" s="0" t="n">
        <v>0.727169069766308</v>
      </c>
      <c r="D449" s="0" t="n">
        <f aca="false">A449/SUM($A449:$C449)</f>
        <v>0.224785447475292</v>
      </c>
      <c r="E449" s="0" t="n">
        <f aca="false">B449/SUM($A449:$C449)</f>
        <v>0.421887891241624</v>
      </c>
      <c r="F449" s="0" t="n">
        <f aca="false">C449/SUM($A449:$C449)</f>
        <v>0.353326661283084</v>
      </c>
      <c r="G449" s="0" t="n">
        <f aca="false">SUMPRODUCT(D449:F449,Stats!$B$6:$D$6)</f>
        <v>0.371015740891255</v>
      </c>
      <c r="H449" s="0" t="n">
        <f aca="false">SQRT(SUMPRODUCT(MMULT(D449:F449,Stats!$B$12:$D$14),D449:F449))</f>
        <v>0.230620732778995</v>
      </c>
      <c r="I449" s="0" t="n">
        <f aca="false">(G449-Stats!$B$2)/H449</f>
        <v>1.42665291592215</v>
      </c>
    </row>
    <row r="450" customFormat="false" ht="15" hidden="false" customHeight="false" outlineLevel="0" collapsed="false">
      <c r="A450" s="0" t="n">
        <v>0.742706521199981</v>
      </c>
      <c r="B450" s="0" t="n">
        <v>0.425493334448075</v>
      </c>
      <c r="C450" s="0" t="n">
        <v>0.345934992546963</v>
      </c>
      <c r="D450" s="0" t="n">
        <f aca="false">A450/SUM($A450:$C450)</f>
        <v>0.490515439946021</v>
      </c>
      <c r="E450" s="0" t="n">
        <f aca="false">B450/SUM($A450:$C450)</f>
        <v>0.281014161291711</v>
      </c>
      <c r="F450" s="0" t="n">
        <f aca="false">C450/SUM($A450:$C450)</f>
        <v>0.228470398762268</v>
      </c>
      <c r="G450" s="0" t="n">
        <f aca="false">SUMPRODUCT(D450:F450,Stats!$B$6:$D$6)</f>
        <v>0.366352912216006</v>
      </c>
      <c r="H450" s="0" t="n">
        <f aca="false">SQRT(SUMPRODUCT(MMULT(D450:F450,Stats!$B$12:$D$14),D450:F450))</f>
        <v>0.223233898159117</v>
      </c>
      <c r="I450" s="0" t="n">
        <f aca="false">(G450-Stats!$B$2)/H450</f>
        <v>1.45297338303349</v>
      </c>
    </row>
    <row r="451" customFormat="false" ht="15" hidden="false" customHeight="false" outlineLevel="0" collapsed="false">
      <c r="A451" s="0" t="n">
        <v>0.371038762984603</v>
      </c>
      <c r="B451" s="0" t="n">
        <v>0.987649563736058</v>
      </c>
      <c r="C451" s="0" t="n">
        <v>0.0401091914124825</v>
      </c>
      <c r="D451" s="0" t="n">
        <f aca="false">A451/SUM($A451:$C451)</f>
        <v>0.265255519955309</v>
      </c>
      <c r="E451" s="0" t="n">
        <f aca="false">B451/SUM($A451:$C451)</f>
        <v>0.70607042901691</v>
      </c>
      <c r="F451" s="0" t="n">
        <f aca="false">C451/SUM($A451:$C451)</f>
        <v>0.0286740510277805</v>
      </c>
      <c r="G451" s="0" t="n">
        <f aca="false">SUMPRODUCT(D451:F451,Stats!$B$6:$D$6)</f>
        <v>0.396319407164415</v>
      </c>
      <c r="H451" s="0" t="n">
        <f aca="false">SQRT(SUMPRODUCT(MMULT(D451:F451,Stats!$B$12:$D$14),D451:F451))</f>
        <v>0.23683656524666</v>
      </c>
      <c r="I451" s="0" t="n">
        <f aca="false">(G451-Stats!$B$2)/H451</f>
        <v>1.49605026907648</v>
      </c>
    </row>
    <row r="452" customFormat="false" ht="15" hidden="false" customHeight="false" outlineLevel="0" collapsed="false">
      <c r="A452" s="0" t="n">
        <v>0.867031496122449</v>
      </c>
      <c r="B452" s="0" t="n">
        <v>0.578675408572393</v>
      </c>
      <c r="C452" s="0" t="n">
        <v>0.438615419189591</v>
      </c>
      <c r="D452" s="0" t="n">
        <f aca="false">A452/SUM($A452:$C452)</f>
        <v>0.460129079368496</v>
      </c>
      <c r="E452" s="0" t="n">
        <f aca="false">B452/SUM($A452:$C452)</f>
        <v>0.307100012156882</v>
      </c>
      <c r="F452" s="0" t="n">
        <f aca="false">C452/SUM($A452:$C452)</f>
        <v>0.232770908474622</v>
      </c>
      <c r="G452" s="0" t="n">
        <f aca="false">SUMPRODUCT(D452:F452,Stats!$B$6:$D$6)</f>
        <v>0.367735273411277</v>
      </c>
      <c r="H452" s="0" t="n">
        <f aca="false">SQRT(SUMPRODUCT(MMULT(D452:F452,Stats!$B$12:$D$14),D452:F452))</f>
        <v>0.223785186485346</v>
      </c>
      <c r="I452" s="0" t="n">
        <f aca="false">(G452-Stats!$B$2)/H452</f>
        <v>1.45557120436391</v>
      </c>
    </row>
    <row r="453" customFormat="false" ht="15" hidden="false" customHeight="false" outlineLevel="0" collapsed="false">
      <c r="A453" s="0" t="n">
        <v>0.725257660415137</v>
      </c>
      <c r="B453" s="0" t="n">
        <v>0.486668941424703</v>
      </c>
      <c r="C453" s="0" t="n">
        <v>0.873423238081661</v>
      </c>
      <c r="D453" s="0" t="n">
        <f aca="false">A453/SUM($A453:$C453)</f>
        <v>0.347787045862021</v>
      </c>
      <c r="E453" s="0" t="n">
        <f aca="false">B453/SUM($A453:$C453)</f>
        <v>0.233375202619731</v>
      </c>
      <c r="F453" s="0" t="n">
        <f aca="false">C453/SUM($A453:$C453)</f>
        <v>0.418837751518249</v>
      </c>
      <c r="G453" s="0" t="n">
        <f aca="false">SUMPRODUCT(D453:F453,Stats!$B$6:$D$6)</f>
        <v>0.358362521658805</v>
      </c>
      <c r="H453" s="0" t="n">
        <f aca="false">SQRT(SUMPRODUCT(MMULT(D453:F453,Stats!$B$12:$D$14),D453:F453))</f>
        <v>0.225770349642186</v>
      </c>
      <c r="I453" s="0" t="n">
        <f aca="false">(G453-Stats!$B$2)/H453</f>
        <v>1.40125805784593</v>
      </c>
    </row>
    <row r="454" customFormat="false" ht="15" hidden="false" customHeight="false" outlineLevel="0" collapsed="false">
      <c r="A454" s="0" t="n">
        <v>0.900701864011259</v>
      </c>
      <c r="B454" s="0" t="n">
        <v>0.421720926873455</v>
      </c>
      <c r="C454" s="0" t="n">
        <v>0.276827797235052</v>
      </c>
      <c r="D454" s="0" t="n">
        <f aca="false">A454/SUM($A454:$C454)</f>
        <v>0.563202459140697</v>
      </c>
      <c r="E454" s="0" t="n">
        <f aca="false">B454/SUM($A454:$C454)</f>
        <v>0.263699091315809</v>
      </c>
      <c r="F454" s="0" t="n">
        <f aca="false">C454/SUM($A454:$C454)</f>
        <v>0.173098449543494</v>
      </c>
      <c r="G454" s="0" t="n">
        <f aca="false">SUMPRODUCT(D454:F454,Stats!$B$6:$D$6)</f>
        <v>0.366883485702586</v>
      </c>
      <c r="H454" s="0" t="n">
        <f aca="false">SQRT(SUMPRODUCT(MMULT(D454:F454,Stats!$B$12:$D$14),D454:F454))</f>
        <v>0.22315374190592</v>
      </c>
      <c r="I454" s="0" t="n">
        <f aca="false">(G454-Stats!$B$2)/H454</f>
        <v>1.45587290147057</v>
      </c>
    </row>
    <row r="455" customFormat="false" ht="15" hidden="false" customHeight="false" outlineLevel="0" collapsed="false">
      <c r="A455" s="0" t="n">
        <v>0.592350328593362</v>
      </c>
      <c r="B455" s="0" t="n">
        <v>0.912363345616691</v>
      </c>
      <c r="C455" s="0" t="n">
        <v>0.210662189005667</v>
      </c>
      <c r="D455" s="0" t="n">
        <f aca="false">A455/SUM($A455:$C455)</f>
        <v>0.345318096923036</v>
      </c>
      <c r="E455" s="0" t="n">
        <f aca="false">B455/SUM($A455:$C455)</f>
        <v>0.531873722360961</v>
      </c>
      <c r="F455" s="0" t="n">
        <f aca="false">C455/SUM($A455:$C455)</f>
        <v>0.122808180716003</v>
      </c>
      <c r="G455" s="0" t="n">
        <f aca="false">SUMPRODUCT(D455:F455,Stats!$B$6:$D$6)</f>
        <v>0.383700641701554</v>
      </c>
      <c r="H455" s="0" t="n">
        <f aca="false">SQRT(SUMPRODUCT(MMULT(D455:F455,Stats!$B$12:$D$14),D455:F455))</f>
        <v>0.229840818976139</v>
      </c>
      <c r="I455" s="0" t="n">
        <f aca="false">(G455-Stats!$B$2)/H455</f>
        <v>1.4866838850632</v>
      </c>
    </row>
    <row r="456" customFormat="false" ht="15" hidden="false" customHeight="false" outlineLevel="0" collapsed="false">
      <c r="A456" s="0" t="n">
        <v>0.622966583563483</v>
      </c>
      <c r="B456" s="0" t="n">
        <v>0.631560220092521</v>
      </c>
      <c r="C456" s="0" t="n">
        <v>0.733113022415281</v>
      </c>
      <c r="D456" s="0" t="n">
        <f aca="false">A456/SUM($A456:$C456)</f>
        <v>0.313420256221582</v>
      </c>
      <c r="E456" s="0" t="n">
        <f aca="false">B456/SUM($A456:$C456)</f>
        <v>0.31774379432759</v>
      </c>
      <c r="F456" s="0" t="n">
        <f aca="false">C456/SUM($A456:$C456)</f>
        <v>0.368835949450828</v>
      </c>
      <c r="G456" s="0" t="n">
        <f aca="false">SUMPRODUCT(D456:F456,Stats!$B$6:$D$6)</f>
        <v>0.364595761689849</v>
      </c>
      <c r="H456" s="0" t="n">
        <f aca="false">SQRT(SUMPRODUCT(MMULT(D456:F456,Stats!$B$12:$D$14),D456:F456))</f>
        <v>0.226868976629752</v>
      </c>
      <c r="I456" s="0" t="n">
        <f aca="false">(G456-Stats!$B$2)/H456</f>
        <v>1.42194744509437</v>
      </c>
    </row>
    <row r="457" customFormat="false" ht="15" hidden="false" customHeight="false" outlineLevel="0" collapsed="false">
      <c r="A457" s="0" t="n">
        <v>0.13156768512726</v>
      </c>
      <c r="B457" s="0" t="n">
        <v>0.715824964682089</v>
      </c>
      <c r="C457" s="0" t="n">
        <v>0.909032520665641</v>
      </c>
      <c r="D457" s="0" t="n">
        <f aca="false">A457/SUM($A457:$C457)</f>
        <v>0.0749065131489092</v>
      </c>
      <c r="E457" s="0" t="n">
        <f aca="false">B457/SUM($A457:$C457)</f>
        <v>0.407546519325106</v>
      </c>
      <c r="F457" s="0" t="n">
        <f aca="false">C457/SUM($A457:$C457)</f>
        <v>0.517546967525984</v>
      </c>
      <c r="G457" s="0" t="n">
        <f aca="false">SUMPRODUCT(D457:F457,Stats!$B$6:$D$6)</f>
        <v>0.365662245130656</v>
      </c>
      <c r="H457" s="0" t="n">
        <f aca="false">SQRT(SUMPRODUCT(MMULT(D457:F457,Stats!$B$12:$D$14),D457:F457))</f>
        <v>0.238807785292596</v>
      </c>
      <c r="I457" s="0" t="n">
        <f aca="false">(G457-Stats!$B$2)/H457</f>
        <v>1.3553253497749</v>
      </c>
    </row>
    <row r="458" customFormat="false" ht="15" hidden="false" customHeight="false" outlineLevel="0" collapsed="false">
      <c r="A458" s="0" t="n">
        <v>0.179683108870242</v>
      </c>
      <c r="B458" s="0" t="n">
        <v>0.237543324923878</v>
      </c>
      <c r="C458" s="0" t="n">
        <v>0.97139509404164</v>
      </c>
      <c r="D458" s="0" t="n">
        <f aca="false">A458/SUM($A458:$C458)</f>
        <v>0.129396747255019</v>
      </c>
      <c r="E458" s="0" t="n">
        <f aca="false">B458/SUM($A458:$C458)</f>
        <v>0.171064123781879</v>
      </c>
      <c r="F458" s="0" t="n">
        <f aca="false">C458/SUM($A458:$C458)</f>
        <v>0.699539128963103</v>
      </c>
      <c r="G458" s="0" t="n">
        <f aca="false">SUMPRODUCT(D458:F458,Stats!$B$6:$D$6)</f>
        <v>0.347036990310511</v>
      </c>
      <c r="H458" s="0" t="n">
        <f aca="false">SQRT(SUMPRODUCT(MMULT(D458:F458,Stats!$B$12:$D$14),D458:F458))</f>
        <v>0.239670675369938</v>
      </c>
      <c r="I458" s="0" t="n">
        <f aca="false">(G458-Stats!$B$2)/H458</f>
        <v>1.27273388719616</v>
      </c>
    </row>
    <row r="459" customFormat="false" ht="15" hidden="false" customHeight="false" outlineLevel="0" collapsed="false">
      <c r="A459" s="0" t="n">
        <v>0.18097695270949</v>
      </c>
      <c r="B459" s="0" t="n">
        <v>0.854385093369579</v>
      </c>
      <c r="C459" s="0" t="n">
        <v>0.492277856448035</v>
      </c>
      <c r="D459" s="0" t="n">
        <f aca="false">A459/SUM($A459:$C459)</f>
        <v>0.118468333021485</v>
      </c>
      <c r="E459" s="0" t="n">
        <f aca="false">B459/SUM($A459:$C459)</f>
        <v>0.559284352258808</v>
      </c>
      <c r="F459" s="0" t="n">
        <f aca="false">C459/SUM($A459:$C459)</f>
        <v>0.322247314719707</v>
      </c>
      <c r="G459" s="0" t="n">
        <f aca="false">SUMPRODUCT(D459:F459,Stats!$B$6:$D$6)</f>
        <v>0.379778356457164</v>
      </c>
      <c r="H459" s="0" t="n">
        <f aca="false">SQRT(SUMPRODUCT(MMULT(D459:F459,Stats!$B$12:$D$14),D459:F459))</f>
        <v>0.236528288046326</v>
      </c>
      <c r="I459" s="0" t="n">
        <f aca="false">(G459-Stats!$B$2)/H459</f>
        <v>1.42806748083767</v>
      </c>
    </row>
    <row r="460" customFormat="false" ht="15" hidden="false" customHeight="false" outlineLevel="0" collapsed="false">
      <c r="A460" s="0" t="n">
        <v>0.247231074403177</v>
      </c>
      <c r="B460" s="0" t="n">
        <v>0.870749901272511</v>
      </c>
      <c r="C460" s="0" t="n">
        <v>0.445305255002666</v>
      </c>
      <c r="D460" s="0" t="n">
        <f aca="false">A460/SUM($A460:$C460)</f>
        <v>0.15814830934441</v>
      </c>
      <c r="E460" s="0" t="n">
        <f aca="false">B460/SUM($A460:$C460)</f>
        <v>0.556999661472531</v>
      </c>
      <c r="F460" s="0" t="n">
        <f aca="false">C460/SUM($A460:$C460)</f>
        <v>0.284852029183059</v>
      </c>
      <c r="G460" s="0" t="n">
        <f aca="false">SUMPRODUCT(D460:F460,Stats!$B$6:$D$6)</f>
        <v>0.380678058922029</v>
      </c>
      <c r="H460" s="0" t="n">
        <f aca="false">SQRT(SUMPRODUCT(MMULT(D460:F460,Stats!$B$12:$D$14),D460:F460))</f>
        <v>0.234792741400602</v>
      </c>
      <c r="I460" s="0" t="n">
        <f aca="false">(G460-Stats!$B$2)/H460</f>
        <v>1.44245540514466</v>
      </c>
    </row>
    <row r="461" customFormat="false" ht="15" hidden="false" customHeight="false" outlineLevel="0" collapsed="false">
      <c r="A461" s="0" t="n">
        <v>0.51481735392969</v>
      </c>
      <c r="B461" s="0" t="n">
        <v>0.359233369399766</v>
      </c>
      <c r="C461" s="0" t="n">
        <v>0.592950851434927</v>
      </c>
      <c r="D461" s="0" t="n">
        <f aca="false">A461/SUM($A461:$C461)</f>
        <v>0.350931698224234</v>
      </c>
      <c r="E461" s="0" t="n">
        <f aca="false">B461/SUM($A461:$C461)</f>
        <v>0.244875926228956</v>
      </c>
      <c r="F461" s="0" t="n">
        <f aca="false">C461/SUM($A461:$C461)</f>
        <v>0.40419237554681</v>
      </c>
      <c r="G461" s="0" t="n">
        <f aca="false">SUMPRODUCT(D461:F461,Stats!$B$6:$D$6)</f>
        <v>0.359428099019689</v>
      </c>
      <c r="H461" s="0" t="n">
        <f aca="false">SQRT(SUMPRODUCT(MMULT(D461:F461,Stats!$B$12:$D$14),D461:F461))</f>
        <v>0.225616730860948</v>
      </c>
      <c r="I461" s="0" t="n">
        <f aca="false">(G461-Stats!$B$2)/H461</f>
        <v>1.40693510542588</v>
      </c>
    </row>
    <row r="462" customFormat="false" ht="15" hidden="false" customHeight="false" outlineLevel="0" collapsed="false">
      <c r="A462" s="0" t="n">
        <v>0.163523872585023</v>
      </c>
      <c r="B462" s="0" t="n">
        <v>0.391081536651761</v>
      </c>
      <c r="C462" s="0" t="n">
        <v>0.969412322335288</v>
      </c>
      <c r="D462" s="0" t="n">
        <f aca="false">A462/SUM($A462:$C462)</f>
        <v>0.10729788059378</v>
      </c>
      <c r="E462" s="0" t="n">
        <f aca="false">B462/SUM($A462:$C462)</f>
        <v>0.256612195875404</v>
      </c>
      <c r="F462" s="0" t="n">
        <f aca="false">C462/SUM($A462:$C462)</f>
        <v>0.636089923530817</v>
      </c>
      <c r="G462" s="0" t="n">
        <f aca="false">SUMPRODUCT(D462:F462,Stats!$B$6:$D$6)</f>
        <v>0.353708903092017</v>
      </c>
      <c r="H462" s="0" t="n">
        <f aca="false">SQRT(SUMPRODUCT(MMULT(D462:F462,Stats!$B$12:$D$14),D462:F462))</f>
        <v>0.239000870420211</v>
      </c>
      <c r="I462" s="0" t="n">
        <f aca="false">(G462-Stats!$B$2)/H462</f>
        <v>1.30421660198965</v>
      </c>
    </row>
    <row r="463" customFormat="false" ht="15" hidden="false" customHeight="false" outlineLevel="0" collapsed="false">
      <c r="A463" s="0" t="n">
        <v>0.258133432701128</v>
      </c>
      <c r="B463" s="0" t="n">
        <v>0.656736664541292</v>
      </c>
      <c r="C463" s="0" t="n">
        <v>0.325190064224695</v>
      </c>
      <c r="D463" s="0" t="n">
        <f aca="false">A463/SUM($A463:$C463)</f>
        <v>0.208162023684182</v>
      </c>
      <c r="E463" s="0" t="n">
        <f aca="false">B463/SUM($A463:$C463)</f>
        <v>0.529600647572056</v>
      </c>
      <c r="F463" s="0" t="n">
        <f aca="false">C463/SUM($A463:$C463)</f>
        <v>0.262237328743763</v>
      </c>
      <c r="G463" s="0" t="n">
        <f aca="false">SUMPRODUCT(D463:F463,Stats!$B$6:$D$6)</f>
        <v>0.379725146790588</v>
      </c>
      <c r="H463" s="0" t="n">
        <f aca="false">SQRT(SUMPRODUCT(MMULT(D463:F463,Stats!$B$12:$D$14),D463:F463))</f>
        <v>0.232521526483435</v>
      </c>
      <c r="I463" s="0" t="n">
        <f aca="false">(G463-Stats!$B$2)/H463</f>
        <v>1.45244679878982</v>
      </c>
    </row>
    <row r="464" customFormat="false" ht="15" hidden="false" customHeight="false" outlineLevel="0" collapsed="false">
      <c r="A464" s="0" t="n">
        <v>0.773473125686601</v>
      </c>
      <c r="B464" s="0" t="n">
        <v>0.13087366071835</v>
      </c>
      <c r="C464" s="0" t="n">
        <v>0.969821045078545</v>
      </c>
      <c r="D464" s="0" t="n">
        <f aca="false">A464/SUM($A464:$C464)</f>
        <v>0.412702167166299</v>
      </c>
      <c r="E464" s="0" t="n">
        <f aca="false">B464/SUM($A464:$C464)</f>
        <v>0.0698302780145132</v>
      </c>
      <c r="F464" s="0" t="n">
        <f aca="false">C464/SUM($A464:$C464)</f>
        <v>0.517467554819188</v>
      </c>
      <c r="G464" s="0" t="n">
        <f aca="false">SUMPRODUCT(D464:F464,Stats!$B$6:$D$6)</f>
        <v>0.346232679478068</v>
      </c>
      <c r="H464" s="0" t="n">
        <f aca="false">SQRT(SUMPRODUCT(MMULT(D464:F464,Stats!$B$12:$D$14),D464:F464))</f>
        <v>0.225236753898961</v>
      </c>
      <c r="I464" s="0" t="n">
        <f aca="false">(G464-Stats!$B$2)/H464</f>
        <v>1.35072395695484</v>
      </c>
    </row>
    <row r="465" customFormat="false" ht="15" hidden="false" customHeight="false" outlineLevel="0" collapsed="false">
      <c r="A465" s="0" t="n">
        <v>0.453789541383639</v>
      </c>
      <c r="B465" s="0" t="n">
        <v>0.236050463346464</v>
      </c>
      <c r="C465" s="0" t="n">
        <v>0.0734967473300127</v>
      </c>
      <c r="D465" s="0" t="n">
        <f aca="false">A465/SUM($A465:$C465)</f>
        <v>0.594481452856735</v>
      </c>
      <c r="E465" s="0" t="n">
        <f aca="false">B465/SUM($A465:$C465)</f>
        <v>0.309235029899195</v>
      </c>
      <c r="F465" s="0" t="n">
        <f aca="false">C465/SUM($A465:$C465)</f>
        <v>0.0962835172440701</v>
      </c>
      <c r="G465" s="0" t="n">
        <f aca="false">SUMPRODUCT(D465:F465,Stats!$B$6:$D$6)</f>
        <v>0.371621706886242</v>
      </c>
      <c r="H465" s="0" t="n">
        <f aca="false">SQRT(SUMPRODUCT(MMULT(D465:F465,Stats!$B$12:$D$14),D465:F465))</f>
        <v>0.224742143227963</v>
      </c>
      <c r="I465" s="0" t="n">
        <f aca="false">(G465-Stats!$B$2)/H465</f>
        <v>1.46666620755635</v>
      </c>
    </row>
    <row r="466" customFormat="false" ht="15" hidden="false" customHeight="false" outlineLevel="0" collapsed="false">
      <c r="A466" s="0" t="n">
        <v>0.169757905087541</v>
      </c>
      <c r="B466" s="0" t="n">
        <v>0.519773948556018</v>
      </c>
      <c r="C466" s="0" t="n">
        <v>0.337003176431286</v>
      </c>
      <c r="D466" s="0" t="n">
        <f aca="false">A466/SUM($A466:$C466)</f>
        <v>0.165369812148703</v>
      </c>
      <c r="E466" s="0" t="n">
        <f aca="false">B466/SUM($A466:$C466)</f>
        <v>0.506338247919431</v>
      </c>
      <c r="F466" s="0" t="n">
        <f aca="false">C466/SUM($A466:$C466)</f>
        <v>0.328291939931865</v>
      </c>
      <c r="G466" s="0" t="n">
        <f aca="false">SUMPRODUCT(D466:F466,Stats!$B$6:$D$6)</f>
        <v>0.376565227924938</v>
      </c>
      <c r="H466" s="0" t="n">
        <f aca="false">SQRT(SUMPRODUCT(MMULT(D466:F466,Stats!$B$12:$D$14),D466:F466))</f>
        <v>0.233820158403666</v>
      </c>
      <c r="I466" s="0" t="n">
        <f aca="false">(G466-Stats!$B$2)/H466</f>
        <v>1.4308656285629</v>
      </c>
    </row>
    <row r="467" customFormat="false" ht="15" hidden="false" customHeight="false" outlineLevel="0" collapsed="false">
      <c r="A467" s="0" t="n">
        <v>0.82888336588261</v>
      </c>
      <c r="B467" s="0" t="n">
        <v>0.430887523661806</v>
      </c>
      <c r="C467" s="0" t="n">
        <v>0.24871427258763</v>
      </c>
      <c r="D467" s="0" t="n">
        <f aca="false">A467/SUM($A467:$C467)</f>
        <v>0.549480622474995</v>
      </c>
      <c r="E467" s="0" t="n">
        <f aca="false">B467/SUM($A467:$C467)</f>
        <v>0.285642533634738</v>
      </c>
      <c r="F467" s="0" t="n">
        <f aca="false">C467/SUM($A467:$C467)</f>
        <v>0.164876843890267</v>
      </c>
      <c r="G467" s="0" t="n">
        <f aca="false">SUMPRODUCT(D467:F467,Stats!$B$6:$D$6)</f>
        <v>0.368372790586467</v>
      </c>
      <c r="H467" s="0" t="n">
        <f aca="false">SQRT(SUMPRODUCT(MMULT(D467:F467,Stats!$B$12:$D$14),D467:F467))</f>
        <v>0.22349012465497</v>
      </c>
      <c r="I467" s="0" t="n">
        <f aca="false">(G467-Stats!$B$2)/H467</f>
        <v>1.46034546756967</v>
      </c>
    </row>
    <row r="468" customFormat="false" ht="15" hidden="false" customHeight="false" outlineLevel="0" collapsed="false">
      <c r="A468" s="0" t="n">
        <v>0.61714498660403</v>
      </c>
      <c r="B468" s="0" t="n">
        <v>0.706777216885446</v>
      </c>
      <c r="C468" s="0" t="n">
        <v>0.16704190790095</v>
      </c>
      <c r="D468" s="0" t="n">
        <f aca="false">A468/SUM($A468:$C468)</f>
        <v>0.41392343510435</v>
      </c>
      <c r="E468" s="0" t="n">
        <f aca="false">B468/SUM($A468:$C468)</f>
        <v>0.474040395396458</v>
      </c>
      <c r="F468" s="0" t="n">
        <f aca="false">C468/SUM($A468:$C468)</f>
        <v>0.112036169499192</v>
      </c>
      <c r="G468" s="0" t="n">
        <f aca="false">SUMPRODUCT(D468:F468,Stats!$B$6:$D$6)</f>
        <v>0.380670020986397</v>
      </c>
      <c r="H468" s="0" t="n">
        <f aca="false">SQRT(SUMPRODUCT(MMULT(D468:F468,Stats!$B$12:$D$14),D468:F468))</f>
        <v>0.227828799830655</v>
      </c>
      <c r="I468" s="0" t="n">
        <f aca="false">(G468-Stats!$B$2)/H468</f>
        <v>1.48651101721174</v>
      </c>
    </row>
    <row r="469" customFormat="false" ht="15" hidden="false" customHeight="false" outlineLevel="0" collapsed="false">
      <c r="A469" s="0" t="n">
        <v>0.167619216288318</v>
      </c>
      <c r="B469" s="0" t="n">
        <v>0.036671426933543</v>
      </c>
      <c r="C469" s="0" t="n">
        <v>0.736402015065641</v>
      </c>
      <c r="D469" s="0" t="n">
        <f aca="false">A469/SUM($A469:$C469)</f>
        <v>0.178187014442595</v>
      </c>
      <c r="E469" s="0" t="n">
        <f aca="false">B469/SUM($A469:$C469)</f>
        <v>0.038983430571577</v>
      </c>
      <c r="F469" s="0" t="n">
        <f aca="false">C469/SUM($A469:$C469)</f>
        <v>0.782829554985828</v>
      </c>
      <c r="G469" s="0" t="n">
        <f aca="false">SUMPRODUCT(D469:F469,Stats!$B$6:$D$6)</f>
        <v>0.337140536709491</v>
      </c>
      <c r="H469" s="0" t="n">
        <f aca="false">SQRT(SUMPRODUCT(MMULT(D469:F469,Stats!$B$12:$D$14),D469:F469))</f>
        <v>0.240625102699407</v>
      </c>
      <c r="I469" s="0" t="n">
        <f aca="false">(G469-Stats!$B$2)/H469</f>
        <v>1.22655755113874</v>
      </c>
    </row>
    <row r="470" customFormat="false" ht="15" hidden="false" customHeight="false" outlineLevel="0" collapsed="false">
      <c r="A470" s="0" t="n">
        <v>0.663804527621805</v>
      </c>
      <c r="B470" s="0" t="n">
        <v>0.474630875749814</v>
      </c>
      <c r="C470" s="0" t="n">
        <v>0.844170448969197</v>
      </c>
      <c r="D470" s="0" t="n">
        <f aca="false">A470/SUM($A470:$C470)</f>
        <v>0.334814167343482</v>
      </c>
      <c r="E470" s="0" t="n">
        <f aca="false">B470/SUM($A470:$C470)</f>
        <v>0.239397495568485</v>
      </c>
      <c r="F470" s="0" t="n">
        <f aca="false">C470/SUM($A470:$C470)</f>
        <v>0.425788337088032</v>
      </c>
      <c r="G470" s="0" t="n">
        <f aca="false">SUMPRODUCT(D470:F470,Stats!$B$6:$D$6)</f>
        <v>0.358517376876824</v>
      </c>
      <c r="H470" s="0" t="n">
        <f aca="false">SQRT(SUMPRODUCT(MMULT(D470:F470,Stats!$B$12:$D$14),D470:F470))</f>
        <v>0.226215986597694</v>
      </c>
      <c r="I470" s="0" t="n">
        <f aca="false">(G470-Stats!$B$2)/H470</f>
        <v>1.39918217822388</v>
      </c>
    </row>
    <row r="471" customFormat="false" ht="15" hidden="false" customHeight="false" outlineLevel="0" collapsed="false">
      <c r="A471" s="0" t="n">
        <v>0.805670152950053</v>
      </c>
      <c r="B471" s="0" t="n">
        <v>0.585354364396752</v>
      </c>
      <c r="C471" s="0" t="n">
        <v>0.868271280513259</v>
      </c>
      <c r="D471" s="0" t="n">
        <f aca="false">A471/SUM($A471:$C471)</f>
        <v>0.356602333219563</v>
      </c>
      <c r="E471" s="0" t="n">
        <f aca="false">B471/SUM($A471:$C471)</f>
        <v>0.259087085874803</v>
      </c>
      <c r="F471" s="0" t="n">
        <f aca="false">C471/SUM($A471:$C471)</f>
        <v>0.384310580905634</v>
      </c>
      <c r="G471" s="0" t="n">
        <f aca="false">SUMPRODUCT(D471:F471,Stats!$B$6:$D$6)</f>
        <v>0.360794023592858</v>
      </c>
      <c r="H471" s="0" t="n">
        <f aca="false">SQRT(SUMPRODUCT(MMULT(D471:F471,Stats!$B$12:$D$14),D471:F471))</f>
        <v>0.225405243647112</v>
      </c>
      <c r="I471" s="0" t="n">
        <f aca="false">(G471-Stats!$B$2)/H471</f>
        <v>1.41431502850019</v>
      </c>
    </row>
    <row r="472" customFormat="false" ht="15" hidden="false" customHeight="false" outlineLevel="0" collapsed="false">
      <c r="A472" s="0" t="n">
        <v>0.205841210036768</v>
      </c>
      <c r="B472" s="0" t="n">
        <v>0.111919619397728</v>
      </c>
      <c r="C472" s="0" t="n">
        <v>0.26974961151699</v>
      </c>
      <c r="D472" s="0" t="n">
        <f aca="false">A472/SUM($A472:$C472)</f>
        <v>0.35036179051287</v>
      </c>
      <c r="E472" s="0" t="n">
        <f aca="false">B472/SUM($A472:$C472)</f>
        <v>0.190498094325731</v>
      </c>
      <c r="F472" s="0" t="n">
        <f aca="false">C472/SUM($A472:$C472)</f>
        <v>0.459140115161399</v>
      </c>
      <c r="G472" s="0" t="n">
        <f aca="false">SUMPRODUCT(D472:F472,Stats!$B$6:$D$6)</f>
        <v>0.354784106165968</v>
      </c>
      <c r="H472" s="0" t="n">
        <f aca="false">SQRT(SUMPRODUCT(MMULT(D472:F472,Stats!$B$12:$D$14),D472:F472))</f>
        <v>0.225982455912606</v>
      </c>
      <c r="I472" s="0" t="n">
        <f aca="false">(G472-Stats!$B$2)/H472</f>
        <v>1.38410791626644</v>
      </c>
    </row>
    <row r="473" customFormat="false" ht="15" hidden="false" customHeight="false" outlineLevel="0" collapsed="false">
      <c r="A473" s="0" t="n">
        <v>0.0570868560893149</v>
      </c>
      <c r="B473" s="0" t="n">
        <v>0.531169528001032</v>
      </c>
      <c r="C473" s="0" t="n">
        <v>0.936605692294962</v>
      </c>
      <c r="D473" s="0" t="n">
        <f aca="false">A473/SUM($A473:$C473)</f>
        <v>0.0374373898947238</v>
      </c>
      <c r="E473" s="0" t="n">
        <f aca="false">B473/SUM($A473:$C473)</f>
        <v>0.348339391625616</v>
      </c>
      <c r="F473" s="0" t="n">
        <f aca="false">C473/SUM($A473:$C473)</f>
        <v>0.61422321847966</v>
      </c>
      <c r="G473" s="0" t="n">
        <f aca="false">SUMPRODUCT(D473:F473,Stats!$B$6:$D$6)</f>
        <v>0.359589733196706</v>
      </c>
      <c r="H473" s="0" t="n">
        <f aca="false">SQRT(SUMPRODUCT(MMULT(D473:F473,Stats!$B$12:$D$14),D473:F473))</f>
        <v>0.242429300852146</v>
      </c>
      <c r="I473" s="0" t="n">
        <f aca="false">(G473-Stats!$B$2)/H473</f>
        <v>1.31003031432409</v>
      </c>
    </row>
    <row r="474" customFormat="false" ht="15" hidden="false" customHeight="false" outlineLevel="0" collapsed="false">
      <c r="A474" s="0" t="n">
        <v>0.0393435406685097</v>
      </c>
      <c r="B474" s="0" t="n">
        <v>0.122109914010027</v>
      </c>
      <c r="C474" s="0" t="n">
        <v>0.452199028283435</v>
      </c>
      <c r="D474" s="0" t="n">
        <f aca="false">A474/SUM($A474:$C474)</f>
        <v>0.0641137154348446</v>
      </c>
      <c r="E474" s="0" t="n">
        <f aca="false">B474/SUM($A474:$C474)</f>
        <v>0.198988706801328</v>
      </c>
      <c r="F474" s="0" t="n">
        <f aca="false">C474/SUM($A474:$C474)</f>
        <v>0.736897577763827</v>
      </c>
      <c r="G474" s="0" t="n">
        <f aca="false">SUMPRODUCT(D474:F474,Stats!$B$6:$D$6)</f>
        <v>0.347613589818504</v>
      </c>
      <c r="H474" s="0" t="n">
        <f aca="false">SQRT(SUMPRODUCT(MMULT(D474:F474,Stats!$B$12:$D$14),D474:F474))</f>
        <v>0.244205943430461</v>
      </c>
      <c r="I474" s="0" t="n">
        <f aca="false">(G474-Stats!$B$2)/H474</f>
        <v>1.25145844333444</v>
      </c>
    </row>
    <row r="475" customFormat="false" ht="15" hidden="false" customHeight="false" outlineLevel="0" collapsed="false">
      <c r="A475" s="0" t="n">
        <v>0.933875017527905</v>
      </c>
      <c r="B475" s="0" t="n">
        <v>0.316156104976751</v>
      </c>
      <c r="C475" s="0" t="n">
        <v>0.507234808688392</v>
      </c>
      <c r="D475" s="0" t="n">
        <f aca="false">A475/SUM($A475:$C475)</f>
        <v>0.531436364269508</v>
      </c>
      <c r="E475" s="0" t="n">
        <f aca="false">B475/SUM($A475:$C475)</f>
        <v>0.17991363706807</v>
      </c>
      <c r="F475" s="0" t="n">
        <f aca="false">C475/SUM($A475:$C475)</f>
        <v>0.288649998662422</v>
      </c>
      <c r="G475" s="0" t="n">
        <f aca="false">SUMPRODUCT(D475:F475,Stats!$B$6:$D$6)</f>
        <v>0.35887628958307</v>
      </c>
      <c r="H475" s="0" t="n">
        <f aca="false">SQRT(SUMPRODUCT(MMULT(D475:F475,Stats!$B$12:$D$14),D475:F475))</f>
        <v>0.221939762823953</v>
      </c>
      <c r="I475" s="0" t="n">
        <f aca="false">(G475-Stats!$B$2)/H475</f>
        <v>1.42775807972014</v>
      </c>
    </row>
    <row r="476" customFormat="false" ht="15" hidden="false" customHeight="false" outlineLevel="0" collapsed="false">
      <c r="A476" s="0" t="n">
        <v>0.0415728590503921</v>
      </c>
      <c r="B476" s="0" t="n">
        <v>0.148343200962089</v>
      </c>
      <c r="C476" s="0" t="n">
        <v>0.986630122958847</v>
      </c>
      <c r="D476" s="0" t="n">
        <f aca="false">A476/SUM($A476:$C476)</f>
        <v>0.0353346597456984</v>
      </c>
      <c r="E476" s="0" t="n">
        <f aca="false">B476/SUM($A476:$C476)</f>
        <v>0.126083619248548</v>
      </c>
      <c r="F476" s="0" t="n">
        <f aca="false">C476/SUM($A476:$C476)</f>
        <v>0.838581721005754</v>
      </c>
      <c r="G476" s="0" t="n">
        <f aca="false">SUMPRODUCT(D476:F476,Stats!$B$6:$D$6)</f>
        <v>0.340614824299807</v>
      </c>
      <c r="H476" s="0" t="n">
        <f aca="false">SQRT(SUMPRODUCT(MMULT(D476:F476,Stats!$B$12:$D$14),D476:F476))</f>
        <v>0.249705192247606</v>
      </c>
      <c r="I476" s="0" t="n">
        <f aca="false">(G476-Stats!$B$2)/H476</f>
        <v>1.19586950360128</v>
      </c>
    </row>
    <row r="477" customFormat="false" ht="15" hidden="false" customHeight="false" outlineLevel="0" collapsed="false">
      <c r="A477" s="0" t="n">
        <v>0.965118696436046</v>
      </c>
      <c r="B477" s="0" t="n">
        <v>0.00493998093440962</v>
      </c>
      <c r="C477" s="0" t="n">
        <v>0.951811785423239</v>
      </c>
      <c r="D477" s="0" t="n">
        <f aca="false">A477/SUM($A477:$C477)</f>
        <v>0.502176767435781</v>
      </c>
      <c r="E477" s="0" t="n">
        <f aca="false">B477/SUM($A477:$C477)</f>
        <v>0.00257040265202302</v>
      </c>
      <c r="F477" s="0" t="n">
        <f aca="false">C477/SUM($A477:$C477)</f>
        <v>0.495252829912196</v>
      </c>
      <c r="G477" s="0" t="n">
        <f aca="false">SUMPRODUCT(D477:F477,Stats!$B$6:$D$6)</f>
        <v>0.342975195797542</v>
      </c>
      <c r="H477" s="0" t="n">
        <f aca="false">SQRT(SUMPRODUCT(MMULT(D477:F477,Stats!$B$12:$D$14),D477:F477))</f>
        <v>0.223443418651303</v>
      </c>
      <c r="I477" s="0" t="n">
        <f aca="false">(G477-Stats!$B$2)/H477</f>
        <v>1.34698617490825</v>
      </c>
    </row>
    <row r="478" customFormat="false" ht="15" hidden="false" customHeight="false" outlineLevel="0" collapsed="false">
      <c r="A478" s="0" t="n">
        <v>0.6391199378155</v>
      </c>
      <c r="B478" s="0" t="n">
        <v>0.867918294520022</v>
      </c>
      <c r="C478" s="0" t="n">
        <v>0.454739855633859</v>
      </c>
      <c r="D478" s="0" t="n">
        <f aca="false">A478/SUM($A478:$C478)</f>
        <v>0.325786051814376</v>
      </c>
      <c r="E478" s="0" t="n">
        <f aca="false">B478/SUM($A478:$C478)</f>
        <v>0.442414103737083</v>
      </c>
      <c r="F478" s="0" t="n">
        <f aca="false">C478/SUM($A478:$C478)</f>
        <v>0.231799844448541</v>
      </c>
      <c r="G478" s="0" t="n">
        <f aca="false">SUMPRODUCT(D478:F478,Stats!$B$6:$D$6)</f>
        <v>0.375547847824228</v>
      </c>
      <c r="H478" s="0" t="n">
        <f aca="false">SQRT(SUMPRODUCT(MMULT(D478:F478,Stats!$B$12:$D$14),D478:F478))</f>
        <v>0.227854924122143</v>
      </c>
      <c r="I478" s="0" t="n">
        <f aca="false">(G478-Stats!$B$2)/H478</f>
        <v>1.46386060827647</v>
      </c>
    </row>
    <row r="479" customFormat="false" ht="15" hidden="false" customHeight="false" outlineLevel="0" collapsed="false">
      <c r="A479" s="0" t="n">
        <v>0.51559602857925</v>
      </c>
      <c r="B479" s="0" t="n">
        <v>0.48884658025692</v>
      </c>
      <c r="C479" s="0" t="n">
        <v>0.666864257546104</v>
      </c>
      <c r="D479" s="0" t="n">
        <f aca="false">A479/SUM($A479:$C479)</f>
        <v>0.308498719744576</v>
      </c>
      <c r="E479" s="0" t="n">
        <f aca="false">B479/SUM($A479:$C479)</f>
        <v>0.292493610892105</v>
      </c>
      <c r="F479" s="0" t="n">
        <f aca="false">C479/SUM($A479:$C479)</f>
        <v>0.39900766936332</v>
      </c>
      <c r="G479" s="0" t="n">
        <f aca="false">SUMPRODUCT(D479:F479,Stats!$B$6:$D$6)</f>
        <v>0.362310925243711</v>
      </c>
      <c r="H479" s="0" t="n">
        <f aca="false">SQRT(SUMPRODUCT(MMULT(D479:F479,Stats!$B$12:$D$14),D479:F479))</f>
        <v>0.227031068612471</v>
      </c>
      <c r="I479" s="0" t="n">
        <f aca="false">(G479-Stats!$B$2)/H479</f>
        <v>1.4108682446034</v>
      </c>
    </row>
    <row r="480" customFormat="false" ht="15" hidden="false" customHeight="false" outlineLevel="0" collapsed="false">
      <c r="A480" s="0" t="n">
        <v>0.139651254756313</v>
      </c>
      <c r="B480" s="0" t="n">
        <v>0.029973589872678</v>
      </c>
      <c r="C480" s="0" t="n">
        <v>0.307929941591191</v>
      </c>
      <c r="D480" s="0" t="n">
        <f aca="false">A480/SUM($A480:$C480)</f>
        <v>0.2924298086543</v>
      </c>
      <c r="E480" s="0" t="n">
        <f aca="false">B480/SUM($A480:$C480)</f>
        <v>0.0627647146203207</v>
      </c>
      <c r="F480" s="0" t="n">
        <f aca="false">C480/SUM($A480:$C480)</f>
        <v>0.644805476725379</v>
      </c>
      <c r="G480" s="0" t="n">
        <f aca="false">SUMPRODUCT(D480:F480,Stats!$B$6:$D$6)</f>
        <v>0.342314841885323</v>
      </c>
      <c r="H480" s="0" t="n">
        <f aca="false">SQRT(SUMPRODUCT(MMULT(D480:F480,Stats!$B$12:$D$14),D480:F480))</f>
        <v>0.231494574624568</v>
      </c>
      <c r="I480" s="0" t="n">
        <f aca="false">(G480-Stats!$B$2)/H480</f>
        <v>1.2972867393215</v>
      </c>
    </row>
    <row r="481" customFormat="false" ht="15" hidden="false" customHeight="false" outlineLevel="0" collapsed="false">
      <c r="A481" s="0" t="n">
        <v>0.704680762736647</v>
      </c>
      <c r="B481" s="0" t="n">
        <v>0.201853452122948</v>
      </c>
      <c r="C481" s="0" t="n">
        <v>0.673432433324917</v>
      </c>
      <c r="D481" s="0" t="n">
        <f aca="false">A481/SUM($A481:$C481)</f>
        <v>0.446009897453451</v>
      </c>
      <c r="E481" s="0" t="n">
        <f aca="false">B481/SUM($A481:$C481)</f>
        <v>0.127758046256794</v>
      </c>
      <c r="F481" s="0" t="n">
        <f aca="false">C481/SUM($A481:$C481)</f>
        <v>0.426232056289755</v>
      </c>
      <c r="G481" s="0" t="n">
        <f aca="false">SUMPRODUCT(D481:F481,Stats!$B$6:$D$6)</f>
        <v>0.352081552069217</v>
      </c>
      <c r="H481" s="0" t="n">
        <f aca="false">SQRT(SUMPRODUCT(MMULT(D481:F481,Stats!$B$12:$D$14),D481:F481))</f>
        <v>0.223357558898992</v>
      </c>
      <c r="I481" s="0" t="n">
        <f aca="false">(G481-Stats!$B$2)/H481</f>
        <v>1.38827427017791</v>
      </c>
    </row>
    <row r="482" customFormat="false" ht="15" hidden="false" customHeight="false" outlineLevel="0" collapsed="false">
      <c r="A482" s="0" t="n">
        <v>0.96991204610727</v>
      </c>
      <c r="B482" s="0" t="n">
        <v>0.0939007157894184</v>
      </c>
      <c r="C482" s="0" t="n">
        <v>0.672602118225126</v>
      </c>
      <c r="D482" s="0" t="n">
        <f aca="false">A482/SUM($A482:$C482)</f>
        <v>0.558571604753369</v>
      </c>
      <c r="E482" s="0" t="n">
        <f aca="false">B482/SUM($A482:$C482)</f>
        <v>0.0540773503293354</v>
      </c>
      <c r="F482" s="0" t="n">
        <f aca="false">C482/SUM($A482:$C482)</f>
        <v>0.387351044917296</v>
      </c>
      <c r="G482" s="0" t="n">
        <f aca="false">SUMPRODUCT(D482:F482,Stats!$B$6:$D$6)</f>
        <v>0.348914189122782</v>
      </c>
      <c r="H482" s="0" t="n">
        <f aca="false">SQRT(SUMPRODUCT(MMULT(D482:F482,Stats!$B$12:$D$14),D482:F482))</f>
        <v>0.221662211616411</v>
      </c>
      <c r="I482" s="0" t="n">
        <f aca="false">(G482-Stats!$B$2)/H482</f>
        <v>1.38460311698911</v>
      </c>
    </row>
    <row r="483" customFormat="false" ht="15" hidden="false" customHeight="false" outlineLevel="0" collapsed="false">
      <c r="A483" s="0" t="n">
        <v>0.443750219304571</v>
      </c>
      <c r="B483" s="0" t="n">
        <v>0.868142254377505</v>
      </c>
      <c r="C483" s="0" t="n">
        <v>0.177149789447386</v>
      </c>
      <c r="D483" s="0" t="n">
        <f aca="false">A483/SUM($A483:$C483)</f>
        <v>0.298010493249506</v>
      </c>
      <c r="E483" s="0" t="n">
        <f aca="false">B483/SUM($A483:$C483)</f>
        <v>0.583020560177362</v>
      </c>
      <c r="F483" s="0" t="n">
        <f aca="false">C483/SUM($A483:$C483)</f>
        <v>0.118968946573133</v>
      </c>
      <c r="G483" s="0" t="n">
        <f aca="false">SUMPRODUCT(D483:F483,Stats!$B$6:$D$6)</f>
        <v>0.386749429956296</v>
      </c>
      <c r="H483" s="0" t="n">
        <f aca="false">SQRT(SUMPRODUCT(MMULT(D483:F483,Stats!$B$12:$D$14),D483:F483))</f>
        <v>0.231893175829111</v>
      </c>
      <c r="I483" s="0" t="n">
        <f aca="false">(G483-Stats!$B$2)/H483</f>
        <v>1.4866734595517</v>
      </c>
    </row>
    <row r="484" customFormat="false" ht="15" hidden="false" customHeight="false" outlineLevel="0" collapsed="false">
      <c r="A484" s="0" t="n">
        <v>0.692625952226165</v>
      </c>
      <c r="B484" s="0" t="n">
        <v>0.83811528964811</v>
      </c>
      <c r="C484" s="0" t="n">
        <v>0.944614219474023</v>
      </c>
      <c r="D484" s="0" t="n">
        <f aca="false">A484/SUM($A484:$C484)</f>
        <v>0.279808683254283</v>
      </c>
      <c r="E484" s="0" t="n">
        <f aca="false">B484/SUM($A484:$C484)</f>
        <v>0.338583812601847</v>
      </c>
      <c r="F484" s="0" t="n">
        <f aca="false">C484/SUM($A484:$C484)</f>
        <v>0.381607504143871</v>
      </c>
      <c r="G484" s="0" t="n">
        <f aca="false">SUMPRODUCT(D484:F484,Stats!$B$6:$D$6)</f>
        <v>0.365442698660179</v>
      </c>
      <c r="H484" s="0" t="n">
        <f aca="false">SQRT(SUMPRODUCT(MMULT(D484:F484,Stats!$B$12:$D$14),D484:F484))</f>
        <v>0.228124507601385</v>
      </c>
      <c r="I484" s="0" t="n">
        <f aca="false">(G484-Stats!$B$2)/H484</f>
        <v>1.41783406816311</v>
      </c>
    </row>
    <row r="485" customFormat="false" ht="15" hidden="false" customHeight="false" outlineLevel="0" collapsed="false">
      <c r="A485" s="0" t="n">
        <v>0.683248028289646</v>
      </c>
      <c r="B485" s="0" t="n">
        <v>0.497174764008427</v>
      </c>
      <c r="C485" s="0" t="n">
        <v>0.617847240201214</v>
      </c>
      <c r="D485" s="0" t="n">
        <f aca="false">A485/SUM($A485:$C485)</f>
        <v>0.379947402749101</v>
      </c>
      <c r="E485" s="0" t="n">
        <f aca="false">B485/SUM($A485:$C485)</f>
        <v>0.276473919390983</v>
      </c>
      <c r="F485" s="0" t="n">
        <f aca="false">C485/SUM($A485:$C485)</f>
        <v>0.343578677859916</v>
      </c>
      <c r="G485" s="0" t="n">
        <f aca="false">SUMPRODUCT(D485:F485,Stats!$B$6:$D$6)</f>
        <v>0.362917606050212</v>
      </c>
      <c r="H485" s="0" t="n">
        <f aca="false">SQRT(SUMPRODUCT(MMULT(D485:F485,Stats!$B$12:$D$14),D485:F485))</f>
        <v>0.224769064936163</v>
      </c>
      <c r="I485" s="0" t="n">
        <f aca="false">(G485-Stats!$B$2)/H485</f>
        <v>1.42776589892989</v>
      </c>
    </row>
    <row r="486" customFormat="false" ht="15" hidden="false" customHeight="false" outlineLevel="0" collapsed="false">
      <c r="A486" s="0" t="n">
        <v>0.868904984478718</v>
      </c>
      <c r="B486" s="0" t="n">
        <v>0.57060974663883</v>
      </c>
      <c r="C486" s="0" t="n">
        <v>0.0303870596968369</v>
      </c>
      <c r="D486" s="0" t="n">
        <f aca="false">A486/SUM($A486:$C486)</f>
        <v>0.591131319050445</v>
      </c>
      <c r="E486" s="0" t="n">
        <f aca="false">B486/SUM($A486:$C486)</f>
        <v>0.388195830636201</v>
      </c>
      <c r="F486" s="0" t="n">
        <f aca="false">C486/SUM($A486:$C486)</f>
        <v>0.0206728503133541</v>
      </c>
      <c r="G486" s="0" t="n">
        <f aca="false">SUMPRODUCT(D486:F486,Stats!$B$6:$D$6)</f>
        <v>0.378249944222908</v>
      </c>
      <c r="H486" s="0" t="n">
        <f aca="false">SQRT(SUMPRODUCT(MMULT(D486:F486,Stats!$B$12:$D$14),D486:F486))</f>
        <v>0.227310817457333</v>
      </c>
      <c r="I486" s="0" t="n">
        <f aca="false">(G486-Stats!$B$2)/H486</f>
        <v>1.47925183668843</v>
      </c>
    </row>
    <row r="487" customFormat="false" ht="15" hidden="false" customHeight="false" outlineLevel="0" collapsed="false">
      <c r="A487" s="0" t="n">
        <v>0.930948695506978</v>
      </c>
      <c r="B487" s="0" t="n">
        <v>0.689526751031561</v>
      </c>
      <c r="C487" s="0" t="n">
        <v>0.676513385777247</v>
      </c>
      <c r="D487" s="0" t="n">
        <f aca="false">A487/SUM($A487:$C487)</f>
        <v>0.405290910608569</v>
      </c>
      <c r="E487" s="0" t="n">
        <f aca="false">B487/SUM($A487:$C487)</f>
        <v>0.300187245723956</v>
      </c>
      <c r="F487" s="0" t="n">
        <f aca="false">C487/SUM($A487:$C487)</f>
        <v>0.294521843667475</v>
      </c>
      <c r="G487" s="0" t="n">
        <f aca="false">SUMPRODUCT(D487:F487,Stats!$B$6:$D$6)</f>
        <v>0.36563476349046</v>
      </c>
      <c r="H487" s="0" t="n">
        <f aca="false">SQRT(SUMPRODUCT(MMULT(D487:F487,Stats!$B$12:$D$14),D487:F487))</f>
        <v>0.224374393073257</v>
      </c>
      <c r="I487" s="0" t="n">
        <f aca="false">(G487-Stats!$B$2)/H487</f>
        <v>1.44238724864114</v>
      </c>
    </row>
    <row r="488" customFormat="false" ht="15" hidden="false" customHeight="false" outlineLevel="0" collapsed="false">
      <c r="A488" s="0" t="n">
        <v>0.215675152397717</v>
      </c>
      <c r="B488" s="0" t="n">
        <v>0.658885470232657</v>
      </c>
      <c r="C488" s="0" t="n">
        <v>0.393864405654159</v>
      </c>
      <c r="D488" s="0" t="n">
        <f aca="false">A488/SUM($A488:$C488)</f>
        <v>0.170033819570247</v>
      </c>
      <c r="E488" s="0" t="n">
        <f aca="false">B488/SUM($A488:$C488)</f>
        <v>0.519451647153131</v>
      </c>
      <c r="F488" s="0" t="n">
        <f aca="false">C488/SUM($A488:$C488)</f>
        <v>0.310514533276623</v>
      </c>
      <c r="G488" s="0" t="n">
        <f aca="false">SUMPRODUCT(D488:F488,Stats!$B$6:$D$6)</f>
        <v>0.377809961095473</v>
      </c>
      <c r="H488" s="0" t="n">
        <f aca="false">SQRT(SUMPRODUCT(MMULT(D488:F488,Stats!$B$12:$D$14),D488:F488))</f>
        <v>0.233777351703141</v>
      </c>
      <c r="I488" s="0" t="n">
        <f aca="false">(G488-Stats!$B$2)/H488</f>
        <v>1.43645207137899</v>
      </c>
    </row>
    <row r="489" customFormat="false" ht="15" hidden="false" customHeight="false" outlineLevel="0" collapsed="false">
      <c r="A489" s="0" t="n">
        <v>0.651232977041492</v>
      </c>
      <c r="B489" s="0" t="n">
        <v>0.106593030307991</v>
      </c>
      <c r="C489" s="0" t="n">
        <v>0.657845304603036</v>
      </c>
      <c r="D489" s="0" t="n">
        <f aca="false">A489/SUM($A489:$C489)</f>
        <v>0.460017075675073</v>
      </c>
      <c r="E489" s="0" t="n">
        <f aca="false">B489/SUM($A489:$C489)</f>
        <v>0.0752950415877085</v>
      </c>
      <c r="F489" s="0" t="n">
        <f aca="false">C489/SUM($A489:$C489)</f>
        <v>0.464687882737218</v>
      </c>
      <c r="G489" s="0" t="n">
        <f aca="false">SUMPRODUCT(D489:F489,Stats!$B$6:$D$6)</f>
        <v>0.348002494058696</v>
      </c>
      <c r="H489" s="0" t="n">
        <f aca="false">SQRT(SUMPRODUCT(MMULT(D489:F489,Stats!$B$12:$D$14),D489:F489))</f>
        <v>0.22352283233617</v>
      </c>
      <c r="I489" s="0" t="n">
        <f aca="false">(G489-Stats!$B$2)/H489</f>
        <v>1.3689988215543</v>
      </c>
    </row>
    <row r="490" customFormat="false" ht="15" hidden="false" customHeight="false" outlineLevel="0" collapsed="false">
      <c r="A490" s="0" t="n">
        <v>0.999413725770667</v>
      </c>
      <c r="B490" s="0" t="n">
        <v>0.048212038860556</v>
      </c>
      <c r="C490" s="0" t="n">
        <v>0.977174184221317</v>
      </c>
      <c r="D490" s="0" t="n">
        <f aca="false">A490/SUM($A490:$C490)</f>
        <v>0.493586404097371</v>
      </c>
      <c r="E490" s="0" t="n">
        <f aca="false">B490/SUM($A490:$C490)</f>
        <v>0.0238107665341842</v>
      </c>
      <c r="F490" s="0" t="n">
        <f aca="false">C490/SUM($A490:$C490)</f>
        <v>0.482602829368444</v>
      </c>
      <c r="G490" s="0" t="n">
        <f aca="false">SUMPRODUCT(D490:F490,Stats!$B$6:$D$6)</f>
        <v>0.344546157744004</v>
      </c>
      <c r="H490" s="0" t="n">
        <f aca="false">SQRT(SUMPRODUCT(MMULT(D490:F490,Stats!$B$12:$D$14),D490:F490))</f>
        <v>0.223319214644867</v>
      </c>
      <c r="I490" s="0" t="n">
        <f aca="false">(G490-Stats!$B$2)/H490</f>
        <v>1.35476993426261</v>
      </c>
    </row>
    <row r="491" customFormat="false" ht="15" hidden="false" customHeight="false" outlineLevel="0" collapsed="false">
      <c r="A491" s="0" t="n">
        <v>0.406907960722871</v>
      </c>
      <c r="B491" s="0" t="n">
        <v>0.870753450337259</v>
      </c>
      <c r="C491" s="0" t="n">
        <v>0.782385484058274</v>
      </c>
      <c r="D491" s="0" t="n">
        <f aca="false">A491/SUM($A491:$C491)</f>
        <v>0.197523639722524</v>
      </c>
      <c r="E491" s="0" t="n">
        <f aca="false">B491/SUM($A491:$C491)</f>
        <v>0.422686227386689</v>
      </c>
      <c r="F491" s="0" t="n">
        <f aca="false">C491/SUM($A491:$C491)</f>
        <v>0.379790132890788</v>
      </c>
      <c r="G491" s="0" t="n">
        <f aca="false">SUMPRODUCT(D491:F491,Stats!$B$6:$D$6)</f>
        <v>0.37033195606858</v>
      </c>
      <c r="H491" s="0" t="n">
        <f aca="false">SQRT(SUMPRODUCT(MMULT(D491:F491,Stats!$B$12:$D$14),D491:F491))</f>
        <v>0.231793179181698</v>
      </c>
      <c r="I491" s="0" t="n">
        <f aca="false">(G491-Stats!$B$2)/H491</f>
        <v>1.41648670261866</v>
      </c>
    </row>
    <row r="492" customFormat="false" ht="15" hidden="false" customHeight="false" outlineLevel="0" collapsed="false">
      <c r="A492" s="0" t="n">
        <v>0.567016260986668</v>
      </c>
      <c r="B492" s="0" t="n">
        <v>0.738449209251327</v>
      </c>
      <c r="C492" s="0" t="n">
        <v>0.878515561301348</v>
      </c>
      <c r="D492" s="0" t="n">
        <f aca="false">A492/SUM($A492:$C492)</f>
        <v>0.25962508501597</v>
      </c>
      <c r="E492" s="0" t="n">
        <f aca="false">B492/SUM($A492:$C492)</f>
        <v>0.338120706447182</v>
      </c>
      <c r="F492" s="0" t="n">
        <f aca="false">C492/SUM($A492:$C492)</f>
        <v>0.402254208536848</v>
      </c>
      <c r="G492" s="0" t="n">
        <f aca="false">SUMPRODUCT(D492:F492,Stats!$B$6:$D$6)</f>
        <v>0.36484672719893</v>
      </c>
      <c r="H492" s="0" t="n">
        <f aca="false">SQRT(SUMPRODUCT(MMULT(D492:F492,Stats!$B$12:$D$14),D492:F492))</f>
        <v>0.228935319252688</v>
      </c>
      <c r="I492" s="0" t="n">
        <f aca="false">(G492-Stats!$B$2)/H492</f>
        <v>1.41020934756942</v>
      </c>
    </row>
    <row r="493" customFormat="false" ht="15" hidden="false" customHeight="false" outlineLevel="0" collapsed="false">
      <c r="A493" s="0" t="n">
        <v>0.404140321651033</v>
      </c>
      <c r="B493" s="0" t="n">
        <v>0.327033161563239</v>
      </c>
      <c r="C493" s="0" t="n">
        <v>0.667593385563585</v>
      </c>
      <c r="D493" s="0" t="n">
        <f aca="false">A493/SUM($A493:$C493)</f>
        <v>0.288926146788237</v>
      </c>
      <c r="E493" s="0" t="n">
        <f aca="false">B493/SUM($A493:$C493)</f>
        <v>0.233801049240591</v>
      </c>
      <c r="F493" s="0" t="n">
        <f aca="false">C493/SUM($A493:$C493)</f>
        <v>0.477272803971173</v>
      </c>
      <c r="G493" s="0" t="n">
        <f aca="false">SUMPRODUCT(D493:F493,Stats!$B$6:$D$6)</f>
        <v>0.356775700226121</v>
      </c>
      <c r="H493" s="0" t="n">
        <f aca="false">SQRT(SUMPRODUCT(MMULT(D493:F493,Stats!$B$12:$D$14),D493:F493))</f>
        <v>0.228193656305059</v>
      </c>
      <c r="I493" s="0" t="n">
        <f aca="false">(G493-Stats!$B$2)/H493</f>
        <v>1.37942353579415</v>
      </c>
    </row>
    <row r="494" customFormat="false" ht="15" hidden="false" customHeight="false" outlineLevel="0" collapsed="false">
      <c r="A494" s="0" t="n">
        <v>0.807845941941259</v>
      </c>
      <c r="B494" s="0" t="n">
        <v>0.762285134776616</v>
      </c>
      <c r="C494" s="0" t="n">
        <v>0.797813648858635</v>
      </c>
      <c r="D494" s="0" t="n">
        <f aca="false">A494/SUM($A494:$C494)</f>
        <v>0.341159121332352</v>
      </c>
      <c r="E494" s="0" t="n">
        <f aca="false">B494/SUM($A494:$C494)</f>
        <v>0.321918466484063</v>
      </c>
      <c r="F494" s="0" t="n">
        <f aca="false">C494/SUM($A494:$C494)</f>
        <v>0.336922412183585</v>
      </c>
      <c r="G494" s="0" t="n">
        <f aca="false">SUMPRODUCT(D494:F494,Stats!$B$6:$D$6)</f>
        <v>0.365715970438112</v>
      </c>
      <c r="H494" s="0" t="n">
        <f aca="false">SQRT(SUMPRODUCT(MMULT(D494:F494,Stats!$B$12:$D$14),D494:F494))</f>
        <v>0.226021528153357</v>
      </c>
      <c r="I494" s="0" t="n">
        <f aca="false">(G494-Stats!$B$2)/H494</f>
        <v>1.43223511973811</v>
      </c>
    </row>
    <row r="495" customFormat="false" ht="15" hidden="false" customHeight="false" outlineLevel="0" collapsed="false">
      <c r="A495" s="0" t="n">
        <v>0.435583314812933</v>
      </c>
      <c r="B495" s="0" t="n">
        <v>0.817834216175022</v>
      </c>
      <c r="C495" s="0" t="n">
        <v>0.120209055370608</v>
      </c>
      <c r="D495" s="0" t="n">
        <f aca="false">A495/SUM($A495:$C495)</f>
        <v>0.317104604074132</v>
      </c>
      <c r="E495" s="0" t="n">
        <f aca="false">B495/SUM($A495:$C495)</f>
        <v>0.595383217168992</v>
      </c>
      <c r="F495" s="0" t="n">
        <f aca="false">C495/SUM($A495:$C495)</f>
        <v>0.0875121787568763</v>
      </c>
      <c r="G495" s="0" t="n">
        <f aca="false">SUMPRODUCT(D495:F495,Stats!$B$6:$D$6)</f>
        <v>0.388328169512544</v>
      </c>
      <c r="H495" s="0" t="n">
        <f aca="false">SQRT(SUMPRODUCT(MMULT(D495:F495,Stats!$B$12:$D$14),D495:F495))</f>
        <v>0.232155788784197</v>
      </c>
      <c r="I495" s="0" t="n">
        <f aca="false">(G495-Stats!$B$2)/H495</f>
        <v>1.49179209067441</v>
      </c>
    </row>
    <row r="496" customFormat="false" ht="15" hidden="false" customHeight="false" outlineLevel="0" collapsed="false">
      <c r="A496" s="0" t="n">
        <v>0.54448909796085</v>
      </c>
      <c r="B496" s="0" t="n">
        <v>0.00575866049812157</v>
      </c>
      <c r="C496" s="0" t="n">
        <v>0.32458582990027</v>
      </c>
      <c r="D496" s="0" t="n">
        <f aca="false">A496/SUM($A496:$C496)</f>
        <v>0.62239162419683</v>
      </c>
      <c r="E496" s="0" t="n">
        <f aca="false">B496/SUM($A496:$C496)</f>
        <v>0.00658257818943828</v>
      </c>
      <c r="F496" s="0" t="n">
        <f aca="false">C496/SUM($A496:$C496)</f>
        <v>0.371025797613731</v>
      </c>
      <c r="G496" s="0" t="n">
        <f aca="false">SUMPRODUCT(D496:F496,Stats!$B$6:$D$6)</f>
        <v>0.346631563820509</v>
      </c>
      <c r="H496" s="0" t="n">
        <f aca="false">SQRT(SUMPRODUCT(MMULT(D496:F496,Stats!$B$12:$D$14),D496:F496))</f>
        <v>0.221415464273358</v>
      </c>
      <c r="I496" s="0" t="n">
        <f aca="false">(G496-Stats!$B$2)/H496</f>
        <v>1.37583689025629</v>
      </c>
    </row>
    <row r="497" customFormat="false" ht="15" hidden="false" customHeight="false" outlineLevel="0" collapsed="false">
      <c r="A497" s="0" t="n">
        <v>0.366461534871398</v>
      </c>
      <c r="B497" s="0" t="n">
        <v>0.396172691609255</v>
      </c>
      <c r="C497" s="0" t="n">
        <v>0.695467206689862</v>
      </c>
      <c r="D497" s="0" t="n">
        <f aca="false">A497/SUM($A497:$C497)</f>
        <v>0.251327875094779</v>
      </c>
      <c r="E497" s="0" t="n">
        <f aca="false">B497/SUM($A497:$C497)</f>
        <v>0.271704479946784</v>
      </c>
      <c r="F497" s="0" t="n">
        <f aca="false">C497/SUM($A497:$C497)</f>
        <v>0.476967644958437</v>
      </c>
      <c r="G497" s="0" t="n">
        <f aca="false">SUMPRODUCT(D497:F497,Stats!$B$6:$D$6)</f>
        <v>0.35896502921391</v>
      </c>
      <c r="H497" s="0" t="n">
        <f aca="false">SQRT(SUMPRODUCT(MMULT(D497:F497,Stats!$B$12:$D$14),D497:F497))</f>
        <v>0.229639596517002</v>
      </c>
      <c r="I497" s="0" t="n">
        <f aca="false">(G497-Stats!$B$2)/H497</f>
        <v>1.3802716692652</v>
      </c>
    </row>
    <row r="498" customFormat="false" ht="15" hidden="false" customHeight="false" outlineLevel="0" collapsed="false">
      <c r="A498" s="0" t="n">
        <v>0.388558101270346</v>
      </c>
      <c r="B498" s="0" t="n">
        <v>0.448693622622531</v>
      </c>
      <c r="C498" s="0" t="n">
        <v>0.237544130874328</v>
      </c>
      <c r="D498" s="0" t="n">
        <f aca="false">A498/SUM($A498:$C498)</f>
        <v>0.361518049727225</v>
      </c>
      <c r="E498" s="0" t="n">
        <f aca="false">B498/SUM($A498:$C498)</f>
        <v>0.417468694759449</v>
      </c>
      <c r="F498" s="0" t="n">
        <f aca="false">C498/SUM($A498:$C498)</f>
        <v>0.221013255513326</v>
      </c>
      <c r="G498" s="0" t="n">
        <f aca="false">SUMPRODUCT(D498:F498,Stats!$B$6:$D$6)</f>
        <v>0.374409957319014</v>
      </c>
      <c r="H498" s="0" t="n">
        <f aca="false">SQRT(SUMPRODUCT(MMULT(D498:F498,Stats!$B$12:$D$14),D498:F498))</f>
        <v>0.226769294456007</v>
      </c>
      <c r="I498" s="0" t="n">
        <f aca="false">(G498-Stats!$B$2)/H498</f>
        <v>1.46585082480601</v>
      </c>
    </row>
    <row r="499" customFormat="false" ht="15" hidden="false" customHeight="false" outlineLevel="0" collapsed="false">
      <c r="A499" s="0" t="n">
        <v>0.37325179162934</v>
      </c>
      <c r="B499" s="0" t="n">
        <v>0.227269627263152</v>
      </c>
      <c r="C499" s="0" t="n">
        <v>0.0731959237684436</v>
      </c>
      <c r="D499" s="0" t="n">
        <f aca="false">A499/SUM($A499:$C499)</f>
        <v>0.554018381291972</v>
      </c>
      <c r="E499" s="0" t="n">
        <f aca="false">B499/SUM($A499:$C499)</f>
        <v>0.337336762573931</v>
      </c>
      <c r="F499" s="0" t="n">
        <f aca="false">C499/SUM($A499:$C499)</f>
        <v>0.108644856134097</v>
      </c>
      <c r="G499" s="0" t="n">
        <f aca="false">SUMPRODUCT(D499:F499,Stats!$B$6:$D$6)</f>
        <v>0.372897785047514</v>
      </c>
      <c r="H499" s="0" t="n">
        <f aca="false">SQRT(SUMPRODUCT(MMULT(D499:F499,Stats!$B$12:$D$14),D499:F499))</f>
        <v>0.224843146854959</v>
      </c>
      <c r="I499" s="0" t="n">
        <f aca="false">(G499-Stats!$B$2)/H499</f>
        <v>1.4716827694151</v>
      </c>
    </row>
    <row r="500" customFormat="false" ht="15" hidden="false" customHeight="false" outlineLevel="0" collapsed="false">
      <c r="A500" s="0" t="n">
        <v>0.603448593381378</v>
      </c>
      <c r="B500" s="0" t="n">
        <v>0.668212798555016</v>
      </c>
      <c r="C500" s="0" t="n">
        <v>0.619490346009615</v>
      </c>
      <c r="D500" s="0" t="n">
        <f aca="false">A500/SUM($A500:$C500)</f>
        <v>0.319090521015932</v>
      </c>
      <c r="E500" s="0" t="n">
        <f aca="false">B500/SUM($A500:$C500)</f>
        <v>0.353336427293119</v>
      </c>
      <c r="F500" s="0" t="n">
        <f aca="false">C500/SUM($A500:$C500)</f>
        <v>0.327573051690948</v>
      </c>
      <c r="G500" s="0" t="n">
        <f aca="false">SUMPRODUCT(D500:F500,Stats!$B$6:$D$6)</f>
        <v>0.367781524259226</v>
      </c>
      <c r="H500" s="0" t="n">
        <f aca="false">SQRT(SUMPRODUCT(MMULT(D500:F500,Stats!$B$12:$D$14),D500:F500))</f>
        <v>0.226859530843637</v>
      </c>
      <c r="I500" s="0" t="n">
        <f aca="false">(G500-Stats!$B$2)/H500</f>
        <v>1.43604953711983</v>
      </c>
    </row>
    <row r="501" customFormat="false" ht="15" hidden="false" customHeight="false" outlineLevel="0" collapsed="false">
      <c r="A501" s="0" t="n">
        <v>0.463494043800572</v>
      </c>
      <c r="B501" s="0" t="n">
        <v>0.37978578017923</v>
      </c>
      <c r="C501" s="0" t="n">
        <v>0.863333649571825</v>
      </c>
      <c r="D501" s="0" t="n">
        <f aca="false">A501/SUM($A501:$C501)</f>
        <v>0.271587006069978</v>
      </c>
      <c r="E501" s="0" t="n">
        <f aca="false">B501/SUM($A501:$C501)</f>
        <v>0.222537666592341</v>
      </c>
      <c r="F501" s="0" t="n">
        <f aca="false">C501/SUM($A501:$C501)</f>
        <v>0.50587532733768</v>
      </c>
      <c r="G501" s="0" t="n">
        <f aca="false">SUMPRODUCT(D501:F501,Stats!$B$6:$D$6)</f>
        <v>0.355338916185728</v>
      </c>
      <c r="H501" s="0" t="n">
        <f aca="false">SQRT(SUMPRODUCT(MMULT(D501:F501,Stats!$B$12:$D$14),D501:F501))</f>
        <v>0.229172703089218</v>
      </c>
      <c r="I501" s="0" t="n">
        <f aca="false">(G501-Stats!$B$2)/H501</f>
        <v>1.36726107412428</v>
      </c>
    </row>
    <row r="502" customFormat="false" ht="15" hidden="false" customHeight="false" outlineLevel="0" collapsed="false">
      <c r="A502" s="0" t="n">
        <v>0.519081785136218</v>
      </c>
      <c r="B502" s="0" t="n">
        <v>0.479181877629731</v>
      </c>
      <c r="C502" s="0" t="n">
        <v>0.0256420658064357</v>
      </c>
      <c r="D502" s="0" t="n">
        <f aca="false">A502/SUM($A502:$C502)</f>
        <v>0.506962477746819</v>
      </c>
      <c r="E502" s="0" t="n">
        <f aca="false">B502/SUM($A502:$C502)</f>
        <v>0.467994136821411</v>
      </c>
      <c r="F502" s="0" t="n">
        <f aca="false">C502/SUM($A502:$C502)</f>
        <v>0.0250433854317702</v>
      </c>
      <c r="G502" s="0" t="n">
        <f aca="false">SUMPRODUCT(D502:F502,Stats!$B$6:$D$6)</f>
        <v>0.382720919654984</v>
      </c>
      <c r="H502" s="0" t="n">
        <f aca="false">SQRT(SUMPRODUCT(MMULT(D502:F502,Stats!$B$12:$D$14),D502:F502))</f>
        <v>0.228501976066695</v>
      </c>
      <c r="I502" s="0" t="n">
        <f aca="false">(G502-Stats!$B$2)/H502</f>
        <v>1.49110710340437</v>
      </c>
    </row>
    <row r="503" customFormat="false" ht="15" hidden="false" customHeight="false" outlineLevel="0" collapsed="false">
      <c r="A503" s="0" t="n">
        <v>0.341247827626156</v>
      </c>
      <c r="B503" s="0" t="n">
        <v>0.380195618785857</v>
      </c>
      <c r="C503" s="0" t="n">
        <v>0.398822780896901</v>
      </c>
      <c r="D503" s="0" t="n">
        <f aca="false">A503/SUM($A503:$C503)</f>
        <v>0.304613152934099</v>
      </c>
      <c r="E503" s="0" t="n">
        <f aca="false">B503/SUM($A503:$C503)</f>
        <v>0.339379702358034</v>
      </c>
      <c r="F503" s="0" t="n">
        <f aca="false">C503/SUM($A503:$C503)</f>
        <v>0.356007144707867</v>
      </c>
      <c r="G503" s="0" t="n">
        <f aca="false">SUMPRODUCT(D503:F503,Stats!$B$6:$D$6)</f>
        <v>0.366194413191682</v>
      </c>
      <c r="H503" s="0" t="n">
        <f aca="false">SQRT(SUMPRODUCT(MMULT(D503:F503,Stats!$B$12:$D$14),D503:F503))</f>
        <v>0.227235973585759</v>
      </c>
      <c r="I503" s="0" t="n">
        <f aca="false">(G503-Stats!$B$2)/H503</f>
        <v>1.42668613633629</v>
      </c>
    </row>
    <row r="504" customFormat="false" ht="15" hidden="false" customHeight="false" outlineLevel="0" collapsed="false">
      <c r="A504" s="0" t="n">
        <v>0.580172369227332</v>
      </c>
      <c r="B504" s="0" t="n">
        <v>0.533602546726879</v>
      </c>
      <c r="C504" s="0" t="n">
        <v>0.607905092793445</v>
      </c>
      <c r="D504" s="0" t="n">
        <f aca="false">A504/SUM($A504:$C504)</f>
        <v>0.336980371659974</v>
      </c>
      <c r="E504" s="0" t="n">
        <f aca="false">B504/SUM($A504:$C504)</f>
        <v>0.309931313609792</v>
      </c>
      <c r="F504" s="0" t="n">
        <f aca="false">C504/SUM($A504:$C504)</f>
        <v>0.353088314730234</v>
      </c>
      <c r="G504" s="0" t="n">
        <f aca="false">SUMPRODUCT(D504:F504,Stats!$B$6:$D$6)</f>
        <v>0.364580476631404</v>
      </c>
      <c r="H504" s="0" t="n">
        <f aca="false">SQRT(SUMPRODUCT(MMULT(D504:F504,Stats!$B$12:$D$14),D504:F504))</f>
        <v>0.226088466462004</v>
      </c>
      <c r="I504" s="0" t="n">
        <f aca="false">(G504-Stats!$B$2)/H504</f>
        <v>1.42678873309805</v>
      </c>
    </row>
    <row r="505" customFormat="false" ht="15" hidden="false" customHeight="false" outlineLevel="0" collapsed="false">
      <c r="A505" s="0" t="n">
        <v>0.764883261542128</v>
      </c>
      <c r="B505" s="0" t="n">
        <v>0.812985738716094</v>
      </c>
      <c r="C505" s="0" t="n">
        <v>0.718123076226494</v>
      </c>
      <c r="D505" s="0" t="n">
        <f aca="false">A505/SUM($A505:$C505)</f>
        <v>0.333138458697647</v>
      </c>
      <c r="E505" s="0" t="n">
        <f aca="false">B505/SUM($A505:$C505)</f>
        <v>0.35408908725888</v>
      </c>
      <c r="F505" s="0" t="n">
        <f aca="false">C505/SUM($A505:$C505)</f>
        <v>0.312772454043473</v>
      </c>
      <c r="G505" s="0" t="n">
        <f aca="false">SUMPRODUCT(D505:F505,Stats!$B$6:$D$6)</f>
        <v>0.368232952127027</v>
      </c>
      <c r="H505" s="0" t="n">
        <f aca="false">SQRT(SUMPRODUCT(MMULT(D505:F505,Stats!$B$12:$D$14),D505:F505))</f>
        <v>0.226471751140887</v>
      </c>
      <c r="I505" s="0" t="n">
        <f aca="false">(G505-Stats!$B$2)/H505</f>
        <v>1.44050174241854</v>
      </c>
    </row>
    <row r="506" customFormat="false" ht="15" hidden="false" customHeight="false" outlineLevel="0" collapsed="false">
      <c r="A506" s="0" t="n">
        <v>0.955523695954935</v>
      </c>
      <c r="B506" s="0" t="n">
        <v>0.0182325826763616</v>
      </c>
      <c r="C506" s="0" t="n">
        <v>0.195777985683546</v>
      </c>
      <c r="D506" s="0" t="n">
        <f aca="false">A506/SUM($A506:$C506)</f>
        <v>0.817012143303657</v>
      </c>
      <c r="E506" s="0" t="n">
        <f aca="false">B506/SUM($A506:$C506)</f>
        <v>0.0155896096700022</v>
      </c>
      <c r="F506" s="0" t="n">
        <f aca="false">C506/SUM($A506:$C506)</f>
        <v>0.167398247026341</v>
      </c>
      <c r="G506" s="0" t="n">
        <f aca="false">SUMPRODUCT(D506:F506,Stats!$B$6:$D$6)</f>
        <v>0.352764768142501</v>
      </c>
      <c r="H506" s="0" t="n">
        <f aca="false">SQRT(SUMPRODUCT(MMULT(D506:F506,Stats!$B$12:$D$14),D506:F506))</f>
        <v>0.224449752062525</v>
      </c>
      <c r="I506" s="0" t="n">
        <f aca="false">(G506-Stats!$B$2)/H506</f>
        <v>1.38456275975717</v>
      </c>
    </row>
    <row r="507" customFormat="false" ht="15" hidden="false" customHeight="false" outlineLevel="0" collapsed="false">
      <c r="A507" s="0" t="n">
        <v>0.00756287497814212</v>
      </c>
      <c r="B507" s="0" t="n">
        <v>0.647474714154603</v>
      </c>
      <c r="C507" s="0" t="n">
        <v>0.898030548949987</v>
      </c>
      <c r="D507" s="0" t="n">
        <f aca="false">A507/SUM($A507:$C507)</f>
        <v>0.00486963501001219</v>
      </c>
      <c r="E507" s="0" t="n">
        <f aca="false">B507/SUM($A507:$C507)</f>
        <v>0.41690039108903</v>
      </c>
      <c r="F507" s="0" t="n">
        <f aca="false">C507/SUM($A507:$C507)</f>
        <v>0.578229973900958</v>
      </c>
      <c r="G507" s="0" t="n">
        <f aca="false">SUMPRODUCT(D507:F507,Stats!$B$6:$D$6)</f>
        <v>0.364527144244594</v>
      </c>
      <c r="H507" s="0" t="n">
        <f aca="false">SQRT(SUMPRODUCT(MMULT(D507:F507,Stats!$B$12:$D$14),D507:F507))</f>
        <v>0.243829912376481</v>
      </c>
      <c r="I507" s="0" t="n">
        <f aca="false">(G507-Stats!$B$2)/H507</f>
        <v>1.32275462473448</v>
      </c>
    </row>
    <row r="508" customFormat="false" ht="15" hidden="false" customHeight="false" outlineLevel="0" collapsed="false">
      <c r="A508" s="0" t="n">
        <v>0.243482296576299</v>
      </c>
      <c r="B508" s="0" t="n">
        <v>0.927034544796307</v>
      </c>
      <c r="C508" s="0" t="n">
        <v>0.0602673902895609</v>
      </c>
      <c r="D508" s="0" t="n">
        <f aca="false">A508/SUM($A508:$C508)</f>
        <v>0.197826954808706</v>
      </c>
      <c r="E508" s="0" t="n">
        <f aca="false">B508/SUM($A508:$C508)</f>
        <v>0.753206387397694</v>
      </c>
      <c r="F508" s="0" t="n">
        <f aca="false">C508/SUM($A508:$C508)</f>
        <v>0.0489666577936005</v>
      </c>
      <c r="G508" s="0" t="n">
        <f aca="false">SUMPRODUCT(D508:F508,Stats!$B$6:$D$6)</f>
        <v>0.398471988376147</v>
      </c>
      <c r="H508" s="0" t="n">
        <f aca="false">SQRT(SUMPRODUCT(MMULT(D508:F508,Stats!$B$12:$D$14),D508:F508))</f>
        <v>0.239473457755401</v>
      </c>
      <c r="I508" s="0" t="n">
        <f aca="false">(G508-Stats!$B$2)/H508</f>
        <v>1.48856575470777</v>
      </c>
    </row>
    <row r="509" customFormat="false" ht="15" hidden="false" customHeight="false" outlineLevel="0" collapsed="false">
      <c r="A509" s="0" t="n">
        <v>0.934436026805514</v>
      </c>
      <c r="B509" s="0" t="n">
        <v>0.351622687239634</v>
      </c>
      <c r="C509" s="0" t="n">
        <v>0.101420828449217</v>
      </c>
      <c r="D509" s="0" t="n">
        <f aca="false">A509/SUM($A509:$C509)</f>
        <v>0.67347733655634</v>
      </c>
      <c r="E509" s="0" t="n">
        <f aca="false">B509/SUM($A509:$C509)</f>
        <v>0.253425493112135</v>
      </c>
      <c r="F509" s="0" t="n">
        <f aca="false">C509/SUM($A509:$C509)</f>
        <v>0.0730971703315246</v>
      </c>
      <c r="G509" s="0" t="n">
        <f aca="false">SUMPRODUCT(D509:F509,Stats!$B$6:$D$6)</f>
        <v>0.36904985297056</v>
      </c>
      <c r="H509" s="0" t="n">
        <f aca="false">SQRT(SUMPRODUCT(MMULT(D509:F509,Stats!$B$12:$D$14),D509:F509))</f>
        <v>0.225078822192087</v>
      </c>
      <c r="I509" s="0" t="n">
        <f aca="false">(G509-Stats!$B$2)/H509</f>
        <v>1.45304586982177</v>
      </c>
    </row>
    <row r="510" customFormat="false" ht="15" hidden="false" customHeight="false" outlineLevel="0" collapsed="false">
      <c r="A510" s="0" t="n">
        <v>0.485871759186326</v>
      </c>
      <c r="B510" s="0" t="n">
        <v>0.256776567720508</v>
      </c>
      <c r="C510" s="0" t="n">
        <v>0.284872901961923</v>
      </c>
      <c r="D510" s="0" t="n">
        <f aca="false">A510/SUM($A510:$C510)</f>
        <v>0.472858122572556</v>
      </c>
      <c r="E510" s="0" t="n">
        <f aca="false">B510/SUM($A510:$C510)</f>
        <v>0.249899039072122</v>
      </c>
      <c r="F510" s="0" t="n">
        <f aca="false">C510/SUM($A510:$C510)</f>
        <v>0.277242838355322</v>
      </c>
      <c r="G510" s="0" t="n">
        <f aca="false">SUMPRODUCT(D510:F510,Stats!$B$6:$D$6)</f>
        <v>0.363217707092094</v>
      </c>
      <c r="H510" s="0" t="n">
        <f aca="false">SQRT(SUMPRODUCT(MMULT(D510:F510,Stats!$B$12:$D$14),D510:F510))</f>
        <v>0.222957492766957</v>
      </c>
      <c r="I510" s="0" t="n">
        <f aca="false">(G510-Stats!$B$2)/H510</f>
        <v>1.44071277042859</v>
      </c>
    </row>
    <row r="511" customFormat="false" ht="15" hidden="false" customHeight="false" outlineLevel="0" collapsed="false">
      <c r="A511" s="0" t="n">
        <v>0.307289964926287</v>
      </c>
      <c r="B511" s="0" t="n">
        <v>0.803025897832663</v>
      </c>
      <c r="C511" s="0" t="n">
        <v>0.539161276675255</v>
      </c>
      <c r="D511" s="0" t="n">
        <f aca="false">A511/SUM($A511:$C511)</f>
        <v>0.186295376625645</v>
      </c>
      <c r="E511" s="0" t="n">
        <f aca="false">B511/SUM($A511:$C511)</f>
        <v>0.486836633642654</v>
      </c>
      <c r="F511" s="0" t="n">
        <f aca="false">C511/SUM($A511:$C511)</f>
        <v>0.326867989731701</v>
      </c>
      <c r="G511" s="0" t="n">
        <f aca="false">SUMPRODUCT(D511:F511,Stats!$B$6:$D$6)</f>
        <v>0.375482395158987</v>
      </c>
      <c r="H511" s="0" t="n">
        <f aca="false">SQRT(SUMPRODUCT(MMULT(D511:F511,Stats!$B$12:$D$14),D511:F511))</f>
        <v>0.232733748041155</v>
      </c>
      <c r="I511" s="0" t="n">
        <f aca="false">(G511-Stats!$B$2)/H511</f>
        <v>1.43289229845607</v>
      </c>
    </row>
    <row r="512" customFormat="false" ht="15" hidden="false" customHeight="false" outlineLevel="0" collapsed="false">
      <c r="A512" s="0" t="n">
        <v>0.311307699156004</v>
      </c>
      <c r="B512" s="0" t="n">
        <v>0.610333783310918</v>
      </c>
      <c r="C512" s="0" t="n">
        <v>0.716150674223194</v>
      </c>
      <c r="D512" s="0" t="n">
        <f aca="false">A512/SUM($A512:$C512)</f>
        <v>0.190077659051157</v>
      </c>
      <c r="E512" s="0" t="n">
        <f aca="false">B512/SUM($A512:$C512)</f>
        <v>0.372656433124193</v>
      </c>
      <c r="F512" s="0" t="n">
        <f aca="false">C512/SUM($A512:$C512)</f>
        <v>0.437265907824649</v>
      </c>
      <c r="G512" s="0" t="n">
        <f aca="false">SUMPRODUCT(D512:F512,Stats!$B$6:$D$6)</f>
        <v>0.365868434071555</v>
      </c>
      <c r="H512" s="0" t="n">
        <f aca="false">SQRT(SUMPRODUCT(MMULT(D512:F512,Stats!$B$12:$D$14),D512:F512))</f>
        <v>0.232131428031982</v>
      </c>
      <c r="I512" s="0" t="n">
        <f aca="false">(G512-Stats!$B$2)/H512</f>
        <v>1.39519425188275</v>
      </c>
    </row>
    <row r="513" customFormat="false" ht="15" hidden="false" customHeight="false" outlineLevel="0" collapsed="false">
      <c r="A513" s="0" t="n">
        <v>0.272624000733534</v>
      </c>
      <c r="B513" s="0" t="n">
        <v>0.413549101525352</v>
      </c>
      <c r="C513" s="0" t="n">
        <v>0.121886093336948</v>
      </c>
      <c r="D513" s="0" t="n">
        <f aca="false">A513/SUM($A513:$C513)</f>
        <v>0.337381224320467</v>
      </c>
      <c r="E513" s="0" t="n">
        <f aca="false">B513/SUM($A513:$C513)</f>
        <v>0.511780700942851</v>
      </c>
      <c r="F513" s="0" t="n">
        <f aca="false">C513/SUM($A513:$C513)</f>
        <v>0.150838074736682</v>
      </c>
      <c r="G513" s="0" t="n">
        <f aca="false">SUMPRODUCT(D513:F513,Stats!$B$6:$D$6)</f>
        <v>0.381771601708289</v>
      </c>
      <c r="H513" s="0" t="n">
        <f aca="false">SQRT(SUMPRODUCT(MMULT(D513:F513,Stats!$B$12:$D$14),D513:F513))</f>
        <v>0.229311187491702</v>
      </c>
      <c r="I513" s="0" t="n">
        <f aca="false">(G513-Stats!$B$2)/H513</f>
        <v>1.48170529935694</v>
      </c>
    </row>
    <row r="514" customFormat="false" ht="15" hidden="false" customHeight="false" outlineLevel="0" collapsed="false">
      <c r="A514" s="0" t="n">
        <v>0.18114934953468</v>
      </c>
      <c r="B514" s="0" t="n">
        <v>0.681117853964983</v>
      </c>
      <c r="C514" s="0" t="n">
        <v>0.181438347695627</v>
      </c>
      <c r="D514" s="0" t="n">
        <f aca="false">A514/SUM($A514:$C514)</f>
        <v>0.173563654353684</v>
      </c>
      <c r="E514" s="0" t="n">
        <f aca="false">B514/SUM($A514:$C514)</f>
        <v>0.652595795035239</v>
      </c>
      <c r="F514" s="0" t="n">
        <f aca="false">C514/SUM($A514:$C514)</f>
        <v>0.173840550611077</v>
      </c>
      <c r="G514" s="0" t="n">
        <f aca="false">SUMPRODUCT(D514:F514,Stats!$B$6:$D$6)</f>
        <v>0.389239635543936</v>
      </c>
      <c r="H514" s="0" t="n">
        <f aca="false">SQRT(SUMPRODUCT(MMULT(D514:F514,Stats!$B$12:$D$14),D514:F514))</f>
        <v>0.236406554672141</v>
      </c>
      <c r="I514" s="0" t="n">
        <f aca="false">(G514-Stats!$B$2)/H514</f>
        <v>1.46882406042211</v>
      </c>
    </row>
    <row r="515" customFormat="false" ht="15" hidden="false" customHeight="false" outlineLevel="0" collapsed="false">
      <c r="A515" s="0" t="n">
        <v>0.52516338366706</v>
      </c>
      <c r="B515" s="0" t="n">
        <v>0.709046261722433</v>
      </c>
      <c r="C515" s="0" t="n">
        <v>0.106876923094744</v>
      </c>
      <c r="D515" s="0" t="n">
        <f aca="false">A515/SUM($A515:$C515)</f>
        <v>0.391595439107728</v>
      </c>
      <c r="E515" s="0" t="n">
        <f aca="false">B515/SUM($A515:$C515)</f>
        <v>0.528710284917574</v>
      </c>
      <c r="F515" s="0" t="n">
        <f aca="false">C515/SUM($A515:$C515)</f>
        <v>0.0796942759746982</v>
      </c>
      <c r="G515" s="0" t="n">
        <f aca="false">SUMPRODUCT(D515:F515,Stats!$B$6:$D$6)</f>
        <v>0.384707470946181</v>
      </c>
      <c r="H515" s="0" t="n">
        <f aca="false">SQRT(SUMPRODUCT(MMULT(D515:F515,Stats!$B$12:$D$14),D515:F515))</f>
        <v>0.22961983320542</v>
      </c>
      <c r="I515" s="0" t="n">
        <f aca="false">(G515-Stats!$B$2)/H515</f>
        <v>1.49249943335509</v>
      </c>
    </row>
    <row r="516" customFormat="false" ht="15" hidden="false" customHeight="false" outlineLevel="0" collapsed="false">
      <c r="A516" s="0" t="n">
        <v>0.567312219628904</v>
      </c>
      <c r="B516" s="0" t="n">
        <v>0.256562783701364</v>
      </c>
      <c r="C516" s="0" t="n">
        <v>0.96292687523758</v>
      </c>
      <c r="D516" s="0" t="n">
        <f aca="false">A516/SUM($A516:$C516)</f>
        <v>0.31750146808868</v>
      </c>
      <c r="E516" s="0" t="n">
        <f aca="false">B516/SUM($A516:$C516)</f>
        <v>0.143587706493237</v>
      </c>
      <c r="F516" s="0" t="n">
        <f aca="false">C516/SUM($A516:$C516)</f>
        <v>0.538910825418083</v>
      </c>
      <c r="G516" s="0" t="n">
        <f aca="false">SUMPRODUCT(D516:F516,Stats!$B$6:$D$6)</f>
        <v>0.349885296511113</v>
      </c>
      <c r="H516" s="0" t="n">
        <f aca="false">SQRT(SUMPRODUCT(MMULT(D516:F516,Stats!$B$12:$D$14),D516:F516))</f>
        <v>0.228114012121485</v>
      </c>
      <c r="I516" s="0" t="n">
        <f aca="false">(G516-Stats!$B$2)/H516</f>
        <v>1.34969918615585</v>
      </c>
    </row>
    <row r="517" customFormat="false" ht="15" hidden="false" customHeight="false" outlineLevel="0" collapsed="false">
      <c r="A517" s="0" t="n">
        <v>0.483545646719925</v>
      </c>
      <c r="B517" s="0" t="n">
        <v>0.805992549775158</v>
      </c>
      <c r="C517" s="0" t="n">
        <v>0.550226542156262</v>
      </c>
      <c r="D517" s="0" t="n">
        <f aca="false">A517/SUM($A517:$C517)</f>
        <v>0.262830152443509</v>
      </c>
      <c r="E517" s="0" t="n">
        <f aca="false">B517/SUM($A517:$C517)</f>
        <v>0.438095443858761</v>
      </c>
      <c r="F517" s="0" t="n">
        <f aca="false">C517/SUM($A517:$C517)</f>
        <v>0.299074403697731</v>
      </c>
      <c r="G517" s="0" t="n">
        <f aca="false">SUMPRODUCT(D517:F517,Stats!$B$6:$D$6)</f>
        <v>0.373444287628221</v>
      </c>
      <c r="H517" s="0" t="n">
        <f aca="false">SQRT(SUMPRODUCT(MMULT(D517:F517,Stats!$B$12:$D$14),D517:F517))</f>
        <v>0.229396916597038</v>
      </c>
      <c r="I517" s="0" t="n">
        <f aca="false">(G517-Stats!$B$2)/H517</f>
        <v>1.44485066558432</v>
      </c>
    </row>
    <row r="518" customFormat="false" ht="15" hidden="false" customHeight="false" outlineLevel="0" collapsed="false">
      <c r="A518" s="0" t="n">
        <v>0.0434125328548192</v>
      </c>
      <c r="B518" s="0" t="n">
        <v>0.633151375594022</v>
      </c>
      <c r="C518" s="0" t="n">
        <v>0.951403342206657</v>
      </c>
      <c r="D518" s="0" t="n">
        <f aca="false">A518/SUM($A518:$C518)</f>
        <v>0.026666711407947</v>
      </c>
      <c r="E518" s="0" t="n">
        <f aca="false">B518/SUM($A518:$C518)</f>
        <v>0.38892144503465</v>
      </c>
      <c r="F518" s="0" t="n">
        <f aca="false">C518/SUM($A518:$C518)</f>
        <v>0.584411843557403</v>
      </c>
      <c r="G518" s="0" t="n">
        <f aca="false">SUMPRODUCT(D518:F518,Stats!$B$6:$D$6)</f>
        <v>0.362746809222962</v>
      </c>
      <c r="H518" s="0" t="n">
        <f aca="false">SQRT(SUMPRODUCT(MMULT(D518:F518,Stats!$B$12:$D$14),D518:F518))</f>
        <v>0.242555535988921</v>
      </c>
      <c r="I518" s="0" t="n">
        <f aca="false">(G518-Stats!$B$2)/H518</f>
        <v>1.3223644140516</v>
      </c>
    </row>
    <row r="519" customFormat="false" ht="15" hidden="false" customHeight="false" outlineLevel="0" collapsed="false">
      <c r="A519" s="0" t="n">
        <v>0.601611820146331</v>
      </c>
      <c r="B519" s="0" t="n">
        <v>0.81918885942679</v>
      </c>
      <c r="C519" s="0" t="n">
        <v>0.884206463348408</v>
      </c>
      <c r="D519" s="0" t="n">
        <f aca="false">A519/SUM($A519:$C519)</f>
        <v>0.261002150034037</v>
      </c>
      <c r="E519" s="0" t="n">
        <f aca="false">B519/SUM($A519:$C519)</f>
        <v>0.355395366969879</v>
      </c>
      <c r="F519" s="0" t="n">
        <f aca="false">C519/SUM($A519:$C519)</f>
        <v>0.383602482996084</v>
      </c>
      <c r="G519" s="0" t="n">
        <f aca="false">SUMPRODUCT(D519:F519,Stats!$B$6:$D$6)</f>
        <v>0.366355002965206</v>
      </c>
      <c r="H519" s="0" t="n">
        <f aca="false">SQRT(SUMPRODUCT(MMULT(D519:F519,Stats!$B$12:$D$14),D519:F519))</f>
        <v>0.228890652662969</v>
      </c>
      <c r="I519" s="0" t="n">
        <f aca="false">(G519-Stats!$B$2)/H519</f>
        <v>1.41707404470905</v>
      </c>
    </row>
    <row r="520" customFormat="false" ht="15" hidden="false" customHeight="false" outlineLevel="0" collapsed="false">
      <c r="A520" s="0" t="n">
        <v>0.228079771948933</v>
      </c>
      <c r="B520" s="0" t="n">
        <v>0.212044839908227</v>
      </c>
      <c r="C520" s="0" t="n">
        <v>0.610980988850992</v>
      </c>
      <c r="D520" s="0" t="n">
        <f aca="false">A520/SUM($A520:$C520)</f>
        <v>0.21699034977577</v>
      </c>
      <c r="E520" s="0" t="n">
        <f aca="false">B520/SUM($A520:$C520)</f>
        <v>0.201735049042996</v>
      </c>
      <c r="F520" s="0" t="n">
        <f aca="false">C520/SUM($A520:$C520)</f>
        <v>0.581274601181234</v>
      </c>
      <c r="G520" s="0" t="n">
        <f aca="false">SUMPRODUCT(D520:F520,Stats!$B$6:$D$6)</f>
        <v>0.35206285452009</v>
      </c>
      <c r="H520" s="0" t="n">
        <f aca="false">SQRT(SUMPRODUCT(MMULT(D520:F520,Stats!$B$12:$D$14),D520:F520))</f>
        <v>0.232625818982778</v>
      </c>
      <c r="I520" s="0" t="n">
        <f aca="false">(G520-Stats!$B$2)/H520</f>
        <v>1.33288237683988</v>
      </c>
    </row>
    <row r="521" customFormat="false" ht="15" hidden="false" customHeight="false" outlineLevel="0" collapsed="false">
      <c r="A521" s="0" t="n">
        <v>0.411028469806705</v>
      </c>
      <c r="B521" s="0" t="n">
        <v>0.83986130286672</v>
      </c>
      <c r="C521" s="0" t="n">
        <v>0.900023123398011</v>
      </c>
      <c r="D521" s="0" t="n">
        <f aca="false">A521/SUM($A521:$C521)</f>
        <v>0.191094893037014</v>
      </c>
      <c r="E521" s="0" t="n">
        <f aca="false">B521/SUM($A521:$C521)</f>
        <v>0.390467370575859</v>
      </c>
      <c r="F521" s="0" t="n">
        <f aca="false">C521/SUM($A521:$C521)</f>
        <v>0.418437736387127</v>
      </c>
      <c r="G521" s="0" t="n">
        <f aca="false">SUMPRODUCT(D521:F521,Stats!$B$6:$D$6)</f>
        <v>0.367412431945973</v>
      </c>
      <c r="H521" s="0" t="n">
        <f aca="false">SQRT(SUMPRODUCT(MMULT(D521:F521,Stats!$B$12:$D$14),D521:F521))</f>
        <v>0.232048004089602</v>
      </c>
      <c r="I521" s="0" t="n">
        <f aca="false">(G521-Stats!$B$2)/H521</f>
        <v>1.40234962684841</v>
      </c>
    </row>
    <row r="522" customFormat="false" ht="15" hidden="false" customHeight="false" outlineLevel="0" collapsed="false">
      <c r="A522" s="0" t="n">
        <v>0.353421379302718</v>
      </c>
      <c r="B522" s="0" t="n">
        <v>0.236870558974482</v>
      </c>
      <c r="C522" s="0" t="n">
        <v>0.780525515243862</v>
      </c>
      <c r="D522" s="0" t="n">
        <f aca="false">A522/SUM($A522:$C522)</f>
        <v>0.257817974519456</v>
      </c>
      <c r="E522" s="0" t="n">
        <f aca="false">B522/SUM($A522:$C522)</f>
        <v>0.172795114598271</v>
      </c>
      <c r="F522" s="0" t="n">
        <f aca="false">C522/SUM($A522:$C522)</f>
        <v>0.569386910882273</v>
      </c>
      <c r="G522" s="0" t="n">
        <f aca="false">SUMPRODUCT(D522:F522,Stats!$B$6:$D$6)</f>
        <v>0.350725486636112</v>
      </c>
      <c r="H522" s="0" t="n">
        <f aca="false">SQRT(SUMPRODUCT(MMULT(D522:F522,Stats!$B$12:$D$14),D522:F522))</f>
        <v>0.230764380290477</v>
      </c>
      <c r="I522" s="0" t="n">
        <f aca="false">(G522-Stats!$B$2)/H522</f>
        <v>1.33783856177241</v>
      </c>
    </row>
    <row r="523" customFormat="false" ht="15" hidden="false" customHeight="false" outlineLevel="0" collapsed="false">
      <c r="A523" s="0" t="n">
        <v>0.274806035548136</v>
      </c>
      <c r="B523" s="0" t="n">
        <v>0.822614318513678</v>
      </c>
      <c r="C523" s="0" t="n">
        <v>0.423738253648763</v>
      </c>
      <c r="D523" s="0" t="n">
        <f aca="false">A523/SUM($A523:$C523)</f>
        <v>0.180655741061567</v>
      </c>
      <c r="E523" s="0" t="n">
        <f aca="false">B523/SUM($A523:$C523)</f>
        <v>0.540781424332704</v>
      </c>
      <c r="F523" s="0" t="n">
        <f aca="false">C523/SUM($A523:$C523)</f>
        <v>0.278562834605729</v>
      </c>
      <c r="G523" s="0" t="n">
        <f aca="false">SUMPRODUCT(D523:F523,Stats!$B$6:$D$6)</f>
        <v>0.379918304669375</v>
      </c>
      <c r="H523" s="0" t="n">
        <f aca="false">SQRT(SUMPRODUCT(MMULT(D523:F523,Stats!$B$12:$D$14),D523:F523))</f>
        <v>0.233672006326242</v>
      </c>
      <c r="I523" s="0" t="n">
        <f aca="false">(G523-Stats!$B$2)/H523</f>
        <v>1.4461223232602</v>
      </c>
    </row>
    <row r="524" customFormat="false" ht="15" hidden="false" customHeight="false" outlineLevel="0" collapsed="false">
      <c r="A524" s="0" t="n">
        <v>0.667549899291471</v>
      </c>
      <c r="B524" s="0" t="n">
        <v>0.0955353138346682</v>
      </c>
      <c r="C524" s="0" t="n">
        <v>0.623859324676573</v>
      </c>
      <c r="D524" s="0" t="n">
        <f aca="false">A524/SUM($A524:$C524)</f>
        <v>0.481309728757465</v>
      </c>
      <c r="E524" s="0" t="n">
        <f aca="false">B524/SUM($A524:$C524)</f>
        <v>0.0688818559291646</v>
      </c>
      <c r="F524" s="0" t="n">
        <f aca="false">C524/SUM($A524:$C524)</f>
        <v>0.449808415313371</v>
      </c>
      <c r="G524" s="0" t="n">
        <f aca="false">SUMPRODUCT(D524:F524,Stats!$B$6:$D$6)</f>
        <v>0.348043783247596</v>
      </c>
      <c r="H524" s="0" t="n">
        <f aca="false">SQRT(SUMPRODUCT(MMULT(D524:F524,Stats!$B$12:$D$14),D524:F524))</f>
        <v>0.223011557073855</v>
      </c>
      <c r="I524" s="0" t="n">
        <f aca="false">(G524-Stats!$B$2)/H524</f>
        <v>1.37232252562697</v>
      </c>
    </row>
    <row r="525" customFormat="false" ht="15" hidden="false" customHeight="false" outlineLevel="0" collapsed="false">
      <c r="A525" s="0" t="n">
        <v>0.451767678737229</v>
      </c>
      <c r="B525" s="0" t="n">
        <v>0.586608463175474</v>
      </c>
      <c r="C525" s="0" t="n">
        <v>0.168014207744863</v>
      </c>
      <c r="D525" s="0" t="n">
        <f aca="false">A525/SUM($A525:$C525)</f>
        <v>0.374478856586894</v>
      </c>
      <c r="E525" s="0" t="n">
        <f aca="false">B525/SUM($A525:$C525)</f>
        <v>0.486250957944071</v>
      </c>
      <c r="F525" s="0" t="n">
        <f aca="false">C525/SUM($A525:$C525)</f>
        <v>0.139270185469035</v>
      </c>
      <c r="G525" s="0" t="n">
        <f aca="false">SUMPRODUCT(D525:F525,Stats!$B$6:$D$6)</f>
        <v>0.38062163343595</v>
      </c>
      <c r="H525" s="0" t="n">
        <f aca="false">SQRT(SUMPRODUCT(MMULT(D525:F525,Stats!$B$12:$D$14),D525:F525))</f>
        <v>0.228289529811996</v>
      </c>
      <c r="I525" s="0" t="n">
        <f aca="false">(G525-Stats!$B$2)/H525</f>
        <v>1.48329900944128</v>
      </c>
    </row>
    <row r="526" customFormat="false" ht="15" hidden="false" customHeight="false" outlineLevel="0" collapsed="false">
      <c r="A526" s="0" t="n">
        <v>0.736873744944182</v>
      </c>
      <c r="B526" s="0" t="n">
        <v>0.862797077543229</v>
      </c>
      <c r="C526" s="0" t="n">
        <v>0.216739800090776</v>
      </c>
      <c r="D526" s="0" t="n">
        <f aca="false">A526/SUM($A526:$C526)</f>
        <v>0.405675751828777</v>
      </c>
      <c r="E526" s="0" t="n">
        <f aca="false">B526/SUM($A526:$C526)</f>
        <v>0.475001118589907</v>
      </c>
      <c r="F526" s="0" t="n">
        <f aca="false">C526/SUM($A526:$C526)</f>
        <v>0.119323129581316</v>
      </c>
      <c r="G526" s="0" t="n">
        <f aca="false">SUMPRODUCT(D526:F526,Stats!$B$6:$D$6)</f>
        <v>0.380524364633956</v>
      </c>
      <c r="H526" s="0" t="n">
        <f aca="false">SQRT(SUMPRODUCT(MMULT(D526:F526,Stats!$B$12:$D$14),D526:F526))</f>
        <v>0.227857835916561</v>
      </c>
      <c r="I526" s="0" t="n">
        <f aca="false">(G526-Stats!$B$2)/H526</f>
        <v>1.48568234782112</v>
      </c>
    </row>
    <row r="527" customFormat="false" ht="15" hidden="false" customHeight="false" outlineLevel="0" collapsed="false">
      <c r="A527" s="0" t="n">
        <v>0.0957145555201617</v>
      </c>
      <c r="B527" s="0" t="n">
        <v>0.0236385860463364</v>
      </c>
      <c r="C527" s="0" t="n">
        <v>0.641971500443266</v>
      </c>
      <c r="D527" s="0" t="n">
        <f aca="false">A527/SUM($A527:$C527)</f>
        <v>0.125721079075402</v>
      </c>
      <c r="E527" s="0" t="n">
        <f aca="false">B527/SUM($A527:$C527)</f>
        <v>0.0310492853402652</v>
      </c>
      <c r="F527" s="0" t="n">
        <f aca="false">C527/SUM($A527:$C527)</f>
        <v>0.843229635584333</v>
      </c>
      <c r="G527" s="0" t="n">
        <f aca="false">SUMPRODUCT(D527:F527,Stats!$B$6:$D$6)</f>
        <v>0.335018507270434</v>
      </c>
      <c r="H527" s="0" t="n">
        <f aca="false">SQRT(SUMPRODUCT(MMULT(D527:F527,Stats!$B$12:$D$14),D527:F527))</f>
        <v>0.245535766290304</v>
      </c>
      <c r="I527" s="0" t="n">
        <f aca="false">(G527-Stats!$B$2)/H527</f>
        <v>1.19338421321474</v>
      </c>
    </row>
    <row r="528" customFormat="false" ht="15" hidden="false" customHeight="false" outlineLevel="0" collapsed="false">
      <c r="A528" s="0" t="n">
        <v>0.607094036088781</v>
      </c>
      <c r="B528" s="0" t="n">
        <v>0.54669741271407</v>
      </c>
      <c r="C528" s="0" t="n">
        <v>0.231947096115975</v>
      </c>
      <c r="D528" s="0" t="n">
        <f aca="false">A528/SUM($A528:$C528)</f>
        <v>0.438101428523332</v>
      </c>
      <c r="E528" s="0" t="n">
        <f aca="false">B528/SUM($A528:$C528)</f>
        <v>0.394516999414269</v>
      </c>
      <c r="F528" s="0" t="n">
        <f aca="false">C528/SUM($A528:$C528)</f>
        <v>0.1673815720624</v>
      </c>
      <c r="G528" s="0" t="n">
        <f aca="false">SUMPRODUCT(D528:F528,Stats!$B$6:$D$6)</f>
        <v>0.37456821951798</v>
      </c>
      <c r="H528" s="0" t="n">
        <f aca="false">SQRT(SUMPRODUCT(MMULT(D528:F528,Stats!$B$12:$D$14),D528:F528))</f>
        <v>0.225614644877095</v>
      </c>
      <c r="I528" s="0" t="n">
        <f aca="false">(G528-Stats!$B$2)/H528</f>
        <v>1.47405422063425</v>
      </c>
    </row>
    <row r="529" customFormat="false" ht="15" hidden="false" customHeight="false" outlineLevel="0" collapsed="false">
      <c r="A529" s="0" t="n">
        <v>0.390905995905515</v>
      </c>
      <c r="B529" s="0" t="n">
        <v>0.594476335186173</v>
      </c>
      <c r="C529" s="0" t="n">
        <v>0.496766858859169</v>
      </c>
      <c r="D529" s="0" t="n">
        <f aca="false">A529/SUM($A529:$C529)</f>
        <v>0.26374267756303</v>
      </c>
      <c r="E529" s="0" t="n">
        <f aca="false">B529/SUM($A529:$C529)</f>
        <v>0.401090753357888</v>
      </c>
      <c r="F529" s="0" t="n">
        <f aca="false">C529/SUM($A529:$C529)</f>
        <v>0.335166569079082</v>
      </c>
      <c r="G529" s="0" t="n">
        <f aca="false">SUMPRODUCT(D529:F529,Stats!$B$6:$D$6)</f>
        <v>0.37031985805242</v>
      </c>
      <c r="H529" s="0" t="n">
        <f aca="false">SQRT(SUMPRODUCT(MMULT(D529:F529,Stats!$B$12:$D$14),D529:F529))</f>
        <v>0.229002990002151</v>
      </c>
      <c r="I529" s="0" t="n">
        <f aca="false">(G529-Stats!$B$2)/H529</f>
        <v>1.4336924511306</v>
      </c>
    </row>
    <row r="530" customFormat="false" ht="15" hidden="false" customHeight="false" outlineLevel="0" collapsed="false">
      <c r="A530" s="0" t="n">
        <v>0.987785520214887</v>
      </c>
      <c r="B530" s="0" t="n">
        <v>0.136439752556733</v>
      </c>
      <c r="C530" s="0" t="n">
        <v>0.695144554047594</v>
      </c>
      <c r="D530" s="0" t="n">
        <f aca="false">A530/SUM($A530:$C530)</f>
        <v>0.542927284851054</v>
      </c>
      <c r="E530" s="0" t="n">
        <f aca="false">B530/SUM($A530:$C530)</f>
        <v>0.0749928632131211</v>
      </c>
      <c r="F530" s="0" t="n">
        <f aca="false">C530/SUM($A530:$C530)</f>
        <v>0.382079851935825</v>
      </c>
      <c r="G530" s="0" t="n">
        <f aca="false">SUMPRODUCT(D530:F530,Stats!$B$6:$D$6)</f>
        <v>0.350262991782753</v>
      </c>
      <c r="H530" s="0" t="n">
        <f aca="false">SQRT(SUMPRODUCT(MMULT(D530:F530,Stats!$B$12:$D$14),D530:F530))</f>
        <v>0.22174397782586</v>
      </c>
      <c r="I530" s="0" t="n">
        <f aca="false">(G530-Stats!$B$2)/H530</f>
        <v>1.39017525889627</v>
      </c>
    </row>
    <row r="531" customFormat="false" ht="15" hidden="false" customHeight="false" outlineLevel="0" collapsed="false">
      <c r="A531" s="0" t="n">
        <v>0.404318768104292</v>
      </c>
      <c r="B531" s="0" t="n">
        <v>0.428199614925615</v>
      </c>
      <c r="C531" s="0" t="n">
        <v>0.717597765658176</v>
      </c>
      <c r="D531" s="0" t="n">
        <f aca="false">A531/SUM($A531:$C531)</f>
        <v>0.26083127283493</v>
      </c>
      <c r="E531" s="0" t="n">
        <f aca="false">B531/SUM($A531:$C531)</f>
        <v>0.276237116352871</v>
      </c>
      <c r="F531" s="0" t="n">
        <f aca="false">C531/SUM($A531:$C531)</f>
        <v>0.462931610812199</v>
      </c>
      <c r="G531" s="0" t="n">
        <f aca="false">SUMPRODUCT(D531:F531,Stats!$B$6:$D$6)</f>
        <v>0.35961286948928</v>
      </c>
      <c r="H531" s="0" t="n">
        <f aca="false">SQRT(SUMPRODUCT(MMULT(D531:F531,Stats!$B$12:$D$14),D531:F531))</f>
        <v>0.229136366457521</v>
      </c>
      <c r="I531" s="0" t="n">
        <f aca="false">(G531-Stats!$B$2)/H531</f>
        <v>1.38613033976063</v>
      </c>
    </row>
    <row r="532" customFormat="false" ht="15" hidden="false" customHeight="false" outlineLevel="0" collapsed="false">
      <c r="A532" s="0" t="n">
        <v>0.69243615132437</v>
      </c>
      <c r="B532" s="0" t="n">
        <v>0.991255993702188</v>
      </c>
      <c r="C532" s="0" t="n">
        <v>0.128394289454125</v>
      </c>
      <c r="D532" s="0" t="n">
        <f aca="false">A532/SUM($A532:$C532)</f>
        <v>0.382120928752944</v>
      </c>
      <c r="E532" s="0" t="n">
        <f aca="false">B532/SUM($A532:$C532)</f>
        <v>0.547024675446162</v>
      </c>
      <c r="F532" s="0" t="n">
        <f aca="false">C532/SUM($A532:$C532)</f>
        <v>0.0708543958008941</v>
      </c>
      <c r="G532" s="0" t="n">
        <f aca="false">SUMPRODUCT(D532:F532,Stats!$B$6:$D$6)</f>
        <v>0.38600501356914</v>
      </c>
      <c r="H532" s="0" t="n">
        <f aca="false">SQRT(SUMPRODUCT(MMULT(D532:F532,Stats!$B$12:$D$14),D532:F532))</f>
        <v>0.230262478363788</v>
      </c>
      <c r="I532" s="0" t="n">
        <f aca="false">(G532-Stats!$B$2)/H532</f>
        <v>1.49396903921816</v>
      </c>
    </row>
    <row r="533" customFormat="false" ht="15" hidden="false" customHeight="false" outlineLevel="0" collapsed="false">
      <c r="A533" s="0" t="n">
        <v>0.104109649384166</v>
      </c>
      <c r="B533" s="0" t="n">
        <v>0.724338817128741</v>
      </c>
      <c r="C533" s="0" t="n">
        <v>0.578386917006409</v>
      </c>
      <c r="D533" s="0" t="n">
        <f aca="false">A533/SUM($A533:$C533)</f>
        <v>0.0740027231357569</v>
      </c>
      <c r="E533" s="0" t="n">
        <f aca="false">B533/SUM($A533:$C533)</f>
        <v>0.514871054292612</v>
      </c>
      <c r="F533" s="0" t="n">
        <f aca="false">C533/SUM($A533:$C533)</f>
        <v>0.411126222571632</v>
      </c>
      <c r="G533" s="0" t="n">
        <f aca="false">SUMPRODUCT(D533:F533,Stats!$B$6:$D$6)</f>
        <v>0.374772071075804</v>
      </c>
      <c r="H533" s="0" t="n">
        <f aca="false">SQRT(SUMPRODUCT(MMULT(D533:F533,Stats!$B$12:$D$14),D533:F533))</f>
        <v>0.238516765378652</v>
      </c>
      <c r="I533" s="0" t="n">
        <f aca="false">(G533-Stats!$B$2)/H533</f>
        <v>1.39517266447715</v>
      </c>
    </row>
    <row r="534" customFormat="false" ht="15" hidden="false" customHeight="false" outlineLevel="0" collapsed="false">
      <c r="A534" s="0" t="n">
        <v>0.274160666559806</v>
      </c>
      <c r="B534" s="0" t="n">
        <v>0.0794193689889866</v>
      </c>
      <c r="C534" s="0" t="n">
        <v>0.0856582495964305</v>
      </c>
      <c r="D534" s="0" t="n">
        <f aca="false">A534/SUM($A534:$C534)</f>
        <v>0.624172973603978</v>
      </c>
      <c r="E534" s="0" t="n">
        <f aca="false">B534/SUM($A534:$C534)</f>
        <v>0.180811581492102</v>
      </c>
      <c r="F534" s="0" t="n">
        <f aca="false">C534/SUM($A534:$C534)</f>
        <v>0.19501544490392</v>
      </c>
      <c r="G534" s="0" t="n">
        <f aca="false">SUMPRODUCT(D534:F534,Stats!$B$6:$D$6)</f>
        <v>0.36150989294919</v>
      </c>
      <c r="H534" s="0" t="n">
        <f aca="false">SQRT(SUMPRODUCT(MMULT(D534:F534,Stats!$B$12:$D$14),D534:F534))</f>
        <v>0.222332504285864</v>
      </c>
      <c r="I534" s="0" t="n">
        <f aca="false">(G534-Stats!$B$2)/H534</f>
        <v>1.4370813389408</v>
      </c>
    </row>
    <row r="535" customFormat="false" ht="15" hidden="false" customHeight="false" outlineLevel="0" collapsed="false">
      <c r="A535" s="0" t="n">
        <v>0.894190874664118</v>
      </c>
      <c r="B535" s="0" t="n">
        <v>0.191867324718743</v>
      </c>
      <c r="C535" s="0" t="n">
        <v>0.323371562115521</v>
      </c>
      <c r="D535" s="0" t="n">
        <f aca="false">A535/SUM($A535:$C535)</f>
        <v>0.634434506132106</v>
      </c>
      <c r="E535" s="0" t="n">
        <f aca="false">B535/SUM($A535:$C535)</f>
        <v>0.136131171598623</v>
      </c>
      <c r="F535" s="0" t="n">
        <f aca="false">C535/SUM($A535:$C535)</f>
        <v>0.22943432226927</v>
      </c>
      <c r="G535" s="0" t="n">
        <f aca="false">SUMPRODUCT(D535:F535,Stats!$B$6:$D$6)</f>
        <v>0.357989952687489</v>
      </c>
      <c r="H535" s="0" t="n">
        <f aca="false">SQRT(SUMPRODUCT(MMULT(D535:F535,Stats!$B$12:$D$14),D535:F535))</f>
        <v>0.221835141780186</v>
      </c>
      <c r="I535" s="0" t="n">
        <f aca="false">(G535-Stats!$B$2)/H535</f>
        <v>1.42443595794484</v>
      </c>
    </row>
    <row r="536" customFormat="false" ht="15" hidden="false" customHeight="false" outlineLevel="0" collapsed="false">
      <c r="A536" s="0" t="n">
        <v>0.226656402226988</v>
      </c>
      <c r="B536" s="0" t="n">
        <v>0.354996305831937</v>
      </c>
      <c r="C536" s="0" t="n">
        <v>0.0694238427460934</v>
      </c>
      <c r="D536" s="0" t="n">
        <f aca="false">A536/SUM($A536:$C536)</f>
        <v>0.348125580543087</v>
      </c>
      <c r="E536" s="0" t="n">
        <f aca="false">B536/SUM($A536:$C536)</f>
        <v>0.545245110414443</v>
      </c>
      <c r="F536" s="0" t="n">
        <f aca="false">C536/SUM($A536:$C536)</f>
        <v>0.106629309042469</v>
      </c>
      <c r="G536" s="0" t="n">
        <f aca="false">SUMPRODUCT(D536:F536,Stats!$B$6:$D$6)</f>
        <v>0.384916140227579</v>
      </c>
      <c r="H536" s="0" t="n">
        <f aca="false">SQRT(SUMPRODUCT(MMULT(D536:F536,Stats!$B$12:$D$14),D536:F536))</f>
        <v>0.230254998938401</v>
      </c>
      <c r="I536" s="0" t="n">
        <f aca="false">(G536-Stats!$B$2)/H536</f>
        <v>1.48928857922132</v>
      </c>
    </row>
    <row r="537" customFormat="false" ht="15" hidden="false" customHeight="false" outlineLevel="0" collapsed="false">
      <c r="A537" s="0" t="n">
        <v>0.51905979090827</v>
      </c>
      <c r="B537" s="0" t="n">
        <v>0.0676125635922149</v>
      </c>
      <c r="C537" s="0" t="n">
        <v>0.800356507822362</v>
      </c>
      <c r="D537" s="0" t="n">
        <f aca="false">A537/SUM($A537:$C537)</f>
        <v>0.37422421768427</v>
      </c>
      <c r="E537" s="0" t="n">
        <f aca="false">B537/SUM($A537:$C537)</f>
        <v>0.0487463278009836</v>
      </c>
      <c r="F537" s="0" t="n">
        <f aca="false">C537/SUM($A537:$C537)</f>
        <v>0.577029454514746</v>
      </c>
      <c r="G537" s="0" t="n">
        <f aca="false">SUMPRODUCT(D537:F537,Stats!$B$6:$D$6)</f>
        <v>0.343377139795811</v>
      </c>
      <c r="H537" s="0" t="n">
        <f aca="false">SQRT(SUMPRODUCT(MMULT(D537:F537,Stats!$B$12:$D$14),D537:F537))</f>
        <v>0.22737614648214</v>
      </c>
      <c r="I537" s="0" t="n">
        <f aca="false">(G537-Stats!$B$2)/H537</f>
        <v>1.32545627348594</v>
      </c>
    </row>
    <row r="538" customFormat="false" ht="15" hidden="false" customHeight="false" outlineLevel="0" collapsed="false">
      <c r="A538" s="0" t="n">
        <v>0.233712081910433</v>
      </c>
      <c r="B538" s="0" t="n">
        <v>0.540011914604511</v>
      </c>
      <c r="C538" s="0" t="n">
        <v>0.880079087561458</v>
      </c>
      <c r="D538" s="0" t="n">
        <f aca="false">A538/SUM($A538:$C538)</f>
        <v>0.141317962314089</v>
      </c>
      <c r="E538" s="0" t="n">
        <f aca="false">B538/SUM($A538:$C538)</f>
        <v>0.326527335572173</v>
      </c>
      <c r="F538" s="0" t="n">
        <f aca="false">C538/SUM($A538:$C538)</f>
        <v>0.532154702113738</v>
      </c>
      <c r="G538" s="0" t="n">
        <f aca="false">SUMPRODUCT(D538:F538,Stats!$B$6:$D$6)</f>
        <v>0.360597703495762</v>
      </c>
      <c r="H538" s="0" t="n">
        <f aca="false">SQRT(SUMPRODUCT(MMULT(D538:F538,Stats!$B$12:$D$14),D538:F538))</f>
        <v>0.235320030435135</v>
      </c>
      <c r="I538" s="0" t="n">
        <f aca="false">(G538-Stats!$B$2)/H538</f>
        <v>1.35389113670705</v>
      </c>
    </row>
    <row r="539" customFormat="false" ht="15" hidden="false" customHeight="false" outlineLevel="0" collapsed="false">
      <c r="A539" s="0" t="n">
        <v>0.650877369047194</v>
      </c>
      <c r="B539" s="0" t="n">
        <v>0.532957786551335</v>
      </c>
      <c r="C539" s="0" t="n">
        <v>0.324333753115376</v>
      </c>
      <c r="D539" s="0" t="n">
        <f aca="false">A539/SUM($A539:$C539)</f>
        <v>0.431567953222316</v>
      </c>
      <c r="E539" s="0" t="n">
        <f aca="false">B539/SUM($A539:$C539)</f>
        <v>0.353380701241094</v>
      </c>
      <c r="F539" s="0" t="n">
        <f aca="false">C539/SUM($A539:$C539)</f>
        <v>0.21505134553659</v>
      </c>
      <c r="G539" s="0" t="n">
        <f aca="false">SUMPRODUCT(D539:F539,Stats!$B$6:$D$6)</f>
        <v>0.370886814493973</v>
      </c>
      <c r="H539" s="0" t="n">
        <f aca="false">SQRT(SUMPRODUCT(MMULT(D539:F539,Stats!$B$12:$D$14),D539:F539))</f>
        <v>0.22477343043037</v>
      </c>
      <c r="I539" s="0" t="n">
        <f aca="false">(G539-Stats!$B$2)/H539</f>
        <v>1.46319257513781</v>
      </c>
    </row>
    <row r="540" customFormat="false" ht="15" hidden="false" customHeight="false" outlineLevel="0" collapsed="false">
      <c r="A540" s="0" t="n">
        <v>0.333001913058198</v>
      </c>
      <c r="B540" s="0" t="n">
        <v>0.66948695519819</v>
      </c>
      <c r="C540" s="0" t="n">
        <v>0.994139361221168</v>
      </c>
      <c r="D540" s="0" t="n">
        <f aca="false">A540/SUM($A540:$C540)</f>
        <v>0.166782132067387</v>
      </c>
      <c r="E540" s="0" t="n">
        <f aca="false">B540/SUM($A540:$C540)</f>
        <v>0.335308769711911</v>
      </c>
      <c r="F540" s="0" t="n">
        <f aca="false">C540/SUM($A540:$C540)</f>
        <v>0.497909098220703</v>
      </c>
      <c r="G540" s="0" t="n">
        <f aca="false">SUMPRODUCT(D540:F540,Stats!$B$6:$D$6)</f>
        <v>0.362047285206374</v>
      </c>
      <c r="H540" s="0" t="n">
        <f aca="false">SQRT(SUMPRODUCT(MMULT(D540:F540,Stats!$B$12:$D$14),D540:F540))</f>
        <v>0.233651687246772</v>
      </c>
      <c r="I540" s="0" t="n">
        <f aca="false">(G540-Stats!$B$2)/H540</f>
        <v>1.36976235428745</v>
      </c>
    </row>
    <row r="541" customFormat="false" ht="15" hidden="false" customHeight="false" outlineLevel="0" collapsed="false">
      <c r="A541" s="0" t="n">
        <v>0.661839189849379</v>
      </c>
      <c r="B541" s="0" t="n">
        <v>0.557783417370025</v>
      </c>
      <c r="C541" s="0" t="n">
        <v>0.730650510239246</v>
      </c>
      <c r="D541" s="0" t="n">
        <f aca="false">A541/SUM($A541:$C541)</f>
        <v>0.3393571822965</v>
      </c>
      <c r="E541" s="0" t="n">
        <f aca="false">B541/SUM($A541:$C541)</f>
        <v>0.286002720530168</v>
      </c>
      <c r="F541" s="0" t="n">
        <f aca="false">C541/SUM($A541:$C541)</f>
        <v>0.374640097173332</v>
      </c>
      <c r="G541" s="0" t="n">
        <f aca="false">SUMPRODUCT(D541:F541,Stats!$B$6:$D$6)</f>
        <v>0.362609374244158</v>
      </c>
      <c r="H541" s="0" t="n">
        <f aca="false">SQRT(SUMPRODUCT(MMULT(D541:F541,Stats!$B$12:$D$14),D541:F541))</f>
        <v>0.225958630847404</v>
      </c>
      <c r="I541" s="0" t="n">
        <f aca="false">(G541-Stats!$B$2)/H541</f>
        <v>1.4188852757772</v>
      </c>
    </row>
    <row r="542" customFormat="false" ht="15" hidden="false" customHeight="false" outlineLevel="0" collapsed="false">
      <c r="A542" s="0" t="n">
        <v>0.465205612283718</v>
      </c>
      <c r="B542" s="0" t="n">
        <v>0.0601423426007852</v>
      </c>
      <c r="C542" s="0" t="n">
        <v>0.56229681587791</v>
      </c>
      <c r="D542" s="0" t="n">
        <f aca="false">A542/SUM($A542:$C542)</f>
        <v>0.427718336711737</v>
      </c>
      <c r="E542" s="0" t="n">
        <f aca="false">B542/SUM($A542:$C542)</f>
        <v>0.055295942404639</v>
      </c>
      <c r="F542" s="0" t="n">
        <f aca="false">C542/SUM($A542:$C542)</f>
        <v>0.516985720883624</v>
      </c>
      <c r="G542" s="0" t="n">
        <f aca="false">SUMPRODUCT(D542:F542,Stats!$B$6:$D$6)</f>
        <v>0.345409679003949</v>
      </c>
      <c r="H542" s="0" t="n">
        <f aca="false">SQRT(SUMPRODUCT(MMULT(D542:F542,Stats!$B$12:$D$14),D542:F542))</f>
        <v>0.224931357360055</v>
      </c>
      <c r="I542" s="0" t="n">
        <f aca="false">(G542-Stats!$B$2)/H542</f>
        <v>1.34889898218269</v>
      </c>
    </row>
    <row r="543" customFormat="false" ht="15" hidden="false" customHeight="false" outlineLevel="0" collapsed="false">
      <c r="A543" s="0" t="n">
        <v>0.95762528450538</v>
      </c>
      <c r="B543" s="0" t="n">
        <v>0.17530294235766</v>
      </c>
      <c r="C543" s="0" t="n">
        <v>0.690004890820666</v>
      </c>
      <c r="D543" s="0" t="n">
        <f aca="false">A543/SUM($A543:$C543)</f>
        <v>0.525321129566278</v>
      </c>
      <c r="E543" s="0" t="n">
        <f aca="false">B543/SUM($A543:$C543)</f>
        <v>0.0961653176724371</v>
      </c>
      <c r="F543" s="0" t="n">
        <f aca="false">C543/SUM($A543:$C543)</f>
        <v>0.378513552761285</v>
      </c>
      <c r="G543" s="0" t="n">
        <f aca="false">SUMPRODUCT(D543:F543,Stats!$B$6:$D$6)</f>
        <v>0.351579566737438</v>
      </c>
      <c r="H543" s="0" t="n">
        <f aca="false">SQRT(SUMPRODUCT(MMULT(D543:F543,Stats!$B$12:$D$14),D543:F543))</f>
        <v>0.221891379212543</v>
      </c>
      <c r="I543" s="0" t="n">
        <f aca="false">(G543-Stats!$B$2)/H543</f>
        <v>1.39518519302592</v>
      </c>
    </row>
    <row r="544" customFormat="false" ht="15" hidden="false" customHeight="false" outlineLevel="0" collapsed="false">
      <c r="A544" s="0" t="n">
        <v>0.200933688659057</v>
      </c>
      <c r="B544" s="0" t="n">
        <v>0.535827684473081</v>
      </c>
      <c r="C544" s="0" t="n">
        <v>0.0966764496467196</v>
      </c>
      <c r="D544" s="0" t="n">
        <f aca="false">A544/SUM($A544:$C544)</f>
        <v>0.241090196733694</v>
      </c>
      <c r="E544" s="0" t="n">
        <f aca="false">B544/SUM($A544:$C544)</f>
        <v>0.642912608269347</v>
      </c>
      <c r="F544" s="0" t="n">
        <f aca="false">C544/SUM($A544:$C544)</f>
        <v>0.115997194996958</v>
      </c>
      <c r="G544" s="0" t="n">
        <f aca="false">SUMPRODUCT(D544:F544,Stats!$B$6:$D$6)</f>
        <v>0.390277485793465</v>
      </c>
      <c r="H544" s="0" t="n">
        <f aca="false">SQRT(SUMPRODUCT(MMULT(D544:F544,Stats!$B$12:$D$14),D544:F544))</f>
        <v>0.234646444743532</v>
      </c>
      <c r="I544" s="0" t="n">
        <f aca="false">(G544-Stats!$B$2)/H544</f>
        <v>1.48426491683746</v>
      </c>
    </row>
    <row r="545" customFormat="false" ht="15" hidden="false" customHeight="false" outlineLevel="0" collapsed="false">
      <c r="A545" s="0" t="n">
        <v>0.450370936258185</v>
      </c>
      <c r="B545" s="0" t="n">
        <v>0.756163328895246</v>
      </c>
      <c r="C545" s="0" t="n">
        <v>0.347571524238982</v>
      </c>
      <c r="D545" s="0" t="n">
        <f aca="false">A545/SUM($A545:$C545)</f>
        <v>0.289794259394826</v>
      </c>
      <c r="E545" s="0" t="n">
        <f aca="false">B545/SUM($A545:$C545)</f>
        <v>0.486558466004346</v>
      </c>
      <c r="F545" s="0" t="n">
        <f aca="false">C545/SUM($A545:$C545)</f>
        <v>0.223647274600828</v>
      </c>
      <c r="G545" s="0" t="n">
        <f aca="false">SUMPRODUCT(D545:F545,Stats!$B$6:$D$6)</f>
        <v>0.378312661272064</v>
      </c>
      <c r="H545" s="0" t="n">
        <f aca="false">SQRT(SUMPRODUCT(MMULT(D545:F545,Stats!$B$12:$D$14),D545:F545))</f>
        <v>0.22946213139514</v>
      </c>
      <c r="I545" s="0" t="n">
        <f aca="false">(G545-Stats!$B$2)/H545</f>
        <v>1.46565648644187</v>
      </c>
    </row>
    <row r="546" customFormat="false" ht="15" hidden="false" customHeight="false" outlineLevel="0" collapsed="false">
      <c r="A546" s="0" t="n">
        <v>0.664911724487218</v>
      </c>
      <c r="B546" s="0" t="n">
        <v>0.795449960789729</v>
      </c>
      <c r="C546" s="0" t="n">
        <v>0.927177819479453</v>
      </c>
      <c r="D546" s="0" t="n">
        <f aca="false">A546/SUM($A546:$C546)</f>
        <v>0.278492449302973</v>
      </c>
      <c r="E546" s="0" t="n">
        <f aca="false">B546/SUM($A546:$C546)</f>
        <v>0.333167245695852</v>
      </c>
      <c r="F546" s="0" t="n">
        <f aca="false">C546/SUM($A546:$C546)</f>
        <v>0.388340305001174</v>
      </c>
      <c r="G546" s="0" t="n">
        <f aca="false">SUMPRODUCT(D546:F546,Stats!$B$6:$D$6)</f>
        <v>0.364945382016865</v>
      </c>
      <c r="H546" s="0" t="n">
        <f aca="false">SQRT(SUMPRODUCT(MMULT(D546:F546,Stats!$B$12:$D$14),D546:F546))</f>
        <v>0.228168924733675</v>
      </c>
      <c r="I546" s="0" t="n">
        <f aca="false">(G546-Stats!$B$2)/H546</f>
        <v>1.4153784631006</v>
      </c>
    </row>
    <row r="547" customFormat="false" ht="15" hidden="false" customHeight="false" outlineLevel="0" collapsed="false">
      <c r="A547" s="0" t="n">
        <v>0.234642081855454</v>
      </c>
      <c r="B547" s="0" t="n">
        <v>0.399315915809308</v>
      </c>
      <c r="C547" s="0" t="n">
        <v>0.152416013330417</v>
      </c>
      <c r="D547" s="0" t="n">
        <f aca="false">A547/SUM($A547:$C547)</f>
        <v>0.298384837971066</v>
      </c>
      <c r="E547" s="0" t="n">
        <f aca="false">B547/SUM($A547:$C547)</f>
        <v>0.507793887165679</v>
      </c>
      <c r="F547" s="0" t="n">
        <f aca="false">C547/SUM($A547:$C547)</f>
        <v>0.193821274863256</v>
      </c>
      <c r="G547" s="0" t="n">
        <f aca="false">SUMPRODUCT(D547:F547,Stats!$B$6:$D$6)</f>
        <v>0.3803569603923</v>
      </c>
      <c r="H547" s="0" t="n">
        <f aca="false">SQRT(SUMPRODUCT(MMULT(D547:F547,Stats!$B$12:$D$14),D547:F547))</f>
        <v>0.22976133223688</v>
      </c>
      <c r="I547" s="0" t="n">
        <f aca="false">(G547-Stats!$B$2)/H547</f>
        <v>1.47264536246447</v>
      </c>
    </row>
    <row r="548" customFormat="false" ht="15" hidden="false" customHeight="false" outlineLevel="0" collapsed="false">
      <c r="A548" s="0" t="n">
        <v>0.992483502158375</v>
      </c>
      <c r="B548" s="0" t="n">
        <v>0.927000967924295</v>
      </c>
      <c r="C548" s="0" t="n">
        <v>0.53995713028056</v>
      </c>
      <c r="D548" s="0" t="n">
        <f aca="false">A548/SUM($A548:$C548)</f>
        <v>0.403540178393257</v>
      </c>
      <c r="E548" s="0" t="n">
        <f aca="false">B548/SUM($A548:$C548)</f>
        <v>0.376915218392414</v>
      </c>
      <c r="F548" s="0" t="n">
        <f aca="false">C548/SUM($A548:$C548)</f>
        <v>0.219544603214329</v>
      </c>
      <c r="G548" s="0" t="n">
        <f aca="false">SUMPRODUCT(D548:F548,Stats!$B$6:$D$6)</f>
        <v>0.372117060298464</v>
      </c>
      <c r="H548" s="0" t="n">
        <f aca="false">SQRT(SUMPRODUCT(MMULT(D548:F548,Stats!$B$12:$D$14),D548:F548))</f>
        <v>0.225464630251801</v>
      </c>
      <c r="I548" s="0" t="n">
        <f aca="false">(G548-Stats!$B$2)/H548</f>
        <v>1.46416340305699</v>
      </c>
    </row>
    <row r="549" customFormat="false" ht="15" hidden="false" customHeight="false" outlineLevel="0" collapsed="false">
      <c r="A549" s="0" t="n">
        <v>0.842033294376421</v>
      </c>
      <c r="B549" s="0" t="n">
        <v>0.520957977272042</v>
      </c>
      <c r="C549" s="0" t="n">
        <v>0.62358568800276</v>
      </c>
      <c r="D549" s="0" t="n">
        <f aca="false">A549/SUM($A549:$C549)</f>
        <v>0.423861401535762</v>
      </c>
      <c r="E549" s="0" t="n">
        <f aca="false">B549/SUM($A549:$C549)</f>
        <v>0.262239011049189</v>
      </c>
      <c r="F549" s="0" t="n">
        <f aca="false">C549/SUM($A549:$C549)</f>
        <v>0.313899587415048</v>
      </c>
      <c r="G549" s="0" t="n">
        <f aca="false">SUMPRODUCT(D549:F549,Stats!$B$6:$D$6)</f>
        <v>0.362916937351946</v>
      </c>
      <c r="H549" s="0" t="n">
        <f aca="false">SQRT(SUMPRODUCT(MMULT(D549:F549,Stats!$B$12:$D$14),D549:F549))</f>
        <v>0.223741594298172</v>
      </c>
      <c r="I549" s="0" t="n">
        <f aca="false">(G549-Stats!$B$2)/H549</f>
        <v>1.4343195254266</v>
      </c>
    </row>
    <row r="550" customFormat="false" ht="15" hidden="false" customHeight="false" outlineLevel="0" collapsed="false">
      <c r="A550" s="0" t="n">
        <v>0.0891244321160166</v>
      </c>
      <c r="B550" s="0" t="n">
        <v>0.755270420496808</v>
      </c>
      <c r="C550" s="0" t="n">
        <v>0.127713483635235</v>
      </c>
      <c r="D550" s="0" t="n">
        <f aca="false">A550/SUM($A550:$C550)</f>
        <v>0.0916815840300274</v>
      </c>
      <c r="E550" s="0" t="n">
        <f aca="false">B550/SUM($A550:$C550)</f>
        <v>0.776940586078958</v>
      </c>
      <c r="F550" s="0" t="n">
        <f aca="false">C550/SUM($A550:$C550)</f>
        <v>0.131377829891015</v>
      </c>
      <c r="G550" s="0" t="n">
        <f aca="false">SUMPRODUCT(D550:F550,Stats!$B$6:$D$6)</f>
        <v>0.397565167076112</v>
      </c>
      <c r="H550" s="0" t="n">
        <f aca="false">SQRT(SUMPRODUCT(MMULT(D550:F550,Stats!$B$12:$D$14),D550:F550))</f>
        <v>0.242693057177479</v>
      </c>
      <c r="I550" s="0" t="n">
        <f aca="false">(G550-Stats!$B$2)/H550</f>
        <v>1.46508174239237</v>
      </c>
    </row>
    <row r="551" customFormat="false" ht="15" hidden="false" customHeight="false" outlineLevel="0" collapsed="false">
      <c r="A551" s="0" t="n">
        <v>0.826067630252528</v>
      </c>
      <c r="B551" s="0" t="n">
        <v>0.782028087670386</v>
      </c>
      <c r="C551" s="0" t="n">
        <v>0.708744697742976</v>
      </c>
      <c r="D551" s="0" t="n">
        <f aca="false">A551/SUM($A551:$C551)</f>
        <v>0.356549214467629</v>
      </c>
      <c r="E551" s="0" t="n">
        <f aca="false">B551/SUM($A551:$C551)</f>
        <v>0.337540765597194</v>
      </c>
      <c r="F551" s="0" t="n">
        <f aca="false">C551/SUM($A551:$C551)</f>
        <v>0.305910019935177</v>
      </c>
      <c r="G551" s="0" t="n">
        <f aca="false">SUMPRODUCT(D551:F551,Stats!$B$6:$D$6)</f>
        <v>0.367470012097792</v>
      </c>
      <c r="H551" s="0" t="n">
        <f aca="false">SQRT(SUMPRODUCT(MMULT(D551:F551,Stats!$B$12:$D$14),D551:F551))</f>
        <v>0.225734640951787</v>
      </c>
      <c r="I551" s="0" t="n">
        <f aca="false">(G551-Stats!$B$2)/H551</f>
        <v>1.44182572389192</v>
      </c>
    </row>
    <row r="552" customFormat="false" ht="15" hidden="false" customHeight="false" outlineLevel="0" collapsed="false">
      <c r="A552" s="0" t="n">
        <v>0.0361603805247621</v>
      </c>
      <c r="B552" s="0" t="n">
        <v>0.303128355945329</v>
      </c>
      <c r="C552" s="0" t="n">
        <v>0.263112569910843</v>
      </c>
      <c r="D552" s="0" t="n">
        <f aca="false">A552/SUM($A552:$C552)</f>
        <v>0.0600270619298687</v>
      </c>
      <c r="E552" s="0" t="n">
        <f aca="false">B552/SUM($A552:$C552)</f>
        <v>0.503200030834001</v>
      </c>
      <c r="F552" s="0" t="n">
        <f aca="false">C552/SUM($A552:$C552)</f>
        <v>0.43677290723613</v>
      </c>
      <c r="G552" s="0" t="n">
        <f aca="false">SUMPRODUCT(D552:F552,Stats!$B$6:$D$6)</f>
        <v>0.373393338026116</v>
      </c>
      <c r="H552" s="0" t="n">
        <f aca="false">SQRT(SUMPRODUCT(MMULT(D552:F552,Stats!$B$12:$D$14),D552:F552))</f>
        <v>0.239337009824878</v>
      </c>
      <c r="I552" s="0" t="n">
        <f aca="false">(G552-Stats!$B$2)/H552</f>
        <v>1.38463056034917</v>
      </c>
    </row>
    <row r="553" customFormat="false" ht="15" hidden="false" customHeight="false" outlineLevel="0" collapsed="false">
      <c r="A553" s="0" t="n">
        <v>0.360136407471519</v>
      </c>
      <c r="B553" s="0" t="n">
        <v>0.0876427467638385</v>
      </c>
      <c r="C553" s="0" t="n">
        <v>0.936957823031063</v>
      </c>
      <c r="D553" s="0" t="n">
        <f aca="false">A553/SUM($A553:$C553)</f>
        <v>0.260075677463641</v>
      </c>
      <c r="E553" s="0" t="n">
        <f aca="false">B553/SUM($A553:$C553)</f>
        <v>0.0632919812229267</v>
      </c>
      <c r="F553" s="0" t="n">
        <f aca="false">C553/SUM($A553:$C553)</f>
        <v>0.676632341313432</v>
      </c>
      <c r="G553" s="0" t="n">
        <f aca="false">SUMPRODUCT(D553:F553,Stats!$B$6:$D$6)</f>
        <v>0.341467566573449</v>
      </c>
      <c r="H553" s="0" t="n">
        <f aca="false">SQRT(SUMPRODUCT(MMULT(D553:F553,Stats!$B$12:$D$14),D553:F553))</f>
        <v>0.233564072287131</v>
      </c>
      <c r="I553" s="0" t="n">
        <f aca="false">(G553-Stats!$B$2)/H553</f>
        <v>1.28216451974386</v>
      </c>
    </row>
    <row r="554" customFormat="false" ht="15" hidden="false" customHeight="false" outlineLevel="0" collapsed="false">
      <c r="A554" s="0" t="n">
        <v>0.553802240712376</v>
      </c>
      <c r="B554" s="0" t="n">
        <v>0.305524310658024</v>
      </c>
      <c r="C554" s="0" t="n">
        <v>0.396981517074283</v>
      </c>
      <c r="D554" s="0" t="n">
        <f aca="false">A554/SUM($A554:$C554)</f>
        <v>0.440817228371371</v>
      </c>
      <c r="E554" s="0" t="n">
        <f aca="false">B554/SUM($A554:$C554)</f>
        <v>0.243192190141917</v>
      </c>
      <c r="F554" s="0" t="n">
        <f aca="false">C554/SUM($A554:$C554)</f>
        <v>0.315990581486712</v>
      </c>
      <c r="G554" s="0" t="n">
        <f aca="false">SUMPRODUCT(D554:F554,Stats!$B$6:$D$6)</f>
        <v>0.361763349571472</v>
      </c>
      <c r="H554" s="0" t="n">
        <f aca="false">SQRT(SUMPRODUCT(MMULT(D554:F554,Stats!$B$12:$D$14),D554:F554))</f>
        <v>0.223330363688299</v>
      </c>
      <c r="I554" s="0" t="n">
        <f aca="false">(G554-Stats!$B$2)/H554</f>
        <v>1.43179523057494</v>
      </c>
    </row>
    <row r="555" customFormat="false" ht="15" hidden="false" customHeight="false" outlineLevel="0" collapsed="false">
      <c r="A555" s="0" t="n">
        <v>0.447202540504836</v>
      </c>
      <c r="B555" s="0" t="n">
        <v>0.600594333360617</v>
      </c>
      <c r="C555" s="0" t="n">
        <v>0.515679427696498</v>
      </c>
      <c r="D555" s="0" t="n">
        <f aca="false">A555/SUM($A555:$C555)</f>
        <v>0.286030904375122</v>
      </c>
      <c r="E555" s="0" t="n">
        <f aca="false">B555/SUM($A555:$C555)</f>
        <v>0.384140349783754</v>
      </c>
      <c r="F555" s="0" t="n">
        <f aca="false">C555/SUM($A555:$C555)</f>
        <v>0.329828745841124</v>
      </c>
      <c r="G555" s="0" t="n">
        <f aca="false">SUMPRODUCT(D555:F555,Stats!$B$6:$D$6)</f>
        <v>0.369491742191995</v>
      </c>
      <c r="H555" s="0" t="n">
        <f aca="false">SQRT(SUMPRODUCT(MMULT(D555:F555,Stats!$B$12:$D$14),D555:F555))</f>
        <v>0.228116604828273</v>
      </c>
      <c r="I555" s="0" t="n">
        <f aca="false">(G555-Stats!$B$2)/H555</f>
        <v>1.4356330721235</v>
      </c>
    </row>
    <row r="556" customFormat="false" ht="15" hidden="false" customHeight="false" outlineLevel="0" collapsed="false">
      <c r="A556" s="0" t="n">
        <v>0.919391973214417</v>
      </c>
      <c r="B556" s="0" t="n">
        <v>0.49696348290583</v>
      </c>
      <c r="C556" s="0" t="n">
        <v>0.992158014823313</v>
      </c>
      <c r="D556" s="0" t="n">
        <f aca="false">A556/SUM($A556:$C556)</f>
        <v>0.381725900355557</v>
      </c>
      <c r="E556" s="0" t="n">
        <f aca="false">B556/SUM($A556:$C556)</f>
        <v>0.206336185743292</v>
      </c>
      <c r="F556" s="0" t="n">
        <f aca="false">C556/SUM($A556:$C556)</f>
        <v>0.411937913901152</v>
      </c>
      <c r="G556" s="0" t="n">
        <f aca="false">SUMPRODUCT(D556:F556,Stats!$B$6:$D$6)</f>
        <v>0.356996991992124</v>
      </c>
      <c r="H556" s="0" t="n">
        <f aca="false">SQRT(SUMPRODUCT(MMULT(D556:F556,Stats!$B$12:$D$14),D556:F556))</f>
        <v>0.224750403942785</v>
      </c>
      <c r="I556" s="0" t="n">
        <f aca="false">(G556-Stats!$B$2)/H556</f>
        <v>1.40154138309052</v>
      </c>
    </row>
    <row r="557" customFormat="false" ht="15" hidden="false" customHeight="false" outlineLevel="0" collapsed="false">
      <c r="A557" s="0" t="n">
        <v>0.851424957745096</v>
      </c>
      <c r="B557" s="0" t="n">
        <v>0.208510514357336</v>
      </c>
      <c r="C557" s="0" t="n">
        <v>0.930595214643916</v>
      </c>
      <c r="D557" s="0" t="n">
        <f aca="false">A557/SUM($A557:$C557)</f>
        <v>0.427737669865721</v>
      </c>
      <c r="E557" s="0" t="n">
        <f aca="false">B557/SUM($A557:$C557)</f>
        <v>0.10475121822822</v>
      </c>
      <c r="F557" s="0" t="n">
        <f aca="false">C557/SUM($A557:$C557)</f>
        <v>0.467511111906059</v>
      </c>
      <c r="G557" s="0" t="n">
        <f aca="false">SUMPRODUCT(D557:F557,Stats!$B$6:$D$6)</f>
        <v>0.349619514879748</v>
      </c>
      <c r="H557" s="0" t="n">
        <f aca="false">SQRT(SUMPRODUCT(MMULT(D557:F557,Stats!$B$12:$D$14),D557:F557))</f>
        <v>0.224147747859793</v>
      </c>
      <c r="I557" s="0" t="n">
        <f aca="false">(G557-Stats!$B$2)/H557</f>
        <v>1.37239618875032</v>
      </c>
    </row>
    <row r="558" customFormat="false" ht="15" hidden="false" customHeight="false" outlineLevel="0" collapsed="false">
      <c r="A558" s="0" t="n">
        <v>0.116366397885476</v>
      </c>
      <c r="B558" s="0" t="n">
        <v>0.817449708491192</v>
      </c>
      <c r="C558" s="0" t="n">
        <v>0.38062329347658</v>
      </c>
      <c r="D558" s="0" t="n">
        <f aca="false">A558/SUM($A558:$C558)</f>
        <v>0.088529298420656</v>
      </c>
      <c r="E558" s="0" t="n">
        <f aca="false">B558/SUM($A558:$C558)</f>
        <v>0.621899882628638</v>
      </c>
      <c r="F558" s="0" t="n">
        <f aca="false">C558/SUM($A558:$C558)</f>
        <v>0.289570818950706</v>
      </c>
      <c r="G558" s="0" t="n">
        <f aca="false">SUMPRODUCT(D558:F558,Stats!$B$6:$D$6)</f>
        <v>0.384282214835738</v>
      </c>
      <c r="H558" s="0" t="n">
        <f aca="false">SQRT(SUMPRODUCT(MMULT(D558:F558,Stats!$B$12:$D$14),D558:F558))</f>
        <v>0.238819436480696</v>
      </c>
      <c r="I558" s="0" t="n">
        <f aca="false">(G558-Stats!$B$2)/H558</f>
        <v>1.43322595463626</v>
      </c>
    </row>
    <row r="559" customFormat="false" ht="15" hidden="false" customHeight="false" outlineLevel="0" collapsed="false">
      <c r="A559" s="0" t="n">
        <v>0.87797432044507</v>
      </c>
      <c r="B559" s="0" t="n">
        <v>0.86805669010745</v>
      </c>
      <c r="C559" s="0" t="n">
        <v>0.805925400117621</v>
      </c>
      <c r="D559" s="0" t="n">
        <f aca="false">A559/SUM($A559:$C559)</f>
        <v>0.344039700981614</v>
      </c>
      <c r="E559" s="0" t="n">
        <f aca="false">B559/SUM($A559:$C559)</f>
        <v>0.340153415817749</v>
      </c>
      <c r="F559" s="0" t="n">
        <f aca="false">C559/SUM($A559:$C559)</f>
        <v>0.315806883200637</v>
      </c>
      <c r="G559" s="0" t="n">
        <f aca="false">SUMPRODUCT(D559:F559,Stats!$B$6:$D$6)</f>
        <v>0.367347438411985</v>
      </c>
      <c r="H559" s="0" t="n">
        <f aca="false">SQRT(SUMPRODUCT(MMULT(D559:F559,Stats!$B$12:$D$14),D559:F559))</f>
        <v>0.226067961112657</v>
      </c>
      <c r="I559" s="0" t="n">
        <f aca="false">(G559-Stats!$B$2)/H559</f>
        <v>1.43915766219457</v>
      </c>
    </row>
    <row r="560" customFormat="false" ht="15" hidden="false" customHeight="false" outlineLevel="0" collapsed="false">
      <c r="A560" s="0" t="n">
        <v>0.790030436307061</v>
      </c>
      <c r="B560" s="0" t="n">
        <v>0.304679139098041</v>
      </c>
      <c r="C560" s="0" t="n">
        <v>0.0809192830512522</v>
      </c>
      <c r="D560" s="0" t="n">
        <f aca="false">A560/SUM($A560:$C560)</f>
        <v>0.672006671684125</v>
      </c>
      <c r="E560" s="0" t="n">
        <f aca="false">B560/SUM($A560:$C560)</f>
        <v>0.259162691445067</v>
      </c>
      <c r="F560" s="0" t="n">
        <f aca="false">C560/SUM($A560:$C560)</f>
        <v>0.0688306368708083</v>
      </c>
      <c r="G560" s="0" t="n">
        <f aca="false">SUMPRODUCT(D560:F560,Stats!$B$6:$D$6)</f>
        <v>0.369497611956311</v>
      </c>
      <c r="H560" s="0" t="n">
        <f aca="false">SQRT(SUMPRODUCT(MMULT(D560:F560,Stats!$B$12:$D$14),D560:F560))</f>
        <v>0.225207178938143</v>
      </c>
      <c r="I560" s="0" t="n">
        <f aca="false">(G560-Stats!$B$2)/H560</f>
        <v>1.45420591608344</v>
      </c>
    </row>
    <row r="561" customFormat="false" ht="15" hidden="false" customHeight="false" outlineLevel="0" collapsed="false">
      <c r="A561" s="0" t="n">
        <v>0.402980178765162</v>
      </c>
      <c r="B561" s="0" t="n">
        <v>0.173524514986509</v>
      </c>
      <c r="C561" s="0" t="n">
        <v>0.694951088902462</v>
      </c>
      <c r="D561" s="0" t="n">
        <f aca="false">A561/SUM($A561:$C561)</f>
        <v>0.316943919138069</v>
      </c>
      <c r="E561" s="0" t="n">
        <f aca="false">B561/SUM($A561:$C561)</f>
        <v>0.136477034713925</v>
      </c>
      <c r="F561" s="0" t="n">
        <f aca="false">C561/SUM($A561:$C561)</f>
        <v>0.546579046148006</v>
      </c>
      <c r="G561" s="0" t="n">
        <f aca="false">SUMPRODUCT(D561:F561,Stats!$B$6:$D$6)</f>
        <v>0.349264709422819</v>
      </c>
      <c r="H561" s="0" t="n">
        <f aca="false">SQRT(SUMPRODUCT(MMULT(D561:F561,Stats!$B$12:$D$14),D561:F561))</f>
        <v>0.228277073927652</v>
      </c>
      <c r="I561" s="0" t="n">
        <f aca="false">(G561-Stats!$B$2)/H561</f>
        <v>1.34601650588969</v>
      </c>
    </row>
    <row r="562" customFormat="false" ht="15" hidden="false" customHeight="false" outlineLevel="0" collapsed="false">
      <c r="A562" s="0" t="n">
        <v>0.346099726537786</v>
      </c>
      <c r="B562" s="0" t="n">
        <v>0.975610200859915</v>
      </c>
      <c r="C562" s="0" t="n">
        <v>0.640972077345332</v>
      </c>
      <c r="D562" s="0" t="n">
        <f aca="false">A562/SUM($A562:$C562)</f>
        <v>0.176340194540633</v>
      </c>
      <c r="E562" s="0" t="n">
        <f aca="false">B562/SUM($A562:$C562)</f>
        <v>0.497080117157159</v>
      </c>
      <c r="F562" s="0" t="n">
        <f aca="false">C562/SUM($A562:$C562)</f>
        <v>0.326579688302208</v>
      </c>
      <c r="G562" s="0" t="n">
        <f aca="false">SUMPRODUCT(D562:F562,Stats!$B$6:$D$6)</f>
        <v>0.376079741743562</v>
      </c>
      <c r="H562" s="0" t="n">
        <f aca="false">SQRT(SUMPRODUCT(MMULT(D562:F562,Stats!$B$12:$D$14),D562:F562))</f>
        <v>0.233255121274063</v>
      </c>
      <c r="I562" s="0" t="n">
        <f aca="false">(G562-Stats!$B$2)/H562</f>
        <v>1.43225040427316</v>
      </c>
    </row>
    <row r="563" customFormat="false" ht="15" hidden="false" customHeight="false" outlineLevel="0" collapsed="false">
      <c r="A563" s="0" t="n">
        <v>0.822480563634361</v>
      </c>
      <c r="B563" s="0" t="n">
        <v>0.132524672741848</v>
      </c>
      <c r="C563" s="0" t="n">
        <v>0.862014482272623</v>
      </c>
      <c r="D563" s="0" t="n">
        <f aca="false">A563/SUM($A563:$C563)</f>
        <v>0.452653625710772</v>
      </c>
      <c r="E563" s="0" t="n">
        <f aca="false">B563/SUM($A563:$C563)</f>
        <v>0.0729351868786521</v>
      </c>
      <c r="F563" s="0" t="n">
        <f aca="false">C563/SUM($A563:$C563)</f>
        <v>0.474411187410576</v>
      </c>
      <c r="G563" s="0" t="n">
        <f aca="false">SUMPRODUCT(D563:F563,Stats!$B$6:$D$6)</f>
        <v>0.347598594686449</v>
      </c>
      <c r="H563" s="0" t="n">
        <f aca="false">SQRT(SUMPRODUCT(MMULT(D563:F563,Stats!$B$12:$D$14),D563:F563))</f>
        <v>0.223779246570028</v>
      </c>
      <c r="I563" s="0" t="n">
        <f aca="false">(G563-Stats!$B$2)/H563</f>
        <v>1.36562527298892</v>
      </c>
    </row>
    <row r="564" customFormat="false" ht="15" hidden="false" customHeight="false" outlineLevel="0" collapsed="false">
      <c r="A564" s="0" t="n">
        <v>0.922757190513394</v>
      </c>
      <c r="B564" s="0" t="n">
        <v>0.487061918818936</v>
      </c>
      <c r="C564" s="0" t="n">
        <v>0.606252937750977</v>
      </c>
      <c r="D564" s="0" t="n">
        <f aca="false">A564/SUM($A564:$C564)</f>
        <v>0.457700503237653</v>
      </c>
      <c r="E564" s="0" t="n">
        <f aca="false">B564/SUM($A564:$C564)</f>
        <v>0.241589540177187</v>
      </c>
      <c r="F564" s="0" t="n">
        <f aca="false">C564/SUM($A564:$C564)</f>
        <v>0.300709956585161</v>
      </c>
      <c r="G564" s="0" t="n">
        <f aca="false">SUMPRODUCT(D564:F564,Stats!$B$6:$D$6)</f>
        <v>0.362092492521193</v>
      </c>
      <c r="H564" s="0" t="n">
        <f aca="false">SQRT(SUMPRODUCT(MMULT(D564:F564,Stats!$B$12:$D$14),D564:F564))</f>
        <v>0.223064040328183</v>
      </c>
      <c r="I564" s="0" t="n">
        <f aca="false">(G564-Stats!$B$2)/H564</f>
        <v>1.43498025073991</v>
      </c>
    </row>
    <row r="565" customFormat="false" ht="15" hidden="false" customHeight="false" outlineLevel="0" collapsed="false">
      <c r="A565" s="0" t="n">
        <v>0.764809800902995</v>
      </c>
      <c r="B565" s="0" t="n">
        <v>0.174838627260413</v>
      </c>
      <c r="C565" s="0" t="n">
        <v>0.502566076463442</v>
      </c>
      <c r="D565" s="0" t="n">
        <f aca="false">A565/SUM($A565:$C565)</f>
        <v>0.530302391530085</v>
      </c>
      <c r="E565" s="0" t="n">
        <f aca="false">B565/SUM($A565:$C565)</f>
        <v>0.121229280872923</v>
      </c>
      <c r="F565" s="0" t="n">
        <f aca="false">C565/SUM($A565:$C565)</f>
        <v>0.348468327596992</v>
      </c>
      <c r="G565" s="0" t="n">
        <f aca="false">SUMPRODUCT(D565:F565,Stats!$B$6:$D$6)</f>
        <v>0.353850200268245</v>
      </c>
      <c r="H565" s="0" t="n">
        <f aca="false">SQRT(SUMPRODUCT(MMULT(D565:F565,Stats!$B$12:$D$14),D565:F565))</f>
        <v>0.221765746464021</v>
      </c>
      <c r="I565" s="0" t="n">
        <f aca="false">(G565-Stats!$B$2)/H565</f>
        <v>1.40621446386825</v>
      </c>
    </row>
    <row r="566" customFormat="false" ht="15" hidden="false" customHeight="false" outlineLevel="0" collapsed="false">
      <c r="A566" s="0" t="n">
        <v>0.398663027772313</v>
      </c>
      <c r="B566" s="0" t="n">
        <v>0.146373992162249</v>
      </c>
      <c r="C566" s="0" t="n">
        <v>0.367534422291531</v>
      </c>
      <c r="D566" s="0" t="n">
        <f aca="false">A566/SUM($A566:$C566)</f>
        <v>0.436856786576434</v>
      </c>
      <c r="E566" s="0" t="n">
        <f aca="false">B566/SUM($A566:$C566)</f>
        <v>0.160397296462828</v>
      </c>
      <c r="F566" s="0" t="n">
        <f aca="false">C566/SUM($A566:$C566)</f>
        <v>0.402745916960738</v>
      </c>
      <c r="G566" s="0" t="n">
        <f aca="false">SUMPRODUCT(D566:F566,Stats!$B$6:$D$6)</f>
        <v>0.354607193540671</v>
      </c>
      <c r="H566" s="0" t="n">
        <f aca="false">SQRT(SUMPRODUCT(MMULT(D566:F566,Stats!$B$12:$D$14),D566:F566))</f>
        <v>0.223384990898671</v>
      </c>
      <c r="I566" s="0" t="n">
        <f aca="false">(G566-Stats!$B$2)/H566</f>
        <v>1.39941001534195</v>
      </c>
    </row>
    <row r="567" customFormat="false" ht="15" hidden="false" customHeight="false" outlineLevel="0" collapsed="false">
      <c r="A567" s="0" t="n">
        <v>0.0681723093854936</v>
      </c>
      <c r="B567" s="0" t="n">
        <v>0.025811906949487</v>
      </c>
      <c r="C567" s="0" t="n">
        <v>0.135166289154823</v>
      </c>
      <c r="D567" s="0" t="n">
        <f aca="false">A567/SUM($A567:$C567)</f>
        <v>0.297500148384037</v>
      </c>
      <c r="E567" s="0" t="n">
        <f aca="false">B567/SUM($A567:$C567)</f>
        <v>0.112641719442489</v>
      </c>
      <c r="F567" s="0" t="n">
        <f aca="false">C567/SUM($A567:$C567)</f>
        <v>0.589858132173474</v>
      </c>
      <c r="G567" s="0" t="n">
        <f aca="false">SUMPRODUCT(D567:F567,Stats!$B$6:$D$6)</f>
        <v>0.346699852080405</v>
      </c>
      <c r="H567" s="0" t="n">
        <f aca="false">SQRT(SUMPRODUCT(MMULT(D567:F567,Stats!$B$12:$D$14),D567:F567))</f>
        <v>0.229836823621687</v>
      </c>
      <c r="I567" s="0" t="n">
        <f aca="false">(G567-Stats!$B$2)/H567</f>
        <v>1.32572251599658</v>
      </c>
    </row>
    <row r="568" customFormat="false" ht="15" hidden="false" customHeight="false" outlineLevel="0" collapsed="false">
      <c r="A568" s="0" t="n">
        <v>0.963115111589174</v>
      </c>
      <c r="B568" s="0" t="n">
        <v>0.549529535895017</v>
      </c>
      <c r="C568" s="0" t="n">
        <v>0.96582216115322</v>
      </c>
      <c r="D568" s="0" t="n">
        <f aca="false">A568/SUM($A568:$C568)</f>
        <v>0.388593104508293</v>
      </c>
      <c r="E568" s="0" t="n">
        <f aca="false">B568/SUM($A568:$C568)</f>
        <v>0.221721563500434</v>
      </c>
      <c r="F568" s="0" t="n">
        <f aca="false">C568/SUM($A568:$C568)</f>
        <v>0.389685331991273</v>
      </c>
      <c r="G568" s="0" t="n">
        <f aca="false">SUMPRODUCT(D568:F568,Stats!$B$6:$D$6)</f>
        <v>0.358495853102737</v>
      </c>
      <c r="H568" s="0" t="n">
        <f aca="false">SQRT(SUMPRODUCT(MMULT(D568:F568,Stats!$B$12:$D$14),D568:F568))</f>
        <v>0.22448855406016</v>
      </c>
      <c r="I568" s="0" t="n">
        <f aca="false">(G568-Stats!$B$2)/H568</f>
        <v>1.40985296300639</v>
      </c>
    </row>
    <row r="569" customFormat="false" ht="15" hidden="false" customHeight="false" outlineLevel="0" collapsed="false">
      <c r="A569" s="0" t="n">
        <v>0.432497878330132</v>
      </c>
      <c r="B569" s="0" t="n">
        <v>0.31181613308526</v>
      </c>
      <c r="C569" s="0" t="n">
        <v>0.506141862840244</v>
      </c>
      <c r="D569" s="0" t="n">
        <f aca="false">A569/SUM($A569:$C569)</f>
        <v>0.345872163292117</v>
      </c>
      <c r="E569" s="0" t="n">
        <f aca="false">B569/SUM($A569:$C569)</f>
        <v>0.249361964308317</v>
      </c>
      <c r="F569" s="0" t="n">
        <f aca="false">C569/SUM($A569:$C569)</f>
        <v>0.404765872399566</v>
      </c>
      <c r="G569" s="0" t="n">
        <f aca="false">SUMPRODUCT(D569:F569,Stats!$B$6:$D$6)</f>
        <v>0.359670405889474</v>
      </c>
      <c r="H569" s="0" t="n">
        <f aca="false">SQRT(SUMPRODUCT(MMULT(D569:F569,Stats!$B$12:$D$14),D569:F569))</f>
        <v>0.225776874566402</v>
      </c>
      <c r="I569" s="0" t="n">
        <f aca="false">(G569-Stats!$B$2)/H569</f>
        <v>1.40701037916107</v>
      </c>
    </row>
    <row r="570" customFormat="false" ht="15" hidden="false" customHeight="false" outlineLevel="0" collapsed="false">
      <c r="A570" s="0" t="n">
        <v>0.43951168863291</v>
      </c>
      <c r="B570" s="0" t="n">
        <v>0.105664684261744</v>
      </c>
      <c r="C570" s="0" t="n">
        <v>0.640826314690206</v>
      </c>
      <c r="D570" s="0" t="n">
        <f aca="false">A570/SUM($A570:$C570)</f>
        <v>0.370582371552562</v>
      </c>
      <c r="E570" s="0" t="n">
        <f aca="false">B570/SUM($A570:$C570)</f>
        <v>0.0890931237912422</v>
      </c>
      <c r="F570" s="0" t="n">
        <f aca="false">C570/SUM($A570:$C570)</f>
        <v>0.540324504656195</v>
      </c>
      <c r="G570" s="0" t="n">
        <f aca="false">SUMPRODUCT(D570:F570,Stats!$B$6:$D$6)</f>
        <v>0.346710767092138</v>
      </c>
      <c r="H570" s="0" t="n">
        <f aca="false">SQRT(SUMPRODUCT(MMULT(D570:F570,Stats!$B$12:$D$14),D570:F570))</f>
        <v>0.226642001006234</v>
      </c>
      <c r="I570" s="0" t="n">
        <f aca="false">(G570-Stats!$B$2)/H570</f>
        <v>1.34445851051128</v>
      </c>
    </row>
    <row r="571" customFormat="false" ht="15" hidden="false" customHeight="false" outlineLevel="0" collapsed="false">
      <c r="A571" s="0" t="n">
        <v>0.2160381825096</v>
      </c>
      <c r="B571" s="0" t="n">
        <v>0.61958795489783</v>
      </c>
      <c r="C571" s="0" t="n">
        <v>0.650201092398153</v>
      </c>
      <c r="D571" s="0" t="n">
        <f aca="false">A571/SUM($A571:$C571)</f>
        <v>0.145399261889868</v>
      </c>
      <c r="E571" s="0" t="n">
        <f aca="false">B571/SUM($A571:$C571)</f>
        <v>0.416998653994853</v>
      </c>
      <c r="F571" s="0" t="n">
        <f aca="false">C571/SUM($A571:$C571)</f>
        <v>0.437602084115278</v>
      </c>
      <c r="G571" s="0" t="n">
        <f aca="false">SUMPRODUCT(D571:F571,Stats!$B$6:$D$6)</f>
        <v>0.368410558137526</v>
      </c>
      <c r="H571" s="0" t="n">
        <f aca="false">SQRT(SUMPRODUCT(MMULT(D571:F571,Stats!$B$12:$D$14),D571:F571))</f>
        <v>0.234407449383122</v>
      </c>
      <c r="I571" s="0" t="n">
        <f aca="false">(G571-Stats!$B$2)/H571</f>
        <v>1.39249225652394</v>
      </c>
    </row>
    <row r="572" customFormat="false" ht="15" hidden="false" customHeight="false" outlineLevel="0" collapsed="false">
      <c r="A572" s="0" t="n">
        <v>0.152024853128648</v>
      </c>
      <c r="B572" s="0" t="n">
        <v>0.0613496271106682</v>
      </c>
      <c r="C572" s="0" t="n">
        <v>0.78076158606844</v>
      </c>
      <c r="D572" s="0" t="n">
        <f aca="false">A572/SUM($A572:$C572)</f>
        <v>0.152921575105178</v>
      </c>
      <c r="E572" s="0" t="n">
        <f aca="false">B572/SUM($A572:$C572)</f>
        <v>0.061711499250321</v>
      </c>
      <c r="F572" s="0" t="n">
        <f aca="false">C572/SUM($A572:$C572)</f>
        <v>0.785366925644501</v>
      </c>
      <c r="G572" s="0" t="n">
        <f aca="false">SUMPRODUCT(D572:F572,Stats!$B$6:$D$6)</f>
        <v>0.338378313344914</v>
      </c>
      <c r="H572" s="0" t="n">
        <f aca="false">SQRT(SUMPRODUCT(MMULT(D572:F572,Stats!$B$12:$D$14),D572:F572))</f>
        <v>0.241776943532711</v>
      </c>
      <c r="I572" s="0" t="n">
        <f aca="false">(G572-Stats!$B$2)/H572</f>
        <v>1.22583365069637</v>
      </c>
    </row>
    <row r="573" customFormat="false" ht="15" hidden="false" customHeight="false" outlineLevel="0" collapsed="false">
      <c r="A573" s="0" t="n">
        <v>0.45980042376932</v>
      </c>
      <c r="B573" s="0" t="n">
        <v>0.0581637955054758</v>
      </c>
      <c r="C573" s="0" t="n">
        <v>0.994866317169767</v>
      </c>
      <c r="D573" s="0" t="n">
        <f aca="false">A573/SUM($A573:$C573)</f>
        <v>0.303933859538516</v>
      </c>
      <c r="E573" s="0" t="n">
        <f aca="false">B573/SUM($A573:$C573)</f>
        <v>0.0384469999145917</v>
      </c>
      <c r="F573" s="0" t="n">
        <f aca="false">C573/SUM($A573:$C573)</f>
        <v>0.657619140546892</v>
      </c>
      <c r="G573" s="0" t="n">
        <f aca="false">SUMPRODUCT(D573:F573,Stats!$B$6:$D$6)</f>
        <v>0.340562300203473</v>
      </c>
      <c r="H573" s="0" t="n">
        <f aca="false">SQRT(SUMPRODUCT(MMULT(D573:F573,Stats!$B$12:$D$14),D573:F573))</f>
        <v>0.231544717973967</v>
      </c>
      <c r="I573" s="0" t="n">
        <f aca="false">(G573-Stats!$B$2)/H573</f>
        <v>1.28943688638599</v>
      </c>
    </row>
    <row r="574" customFormat="false" ht="15" hidden="false" customHeight="false" outlineLevel="0" collapsed="false">
      <c r="A574" s="0" t="n">
        <v>0.0577805609963666</v>
      </c>
      <c r="B574" s="0" t="n">
        <v>0.695035228858553</v>
      </c>
      <c r="C574" s="0" t="n">
        <v>0.983678925263414</v>
      </c>
      <c r="D574" s="0" t="n">
        <f aca="false">A574/SUM($A574:$C574)</f>
        <v>0.033274250991561</v>
      </c>
      <c r="E574" s="0" t="n">
        <f aca="false">B574/SUM($A574:$C574)</f>
        <v>0.400251853810675</v>
      </c>
      <c r="F574" s="0" t="n">
        <f aca="false">C574/SUM($A574:$C574)</f>
        <v>0.566473895197764</v>
      </c>
      <c r="G574" s="0" t="n">
        <f aca="false">SUMPRODUCT(D574:F574,Stats!$B$6:$D$6)</f>
        <v>0.363893378305993</v>
      </c>
      <c r="H574" s="0" t="n">
        <f aca="false">SQRT(SUMPRODUCT(MMULT(D574:F574,Stats!$B$12:$D$14),D574:F574))</f>
        <v>0.241881296441936</v>
      </c>
      <c r="I574" s="0" t="n">
        <f aca="false">(G574-Stats!$B$2)/H574</f>
        <v>1.33079069378671</v>
      </c>
    </row>
    <row r="575" customFormat="false" ht="15" hidden="false" customHeight="false" outlineLevel="0" collapsed="false">
      <c r="A575" s="0" t="n">
        <v>0.239180104215926</v>
      </c>
      <c r="B575" s="0" t="n">
        <v>0.142249368687196</v>
      </c>
      <c r="C575" s="0" t="n">
        <v>0.121384939422429</v>
      </c>
      <c r="D575" s="0" t="n">
        <f aca="false">A575/SUM($A575:$C575)</f>
        <v>0.475682674069944</v>
      </c>
      <c r="E575" s="0" t="n">
        <f aca="false">B575/SUM($A575:$C575)</f>
        <v>0.282906307377474</v>
      </c>
      <c r="F575" s="0" t="n">
        <f aca="false">C575/SUM($A575:$C575)</f>
        <v>0.241411018552582</v>
      </c>
      <c r="G575" s="0" t="n">
        <f aca="false">SUMPRODUCT(D575:F575,Stats!$B$6:$D$6)</f>
        <v>0.36610495123933</v>
      </c>
      <c r="H575" s="0" t="n">
        <f aca="false">SQRT(SUMPRODUCT(MMULT(D575:F575,Stats!$B$12:$D$14),D575:F575))</f>
        <v>0.223329135381216</v>
      </c>
      <c r="I575" s="0" t="n">
        <f aca="false">(G575-Stats!$B$2)/H575</f>
        <v>1.45124347831326</v>
      </c>
    </row>
    <row r="576" customFormat="false" ht="15" hidden="false" customHeight="false" outlineLevel="0" collapsed="false">
      <c r="A576" s="0" t="n">
        <v>0.303275147567596</v>
      </c>
      <c r="B576" s="0" t="n">
        <v>0.101045811010647</v>
      </c>
      <c r="C576" s="0" t="n">
        <v>0.692161341694132</v>
      </c>
      <c r="D576" s="0" t="n">
        <f aca="false">A576/SUM($A576:$C576)</f>
        <v>0.276589186612734</v>
      </c>
      <c r="E576" s="0" t="n">
        <f aca="false">B576/SUM($A576:$C576)</f>
        <v>0.092154529977863</v>
      </c>
      <c r="F576" s="0" t="n">
        <f aca="false">C576/SUM($A576:$C576)</f>
        <v>0.631256283409403</v>
      </c>
      <c r="G576" s="0" t="n">
        <f aca="false">SUMPRODUCT(D576:F576,Stats!$B$6:$D$6)</f>
        <v>0.344379507616896</v>
      </c>
      <c r="H576" s="0" t="n">
        <f aca="false">SQRT(SUMPRODUCT(MMULT(D576:F576,Stats!$B$12:$D$14),D576:F576))</f>
        <v>0.23161060573741</v>
      </c>
      <c r="I576" s="0" t="n">
        <f aca="false">(G576-Stats!$B$2)/H576</f>
        <v>1.30555121452306</v>
      </c>
    </row>
    <row r="577" customFormat="false" ht="15" hidden="false" customHeight="false" outlineLevel="0" collapsed="false">
      <c r="A577" s="0" t="n">
        <v>0.0622917981300627</v>
      </c>
      <c r="B577" s="0" t="n">
        <v>0.50942212814979</v>
      </c>
      <c r="C577" s="0" t="n">
        <v>0.996696853852977</v>
      </c>
      <c r="D577" s="0" t="n">
        <f aca="false">A577/SUM($A577:$C577)</f>
        <v>0.039716507256337</v>
      </c>
      <c r="E577" s="0" t="n">
        <f aca="false">B577/SUM($A577:$C577)</f>
        <v>0.324801470764341</v>
      </c>
      <c r="F577" s="0" t="n">
        <f aca="false">C577/SUM($A577:$C577)</f>
        <v>0.635482021979323</v>
      </c>
      <c r="G577" s="0" t="n">
        <f aca="false">SUMPRODUCT(D577:F577,Stats!$B$6:$D$6)</f>
        <v>0.357649188364946</v>
      </c>
      <c r="H577" s="0" t="n">
        <f aca="false">SQRT(SUMPRODUCT(MMULT(D577:F577,Stats!$B$12:$D$14),D577:F577))</f>
        <v>0.242735516947993</v>
      </c>
      <c r="I577" s="0" t="n">
        <f aca="false">(G577-Stats!$B$2)/H577</f>
        <v>1.30038320033971</v>
      </c>
    </row>
    <row r="578" customFormat="false" ht="15" hidden="false" customHeight="false" outlineLevel="0" collapsed="false">
      <c r="A578" s="0" t="n">
        <v>0.813970269506019</v>
      </c>
      <c r="B578" s="0" t="n">
        <v>0.615219438231011</v>
      </c>
      <c r="C578" s="0" t="n">
        <v>0.306253620786612</v>
      </c>
      <c r="D578" s="0" t="n">
        <f aca="false">A578/SUM($A578:$C578)</f>
        <v>0.469027283189058</v>
      </c>
      <c r="E578" s="0" t="n">
        <f aca="false">B578/SUM($A578:$C578)</f>
        <v>0.354502753342216</v>
      </c>
      <c r="F578" s="0" t="n">
        <f aca="false">C578/SUM($A578:$C578)</f>
        <v>0.176469963468726</v>
      </c>
      <c r="G578" s="0" t="n">
        <f aca="false">SUMPRODUCT(D578:F578,Stats!$B$6:$D$6)</f>
        <v>0.372015242690969</v>
      </c>
      <c r="H578" s="0" t="n">
        <f aca="false">SQRT(SUMPRODUCT(MMULT(D578:F578,Stats!$B$12:$D$14),D578:F578))</f>
        <v>0.224651661831121</v>
      </c>
      <c r="I578" s="0" t="n">
        <f aca="false">(G578-Stats!$B$2)/H578</f>
        <v>1.46900868660858</v>
      </c>
    </row>
    <row r="579" customFormat="false" ht="15" hidden="false" customHeight="false" outlineLevel="0" collapsed="false">
      <c r="A579" s="0" t="n">
        <v>0.623895836291639</v>
      </c>
      <c r="B579" s="0" t="n">
        <v>0.527041463911652</v>
      </c>
      <c r="C579" s="0" t="n">
        <v>0.426083383890372</v>
      </c>
      <c r="D579" s="0" t="n">
        <f aca="false">A579/SUM($A579:$C579)</f>
        <v>0.395616774456069</v>
      </c>
      <c r="E579" s="0" t="n">
        <f aca="false">B579/SUM($A579:$C579)</f>
        <v>0.3342007300396</v>
      </c>
      <c r="F579" s="0" t="n">
        <f aca="false">C579/SUM($A579:$C579)</f>
        <v>0.27018249550433</v>
      </c>
      <c r="G579" s="0" t="n">
        <f aca="false">SUMPRODUCT(D579:F579,Stats!$B$6:$D$6)</f>
        <v>0.368263003519384</v>
      </c>
      <c r="H579" s="0" t="n">
        <f aca="false">SQRT(SUMPRODUCT(MMULT(D579:F579,Stats!$B$12:$D$14),D579:F579))</f>
        <v>0.224911008118332</v>
      </c>
      <c r="I579" s="0" t="n">
        <f aca="false">(G579-Stats!$B$2)/H579</f>
        <v>1.45063154644582</v>
      </c>
    </row>
    <row r="580" customFormat="false" ht="15" hidden="false" customHeight="false" outlineLevel="0" collapsed="false">
      <c r="A580" s="0" t="n">
        <v>0.1307103767402</v>
      </c>
      <c r="B580" s="0" t="n">
        <v>0.886604215240467</v>
      </c>
      <c r="C580" s="0" t="n">
        <v>0.449784648821323</v>
      </c>
      <c r="D580" s="0" t="n">
        <f aca="false">A580/SUM($A580:$C580)</f>
        <v>0.0890944341766183</v>
      </c>
      <c r="E580" s="0" t="n">
        <f aca="false">B580/SUM($A580:$C580)</f>
        <v>0.604324636386428</v>
      </c>
      <c r="F580" s="0" t="n">
        <f aca="false">C580/SUM($A580:$C580)</f>
        <v>0.306580929436954</v>
      </c>
      <c r="G580" s="0" t="n">
        <f aca="false">SUMPRODUCT(D580:F580,Stats!$B$6:$D$6)</f>
        <v>0.382801910659932</v>
      </c>
      <c r="H580" s="0" t="n">
        <f aca="false">SQRT(SUMPRODUCT(MMULT(D580:F580,Stats!$B$12:$D$14),D580:F580))</f>
        <v>0.23851554520202</v>
      </c>
      <c r="I580" s="0" t="n">
        <f aca="false">(G580-Stats!$B$2)/H580</f>
        <v>1.42884569796604</v>
      </c>
    </row>
    <row r="581" customFormat="false" ht="15" hidden="false" customHeight="false" outlineLevel="0" collapsed="false">
      <c r="A581" s="0" t="n">
        <v>0.194622511820765</v>
      </c>
      <c r="B581" s="0" t="n">
        <v>0.36775935087729</v>
      </c>
      <c r="C581" s="0" t="n">
        <v>0.414129752528927</v>
      </c>
      <c r="D581" s="0" t="n">
        <f aca="false">A581/SUM($A581:$C581)</f>
        <v>0.199303837031705</v>
      </c>
      <c r="E581" s="0" t="n">
        <f aca="false">B581/SUM($A581:$C581)</f>
        <v>0.376605198691679</v>
      </c>
      <c r="F581" s="0" t="n">
        <f aca="false">C581/SUM($A581:$C581)</f>
        <v>0.424090964276617</v>
      </c>
      <c r="G581" s="0" t="n">
        <f aca="false">SUMPRODUCT(D581:F581,Stats!$B$6:$D$6)</f>
        <v>0.366458934932509</v>
      </c>
      <c r="H581" s="0" t="n">
        <f aca="false">SQRT(SUMPRODUCT(MMULT(D581:F581,Stats!$B$12:$D$14),D581:F581))</f>
        <v>0.231657416192641</v>
      </c>
      <c r="I581" s="0" t="n">
        <f aca="false">(G581-Stats!$B$2)/H581</f>
        <v>1.40059809120333</v>
      </c>
    </row>
    <row r="582" customFormat="false" ht="15" hidden="false" customHeight="false" outlineLevel="0" collapsed="false">
      <c r="A582" s="0" t="n">
        <v>0.827537895566874</v>
      </c>
      <c r="B582" s="0" t="n">
        <v>0.733614380561402</v>
      </c>
      <c r="C582" s="0" t="n">
        <v>0.76930489364134</v>
      </c>
      <c r="D582" s="0" t="n">
        <f aca="false">A582/SUM($A582:$C582)</f>
        <v>0.355096805168354</v>
      </c>
      <c r="E582" s="0" t="n">
        <f aca="false">B582/SUM($A582:$C582)</f>
        <v>0.31479419149073</v>
      </c>
      <c r="F582" s="0" t="n">
        <f aca="false">C582/SUM($A582:$C582)</f>
        <v>0.330109003340916</v>
      </c>
      <c r="G582" s="0" t="n">
        <f aca="false">SUMPRODUCT(D582:F582,Stats!$B$6:$D$6)</f>
        <v>0.365493926004026</v>
      </c>
      <c r="H582" s="0" t="n">
        <f aca="false">SQRT(SUMPRODUCT(MMULT(D582:F582,Stats!$B$12:$D$14),D582:F582))</f>
        <v>0.225599548222794</v>
      </c>
      <c r="I582" s="0" t="n">
        <f aca="false">(G582-Stats!$B$2)/H582</f>
        <v>1.43392984849666</v>
      </c>
    </row>
    <row r="583" customFormat="false" ht="15" hidden="false" customHeight="false" outlineLevel="0" collapsed="false">
      <c r="A583" s="0" t="n">
        <v>0.0110312644286472</v>
      </c>
      <c r="B583" s="0" t="n">
        <v>0.416153998179762</v>
      </c>
      <c r="C583" s="0" t="n">
        <v>0.481344151635324</v>
      </c>
      <c r="D583" s="0" t="n">
        <f aca="false">A583/SUM($A583:$C583)</f>
        <v>0.0121418902411979</v>
      </c>
      <c r="E583" s="0" t="n">
        <f aca="false">B583/SUM($A583:$C583)</f>
        <v>0.458052311411592</v>
      </c>
      <c r="F583" s="0" t="n">
        <f aca="false">C583/SUM($A583:$C583)</f>
        <v>0.52980579834721</v>
      </c>
      <c r="G583" s="0" t="n">
        <f aca="false">SUMPRODUCT(D583:F583,Stats!$B$6:$D$6)</f>
        <v>0.368230250494043</v>
      </c>
      <c r="H583" s="0" t="n">
        <f aca="false">SQRT(SUMPRODUCT(MMULT(D583:F583,Stats!$B$12:$D$14),D583:F583))</f>
        <v>0.242786731991635</v>
      </c>
      <c r="I583" s="0" t="n">
        <f aca="false">(G583-Stats!$B$2)/H583</f>
        <v>1.34369060375706</v>
      </c>
    </row>
    <row r="584" customFormat="false" ht="15" hidden="false" customHeight="false" outlineLevel="0" collapsed="false">
      <c r="A584" s="0" t="n">
        <v>0.0191922768230567</v>
      </c>
      <c r="B584" s="0" t="n">
        <v>0.259813208745034</v>
      </c>
      <c r="C584" s="0" t="n">
        <v>0.760289823122135</v>
      </c>
      <c r="D584" s="0" t="n">
        <f aca="false">A584/SUM($A584:$C584)</f>
        <v>0.0184666250896906</v>
      </c>
      <c r="E584" s="0" t="n">
        <f aca="false">B584/SUM($A584:$C584)</f>
        <v>0.249989783050656</v>
      </c>
      <c r="F584" s="0" t="n">
        <f aca="false">C584/SUM($A584:$C584)</f>
        <v>0.731543591859653</v>
      </c>
      <c r="G584" s="0" t="n">
        <f aca="false">SUMPRODUCT(D584:F584,Stats!$B$6:$D$6)</f>
        <v>0.350695759838545</v>
      </c>
      <c r="H584" s="0" t="n">
        <f aca="false">SQRT(SUMPRODUCT(MMULT(D584:F584,Stats!$B$12:$D$14),D584:F584))</f>
        <v>0.246576527739086</v>
      </c>
      <c r="I584" s="0" t="n">
        <f aca="false">(G584-Stats!$B$2)/H584</f>
        <v>1.2519267858504</v>
      </c>
    </row>
    <row r="585" customFormat="false" ht="15" hidden="false" customHeight="false" outlineLevel="0" collapsed="false">
      <c r="A585" s="0" t="n">
        <v>0.137109705728999</v>
      </c>
      <c r="B585" s="0" t="n">
        <v>0.535310131452592</v>
      </c>
      <c r="C585" s="0" t="n">
        <v>0.215201872017238</v>
      </c>
      <c r="D585" s="0" t="n">
        <f aca="false">A585/SUM($A585:$C585)</f>
        <v>0.154468625888787</v>
      </c>
      <c r="E585" s="0" t="n">
        <f aca="false">B585/SUM($A585:$C585)</f>
        <v>0.603083640141886</v>
      </c>
      <c r="F585" s="0" t="n">
        <f aca="false">C585/SUM($A585:$C585)</f>
        <v>0.242447733969328</v>
      </c>
      <c r="G585" s="0" t="n">
        <f aca="false">SUMPRODUCT(D585:F585,Stats!$B$6:$D$6)</f>
        <v>0.384498953540307</v>
      </c>
      <c r="H585" s="0" t="n">
        <f aca="false">SQRT(SUMPRODUCT(MMULT(D585:F585,Stats!$B$12:$D$14),D585:F585))</f>
        <v>0.235782024515382</v>
      </c>
      <c r="I585" s="0" t="n">
        <f aca="false">(G585-Stats!$B$2)/H585</f>
        <v>1.4526084176445</v>
      </c>
    </row>
    <row r="586" customFormat="false" ht="15" hidden="false" customHeight="false" outlineLevel="0" collapsed="false">
      <c r="A586" s="0" t="n">
        <v>0.0121207746438933</v>
      </c>
      <c r="B586" s="0" t="n">
        <v>0.241201457599542</v>
      </c>
      <c r="C586" s="0" t="n">
        <v>0.975873754910054</v>
      </c>
      <c r="D586" s="0" t="n">
        <f aca="false">A586/SUM($A586:$C586)</f>
        <v>0.00986073398430299</v>
      </c>
      <c r="E586" s="0" t="n">
        <f aca="false">B586/SUM($A586:$C586)</f>
        <v>0.196227013527846</v>
      </c>
      <c r="F586" s="0" t="n">
        <f aca="false">C586/SUM($A586:$C586)</f>
        <v>0.793912252487851</v>
      </c>
      <c r="G586" s="0" t="n">
        <f aca="false">SUMPRODUCT(D586:F586,Stats!$B$6:$D$6)</f>
        <v>0.34588252783542</v>
      </c>
      <c r="H586" s="0" t="n">
        <f aca="false">SQRT(SUMPRODUCT(MMULT(D586:F586,Stats!$B$12:$D$14),D586:F586))</f>
        <v>0.249269583808251</v>
      </c>
      <c r="I586" s="0" t="n">
        <f aca="false">(G586-Stats!$B$2)/H586</f>
        <v>1.21909188916197</v>
      </c>
    </row>
    <row r="587" customFormat="false" ht="15" hidden="false" customHeight="false" outlineLevel="0" collapsed="false">
      <c r="A587" s="0" t="n">
        <v>0.80153711188299</v>
      </c>
      <c r="B587" s="0" t="n">
        <v>0.959576644321033</v>
      </c>
      <c r="C587" s="0" t="n">
        <v>0.487854043926362</v>
      </c>
      <c r="D587" s="0" t="n">
        <f aca="false">A587/SUM($A587:$C587)</f>
        <v>0.356402217869247</v>
      </c>
      <c r="E587" s="0" t="n">
        <f aca="false">B587/SUM($A587:$C587)</f>
        <v>0.426674247743966</v>
      </c>
      <c r="F587" s="0" t="n">
        <f aca="false">C587/SUM($A587:$C587)</f>
        <v>0.216923534386788</v>
      </c>
      <c r="G587" s="0" t="n">
        <f aca="false">SUMPRODUCT(D587:F587,Stats!$B$6:$D$6)</f>
        <v>0.375052405410304</v>
      </c>
      <c r="H587" s="0" t="n">
        <f aca="false">SQRT(SUMPRODUCT(MMULT(D587:F587,Stats!$B$12:$D$14),D587:F587))</f>
        <v>0.227025823058308</v>
      </c>
      <c r="I587" s="0" t="n">
        <f aca="false">(G587-Stats!$B$2)/H587</f>
        <v>1.46702432755751</v>
      </c>
    </row>
    <row r="588" customFormat="false" ht="15" hidden="false" customHeight="false" outlineLevel="0" collapsed="false">
      <c r="A588" s="0" t="n">
        <v>0.109736198677504</v>
      </c>
      <c r="B588" s="0" t="n">
        <v>0.547959488973693</v>
      </c>
      <c r="C588" s="0" t="n">
        <v>0.454377334559961</v>
      </c>
      <c r="D588" s="0" t="n">
        <f aca="false">A588/SUM($A588:$C588)</f>
        <v>0.0986771520266833</v>
      </c>
      <c r="E588" s="0" t="n">
        <f aca="false">B588/SUM($A588:$C588)</f>
        <v>0.492736967833438</v>
      </c>
      <c r="F588" s="0" t="n">
        <f aca="false">C588/SUM($A588:$C588)</f>
        <v>0.408585880139879</v>
      </c>
      <c r="G588" s="0" t="n">
        <f aca="false">SUMPRODUCT(D588:F588,Stats!$B$6:$D$6)</f>
        <v>0.373568553354019</v>
      </c>
      <c r="H588" s="0" t="n">
        <f aca="false">SQRT(SUMPRODUCT(MMULT(D588:F588,Stats!$B$12:$D$14),D588:F588))</f>
        <v>0.237041385226295</v>
      </c>
      <c r="I588" s="0" t="n">
        <f aca="false">(G588-Stats!$B$2)/H588</f>
        <v>1.39877917536418</v>
      </c>
    </row>
    <row r="589" customFormat="false" ht="15" hidden="false" customHeight="false" outlineLevel="0" collapsed="false">
      <c r="A589" s="0" t="n">
        <v>0.844357082739616</v>
      </c>
      <c r="B589" s="0" t="n">
        <v>0.0980825807842446</v>
      </c>
      <c r="C589" s="0" t="n">
        <v>0.488241137021778</v>
      </c>
      <c r="D589" s="0" t="n">
        <f aca="false">A589/SUM($A589:$C589)</f>
        <v>0.590178523691372</v>
      </c>
      <c r="E589" s="0" t="n">
        <f aca="false">B589/SUM($A589:$C589)</f>
        <v>0.0685565786210575</v>
      </c>
      <c r="F589" s="0" t="n">
        <f aca="false">C589/SUM($A589:$C589)</f>
        <v>0.34126489768757</v>
      </c>
      <c r="G589" s="0" t="n">
        <f aca="false">SUMPRODUCT(D589:F589,Stats!$B$6:$D$6)</f>
        <v>0.351018112962785</v>
      </c>
      <c r="H589" s="0" t="n">
        <f aca="false">SQRT(SUMPRODUCT(MMULT(D589:F589,Stats!$B$12:$D$14),D589:F589))</f>
        <v>0.221340980302738</v>
      </c>
      <c r="I589" s="0" t="n">
        <f aca="false">(G589-Stats!$B$2)/H589</f>
        <v>1.39611793776339</v>
      </c>
    </row>
    <row r="590" customFormat="false" ht="15" hidden="false" customHeight="false" outlineLevel="0" collapsed="false">
      <c r="A590" s="0" t="n">
        <v>0.150048664693984</v>
      </c>
      <c r="B590" s="0" t="n">
        <v>0.32467592689006</v>
      </c>
      <c r="C590" s="0" t="n">
        <v>0.7373570773878</v>
      </c>
      <c r="D590" s="0" t="n">
        <f aca="false">A590/SUM($A590:$C590)</f>
        <v>0.123794186922457</v>
      </c>
      <c r="E590" s="0" t="n">
        <f aca="false">B590/SUM($A590:$C590)</f>
        <v>0.267866378315471</v>
      </c>
      <c r="F590" s="0" t="n">
        <f aca="false">C590/SUM($A590:$C590)</f>
        <v>0.608339434762071</v>
      </c>
      <c r="G590" s="0" t="n">
        <f aca="false">SUMPRODUCT(D590:F590,Stats!$B$6:$D$6)</f>
        <v>0.355121663238014</v>
      </c>
      <c r="H590" s="0" t="n">
        <f aca="false">SQRT(SUMPRODUCT(MMULT(D590:F590,Stats!$B$12:$D$14),D590:F590))</f>
        <v>0.237522076008934</v>
      </c>
      <c r="I590" s="0" t="n">
        <f aca="false">(G590-Stats!$B$2)/H590</f>
        <v>1.31828446643518</v>
      </c>
    </row>
    <row r="591" customFormat="false" ht="15" hidden="false" customHeight="false" outlineLevel="0" collapsed="false">
      <c r="A591" s="0" t="n">
        <v>0.476018129368767</v>
      </c>
      <c r="B591" s="0" t="n">
        <v>0.375888285145769</v>
      </c>
      <c r="C591" s="0" t="n">
        <v>0.394476278570035</v>
      </c>
      <c r="D591" s="0" t="n">
        <f aca="false">A591/SUM($A591:$C591)</f>
        <v>0.381919720170944</v>
      </c>
      <c r="E591" s="0" t="n">
        <f aca="false">B591/SUM($A591:$C591)</f>
        <v>0.301583363786538</v>
      </c>
      <c r="F591" s="0" t="n">
        <f aca="false">C591/SUM($A591:$C591)</f>
        <v>0.316496916042518</v>
      </c>
      <c r="G591" s="0" t="n">
        <f aca="false">SUMPRODUCT(D591:F591,Stats!$B$6:$D$6)</f>
        <v>0.365109140148136</v>
      </c>
      <c r="H591" s="0" t="n">
        <f aca="false">SQRT(SUMPRODUCT(MMULT(D591:F591,Stats!$B$12:$D$14),D591:F591))</f>
        <v>0.224858696090143</v>
      </c>
      <c r="I591" s="0" t="n">
        <f aca="false">(G591-Stats!$B$2)/H591</f>
        <v>1.43694304808477</v>
      </c>
    </row>
    <row r="592" customFormat="false" ht="15" hidden="false" customHeight="false" outlineLevel="0" collapsed="false">
      <c r="A592" s="0" t="n">
        <v>0.459446768405987</v>
      </c>
      <c r="B592" s="0" t="n">
        <v>0.785016543837057</v>
      </c>
      <c r="C592" s="0" t="n">
        <v>0.892084688940234</v>
      </c>
      <c r="D592" s="0" t="n">
        <f aca="false">A592/SUM($A592:$C592)</f>
        <v>0.215041631712245</v>
      </c>
      <c r="E592" s="0" t="n">
        <f aca="false">B592/SUM($A592:$C592)</f>
        <v>0.367422844421138</v>
      </c>
      <c r="F592" s="0" t="n">
        <f aca="false">C592/SUM($A592:$C592)</f>
        <v>0.417535523866618</v>
      </c>
      <c r="G592" s="0" t="n">
        <f aca="false">SUMPRODUCT(D592:F592,Stats!$B$6:$D$6)</f>
        <v>0.366111357900221</v>
      </c>
      <c r="H592" s="0" t="n">
        <f aca="false">SQRT(SUMPRODUCT(MMULT(D592:F592,Stats!$B$12:$D$14),D592:F592))</f>
        <v>0.230907946573436</v>
      </c>
      <c r="I592" s="0" t="n">
        <f aca="false">(G592-Stats!$B$2)/H592</f>
        <v>1.40363882105349</v>
      </c>
    </row>
    <row r="593" customFormat="false" ht="15" hidden="false" customHeight="false" outlineLevel="0" collapsed="false">
      <c r="A593" s="0" t="n">
        <v>0.955334686503928</v>
      </c>
      <c r="B593" s="0" t="n">
        <v>0.786903386255295</v>
      </c>
      <c r="C593" s="0" t="n">
        <v>0.315406895748013</v>
      </c>
      <c r="D593" s="0" t="n">
        <f aca="false">A593/SUM($A593:$C593)</f>
        <v>0.464285482250612</v>
      </c>
      <c r="E593" s="0" t="n">
        <f aca="false">B593/SUM($A593:$C593)</f>
        <v>0.382429135394612</v>
      </c>
      <c r="F593" s="0" t="n">
        <f aca="false">C593/SUM($A593:$C593)</f>
        <v>0.153285382354776</v>
      </c>
      <c r="G593" s="0" t="n">
        <f aca="false">SUMPRODUCT(D593:F593,Stats!$B$6:$D$6)</f>
        <v>0.374261396476813</v>
      </c>
      <c r="H593" s="0" t="n">
        <f aca="false">SQRT(SUMPRODUCT(MMULT(D593:F593,Stats!$B$12:$D$14),D593:F593))</f>
        <v>0.225309938059705</v>
      </c>
      <c r="I593" s="0" t="n">
        <f aca="false">(G593-Stats!$B$2)/H593</f>
        <v>1.47468593413206</v>
      </c>
    </row>
    <row r="594" customFormat="false" ht="15" hidden="false" customHeight="false" outlineLevel="0" collapsed="false">
      <c r="A594" s="0" t="n">
        <v>0.688134706086542</v>
      </c>
      <c r="B594" s="0" t="n">
        <v>0.437603124055392</v>
      </c>
      <c r="C594" s="0" t="n">
        <v>0.254670622046051</v>
      </c>
      <c r="D594" s="0" t="n">
        <f aca="false">A594/SUM($A594:$C594)</f>
        <v>0.498500791556173</v>
      </c>
      <c r="E594" s="0" t="n">
        <f aca="false">B594/SUM($A594:$C594)</f>
        <v>0.317009884546693</v>
      </c>
      <c r="F594" s="0" t="n">
        <f aca="false">C594/SUM($A594:$C594)</f>
        <v>0.184489323897134</v>
      </c>
      <c r="G594" s="0" t="n">
        <f aca="false">SUMPRODUCT(D594:F594,Stats!$B$6:$D$6)</f>
        <v>0.36963682076714</v>
      </c>
      <c r="H594" s="0" t="n">
        <f aca="false">SQRT(SUMPRODUCT(MMULT(D594:F594,Stats!$B$12:$D$14),D594:F594))</f>
        <v>0.223876069062505</v>
      </c>
      <c r="I594" s="0" t="n">
        <f aca="false">(G594-Stats!$B$2)/H594</f>
        <v>1.46347406464273</v>
      </c>
    </row>
    <row r="595" customFormat="false" ht="15" hidden="false" customHeight="false" outlineLevel="0" collapsed="false">
      <c r="A595" s="0" t="n">
        <v>0.840871579425923</v>
      </c>
      <c r="B595" s="0" t="n">
        <v>0.038426348962325</v>
      </c>
      <c r="C595" s="0" t="n">
        <v>0.901761992135424</v>
      </c>
      <c r="D595" s="0" t="n">
        <f aca="false">A595/SUM($A595:$C595)</f>
        <v>0.472118635502554</v>
      </c>
      <c r="E595" s="0" t="n">
        <f aca="false">B595/SUM($A595:$C595)</f>
        <v>0.021574989431589</v>
      </c>
      <c r="F595" s="0" t="n">
        <f aca="false">C595/SUM($A595:$C595)</f>
        <v>0.506306375065857</v>
      </c>
      <c r="G595" s="0" t="n">
        <f aca="false">SUMPRODUCT(D595:F595,Stats!$B$6:$D$6)</f>
        <v>0.343763897867488</v>
      </c>
      <c r="H595" s="0" t="n">
        <f aca="false">SQRT(SUMPRODUCT(MMULT(D595:F595,Stats!$B$12:$D$14),D595:F595))</f>
        <v>0.224008084583358</v>
      </c>
      <c r="I595" s="0" t="n">
        <f aca="false">(G595-Stats!$B$2)/H595</f>
        <v>1.34711163853194</v>
      </c>
    </row>
    <row r="596" customFormat="false" ht="15" hidden="false" customHeight="false" outlineLevel="0" collapsed="false">
      <c r="A596" s="0" t="n">
        <v>0.461477464624734</v>
      </c>
      <c r="B596" s="0" t="n">
        <v>0.63720147680828</v>
      </c>
      <c r="C596" s="0" t="n">
        <v>0.659353922205783</v>
      </c>
      <c r="D596" s="0" t="n">
        <f aca="false">A596/SUM($A596:$C596)</f>
        <v>0.262496494900307</v>
      </c>
      <c r="E596" s="0" t="n">
        <f aca="false">B596/SUM($A596:$C596)</f>
        <v>0.362451402352851</v>
      </c>
      <c r="F596" s="0" t="n">
        <f aca="false">C596/SUM($A596:$C596)</f>
        <v>0.375052102746842</v>
      </c>
      <c r="G596" s="0" t="n">
        <f aca="false">SUMPRODUCT(D596:F596,Stats!$B$6:$D$6)</f>
        <v>0.366996771555418</v>
      </c>
      <c r="H596" s="0" t="n">
        <f aca="false">SQRT(SUMPRODUCT(MMULT(D596:F596,Stats!$B$12:$D$14),D596:F596))</f>
        <v>0.228847670318211</v>
      </c>
      <c r="I596" s="0" t="n">
        <f aca="false">(G596-Stats!$B$2)/H596</f>
        <v>1.42014454900726</v>
      </c>
    </row>
    <row r="597" customFormat="false" ht="15" hidden="false" customHeight="false" outlineLevel="0" collapsed="false">
      <c r="A597" s="0" t="n">
        <v>0.895117740706536</v>
      </c>
      <c r="B597" s="0" t="n">
        <v>0.636669682167207</v>
      </c>
      <c r="C597" s="0" t="n">
        <v>0.613933584760062</v>
      </c>
      <c r="D597" s="0" t="n">
        <f aca="false">A597/SUM($A597:$C597)</f>
        <v>0.417164084949528</v>
      </c>
      <c r="E597" s="0" t="n">
        <f aca="false">B597/SUM($A597:$C597)</f>
        <v>0.29671596628925</v>
      </c>
      <c r="F597" s="0" t="n">
        <f aca="false">C597/SUM($A597:$C597)</f>
        <v>0.286119948761222</v>
      </c>
      <c r="G597" s="0" t="n">
        <f aca="false">SUMPRODUCT(D597:F597,Stats!$B$6:$D$6)</f>
        <v>0.365666709585077</v>
      </c>
      <c r="H597" s="0" t="n">
        <f aca="false">SQRT(SUMPRODUCT(MMULT(D597:F597,Stats!$B$12:$D$14),D597:F597))</f>
        <v>0.22413869792442</v>
      </c>
      <c r="I597" s="0" t="n">
        <f aca="false">(G597-Stats!$B$2)/H597</f>
        <v>1.44404653271529</v>
      </c>
    </row>
    <row r="598" customFormat="false" ht="15" hidden="false" customHeight="false" outlineLevel="0" collapsed="false">
      <c r="A598" s="0" t="n">
        <v>0.06665204056069</v>
      </c>
      <c r="B598" s="0" t="n">
        <v>0.518408021945204</v>
      </c>
      <c r="C598" s="0" t="n">
        <v>0.150169000817042</v>
      </c>
      <c r="D598" s="0" t="n">
        <f aca="false">A598/SUM($A598:$C598)</f>
        <v>0.0906547957441316</v>
      </c>
      <c r="E598" s="0" t="n">
        <f aca="false">B598/SUM($A598:$C598)</f>
        <v>0.705097292539295</v>
      </c>
      <c r="F598" s="0" t="n">
        <f aca="false">C598/SUM($A598:$C598)</f>
        <v>0.204247911716573</v>
      </c>
      <c r="G598" s="0" t="n">
        <f aca="false">SUMPRODUCT(D598:F598,Stats!$B$6:$D$6)</f>
        <v>0.391422032471762</v>
      </c>
      <c r="H598" s="0" t="n">
        <f aca="false">SQRT(SUMPRODUCT(MMULT(D598:F598,Stats!$B$12:$D$14),D598:F598))</f>
        <v>0.240532805677149</v>
      </c>
      <c r="I598" s="0" t="n">
        <f aca="false">(G598-Stats!$B$2)/H598</f>
        <v>1.45270010669883</v>
      </c>
    </row>
    <row r="599" customFormat="false" ht="15" hidden="false" customHeight="false" outlineLevel="0" collapsed="false">
      <c r="A599" s="0" t="n">
        <v>0.737433768721486</v>
      </c>
      <c r="B599" s="0" t="n">
        <v>0.512221920812675</v>
      </c>
      <c r="C599" s="0" t="n">
        <v>0.680227779208353</v>
      </c>
      <c r="D599" s="0" t="n">
        <f aca="false">A599/SUM($A599:$C599)</f>
        <v>0.382113107172211</v>
      </c>
      <c r="E599" s="0" t="n">
        <f aca="false">B599/SUM($A599:$C599)</f>
        <v>0.2654159844928</v>
      </c>
      <c r="F599" s="0" t="n">
        <f aca="false">C599/SUM($A599:$C599)</f>
        <v>0.352470908334989</v>
      </c>
      <c r="G599" s="0" t="n">
        <f aca="false">SUMPRODUCT(D599:F599,Stats!$B$6:$D$6)</f>
        <v>0.362036146952958</v>
      </c>
      <c r="H599" s="0" t="n">
        <f aca="false">SQRT(SUMPRODUCT(MMULT(D599:F599,Stats!$B$12:$D$14),D599:F599))</f>
        <v>0.224677944318974</v>
      </c>
      <c r="I599" s="0" t="n">
        <f aca="false">(G599-Stats!$B$2)/H599</f>
        <v>1.42442173361976</v>
      </c>
    </row>
    <row r="600" customFormat="false" ht="15" hidden="false" customHeight="false" outlineLevel="0" collapsed="false">
      <c r="A600" s="0" t="n">
        <v>0.0416729006023843</v>
      </c>
      <c r="B600" s="0" t="n">
        <v>0.0847920160458032</v>
      </c>
      <c r="C600" s="0" t="n">
        <v>0.716323388062682</v>
      </c>
      <c r="D600" s="0" t="n">
        <f aca="false">A600/SUM($A600:$C600)</f>
        <v>0.049446462853659</v>
      </c>
      <c r="E600" s="0" t="n">
        <f aca="false">B600/SUM($A600:$C600)</f>
        <v>0.10060891397264</v>
      </c>
      <c r="F600" s="0" t="n">
        <f aca="false">C600/SUM($A600:$C600)</f>
        <v>0.849944623173701</v>
      </c>
      <c r="G600" s="0" t="n">
        <f aca="false">SUMPRODUCT(D600:F600,Stats!$B$6:$D$6)</f>
        <v>0.338835715072618</v>
      </c>
      <c r="H600" s="0" t="n">
        <f aca="false">SQRT(SUMPRODUCT(MMULT(D600:F600,Stats!$B$12:$D$14),D600:F600))</f>
        <v>0.249476206573348</v>
      </c>
      <c r="I600" s="0" t="n">
        <f aca="false">(G600-Stats!$B$2)/H600</f>
        <v>1.18983577291707</v>
      </c>
    </row>
    <row r="601" customFormat="false" ht="15" hidden="false" customHeight="false" outlineLevel="0" collapsed="false">
      <c r="A601" s="0" t="n">
        <v>0.0720843359986734</v>
      </c>
      <c r="B601" s="0" t="n">
        <v>0.0712567277652586</v>
      </c>
      <c r="C601" s="0" t="n">
        <v>0.0121084752348875</v>
      </c>
      <c r="D601" s="0" t="n">
        <f aca="false">A601/SUM($A601:$C601)</f>
        <v>0.463715341087122</v>
      </c>
      <c r="E601" s="0" t="n">
        <f aca="false">B601/SUM($A601:$C601)</f>
        <v>0.458391373973774</v>
      </c>
      <c r="F601" s="0" t="n">
        <f aca="false">C601/SUM($A601:$C601)</f>
        <v>0.0778932849391043</v>
      </c>
      <c r="G601" s="0" t="n">
        <f aca="false">SUMPRODUCT(D601:F601,Stats!$B$6:$D$6)</f>
        <v>0.380711073457569</v>
      </c>
      <c r="H601" s="0" t="n">
        <f aca="false">SQRT(SUMPRODUCT(MMULT(D601:F601,Stats!$B$12:$D$14),D601:F601))</f>
        <v>0.227561127842641</v>
      </c>
      <c r="I601" s="0" t="n">
        <f aca="false">(G601-Stats!$B$2)/H601</f>
        <v>1.48843994872353</v>
      </c>
    </row>
    <row r="602" customFormat="false" ht="15" hidden="false" customHeight="false" outlineLevel="0" collapsed="false">
      <c r="A602" s="0" t="n">
        <v>0.95650139829948</v>
      </c>
      <c r="B602" s="0" t="n">
        <v>0.737508359459007</v>
      </c>
      <c r="C602" s="0" t="n">
        <v>0.353251408502064</v>
      </c>
      <c r="D602" s="0" t="n">
        <f aca="false">A602/SUM($A602:$C602)</f>
        <v>0.467210248532477</v>
      </c>
      <c r="E602" s="0" t="n">
        <f aca="false">B602/SUM($A602:$C602)</f>
        <v>0.360241463870539</v>
      </c>
      <c r="F602" s="0" t="n">
        <f aca="false">C602/SUM($A602:$C602)</f>
        <v>0.172548287596985</v>
      </c>
      <c r="G602" s="0" t="n">
        <f aca="false">SUMPRODUCT(D602:F602,Stats!$B$6:$D$6)</f>
        <v>0.372453579371108</v>
      </c>
      <c r="H602" s="0" t="n">
        <f aca="false">SQRT(SUMPRODUCT(MMULT(D602:F602,Stats!$B$12:$D$14),D602:F602))</f>
        <v>0.224780840642472</v>
      </c>
      <c r="I602" s="0" t="n">
        <f aca="false">(G602-Stats!$B$2)/H602</f>
        <v>1.47011452767327</v>
      </c>
    </row>
    <row r="603" customFormat="false" ht="15" hidden="false" customHeight="false" outlineLevel="0" collapsed="false">
      <c r="A603" s="0" t="n">
        <v>0.296535581287655</v>
      </c>
      <c r="B603" s="0" t="n">
        <v>0.34970322974585</v>
      </c>
      <c r="C603" s="0" t="n">
        <v>0.774653531181182</v>
      </c>
      <c r="D603" s="0" t="n">
        <f aca="false">A603/SUM($A603:$C603)</f>
        <v>0.208696727033842</v>
      </c>
      <c r="E603" s="0" t="n">
        <f aca="false">B603/SUM($A603:$C603)</f>
        <v>0.246115218835497</v>
      </c>
      <c r="F603" s="0" t="n">
        <f aca="false">C603/SUM($A603:$C603)</f>
        <v>0.545188054130661</v>
      </c>
      <c r="G603" s="0" t="n">
        <f aca="false">SUMPRODUCT(D603:F603,Stats!$B$6:$D$6)</f>
        <v>0.355611504705124</v>
      </c>
      <c r="H603" s="0" t="n">
        <f aca="false">SQRT(SUMPRODUCT(MMULT(D603:F603,Stats!$B$12:$D$14),D603:F603))</f>
        <v>0.232310480148962</v>
      </c>
      <c r="I603" s="0" t="n">
        <f aca="false">(G603-Stats!$B$2)/H603</f>
        <v>1.34996709792873</v>
      </c>
    </row>
    <row r="604" customFormat="false" ht="15" hidden="false" customHeight="false" outlineLevel="0" collapsed="false">
      <c r="A604" s="0" t="n">
        <v>0.661370611070414</v>
      </c>
      <c r="B604" s="0" t="n">
        <v>0.185195567867468</v>
      </c>
      <c r="C604" s="0" t="n">
        <v>0.174109335334084</v>
      </c>
      <c r="D604" s="0" t="n">
        <f aca="false">A604/SUM($A604:$C604)</f>
        <v>0.647973427227909</v>
      </c>
      <c r="E604" s="0" t="n">
        <f aca="false">B604/SUM($A604:$C604)</f>
        <v>0.181444117428021</v>
      </c>
      <c r="F604" s="0" t="n">
        <f aca="false">C604/SUM($A604:$C604)</f>
        <v>0.170582455344071</v>
      </c>
      <c r="G604" s="0" t="n">
        <f aca="false">SUMPRODUCT(D604:F604,Stats!$B$6:$D$6)</f>
        <v>0.362220018537958</v>
      </c>
      <c r="H604" s="0" t="n">
        <f aca="false">SQRT(SUMPRODUCT(MMULT(D604:F604,Stats!$B$12:$D$14),D604:F604))</f>
        <v>0.22271838542794</v>
      </c>
      <c r="I604" s="0" t="n">
        <f aca="false">(G604-Stats!$B$2)/H604</f>
        <v>1.43777990273535</v>
      </c>
    </row>
    <row r="605" customFormat="false" ht="15" hidden="false" customHeight="false" outlineLevel="0" collapsed="false">
      <c r="A605" s="0" t="n">
        <v>0.0983956497133973</v>
      </c>
      <c r="B605" s="0" t="n">
        <v>0.660302719701338</v>
      </c>
      <c r="C605" s="0" t="n">
        <v>0.764372662221736</v>
      </c>
      <c r="D605" s="0" t="n">
        <f aca="false">A605/SUM($A605:$C605)</f>
        <v>0.064603454251031</v>
      </c>
      <c r="E605" s="0" t="n">
        <f aca="false">B605/SUM($A605:$C605)</f>
        <v>0.43353376565233</v>
      </c>
      <c r="F605" s="0" t="n">
        <f aca="false">C605/SUM($A605:$C605)</f>
        <v>0.501862780096639</v>
      </c>
      <c r="G605" s="0" t="n">
        <f aca="false">SUMPRODUCT(D605:F605,Stats!$B$6:$D$6)</f>
        <v>0.367590003085598</v>
      </c>
      <c r="H605" s="0" t="n">
        <f aca="false">SQRT(SUMPRODUCT(MMULT(D605:F605,Stats!$B$12:$D$14),D605:F605))</f>
        <v>0.239287063984441</v>
      </c>
      <c r="I605" s="0" t="n">
        <f aca="false">(G605-Stats!$B$2)/H605</f>
        <v>1.36066696487516</v>
      </c>
    </row>
    <row r="606" customFormat="false" ht="15" hidden="false" customHeight="false" outlineLevel="0" collapsed="false">
      <c r="A606" s="0" t="n">
        <v>0.265046428325004</v>
      </c>
      <c r="B606" s="0" t="n">
        <v>0.0209449610309128</v>
      </c>
      <c r="C606" s="0" t="n">
        <v>0.0821716674764274</v>
      </c>
      <c r="D606" s="0" t="n">
        <f aca="false">A606/SUM($A606:$C606)</f>
        <v>0.719915872617556</v>
      </c>
      <c r="E606" s="0" t="n">
        <f aca="false">B606/SUM($A606:$C606)</f>
        <v>0.0568904474314239</v>
      </c>
      <c r="F606" s="0" t="n">
        <f aca="false">C606/SUM($A606:$C606)</f>
        <v>0.22319367995102</v>
      </c>
      <c r="G606" s="0" t="n">
        <f aca="false">SUMPRODUCT(D606:F606,Stats!$B$6:$D$6)</f>
        <v>0.353602627289819</v>
      </c>
      <c r="H606" s="0" t="n">
        <f aca="false">SQRT(SUMPRODUCT(MMULT(D606:F606,Stats!$B$12:$D$14),D606:F606))</f>
        <v>0.222294187127599</v>
      </c>
      <c r="I606" s="0" t="n">
        <f aca="false">(G606-Stats!$B$2)/H606</f>
        <v>1.40175787462655</v>
      </c>
    </row>
    <row r="607" customFormat="false" ht="15" hidden="false" customHeight="false" outlineLevel="0" collapsed="false">
      <c r="A607" s="0" t="n">
        <v>0.967860034845031</v>
      </c>
      <c r="B607" s="0" t="n">
        <v>0.29544477747742</v>
      </c>
      <c r="C607" s="0" t="n">
        <v>0.769223147838134</v>
      </c>
      <c r="D607" s="0" t="n">
        <f aca="false">A607/SUM($A607:$C607)</f>
        <v>0.476185348401585</v>
      </c>
      <c r="E607" s="0" t="n">
        <f aca="false">B607/SUM($A607:$C607)</f>
        <v>0.145358284495175</v>
      </c>
      <c r="F607" s="0" t="n">
        <f aca="false">C607/SUM($A607:$C607)</f>
        <v>0.37845636710324</v>
      </c>
      <c r="G607" s="0" t="n">
        <f aca="false">SUMPRODUCT(D607:F607,Stats!$B$6:$D$6)</f>
        <v>0.354411643251733</v>
      </c>
      <c r="H607" s="0" t="n">
        <f aca="false">SQRT(SUMPRODUCT(MMULT(D607:F607,Stats!$B$12:$D$14),D607:F607))</f>
        <v>0.222554898487156</v>
      </c>
      <c r="I607" s="0" t="n">
        <f aca="false">(G607-Stats!$B$2)/H607</f>
        <v>1.40375091887615</v>
      </c>
    </row>
    <row r="608" customFormat="false" ht="15" hidden="false" customHeight="false" outlineLevel="0" collapsed="false">
      <c r="A608" s="0" t="n">
        <v>0.624663568854264</v>
      </c>
      <c r="B608" s="0" t="n">
        <v>0.381939639652896</v>
      </c>
      <c r="C608" s="0" t="n">
        <v>0.205687262195555</v>
      </c>
      <c r="D608" s="0" t="n">
        <f aca="false">A608/SUM($A608:$C608)</f>
        <v>0.515275492095696</v>
      </c>
      <c r="E608" s="0" t="n">
        <f aca="false">B608/SUM($A608:$C608)</f>
        <v>0.315056208790869</v>
      </c>
      <c r="F608" s="0" t="n">
        <f aca="false">C608/SUM($A608:$C608)</f>
        <v>0.169668299113435</v>
      </c>
      <c r="G608" s="0" t="n">
        <f aca="false">SUMPRODUCT(D608:F608,Stats!$B$6:$D$6)</f>
        <v>0.369933092850688</v>
      </c>
      <c r="H608" s="0" t="n">
        <f aca="false">SQRT(SUMPRODUCT(MMULT(D608:F608,Stats!$B$12:$D$14),D608:F608))</f>
        <v>0.223893746006483</v>
      </c>
      <c r="I608" s="0" t="n">
        <f aca="false">(G608-Stats!$B$2)/H608</f>
        <v>1.46468179080443</v>
      </c>
    </row>
    <row r="609" customFormat="false" ht="15" hidden="false" customHeight="false" outlineLevel="0" collapsed="false">
      <c r="A609" s="0" t="n">
        <v>0.121386418159406</v>
      </c>
      <c r="B609" s="0" t="n">
        <v>0.615012968038867</v>
      </c>
      <c r="C609" s="0" t="n">
        <v>0.774633780637788</v>
      </c>
      <c r="D609" s="0" t="n">
        <f aca="false">A609/SUM($A609:$C609)</f>
        <v>0.0803333909695552</v>
      </c>
      <c r="E609" s="0" t="n">
        <f aca="false">B609/SUM($A609:$C609)</f>
        <v>0.407014870048575</v>
      </c>
      <c r="F609" s="0" t="n">
        <f aca="false">C609/SUM($A609:$C609)</f>
        <v>0.512651738981869</v>
      </c>
      <c r="G609" s="0" t="n">
        <f aca="false">SUMPRODUCT(D609:F609,Stats!$B$6:$D$6)</f>
        <v>0.365766638763684</v>
      </c>
      <c r="H609" s="0" t="n">
        <f aca="false">SQRT(SUMPRODUCT(MMULT(D609:F609,Stats!$B$12:$D$14),D609:F609))</f>
        <v>0.23844573233583</v>
      </c>
      <c r="I609" s="0" t="n">
        <f aca="false">(G609-Stats!$B$2)/H609</f>
        <v>1.3578210672594</v>
      </c>
    </row>
    <row r="610" customFormat="false" ht="15" hidden="false" customHeight="false" outlineLevel="0" collapsed="false">
      <c r="A610" s="0" t="n">
        <v>0.643904253541131</v>
      </c>
      <c r="B610" s="0" t="n">
        <v>0.530302133249158</v>
      </c>
      <c r="C610" s="0" t="n">
        <v>0.0419512234316363</v>
      </c>
      <c r="D610" s="0" t="n">
        <f aca="false">A610/SUM($A610:$C610)</f>
        <v>0.529457899312599</v>
      </c>
      <c r="E610" s="0" t="n">
        <f aca="false">B610/SUM($A610:$C610)</f>
        <v>0.436047210322015</v>
      </c>
      <c r="F610" s="0" t="n">
        <f aca="false">C610/SUM($A610:$C610)</f>
        <v>0.0344948903653869</v>
      </c>
      <c r="G610" s="0" t="n">
        <f aca="false">SUMPRODUCT(D610:F610,Stats!$B$6:$D$6)</f>
        <v>0.380622113239002</v>
      </c>
      <c r="H610" s="0" t="n">
        <f aca="false">SQRT(SUMPRODUCT(MMULT(D610:F610,Stats!$B$12:$D$14),D610:F610))</f>
        <v>0.227693838936386</v>
      </c>
      <c r="I610" s="0" t="n">
        <f aca="false">(G610-Stats!$B$2)/H610</f>
        <v>1.48718171216573</v>
      </c>
    </row>
    <row r="611" customFormat="false" ht="15" hidden="false" customHeight="false" outlineLevel="0" collapsed="false">
      <c r="A611" s="0" t="n">
        <v>0.968488777594384</v>
      </c>
      <c r="B611" s="0" t="n">
        <v>0.798714191654575</v>
      </c>
      <c r="C611" s="0" t="n">
        <v>0.292822036700965</v>
      </c>
      <c r="D611" s="0" t="n">
        <f aca="false">A611/SUM($A611:$C611)</f>
        <v>0.470134476424859</v>
      </c>
      <c r="E611" s="0" t="n">
        <f aca="false">B611/SUM($A611:$C611)</f>
        <v>0.387720629287347</v>
      </c>
      <c r="F611" s="0" t="n">
        <f aca="false">C611/SUM($A611:$C611)</f>
        <v>0.142144894287794</v>
      </c>
      <c r="G611" s="0" t="n">
        <f aca="false">SUMPRODUCT(D611:F611,Stats!$B$6:$D$6)</f>
        <v>0.374873056860345</v>
      </c>
      <c r="H611" s="0" t="n">
        <f aca="false">SQRT(SUMPRODUCT(MMULT(D611:F611,Stats!$B$12:$D$14),D611:F611))</f>
        <v>0.225461049156914</v>
      </c>
      <c r="I611" s="0" t="n">
        <f aca="false">(G611-Stats!$B$2)/H611</f>
        <v>1.47641048467168</v>
      </c>
    </row>
    <row r="612" customFormat="false" ht="15" hidden="false" customHeight="false" outlineLevel="0" collapsed="false">
      <c r="A612" s="0" t="n">
        <v>0.979970329358851</v>
      </c>
      <c r="B612" s="0" t="n">
        <v>0.601881589636322</v>
      </c>
      <c r="C612" s="0" t="n">
        <v>0.582422658207247</v>
      </c>
      <c r="D612" s="0" t="n">
        <f aca="false">A612/SUM($A612:$C612)</f>
        <v>0.45279390132909</v>
      </c>
      <c r="E612" s="0" t="n">
        <f aca="false">B612/SUM($A612:$C612)</f>
        <v>0.278098535174925</v>
      </c>
      <c r="F612" s="0" t="n">
        <f aca="false">C612/SUM($A612:$C612)</f>
        <v>0.269107563495985</v>
      </c>
      <c r="G612" s="0" t="n">
        <f aca="false">SUMPRODUCT(D612:F612,Stats!$B$6:$D$6)</f>
        <v>0.36506459667521</v>
      </c>
      <c r="H612" s="0" t="n">
        <f aca="false">SQRT(SUMPRODUCT(MMULT(D612:F612,Stats!$B$12:$D$14),D612:F612))</f>
        <v>0.22346067222549</v>
      </c>
      <c r="I612" s="0" t="n">
        <f aca="false">(G612-Stats!$B$2)/H612</f>
        <v>1.44573357565671</v>
      </c>
    </row>
    <row r="613" customFormat="false" ht="15" hidden="false" customHeight="false" outlineLevel="0" collapsed="false">
      <c r="A613" s="0" t="n">
        <v>0.748073179429532</v>
      </c>
      <c r="B613" s="0" t="n">
        <v>0.811769788090138</v>
      </c>
      <c r="C613" s="0" t="n">
        <v>0.656478607331503</v>
      </c>
      <c r="D613" s="0" t="n">
        <f aca="false">A613/SUM($A613:$C613)</f>
        <v>0.337529169015</v>
      </c>
      <c r="E613" s="0" t="n">
        <f aca="false">B613/SUM($A613:$C613)</f>
        <v>0.366268955417559</v>
      </c>
      <c r="F613" s="0" t="n">
        <f aca="false">C613/SUM($A613:$C613)</f>
        <v>0.296201875567441</v>
      </c>
      <c r="G613" s="0" t="n">
        <f aca="false">SUMPRODUCT(D613:F613,Stats!$B$6:$D$6)</f>
        <v>0.369390693304879</v>
      </c>
      <c r="H613" s="0" t="n">
        <f aca="false">SQRT(SUMPRODUCT(MMULT(D613:F613,Stats!$B$12:$D$14),D613:F613))</f>
        <v>0.226477209282431</v>
      </c>
      <c r="I613" s="0" t="n">
        <f aca="false">(G613-Stats!$B$2)/H613</f>
        <v>1.44557898051721</v>
      </c>
    </row>
    <row r="614" customFormat="false" ht="15" hidden="false" customHeight="false" outlineLevel="0" collapsed="false">
      <c r="A614" s="0" t="n">
        <v>0.1280957463662</v>
      </c>
      <c r="B614" s="0" t="n">
        <v>0.338267505994498</v>
      </c>
      <c r="C614" s="0" t="n">
        <v>0.92808364032605</v>
      </c>
      <c r="D614" s="0" t="n">
        <f aca="false">A614/SUM($A614:$C614)</f>
        <v>0.091861330135988</v>
      </c>
      <c r="E614" s="0" t="n">
        <f aca="false">B614/SUM($A614:$C614)</f>
        <v>0.242581849311408</v>
      </c>
      <c r="F614" s="0" t="n">
        <f aca="false">C614/SUM($A614:$C614)</f>
        <v>0.665556820552604</v>
      </c>
      <c r="G614" s="0" t="n">
        <f aca="false">SUMPRODUCT(D614:F614,Stats!$B$6:$D$6)</f>
        <v>0.352089076758035</v>
      </c>
      <c r="H614" s="0" t="n">
        <f aca="false">SQRT(SUMPRODUCT(MMULT(D614:F614,Stats!$B$12:$D$14),D614:F614))</f>
        <v>0.240559380414184</v>
      </c>
      <c r="I614" s="0" t="n">
        <f aca="false">(G614-Stats!$B$2)/H614</f>
        <v>1.28903340299654</v>
      </c>
    </row>
    <row r="615" customFormat="false" ht="15" hidden="false" customHeight="false" outlineLevel="0" collapsed="false">
      <c r="A615" s="0" t="n">
        <v>0.224615611843852</v>
      </c>
      <c r="B615" s="0" t="n">
        <v>0.372167023837513</v>
      </c>
      <c r="C615" s="0" t="n">
        <v>0.432076882944196</v>
      </c>
      <c r="D615" s="0" t="n">
        <f aca="false">A615/SUM($A615:$C615)</f>
        <v>0.218315141938826</v>
      </c>
      <c r="E615" s="0" t="n">
        <f aca="false">B615/SUM($A615:$C615)</f>
        <v>0.361727735516979</v>
      </c>
      <c r="F615" s="0" t="n">
        <f aca="false">C615/SUM($A615:$C615)</f>
        <v>0.419957122544195</v>
      </c>
      <c r="G615" s="0" t="n">
        <f aca="false">SUMPRODUCT(D615:F615,Stats!$B$6:$D$6)</f>
        <v>0.365716894052773</v>
      </c>
      <c r="H615" s="0" t="n">
        <f aca="false">SQRT(SUMPRODUCT(MMULT(D615:F615,Stats!$B$12:$D$14),D615:F615))</f>
        <v>0.230760458315827</v>
      </c>
      <c r="I615" s="0" t="n">
        <f aca="false">(G615-Stats!$B$2)/H615</f>
        <v>1.40282653456045</v>
      </c>
    </row>
    <row r="616" customFormat="false" ht="15" hidden="false" customHeight="false" outlineLevel="0" collapsed="false">
      <c r="A616" s="0" t="n">
        <v>0.439404989694452</v>
      </c>
      <c r="B616" s="0" t="n">
        <v>0.612939582494526</v>
      </c>
      <c r="C616" s="0" t="n">
        <v>0.943075837744708</v>
      </c>
      <c r="D616" s="0" t="n">
        <f aca="false">A616/SUM($A616:$C616)</f>
        <v>0.220206723108067</v>
      </c>
      <c r="E616" s="0" t="n">
        <f aca="false">B616/SUM($A616:$C616)</f>
        <v>0.307173154811469</v>
      </c>
      <c r="F616" s="0" t="n">
        <f aca="false">C616/SUM($A616:$C616)</f>
        <v>0.472620122080464</v>
      </c>
      <c r="G616" s="0" t="n">
        <f aca="false">SUMPRODUCT(D616:F616,Stats!$B$6:$D$6)</f>
        <v>0.361125732130632</v>
      </c>
      <c r="H616" s="0" t="n">
        <f aca="false">SQRT(SUMPRODUCT(MMULT(D616:F616,Stats!$B$12:$D$14),D616:F616))</f>
        <v>0.230924648114369</v>
      </c>
      <c r="I616" s="0" t="n">
        <f aca="false">(G616-Stats!$B$2)/H616</f>
        <v>1.38194746527265</v>
      </c>
    </row>
    <row r="617" customFormat="false" ht="15" hidden="false" customHeight="false" outlineLevel="0" collapsed="false">
      <c r="A617" s="0" t="n">
        <v>0.240692711832505</v>
      </c>
      <c r="B617" s="0" t="n">
        <v>0.121501376300918</v>
      </c>
      <c r="C617" s="0" t="n">
        <v>0.197470489859937</v>
      </c>
      <c r="D617" s="0" t="n">
        <f aca="false">A617/SUM($A617:$C617)</f>
        <v>0.43006600970798</v>
      </c>
      <c r="E617" s="0" t="n">
        <f aca="false">B617/SUM($A617:$C617)</f>
        <v>0.217096777388616</v>
      </c>
      <c r="F617" s="0" t="n">
        <f aca="false">C617/SUM($A617:$C617)</f>
        <v>0.352837212903404</v>
      </c>
      <c r="G617" s="0" t="n">
        <f aca="false">SUMPRODUCT(D617:F617,Stats!$B$6:$D$6)</f>
        <v>0.359245821606923</v>
      </c>
      <c r="H617" s="0" t="n">
        <f aca="false">SQRT(SUMPRODUCT(MMULT(D617:F617,Stats!$B$12:$D$14),D617:F617))</f>
        <v>0.223442995418708</v>
      </c>
      <c r="I617" s="0" t="n">
        <f aca="false">(G617-Stats!$B$2)/H617</f>
        <v>1.41980651938736</v>
      </c>
    </row>
    <row r="618" customFormat="false" ht="15" hidden="false" customHeight="false" outlineLevel="0" collapsed="false">
      <c r="A618" s="0" t="n">
        <v>0.88692490020927</v>
      </c>
      <c r="B618" s="0" t="n">
        <v>0.645810812655206</v>
      </c>
      <c r="C618" s="0" t="n">
        <v>0.28590678923916</v>
      </c>
      <c r="D618" s="0" t="n">
        <f aca="false">A618/SUM($A618:$C618)</f>
        <v>0.487685127331709</v>
      </c>
      <c r="E618" s="0" t="n">
        <f aca="false">B618/SUM($A618:$C618)</f>
        <v>0.355105971573958</v>
      </c>
      <c r="F618" s="0" t="n">
        <f aca="false">C618/SUM($A618:$C618)</f>
        <v>0.157208901094333</v>
      </c>
      <c r="G618" s="0" t="n">
        <f aca="false">SUMPRODUCT(D618:F618,Stats!$B$6:$D$6)</f>
        <v>0.372581067474073</v>
      </c>
      <c r="H618" s="0" t="n">
        <f aca="false">SQRT(SUMPRODUCT(MMULT(D618:F618,Stats!$B$12:$D$14),D618:F618))</f>
        <v>0.224698073454971</v>
      </c>
      <c r="I618" s="0" t="n">
        <f aca="false">(G618-Stats!$B$2)/H618</f>
        <v>1.47122341723291</v>
      </c>
    </row>
    <row r="619" customFormat="false" ht="15" hidden="false" customHeight="false" outlineLevel="0" collapsed="false">
      <c r="A619" s="0" t="n">
        <v>0.815946938968617</v>
      </c>
      <c r="B619" s="0" t="n">
        <v>0.861369996363436</v>
      </c>
      <c r="C619" s="0" t="n">
        <v>0.846514338690278</v>
      </c>
      <c r="D619" s="0" t="n">
        <f aca="false">A619/SUM($A619:$C619)</f>
        <v>0.323296944358808</v>
      </c>
      <c r="E619" s="0" t="n">
        <f aca="false">B619/SUM($A619:$C619)</f>
        <v>0.341294604448988</v>
      </c>
      <c r="F619" s="0" t="n">
        <f aca="false">C619/SUM($A619:$C619)</f>
        <v>0.335408451192204</v>
      </c>
      <c r="G619" s="0" t="n">
        <f aca="false">SUMPRODUCT(D619:F619,Stats!$B$6:$D$6)</f>
        <v>0.366872595230607</v>
      </c>
      <c r="H619" s="0" t="n">
        <f aca="false">SQRT(SUMPRODUCT(MMULT(D619:F619,Stats!$B$12:$D$14),D619:F619))</f>
        <v>0.226654154663834</v>
      </c>
      <c r="I619" s="0" t="n">
        <f aca="false">(G619-Stats!$B$2)/H619</f>
        <v>1.43334056996417</v>
      </c>
    </row>
    <row r="620" customFormat="false" ht="15" hidden="false" customHeight="false" outlineLevel="0" collapsed="false">
      <c r="A620" s="0" t="n">
        <v>0.918926533639555</v>
      </c>
      <c r="B620" s="0" t="n">
        <v>0.252241020173362</v>
      </c>
      <c r="C620" s="0" t="n">
        <v>0.755041928746278</v>
      </c>
      <c r="D620" s="0" t="n">
        <f aca="false">A620/SUM($A620:$C620)</f>
        <v>0.477064692059689</v>
      </c>
      <c r="E620" s="0" t="n">
        <f aca="false">B620/SUM($A620:$C620)</f>
        <v>0.130952018696445</v>
      </c>
      <c r="F620" s="0" t="n">
        <f aca="false">C620/SUM($A620:$C620)</f>
        <v>0.391983289243866</v>
      </c>
      <c r="G620" s="0" t="n">
        <f aca="false">SUMPRODUCT(D620:F620,Stats!$B$6:$D$6)</f>
        <v>0.353209725688039</v>
      </c>
      <c r="H620" s="0" t="n">
        <f aca="false">SQRT(SUMPRODUCT(MMULT(D620:F620,Stats!$B$12:$D$14),D620:F620))</f>
        <v>0.22259246169324</v>
      </c>
      <c r="I620" s="0" t="n">
        <f aca="false">(G620-Stats!$B$2)/H620</f>
        <v>1.39811439848724</v>
      </c>
    </row>
    <row r="621" customFormat="false" ht="15" hidden="false" customHeight="false" outlineLevel="0" collapsed="false">
      <c r="A621" s="0" t="n">
        <v>0.46053949727414</v>
      </c>
      <c r="B621" s="0" t="n">
        <v>0.841998552890062</v>
      </c>
      <c r="C621" s="0" t="n">
        <v>0.728490677161613</v>
      </c>
      <c r="D621" s="0" t="n">
        <f aca="false">A621/SUM($A621:$C621)</f>
        <v>0.226751838158644</v>
      </c>
      <c r="E621" s="0" t="n">
        <f aca="false">B621/SUM($A621:$C621)</f>
        <v>0.414567525097832</v>
      </c>
      <c r="F621" s="0" t="n">
        <f aca="false">C621/SUM($A621:$C621)</f>
        <v>0.358680636743524</v>
      </c>
      <c r="G621" s="0" t="n">
        <f aca="false">SUMPRODUCT(D621:F621,Stats!$B$6:$D$6)</f>
        <v>0.370446902683831</v>
      </c>
      <c r="H621" s="0" t="n">
        <f aca="false">SQRT(SUMPRODUCT(MMULT(D621:F621,Stats!$B$12:$D$14),D621:F621))</f>
        <v>0.230497082276242</v>
      </c>
      <c r="I621" s="0" t="n">
        <f aca="false">(G621-Stats!$B$2)/H621</f>
        <v>1.42495037004503</v>
      </c>
    </row>
    <row r="622" customFormat="false" ht="15" hidden="false" customHeight="false" outlineLevel="0" collapsed="false">
      <c r="A622" s="0" t="n">
        <v>0.776447446499725</v>
      </c>
      <c r="B622" s="0" t="n">
        <v>0.656161837681072</v>
      </c>
      <c r="C622" s="0" t="n">
        <v>0.177428769469707</v>
      </c>
      <c r="D622" s="0" t="n">
        <f aca="false">A622/SUM($A622:$C622)</f>
        <v>0.482254096255213</v>
      </c>
      <c r="E622" s="0" t="n">
        <f aca="false">B622/SUM($A622:$C622)</f>
        <v>0.40754430380905</v>
      </c>
      <c r="F622" s="0" t="n">
        <f aca="false">C622/SUM($A622:$C622)</f>
        <v>0.110201599935738</v>
      </c>
      <c r="G622" s="0" t="n">
        <f aca="false">SUMPRODUCT(D622:F622,Stats!$B$6:$D$6)</f>
        <v>0.376894509490765</v>
      </c>
      <c r="H622" s="0" t="n">
        <f aca="false">SQRT(SUMPRODUCT(MMULT(D622:F622,Stats!$B$12:$D$14),D622:F622))</f>
        <v>0.226085885742493</v>
      </c>
      <c r="I622" s="0" t="n">
        <f aca="false">(G622-Stats!$B$2)/H622</f>
        <v>1.48127119209999</v>
      </c>
    </row>
    <row r="623" customFormat="false" ht="15" hidden="false" customHeight="false" outlineLevel="0" collapsed="false">
      <c r="A623" s="0" t="n">
        <v>0.545026918896938</v>
      </c>
      <c r="B623" s="0" t="n">
        <v>0.984669739524508</v>
      </c>
      <c r="C623" s="0" t="n">
        <v>0.937388066497119</v>
      </c>
      <c r="D623" s="0" t="n">
        <f aca="false">A623/SUM($A623:$C623)</f>
        <v>0.220919416910146</v>
      </c>
      <c r="E623" s="0" t="n">
        <f aca="false">B623/SUM($A623:$C623)</f>
        <v>0.399122790384514</v>
      </c>
      <c r="F623" s="0" t="n">
        <f aca="false">C623/SUM($A623:$C623)</f>
        <v>0.37995779270534</v>
      </c>
      <c r="G623" s="0" t="n">
        <f aca="false">SUMPRODUCT(D623:F623,Stats!$B$6:$D$6)</f>
        <v>0.368971523246133</v>
      </c>
      <c r="H623" s="0" t="n">
        <f aca="false">SQRT(SUMPRODUCT(MMULT(D623:F623,Stats!$B$12:$D$14),D623:F623))</f>
        <v>0.230673749307565</v>
      </c>
      <c r="I623" s="0" t="n">
        <f aca="false">(G623-Stats!$B$2)/H623</f>
        <v>1.41746308033591</v>
      </c>
    </row>
    <row r="624" customFormat="false" ht="15" hidden="false" customHeight="false" outlineLevel="0" collapsed="false">
      <c r="A624" s="0" t="n">
        <v>0.0431737357970117</v>
      </c>
      <c r="B624" s="0" t="n">
        <v>0.164814815729437</v>
      </c>
      <c r="C624" s="0" t="n">
        <v>0.131728773454562</v>
      </c>
      <c r="D624" s="0" t="n">
        <f aca="false">A624/SUM($A624:$C624)</f>
        <v>0.127087235834749</v>
      </c>
      <c r="E624" s="0" t="n">
        <f aca="false">B624/SUM($A624:$C624)</f>
        <v>0.485152812676392</v>
      </c>
      <c r="F624" s="0" t="n">
        <f aca="false">C624/SUM($A624:$C624)</f>
        <v>0.38775995148886</v>
      </c>
      <c r="G624" s="0" t="n">
        <f aca="false">SUMPRODUCT(D624:F624,Stats!$B$6:$D$6)</f>
        <v>0.373706437854741</v>
      </c>
      <c r="H624" s="0" t="n">
        <f aca="false">SQRT(SUMPRODUCT(MMULT(D624:F624,Stats!$B$12:$D$14),D624:F624))</f>
        <v>0.235478502812981</v>
      </c>
      <c r="I624" s="0" t="n">
        <f aca="false">(G624-Stats!$B$2)/H624</f>
        <v>1.40864849186758</v>
      </c>
    </row>
    <row r="625" customFormat="false" ht="15" hidden="false" customHeight="false" outlineLevel="0" collapsed="false">
      <c r="A625" s="0" t="n">
        <v>0.725979909985296</v>
      </c>
      <c r="B625" s="0" t="n">
        <v>0.817785329856945</v>
      </c>
      <c r="C625" s="0" t="n">
        <v>0.213511366310672</v>
      </c>
      <c r="D625" s="0" t="n">
        <f aca="false">A625/SUM($A625:$C625)</f>
        <v>0.413127852179535</v>
      </c>
      <c r="E625" s="0" t="n">
        <f aca="false">B625/SUM($A625:$C625)</f>
        <v>0.46537086250028</v>
      </c>
      <c r="F625" s="0" t="n">
        <f aca="false">C625/SUM($A625:$C625)</f>
        <v>0.121501285320185</v>
      </c>
      <c r="G625" s="0" t="n">
        <f aca="false">SUMPRODUCT(D625:F625,Stats!$B$6:$D$6)</f>
        <v>0.379910190356019</v>
      </c>
      <c r="H625" s="0" t="n">
        <f aca="false">SQRT(SUMPRODUCT(MMULT(D625:F625,Stats!$B$12:$D$14),D625:F625))</f>
        <v>0.227563038722357</v>
      </c>
      <c r="I625" s="0" t="n">
        <f aca="false">(G625-Stats!$B$2)/H625</f>
        <v>1.48490805999604</v>
      </c>
    </row>
    <row r="626" customFormat="false" ht="15" hidden="false" customHeight="false" outlineLevel="0" collapsed="false">
      <c r="A626" s="0" t="n">
        <v>0.505852692951829</v>
      </c>
      <c r="B626" s="0" t="n">
        <v>0.8407030280112</v>
      </c>
      <c r="C626" s="0" t="n">
        <v>0.732801544766251</v>
      </c>
      <c r="D626" s="0" t="n">
        <f aca="false">A626/SUM($A626:$C626)</f>
        <v>0.243273583279309</v>
      </c>
      <c r="E626" s="0" t="n">
        <f aca="false">B626/SUM($A626:$C626)</f>
        <v>0.404309082362691</v>
      </c>
      <c r="F626" s="0" t="n">
        <f aca="false">C626/SUM($A626:$C626)</f>
        <v>0.352417334357999</v>
      </c>
      <c r="G626" s="0" t="n">
        <f aca="false">SUMPRODUCT(D626:F626,Stats!$B$6:$D$6)</f>
        <v>0.370029353320382</v>
      </c>
      <c r="H626" s="0" t="n">
        <f aca="false">SQRT(SUMPRODUCT(MMULT(D626:F626,Stats!$B$12:$D$14),D626:F626))</f>
        <v>0.229781049419948</v>
      </c>
      <c r="I626" s="0" t="n">
        <f aca="false">(G626-Stats!$B$2)/H626</f>
        <v>1.42757357122552</v>
      </c>
    </row>
    <row r="627" customFormat="false" ht="15" hidden="false" customHeight="false" outlineLevel="0" collapsed="false">
      <c r="A627" s="0" t="n">
        <v>0.542237205491848</v>
      </c>
      <c r="B627" s="0" t="n">
        <v>0.590347690458773</v>
      </c>
      <c r="C627" s="0" t="n">
        <v>0.50836054691628</v>
      </c>
      <c r="D627" s="0" t="n">
        <f aca="false">A627/SUM($A627:$C627)</f>
        <v>0.330441946043315</v>
      </c>
      <c r="E627" s="0" t="n">
        <f aca="false">B627/SUM($A627:$C627)</f>
        <v>0.359760705649893</v>
      </c>
      <c r="F627" s="0" t="n">
        <f aca="false">C627/SUM($A627:$C627)</f>
        <v>0.309797348306792</v>
      </c>
      <c r="G627" s="0" t="n">
        <f aca="false">SUMPRODUCT(D627:F627,Stats!$B$6:$D$6)</f>
        <v>0.368641327105017</v>
      </c>
      <c r="H627" s="0" t="n">
        <f aca="false">SQRT(SUMPRODUCT(MMULT(D627:F627,Stats!$B$12:$D$14),D627:F627))</f>
        <v>0.226594243531068</v>
      </c>
      <c r="I627" s="0" t="n">
        <f aca="false">(G627-Stats!$B$2)/H627</f>
        <v>1.44152526566824</v>
      </c>
    </row>
    <row r="628" customFormat="false" ht="15" hidden="false" customHeight="false" outlineLevel="0" collapsed="false">
      <c r="A628" s="0" t="n">
        <v>0.297548451318821</v>
      </c>
      <c r="B628" s="0" t="n">
        <v>0.565021992859016</v>
      </c>
      <c r="C628" s="0" t="n">
        <v>0.688885302050091</v>
      </c>
      <c r="D628" s="0" t="n">
        <f aca="false">A628/SUM($A628:$C628)</f>
        <v>0.191786618498306</v>
      </c>
      <c r="E628" s="0" t="n">
        <f aca="false">B628/SUM($A628:$C628)</f>
        <v>0.364188275581022</v>
      </c>
      <c r="F628" s="0" t="n">
        <f aca="false">C628/SUM($A628:$C628)</f>
        <v>0.444025105920672</v>
      </c>
      <c r="G628" s="0" t="n">
        <f aca="false">SUMPRODUCT(D628:F628,Stats!$B$6:$D$6)</f>
        <v>0.36519480495887</v>
      </c>
      <c r="H628" s="0" t="n">
        <f aca="false">SQRT(SUMPRODUCT(MMULT(D628:F628,Stats!$B$12:$D$14),D628:F628))</f>
        <v>0.232071409711182</v>
      </c>
      <c r="I628" s="0" t="n">
        <f aca="false">(G628-Stats!$B$2)/H628</f>
        <v>1.39265239678207</v>
      </c>
    </row>
    <row r="629" customFormat="false" ht="15" hidden="false" customHeight="false" outlineLevel="0" collapsed="false">
      <c r="A629" s="0" t="n">
        <v>0.873322915860808</v>
      </c>
      <c r="B629" s="0" t="n">
        <v>0.636291353979248</v>
      </c>
      <c r="C629" s="0" t="n">
        <v>0.761121537043158</v>
      </c>
      <c r="D629" s="0" t="n">
        <f aca="false">A629/SUM($A629:$C629)</f>
        <v>0.384599085993857</v>
      </c>
      <c r="E629" s="0" t="n">
        <f aca="false">B629/SUM($A629:$C629)</f>
        <v>0.280213731624118</v>
      </c>
      <c r="F629" s="0" t="n">
        <f aca="false">C629/SUM($A629:$C629)</f>
        <v>0.335187182382025</v>
      </c>
      <c r="G629" s="0" t="n">
        <f aca="false">SUMPRODUCT(D629:F629,Stats!$B$6:$D$6)</f>
        <v>0.363364182266027</v>
      </c>
      <c r="H629" s="0" t="n">
        <f aca="false">SQRT(SUMPRODUCT(MMULT(D629:F629,Stats!$B$12:$D$14),D629:F629))</f>
        <v>0.224670211791477</v>
      </c>
      <c r="I629" s="0" t="n">
        <f aca="false">(G629-Stats!$B$2)/H629</f>
        <v>1.43038180141253</v>
      </c>
    </row>
    <row r="630" customFormat="false" ht="15" hidden="false" customHeight="false" outlineLevel="0" collapsed="false">
      <c r="A630" s="0" t="n">
        <v>0.160071634954573</v>
      </c>
      <c r="B630" s="0" t="n">
        <v>0.46155747441979</v>
      </c>
      <c r="C630" s="0" t="n">
        <v>0.0093316198270933</v>
      </c>
      <c r="D630" s="0" t="n">
        <f aca="false">A630/SUM($A630:$C630)</f>
        <v>0.253695083618214</v>
      </c>
      <c r="E630" s="0" t="n">
        <f aca="false">B630/SUM($A630:$C630)</f>
        <v>0.731515374980527</v>
      </c>
      <c r="F630" s="0" t="n">
        <f aca="false">C630/SUM($A630:$C630)</f>
        <v>0.0147895414012587</v>
      </c>
      <c r="G630" s="0" t="n">
        <f aca="false">SUMPRODUCT(D630:F630,Stats!$B$6:$D$6)</f>
        <v>0.3981663364351</v>
      </c>
      <c r="H630" s="0" t="n">
        <f aca="false">SQRT(SUMPRODUCT(MMULT(D630:F630,Stats!$B$12:$D$14),D630:F630))</f>
        <v>0.238019737268107</v>
      </c>
      <c r="I630" s="0" t="n">
        <f aca="false">(G630-Stats!$B$2)/H630</f>
        <v>1.49637311814151</v>
      </c>
    </row>
    <row r="631" customFormat="false" ht="15" hidden="false" customHeight="false" outlineLevel="0" collapsed="false">
      <c r="A631" s="0" t="n">
        <v>0.246678864521623</v>
      </c>
      <c r="B631" s="0" t="n">
        <v>0.726461715113005</v>
      </c>
      <c r="C631" s="0" t="n">
        <v>0.991809951349364</v>
      </c>
      <c r="D631" s="0" t="n">
        <f aca="false">A631/SUM($A631:$C631)</f>
        <v>0.125539478288084</v>
      </c>
      <c r="E631" s="0" t="n">
        <f aca="false">B631/SUM($A631:$C631)</f>
        <v>0.369709925852033</v>
      </c>
      <c r="F631" s="0" t="n">
        <f aca="false">C631/SUM($A631:$C631)</f>
        <v>0.504750595859883</v>
      </c>
      <c r="G631" s="0" t="n">
        <f aca="false">SUMPRODUCT(D631:F631,Stats!$B$6:$D$6)</f>
        <v>0.363838031540109</v>
      </c>
      <c r="H631" s="0" t="n">
        <f aca="false">SQRT(SUMPRODUCT(MMULT(D631:F631,Stats!$B$12:$D$14),D631:F631))</f>
        <v>0.235844317374293</v>
      </c>
      <c r="I631" s="0" t="n">
        <f aca="false">(G631-Stats!$B$2)/H631</f>
        <v>1.36462067487232</v>
      </c>
    </row>
    <row r="632" customFormat="false" ht="15" hidden="false" customHeight="false" outlineLevel="0" collapsed="false">
      <c r="A632" s="0" t="n">
        <v>0.0991780995872159</v>
      </c>
      <c r="B632" s="0" t="n">
        <v>0.401494315861288</v>
      </c>
      <c r="C632" s="0" t="n">
        <v>0.80007096869916</v>
      </c>
      <c r="D632" s="0" t="n">
        <f aca="false">A632/SUM($A632:$C632)</f>
        <v>0.0762472450722509</v>
      </c>
      <c r="E632" s="0" t="n">
        <f aca="false">B632/SUM($A632:$C632)</f>
        <v>0.308665276144668</v>
      </c>
      <c r="F632" s="0" t="n">
        <f aca="false">C632/SUM($A632:$C632)</f>
        <v>0.615087478783081</v>
      </c>
      <c r="G632" s="0" t="n">
        <f aca="false">SUMPRODUCT(D632:F632,Stats!$B$6:$D$6)</f>
        <v>0.357283104295681</v>
      </c>
      <c r="H632" s="0" t="n">
        <f aca="false">SQRT(SUMPRODUCT(MMULT(D632:F632,Stats!$B$12:$D$14),D632:F632))</f>
        <v>0.240204566297042</v>
      </c>
      <c r="I632" s="0" t="n">
        <f aca="false">(G632-Stats!$B$2)/H632</f>
        <v>1.3125608274482</v>
      </c>
    </row>
    <row r="633" customFormat="false" ht="15" hidden="false" customHeight="false" outlineLevel="0" collapsed="false">
      <c r="A633" s="0" t="n">
        <v>0.204035634628899</v>
      </c>
      <c r="B633" s="0" t="n">
        <v>0.555084949302286</v>
      </c>
      <c r="C633" s="0" t="n">
        <v>0.733071296029675</v>
      </c>
      <c r="D633" s="0" t="n">
        <f aca="false">A633/SUM($A633:$C633)</f>
        <v>0.136735521328698</v>
      </c>
      <c r="E633" s="0" t="n">
        <f aca="false">B633/SUM($A633:$C633)</f>
        <v>0.371993010253377</v>
      </c>
      <c r="F633" s="0" t="n">
        <f aca="false">C633/SUM($A633:$C633)</f>
        <v>0.491271468417924</v>
      </c>
      <c r="G633" s="0" t="n">
        <f aca="false">SUMPRODUCT(D633:F633,Stats!$B$6:$D$6)</f>
        <v>0.364341079016491</v>
      </c>
      <c r="H633" s="0" t="n">
        <f aca="false">SQRT(SUMPRODUCT(MMULT(D633:F633,Stats!$B$12:$D$14),D633:F633))</f>
        <v>0.235131391774539</v>
      </c>
      <c r="I633" s="0" t="n">
        <f aca="false">(G633-Stats!$B$2)/H633</f>
        <v>1.37089767803346</v>
      </c>
    </row>
    <row r="634" customFormat="false" ht="15" hidden="false" customHeight="false" outlineLevel="0" collapsed="false">
      <c r="A634" s="0" t="n">
        <v>0.615985450260179</v>
      </c>
      <c r="B634" s="0" t="n">
        <v>0.188024734615416</v>
      </c>
      <c r="C634" s="0" t="n">
        <v>0.355384568685739</v>
      </c>
      <c r="D634" s="0" t="n">
        <f aca="false">A634/SUM($A634:$C634)</f>
        <v>0.531299152741588</v>
      </c>
      <c r="E634" s="0" t="n">
        <f aca="false">B634/SUM($A634:$C634)</f>
        <v>0.162174905516742</v>
      </c>
      <c r="F634" s="0" t="n">
        <f aca="false">C634/SUM($A634:$C634)</f>
        <v>0.30652594174167</v>
      </c>
      <c r="G634" s="0" t="n">
        <f aca="false">SUMPRODUCT(D634:F634,Stats!$B$6:$D$6)</f>
        <v>0.357362703673437</v>
      </c>
      <c r="H634" s="0" t="n">
        <f aca="false">SQRT(SUMPRODUCT(MMULT(D634:F634,Stats!$B$12:$D$14),D634:F634))</f>
        <v>0.22183877360503</v>
      </c>
      <c r="I634" s="0" t="n">
        <f aca="false">(G634-Stats!$B$2)/H634</f>
        <v>1.42158513838036</v>
      </c>
    </row>
    <row r="635" customFormat="false" ht="15" hidden="false" customHeight="false" outlineLevel="0" collapsed="false">
      <c r="A635" s="0" t="n">
        <v>0.783791784485397</v>
      </c>
      <c r="B635" s="0" t="n">
        <v>0.554226514132017</v>
      </c>
      <c r="C635" s="0" t="n">
        <v>0.00522961354291274</v>
      </c>
      <c r="D635" s="0" t="n">
        <f aca="false">A635/SUM($A635:$C635)</f>
        <v>0.58350493411513</v>
      </c>
      <c r="E635" s="0" t="n">
        <f aca="false">B635/SUM($A635:$C635)</f>
        <v>0.412601805753535</v>
      </c>
      <c r="F635" s="0" t="n">
        <f aca="false">C635/SUM($A635:$C635)</f>
        <v>0.00389326013133497</v>
      </c>
      <c r="G635" s="0" t="n">
        <f aca="false">SUMPRODUCT(D635:F635,Stats!$B$6:$D$6)</f>
        <v>0.380116923188623</v>
      </c>
      <c r="H635" s="0" t="n">
        <f aca="false">SQRT(SUMPRODUCT(MMULT(D635:F635,Stats!$B$12:$D$14),D635:F635))</f>
        <v>0.228056235357796</v>
      </c>
      <c r="I635" s="0" t="n">
        <f aca="false">(G635-Stats!$B$2)/H635</f>
        <v>1.48260328273048</v>
      </c>
    </row>
    <row r="636" customFormat="false" ht="15" hidden="false" customHeight="false" outlineLevel="0" collapsed="false">
      <c r="A636" s="0" t="n">
        <v>0.760990760028094</v>
      </c>
      <c r="B636" s="0" t="n">
        <v>0.0353113549402391</v>
      </c>
      <c r="C636" s="0" t="n">
        <v>0.745733782731232</v>
      </c>
      <c r="D636" s="0" t="n">
        <f aca="false">A636/SUM($A636:$C636)</f>
        <v>0.493497434893281</v>
      </c>
      <c r="E636" s="0" t="n">
        <f aca="false">B636/SUM($A636:$C636)</f>
        <v>0.02289917828302</v>
      </c>
      <c r="F636" s="0" t="n">
        <f aca="false">C636/SUM($A636:$C636)</f>
        <v>0.483603386823699</v>
      </c>
      <c r="G636" s="0" t="n">
        <f aca="false">SUMPRODUCT(D636:F636,Stats!$B$6:$D$6)</f>
        <v>0.344466116148884</v>
      </c>
      <c r="H636" s="0" t="n">
        <f aca="false">SQRT(SUMPRODUCT(MMULT(D636:F636,Stats!$B$12:$D$14),D636:F636))</f>
        <v>0.223336711865098</v>
      </c>
      <c r="I636" s="0" t="n">
        <f aca="false">(G636-Stats!$B$2)/H636</f>
        <v>1.35430540560471</v>
      </c>
    </row>
    <row r="637" customFormat="false" ht="15" hidden="false" customHeight="false" outlineLevel="0" collapsed="false">
      <c r="A637" s="0" t="n">
        <v>0.202480560165237</v>
      </c>
      <c r="B637" s="0" t="n">
        <v>0.95807348011938</v>
      </c>
      <c r="C637" s="0" t="n">
        <v>0.367940751302085</v>
      </c>
      <c r="D637" s="0" t="n">
        <f aca="false">A637/SUM($A637:$C637)</f>
        <v>0.132470559454799</v>
      </c>
      <c r="E637" s="0" t="n">
        <f aca="false">B637/SUM($A637:$C637)</f>
        <v>0.626808468954495</v>
      </c>
      <c r="F637" s="0" t="n">
        <f aca="false">C637/SUM($A637:$C637)</f>
        <v>0.240720971590706</v>
      </c>
      <c r="G637" s="0" t="n">
        <f aca="false">SUMPRODUCT(D637:F637,Stats!$B$6:$D$6)</f>
        <v>0.385911664292182</v>
      </c>
      <c r="H637" s="0" t="n">
        <f aca="false">SQRT(SUMPRODUCT(MMULT(D637:F637,Stats!$B$12:$D$14),D637:F637))</f>
        <v>0.237089833993743</v>
      </c>
      <c r="I637" s="0" t="n">
        <f aca="false">(G637-Stats!$B$2)/H637</f>
        <v>1.45055424139889</v>
      </c>
    </row>
    <row r="638" customFormat="false" ht="15" hidden="false" customHeight="false" outlineLevel="0" collapsed="false">
      <c r="A638" s="0" t="n">
        <v>0.326931616338079</v>
      </c>
      <c r="B638" s="0" t="n">
        <v>0.148888050332445</v>
      </c>
      <c r="C638" s="0" t="n">
        <v>0.305604215490215</v>
      </c>
      <c r="D638" s="0" t="n">
        <f aca="false">A638/SUM($A638:$C638)</f>
        <v>0.41837935056972</v>
      </c>
      <c r="E638" s="0" t="n">
        <f aca="false">B638/SUM($A638:$C638)</f>
        <v>0.190534297365919</v>
      </c>
      <c r="F638" s="0" t="n">
        <f aca="false">C638/SUM($A638:$C638)</f>
        <v>0.391086352064362</v>
      </c>
      <c r="G638" s="0" t="n">
        <f aca="false">SUMPRODUCT(D638:F638,Stats!$B$6:$D$6)</f>
        <v>0.356662745584591</v>
      </c>
      <c r="H638" s="0" t="n">
        <f aca="false">SQRT(SUMPRODUCT(MMULT(D638:F638,Stats!$B$12:$D$14),D638:F638))</f>
        <v>0.223744628280848</v>
      </c>
      <c r="I638" s="0" t="n">
        <f aca="false">(G638-Stats!$B$2)/H638</f>
        <v>1.40634770989729</v>
      </c>
    </row>
    <row r="639" customFormat="false" ht="15" hidden="false" customHeight="false" outlineLevel="0" collapsed="false">
      <c r="A639" s="0" t="n">
        <v>0.876650761828201</v>
      </c>
      <c r="B639" s="0" t="n">
        <v>0.996334337627247</v>
      </c>
      <c r="C639" s="0" t="n">
        <v>0.368309530506848</v>
      </c>
      <c r="D639" s="0" t="n">
        <f aca="false">A639/SUM($A639:$C639)</f>
        <v>0.391135886424244</v>
      </c>
      <c r="E639" s="0" t="n">
        <f aca="false">B639/SUM($A639:$C639)</f>
        <v>0.444535191539725</v>
      </c>
      <c r="F639" s="0" t="n">
        <f aca="false">C639/SUM($A639:$C639)</f>
        <v>0.164328922036031</v>
      </c>
      <c r="G639" s="0" t="n">
        <f aca="false">SUMPRODUCT(D639:F639,Stats!$B$6:$D$6)</f>
        <v>0.377530377205966</v>
      </c>
      <c r="H639" s="0" t="n">
        <f aca="false">SQRT(SUMPRODUCT(MMULT(D639:F639,Stats!$B$12:$D$14),D639:F639))</f>
        <v>0.227057748019906</v>
      </c>
      <c r="I639" s="0" t="n">
        <f aca="false">(G639-Stats!$B$2)/H639</f>
        <v>1.4777314587677</v>
      </c>
    </row>
    <row r="640" customFormat="false" ht="15" hidden="false" customHeight="false" outlineLevel="0" collapsed="false">
      <c r="A640" s="0" t="n">
        <v>0.448610630954543</v>
      </c>
      <c r="B640" s="0" t="n">
        <v>0.722070938202737</v>
      </c>
      <c r="C640" s="0" t="n">
        <v>0.886195780465075</v>
      </c>
      <c r="D640" s="0" t="n">
        <f aca="false">A640/SUM($A640:$C640)</f>
        <v>0.218102761954624</v>
      </c>
      <c r="E640" s="0" t="n">
        <f aca="false">B640/SUM($A640:$C640)</f>
        <v>0.351052015004837</v>
      </c>
      <c r="F640" s="0" t="n">
        <f aca="false">C640/SUM($A640:$C640)</f>
        <v>0.430845223040538</v>
      </c>
      <c r="G640" s="0" t="n">
        <f aca="false">SUMPRODUCT(D640:F640,Stats!$B$6:$D$6)</f>
        <v>0.364802391728416</v>
      </c>
      <c r="H640" s="0" t="n">
        <f aca="false">SQRT(SUMPRODUCT(MMULT(D640:F640,Stats!$B$12:$D$14),D640:F640))</f>
        <v>0.230794053821297</v>
      </c>
      <c r="I640" s="0" t="n">
        <f aca="false">(G640-Stats!$B$2)/H640</f>
        <v>1.39865991512225</v>
      </c>
    </row>
    <row r="641" customFormat="false" ht="15" hidden="false" customHeight="false" outlineLevel="0" collapsed="false">
      <c r="A641" s="0" t="n">
        <v>0.593044334186784</v>
      </c>
      <c r="B641" s="0" t="n">
        <v>0.391525698177829</v>
      </c>
      <c r="C641" s="0" t="n">
        <v>0.412621840848624</v>
      </c>
      <c r="D641" s="0" t="n">
        <f aca="false">A641/SUM($A641:$C641)</f>
        <v>0.424454468678601</v>
      </c>
      <c r="E641" s="0" t="n">
        <f aca="false">B641/SUM($A641:$C641)</f>
        <v>0.280223286210079</v>
      </c>
      <c r="F641" s="0" t="n">
        <f aca="false">C641/SUM($A641:$C641)</f>
        <v>0.29532224511132</v>
      </c>
      <c r="G641" s="0" t="n">
        <f aca="false">SUMPRODUCT(D641:F641,Stats!$B$6:$D$6)</f>
        <v>0.364463992336915</v>
      </c>
      <c r="H641" s="0" t="n">
        <f aca="false">SQRT(SUMPRODUCT(MMULT(D641:F641,Stats!$B$12:$D$14),D641:F641))</f>
        <v>0.223866893880293</v>
      </c>
      <c r="I641" s="0" t="n">
        <f aca="false">(G641-Stats!$B$2)/H641</f>
        <v>1.44042733048927</v>
      </c>
    </row>
    <row r="642" customFormat="false" ht="15" hidden="false" customHeight="false" outlineLevel="0" collapsed="false">
      <c r="A642" s="0" t="n">
        <v>0.695618146496807</v>
      </c>
      <c r="B642" s="0" t="n">
        <v>0.00321826360427868</v>
      </c>
      <c r="C642" s="0" t="n">
        <v>0.619589337459841</v>
      </c>
      <c r="D642" s="0" t="n">
        <f aca="false">A642/SUM($A642:$C642)</f>
        <v>0.527612683371584</v>
      </c>
      <c r="E642" s="0" t="n">
        <f aca="false">B642/SUM($A642:$C642)</f>
        <v>0.00244098965014331</v>
      </c>
      <c r="F642" s="0" t="n">
        <f aca="false">C642/SUM($A642:$C642)</f>
        <v>0.469946326978273</v>
      </c>
      <c r="G642" s="0" t="n">
        <f aca="false">SUMPRODUCT(D642:F642,Stats!$B$6:$D$6)</f>
        <v>0.34366556662592</v>
      </c>
      <c r="H642" s="0" t="n">
        <f aca="false">SQRT(SUMPRODUCT(MMULT(D642:F642,Stats!$B$12:$D$14),D642:F642))</f>
        <v>0.22278430771763</v>
      </c>
      <c r="I642" s="0" t="n">
        <f aca="false">(G642-Stats!$B$2)/H642</f>
        <v>1.35407008561963</v>
      </c>
    </row>
    <row r="643" customFormat="false" ht="15" hidden="false" customHeight="false" outlineLevel="0" collapsed="false">
      <c r="A643" s="0" t="n">
        <v>0.355493010441357</v>
      </c>
      <c r="B643" s="0" t="n">
        <v>0.794197331277084</v>
      </c>
      <c r="C643" s="0" t="n">
        <v>0.0929906398231322</v>
      </c>
      <c r="D643" s="0" t="n">
        <f aca="false">A643/SUM($A643:$C643)</f>
        <v>0.286069406164372</v>
      </c>
      <c r="E643" s="0" t="n">
        <f aca="false">B643/SUM($A643:$C643)</f>
        <v>0.639099932383181</v>
      </c>
      <c r="F643" s="0" t="n">
        <f aca="false">C643/SUM($A643:$C643)</f>
        <v>0.0748306614524471</v>
      </c>
      <c r="G643" s="0" t="n">
        <f aca="false">SUMPRODUCT(D643:F643,Stats!$B$6:$D$6)</f>
        <v>0.391193260686633</v>
      </c>
      <c r="H643" s="0" t="n">
        <f aca="false">SQRT(SUMPRODUCT(MMULT(D643:F643,Stats!$B$12:$D$14),D643:F643))</f>
        <v>0.23398153905832</v>
      </c>
      <c r="I643" s="0" t="n">
        <f aca="false">(G643-Stats!$B$2)/H643</f>
        <v>1.49239663134106</v>
      </c>
    </row>
    <row r="644" customFormat="false" ht="15" hidden="false" customHeight="false" outlineLevel="0" collapsed="false">
      <c r="A644" s="0" t="n">
        <v>0.588202266948391</v>
      </c>
      <c r="B644" s="0" t="n">
        <v>0.480972889886124</v>
      </c>
      <c r="C644" s="0" t="n">
        <v>0.642325525905227</v>
      </c>
      <c r="D644" s="0" t="n">
        <f aca="false">A644/SUM($A644:$C644)</f>
        <v>0.343676326209117</v>
      </c>
      <c r="E644" s="0" t="n">
        <f aca="false">B644/SUM($A644:$C644)</f>
        <v>0.281024071294082</v>
      </c>
      <c r="F644" s="0" t="n">
        <f aca="false">C644/SUM($A644:$C644)</f>
        <v>0.3752996024968</v>
      </c>
      <c r="G644" s="0" t="n">
        <f aca="false">SUMPRODUCT(D644:F644,Stats!$B$6:$D$6)</f>
        <v>0.362304723605217</v>
      </c>
      <c r="H644" s="0" t="n">
        <f aca="false">SQRT(SUMPRODUCT(MMULT(D644:F644,Stats!$B$12:$D$14),D644:F644))</f>
        <v>0.225816054558661</v>
      </c>
      <c r="I644" s="0" t="n">
        <f aca="false">(G644-Stats!$B$2)/H644</f>
        <v>1.418432025266</v>
      </c>
    </row>
    <row r="645" customFormat="false" ht="15" hidden="false" customHeight="false" outlineLevel="0" collapsed="false">
      <c r="A645" s="0" t="n">
        <v>0.0648535944829684</v>
      </c>
      <c r="B645" s="0" t="n">
        <v>0.579983787428131</v>
      </c>
      <c r="C645" s="0" t="n">
        <v>0.561484587959524</v>
      </c>
      <c r="D645" s="0" t="n">
        <f aca="false">A645/SUM($A645:$C645)</f>
        <v>0.0537614302837607</v>
      </c>
      <c r="E645" s="0" t="n">
        <f aca="false">B645/SUM($A645:$C645)</f>
        <v>0.480786889332981</v>
      </c>
      <c r="F645" s="0" t="n">
        <f aca="false">C645/SUM($A645:$C645)</f>
        <v>0.465451680383258</v>
      </c>
      <c r="G645" s="0" t="n">
        <f aca="false">SUMPRODUCT(D645:F645,Stats!$B$6:$D$6)</f>
        <v>0.371312908733813</v>
      </c>
      <c r="H645" s="0" t="n">
        <f aca="false">SQRT(SUMPRODUCT(MMULT(D645:F645,Stats!$B$12:$D$14),D645:F645))</f>
        <v>0.239762591029174</v>
      </c>
      <c r="I645" s="0" t="n">
        <f aca="false">(G645-Stats!$B$2)/H645</f>
        <v>1.37349578731297</v>
      </c>
    </row>
    <row r="646" customFormat="false" ht="15" hidden="false" customHeight="false" outlineLevel="0" collapsed="false">
      <c r="A646" s="0" t="n">
        <v>0.560660094416171</v>
      </c>
      <c r="B646" s="0" t="n">
        <v>0.603487666596455</v>
      </c>
      <c r="C646" s="0" t="n">
        <v>0.676467937226362</v>
      </c>
      <c r="D646" s="0" t="n">
        <f aca="false">A646/SUM($A646:$C646)</f>
        <v>0.304604646669364</v>
      </c>
      <c r="E646" s="0" t="n">
        <f aca="false">B646/SUM($A646:$C646)</f>
        <v>0.327872715186469</v>
      </c>
      <c r="F646" s="0" t="n">
        <f aca="false">C646/SUM($A646:$C646)</f>
        <v>0.367522638144168</v>
      </c>
      <c r="G646" s="0" t="n">
        <f aca="false">SUMPRODUCT(D646:F646,Stats!$B$6:$D$6)</f>
        <v>0.365214780740618</v>
      </c>
      <c r="H646" s="0" t="n">
        <f aca="false">SQRT(SUMPRODUCT(MMULT(D646:F646,Stats!$B$12:$D$14),D646:F646))</f>
        <v>0.227197053335373</v>
      </c>
      <c r="I646" s="0" t="n">
        <f aca="false">(G646-Stats!$B$2)/H646</f>
        <v>1.42261871796159</v>
      </c>
    </row>
    <row r="647" customFormat="false" ht="15" hidden="false" customHeight="false" outlineLevel="0" collapsed="false">
      <c r="A647" s="0" t="n">
        <v>0.80498899968077</v>
      </c>
      <c r="B647" s="0" t="n">
        <v>0.269820720128214</v>
      </c>
      <c r="C647" s="0" t="n">
        <v>0.825049410180062</v>
      </c>
      <c r="D647" s="0" t="n">
        <f aca="false">A647/SUM($A647:$C647)</f>
        <v>0.423709835626292</v>
      </c>
      <c r="E647" s="0" t="n">
        <f aca="false">B647/SUM($A647:$C647)</f>
        <v>0.142021435099649</v>
      </c>
      <c r="F647" s="0" t="n">
        <f aca="false">C647/SUM($A647:$C647)</f>
        <v>0.434268729274059</v>
      </c>
      <c r="G647" s="0" t="n">
        <f aca="false">SUMPRODUCT(D647:F647,Stats!$B$6:$D$6)</f>
        <v>0.352680640836017</v>
      </c>
      <c r="H647" s="0" t="n">
        <f aca="false">SQRT(SUMPRODUCT(MMULT(D647:F647,Stats!$B$12:$D$14),D647:F647))</f>
        <v>0.22387660765739</v>
      </c>
      <c r="I647" s="0" t="n">
        <f aca="false">(G647-Stats!$B$2)/H647</f>
        <v>1.38773159057094</v>
      </c>
    </row>
    <row r="648" customFormat="false" ht="15" hidden="false" customHeight="false" outlineLevel="0" collapsed="false">
      <c r="A648" s="0" t="n">
        <v>0.498255682263454</v>
      </c>
      <c r="B648" s="0" t="n">
        <v>0.0770582791343312</v>
      </c>
      <c r="C648" s="0" t="n">
        <v>0.0585509292439792</v>
      </c>
      <c r="D648" s="0" t="n">
        <f aca="false">A648/SUM($A648:$C648)</f>
        <v>0.786059757559673</v>
      </c>
      <c r="E648" s="0" t="n">
        <f aca="false">B648/SUM($A648:$C648)</f>
        <v>0.121568934124609</v>
      </c>
      <c r="F648" s="0" t="n">
        <f aca="false">C648/SUM($A648:$C648)</f>
        <v>0.0923713083157179</v>
      </c>
      <c r="G648" s="0" t="n">
        <f aca="false">SUMPRODUCT(D648:F648,Stats!$B$6:$D$6)</f>
        <v>0.360931520283332</v>
      </c>
      <c r="H648" s="0" t="n">
        <f aca="false">SQRT(SUMPRODUCT(MMULT(D648:F648,Stats!$B$12:$D$14),D648:F648))</f>
        <v>0.225382078116225</v>
      </c>
      <c r="I648" s="0" t="n">
        <f aca="false">(G648-Stats!$B$2)/H648</f>
        <v>1.41507045701684</v>
      </c>
    </row>
    <row r="649" customFormat="false" ht="15" hidden="false" customHeight="false" outlineLevel="0" collapsed="false">
      <c r="A649" s="0" t="n">
        <v>0.334238318696061</v>
      </c>
      <c r="B649" s="0" t="n">
        <v>0.784896977111468</v>
      </c>
      <c r="C649" s="0" t="n">
        <v>0.707680934740916</v>
      </c>
      <c r="D649" s="0" t="n">
        <f aca="false">A649/SUM($A649:$C649)</f>
        <v>0.182962201181953</v>
      </c>
      <c r="E649" s="0" t="n">
        <f aca="false">B649/SUM($A649:$C649)</f>
        <v>0.429652947015818</v>
      </c>
      <c r="F649" s="0" t="n">
        <f aca="false">C649/SUM($A649:$C649)</f>
        <v>0.387384851802229</v>
      </c>
      <c r="G649" s="0" t="n">
        <f aca="false">SUMPRODUCT(D649:F649,Stats!$B$6:$D$6)</f>
        <v>0.370523390646291</v>
      </c>
      <c r="H649" s="0" t="n">
        <f aca="false">SQRT(SUMPRODUCT(MMULT(D649:F649,Stats!$B$12:$D$14),D649:F649))</f>
        <v>0.232491734314675</v>
      </c>
      <c r="I649" s="0" t="n">
        <f aca="false">(G649-Stats!$B$2)/H649</f>
        <v>1.41305406669485</v>
      </c>
    </row>
    <row r="650" customFormat="false" ht="15" hidden="false" customHeight="false" outlineLevel="0" collapsed="false">
      <c r="A650" s="0" t="n">
        <v>0.788614964672406</v>
      </c>
      <c r="B650" s="0" t="n">
        <v>0.517269056441609</v>
      </c>
      <c r="C650" s="0" t="n">
        <v>0.440198997955491</v>
      </c>
      <c r="D650" s="0" t="n">
        <f aca="false">A650/SUM($A650:$C650)</f>
        <v>0.451648035093235</v>
      </c>
      <c r="E650" s="0" t="n">
        <f aca="false">B650/SUM($A650:$C650)</f>
        <v>0.296245396577572</v>
      </c>
      <c r="F650" s="0" t="n">
        <f aca="false">C650/SUM($A650:$C650)</f>
        <v>0.252106568329193</v>
      </c>
      <c r="G650" s="0" t="n">
        <f aca="false">SUMPRODUCT(D650:F650,Stats!$B$6:$D$6)</f>
        <v>0.366577539496093</v>
      </c>
      <c r="H650" s="0" t="n">
        <f aca="false">SQRT(SUMPRODUCT(MMULT(D650:F650,Stats!$B$12:$D$14),D650:F650))</f>
        <v>0.223695591016013</v>
      </c>
      <c r="I650" s="0" t="n">
        <f aca="false">(G650-Stats!$B$2)/H650</f>
        <v>1.45097870736692</v>
      </c>
    </row>
    <row r="651" customFormat="false" ht="15" hidden="false" customHeight="false" outlineLevel="0" collapsed="false">
      <c r="A651" s="0" t="n">
        <v>0.147452526706284</v>
      </c>
      <c r="B651" s="0" t="n">
        <v>0.328192753609312</v>
      </c>
      <c r="C651" s="0" t="n">
        <v>0.434019366173875</v>
      </c>
      <c r="D651" s="0" t="n">
        <f aca="false">A651/SUM($A651:$C651)</f>
        <v>0.162095479114556</v>
      </c>
      <c r="E651" s="0" t="n">
        <f aca="false">B651/SUM($A651:$C651)</f>
        <v>0.360784333958515</v>
      </c>
      <c r="F651" s="0" t="n">
        <f aca="false">C651/SUM($A651:$C651)</f>
        <v>0.477120186926929</v>
      </c>
      <c r="G651" s="0" t="n">
        <f aca="false">SUMPRODUCT(D651:F651,Stats!$B$6:$D$6)</f>
        <v>0.364086362433836</v>
      </c>
      <c r="H651" s="0" t="n">
        <f aca="false">SQRT(SUMPRODUCT(MMULT(D651:F651,Stats!$B$12:$D$14),D651:F651))</f>
        <v>0.233714412409626</v>
      </c>
      <c r="I651" s="0" t="n">
        <f aca="false">(G651-Stats!$B$2)/H651</f>
        <v>1.37811938559152</v>
      </c>
    </row>
    <row r="652" customFormat="false" ht="15" hidden="false" customHeight="false" outlineLevel="0" collapsed="false">
      <c r="A652" s="0" t="n">
        <v>0.0886004296796172</v>
      </c>
      <c r="B652" s="0" t="n">
        <v>0.220611952711211</v>
      </c>
      <c r="C652" s="0" t="n">
        <v>0.598225294063739</v>
      </c>
      <c r="D652" s="0" t="n">
        <f aca="false">A652/SUM($A652:$C652)</f>
        <v>0.0976380328683137</v>
      </c>
      <c r="E652" s="0" t="n">
        <f aca="false">B652/SUM($A652:$C652)</f>
        <v>0.243115266684937</v>
      </c>
      <c r="F652" s="0" t="n">
        <f aca="false">C652/SUM($A652:$C652)</f>
        <v>0.65924670044675</v>
      </c>
      <c r="G652" s="0" t="n">
        <f aca="false">SUMPRODUCT(D652:F652,Stats!$B$6:$D$6)</f>
        <v>0.352293768038239</v>
      </c>
      <c r="H652" s="0" t="n">
        <f aca="false">SQRT(SUMPRODUCT(MMULT(D652:F652,Stats!$B$12:$D$14),D652:F652))</f>
        <v>0.240087935138462</v>
      </c>
      <c r="I652" s="0" t="n">
        <f aca="false">(G652-Stats!$B$2)/H652</f>
        <v>1.2924171631502</v>
      </c>
    </row>
    <row r="653" customFormat="false" ht="15" hidden="false" customHeight="false" outlineLevel="0" collapsed="false">
      <c r="A653" s="0" t="n">
        <v>0.73566311423919</v>
      </c>
      <c r="B653" s="0" t="n">
        <v>0.99834751139295</v>
      </c>
      <c r="C653" s="0" t="n">
        <v>0.933113331343558</v>
      </c>
      <c r="D653" s="0" t="n">
        <f aca="false">A653/SUM($A653:$C653)</f>
        <v>0.275826368067787</v>
      </c>
      <c r="E653" s="0" t="n">
        <f aca="false">B653/SUM($A653:$C653)</f>
        <v>0.374316127595732</v>
      </c>
      <c r="F653" s="0" t="n">
        <f aca="false">C653/SUM($A653:$C653)</f>
        <v>0.349857504336481</v>
      </c>
      <c r="G653" s="0" t="n">
        <f aca="false">SUMPRODUCT(D653:F653,Stats!$B$6:$D$6)</f>
        <v>0.368374183850494</v>
      </c>
      <c r="H653" s="0" t="n">
        <f aca="false">SQRT(SUMPRODUCT(MMULT(D653:F653,Stats!$B$12:$D$14),D653:F653))</f>
        <v>0.228399203010278</v>
      </c>
      <c r="I653" s="0" t="n">
        <f aca="false">(G653-Stats!$B$2)/H653</f>
        <v>1.42896375971946</v>
      </c>
    </row>
    <row r="654" customFormat="false" ht="15" hidden="false" customHeight="false" outlineLevel="0" collapsed="false">
      <c r="A654" s="0" t="n">
        <v>0.642565199535192</v>
      </c>
      <c r="B654" s="0" t="n">
        <v>0.421248053294072</v>
      </c>
      <c r="C654" s="0" t="n">
        <v>0.636177364708233</v>
      </c>
      <c r="D654" s="0" t="n">
        <f aca="false">A654/SUM($A654:$C654)</f>
        <v>0.377981615255014</v>
      </c>
      <c r="E654" s="0" t="n">
        <f aca="false">B654/SUM($A654:$C654)</f>
        <v>0.247794340126575</v>
      </c>
      <c r="F654" s="0" t="n">
        <f aca="false">C654/SUM($A654:$C654)</f>
        <v>0.374224044618411</v>
      </c>
      <c r="G654" s="0" t="n">
        <f aca="false">SUMPRODUCT(D654:F654,Stats!$B$6:$D$6)</f>
        <v>0.360422385977054</v>
      </c>
      <c r="H654" s="0" t="n">
        <f aca="false">SQRT(SUMPRODUCT(MMULT(D654:F654,Stats!$B$12:$D$14),D654:F654))</f>
        <v>0.224766834092005</v>
      </c>
      <c r="I654" s="0" t="n">
        <f aca="false">(G654-Stats!$B$2)/H654</f>
        <v>1.41667869845385</v>
      </c>
    </row>
    <row r="655" customFormat="false" ht="15" hidden="false" customHeight="false" outlineLevel="0" collapsed="false">
      <c r="A655" s="0" t="n">
        <v>0.785651618080232</v>
      </c>
      <c r="B655" s="0" t="n">
        <v>0.118336190923387</v>
      </c>
      <c r="C655" s="0" t="n">
        <v>0.409904889696288</v>
      </c>
      <c r="D655" s="0" t="n">
        <f aca="false">A655/SUM($A655:$C655)</f>
        <v>0.597957214358244</v>
      </c>
      <c r="E655" s="0" t="n">
        <f aca="false">B655/SUM($A655:$C655)</f>
        <v>0.090065338699637</v>
      </c>
      <c r="F655" s="0" t="n">
        <f aca="false">C655/SUM($A655:$C655)</f>
        <v>0.311977446942119</v>
      </c>
      <c r="G655" s="0" t="n">
        <f aca="false">SUMPRODUCT(D655:F655,Stats!$B$6:$D$6)</f>
        <v>0.353063289369223</v>
      </c>
      <c r="H655" s="0" t="n">
        <f aca="false">SQRT(SUMPRODUCT(MMULT(D655:F655,Stats!$B$12:$D$14),D655:F655))</f>
        <v>0.221330434441556</v>
      </c>
      <c r="I655" s="0" t="n">
        <f aca="false">(G655-Stats!$B$2)/H655</f>
        <v>1.4054248352879</v>
      </c>
    </row>
    <row r="656" customFormat="false" ht="15" hidden="false" customHeight="false" outlineLevel="0" collapsed="false">
      <c r="A656" s="0" t="n">
        <v>0.839802285635617</v>
      </c>
      <c r="B656" s="0" t="n">
        <v>0.383832951933044</v>
      </c>
      <c r="C656" s="0" t="n">
        <v>0.571872271227187</v>
      </c>
      <c r="D656" s="0" t="n">
        <f aca="false">A656/SUM($A656:$C656)</f>
        <v>0.467724184678475</v>
      </c>
      <c r="E656" s="0" t="n">
        <f aca="false">B656/SUM($A656:$C656)</f>
        <v>0.213774072262422</v>
      </c>
      <c r="F656" s="0" t="n">
        <f aca="false">C656/SUM($A656:$C656)</f>
        <v>0.318501743059104</v>
      </c>
      <c r="G656" s="0" t="n">
        <f aca="false">SUMPRODUCT(D656:F656,Stats!$B$6:$D$6)</f>
        <v>0.360001424829295</v>
      </c>
      <c r="H656" s="0" t="n">
        <f aca="false">SQRT(SUMPRODUCT(MMULT(D656:F656,Stats!$B$12:$D$14),D656:F656))</f>
        <v>0.222758122384772</v>
      </c>
      <c r="I656" s="0" t="n">
        <f aca="false">(G656-Stats!$B$2)/H656</f>
        <v>1.42756376927979</v>
      </c>
    </row>
    <row r="657" customFormat="false" ht="15" hidden="false" customHeight="false" outlineLevel="0" collapsed="false">
      <c r="A657" s="0" t="n">
        <v>0.587769360862198</v>
      </c>
      <c r="B657" s="0" t="n">
        <v>0.184476253133639</v>
      </c>
      <c r="C657" s="0" t="n">
        <v>0.362235441652288</v>
      </c>
      <c r="D657" s="0" t="n">
        <f aca="false">A657/SUM($A657:$C657)</f>
        <v>0.518095351117527</v>
      </c>
      <c r="E657" s="0" t="n">
        <f aca="false">B657/SUM($A657:$C657)</f>
        <v>0.162608491534703</v>
      </c>
      <c r="F657" s="0" t="n">
        <f aca="false">C657/SUM($A657:$C657)</f>
        <v>0.31929615734777</v>
      </c>
      <c r="G657" s="0" t="n">
        <f aca="false">SUMPRODUCT(D657:F657,Stats!$B$6:$D$6)</f>
        <v>0.357035517868076</v>
      </c>
      <c r="H657" s="0" t="n">
        <f aca="false">SQRT(SUMPRODUCT(MMULT(D657:F657,Stats!$B$12:$D$14),D657:F657))</f>
        <v>0.221949178184511</v>
      </c>
      <c r="I657" s="0" t="n">
        <f aca="false">(G657-Stats!$B$2)/H657</f>
        <v>1.41940384931806</v>
      </c>
    </row>
    <row r="658" customFormat="false" ht="15" hidden="false" customHeight="false" outlineLevel="0" collapsed="false">
      <c r="A658" s="0" t="n">
        <v>0.334511288741932</v>
      </c>
      <c r="B658" s="0" t="n">
        <v>0.0261967085320648</v>
      </c>
      <c r="C658" s="0" t="n">
        <v>0.0241917638913552</v>
      </c>
      <c r="D658" s="0" t="n">
        <f aca="false">A658/SUM($A658:$C658)</f>
        <v>0.869086766198919</v>
      </c>
      <c r="E658" s="0" t="n">
        <f aca="false">B658/SUM($A658:$C658)</f>
        <v>0.0680611192190653</v>
      </c>
      <c r="F658" s="0" t="n">
        <f aca="false">C658/SUM($A658:$C658)</f>
        <v>0.0628521145820158</v>
      </c>
      <c r="G658" s="0" t="n">
        <f aca="false">SUMPRODUCT(D658:F658,Stats!$B$6:$D$6)</f>
        <v>0.358666730281004</v>
      </c>
      <c r="H658" s="0" t="n">
        <f aca="false">SQRT(SUMPRODUCT(MMULT(D658:F658,Stats!$B$12:$D$14),D658:F658))</f>
        <v>0.22771418687722</v>
      </c>
      <c r="I658" s="0" t="n">
        <f aca="false">(G658-Stats!$B$2)/H658</f>
        <v>1.39063241787279</v>
      </c>
    </row>
    <row r="659" customFormat="false" ht="15" hidden="false" customHeight="false" outlineLevel="0" collapsed="false">
      <c r="A659" s="0" t="n">
        <v>0.831697043675774</v>
      </c>
      <c r="B659" s="0" t="n">
        <v>0.273070809972812</v>
      </c>
      <c r="C659" s="0" t="n">
        <v>0.518078766238815</v>
      </c>
      <c r="D659" s="0" t="n">
        <f aca="false">A659/SUM($A659:$C659)</f>
        <v>0.512492698622054</v>
      </c>
      <c r="E659" s="0" t="n">
        <f aca="false">B659/SUM($A659:$C659)</f>
        <v>0.168266554969785</v>
      </c>
      <c r="F659" s="0" t="n">
        <f aca="false">C659/SUM($A659:$C659)</f>
        <v>0.319240746408161</v>
      </c>
      <c r="G659" s="0" t="n">
        <f aca="false">SUMPRODUCT(D659:F659,Stats!$B$6:$D$6)</f>
        <v>0.357362603450389</v>
      </c>
      <c r="H659" s="0" t="n">
        <f aca="false">SQRT(SUMPRODUCT(MMULT(D659:F659,Stats!$B$12:$D$14),D659:F659))</f>
        <v>0.222023455837008</v>
      </c>
      <c r="I659" s="0" t="n">
        <f aca="false">(G659-Stats!$B$2)/H659</f>
        <v>1.42040219246882</v>
      </c>
    </row>
    <row r="660" customFormat="false" ht="15" hidden="false" customHeight="false" outlineLevel="0" collapsed="false">
      <c r="A660" s="0" t="n">
        <v>0.298725573588773</v>
      </c>
      <c r="B660" s="0" t="n">
        <v>0.940679245115341</v>
      </c>
      <c r="C660" s="0" t="n">
        <v>0.259296758865774</v>
      </c>
      <c r="D660" s="0" t="n">
        <f aca="false">A660/SUM($A660:$C660)</f>
        <v>0.199322919292012</v>
      </c>
      <c r="E660" s="0" t="n">
        <f aca="false">B660/SUM($A660:$C660)</f>
        <v>0.627662811058511</v>
      </c>
      <c r="F660" s="0" t="n">
        <f aca="false">C660/SUM($A660:$C660)</f>
        <v>0.173014269649477</v>
      </c>
      <c r="G660" s="0" t="n">
        <f aca="false">SUMPRODUCT(D660:F660,Stats!$B$6:$D$6)</f>
        <v>0.387827808295756</v>
      </c>
      <c r="H660" s="0" t="n">
        <f aca="false">SQRT(SUMPRODUCT(MMULT(D660:F660,Stats!$B$12:$D$14),D660:F660))</f>
        <v>0.235024712520122</v>
      </c>
      <c r="I660" s="0" t="n">
        <f aca="false">(G660-Stats!$B$2)/H660</f>
        <v>1.47145295738272</v>
      </c>
    </row>
    <row r="661" customFormat="false" ht="15" hidden="false" customHeight="false" outlineLevel="0" collapsed="false">
      <c r="A661" s="0" t="n">
        <v>0.429656812738935</v>
      </c>
      <c r="B661" s="0" t="n">
        <v>0.872730250484602</v>
      </c>
      <c r="C661" s="0" t="n">
        <v>0.841933566791809</v>
      </c>
      <c r="D661" s="0" t="n">
        <f aca="false">A661/SUM($A661:$C661)</f>
        <v>0.200369668008026</v>
      </c>
      <c r="E661" s="0" t="n">
        <f aca="false">B661/SUM($A661:$C661)</f>
        <v>0.406996154524875</v>
      </c>
      <c r="F661" s="0" t="n">
        <f aca="false">C661/SUM($A661:$C661)</f>
        <v>0.3926341774671</v>
      </c>
      <c r="G661" s="0" t="n">
        <f aca="false">SUMPRODUCT(D661:F661,Stats!$B$6:$D$6)</f>
        <v>0.369074999994262</v>
      </c>
      <c r="H661" s="0" t="n">
        <f aca="false">SQRT(SUMPRODUCT(MMULT(D661:F661,Stats!$B$12:$D$14),D661:F661))</f>
        <v>0.231615865898781</v>
      </c>
      <c r="I661" s="0" t="n">
        <f aca="false">(G661-Stats!$B$2)/H661</f>
        <v>1.4121441928214</v>
      </c>
    </row>
    <row r="662" customFormat="false" ht="15" hidden="false" customHeight="false" outlineLevel="0" collapsed="false">
      <c r="A662" s="0" t="n">
        <v>0.186101417846277</v>
      </c>
      <c r="B662" s="0" t="n">
        <v>0.80264330979571</v>
      </c>
      <c r="C662" s="0" t="n">
        <v>0.458186886737893</v>
      </c>
      <c r="D662" s="0" t="n">
        <f aca="false">A662/SUM($A662:$C662)</f>
        <v>0.128617977516536</v>
      </c>
      <c r="E662" s="0" t="n">
        <f aca="false">B662/SUM($A662:$C662)</f>
        <v>0.554720970790111</v>
      </c>
      <c r="F662" s="0" t="n">
        <f aca="false">C662/SUM($A662:$C662)</f>
        <v>0.316661051693352</v>
      </c>
      <c r="G662" s="0" t="n">
        <f aca="false">SUMPRODUCT(D662:F662,Stats!$B$6:$D$6)</f>
        <v>0.379669824448086</v>
      </c>
      <c r="H662" s="0" t="n">
        <f aca="false">SQRT(SUMPRODUCT(MMULT(D662:F662,Stats!$B$12:$D$14),D662:F662))</f>
        <v>0.236007141061438</v>
      </c>
      <c r="I662" s="0" t="n">
        <f aca="false">(G662-Stats!$B$2)/H662</f>
        <v>1.43076104786246</v>
      </c>
    </row>
    <row r="663" customFormat="false" ht="15" hidden="false" customHeight="false" outlineLevel="0" collapsed="false">
      <c r="A663" s="0" t="n">
        <v>0.482968872085355</v>
      </c>
      <c r="B663" s="0" t="n">
        <v>0.133479972415944</v>
      </c>
      <c r="C663" s="0" t="n">
        <v>0.0806015137571247</v>
      </c>
      <c r="D663" s="0" t="n">
        <f aca="false">A663/SUM($A663:$C663)</f>
        <v>0.692875150788316</v>
      </c>
      <c r="E663" s="0" t="n">
        <f aca="false">B663/SUM($A663:$C663)</f>
        <v>0.191492581324315</v>
      </c>
      <c r="F663" s="0" t="n">
        <f aca="false">C663/SUM($A663:$C663)</f>
        <v>0.115632267887369</v>
      </c>
      <c r="G663" s="0" t="n">
        <f aca="false">SUMPRODUCT(D663:F663,Stats!$B$6:$D$6)</f>
        <v>0.364313424429244</v>
      </c>
      <c r="H663" s="0" t="n">
        <f aca="false">SQRT(SUMPRODUCT(MMULT(D663:F663,Stats!$B$12:$D$14),D663:F663))</f>
        <v>0.223966842270283</v>
      </c>
      <c r="I663" s="0" t="n">
        <f aca="false">(G663-Stats!$B$2)/H663</f>
        <v>1.43911224162493</v>
      </c>
    </row>
    <row r="664" customFormat="false" ht="15" hidden="false" customHeight="false" outlineLevel="0" collapsed="false">
      <c r="A664" s="0" t="n">
        <v>0.727939306973765</v>
      </c>
      <c r="B664" s="0" t="n">
        <v>0.4964611523553</v>
      </c>
      <c r="C664" s="0" t="n">
        <v>0.43685070261518</v>
      </c>
      <c r="D664" s="0" t="n">
        <f aca="false">A664/SUM($A664:$C664)</f>
        <v>0.438187387704712</v>
      </c>
      <c r="E664" s="0" t="n">
        <f aca="false">B664/SUM($A664:$C664)</f>
        <v>0.298847738215735</v>
      </c>
      <c r="F664" s="0" t="n">
        <f aca="false">C664/SUM($A664:$C664)</f>
        <v>0.262964874079553</v>
      </c>
      <c r="G664" s="0" t="n">
        <f aca="false">SUMPRODUCT(D664:F664,Stats!$B$6:$D$6)</f>
        <v>0.366427861261066</v>
      </c>
      <c r="H664" s="0" t="n">
        <f aca="false">SQRT(SUMPRODUCT(MMULT(D664:F664,Stats!$B$12:$D$14),D664:F664))</f>
        <v>0.223870655310404</v>
      </c>
      <c r="I664" s="0" t="n">
        <f aca="false">(G664-Stats!$B$2)/H664</f>
        <v>1.44917546612457</v>
      </c>
    </row>
    <row r="665" customFormat="false" ht="15" hidden="false" customHeight="false" outlineLevel="0" collapsed="false">
      <c r="A665" s="0" t="n">
        <v>0.729508228652397</v>
      </c>
      <c r="B665" s="0" t="n">
        <v>0.76551289899111</v>
      </c>
      <c r="C665" s="0" t="n">
        <v>0.158908167669354</v>
      </c>
      <c r="D665" s="0" t="n">
        <f aca="false">A665/SUM($A665:$C665)</f>
        <v>0.441075825139431</v>
      </c>
      <c r="E665" s="0" t="n">
        <f aca="false">B665/SUM($A665:$C665)</f>
        <v>0.462844996554889</v>
      </c>
      <c r="F665" s="0" t="n">
        <f aca="false">C665/SUM($A665:$C665)</f>
        <v>0.096079178305681</v>
      </c>
      <c r="G665" s="0" t="n">
        <f aca="false">SUMPRODUCT(D665:F665,Stats!$B$6:$D$6)</f>
        <v>0.380465860121754</v>
      </c>
      <c r="H665" s="0" t="n">
        <f aca="false">SQRT(SUMPRODUCT(MMULT(D665:F665,Stats!$B$12:$D$14),D665:F665))</f>
        <v>0.227551479033486</v>
      </c>
      <c r="I665" s="0" t="n">
        <f aca="false">(G665-Stats!$B$2)/H665</f>
        <v>1.48742544570298</v>
      </c>
    </row>
    <row r="666" customFormat="false" ht="15" hidden="false" customHeight="false" outlineLevel="0" collapsed="false">
      <c r="A666" s="0" t="n">
        <v>0.610225149477641</v>
      </c>
      <c r="B666" s="0" t="n">
        <v>0.135354082277686</v>
      </c>
      <c r="C666" s="0" t="n">
        <v>0.751375086029046</v>
      </c>
      <c r="D666" s="0" t="n">
        <f aca="false">A666/SUM($A666:$C666)</f>
        <v>0.407644469993466</v>
      </c>
      <c r="E666" s="0" t="n">
        <f aca="false">B666/SUM($A666:$C666)</f>
        <v>0.0904196478607455</v>
      </c>
      <c r="F666" s="0" t="n">
        <f aca="false">C666/SUM($A666:$C666)</f>
        <v>0.501935882145788</v>
      </c>
      <c r="G666" s="0" t="n">
        <f aca="false">SUMPRODUCT(D666:F666,Stats!$B$6:$D$6)</f>
        <v>0.347845645070894</v>
      </c>
      <c r="H666" s="0" t="n">
        <f aca="false">SQRT(SUMPRODUCT(MMULT(D666:F666,Stats!$B$12:$D$14),D666:F666))</f>
        <v>0.225071907059604</v>
      </c>
      <c r="I666" s="0" t="n">
        <f aca="false">(G666-Stats!$B$2)/H666</f>
        <v>1.35887969789983</v>
      </c>
    </row>
    <row r="667" customFormat="false" ht="15" hidden="false" customHeight="false" outlineLevel="0" collapsed="false">
      <c r="A667" s="0" t="n">
        <v>0.65695515626714</v>
      </c>
      <c r="B667" s="0" t="n">
        <v>0.956614621083458</v>
      </c>
      <c r="C667" s="0" t="n">
        <v>0.0689580163564212</v>
      </c>
      <c r="D667" s="0" t="n">
        <f aca="false">A667/SUM($A667:$C667)</f>
        <v>0.39045723864074</v>
      </c>
      <c r="E667" s="0" t="n">
        <f aca="false">B667/SUM($A667:$C667)</f>
        <v>0.568557990341308</v>
      </c>
      <c r="F667" s="0" t="n">
        <f aca="false">C667/SUM($A667:$C667)</f>
        <v>0.0409847710179514</v>
      </c>
      <c r="G667" s="0" t="n">
        <f aca="false">SUMPRODUCT(D667:F667,Stats!$B$6:$D$6)</f>
        <v>0.38806765605311</v>
      </c>
      <c r="H667" s="0" t="n">
        <f aca="false">SQRT(SUMPRODUCT(MMULT(D667:F667,Stats!$B$12:$D$14),D667:F667))</f>
        <v>0.231115570087611</v>
      </c>
      <c r="I667" s="0" t="n">
        <f aca="false">(G667-Stats!$B$2)/H667</f>
        <v>1.49737923724448</v>
      </c>
    </row>
    <row r="668" customFormat="false" ht="15" hidden="false" customHeight="false" outlineLevel="0" collapsed="false">
      <c r="A668" s="0" t="n">
        <v>0.0570547211512543</v>
      </c>
      <c r="B668" s="0" t="n">
        <v>0.2821870746932</v>
      </c>
      <c r="C668" s="0" t="n">
        <v>0.261705683735906</v>
      </c>
      <c r="D668" s="0" t="n">
        <f aca="false">A668/SUM($A668:$C668)</f>
        <v>0.0949412770498604</v>
      </c>
      <c r="E668" s="0" t="n">
        <f aca="false">B668/SUM($A668:$C668)</f>
        <v>0.469570277406356</v>
      </c>
      <c r="F668" s="0" t="n">
        <f aca="false">C668/SUM($A668:$C668)</f>
        <v>0.435488445543784</v>
      </c>
      <c r="G668" s="0" t="n">
        <f aca="false">SUMPRODUCT(D668:F668,Stats!$B$6:$D$6)</f>
        <v>0.371493744077164</v>
      </c>
      <c r="H668" s="0" t="n">
        <f aca="false">SQRT(SUMPRODUCT(MMULT(D668:F668,Stats!$B$12:$D$14),D668:F668))</f>
        <v>0.237229508181533</v>
      </c>
      <c r="I668" s="0" t="n">
        <f aca="false">(G668-Stats!$B$2)/H668</f>
        <v>1.38892394374914</v>
      </c>
    </row>
    <row r="669" customFormat="false" ht="15" hidden="false" customHeight="false" outlineLevel="0" collapsed="false">
      <c r="A669" s="0" t="n">
        <v>0.246978799072</v>
      </c>
      <c r="B669" s="0" t="n">
        <v>0.906254580521037</v>
      </c>
      <c r="C669" s="0" t="n">
        <v>0.249546199849506</v>
      </c>
      <c r="D669" s="0" t="n">
        <f aca="false">A669/SUM($A669:$C669)</f>
        <v>0.176063868259437</v>
      </c>
      <c r="E669" s="0" t="n">
        <f aca="false">B669/SUM($A669:$C669)</f>
        <v>0.646042039534948</v>
      </c>
      <c r="F669" s="0" t="n">
        <f aca="false">C669/SUM($A669:$C669)</f>
        <v>0.177894092205615</v>
      </c>
      <c r="G669" s="0" t="n">
        <f aca="false">SUMPRODUCT(D669:F669,Stats!$B$6:$D$6)</f>
        <v>0.388750766084413</v>
      </c>
      <c r="H669" s="0" t="n">
        <f aca="false">SQRT(SUMPRODUCT(MMULT(D669:F669,Stats!$B$12:$D$14),D669:F669))</f>
        <v>0.236152576181671</v>
      </c>
      <c r="I669" s="0" t="n">
        <f aca="false">(G669-Stats!$B$2)/H669</f>
        <v>1.46833361588086</v>
      </c>
    </row>
    <row r="670" customFormat="false" ht="15" hidden="false" customHeight="false" outlineLevel="0" collapsed="false">
      <c r="A670" s="0" t="n">
        <v>0.271949726128631</v>
      </c>
      <c r="B670" s="0" t="n">
        <v>0.759398262417964</v>
      </c>
      <c r="C670" s="0" t="n">
        <v>0.44973984245054</v>
      </c>
      <c r="D670" s="0" t="n">
        <f aca="false">A670/SUM($A670:$C670)</f>
        <v>0.183614854188318</v>
      </c>
      <c r="E670" s="0" t="n">
        <f aca="false">B670/SUM($A670:$C670)</f>
        <v>0.512730066728523</v>
      </c>
      <c r="F670" s="0" t="n">
        <f aca="false">C670/SUM($A670:$C670)</f>
        <v>0.303655079083159</v>
      </c>
      <c r="G670" s="0" t="n">
        <f aca="false">SUMPRODUCT(D670:F670,Stats!$B$6:$D$6)</f>
        <v>0.377612356868512</v>
      </c>
      <c r="H670" s="0" t="n">
        <f aca="false">SQRT(SUMPRODUCT(MMULT(D670:F670,Stats!$B$12:$D$14),D670:F670))</f>
        <v>0.233146670444362</v>
      </c>
      <c r="I670" s="0" t="n">
        <f aca="false">(G670-Stats!$B$2)/H670</f>
        <v>1.43949024118105</v>
      </c>
    </row>
    <row r="671" customFormat="false" ht="15" hidden="false" customHeight="false" outlineLevel="0" collapsed="false">
      <c r="A671" s="0" t="n">
        <v>0.776710556955181</v>
      </c>
      <c r="B671" s="0" t="n">
        <v>0.0653661575643852</v>
      </c>
      <c r="C671" s="0" t="n">
        <v>0.487571193673384</v>
      </c>
      <c r="D671" s="0" t="n">
        <f aca="false">A671/SUM($A671:$C671)</f>
        <v>0.584147541743411</v>
      </c>
      <c r="E671" s="0" t="n">
        <f aca="false">B671/SUM($A671:$C671)</f>
        <v>0.0491605011835206</v>
      </c>
      <c r="F671" s="0" t="n">
        <f aca="false">C671/SUM($A671:$C671)</f>
        <v>0.366691957073068</v>
      </c>
      <c r="G671" s="0" t="n">
        <f aca="false">SUMPRODUCT(D671:F671,Stats!$B$6:$D$6)</f>
        <v>0.349200946388087</v>
      </c>
      <c r="H671" s="0" t="n">
        <f aca="false">SQRT(SUMPRODUCT(MMULT(D671:F671,Stats!$B$12:$D$14),D671:F671))</f>
        <v>0.22143170361563</v>
      </c>
      <c r="I671" s="0" t="n">
        <f aca="false">(G671-Stats!$B$2)/H671</f>
        <v>1.38733948830263</v>
      </c>
    </row>
    <row r="672" customFormat="false" ht="15" hidden="false" customHeight="false" outlineLevel="0" collapsed="false">
      <c r="A672" s="0" t="n">
        <v>0.0336136001832826</v>
      </c>
      <c r="B672" s="0" t="n">
        <v>0.0626532034553545</v>
      </c>
      <c r="C672" s="0" t="n">
        <v>0.906437453344411</v>
      </c>
      <c r="D672" s="0" t="n">
        <f aca="false">A672/SUM($A672:$C672)</f>
        <v>0.0335229455237577</v>
      </c>
      <c r="E672" s="0" t="n">
        <f aca="false">B672/SUM($A672:$C672)</f>
        <v>0.0624842300399386</v>
      </c>
      <c r="F672" s="0" t="n">
        <f aca="false">C672/SUM($A672:$C672)</f>
        <v>0.903992824436304</v>
      </c>
      <c r="G672" s="0" t="n">
        <f aca="false">SUMPRODUCT(D672:F672,Stats!$B$6:$D$6)</f>
        <v>0.335151711741158</v>
      </c>
      <c r="H672" s="0" t="n">
        <f aca="false">SQRT(SUMPRODUCT(MMULT(D672:F672,Stats!$B$12:$D$14),D672:F672))</f>
        <v>0.252889368171464</v>
      </c>
      <c r="I672" s="0" t="n">
        <f aca="false">(G672-Stats!$B$2)/H672</f>
        <v>1.15920931694683</v>
      </c>
    </row>
    <row r="673" customFormat="false" ht="15" hidden="false" customHeight="false" outlineLevel="0" collapsed="false">
      <c r="A673" s="0" t="n">
        <v>0.139245371117595</v>
      </c>
      <c r="B673" s="0" t="n">
        <v>0.532420682275217</v>
      </c>
      <c r="C673" s="0" t="n">
        <v>0.411095602600707</v>
      </c>
      <c r="D673" s="0" t="n">
        <f aca="false">A673/SUM($A673:$C673)</f>
        <v>0.128602052304694</v>
      </c>
      <c r="E673" s="0" t="n">
        <f aca="false">B673/SUM($A673:$C673)</f>
        <v>0.491724729378858</v>
      </c>
      <c r="F673" s="0" t="n">
        <f aca="false">C673/SUM($A673:$C673)</f>
        <v>0.379673218316448</v>
      </c>
      <c r="G673" s="0" t="n">
        <f aca="false">SUMPRODUCT(D673:F673,Stats!$B$6:$D$6)</f>
        <v>0.374307565992844</v>
      </c>
      <c r="H673" s="0" t="n">
        <f aca="false">SQRT(SUMPRODUCT(MMULT(D673:F673,Stats!$B$12:$D$14),D673:F673))</f>
        <v>0.235433069455489</v>
      </c>
      <c r="I673" s="0" t="n">
        <f aca="false">(G673-Stats!$B$2)/H673</f>
        <v>1.41147361652043</v>
      </c>
    </row>
    <row r="674" customFormat="false" ht="15" hidden="false" customHeight="false" outlineLevel="0" collapsed="false">
      <c r="A674" s="0" t="n">
        <v>0.347343326258843</v>
      </c>
      <c r="B674" s="0" t="n">
        <v>0.899833345687273</v>
      </c>
      <c r="C674" s="0" t="n">
        <v>0.0218233967754895</v>
      </c>
      <c r="D674" s="0" t="n">
        <f aca="false">A674/SUM($A674:$C674)</f>
        <v>0.273714190266954</v>
      </c>
      <c r="E674" s="0" t="n">
        <f aca="false">B674/SUM($A674:$C674)</f>
        <v>0.709088492480357</v>
      </c>
      <c r="F674" s="0" t="n">
        <f aca="false">C674/SUM($A674:$C674)</f>
        <v>0.0171973172526889</v>
      </c>
      <c r="G674" s="0" t="n">
        <f aca="false">SUMPRODUCT(D674:F674,Stats!$B$6:$D$6)</f>
        <v>0.396809529149563</v>
      </c>
      <c r="H674" s="0" t="n">
        <f aca="false">SQRT(SUMPRODUCT(MMULT(D674:F674,Stats!$B$12:$D$14),D674:F674))</f>
        <v>0.236932841780232</v>
      </c>
      <c r="I674" s="0" t="n">
        <f aca="false">(G674-Stats!$B$2)/H674</f>
        <v>1.49751096759591</v>
      </c>
    </row>
    <row r="675" customFormat="false" ht="15" hidden="false" customHeight="false" outlineLevel="0" collapsed="false">
      <c r="A675" s="0" t="n">
        <v>0.663789686175589</v>
      </c>
      <c r="B675" s="0" t="n">
        <v>0.96339443421355</v>
      </c>
      <c r="C675" s="0" t="n">
        <v>0.560168183461842</v>
      </c>
      <c r="D675" s="0" t="n">
        <f aca="false">A675/SUM($A675:$C675)</f>
        <v>0.303467203251594</v>
      </c>
      <c r="E675" s="0" t="n">
        <f aca="false">B675/SUM($A675:$C675)</f>
        <v>0.440438621852287</v>
      </c>
      <c r="F675" s="0" t="n">
        <f aca="false">C675/SUM($A675:$C675)</f>
        <v>0.256094174896119</v>
      </c>
      <c r="G675" s="0" t="n">
        <f aca="false">SUMPRODUCT(D675:F675,Stats!$B$6:$D$6)</f>
        <v>0.374764274335392</v>
      </c>
      <c r="H675" s="0" t="n">
        <f aca="false">SQRT(SUMPRODUCT(MMULT(D675:F675,Stats!$B$12:$D$14),D675:F675))</f>
        <v>0.228301567304618</v>
      </c>
      <c r="I675" s="0" t="n">
        <f aca="false">(G675-Stats!$B$2)/H675</f>
        <v>1.45756456367815</v>
      </c>
    </row>
    <row r="676" customFormat="false" ht="15" hidden="false" customHeight="false" outlineLevel="0" collapsed="false">
      <c r="A676" s="0" t="n">
        <v>0.936822462033092</v>
      </c>
      <c r="B676" s="0" t="n">
        <v>0.0522578792860238</v>
      </c>
      <c r="C676" s="0" t="n">
        <v>0.418793319074161</v>
      </c>
      <c r="D676" s="0" t="n">
        <f aca="false">A676/SUM($A676:$C676)</f>
        <v>0.665416569957988</v>
      </c>
      <c r="E676" s="0" t="n">
        <f aca="false">B676/SUM($A676:$C676)</f>
        <v>0.0371183017028858</v>
      </c>
      <c r="F676" s="0" t="n">
        <f aca="false">C676/SUM($A676:$C676)</f>
        <v>0.297465128339126</v>
      </c>
      <c r="G676" s="0" t="n">
        <f aca="false">SUMPRODUCT(D676:F676,Stats!$B$6:$D$6)</f>
        <v>0.350416956992185</v>
      </c>
      <c r="H676" s="0" t="n">
        <f aca="false">SQRT(SUMPRODUCT(MMULT(D676:F676,Stats!$B$12:$D$14),D676:F676))</f>
        <v>0.221425049073533</v>
      </c>
      <c r="I676" s="0" t="n">
        <f aca="false">(G676-Stats!$B$2)/H676</f>
        <v>1.39287293051367</v>
      </c>
    </row>
    <row r="677" customFormat="false" ht="15" hidden="false" customHeight="false" outlineLevel="0" collapsed="false">
      <c r="A677" s="0" t="n">
        <v>0.260157790962051</v>
      </c>
      <c r="B677" s="0" t="n">
        <v>0.73082096498073</v>
      </c>
      <c r="C677" s="0" t="n">
        <v>0.981297090497247</v>
      </c>
      <c r="D677" s="0" t="n">
        <f aca="false">A677/SUM($A677:$C677)</f>
        <v>0.131907406071842</v>
      </c>
      <c r="E677" s="0" t="n">
        <f aca="false">B677/SUM($A677:$C677)</f>
        <v>0.370547033925233</v>
      </c>
      <c r="F677" s="0" t="n">
        <f aca="false">C677/SUM($A677:$C677)</f>
        <v>0.497545560002925</v>
      </c>
      <c r="G677" s="0" t="n">
        <f aca="false">SUMPRODUCT(D677:F677,Stats!$B$6:$D$6)</f>
        <v>0.364084873747746</v>
      </c>
      <c r="H677" s="0" t="n">
        <f aca="false">SQRT(SUMPRODUCT(MMULT(D677:F677,Stats!$B$12:$D$14),D677:F677))</f>
        <v>0.235439501163914</v>
      </c>
      <c r="I677" s="0" t="n">
        <f aca="false">(G677-Stats!$B$2)/H677</f>
        <v>1.36801544411831</v>
      </c>
    </row>
    <row r="678" customFormat="false" ht="15" hidden="false" customHeight="false" outlineLevel="0" collapsed="false">
      <c r="A678" s="0" t="n">
        <v>0.256530062444248</v>
      </c>
      <c r="B678" s="0" t="n">
        <v>0.654174601474075</v>
      </c>
      <c r="C678" s="0" t="n">
        <v>0.19809763275974</v>
      </c>
      <c r="D678" s="0" t="n">
        <f aca="false">A678/SUM($A678:$C678)</f>
        <v>0.231357802209469</v>
      </c>
      <c r="E678" s="0" t="n">
        <f aca="false">B678/SUM($A678:$C678)</f>
        <v>0.589983086645799</v>
      </c>
      <c r="F678" s="0" t="n">
        <f aca="false">C678/SUM($A678:$C678)</f>
        <v>0.178659111144732</v>
      </c>
      <c r="G678" s="0" t="n">
        <f aca="false">SUMPRODUCT(D678:F678,Stats!$B$6:$D$6)</f>
        <v>0.38550411138785</v>
      </c>
      <c r="H678" s="0" t="n">
        <f aca="false">SQRT(SUMPRODUCT(MMULT(D678:F678,Stats!$B$12:$D$14),D678:F678))</f>
        <v>0.23322082307673</v>
      </c>
      <c r="I678" s="0" t="n">
        <f aca="false">(G678-Stats!$B$2)/H678</f>
        <v>1.47287067619531</v>
      </c>
    </row>
    <row r="679" customFormat="false" ht="15" hidden="false" customHeight="false" outlineLevel="0" collapsed="false">
      <c r="A679" s="0" t="n">
        <v>0.56533025457161</v>
      </c>
      <c r="B679" s="0" t="n">
        <v>0.463932486688336</v>
      </c>
      <c r="C679" s="0" t="n">
        <v>0.972005329631537</v>
      </c>
      <c r="D679" s="0" t="n">
        <f aca="false">A679/SUM($A679:$C679)</f>
        <v>0.282486021135479</v>
      </c>
      <c r="E679" s="0" t="n">
        <f aca="false">B679/SUM($A679:$C679)</f>
        <v>0.231819261715235</v>
      </c>
      <c r="F679" s="0" t="n">
        <f aca="false">C679/SUM($A679:$C679)</f>
        <v>0.485694717149287</v>
      </c>
      <c r="G679" s="0" t="n">
        <f aca="false">SUMPRODUCT(D679:F679,Stats!$B$6:$D$6)</f>
        <v>0.356429439720241</v>
      </c>
      <c r="H679" s="0" t="n">
        <f aca="false">SQRT(SUMPRODUCT(MMULT(D679:F679,Stats!$B$12:$D$14),D679:F679))</f>
        <v>0.228519937709258</v>
      </c>
      <c r="I679" s="0" t="n">
        <f aca="false">(G679-Stats!$B$2)/H679</f>
        <v>1.37593875997062</v>
      </c>
    </row>
    <row r="680" customFormat="false" ht="15" hidden="false" customHeight="false" outlineLevel="0" collapsed="false">
      <c r="A680" s="0" t="n">
        <v>0.608527272696467</v>
      </c>
      <c r="B680" s="0" t="n">
        <v>0.349506372086819</v>
      </c>
      <c r="C680" s="0" t="n">
        <v>0.114095784887933</v>
      </c>
      <c r="D680" s="0" t="n">
        <f aca="false">A680/SUM($A680:$C680)</f>
        <v>0.567587509357969</v>
      </c>
      <c r="E680" s="0" t="n">
        <f aca="false">B680/SUM($A680:$C680)</f>
        <v>0.325992704252134</v>
      </c>
      <c r="F680" s="0" t="n">
        <f aca="false">C680/SUM($A680:$C680)</f>
        <v>0.106419786389897</v>
      </c>
      <c r="G680" s="0" t="n">
        <f aca="false">SUMPRODUCT(D680:F680,Stats!$B$6:$D$6)</f>
        <v>0.372306418056394</v>
      </c>
      <c r="H680" s="0" t="n">
        <f aca="false">SQRT(SUMPRODUCT(MMULT(D680:F680,Stats!$B$12:$D$14),D680:F680))</f>
        <v>0.224732736277153</v>
      </c>
      <c r="I680" s="0" t="n">
        <f aca="false">(G680-Stats!$B$2)/H680</f>
        <v>1.46977437968379</v>
      </c>
    </row>
    <row r="681" customFormat="false" ht="15" hidden="false" customHeight="false" outlineLevel="0" collapsed="false">
      <c r="A681" s="0" t="n">
        <v>0.151246828734935</v>
      </c>
      <c r="B681" s="0" t="n">
        <v>0.225316929951235</v>
      </c>
      <c r="C681" s="0" t="n">
        <v>0.250966661340298</v>
      </c>
      <c r="D681" s="0" t="n">
        <f aca="false">A681/SUM($A681:$C681)</f>
        <v>0.241019118608713</v>
      </c>
      <c r="E681" s="0" t="n">
        <f aca="false">B681/SUM($A681:$C681)</f>
        <v>0.359053398465897</v>
      </c>
      <c r="F681" s="0" t="n">
        <f aca="false">C681/SUM($A681:$C681)</f>
        <v>0.39992748292539</v>
      </c>
      <c r="G681" s="0" t="n">
        <f aca="false">SUMPRODUCT(D681:F681,Stats!$B$6:$D$6)</f>
        <v>0.366115325768864</v>
      </c>
      <c r="H681" s="0" t="n">
        <f aca="false">SQRT(SUMPRODUCT(MMULT(D681:F681,Stats!$B$12:$D$14),D681:F681))</f>
        <v>0.22973035062065</v>
      </c>
      <c r="I681" s="0" t="n">
        <f aca="false">(G681-Stats!$B$2)/H681</f>
        <v>1.41085113435477</v>
      </c>
    </row>
    <row r="682" customFormat="false" ht="15" hidden="false" customHeight="false" outlineLevel="0" collapsed="false">
      <c r="A682" s="0" t="n">
        <v>0.850616057841138</v>
      </c>
      <c r="B682" s="0" t="n">
        <v>0.561222788282525</v>
      </c>
      <c r="C682" s="0" t="n">
        <v>0.523390911374366</v>
      </c>
      <c r="D682" s="0" t="n">
        <f aca="false">A682/SUM($A682:$C682)</f>
        <v>0.439542671636499</v>
      </c>
      <c r="E682" s="0" t="n">
        <f aca="false">B682/SUM($A682:$C682)</f>
        <v>0.290003182365336</v>
      </c>
      <c r="F682" s="0" t="n">
        <f aca="false">C682/SUM($A682:$C682)</f>
        <v>0.270454145998166</v>
      </c>
      <c r="G682" s="0" t="n">
        <f aca="false">SUMPRODUCT(D682:F682,Stats!$B$6:$D$6)</f>
        <v>0.365712443172088</v>
      </c>
      <c r="H682" s="0" t="n">
        <f aca="false">SQRT(SUMPRODUCT(MMULT(D682:F682,Stats!$B$12:$D$14),D682:F682))</f>
        <v>0.223749345424352</v>
      </c>
      <c r="I682" s="0" t="n">
        <f aca="false">(G682-Stats!$B$2)/H682</f>
        <v>1.446763755032</v>
      </c>
    </row>
    <row r="683" customFormat="false" ht="15" hidden="false" customHeight="false" outlineLevel="0" collapsed="false">
      <c r="A683" s="0" t="n">
        <v>0.114768871869218</v>
      </c>
      <c r="B683" s="0" t="n">
        <v>0.860139693349435</v>
      </c>
      <c r="C683" s="0" t="n">
        <v>0.722814303208484</v>
      </c>
      <c r="D683" s="0" t="n">
        <f aca="false">A683/SUM($A683:$C683)</f>
        <v>0.0676016527806718</v>
      </c>
      <c r="E683" s="0" t="n">
        <f aca="false">B683/SUM($A683:$C683)</f>
        <v>0.506643168532162</v>
      </c>
      <c r="F683" s="0" t="n">
        <f aca="false">C683/SUM($A683:$C683)</f>
        <v>0.425755178687166</v>
      </c>
      <c r="G683" s="0" t="n">
        <f aca="false">SUMPRODUCT(D683:F683,Stats!$B$6:$D$6)</f>
        <v>0.373895261339999</v>
      </c>
      <c r="H683" s="0" t="n">
        <f aca="false">SQRT(SUMPRODUCT(MMULT(D683:F683,Stats!$B$12:$D$14),D683:F683))</f>
        <v>0.23887803188901</v>
      </c>
      <c r="I683" s="0" t="n">
        <f aca="false">(G683-Stats!$B$2)/H683</f>
        <v>1.38939214592243</v>
      </c>
    </row>
    <row r="684" customFormat="false" ht="15" hidden="false" customHeight="false" outlineLevel="0" collapsed="false">
      <c r="A684" s="0" t="n">
        <v>0.0676683619000016</v>
      </c>
      <c r="B684" s="0" t="n">
        <v>0.707835097229769</v>
      </c>
      <c r="C684" s="0" t="n">
        <v>0.543538217342646</v>
      </c>
      <c r="D684" s="0" t="n">
        <f aca="false">A684/SUM($A684:$C684)</f>
        <v>0.0513011553061543</v>
      </c>
      <c r="E684" s="0" t="n">
        <f aca="false">B684/SUM($A684:$C684)</f>
        <v>0.536628303605061</v>
      </c>
      <c r="F684" s="0" t="n">
        <f aca="false">C684/SUM($A684:$C684)</f>
        <v>0.412070541088785</v>
      </c>
      <c r="G684" s="0" t="n">
        <f aca="false">SUMPRODUCT(D684:F684,Stats!$B$6:$D$6)</f>
        <v>0.375997915821479</v>
      </c>
      <c r="H684" s="0" t="n">
        <f aca="false">SQRT(SUMPRODUCT(MMULT(D684:F684,Stats!$B$12:$D$14),D684:F684))</f>
        <v>0.239930812813845</v>
      </c>
      <c r="I684" s="0" t="n">
        <f aca="false">(G684-Stats!$B$2)/H684</f>
        <v>1.39205928535998</v>
      </c>
    </row>
    <row r="685" customFormat="false" ht="15" hidden="false" customHeight="false" outlineLevel="0" collapsed="false">
      <c r="A685" s="0" t="n">
        <v>0.0817253457467783</v>
      </c>
      <c r="B685" s="0" t="n">
        <v>0.458300641528657</v>
      </c>
      <c r="C685" s="0" t="n">
        <v>0.484696287130047</v>
      </c>
      <c r="D685" s="0" t="n">
        <f aca="false">A685/SUM($A685:$C685)</f>
        <v>0.0797536540270809</v>
      </c>
      <c r="E685" s="0" t="n">
        <f aca="false">B685/SUM($A685:$C685)</f>
        <v>0.44724375860235</v>
      </c>
      <c r="F685" s="0" t="n">
        <f aca="false">C685/SUM($A685:$C685)</f>
        <v>0.473002587370569</v>
      </c>
      <c r="G685" s="0" t="n">
        <f aca="false">SUMPRODUCT(D685:F685,Stats!$B$6:$D$6)</f>
        <v>0.369174667049653</v>
      </c>
      <c r="H685" s="0" t="n">
        <f aca="false">SQRT(SUMPRODUCT(MMULT(D685:F685,Stats!$B$12:$D$14),D685:F685))</f>
        <v>0.238213822300029</v>
      </c>
      <c r="I685" s="0" t="n">
        <f aca="false">(G685-Stats!$B$2)/H685</f>
        <v>1.37344955003316</v>
      </c>
    </row>
    <row r="686" customFormat="false" ht="15" hidden="false" customHeight="false" outlineLevel="0" collapsed="false">
      <c r="A686" s="0" t="n">
        <v>0.165774540163276</v>
      </c>
      <c r="B686" s="0" t="n">
        <v>0.945698147000282</v>
      </c>
      <c r="C686" s="0" t="n">
        <v>0.849975371480662</v>
      </c>
      <c r="D686" s="0" t="n">
        <f aca="false">A686/SUM($A686:$C686)</f>
        <v>0.0845164058424578</v>
      </c>
      <c r="E686" s="0" t="n">
        <f aca="false">B686/SUM($A686:$C686)</f>
        <v>0.482142844839828</v>
      </c>
      <c r="F686" s="0" t="n">
        <f aca="false">C686/SUM($A686:$C686)</f>
        <v>0.433340749317714</v>
      </c>
      <c r="G686" s="0" t="n">
        <f aca="false">SUMPRODUCT(D686:F686,Stats!$B$6:$D$6)</f>
        <v>0.372276375232317</v>
      </c>
      <c r="H686" s="0" t="n">
        <f aca="false">SQRT(SUMPRODUCT(MMULT(D686:F686,Stats!$B$12:$D$14),D686:F686))</f>
        <v>0.237846048381301</v>
      </c>
      <c r="I686" s="0" t="n">
        <f aca="false">(G686-Stats!$B$2)/H686</f>
        <v>1.388614095042</v>
      </c>
    </row>
    <row r="687" customFormat="false" ht="15" hidden="false" customHeight="false" outlineLevel="0" collapsed="false">
      <c r="A687" s="0" t="n">
        <v>0.669022337329108</v>
      </c>
      <c r="B687" s="0" t="n">
        <v>0.462295561000607</v>
      </c>
      <c r="C687" s="0" t="n">
        <v>0.411765541584509</v>
      </c>
      <c r="D687" s="0" t="n">
        <f aca="false">A687/SUM($A687:$C687)</f>
        <v>0.433561996729287</v>
      </c>
      <c r="E687" s="0" t="n">
        <f aca="false">B687/SUM($A687:$C687)</f>
        <v>0.299592069386932</v>
      </c>
      <c r="F687" s="0" t="n">
        <f aca="false">C687/SUM($A687:$C687)</f>
        <v>0.266845933883781</v>
      </c>
      <c r="G687" s="0" t="n">
        <f aca="false">SUMPRODUCT(D687:F687,Stats!$B$6:$D$6)</f>
        <v>0.36636367038192</v>
      </c>
      <c r="H687" s="0" t="n">
        <f aca="false">SQRT(SUMPRODUCT(MMULT(D687:F687,Stats!$B$12:$D$14),D687:F687))</f>
        <v>0.223935821271455</v>
      </c>
      <c r="I687" s="0" t="n">
        <f aca="false">(G687-Stats!$B$2)/H687</f>
        <v>1.44846710338819</v>
      </c>
    </row>
    <row r="688" customFormat="false" ht="15" hidden="false" customHeight="false" outlineLevel="0" collapsed="false">
      <c r="A688" s="0" t="n">
        <v>0.650973467150954</v>
      </c>
      <c r="B688" s="0" t="n">
        <v>0.545431869406906</v>
      </c>
      <c r="C688" s="0" t="n">
        <v>0.0622731058818856</v>
      </c>
      <c r="D688" s="0" t="n">
        <f aca="false">A688/SUM($A688:$C688)</f>
        <v>0.517188064243912</v>
      </c>
      <c r="E688" s="0" t="n">
        <f aca="false">B688/SUM($A688:$C688)</f>
        <v>0.433336943746866</v>
      </c>
      <c r="F688" s="0" t="n">
        <f aca="false">C688/SUM($A688:$C688)</f>
        <v>0.0494749920092214</v>
      </c>
      <c r="G688" s="0" t="n">
        <f aca="false">SUMPRODUCT(D688:F688,Stats!$B$6:$D$6)</f>
        <v>0.380053097466918</v>
      </c>
      <c r="H688" s="0" t="n">
        <f aca="false">SQRT(SUMPRODUCT(MMULT(D688:F688,Stats!$B$12:$D$14),D688:F688))</f>
        <v>0.227369897282569</v>
      </c>
      <c r="I688" s="0" t="n">
        <f aca="false">(G688-Stats!$B$2)/H688</f>
        <v>1.48679795129958</v>
      </c>
    </row>
    <row r="689" customFormat="false" ht="15" hidden="false" customHeight="false" outlineLevel="0" collapsed="false">
      <c r="A689" s="0" t="n">
        <v>0.512502648770332</v>
      </c>
      <c r="B689" s="0" t="n">
        <v>0.80640361723284</v>
      </c>
      <c r="C689" s="0" t="n">
        <v>0.459239877596958</v>
      </c>
      <c r="D689" s="0" t="n">
        <f aca="false">A689/SUM($A689:$C689)</f>
        <v>0.288223018459378</v>
      </c>
      <c r="E689" s="0" t="n">
        <f aca="false">B689/SUM($A689:$C689)</f>
        <v>0.45350806520332</v>
      </c>
      <c r="F689" s="0" t="n">
        <f aca="false">C689/SUM($A689:$C689)</f>
        <v>0.258268916337302</v>
      </c>
      <c r="G689" s="0" t="n">
        <f aca="false">SUMPRODUCT(D689:F689,Stats!$B$6:$D$6)</f>
        <v>0.37545630553157</v>
      </c>
      <c r="H689" s="0" t="n">
        <f aca="false">SQRT(SUMPRODUCT(MMULT(D689:F689,Stats!$B$12:$D$14),D689:F689))</f>
        <v>0.228890091579029</v>
      </c>
      <c r="I689" s="0" t="n">
        <f aca="false">(G689-Stats!$B$2)/H689</f>
        <v>1.45684028186269</v>
      </c>
    </row>
    <row r="690" customFormat="false" ht="15" hidden="false" customHeight="false" outlineLevel="0" collapsed="false">
      <c r="A690" s="0" t="n">
        <v>0.0519565775542684</v>
      </c>
      <c r="B690" s="0" t="n">
        <v>0.786278199384033</v>
      </c>
      <c r="C690" s="0" t="n">
        <v>0.201363782135974</v>
      </c>
      <c r="D690" s="0" t="n">
        <f aca="false">A690/SUM($A690:$C690)</f>
        <v>0.0499775390228838</v>
      </c>
      <c r="E690" s="0" t="n">
        <f aca="false">B690/SUM($A690:$C690)</f>
        <v>0.756328673718233</v>
      </c>
      <c r="F690" s="0" t="n">
        <f aca="false">C690/SUM($A690:$C690)</f>
        <v>0.193693787258883</v>
      </c>
      <c r="G690" s="0" t="n">
        <f aca="false">SUMPRODUCT(D690:F690,Stats!$B$6:$D$6)</f>
        <v>0.39466084575991</v>
      </c>
      <c r="H690" s="0" t="n">
        <f aca="false">SQRT(SUMPRODUCT(MMULT(D690:F690,Stats!$B$12:$D$14),D690:F690))</f>
        <v>0.243498954642721</v>
      </c>
      <c r="I690" s="0" t="n">
        <f aca="false">(G690-Stats!$B$2)/H690</f>
        <v>1.44830537887672</v>
      </c>
    </row>
    <row r="691" customFormat="false" ht="15" hidden="false" customHeight="false" outlineLevel="0" collapsed="false">
      <c r="A691" s="0" t="n">
        <v>0.258620834888039</v>
      </c>
      <c r="B691" s="0" t="n">
        <v>0.164706353432296</v>
      </c>
      <c r="C691" s="0" t="n">
        <v>0.330215064871498</v>
      </c>
      <c r="D691" s="0" t="n">
        <f aca="false">A691/SUM($A691:$C691)</f>
        <v>0.34320681261413</v>
      </c>
      <c r="E691" s="0" t="n">
        <f aca="false">B691/SUM($A691:$C691)</f>
        <v>0.218576135226177</v>
      </c>
      <c r="F691" s="0" t="n">
        <f aca="false">C691/SUM($A691:$C691)</f>
        <v>0.438217052159693</v>
      </c>
      <c r="G691" s="0" t="n">
        <f aca="false">SUMPRODUCT(D691:F691,Stats!$B$6:$D$6)</f>
        <v>0.356976625713521</v>
      </c>
      <c r="H691" s="0" t="n">
        <f aca="false">SQRT(SUMPRODUCT(MMULT(D691:F691,Stats!$B$12:$D$14),D691:F691))</f>
        <v>0.226025368772138</v>
      </c>
      <c r="I691" s="0" t="n">
        <f aca="false">(G691-Stats!$B$2)/H691</f>
        <v>1.39354545653261</v>
      </c>
    </row>
    <row r="692" customFormat="false" ht="15" hidden="false" customHeight="false" outlineLevel="0" collapsed="false">
      <c r="A692" s="0" t="n">
        <v>0.756751505688635</v>
      </c>
      <c r="B692" s="0" t="n">
        <v>0.519385859503937</v>
      </c>
      <c r="C692" s="0" t="n">
        <v>0.204881274150713</v>
      </c>
      <c r="D692" s="0" t="n">
        <f aca="false">A692/SUM($A692:$C692)</f>
        <v>0.510966901823865</v>
      </c>
      <c r="E692" s="0" t="n">
        <f aca="false">B692/SUM($A692:$C692)</f>
        <v>0.350695018756985</v>
      </c>
      <c r="F692" s="0" t="n">
        <f aca="false">C692/SUM($A692:$C692)</f>
        <v>0.13833807941915</v>
      </c>
      <c r="G692" s="0" t="n">
        <f aca="false">SUMPRODUCT(D692:F692,Stats!$B$6:$D$6)</f>
        <v>0.372847622607563</v>
      </c>
      <c r="H692" s="0" t="n">
        <f aca="false">SQRT(SUMPRODUCT(MMULT(D692:F692,Stats!$B$12:$D$14),D692:F692))</f>
        <v>0.224719658587209</v>
      </c>
      <c r="I692" s="0" t="n">
        <f aca="false">(G692-Stats!$B$2)/H692</f>
        <v>1.47226826832851</v>
      </c>
    </row>
    <row r="693" customFormat="false" ht="15" hidden="false" customHeight="false" outlineLevel="0" collapsed="false">
      <c r="A693" s="0" t="n">
        <v>0.877830078152041</v>
      </c>
      <c r="B693" s="0" t="n">
        <v>0.879581854951529</v>
      </c>
      <c r="C693" s="0" t="n">
        <v>0.870578425046007</v>
      </c>
      <c r="D693" s="0" t="n">
        <f aca="false">A693/SUM($A693:$C693)</f>
        <v>0.334030935627229</v>
      </c>
      <c r="E693" s="0" t="n">
        <f aca="false">B693/SUM($A693:$C693)</f>
        <v>0.33469751980782</v>
      </c>
      <c r="F693" s="0" t="n">
        <f aca="false">C693/SUM($A693:$C693)</f>
        <v>0.33127154456495</v>
      </c>
      <c r="G693" s="0" t="n">
        <f aca="false">SUMPRODUCT(D693:F693,Stats!$B$6:$D$6)</f>
        <v>0.366607081127902</v>
      </c>
      <c r="H693" s="0" t="n">
        <f aca="false">SQRT(SUMPRODUCT(MMULT(D693:F693,Stats!$B$12:$D$14),D693:F693))</f>
        <v>0.226300228472305</v>
      </c>
      <c r="I693" s="0" t="n">
        <f aca="false">(G693-Stats!$B$2)/H693</f>
        <v>1.43440898544045</v>
      </c>
    </row>
    <row r="694" customFormat="false" ht="15" hidden="false" customHeight="false" outlineLevel="0" collapsed="false">
      <c r="A694" s="0" t="n">
        <v>0.238796211381539</v>
      </c>
      <c r="B694" s="0" t="n">
        <v>0.451239344180988</v>
      </c>
      <c r="C694" s="0" t="n">
        <v>0.984989656140875</v>
      </c>
      <c r="D694" s="0" t="n">
        <f aca="false">A694/SUM($A694:$C694)</f>
        <v>0.142562756496481</v>
      </c>
      <c r="E694" s="0" t="n">
        <f aca="false">B694/SUM($A694:$C694)</f>
        <v>0.269392568558478</v>
      </c>
      <c r="F694" s="0" t="n">
        <f aca="false">C694/SUM($A694:$C694)</f>
        <v>0.588044674945041</v>
      </c>
      <c r="G694" s="0" t="n">
        <f aca="false">SUMPRODUCT(D694:F694,Stats!$B$6:$D$6)</f>
        <v>0.355769098445467</v>
      </c>
      <c r="H694" s="0" t="n">
        <f aca="false">SQRT(SUMPRODUCT(MMULT(D694:F694,Stats!$B$12:$D$14),D694:F694))</f>
        <v>0.236163206619043</v>
      </c>
      <c r="I694" s="0" t="n">
        <f aca="false">(G694-Stats!$B$2)/H694</f>
        <v>1.32861127242234</v>
      </c>
    </row>
    <row r="695" customFormat="false" ht="15" hidden="false" customHeight="false" outlineLevel="0" collapsed="false">
      <c r="A695" s="0" t="n">
        <v>0.77201247630999</v>
      </c>
      <c r="B695" s="0" t="n">
        <v>0.0271674212255598</v>
      </c>
      <c r="C695" s="0" t="n">
        <v>0.0652045912604921</v>
      </c>
      <c r="D695" s="0" t="n">
        <f aca="false">A695/SUM($A695:$C695)</f>
        <v>0.893135504300046</v>
      </c>
      <c r="E695" s="0" t="n">
        <f aca="false">B695/SUM($A695:$C695)</f>
        <v>0.0314297879909899</v>
      </c>
      <c r="F695" s="0" t="n">
        <f aca="false">C695/SUM($A695:$C695)</f>
        <v>0.0754347077089644</v>
      </c>
      <c r="G695" s="0" t="n">
        <f aca="false">SUMPRODUCT(D695:F695,Stats!$B$6:$D$6)</f>
        <v>0.356212050727189</v>
      </c>
      <c r="H695" s="0" t="n">
        <f aca="false">SQRT(SUMPRODUCT(MMULT(D695:F695,Stats!$B$12:$D$14),D695:F695))</f>
        <v>0.228010837355705</v>
      </c>
      <c r="I695" s="0" t="n">
        <f aca="false">(G695-Stats!$B$2)/H695</f>
        <v>1.37805752731396</v>
      </c>
    </row>
    <row r="696" customFormat="false" ht="15" hidden="false" customHeight="false" outlineLevel="0" collapsed="false">
      <c r="A696" s="0" t="n">
        <v>0.463931376812333</v>
      </c>
      <c r="B696" s="0" t="n">
        <v>0.90922020586156</v>
      </c>
      <c r="C696" s="0" t="n">
        <v>0.538701797952714</v>
      </c>
      <c r="D696" s="0" t="n">
        <f aca="false">A696/SUM($A696:$C696)</f>
        <v>0.242660541605068</v>
      </c>
      <c r="E696" s="0" t="n">
        <f aca="false">B696/SUM($A696:$C696)</f>
        <v>0.475570048977064</v>
      </c>
      <c r="F696" s="0" t="n">
        <f aca="false">C696/SUM($A696:$C696)</f>
        <v>0.281769409417868</v>
      </c>
      <c r="G696" s="0" t="n">
        <f aca="false">SUMPRODUCT(D696:F696,Stats!$B$6:$D$6)</f>
        <v>0.376077706465712</v>
      </c>
      <c r="H696" s="0" t="n">
        <f aca="false">SQRT(SUMPRODUCT(MMULT(D696:F696,Stats!$B$12:$D$14),D696:F696))</f>
        <v>0.230535474640499</v>
      </c>
      <c r="I696" s="0" t="n">
        <f aca="false">(G696-Stats!$B$2)/H696</f>
        <v>1.44913795582514</v>
      </c>
    </row>
    <row r="697" customFormat="false" ht="15" hidden="false" customHeight="false" outlineLevel="0" collapsed="false">
      <c r="A697" s="0" t="n">
        <v>0.49781250803429</v>
      </c>
      <c r="B697" s="0" t="n">
        <v>0.105473699956631</v>
      </c>
      <c r="C697" s="0" t="n">
        <v>0.656780104724294</v>
      </c>
      <c r="D697" s="0" t="n">
        <f aca="false">A697/SUM($A697:$C697)</f>
        <v>0.395068499975683</v>
      </c>
      <c r="E697" s="0" t="n">
        <f aca="false">B697/SUM($A697:$C697)</f>
        <v>0.0837048803640769</v>
      </c>
      <c r="F697" s="0" t="n">
        <f aca="false">C697/SUM($A697:$C697)</f>
        <v>0.52122661966024</v>
      </c>
      <c r="G697" s="0" t="n">
        <f aca="false">SUMPRODUCT(D697:F697,Stats!$B$6:$D$6)</f>
        <v>0.346927351372536</v>
      </c>
      <c r="H697" s="0" t="n">
        <f aca="false">SQRT(SUMPRODUCT(MMULT(D697:F697,Stats!$B$12:$D$14),D697:F697))</f>
        <v>0.225688184278845</v>
      </c>
      <c r="I697" s="0" t="n">
        <f aca="false">(G697-Stats!$B$2)/H697</f>
        <v>1.35110020201939</v>
      </c>
    </row>
    <row r="698" customFormat="false" ht="15" hidden="false" customHeight="false" outlineLevel="0" collapsed="false">
      <c r="A698" s="0" t="n">
        <v>0.822103160600226</v>
      </c>
      <c r="B698" s="0" t="n">
        <v>0.380420007507562</v>
      </c>
      <c r="C698" s="0" t="n">
        <v>0.775611850925328</v>
      </c>
      <c r="D698" s="0" t="n">
        <f aca="false">A698/SUM($A698:$C698)</f>
        <v>0.41559506944175</v>
      </c>
      <c r="E698" s="0" t="n">
        <f aca="false">B698/SUM($A698:$C698)</f>
        <v>0.192312457869285</v>
      </c>
      <c r="F698" s="0" t="n">
        <f aca="false">C698/SUM($A698:$C698)</f>
        <v>0.392092472688965</v>
      </c>
      <c r="G698" s="0" t="n">
        <f aca="false">SUMPRODUCT(D698:F698,Stats!$B$6:$D$6)</f>
        <v>0.356737315249278</v>
      </c>
      <c r="H698" s="0" t="n">
        <f aca="false">SQRT(SUMPRODUCT(MMULT(D698:F698,Stats!$B$12:$D$14),D698:F698))</f>
        <v>0.223812997581874</v>
      </c>
      <c r="I698" s="0" t="n">
        <f aca="false">(G698-Stats!$B$2)/H698</f>
        <v>1.40625128410669</v>
      </c>
    </row>
    <row r="699" customFormat="false" ht="15" hidden="false" customHeight="false" outlineLevel="0" collapsed="false">
      <c r="A699" s="0" t="n">
        <v>0.964476653900812</v>
      </c>
      <c r="B699" s="0" t="n">
        <v>0.203766459127689</v>
      </c>
      <c r="C699" s="0" t="n">
        <v>0.523329631194741</v>
      </c>
      <c r="D699" s="0" t="n">
        <f aca="false">A699/SUM($A699:$C699)</f>
        <v>0.570165638571868</v>
      </c>
      <c r="E699" s="0" t="n">
        <f aca="false">B699/SUM($A699:$C699)</f>
        <v>0.120459767292631</v>
      </c>
      <c r="F699" s="0" t="n">
        <f aca="false">C699/SUM($A699:$C699)</f>
        <v>0.309374594135501</v>
      </c>
      <c r="G699" s="0" t="n">
        <f aca="false">SUMPRODUCT(D699:F699,Stats!$B$6:$D$6)</f>
        <v>0.354883918116758</v>
      </c>
      <c r="H699" s="0" t="n">
        <f aca="false">SQRT(SUMPRODUCT(MMULT(D699:F699,Stats!$B$12:$D$14),D699:F699))</f>
        <v>0.221473430479628</v>
      </c>
      <c r="I699" s="0" t="n">
        <f aca="false">(G699-Stats!$B$2)/H699</f>
        <v>1.41273794079574</v>
      </c>
    </row>
    <row r="700" customFormat="false" ht="15" hidden="false" customHeight="false" outlineLevel="0" collapsed="false">
      <c r="A700" s="0" t="n">
        <v>0.287137958084576</v>
      </c>
      <c r="B700" s="0" t="n">
        <v>0.792854419033839</v>
      </c>
      <c r="C700" s="0" t="n">
        <v>0.577593365881158</v>
      </c>
      <c r="D700" s="0" t="n">
        <f aca="false">A700/SUM($A700:$C700)</f>
        <v>0.173226609421103</v>
      </c>
      <c r="E700" s="0" t="n">
        <f aca="false">B700/SUM($A700:$C700)</f>
        <v>0.478318797312462</v>
      </c>
      <c r="F700" s="0" t="n">
        <f aca="false">C700/SUM($A700:$C700)</f>
        <v>0.348454593266435</v>
      </c>
      <c r="G700" s="0" t="n">
        <f aca="false">SUMPRODUCT(D700:F700,Stats!$B$6:$D$6)</f>
        <v>0.374397047591142</v>
      </c>
      <c r="H700" s="0" t="n">
        <f aca="false">SQRT(SUMPRODUCT(MMULT(D700:F700,Stats!$B$12:$D$14),D700:F700))</f>
        <v>0.233213706010031</v>
      </c>
      <c r="I700" s="0" t="n">
        <f aca="false">(G700-Stats!$B$2)/H700</f>
        <v>1.42528950496951</v>
      </c>
    </row>
    <row r="701" customFormat="false" ht="15" hidden="false" customHeight="false" outlineLevel="0" collapsed="false">
      <c r="A701" s="0" t="n">
        <v>0.634582417550304</v>
      </c>
      <c r="B701" s="0" t="n">
        <v>0.797914159615894</v>
      </c>
      <c r="C701" s="0" t="n">
        <v>0.395970472662455</v>
      </c>
      <c r="D701" s="0" t="n">
        <f aca="false">A701/SUM($A701:$C701)</f>
        <v>0.347057070352879</v>
      </c>
      <c r="E701" s="0" t="n">
        <f aca="false">B701/SUM($A701:$C701)</f>
        <v>0.436384215778276</v>
      </c>
      <c r="F701" s="0" t="n">
        <f aca="false">C701/SUM($A701:$C701)</f>
        <v>0.216558713868845</v>
      </c>
      <c r="G701" s="0" t="n">
        <f aca="false">SUMPRODUCT(D701:F701,Stats!$B$6:$D$6)</f>
        <v>0.375621164189098</v>
      </c>
      <c r="H701" s="0" t="n">
        <f aca="false">SQRT(SUMPRODUCT(MMULT(D701:F701,Stats!$B$12:$D$14),D701:F701))</f>
        <v>0.227363885335743</v>
      </c>
      <c r="I701" s="0" t="n">
        <f aca="false">(G701-Stats!$B$2)/H701</f>
        <v>1.46734457715854</v>
      </c>
    </row>
    <row r="702" customFormat="false" ht="15" hidden="false" customHeight="false" outlineLevel="0" collapsed="false">
      <c r="A702" s="0" t="n">
        <v>0.915090068407043</v>
      </c>
      <c r="B702" s="0" t="n">
        <v>0.53302886724614</v>
      </c>
      <c r="C702" s="0" t="n">
        <v>0.157954822835348</v>
      </c>
      <c r="D702" s="0" t="n">
        <f aca="false">A702/SUM($A702:$C702)</f>
        <v>0.569768395486538</v>
      </c>
      <c r="E702" s="0" t="n">
        <f aca="false">B702/SUM($A702:$C702)</f>
        <v>0.331883180600479</v>
      </c>
      <c r="F702" s="0" t="n">
        <f aca="false">C702/SUM($A702:$C702)</f>
        <v>0.098348423912983</v>
      </c>
      <c r="G702" s="0" t="n">
        <f aca="false">SUMPRODUCT(D702:F702,Stats!$B$6:$D$6)</f>
        <v>0.372867913157475</v>
      </c>
      <c r="H702" s="0" t="n">
        <f aca="false">SQRT(SUMPRODUCT(MMULT(D702:F702,Stats!$B$12:$D$14),D702:F702))</f>
        <v>0.224939754308237</v>
      </c>
      <c r="I702" s="0" t="n">
        <f aca="false">(G702-Stats!$B$2)/H702</f>
        <v>1.47091790944203</v>
      </c>
    </row>
    <row r="703" customFormat="false" ht="15" hidden="false" customHeight="false" outlineLevel="0" collapsed="false">
      <c r="A703" s="0" t="n">
        <v>0.695899118168803</v>
      </c>
      <c r="B703" s="0" t="n">
        <v>0.793261350438254</v>
      </c>
      <c r="C703" s="0" t="n">
        <v>0.316761677067527</v>
      </c>
      <c r="D703" s="0" t="n">
        <f aca="false">A703/SUM($A703:$C703)</f>
        <v>0.385342812166942</v>
      </c>
      <c r="E703" s="0" t="n">
        <f aca="false">B703/SUM($A703:$C703)</f>
        <v>0.439255563889184</v>
      </c>
      <c r="F703" s="0" t="n">
        <f aca="false">C703/SUM($A703:$C703)</f>
        <v>0.175401623943874</v>
      </c>
      <c r="G703" s="0" t="n">
        <f aca="false">SUMPRODUCT(D703:F703,Stats!$B$6:$D$6)</f>
        <v>0.376921268767918</v>
      </c>
      <c r="H703" s="0" t="n">
        <f aca="false">SQRT(SUMPRODUCT(MMULT(D703:F703,Stats!$B$12:$D$14),D703:F703))</f>
        <v>0.226968913245483</v>
      </c>
      <c r="I703" s="0" t="n">
        <f aca="false">(G703-Stats!$B$2)/H703</f>
        <v>1.47562617267184</v>
      </c>
    </row>
    <row r="704" customFormat="false" ht="15" hidden="false" customHeight="false" outlineLevel="0" collapsed="false">
      <c r="A704" s="0" t="n">
        <v>0.857179256998753</v>
      </c>
      <c r="B704" s="0" t="n">
        <v>0.906143254765766</v>
      </c>
      <c r="C704" s="0" t="n">
        <v>0.276904487377809</v>
      </c>
      <c r="D704" s="0" t="n">
        <f aca="false">A704/SUM($A704:$C704)</f>
        <v>0.4201391596911</v>
      </c>
      <c r="E704" s="0" t="n">
        <f aca="false">B704/SUM($A704:$C704)</f>
        <v>0.444138448881762</v>
      </c>
      <c r="F704" s="0" t="n">
        <f aca="false">C704/SUM($A704:$C704)</f>
        <v>0.135722391427137</v>
      </c>
      <c r="G704" s="0" t="n">
        <f aca="false">SUMPRODUCT(D704:F704,Stats!$B$6:$D$6)</f>
        <v>0.378296363225811</v>
      </c>
      <c r="H704" s="0" t="n">
        <f aca="false">SQRT(SUMPRODUCT(MMULT(D704:F704,Stats!$B$12:$D$14),D704:F704))</f>
        <v>0.226940259140982</v>
      </c>
      <c r="I704" s="0" t="n">
        <f aca="false">(G704-Stats!$B$2)/H704</f>
        <v>1.48187176880279</v>
      </c>
    </row>
    <row r="705" customFormat="false" ht="15" hidden="false" customHeight="false" outlineLevel="0" collapsed="false">
      <c r="A705" s="0" t="n">
        <v>0.983521472715222</v>
      </c>
      <c r="B705" s="0" t="n">
        <v>0.140711528048758</v>
      </c>
      <c r="C705" s="0" t="n">
        <v>0.20201566840249</v>
      </c>
      <c r="D705" s="0" t="n">
        <f aca="false">A705/SUM($A705:$C705)</f>
        <v>0.741581496427327</v>
      </c>
      <c r="E705" s="0" t="n">
        <f aca="false">B705/SUM($A705:$C705)</f>
        <v>0.106097394342491</v>
      </c>
      <c r="F705" s="0" t="n">
        <f aca="false">C705/SUM($A705:$C705)</f>
        <v>0.152321109230182</v>
      </c>
      <c r="G705" s="0" t="n">
        <f aca="false">SUMPRODUCT(D705:F705,Stats!$B$6:$D$6)</f>
        <v>0.35838821520638</v>
      </c>
      <c r="H705" s="0" t="n">
        <f aca="false">SQRT(SUMPRODUCT(MMULT(D705:F705,Stats!$B$12:$D$14),D705:F705))</f>
        <v>0.223532564310609</v>
      </c>
      <c r="I705" s="0" t="n">
        <f aca="false">(G705-Stats!$B$2)/H705</f>
        <v>1.41540100066469</v>
      </c>
    </row>
    <row r="706" customFormat="false" ht="15" hidden="false" customHeight="false" outlineLevel="0" collapsed="false">
      <c r="A706" s="0" t="n">
        <v>0.184224839238026</v>
      </c>
      <c r="B706" s="0" t="n">
        <v>0.89398971000787</v>
      </c>
      <c r="C706" s="0" t="n">
        <v>0.654292552324962</v>
      </c>
      <c r="D706" s="0" t="n">
        <f aca="false">A706/SUM($A706:$C706)</f>
        <v>0.106334247675516</v>
      </c>
      <c r="E706" s="0" t="n">
        <f aca="false">B706/SUM($A706:$C706)</f>
        <v>0.516009261490064</v>
      </c>
      <c r="F706" s="0" t="n">
        <f aca="false">C706/SUM($A706:$C706)</f>
        <v>0.37765649083442</v>
      </c>
      <c r="G706" s="0" t="n">
        <f aca="false">SUMPRODUCT(D706:F706,Stats!$B$6:$D$6)</f>
        <v>0.375760477024311</v>
      </c>
      <c r="H706" s="0" t="n">
        <f aca="false">SQRT(SUMPRODUCT(MMULT(D706:F706,Stats!$B$12:$D$14),D706:F706))</f>
        <v>0.236727813072219</v>
      </c>
      <c r="I706" s="0" t="n">
        <f aca="false">(G706-Stats!$B$2)/H706</f>
        <v>1.40989127003209</v>
      </c>
    </row>
    <row r="707" customFormat="false" ht="15" hidden="false" customHeight="false" outlineLevel="0" collapsed="false">
      <c r="A707" s="0" t="n">
        <v>0.152104283222273</v>
      </c>
      <c r="B707" s="0" t="n">
        <v>0.440323418368349</v>
      </c>
      <c r="C707" s="0" t="n">
        <v>0.615298025069802</v>
      </c>
      <c r="D707" s="0" t="n">
        <f aca="false">A707/SUM($A707:$C707)</f>
        <v>0.125942736719593</v>
      </c>
      <c r="E707" s="0" t="n">
        <f aca="false">B707/SUM($A707:$C707)</f>
        <v>0.36458892002402</v>
      </c>
      <c r="F707" s="0" t="n">
        <f aca="false">C707/SUM($A707:$C707)</f>
        <v>0.509468343256387</v>
      </c>
      <c r="G707" s="0" t="n">
        <f aca="false">SUMPRODUCT(D707:F707,Stats!$B$6:$D$6)</f>
        <v>0.363413285422836</v>
      </c>
      <c r="H707" s="0" t="n">
        <f aca="false">SQRT(SUMPRODUCT(MMULT(D707:F707,Stats!$B$12:$D$14),D707:F707))</f>
        <v>0.23586780587483</v>
      </c>
      <c r="I707" s="0" t="n">
        <f aca="false">(G707-Stats!$B$2)/H707</f>
        <v>1.36268400102642</v>
      </c>
    </row>
    <row r="708" customFormat="false" ht="15" hidden="false" customHeight="false" outlineLevel="0" collapsed="false">
      <c r="A708" s="0" t="n">
        <v>0.0834640849893833</v>
      </c>
      <c r="B708" s="0" t="n">
        <v>0.882416368407339</v>
      </c>
      <c r="C708" s="0" t="n">
        <v>0.803603535441535</v>
      </c>
      <c r="D708" s="0" t="n">
        <f aca="false">A708/SUM($A708:$C708)</f>
        <v>0.047168601420452</v>
      </c>
      <c r="E708" s="0" t="n">
        <f aca="false">B708/SUM($A708:$C708)</f>
        <v>0.498685703839956</v>
      </c>
      <c r="F708" s="0" t="n">
        <f aca="false">C708/SUM($A708:$C708)</f>
        <v>0.454145694739592</v>
      </c>
      <c r="G708" s="0" t="n">
        <f aca="false">SUMPRODUCT(D708:F708,Stats!$B$6:$D$6)</f>
        <v>0.372654541560175</v>
      </c>
      <c r="H708" s="0" t="n">
        <f aca="false">SQRT(SUMPRODUCT(MMULT(D708:F708,Stats!$B$12:$D$14),D708:F708))</f>
        <v>0.240150498597883</v>
      </c>
      <c r="I708" s="0" t="n">
        <f aca="false">(G708-Stats!$B$2)/H708</f>
        <v>1.37686385616811</v>
      </c>
    </row>
    <row r="709" customFormat="false" ht="15" hidden="false" customHeight="false" outlineLevel="0" collapsed="false">
      <c r="A709" s="0" t="n">
        <v>0.505206773576638</v>
      </c>
      <c r="B709" s="0" t="n">
        <v>0.96712661525917</v>
      </c>
      <c r="C709" s="0" t="n">
        <v>0.4177609792751</v>
      </c>
      <c r="D709" s="0" t="n">
        <f aca="false">A709/SUM($A709:$C709)</f>
        <v>0.267291825265623</v>
      </c>
      <c r="E709" s="0" t="n">
        <f aca="false">B709/SUM($A709:$C709)</f>
        <v>0.511681655464528</v>
      </c>
      <c r="F709" s="0" t="n">
        <f aca="false">C709/SUM($A709:$C709)</f>
        <v>0.22102651926985</v>
      </c>
      <c r="G709" s="0" t="n">
        <f aca="false">SUMPRODUCT(D709:F709,Stats!$B$6:$D$6)</f>
        <v>0.379830483397551</v>
      </c>
      <c r="H709" s="0" t="n">
        <f aca="false">SQRT(SUMPRODUCT(MMULT(D709:F709,Stats!$B$12:$D$14),D709:F709))</f>
        <v>0.23049864481149</v>
      </c>
      <c r="I709" s="0" t="n">
        <f aca="false">(G709-Stats!$B$2)/H709</f>
        <v>1.46565062746396</v>
      </c>
    </row>
    <row r="710" customFormat="false" ht="15" hidden="false" customHeight="false" outlineLevel="0" collapsed="false">
      <c r="A710" s="0" t="n">
        <v>0.984110319036498</v>
      </c>
      <c r="B710" s="0" t="n">
        <v>0.667919998803627</v>
      </c>
      <c r="C710" s="0" t="n">
        <v>0.634671273253942</v>
      </c>
      <c r="D710" s="0" t="n">
        <f aca="false">A710/SUM($A710:$C710)</f>
        <v>0.430362371229056</v>
      </c>
      <c r="E710" s="0" t="n">
        <f aca="false">B710/SUM($A710:$C710)</f>
        <v>0.292088832843319</v>
      </c>
      <c r="F710" s="0" t="n">
        <f aca="false">C710/SUM($A710:$C710)</f>
        <v>0.277548795927625</v>
      </c>
      <c r="G710" s="0" t="n">
        <f aca="false">SUMPRODUCT(D710:F710,Stats!$B$6:$D$6)</f>
        <v>0.365636816558128</v>
      </c>
      <c r="H710" s="0" t="n">
        <f aca="false">SQRT(SUMPRODUCT(MMULT(D710:F710,Stats!$B$12:$D$14),D710:F710))</f>
        <v>0.223892923661394</v>
      </c>
      <c r="I710" s="0" t="n">
        <f aca="false">(G710-Stats!$B$2)/H710</f>
        <v>1.4454981929111</v>
      </c>
    </row>
    <row r="711" customFormat="false" ht="15" hidden="false" customHeight="false" outlineLevel="0" collapsed="false">
      <c r="A711" s="0" t="n">
        <v>0.165954895295785</v>
      </c>
      <c r="B711" s="0" t="n">
        <v>0.881927758304644</v>
      </c>
      <c r="C711" s="0" t="n">
        <v>0.427489687920615</v>
      </c>
      <c r="D711" s="0" t="n">
        <f aca="false">A711/SUM($A711:$C711)</f>
        <v>0.112483398682053</v>
      </c>
      <c r="E711" s="0" t="n">
        <f aca="false">B711/SUM($A711:$C711)</f>
        <v>0.597766227198902</v>
      </c>
      <c r="F711" s="0" t="n">
        <f aca="false">C711/SUM($A711:$C711)</f>
        <v>0.289750374119046</v>
      </c>
      <c r="G711" s="0" t="n">
        <f aca="false">SUMPRODUCT(D711:F711,Stats!$B$6:$D$6)</f>
        <v>0.382888644373184</v>
      </c>
      <c r="H711" s="0" t="n">
        <f aca="false">SQRT(SUMPRODUCT(MMULT(D711:F711,Stats!$B$12:$D$14),D711:F711))</f>
        <v>0.237349840282424</v>
      </c>
      <c r="I711" s="0" t="n">
        <f aca="false">(G711-Stats!$B$2)/H711</f>
        <v>1.43622866553252</v>
      </c>
    </row>
    <row r="712" customFormat="false" ht="15" hidden="false" customHeight="false" outlineLevel="0" collapsed="false">
      <c r="A712" s="0" t="n">
        <v>0.162233405782479</v>
      </c>
      <c r="B712" s="0" t="n">
        <v>0.012607519975759</v>
      </c>
      <c r="C712" s="0" t="n">
        <v>0.559755683638383</v>
      </c>
      <c r="D712" s="0" t="n">
        <f aca="false">A712/SUM($A712:$C712)</f>
        <v>0.220846929739757</v>
      </c>
      <c r="E712" s="0" t="n">
        <f aca="false">B712/SUM($A712:$C712)</f>
        <v>0.0171625077144238</v>
      </c>
      <c r="F712" s="0" t="n">
        <f aca="false">C712/SUM($A712:$C712)</f>
        <v>0.761990562545819</v>
      </c>
      <c r="G712" s="0" t="n">
        <f aca="false">SUMPRODUCT(D712:F712,Stats!$B$6:$D$6)</f>
        <v>0.336459616251994</v>
      </c>
      <c r="H712" s="0" t="n">
        <f aca="false">SQRT(SUMPRODUCT(MMULT(D712:F712,Stats!$B$12:$D$14),D712:F712))</f>
        <v>0.238128009268533</v>
      </c>
      <c r="I712" s="0" t="n">
        <f aca="false">(G712-Stats!$B$2)/H712</f>
        <v>1.23656018943969</v>
      </c>
    </row>
    <row r="713" customFormat="false" ht="15" hidden="false" customHeight="false" outlineLevel="0" collapsed="false">
      <c r="A713" s="0" t="n">
        <v>0.527399622122676</v>
      </c>
      <c r="B713" s="0" t="n">
        <v>0.719353622369159</v>
      </c>
      <c r="C713" s="0" t="n">
        <v>0.890258053017802</v>
      </c>
      <c r="D713" s="0" t="n">
        <f aca="false">A713/SUM($A713:$C713)</f>
        <v>0.246793090301994</v>
      </c>
      <c r="E713" s="0" t="n">
        <f aca="false">B713/SUM($A713:$C713)</f>
        <v>0.336616667964019</v>
      </c>
      <c r="F713" s="0" t="n">
        <f aca="false">C713/SUM($A713:$C713)</f>
        <v>0.416590241733988</v>
      </c>
      <c r="G713" s="0" t="n">
        <f aca="false">SUMPRODUCT(D713:F713,Stats!$B$6:$D$6)</f>
        <v>0.364364876169765</v>
      </c>
      <c r="H713" s="0" t="n">
        <f aca="false">SQRT(SUMPRODUCT(MMULT(D713:F713,Stats!$B$12:$D$14),D713:F713))</f>
        <v>0.229493154754732</v>
      </c>
      <c r="I713" s="0" t="n">
        <f aca="false">(G713-Stats!$B$2)/H713</f>
        <v>1.4046818804434</v>
      </c>
    </row>
    <row r="714" customFormat="false" ht="15" hidden="false" customHeight="false" outlineLevel="0" collapsed="false">
      <c r="A714" s="0" t="n">
        <v>0.0794065846430295</v>
      </c>
      <c r="B714" s="0" t="n">
        <v>0.731496490340362</v>
      </c>
      <c r="C714" s="0" t="n">
        <v>0.187411944097582</v>
      </c>
      <c r="D714" s="0" t="n">
        <f aca="false">A714/SUM($A714:$C714)</f>
        <v>0.0795406090515691</v>
      </c>
      <c r="E714" s="0" t="n">
        <f aca="false">B714/SUM($A714:$C714)</f>
        <v>0.732731128310342</v>
      </c>
      <c r="F714" s="0" t="n">
        <f aca="false">C714/SUM($A714:$C714)</f>
        <v>0.187728262638089</v>
      </c>
      <c r="G714" s="0" t="n">
        <f aca="false">SUMPRODUCT(D714:F714,Stats!$B$6:$D$6)</f>
        <v>0.393467570585803</v>
      </c>
      <c r="H714" s="0" t="n">
        <f aca="false">SQRT(SUMPRODUCT(MMULT(D714:F714,Stats!$B$12:$D$14),D714:F714))</f>
        <v>0.241703239513966</v>
      </c>
      <c r="I714" s="0" t="n">
        <f aca="false">(G714-Stats!$B$2)/H714</f>
        <v>1.45412850606619</v>
      </c>
    </row>
    <row r="715" customFormat="false" ht="15" hidden="false" customHeight="false" outlineLevel="0" collapsed="false">
      <c r="A715" s="0" t="n">
        <v>0.858177053157164</v>
      </c>
      <c r="B715" s="0" t="n">
        <v>0.819063513861656</v>
      </c>
      <c r="C715" s="0" t="n">
        <v>0.540793754985544</v>
      </c>
      <c r="D715" s="0" t="n">
        <f aca="false">A715/SUM($A715:$C715)</f>
        <v>0.3869088249192</v>
      </c>
      <c r="E715" s="0" t="n">
        <f aca="false">B715/SUM($A715:$C715)</f>
        <v>0.369274499378123</v>
      </c>
      <c r="F715" s="0" t="n">
        <f aca="false">C715/SUM($A715:$C715)</f>
        <v>0.243816675702677</v>
      </c>
      <c r="G715" s="0" t="n">
        <f aca="false">SUMPRODUCT(D715:F715,Stats!$B$6:$D$6)</f>
        <v>0.371008130152235</v>
      </c>
      <c r="H715" s="0" t="n">
        <f aca="false">SQRT(SUMPRODUCT(MMULT(D715:F715,Stats!$B$12:$D$14),D715:F715))</f>
        <v>0.22554513469711</v>
      </c>
      <c r="I715" s="0" t="n">
        <f aca="false">(G715-Stats!$B$2)/H715</f>
        <v>1.45872412896012</v>
      </c>
    </row>
    <row r="716" customFormat="false" ht="15" hidden="false" customHeight="false" outlineLevel="0" collapsed="false">
      <c r="A716" s="0" t="n">
        <v>0.710242798623312</v>
      </c>
      <c r="B716" s="0" t="n">
        <v>0.314350113183748</v>
      </c>
      <c r="C716" s="0" t="n">
        <v>0.471167898932815</v>
      </c>
      <c r="D716" s="0" t="n">
        <f aca="false">A716/SUM($A716:$C716)</f>
        <v>0.474837148776476</v>
      </c>
      <c r="E716" s="0" t="n">
        <f aca="false">B716/SUM($A716:$C716)</f>
        <v>0.210160682728581</v>
      </c>
      <c r="F716" s="0" t="n">
        <f aca="false">C716/SUM($A716:$C716)</f>
        <v>0.315002168494943</v>
      </c>
      <c r="G716" s="0" t="n">
        <f aca="false">SUMPRODUCT(D716:F716,Stats!$B$6:$D$6)</f>
        <v>0.359890014494836</v>
      </c>
      <c r="H716" s="0" t="n">
        <f aca="false">SQRT(SUMPRODUCT(MMULT(D716:F716,Stats!$B$12:$D$14),D716:F716))</f>
        <v>0.222642013617109</v>
      </c>
      <c r="I716" s="0" t="n">
        <f aca="false">(G716-Stats!$B$2)/H716</f>
        <v>1.42780784870879</v>
      </c>
    </row>
    <row r="717" customFormat="false" ht="15" hidden="false" customHeight="false" outlineLevel="0" collapsed="false">
      <c r="A717" s="0" t="n">
        <v>0.821636897710472</v>
      </c>
      <c r="B717" s="0" t="n">
        <v>0.459265197173214</v>
      </c>
      <c r="C717" s="0" t="n">
        <v>0.357798265325442</v>
      </c>
      <c r="D717" s="0" t="n">
        <f aca="false">A717/SUM($A717:$C717)</f>
        <v>0.501395445843202</v>
      </c>
      <c r="E717" s="0" t="n">
        <f aca="false">B717/SUM($A717:$C717)</f>
        <v>0.280261851602085</v>
      </c>
      <c r="F717" s="0" t="n">
        <f aca="false">C717/SUM($A717:$C717)</f>
        <v>0.218342702554713</v>
      </c>
      <c r="G717" s="0" t="n">
        <f aca="false">SUMPRODUCT(D717:F717,Stats!$B$6:$D$6)</f>
        <v>0.366588892617767</v>
      </c>
      <c r="H717" s="0" t="n">
        <f aca="false">SQRT(SUMPRODUCT(MMULT(D717:F717,Stats!$B$12:$D$14),D717:F717))</f>
        <v>0.223198786748522</v>
      </c>
      <c r="I717" s="0" t="n">
        <f aca="false">(G717-Stats!$B$2)/H717</f>
        <v>1.45425921594942</v>
      </c>
    </row>
    <row r="718" customFormat="false" ht="15" hidden="false" customHeight="false" outlineLevel="0" collapsed="false">
      <c r="A718" s="0" t="n">
        <v>0.4942124472503</v>
      </c>
      <c r="B718" s="0" t="n">
        <v>0.828249252437218</v>
      </c>
      <c r="C718" s="0" t="n">
        <v>0.335208047370873</v>
      </c>
      <c r="D718" s="0" t="n">
        <f aca="false">A718/SUM($A718:$C718)</f>
        <v>0.298136856347473</v>
      </c>
      <c r="E718" s="0" t="n">
        <f aca="false">B718/SUM($A718:$C718)</f>
        <v>0.499646720287309</v>
      </c>
      <c r="F718" s="0" t="n">
        <f aca="false">C718/SUM($A718:$C718)</f>
        <v>0.202216423365218</v>
      </c>
      <c r="G718" s="0" t="n">
        <f aca="false">SUMPRODUCT(D718:F718,Stats!$B$6:$D$6)</f>
        <v>0.379656689963793</v>
      </c>
      <c r="H718" s="0" t="n">
        <f aca="false">SQRT(SUMPRODUCT(MMULT(D718:F718,Stats!$B$12:$D$14),D718:F718))</f>
        <v>0.229575570772959</v>
      </c>
      <c r="I718" s="0" t="n">
        <f aca="false">(G718-Stats!$B$2)/H718</f>
        <v>1.47078667310696</v>
      </c>
    </row>
    <row r="719" customFormat="false" ht="15" hidden="false" customHeight="false" outlineLevel="0" collapsed="false">
      <c r="A719" s="0" t="n">
        <v>0.173761593135744</v>
      </c>
      <c r="B719" s="0" t="n">
        <v>0.712014020330781</v>
      </c>
      <c r="C719" s="0" t="n">
        <v>0.825978212708082</v>
      </c>
      <c r="D719" s="0" t="n">
        <f aca="false">A719/SUM($A719:$C719)</f>
        <v>0.101510854235426</v>
      </c>
      <c r="E719" s="0" t="n">
        <f aca="false">B719/SUM($A719:$C719)</f>
        <v>0.41595585150347</v>
      </c>
      <c r="F719" s="0" t="n">
        <f aca="false">C719/SUM($A719:$C719)</f>
        <v>0.482533294261104</v>
      </c>
      <c r="G719" s="0" t="n">
        <f aca="false">SUMPRODUCT(D719:F719,Stats!$B$6:$D$6)</f>
        <v>0.367111595793525</v>
      </c>
      <c r="H719" s="0" t="n">
        <f aca="false">SQRT(SUMPRODUCT(MMULT(D719:F719,Stats!$B$12:$D$14),D719:F719))</f>
        <v>0.237001448519148</v>
      </c>
      <c r="I719" s="0" t="n">
        <f aca="false">(G719-Stats!$B$2)/H719</f>
        <v>1.37177050108729</v>
      </c>
    </row>
    <row r="720" customFormat="false" ht="15" hidden="false" customHeight="false" outlineLevel="0" collapsed="false">
      <c r="A720" s="0" t="n">
        <v>0.100637478523533</v>
      </c>
      <c r="B720" s="0" t="n">
        <v>0.239874112755945</v>
      </c>
      <c r="C720" s="0" t="n">
        <v>0.141971989760994</v>
      </c>
      <c r="D720" s="0" t="n">
        <f aca="false">A720/SUM($A720:$C720)</f>
        <v>0.208582182851714</v>
      </c>
      <c r="E720" s="0" t="n">
        <f aca="false">B720/SUM($A720:$C720)</f>
        <v>0.497165338224895</v>
      </c>
      <c r="F720" s="0" t="n">
        <f aca="false">C720/SUM($A720:$C720)</f>
        <v>0.294252478923391</v>
      </c>
      <c r="G720" s="0" t="n">
        <f aca="false">SUMPRODUCT(D720:F720,Stats!$B$6:$D$6)</f>
        <v>0.376976055618423</v>
      </c>
      <c r="H720" s="0" t="n">
        <f aca="false">SQRT(SUMPRODUCT(MMULT(D720:F720,Stats!$B$12:$D$14),D720:F720))</f>
        <v>0.231998142865633</v>
      </c>
      <c r="I720" s="0" t="n">
        <f aca="false">(G720-Stats!$B$2)/H720</f>
        <v>1.44387386675087</v>
      </c>
    </row>
    <row r="721" customFormat="false" ht="15" hidden="false" customHeight="false" outlineLevel="0" collapsed="false">
      <c r="A721" s="0" t="n">
        <v>0.347941411582167</v>
      </c>
      <c r="B721" s="0" t="n">
        <v>0.450350978905413</v>
      </c>
      <c r="C721" s="0" t="n">
        <v>0.748826336963307</v>
      </c>
      <c r="D721" s="0" t="n">
        <f aca="false">A721/SUM($A721:$C721)</f>
        <v>0.224896386688728</v>
      </c>
      <c r="E721" s="0" t="n">
        <f aca="false">B721/SUM($A721:$C721)</f>
        <v>0.291090121859901</v>
      </c>
      <c r="F721" s="0" t="n">
        <f aca="false">C721/SUM($A721:$C721)</f>
        <v>0.484013491451372</v>
      </c>
      <c r="G721" s="0" t="n">
        <f aca="false">SUMPRODUCT(D721:F721,Stats!$B$6:$D$6)</f>
        <v>0.359886167452178</v>
      </c>
      <c r="H721" s="0" t="n">
        <f aca="false">SQRT(SUMPRODUCT(MMULT(D721:F721,Stats!$B$12:$D$14),D721:F721))</f>
        <v>0.230817715396229</v>
      </c>
      <c r="I721" s="0" t="n">
        <f aca="false">(G721-Stats!$B$2)/H721</f>
        <v>1.3772173721869</v>
      </c>
    </row>
    <row r="722" customFormat="false" ht="15" hidden="false" customHeight="false" outlineLevel="0" collapsed="false">
      <c r="A722" s="0" t="n">
        <v>0.651147584881674</v>
      </c>
      <c r="B722" s="0" t="n">
        <v>0.620928567478431</v>
      </c>
      <c r="C722" s="0" t="n">
        <v>0.352374946609654</v>
      </c>
      <c r="D722" s="0" t="n">
        <f aca="false">A722/SUM($A722:$C722)</f>
        <v>0.400841604462355</v>
      </c>
      <c r="E722" s="0" t="n">
        <f aca="false">B722/SUM($A722:$C722)</f>
        <v>0.382239002375774</v>
      </c>
      <c r="F722" s="0" t="n">
        <f aca="false">C722/SUM($A722:$C722)</f>
        <v>0.216919393161871</v>
      </c>
      <c r="G722" s="0" t="n">
        <f aca="false">SUMPRODUCT(D722:F722,Stats!$B$6:$D$6)</f>
        <v>0.372495773095916</v>
      </c>
      <c r="H722" s="0" t="n">
        <f aca="false">SQRT(SUMPRODUCT(MMULT(D722:F722,Stats!$B$12:$D$14),D722:F722))</f>
        <v>0.225593103950978</v>
      </c>
      <c r="I722" s="0" t="n">
        <f aca="false">(G722-Stats!$B$2)/H722</f>
        <v>1.46500831500476</v>
      </c>
    </row>
    <row r="723" customFormat="false" ht="15" hidden="false" customHeight="false" outlineLevel="0" collapsed="false">
      <c r="A723" s="0" t="n">
        <v>0.84144755308476</v>
      </c>
      <c r="B723" s="0" t="n">
        <v>0.471287167398165</v>
      </c>
      <c r="C723" s="0" t="n">
        <v>0.979104938015155</v>
      </c>
      <c r="D723" s="0" t="n">
        <f aca="false">A723/SUM($A723:$C723)</f>
        <v>0.367149398940146</v>
      </c>
      <c r="E723" s="0" t="n">
        <f aca="false">B723/SUM($A723:$C723)</f>
        <v>0.205637059141832</v>
      </c>
      <c r="F723" s="0" t="n">
        <f aca="false">C723/SUM($A723:$C723)</f>
        <v>0.427213541918022</v>
      </c>
      <c r="G723" s="0" t="n">
        <f aca="false">SUMPRODUCT(D723:F723,Stats!$B$6:$D$6)</f>
        <v>0.356535545585088</v>
      </c>
      <c r="H723" s="0" t="n">
        <f aca="false">SQRT(SUMPRODUCT(MMULT(D723:F723,Stats!$B$12:$D$14),D723:F723))</f>
        <v>0.225239678128476</v>
      </c>
      <c r="I723" s="0" t="n">
        <f aca="false">(G723-Stats!$B$2)/H723</f>
        <v>1.39644821107264</v>
      </c>
    </row>
    <row r="724" customFormat="false" ht="15" hidden="false" customHeight="false" outlineLevel="0" collapsed="false">
      <c r="A724" s="0" t="n">
        <v>0.634142138295737</v>
      </c>
      <c r="B724" s="0" t="n">
        <v>0.126264741564503</v>
      </c>
      <c r="C724" s="0" t="n">
        <v>0.676177562075434</v>
      </c>
      <c r="D724" s="0" t="n">
        <f aca="false">A724/SUM($A724:$C724)</f>
        <v>0.44142350410066</v>
      </c>
      <c r="E724" s="0" t="n">
        <f aca="false">B724/SUM($A724:$C724)</f>
        <v>0.0878923214526616</v>
      </c>
      <c r="F724" s="0" t="n">
        <f aca="false">C724/SUM($A724:$C724)</f>
        <v>0.470684174446678</v>
      </c>
      <c r="G724" s="0" t="n">
        <f aca="false">SUMPRODUCT(D724:F724,Stats!$B$6:$D$6)</f>
        <v>0.348561979800192</v>
      </c>
      <c r="H724" s="0" t="n">
        <f aca="false">SQRT(SUMPRODUCT(MMULT(D724:F724,Stats!$B$12:$D$14),D724:F724))</f>
        <v>0.223925730908832</v>
      </c>
      <c r="I724" s="0" t="n">
        <f aca="false">(G724-Stats!$B$2)/H724</f>
        <v>1.36903418180649</v>
      </c>
    </row>
    <row r="725" customFormat="false" ht="15" hidden="false" customHeight="false" outlineLevel="0" collapsed="false">
      <c r="A725" s="0" t="n">
        <v>0.325104015431699</v>
      </c>
      <c r="B725" s="0" t="n">
        <v>0.686327196686097</v>
      </c>
      <c r="C725" s="0" t="n">
        <v>0.0696411481624057</v>
      </c>
      <c r="D725" s="0" t="n">
        <f aca="false">A725/SUM($A725:$C725)</f>
        <v>0.300723640133983</v>
      </c>
      <c r="E725" s="0" t="n">
        <f aca="false">B725/SUM($A725:$C725)</f>
        <v>0.63485777816779</v>
      </c>
      <c r="F725" s="0" t="n">
        <f aca="false">C725/SUM($A725:$C725)</f>
        <v>0.0644185816982274</v>
      </c>
      <c r="G725" s="0" t="n">
        <f aca="false">SUMPRODUCT(D725:F725,Stats!$B$6:$D$6)</f>
        <v>0.391236281718119</v>
      </c>
      <c r="H725" s="0" t="n">
        <f aca="false">SQRT(SUMPRODUCT(MMULT(D725:F725,Stats!$B$12:$D$14),D725:F725))</f>
        <v>0.233723431379991</v>
      </c>
      <c r="I725" s="0" t="n">
        <f aca="false">(G725-Stats!$B$2)/H725</f>
        <v>1.49422879707052</v>
      </c>
    </row>
    <row r="726" customFormat="false" ht="15" hidden="false" customHeight="false" outlineLevel="0" collapsed="false">
      <c r="A726" s="0" t="n">
        <v>0.174881437175959</v>
      </c>
      <c r="B726" s="0" t="n">
        <v>0.855737258905786</v>
      </c>
      <c r="C726" s="0" t="n">
        <v>0.227179557023515</v>
      </c>
      <c r="D726" s="0" t="n">
        <f aca="false">A726/SUM($A726:$C726)</f>
        <v>0.139037748497592</v>
      </c>
      <c r="E726" s="0" t="n">
        <f aca="false">B726/SUM($A726:$C726)</f>
        <v>0.680345402605813</v>
      </c>
      <c r="F726" s="0" t="n">
        <f aca="false">C726/SUM($A726:$C726)</f>
        <v>0.180616848896596</v>
      </c>
      <c r="G726" s="0" t="n">
        <f aca="false">SUMPRODUCT(D726:F726,Stats!$B$6:$D$6)</f>
        <v>0.39064945822901</v>
      </c>
      <c r="H726" s="0" t="n">
        <f aca="false">SQRT(SUMPRODUCT(MMULT(D726:F726,Stats!$B$12:$D$14),D726:F726))</f>
        <v>0.238202897927097</v>
      </c>
      <c r="I726" s="0" t="n">
        <f aca="false">(G726-Stats!$B$2)/H726</f>
        <v>1.46366589685956</v>
      </c>
    </row>
    <row r="727" customFormat="false" ht="15" hidden="false" customHeight="false" outlineLevel="0" collapsed="false">
      <c r="A727" s="0" t="n">
        <v>0.83704112524294</v>
      </c>
      <c r="B727" s="0" t="n">
        <v>0.27927608845441</v>
      </c>
      <c r="C727" s="0" t="n">
        <v>0.642881910058708</v>
      </c>
      <c r="D727" s="0" t="n">
        <f aca="false">A727/SUM($A727:$C727)</f>
        <v>0.475808061713774</v>
      </c>
      <c r="E727" s="0" t="n">
        <f aca="false">B727/SUM($A727:$C727)</f>
        <v>0.158751834674707</v>
      </c>
      <c r="F727" s="0" t="n">
        <f aca="false">C727/SUM($A727:$C727)</f>
        <v>0.365440103611519</v>
      </c>
      <c r="G727" s="0" t="n">
        <f aca="false">SUMPRODUCT(D727:F727,Stats!$B$6:$D$6)</f>
        <v>0.355541209253597</v>
      </c>
      <c r="H727" s="0" t="n">
        <f aca="false">SQRT(SUMPRODUCT(MMULT(D727:F727,Stats!$B$12:$D$14),D727:F727))</f>
        <v>0.222533061988453</v>
      </c>
      <c r="I727" s="0" t="n">
        <f aca="false">(G727-Stats!$B$2)/H727</f>
        <v>1.40896461160394</v>
      </c>
    </row>
    <row r="728" customFormat="false" ht="15" hidden="false" customHeight="false" outlineLevel="0" collapsed="false">
      <c r="A728" s="0" t="n">
        <v>0.694150573509831</v>
      </c>
      <c r="B728" s="0" t="n">
        <v>0.512654753145053</v>
      </c>
      <c r="C728" s="0" t="n">
        <v>0.305310676696731</v>
      </c>
      <c r="D728" s="0" t="n">
        <f aca="false">A728/SUM($A728:$C728)</f>
        <v>0.459059074813865</v>
      </c>
      <c r="E728" s="0" t="n">
        <f aca="false">B728/SUM($A728:$C728)</f>
        <v>0.339031365324321</v>
      </c>
      <c r="F728" s="0" t="n">
        <f aca="false">C728/SUM($A728:$C728)</f>
        <v>0.201909559861815</v>
      </c>
      <c r="G728" s="0" t="n">
        <f aca="false">SUMPRODUCT(D728:F728,Stats!$B$6:$D$6)</f>
        <v>0.370423551962689</v>
      </c>
      <c r="H728" s="0" t="n">
        <f aca="false">SQRT(SUMPRODUCT(MMULT(D728:F728,Stats!$B$12:$D$14),D728:F728))</f>
        <v>0.224348346506141</v>
      </c>
      <c r="I728" s="0" t="n">
        <f aca="false">(G728-Stats!$B$2)/H728</f>
        <v>1.4639000334852</v>
      </c>
    </row>
    <row r="729" customFormat="false" ht="15" hidden="false" customHeight="false" outlineLevel="0" collapsed="false">
      <c r="A729" s="0" t="n">
        <v>0.212644376371096</v>
      </c>
      <c r="B729" s="0" t="n">
        <v>0.0331893545624262</v>
      </c>
      <c r="C729" s="0" t="n">
        <v>0.303946401240724</v>
      </c>
      <c r="D729" s="0" t="n">
        <f aca="false">A729/SUM($A729:$C729)</f>
        <v>0.386780758209904</v>
      </c>
      <c r="E729" s="0" t="n">
        <f aca="false">B729/SUM($A729:$C729)</f>
        <v>0.0603684138806007</v>
      </c>
      <c r="F729" s="0" t="n">
        <f aca="false">C729/SUM($A729:$C729)</f>
        <v>0.552850827909496</v>
      </c>
      <c r="G729" s="0" t="n">
        <f aca="false">SUMPRODUCT(D729:F729,Stats!$B$6:$D$6)</f>
        <v>0.344712575915711</v>
      </c>
      <c r="H729" s="0" t="n">
        <f aca="false">SQRT(SUMPRODUCT(MMULT(D729:F729,Stats!$B$12:$D$14),D729:F729))</f>
        <v>0.226518891929889</v>
      </c>
      <c r="I729" s="0" t="n">
        <f aca="false">(G729-Stats!$B$2)/H729</f>
        <v>1.33636789998693</v>
      </c>
    </row>
    <row r="730" customFormat="false" ht="15" hidden="false" customHeight="false" outlineLevel="0" collapsed="false">
      <c r="A730" s="0" t="n">
        <v>0.653162790531283</v>
      </c>
      <c r="B730" s="0" t="n">
        <v>0.938304818448483</v>
      </c>
      <c r="C730" s="0" t="n">
        <v>0.871204482263052</v>
      </c>
      <c r="D730" s="0" t="n">
        <f aca="false">A730/SUM($A730:$C730)</f>
        <v>0.26522523760021</v>
      </c>
      <c r="E730" s="0" t="n">
        <f aca="false">B730/SUM($A730:$C730)</f>
        <v>0.381010862869265</v>
      </c>
      <c r="F730" s="0" t="n">
        <f aca="false">C730/SUM($A730:$C730)</f>
        <v>0.353763899530525</v>
      </c>
      <c r="G730" s="0" t="n">
        <f aca="false">SUMPRODUCT(D730:F730,Stats!$B$6:$D$6)</f>
        <v>0.36865167290831</v>
      </c>
      <c r="H730" s="0" t="n">
        <f aca="false">SQRT(SUMPRODUCT(MMULT(D730:F730,Stats!$B$12:$D$14),D730:F730))</f>
        <v>0.228819472335507</v>
      </c>
      <c r="I730" s="0" t="n">
        <f aca="false">(G730-Stats!$B$2)/H730</f>
        <v>1.42755190183009</v>
      </c>
    </row>
    <row r="731" customFormat="false" ht="15" hidden="false" customHeight="false" outlineLevel="0" collapsed="false">
      <c r="A731" s="0" t="n">
        <v>0.766064776535303</v>
      </c>
      <c r="B731" s="0" t="n">
        <v>0.788447343253299</v>
      </c>
      <c r="C731" s="0" t="n">
        <v>0.664984903475995</v>
      </c>
      <c r="D731" s="0" t="n">
        <f aca="false">A731/SUM($A731:$C731)</f>
        <v>0.345152423502024</v>
      </c>
      <c r="E731" s="0" t="n">
        <f aca="false">B731/SUM($A731:$C731)</f>
        <v>0.355236945573188</v>
      </c>
      <c r="F731" s="0" t="n">
        <f aca="false">C731/SUM($A731:$C731)</f>
        <v>0.299610630924788</v>
      </c>
      <c r="G731" s="0" t="n">
        <f aca="false">SUMPRODUCT(D731:F731,Stats!$B$6:$D$6)</f>
        <v>0.368661930618983</v>
      </c>
      <c r="H731" s="0" t="n">
        <f aca="false">SQRT(SUMPRODUCT(MMULT(D731:F731,Stats!$B$12:$D$14),D731:F731))</f>
        <v>0.226176896482046</v>
      </c>
      <c r="I731" s="0" t="n">
        <f aca="false">(G731-Stats!$B$2)/H731</f>
        <v>1.44427629744629</v>
      </c>
    </row>
    <row r="732" customFormat="false" ht="15" hidden="false" customHeight="false" outlineLevel="0" collapsed="false">
      <c r="A732" s="0" t="n">
        <v>0.260286857566003</v>
      </c>
      <c r="B732" s="0" t="n">
        <v>0.90719503070583</v>
      </c>
      <c r="C732" s="0" t="n">
        <v>0.670732311905834</v>
      </c>
      <c r="D732" s="0" t="n">
        <f aca="false">A732/SUM($A732:$C732)</f>
        <v>0.141597675363864</v>
      </c>
      <c r="E732" s="0" t="n">
        <f aca="false">B732/SUM($A732:$C732)</f>
        <v>0.493519759894221</v>
      </c>
      <c r="F732" s="0" t="n">
        <f aca="false">C732/SUM($A732:$C732)</f>
        <v>0.364882564741914</v>
      </c>
      <c r="G732" s="0" t="n">
        <f aca="false">SUMPRODUCT(D732:F732,Stats!$B$6:$D$6)</f>
        <v>0.374818696308969</v>
      </c>
      <c r="H732" s="0" t="n">
        <f aca="false">SQRT(SUMPRODUCT(MMULT(D732:F732,Stats!$B$12:$D$14),D732:F732))</f>
        <v>0.23479693110798</v>
      </c>
      <c r="I732" s="0" t="n">
        <f aca="false">(G732-Stats!$B$2)/H732</f>
        <v>1.41747464389094</v>
      </c>
    </row>
    <row r="733" customFormat="false" ht="15" hidden="false" customHeight="false" outlineLevel="0" collapsed="false">
      <c r="A733" s="0" t="n">
        <v>0.56044063098044</v>
      </c>
      <c r="B733" s="0" t="n">
        <v>0.110989469213481</v>
      </c>
      <c r="C733" s="0" t="n">
        <v>0.447055543806425</v>
      </c>
      <c r="D733" s="0" t="n">
        <f aca="false">A733/SUM($A733:$C733)</f>
        <v>0.50107092029897</v>
      </c>
      <c r="E733" s="0" t="n">
        <f aca="false">B733/SUM($A733:$C733)</f>
        <v>0.0992319121920234</v>
      </c>
      <c r="F733" s="0" t="n">
        <f aca="false">C733/SUM($A733:$C733)</f>
        <v>0.399697167509006</v>
      </c>
      <c r="G733" s="0" t="n">
        <f aca="false">SUMPRODUCT(D733:F733,Stats!$B$6:$D$6)</f>
        <v>0.351171884588058</v>
      </c>
      <c r="H733" s="0" t="n">
        <f aca="false">SQRT(SUMPRODUCT(MMULT(D733:F733,Stats!$B$12:$D$14),D733:F733))</f>
        <v>0.22228655551447</v>
      </c>
      <c r="I733" s="0" t="n">
        <f aca="false">(G733-Stats!$B$2)/H733</f>
        <v>1.39087082379992</v>
      </c>
    </row>
    <row r="734" customFormat="false" ht="15" hidden="false" customHeight="false" outlineLevel="0" collapsed="false">
      <c r="A734" s="0" t="n">
        <v>0.460358271201926</v>
      </c>
      <c r="B734" s="0" t="n">
        <v>0.86456360952267</v>
      </c>
      <c r="C734" s="0" t="n">
        <v>0.546648220187789</v>
      </c>
      <c r="D734" s="0" t="n">
        <f aca="false">A734/SUM($A734:$C734)</f>
        <v>0.245974367178394</v>
      </c>
      <c r="E734" s="0" t="n">
        <f aca="false">B734/SUM($A734:$C734)</f>
        <v>0.461945619403301</v>
      </c>
      <c r="F734" s="0" t="n">
        <f aca="false">C734/SUM($A734:$C734)</f>
        <v>0.292080013418305</v>
      </c>
      <c r="G734" s="0" t="n">
        <f aca="false">SUMPRODUCT(D734:F734,Stats!$B$6:$D$6)</f>
        <v>0.375009463482147</v>
      </c>
      <c r="H734" s="0" t="n">
        <f aca="false">SQRT(SUMPRODUCT(MMULT(D734:F734,Stats!$B$12:$D$14),D734:F734))</f>
        <v>0.230239650694746</v>
      </c>
      <c r="I734" s="0" t="n">
        <f aca="false">(G734-Stats!$B$2)/H734</f>
        <v>1.44636018373592</v>
      </c>
    </row>
    <row r="735" customFormat="false" ht="15" hidden="false" customHeight="false" outlineLevel="0" collapsed="false">
      <c r="A735" s="0" t="n">
        <v>0.38040054897041</v>
      </c>
      <c r="B735" s="0" t="n">
        <v>0.976800328510659</v>
      </c>
      <c r="C735" s="0" t="n">
        <v>0.110720593326316</v>
      </c>
      <c r="D735" s="0" t="n">
        <f aca="false">A735/SUM($A735:$C735)</f>
        <v>0.259142301911547</v>
      </c>
      <c r="E735" s="0" t="n">
        <f aca="false">B735/SUM($A735:$C735)</f>
        <v>0.665430915710635</v>
      </c>
      <c r="F735" s="0" t="n">
        <f aca="false">C735/SUM($A735:$C735)</f>
        <v>0.0754267823778184</v>
      </c>
      <c r="G735" s="0" t="n">
        <f aca="false">SUMPRODUCT(D735:F735,Stats!$B$6:$D$6)</f>
        <v>0.392691873582533</v>
      </c>
      <c r="H735" s="0" t="n">
        <f aca="false">SQRT(SUMPRODUCT(MMULT(D735:F735,Stats!$B$12:$D$14),D735:F735))</f>
        <v>0.23522523560983</v>
      </c>
      <c r="I735" s="0" t="n">
        <f aca="false">(G735-Stats!$B$2)/H735</f>
        <v>1.49087691494219</v>
      </c>
    </row>
    <row r="736" customFormat="false" ht="15" hidden="false" customHeight="false" outlineLevel="0" collapsed="false">
      <c r="A736" s="0" t="n">
        <v>0.422548428311945</v>
      </c>
      <c r="B736" s="0" t="n">
        <v>0.0420246751714053</v>
      </c>
      <c r="C736" s="0" t="n">
        <v>0.73990412076693</v>
      </c>
      <c r="D736" s="0" t="n">
        <f aca="false">A736/SUM($A736:$C736)</f>
        <v>0.350814793177146</v>
      </c>
      <c r="E736" s="0" t="n">
        <f aca="false">B736/SUM($A736:$C736)</f>
        <v>0.0348903859079306</v>
      </c>
      <c r="F736" s="0" t="n">
        <f aca="false">C736/SUM($A736:$C736)</f>
        <v>0.614294820914924</v>
      </c>
      <c r="G736" s="0" t="n">
        <f aca="false">SUMPRODUCT(D736:F736,Stats!$B$6:$D$6)</f>
        <v>0.341552308687208</v>
      </c>
      <c r="H736" s="0" t="n">
        <f aca="false">SQRT(SUMPRODUCT(MMULT(D736:F736,Stats!$B$12:$D$14),D736:F736))</f>
        <v>0.228940202101453</v>
      </c>
      <c r="I736" s="0" t="n">
        <f aca="false">(G736-Stats!$B$2)/H736</f>
        <v>1.30843034966163</v>
      </c>
    </row>
    <row r="737" customFormat="false" ht="15" hidden="false" customHeight="false" outlineLevel="0" collapsed="false">
      <c r="A737" s="0" t="n">
        <v>0.918076552199151</v>
      </c>
      <c r="B737" s="0" t="n">
        <v>0.280037329550489</v>
      </c>
      <c r="C737" s="0" t="n">
        <v>0.858341676799121</v>
      </c>
      <c r="D737" s="0" t="n">
        <f aca="false">A737/SUM($A737:$C737)</f>
        <v>0.446436368820456</v>
      </c>
      <c r="E737" s="0" t="n">
        <f aca="false">B737/SUM($A737:$C737)</f>
        <v>0.136174753879978</v>
      </c>
      <c r="F737" s="0" t="n">
        <f aca="false">C737/SUM($A737:$C737)</f>
        <v>0.417388877299567</v>
      </c>
      <c r="G737" s="0" t="n">
        <f aca="false">SUMPRODUCT(D737:F737,Stats!$B$6:$D$6)</f>
        <v>0.352809685791713</v>
      </c>
      <c r="H737" s="0" t="n">
        <f aca="false">SQRT(SUMPRODUCT(MMULT(D737:F737,Stats!$B$12:$D$14),D737:F737))</f>
        <v>0.223282107348409</v>
      </c>
      <c r="I737" s="0" t="n">
        <f aca="false">(G737-Stats!$B$2)/H737</f>
        <v>1.39200444443462</v>
      </c>
    </row>
    <row r="738" customFormat="false" ht="15" hidden="false" customHeight="false" outlineLevel="0" collapsed="false">
      <c r="A738" s="0" t="n">
        <v>0.292218230461898</v>
      </c>
      <c r="B738" s="0" t="n">
        <v>0.910770161643915</v>
      </c>
      <c r="C738" s="0" t="n">
        <v>0.753961903596784</v>
      </c>
      <c r="D738" s="0" t="n">
        <f aca="false">A738/SUM($A738:$C738)</f>
        <v>0.14932327668393</v>
      </c>
      <c r="E738" s="0" t="n">
        <f aca="false">B738/SUM($A738:$C738)</f>
        <v>0.465402807441731</v>
      </c>
      <c r="F738" s="0" t="n">
        <f aca="false">C738/SUM($A738:$C738)</f>
        <v>0.385273915874338</v>
      </c>
      <c r="G738" s="0" t="n">
        <f aca="false">SUMPRODUCT(D738:F738,Stats!$B$6:$D$6)</f>
        <v>0.372638599591362</v>
      </c>
      <c r="H738" s="0" t="n">
        <f aca="false">SQRT(SUMPRODUCT(MMULT(D738:F738,Stats!$B$12:$D$14),D738:F738))</f>
        <v>0.234260068306458</v>
      </c>
      <c r="I738" s="0" t="n">
        <f aca="false">(G738-Stats!$B$2)/H738</f>
        <v>1.41141681542934</v>
      </c>
    </row>
    <row r="739" customFormat="false" ht="15" hidden="false" customHeight="false" outlineLevel="0" collapsed="false">
      <c r="A739" s="0" t="n">
        <v>0.804906776841439</v>
      </c>
      <c r="B739" s="0" t="n">
        <v>0.0180065556004545</v>
      </c>
      <c r="C739" s="0" t="n">
        <v>0.962810357074026</v>
      </c>
      <c r="D739" s="0" t="n">
        <f aca="false">A739/SUM($A739:$C739)</f>
        <v>0.450745421347709</v>
      </c>
      <c r="E739" s="0" t="n">
        <f aca="false">B739/SUM($A739:$C739)</f>
        <v>0.010083618034622</v>
      </c>
      <c r="F739" s="0" t="n">
        <f aca="false">C739/SUM($A739:$C739)</f>
        <v>0.539170960617669</v>
      </c>
      <c r="G739" s="0" t="n">
        <f aca="false">SUMPRODUCT(D739:F739,Stats!$B$6:$D$6)</f>
        <v>0.34219647092409</v>
      </c>
      <c r="H739" s="0" t="n">
        <f aca="false">SQRT(SUMPRODUCT(MMULT(D739:F739,Stats!$B$12:$D$14),D739:F739))</f>
        <v>0.224992064077038</v>
      </c>
      <c r="I739" s="0" t="n">
        <f aca="false">(G739-Stats!$B$2)/H739</f>
        <v>1.33425359759045</v>
      </c>
    </row>
    <row r="740" customFormat="false" ht="15" hidden="false" customHeight="false" outlineLevel="0" collapsed="false">
      <c r="A740" s="0" t="n">
        <v>0.726670992070323</v>
      </c>
      <c r="B740" s="0" t="n">
        <v>0.304751095386133</v>
      </c>
      <c r="C740" s="0" t="n">
        <v>0.829394664858847</v>
      </c>
      <c r="D740" s="0" t="n">
        <f aca="false">A740/SUM($A740:$C740)</f>
        <v>0.390511849791856</v>
      </c>
      <c r="E740" s="0" t="n">
        <f aca="false">B740/SUM($A740:$C740)</f>
        <v>0.163772760002805</v>
      </c>
      <c r="F740" s="0" t="n">
        <f aca="false">C740/SUM($A740:$C740)</f>
        <v>0.445715390205339</v>
      </c>
      <c r="G740" s="0" t="n">
        <f aca="false">SUMPRODUCT(D740:F740,Stats!$B$6:$D$6)</f>
        <v>0.353616546646193</v>
      </c>
      <c r="H740" s="0" t="n">
        <f aca="false">SQRT(SUMPRODUCT(MMULT(D740:F740,Stats!$B$12:$D$14),D740:F740))</f>
        <v>0.224753814469258</v>
      </c>
      <c r="I740" s="0" t="n">
        <f aca="false">(G740-Stats!$B$2)/H740</f>
        <v>1.38647945700969</v>
      </c>
    </row>
    <row r="741" customFormat="false" ht="15" hidden="false" customHeight="false" outlineLevel="0" collapsed="false">
      <c r="A741" s="0" t="n">
        <v>0.28152119841493</v>
      </c>
      <c r="B741" s="0" t="n">
        <v>0.872753839566128</v>
      </c>
      <c r="C741" s="0" t="n">
        <v>0.112580390411937</v>
      </c>
      <c r="D741" s="0" t="n">
        <f aca="false">A741/SUM($A741:$C741)</f>
        <v>0.222220461865992</v>
      </c>
      <c r="E741" s="0" t="n">
        <f aca="false">B741/SUM($A741:$C741)</f>
        <v>0.688913525573487</v>
      </c>
      <c r="F741" s="0" t="n">
        <f aca="false">C741/SUM($A741:$C741)</f>
        <v>0.0888660125605217</v>
      </c>
      <c r="G741" s="0" t="n">
        <f aca="false">SUMPRODUCT(D741:F741,Stats!$B$6:$D$6)</f>
        <v>0.393672450957806</v>
      </c>
      <c r="H741" s="0" t="n">
        <f aca="false">SQRT(SUMPRODUCT(MMULT(D741:F741,Stats!$B$12:$D$14),D741:F741))</f>
        <v>0.2365761209626</v>
      </c>
      <c r="I741" s="0" t="n">
        <f aca="false">(G741-Stats!$B$2)/H741</f>
        <v>1.4865086532271</v>
      </c>
    </row>
    <row r="742" customFormat="false" ht="15" hidden="false" customHeight="false" outlineLevel="0" collapsed="false">
      <c r="A742" s="0" t="n">
        <v>0.703685977460796</v>
      </c>
      <c r="B742" s="0" t="n">
        <v>0.54069847664491</v>
      </c>
      <c r="C742" s="0" t="n">
        <v>0.0965344701954408</v>
      </c>
      <c r="D742" s="0" t="n">
        <f aca="false">A742/SUM($A742:$C742)</f>
        <v>0.524778914450431</v>
      </c>
      <c r="E742" s="0" t="n">
        <f aca="false">B742/SUM($A742:$C742)</f>
        <v>0.403229805207432</v>
      </c>
      <c r="F742" s="0" t="n">
        <f aca="false">C742/SUM($A742:$C742)</f>
        <v>0.0719912803421371</v>
      </c>
      <c r="G742" s="0" t="n">
        <f aca="false">SUMPRODUCT(D742:F742,Stats!$B$6:$D$6)</f>
        <v>0.377699893691706</v>
      </c>
      <c r="H742" s="0" t="n">
        <f aca="false">SQRT(SUMPRODUCT(MMULT(D742:F742,Stats!$B$12:$D$14),D742:F742))</f>
        <v>0.226441712728333</v>
      </c>
      <c r="I742" s="0" t="n">
        <f aca="false">(G742-Stats!$B$2)/H742</f>
        <v>1.48250024099779</v>
      </c>
    </row>
    <row r="743" customFormat="false" ht="15" hidden="false" customHeight="false" outlineLevel="0" collapsed="false">
      <c r="A743" s="0" t="n">
        <v>0.241893828258839</v>
      </c>
      <c r="B743" s="0" t="n">
        <v>0.0124040362773148</v>
      </c>
      <c r="C743" s="0" t="n">
        <v>0.468767965464506</v>
      </c>
      <c r="D743" s="0" t="n">
        <f aca="false">A743/SUM($A743:$C743)</f>
        <v>0.334539150133285</v>
      </c>
      <c r="E743" s="0" t="n">
        <f aca="false">B743/SUM($A743:$C743)</f>
        <v>0.0171547814357421</v>
      </c>
      <c r="F743" s="0" t="n">
        <f aca="false">C743/SUM($A743:$C743)</f>
        <v>0.648306068430973</v>
      </c>
      <c r="G743" s="0" t="n">
        <f aca="false">SUMPRODUCT(D743:F743,Stats!$B$6:$D$6)</f>
        <v>0.33959397789178</v>
      </c>
      <c r="H743" s="0" t="n">
        <f aca="false">SQRT(SUMPRODUCT(MMULT(D743:F743,Stats!$B$12:$D$14),D743:F743))</f>
        <v>0.230389104298131</v>
      </c>
      <c r="I743" s="0" t="n">
        <f aca="false">(G743-Stats!$B$2)/H743</f>
        <v>1.29170161409492</v>
      </c>
    </row>
    <row r="744" customFormat="false" ht="15" hidden="false" customHeight="false" outlineLevel="0" collapsed="false">
      <c r="A744" s="0" t="n">
        <v>0.30126526076</v>
      </c>
      <c r="B744" s="0" t="n">
        <v>0.598357484297759</v>
      </c>
      <c r="C744" s="0" t="n">
        <v>0.297237807708617</v>
      </c>
      <c r="D744" s="0" t="n">
        <f aca="false">A744/SUM($A744:$C744)</f>
        <v>0.251712916816974</v>
      </c>
      <c r="E744" s="0" t="n">
        <f aca="false">B744/SUM($A744:$C744)</f>
        <v>0.499939180813286</v>
      </c>
      <c r="F744" s="0" t="n">
        <f aca="false">C744/SUM($A744:$C744)</f>
        <v>0.24834790236974</v>
      </c>
      <c r="G744" s="0" t="n">
        <f aca="false">SUMPRODUCT(D744:F744,Stats!$B$6:$D$6)</f>
        <v>0.378401459973483</v>
      </c>
      <c r="H744" s="0" t="n">
        <f aca="false">SQRT(SUMPRODUCT(MMULT(D744:F744,Stats!$B$12:$D$14),D744:F744))</f>
        <v>0.230666434988066</v>
      </c>
      <c r="I744" s="0" t="n">
        <f aca="false">(G744-Stats!$B$2)/H744</f>
        <v>1.45838929704223</v>
      </c>
    </row>
    <row r="745" customFormat="false" ht="15" hidden="false" customHeight="false" outlineLevel="0" collapsed="false">
      <c r="A745" s="0" t="n">
        <v>0.299919111506985</v>
      </c>
      <c r="B745" s="0" t="n">
        <v>0.743193198731603</v>
      </c>
      <c r="C745" s="0" t="n">
        <v>0.0481428359783535</v>
      </c>
      <c r="D745" s="0" t="n">
        <f aca="false">A745/SUM($A745:$C745)</f>
        <v>0.274838668616332</v>
      </c>
      <c r="E745" s="0" t="n">
        <f aca="false">B745/SUM($A745:$C745)</f>
        <v>0.68104439306246</v>
      </c>
      <c r="F745" s="0" t="n">
        <f aca="false">C745/SUM($A745:$C745)</f>
        <v>0.0441169383212078</v>
      </c>
      <c r="G745" s="0" t="n">
        <f aca="false">SUMPRODUCT(D745:F745,Stats!$B$6:$D$6)</f>
        <v>0.394453609768691</v>
      </c>
      <c r="H745" s="0" t="n">
        <f aca="false">SQRT(SUMPRODUCT(MMULT(D745:F745,Stats!$B$12:$D$14),D745:F745))</f>
        <v>0.235722172644944</v>
      </c>
      <c r="I745" s="0" t="n">
        <f aca="false">(G745-Stats!$B$2)/H745</f>
        <v>1.49520770920253</v>
      </c>
    </row>
    <row r="746" customFormat="false" ht="15" hidden="false" customHeight="false" outlineLevel="0" collapsed="false">
      <c r="A746" s="0" t="n">
        <v>0.902894995191987</v>
      </c>
      <c r="B746" s="0" t="n">
        <v>0.852263874391182</v>
      </c>
      <c r="C746" s="0" t="n">
        <v>0.667804683226407</v>
      </c>
      <c r="D746" s="0" t="n">
        <f aca="false">A746/SUM($A746:$C746)</f>
        <v>0.372640766364407</v>
      </c>
      <c r="E746" s="0" t="n">
        <f aca="false">B746/SUM($A746:$C746)</f>
        <v>0.351744405483495</v>
      </c>
      <c r="F746" s="0" t="n">
        <f aca="false">C746/SUM($A746:$C746)</f>
        <v>0.275614828152097</v>
      </c>
      <c r="G746" s="0" t="n">
        <f aca="false">SUMPRODUCT(D746:F746,Stats!$B$6:$D$6)</f>
        <v>0.369122649414714</v>
      </c>
      <c r="H746" s="0" t="n">
        <f aca="false">SQRT(SUMPRODUCT(MMULT(D746:F746,Stats!$B$12:$D$14),D746:F746))</f>
        <v>0.225539993707776</v>
      </c>
      <c r="I746" s="0" t="n">
        <f aca="false">(G746-Stats!$B$2)/H746</f>
        <v>1.45039752833617</v>
      </c>
    </row>
    <row r="747" customFormat="false" ht="15" hidden="false" customHeight="false" outlineLevel="0" collapsed="false">
      <c r="A747" s="0" t="n">
        <v>0.593221570107384</v>
      </c>
      <c r="B747" s="0" t="n">
        <v>0.892302498139652</v>
      </c>
      <c r="C747" s="0" t="n">
        <v>0.185330179528714</v>
      </c>
      <c r="D747" s="0" t="n">
        <f aca="false">A747/SUM($A747:$C747)</f>
        <v>0.35504088456374</v>
      </c>
      <c r="E747" s="0" t="n">
        <f aca="false">B747/SUM($A747:$C747)</f>
        <v>0.5340396981529</v>
      </c>
      <c r="F747" s="0" t="n">
        <f aca="false">C747/SUM($A747:$C747)</f>
        <v>0.110919417283361</v>
      </c>
      <c r="G747" s="0" t="n">
        <f aca="false">SUMPRODUCT(D747:F747,Stats!$B$6:$D$6)</f>
        <v>0.384153097224251</v>
      </c>
      <c r="H747" s="0" t="n">
        <f aca="false">SQRT(SUMPRODUCT(MMULT(D747:F747,Stats!$B$12:$D$14),D747:F747))</f>
        <v>0.229854008012368</v>
      </c>
      <c r="I747" s="0" t="n">
        <f aca="false">(G747-Stats!$B$2)/H747</f>
        <v>1.48856702644855</v>
      </c>
    </row>
    <row r="748" customFormat="false" ht="15" hidden="false" customHeight="false" outlineLevel="0" collapsed="false">
      <c r="A748" s="0" t="n">
        <v>0.0789691621908286</v>
      </c>
      <c r="B748" s="0" t="n">
        <v>0.239510169909538</v>
      </c>
      <c r="C748" s="0" t="n">
        <v>0.79457827870019</v>
      </c>
      <c r="D748" s="0" t="n">
        <f aca="false">A748/SUM($A748:$C748)</f>
        <v>0.0709479558151808</v>
      </c>
      <c r="E748" s="0" t="n">
        <f aca="false">B748/SUM($A748:$C748)</f>
        <v>0.215182186066068</v>
      </c>
      <c r="F748" s="0" t="n">
        <f aca="false">C748/SUM($A748:$C748)</f>
        <v>0.713869858118752</v>
      </c>
      <c r="G748" s="0" t="n">
        <f aca="false">SUMPRODUCT(D748:F748,Stats!$B$6:$D$6)</f>
        <v>0.349180322168873</v>
      </c>
      <c r="H748" s="0" t="n">
        <f aca="false">SQRT(SUMPRODUCT(MMULT(D748:F748,Stats!$B$12:$D$14),D748:F748))</f>
        <v>0.243084863731265</v>
      </c>
      <c r="I748" s="0" t="n">
        <f aca="false">(G748-Stats!$B$2)/H748</f>
        <v>1.26367523445832</v>
      </c>
    </row>
    <row r="749" customFormat="false" ht="15" hidden="false" customHeight="false" outlineLevel="0" collapsed="false">
      <c r="A749" s="0" t="n">
        <v>0.0346702667264833</v>
      </c>
      <c r="B749" s="0" t="n">
        <v>0.58280683508349</v>
      </c>
      <c r="C749" s="0" t="n">
        <v>0.99543751619131</v>
      </c>
      <c r="D749" s="0" t="n">
        <f aca="false">A749/SUM($A749:$C749)</f>
        <v>0.0214954135448574</v>
      </c>
      <c r="E749" s="0" t="n">
        <f aca="false">B749/SUM($A749:$C749)</f>
        <v>0.361337685565589</v>
      </c>
      <c r="F749" s="0" t="n">
        <f aca="false">C749/SUM($A749:$C749)</f>
        <v>0.617166900889554</v>
      </c>
      <c r="G749" s="0" t="n">
        <f aca="false">SUMPRODUCT(D749:F749,Stats!$B$6:$D$6)</f>
        <v>0.360256467296397</v>
      </c>
      <c r="H749" s="0" t="n">
        <f aca="false">SQRT(SUMPRODUCT(MMULT(D749:F749,Stats!$B$12:$D$14),D749:F749))</f>
        <v>0.243450771807926</v>
      </c>
      <c r="I749" s="0" t="n">
        <f aca="false">(G749-Stats!$B$2)/H749</f>
        <v>1.30727236941146</v>
      </c>
    </row>
    <row r="750" customFormat="false" ht="15" hidden="false" customHeight="false" outlineLevel="0" collapsed="false">
      <c r="A750" s="0" t="n">
        <v>0.855696093837539</v>
      </c>
      <c r="B750" s="0" t="n">
        <v>0.52144568904359</v>
      </c>
      <c r="C750" s="0" t="n">
        <v>0.0636409092866423</v>
      </c>
      <c r="D750" s="0" t="n">
        <f aca="false">A750/SUM($A750:$C750)</f>
        <v>0.59391058657852</v>
      </c>
      <c r="E750" s="0" t="n">
        <f aca="false">B750/SUM($A750:$C750)</f>
        <v>0.361918346103279</v>
      </c>
      <c r="F750" s="0" t="n">
        <f aca="false">C750/SUM($A750:$C750)</f>
        <v>0.0441710673182016</v>
      </c>
      <c r="G750" s="0" t="n">
        <f aca="false">SUMPRODUCT(D750:F750,Stats!$B$6:$D$6)</f>
        <v>0.376090017477147</v>
      </c>
      <c r="H750" s="0" t="n">
        <f aca="false">SQRT(SUMPRODUCT(MMULT(D750:F750,Stats!$B$12:$D$14),D750:F750))</f>
        <v>0.226420917047793</v>
      </c>
      <c r="I750" s="0" t="n">
        <f aca="false">(G750-Stats!$B$2)/H750</f>
        <v>1.47552629780501</v>
      </c>
    </row>
    <row r="751" customFormat="false" ht="15" hidden="false" customHeight="false" outlineLevel="0" collapsed="false">
      <c r="A751" s="0" t="n">
        <v>0.83137351438571</v>
      </c>
      <c r="B751" s="0" t="n">
        <v>0.598978508177211</v>
      </c>
      <c r="C751" s="0" t="n">
        <v>0.114932997059567</v>
      </c>
      <c r="D751" s="0" t="n">
        <f aca="false">A751/SUM($A751:$C751)</f>
        <v>0.538006583787898</v>
      </c>
      <c r="E751" s="0" t="n">
        <f aca="false">B751/SUM($A751:$C751)</f>
        <v>0.387616847747311</v>
      </c>
      <c r="F751" s="0" t="n">
        <f aca="false">C751/SUM($A751:$C751)</f>
        <v>0.0743765684647903</v>
      </c>
      <c r="G751" s="0" t="n">
        <f aca="false">SUMPRODUCT(D751:F751,Stats!$B$6:$D$6)</f>
        <v>0.376735770924354</v>
      </c>
      <c r="H751" s="0" t="n">
        <f aca="false">SQRT(SUMPRODUCT(MMULT(D751:F751,Stats!$B$12:$D$14),D751:F751))</f>
        <v>0.226135315233778</v>
      </c>
      <c r="I751" s="0" t="n">
        <f aca="false">(G751-Stats!$B$2)/H751</f>
        <v>1.48024544763521</v>
      </c>
    </row>
    <row r="752" customFormat="false" ht="15" hidden="false" customHeight="false" outlineLevel="0" collapsed="false">
      <c r="A752" s="0" t="n">
        <v>0.0938572848233562</v>
      </c>
      <c r="B752" s="0" t="n">
        <v>0.909626819436592</v>
      </c>
      <c r="C752" s="0" t="n">
        <v>0.669200262938078</v>
      </c>
      <c r="D752" s="0" t="n">
        <f aca="false">A752/SUM($A752:$C752)</f>
        <v>0.0561117725877835</v>
      </c>
      <c r="E752" s="0" t="n">
        <f aca="false">B752/SUM($A752:$C752)</f>
        <v>0.543812590871726</v>
      </c>
      <c r="F752" s="0" t="n">
        <f aca="false">C752/SUM($A752:$C752)</f>
        <v>0.400075636540491</v>
      </c>
      <c r="G752" s="0" t="n">
        <f aca="false">SUMPRODUCT(D752:F752,Stats!$B$6:$D$6)</f>
        <v>0.376742045291799</v>
      </c>
      <c r="H752" s="0" t="n">
        <f aca="false">SQRT(SUMPRODUCT(MMULT(D752:F752,Stats!$B$12:$D$14),D752:F752))</f>
        <v>0.23967391426444</v>
      </c>
      <c r="I752" s="0" t="n">
        <f aca="false">(G752-Stats!$B$2)/H752</f>
        <v>1.39665614557647</v>
      </c>
    </row>
    <row r="753" customFormat="false" ht="15" hidden="false" customHeight="false" outlineLevel="0" collapsed="false">
      <c r="A753" s="0" t="n">
        <v>0.829286799316756</v>
      </c>
      <c r="B753" s="0" t="n">
        <v>0.878978900282267</v>
      </c>
      <c r="C753" s="0" t="n">
        <v>0.571772352048322</v>
      </c>
      <c r="D753" s="0" t="n">
        <f aca="false">A753/SUM($A753:$C753)</f>
        <v>0.363716210226224</v>
      </c>
      <c r="E753" s="0" t="n">
        <f aca="false">B753/SUM($A753:$C753)</f>
        <v>0.385510627617464</v>
      </c>
      <c r="F753" s="0" t="n">
        <f aca="false">C753/SUM($A753:$C753)</f>
        <v>0.250773162156312</v>
      </c>
      <c r="G753" s="0" t="n">
        <f aca="false">SUMPRODUCT(D753:F753,Stats!$B$6:$D$6)</f>
        <v>0.371750513518763</v>
      </c>
      <c r="H753" s="0" t="n">
        <f aca="false">SQRT(SUMPRODUCT(MMULT(D753:F753,Stats!$B$12:$D$14),D753:F753))</f>
        <v>0.226176505336108</v>
      </c>
      <c r="I753" s="0" t="n">
        <f aca="false">(G753-Stats!$B$2)/H753</f>
        <v>1.45793442616305</v>
      </c>
    </row>
    <row r="754" customFormat="false" ht="15" hidden="false" customHeight="false" outlineLevel="0" collapsed="false">
      <c r="A754" s="0" t="n">
        <v>0.517446351755041</v>
      </c>
      <c r="B754" s="0" t="n">
        <v>0.43042741032099</v>
      </c>
      <c r="C754" s="0" t="n">
        <v>0.316946587791119</v>
      </c>
      <c r="D754" s="0" t="n">
        <f aca="false">A754/SUM($A754:$C754)</f>
        <v>0.409106599059219</v>
      </c>
      <c r="E754" s="0" t="n">
        <f aca="false">B754/SUM($A754:$C754)</f>
        <v>0.340307151419725</v>
      </c>
      <c r="F754" s="0" t="n">
        <f aca="false">C754/SUM($A754:$C754)</f>
        <v>0.250586249521056</v>
      </c>
      <c r="G754" s="0" t="n">
        <f aca="false">SUMPRODUCT(D754:F754,Stats!$B$6:$D$6)</f>
        <v>0.369154718048086</v>
      </c>
      <c r="H754" s="0" t="n">
        <f aca="false">SQRT(SUMPRODUCT(MMULT(D754:F754,Stats!$B$12:$D$14),D754:F754))</f>
        <v>0.224792430809954</v>
      </c>
      <c r="I754" s="0" t="n">
        <f aca="false">(G754-Stats!$B$2)/H754</f>
        <v>1.45536358528314</v>
      </c>
    </row>
    <row r="755" customFormat="false" ht="15" hidden="false" customHeight="false" outlineLevel="0" collapsed="false">
      <c r="A755" s="0" t="n">
        <v>0.434595960858712</v>
      </c>
      <c r="B755" s="0" t="n">
        <v>0.773879655730156</v>
      </c>
      <c r="C755" s="0" t="n">
        <v>0.601923431015132</v>
      </c>
      <c r="D755" s="0" t="n">
        <f aca="false">A755/SUM($A755:$C755)</f>
        <v>0.240055341077363</v>
      </c>
      <c r="E755" s="0" t="n">
        <f aca="false">B755/SUM($A755:$C755)</f>
        <v>0.427463578681374</v>
      </c>
      <c r="F755" s="0" t="n">
        <f aca="false">C755/SUM($A755:$C755)</f>
        <v>0.332481080241263</v>
      </c>
      <c r="G755" s="0" t="n">
        <f aca="false">SUMPRODUCT(D755:F755,Stats!$B$6:$D$6)</f>
        <v>0.371911367609663</v>
      </c>
      <c r="H755" s="0" t="n">
        <f aca="false">SQRT(SUMPRODUCT(MMULT(D755:F755,Stats!$B$12:$D$14),D755:F755))</f>
        <v>0.230070929806071</v>
      </c>
      <c r="I755" s="0" t="n">
        <f aca="false">(G755-Stats!$B$2)/H755</f>
        <v>1.43395503242304</v>
      </c>
    </row>
    <row r="756" customFormat="false" ht="15" hidden="false" customHeight="false" outlineLevel="0" collapsed="false">
      <c r="A756" s="0" t="n">
        <v>0.892523289954846</v>
      </c>
      <c r="B756" s="0" t="n">
        <v>0.443380014379188</v>
      </c>
      <c r="C756" s="0" t="n">
        <v>0.607089578718754</v>
      </c>
      <c r="D756" s="0" t="n">
        <f aca="false">A756/SUM($A756:$C756)</f>
        <v>0.459354894060411</v>
      </c>
      <c r="E756" s="0" t="n">
        <f aca="false">B756/SUM($A756:$C756)</f>
        <v>0.228194358428405</v>
      </c>
      <c r="F756" s="0" t="n">
        <f aca="false">C756/SUM($A756:$C756)</f>
        <v>0.312450747511184</v>
      </c>
      <c r="G756" s="0" t="n">
        <f aca="false">SUMPRODUCT(D756:F756,Stats!$B$6:$D$6)</f>
        <v>0.360998003306373</v>
      </c>
      <c r="H756" s="0" t="n">
        <f aca="false">SQRT(SUMPRODUCT(MMULT(D756:F756,Stats!$B$12:$D$14),D756:F756))</f>
        <v>0.222954448319006</v>
      </c>
      <c r="I756" s="0" t="n">
        <f aca="false">(G756-Stats!$B$2)/H756</f>
        <v>1.43077658109762</v>
      </c>
    </row>
    <row r="757" customFormat="false" ht="15" hidden="false" customHeight="false" outlineLevel="0" collapsed="false">
      <c r="A757" s="0" t="n">
        <v>0.631307553091989</v>
      </c>
      <c r="B757" s="0" t="n">
        <v>0.591697162306326</v>
      </c>
      <c r="C757" s="0" t="n">
        <v>0.702633773085516</v>
      </c>
      <c r="D757" s="0" t="n">
        <f aca="false">A757/SUM($A757:$C757)</f>
        <v>0.327843235824111</v>
      </c>
      <c r="E757" s="0" t="n">
        <f aca="false">B757/SUM($A757:$C757)</f>
        <v>0.30727323214868</v>
      </c>
      <c r="F757" s="0" t="n">
        <f aca="false">C757/SUM($A757:$C757)</f>
        <v>0.364883532027209</v>
      </c>
      <c r="G757" s="0" t="n">
        <f aca="false">SUMPRODUCT(D757:F757,Stats!$B$6:$D$6)</f>
        <v>0.364102285484135</v>
      </c>
      <c r="H757" s="0" t="n">
        <f aca="false">SQRT(SUMPRODUCT(MMULT(D757:F757,Stats!$B$12:$D$14),D757:F757))</f>
        <v>0.226366072554132</v>
      </c>
      <c r="I757" s="0" t="n">
        <f aca="false">(G757-Stats!$B$2)/H757</f>
        <v>1.42292650947994</v>
      </c>
    </row>
    <row r="758" customFormat="false" ht="15" hidden="false" customHeight="false" outlineLevel="0" collapsed="false">
      <c r="A758" s="0" t="n">
        <v>0.237433468374806</v>
      </c>
      <c r="B758" s="0" t="n">
        <v>0.512363777545791</v>
      </c>
      <c r="C758" s="0" t="n">
        <v>0.104224802808348</v>
      </c>
      <c r="D758" s="0" t="n">
        <f aca="false">A758/SUM($A758:$C758)</f>
        <v>0.278017960693383</v>
      </c>
      <c r="E758" s="0" t="n">
        <f aca="false">B758/SUM($A758:$C758)</f>
        <v>0.599942095532955</v>
      </c>
      <c r="F758" s="0" t="n">
        <f aca="false">C758/SUM($A758:$C758)</f>
        <v>0.122039943773662</v>
      </c>
      <c r="G758" s="0" t="n">
        <f aca="false">SUMPRODUCT(D758:F758,Stats!$B$6:$D$6)</f>
        <v>0.387638391632905</v>
      </c>
      <c r="H758" s="0" t="n">
        <f aca="false">SQRT(SUMPRODUCT(MMULT(D758:F758,Stats!$B$12:$D$14),D758:F758))</f>
        <v>0.232683736911096</v>
      </c>
      <c r="I758" s="0" t="n">
        <f aca="false">(G758-Stats!$B$2)/H758</f>
        <v>1.48544284281014</v>
      </c>
    </row>
    <row r="759" customFormat="false" ht="15" hidden="false" customHeight="false" outlineLevel="0" collapsed="false">
      <c r="A759" s="0" t="n">
        <v>0.384511327644813</v>
      </c>
      <c r="B759" s="0" t="n">
        <v>0.487667068621264</v>
      </c>
      <c r="C759" s="0" t="n">
        <v>0.652224259545473</v>
      </c>
      <c r="D759" s="0" t="n">
        <f aca="false">A759/SUM($A759:$C759)</f>
        <v>0.252237377164703</v>
      </c>
      <c r="E759" s="0" t="n">
        <f aca="false">B759/SUM($A759:$C759)</f>
        <v>0.319906992264878</v>
      </c>
      <c r="F759" s="0" t="n">
        <f aca="false">C759/SUM($A759:$C759)</f>
        <v>0.427855630570419</v>
      </c>
      <c r="G759" s="0" t="n">
        <f aca="false">SUMPRODUCT(D759:F759,Stats!$B$6:$D$6)</f>
        <v>0.363092784292678</v>
      </c>
      <c r="H759" s="0" t="n">
        <f aca="false">SQRT(SUMPRODUCT(MMULT(D759:F759,Stats!$B$12:$D$14),D759:F759))</f>
        <v>0.229292101486218</v>
      </c>
      <c r="I759" s="0" t="n">
        <f aca="false">(G759-Stats!$B$2)/H759</f>
        <v>1.40036565678202</v>
      </c>
    </row>
    <row r="760" customFormat="false" ht="15" hidden="false" customHeight="false" outlineLevel="0" collapsed="false">
      <c r="A760" s="0" t="n">
        <v>0.950531052586204</v>
      </c>
      <c r="B760" s="0" t="n">
        <v>0.600651066548356</v>
      </c>
      <c r="C760" s="0" t="n">
        <v>0.74359391617656</v>
      </c>
      <c r="D760" s="0" t="n">
        <f aca="false">A760/SUM($A760:$C760)</f>
        <v>0.414215173053842</v>
      </c>
      <c r="E760" s="0" t="n">
        <f aca="false">B760/SUM($A760:$C760)</f>
        <v>0.261747141030659</v>
      </c>
      <c r="F760" s="0" t="n">
        <f aca="false">C760/SUM($A760:$C760)</f>
        <v>0.3240376859155</v>
      </c>
      <c r="G760" s="0" t="n">
        <f aca="false">SUMPRODUCT(D760:F760,Stats!$B$6:$D$6)</f>
        <v>0.362609081620862</v>
      </c>
      <c r="H760" s="0" t="n">
        <f aca="false">SQRT(SUMPRODUCT(MMULT(D760:F760,Stats!$B$12:$D$14),D760:F760))</f>
        <v>0.223923318333303</v>
      </c>
      <c r="I760" s="0" t="n">
        <f aca="false">(G760-Stats!$B$2)/H760</f>
        <v>1.43178068281235</v>
      </c>
    </row>
    <row r="761" customFormat="false" ht="15" hidden="false" customHeight="false" outlineLevel="0" collapsed="false">
      <c r="A761" s="0" t="n">
        <v>0.506266059495203</v>
      </c>
      <c r="B761" s="0" t="n">
        <v>0.634104031376331</v>
      </c>
      <c r="C761" s="0" t="n">
        <v>0.0709322161337734</v>
      </c>
      <c r="D761" s="0" t="n">
        <f aca="false">A761/SUM($A761:$C761)</f>
        <v>0.417951865993585</v>
      </c>
      <c r="E761" s="0" t="n">
        <f aca="false">B761/SUM($A761:$C761)</f>
        <v>0.523489493670677</v>
      </c>
      <c r="F761" s="0" t="n">
        <f aca="false">C761/SUM($A761:$C761)</f>
        <v>0.0585586403357379</v>
      </c>
      <c r="G761" s="0" t="n">
        <f aca="false">SUMPRODUCT(D761:F761,Stats!$B$6:$D$6)</f>
        <v>0.384989880398523</v>
      </c>
      <c r="H761" s="0" t="n">
        <f aca="false">SQRT(SUMPRODUCT(MMULT(D761:F761,Stats!$B$12:$D$14),D761:F761))</f>
        <v>0.229537535710288</v>
      </c>
      <c r="I761" s="0" t="n">
        <f aca="false">(G761-Stats!$B$2)/H761</f>
        <v>1.49426488934442</v>
      </c>
    </row>
    <row r="762" customFormat="false" ht="15" hidden="false" customHeight="false" outlineLevel="0" collapsed="false">
      <c r="A762" s="0" t="n">
        <v>0.254391580841847</v>
      </c>
      <c r="B762" s="0" t="n">
        <v>0.361853093205139</v>
      </c>
      <c r="C762" s="0" t="n">
        <v>0.472493355006514</v>
      </c>
      <c r="D762" s="0" t="n">
        <f aca="false">A762/SUM($A762:$C762)</f>
        <v>0.233657293171805</v>
      </c>
      <c r="E762" s="0" t="n">
        <f aca="false">B762/SUM($A762:$C762)</f>
        <v>0.332360111935943</v>
      </c>
      <c r="F762" s="0" t="n">
        <f aca="false">C762/SUM($A762:$C762)</f>
        <v>0.433982594892252</v>
      </c>
      <c r="G762" s="0" t="n">
        <f aca="false">SUMPRODUCT(D762:F762,Stats!$B$6:$D$6)</f>
        <v>0.363640371996174</v>
      </c>
      <c r="H762" s="0" t="n">
        <f aca="false">SQRT(SUMPRODUCT(MMULT(D762:F762,Stats!$B$12:$D$14),D762:F762))</f>
        <v>0.23010903425545</v>
      </c>
      <c r="I762" s="0" t="n">
        <f aca="false">(G762-Stats!$B$2)/H762</f>
        <v>1.39777376858273</v>
      </c>
    </row>
    <row r="763" customFormat="false" ht="15" hidden="false" customHeight="false" outlineLevel="0" collapsed="false">
      <c r="A763" s="0" t="n">
        <v>0.0456487455023837</v>
      </c>
      <c r="B763" s="0" t="n">
        <v>0.140024097553318</v>
      </c>
      <c r="C763" s="0" t="n">
        <v>0.276814307791306</v>
      </c>
      <c r="D763" s="0" t="n">
        <f aca="false">A763/SUM($A763:$C763)</f>
        <v>0.0987027324300401</v>
      </c>
      <c r="E763" s="0" t="n">
        <f aca="false">B763/SUM($A763:$C763)</f>
        <v>0.302763216873972</v>
      </c>
      <c r="F763" s="0" t="n">
        <f aca="false">C763/SUM($A763:$C763)</f>
        <v>0.598534050695988</v>
      </c>
      <c r="G763" s="0" t="n">
        <f aca="false">SUMPRODUCT(D763:F763,Stats!$B$6:$D$6)</f>
        <v>0.357399961856849</v>
      </c>
      <c r="H763" s="0" t="n">
        <f aca="false">SQRT(SUMPRODUCT(MMULT(D763:F763,Stats!$B$12:$D$14),D763:F763))</f>
        <v>0.238639587133182</v>
      </c>
      <c r="I763" s="0" t="n">
        <f aca="false">(G763-Stats!$B$2)/H763</f>
        <v>1.32165817769718</v>
      </c>
    </row>
    <row r="764" customFormat="false" ht="15" hidden="false" customHeight="false" outlineLevel="0" collapsed="false">
      <c r="A764" s="0" t="n">
        <v>0.971532690901051</v>
      </c>
      <c r="B764" s="0" t="n">
        <v>0.331347007103051</v>
      </c>
      <c r="C764" s="0" t="n">
        <v>0.482041058112083</v>
      </c>
      <c r="D764" s="0" t="n">
        <f aca="false">A764/SUM($A764:$C764)</f>
        <v>0.544300181154828</v>
      </c>
      <c r="E764" s="0" t="n">
        <f aca="false">B764/SUM($A764:$C764)</f>
        <v>0.185636816630465</v>
      </c>
      <c r="F764" s="0" t="n">
        <f aca="false">C764/SUM($A764:$C764)</f>
        <v>0.270063002214708</v>
      </c>
      <c r="G764" s="0" t="n">
        <f aca="false">SUMPRODUCT(D764:F764,Stats!$B$6:$D$6)</f>
        <v>0.359718123205835</v>
      </c>
      <c r="H764" s="0" t="n">
        <f aca="false">SQRT(SUMPRODUCT(MMULT(D764:F764,Stats!$B$12:$D$14),D764:F764))</f>
        <v>0.221938748446757</v>
      </c>
      <c r="I764" s="0" t="n">
        <f aca="false">(G764-Stats!$B$2)/H764</f>
        <v>1.43155769521722</v>
      </c>
    </row>
    <row r="765" customFormat="false" ht="15" hidden="false" customHeight="false" outlineLevel="0" collapsed="false">
      <c r="A765" s="0" t="n">
        <v>0.196097712738393</v>
      </c>
      <c r="B765" s="0" t="n">
        <v>0.610780071075768</v>
      </c>
      <c r="C765" s="0" t="n">
        <v>0.280683215515974</v>
      </c>
      <c r="D765" s="0" t="n">
        <f aca="false">A765/SUM($A765:$C765)</f>
        <v>0.180309622043431</v>
      </c>
      <c r="E765" s="0" t="n">
        <f aca="false">B765/SUM($A765:$C765)</f>
        <v>0.56160534577092</v>
      </c>
      <c r="F765" s="0" t="n">
        <f aca="false">C765/SUM($A765:$C765)</f>
        <v>0.258085032185649</v>
      </c>
      <c r="G765" s="0" t="n">
        <f aca="false">SUMPRODUCT(D765:F765,Stats!$B$6:$D$6)</f>
        <v>0.381681153682613</v>
      </c>
      <c r="H765" s="0" t="n">
        <f aca="false">SQRT(SUMPRODUCT(MMULT(D765:F765,Stats!$B$12:$D$14),D765:F765))</f>
        <v>0.234047593232495</v>
      </c>
      <c r="I765" s="0" t="n">
        <f aca="false">(G765-Stats!$B$2)/H765</f>
        <v>1.45133367530588</v>
      </c>
    </row>
    <row r="766" customFormat="false" ht="15" hidden="false" customHeight="false" outlineLevel="0" collapsed="false">
      <c r="A766" s="0" t="n">
        <v>0.206992578438427</v>
      </c>
      <c r="B766" s="0" t="n">
        <v>0.516572628445979</v>
      </c>
      <c r="C766" s="0" t="n">
        <v>0.00550579916042082</v>
      </c>
      <c r="D766" s="0" t="n">
        <f aca="false">A766/SUM($A766:$C766)</f>
        <v>0.283912783147627</v>
      </c>
      <c r="E766" s="0" t="n">
        <f aca="false">B766/SUM($A766:$C766)</f>
        <v>0.708535415841537</v>
      </c>
      <c r="F766" s="0" t="n">
        <f aca="false">C766/SUM($A766:$C766)</f>
        <v>0.00755180101083638</v>
      </c>
      <c r="G766" s="0" t="n">
        <f aca="false">SUMPRODUCT(D766:F766,Stats!$B$6:$D$6)</f>
        <v>0.397043677236106</v>
      </c>
      <c r="H766" s="0" t="n">
        <f aca="false">SQRT(SUMPRODUCT(MMULT(D766:F766,Stats!$B$12:$D$14),D766:F766))</f>
        <v>0.236883210227997</v>
      </c>
      <c r="I766" s="0" t="n">
        <f aca="false">(G766-Stats!$B$2)/H766</f>
        <v>1.49881317841979</v>
      </c>
    </row>
    <row r="767" customFormat="false" ht="15" hidden="false" customHeight="false" outlineLevel="0" collapsed="false">
      <c r="A767" s="0" t="n">
        <v>0.00766403264922533</v>
      </c>
      <c r="B767" s="0" t="n">
        <v>0.219068809101858</v>
      </c>
      <c r="C767" s="0" t="n">
        <v>0.0367213625008211</v>
      </c>
      <c r="D767" s="0" t="n">
        <f aca="false">A767/SUM($A767:$C767)</f>
        <v>0.0290905687802093</v>
      </c>
      <c r="E767" s="0" t="n">
        <f aca="false">B767/SUM($A767:$C767)</f>
        <v>0.83152519704105</v>
      </c>
      <c r="F767" s="0" t="n">
        <f aca="false">C767/SUM($A767:$C767)</f>
        <v>0.13938423417874</v>
      </c>
      <c r="G767" s="0" t="n">
        <f aca="false">SUMPRODUCT(D767:F767,Stats!$B$6:$D$6)</f>
        <v>0.400485121424582</v>
      </c>
      <c r="H767" s="0" t="n">
        <f aca="false">SQRT(SUMPRODUCT(MMULT(D767:F767,Stats!$B$12:$D$14),D767:F767))</f>
        <v>0.246653085014053</v>
      </c>
      <c r="I767" s="0" t="n">
        <f aca="false">(G767-Stats!$B$2)/H767</f>
        <v>1.45339808502358</v>
      </c>
    </row>
    <row r="768" customFormat="false" ht="15" hidden="false" customHeight="false" outlineLevel="0" collapsed="false">
      <c r="A768" s="0" t="n">
        <v>0.108025754130691</v>
      </c>
      <c r="B768" s="0" t="n">
        <v>0.338860649338752</v>
      </c>
      <c r="C768" s="0" t="n">
        <v>0.802585679579813</v>
      </c>
      <c r="D768" s="0" t="n">
        <f aca="false">A768/SUM($A768:$C768)</f>
        <v>0.0864571170466342</v>
      </c>
      <c r="E768" s="0" t="n">
        <f aca="false">B768/SUM($A768:$C768)</f>
        <v>0.271203057623972</v>
      </c>
      <c r="F768" s="0" t="n">
        <f aca="false">C768/SUM($A768:$C768)</f>
        <v>0.642339825329394</v>
      </c>
      <c r="G768" s="0" t="n">
        <f aca="false">SUMPRODUCT(D768:F768,Stats!$B$6:$D$6)</f>
        <v>0.35437610375419</v>
      </c>
      <c r="H768" s="0" t="n">
        <f aca="false">SQRT(SUMPRODUCT(MMULT(D768:F768,Stats!$B$12:$D$14),D768:F768))</f>
        <v>0.240255356380879</v>
      </c>
      <c r="I768" s="0" t="n">
        <f aca="false">(G768-Stats!$B$2)/H768</f>
        <v>1.30018372310075</v>
      </c>
    </row>
    <row r="769" customFormat="false" ht="15" hidden="false" customHeight="false" outlineLevel="0" collapsed="false">
      <c r="A769" s="0" t="n">
        <v>0.572048643369301</v>
      </c>
      <c r="B769" s="0" t="n">
        <v>0.512667725956416</v>
      </c>
      <c r="C769" s="0" t="n">
        <v>0.293488823208122</v>
      </c>
      <c r="D769" s="0" t="n">
        <f aca="false">A769/SUM($A769:$C769)</f>
        <v>0.415067833489718</v>
      </c>
      <c r="E769" s="0" t="n">
        <f aca="false">B769/SUM($A769:$C769)</f>
        <v>0.371982146587239</v>
      </c>
      <c r="F769" s="0" t="n">
        <f aca="false">C769/SUM($A769:$C769)</f>
        <v>0.212950019923042</v>
      </c>
      <c r="G769" s="0" t="n">
        <f aca="false">SUMPRODUCT(D769:F769,Stats!$B$6:$D$6)</f>
        <v>0.372015060829391</v>
      </c>
      <c r="H769" s="0" t="n">
        <f aca="false">SQRT(SUMPRODUCT(MMULT(D769:F769,Stats!$B$12:$D$14),D769:F769))</f>
        <v>0.225258370336899</v>
      </c>
      <c r="I769" s="0" t="n">
        <f aca="false">(G769-Stats!$B$2)/H769</f>
        <v>1.46505126684446</v>
      </c>
    </row>
    <row r="770" customFormat="false" ht="15" hidden="false" customHeight="false" outlineLevel="0" collapsed="false">
      <c r="A770" s="0" t="n">
        <v>0.931753719432816</v>
      </c>
      <c r="B770" s="0" t="n">
        <v>0.397015041237192</v>
      </c>
      <c r="C770" s="0" t="n">
        <v>0.0870927667957715</v>
      </c>
      <c r="D770" s="0" t="n">
        <f aca="false">A770/SUM($A770:$C770)</f>
        <v>0.658082518211045</v>
      </c>
      <c r="E770" s="0" t="n">
        <f aca="false">B770/SUM($A770:$C770)</f>
        <v>0.280405275188034</v>
      </c>
      <c r="F770" s="0" t="n">
        <f aca="false">C770/SUM($A770:$C770)</f>
        <v>0.0615122066009216</v>
      </c>
      <c r="G770" s="0" t="n">
        <f aca="false">SUMPRODUCT(D770:F770,Stats!$B$6:$D$6)</f>
        <v>0.370921685631019</v>
      </c>
      <c r="H770" s="0" t="n">
        <f aca="false">SQRT(SUMPRODUCT(MMULT(D770:F770,Stats!$B$12:$D$14),D770:F770))</f>
        <v>0.225448439331492</v>
      </c>
      <c r="I770" s="0" t="n">
        <f aca="false">(G770-Stats!$B$2)/H770</f>
        <v>1.45896634550388</v>
      </c>
    </row>
    <row r="771" customFormat="false" ht="15" hidden="false" customHeight="false" outlineLevel="0" collapsed="false">
      <c r="A771" s="0" t="n">
        <v>0.617066516117801</v>
      </c>
      <c r="B771" s="0" t="n">
        <v>0.113838393476601</v>
      </c>
      <c r="C771" s="0" t="n">
        <v>0.345223142801692</v>
      </c>
      <c r="D771" s="0" t="n">
        <f aca="false">A771/SUM($A771:$C771)</f>
        <v>0.573413651603866</v>
      </c>
      <c r="E771" s="0" t="n">
        <f aca="false">B771/SUM($A771:$C771)</f>
        <v>0.105785174192913</v>
      </c>
      <c r="F771" s="0" t="n">
        <f aca="false">C771/SUM($A771:$C771)</f>
        <v>0.320801174203221</v>
      </c>
      <c r="G771" s="0" t="n">
        <f aca="false">SUMPRODUCT(D771:F771,Stats!$B$6:$D$6)</f>
        <v>0.35372447747228</v>
      </c>
      <c r="H771" s="0" t="n">
        <f aca="false">SQRT(SUMPRODUCT(MMULT(D771:F771,Stats!$B$12:$D$14),D771:F771))</f>
        <v>0.221424186985775</v>
      </c>
      <c r="I771" s="0" t="n">
        <f aca="false">(G771-Stats!$B$2)/H771</f>
        <v>1.40781583853035</v>
      </c>
    </row>
    <row r="772" customFormat="false" ht="15" hidden="false" customHeight="false" outlineLevel="0" collapsed="false">
      <c r="A772" s="0" t="n">
        <v>0.507411938717809</v>
      </c>
      <c r="B772" s="0" t="n">
        <v>0.874222524685176</v>
      </c>
      <c r="C772" s="0" t="n">
        <v>0.493546580340119</v>
      </c>
      <c r="D772" s="0" t="n">
        <f aca="false">A772/SUM($A772:$C772)</f>
        <v>0.27059357303706</v>
      </c>
      <c r="E772" s="0" t="n">
        <f aca="false">B772/SUM($A772:$C772)</f>
        <v>0.46620699777346</v>
      </c>
      <c r="F772" s="0" t="n">
        <f aca="false">C772/SUM($A772:$C772)</f>
        <v>0.26319942918948</v>
      </c>
      <c r="G772" s="0" t="n">
        <f aca="false">SUMPRODUCT(D772:F772,Stats!$B$6:$D$6)</f>
        <v>0.376051028680225</v>
      </c>
      <c r="H772" s="0" t="n">
        <f aca="false">SQRT(SUMPRODUCT(MMULT(D772:F772,Stats!$B$12:$D$14),D772:F772))</f>
        <v>0.229563022422179</v>
      </c>
      <c r="I772" s="0" t="n">
        <f aca="false">(G772-Stats!$B$2)/H772</f>
        <v>1.45516043984596</v>
      </c>
    </row>
    <row r="773" customFormat="false" ht="15" hidden="false" customHeight="false" outlineLevel="0" collapsed="false">
      <c r="A773" s="0" t="n">
        <v>0.702258766031664</v>
      </c>
      <c r="B773" s="0" t="n">
        <v>0.99281683899907</v>
      </c>
      <c r="C773" s="0" t="n">
        <v>0.131489119897982</v>
      </c>
      <c r="D773" s="0" t="n">
        <f aca="false">A773/SUM($A773:$C773)</f>
        <v>0.384469685879361</v>
      </c>
      <c r="E773" s="0" t="n">
        <f aca="false">B773/SUM($A773:$C773)</f>
        <v>0.543543201863715</v>
      </c>
      <c r="F773" s="0" t="n">
        <f aca="false">C773/SUM($A773:$C773)</f>
        <v>0.0719871122569243</v>
      </c>
      <c r="G773" s="0" t="n">
        <f aca="false">SUMPRODUCT(D773:F773,Stats!$B$6:$D$6)</f>
        <v>0.385773459864579</v>
      </c>
      <c r="H773" s="0" t="n">
        <f aca="false">SQRT(SUMPRODUCT(MMULT(D773:F773,Stats!$B$12:$D$14),D773:F773))</f>
        <v>0.230139564654261</v>
      </c>
      <c r="I773" s="0" t="n">
        <f aca="false">(G773-Stats!$B$2)/H773</f>
        <v>1.49376079850082</v>
      </c>
    </row>
    <row r="774" customFormat="false" ht="15" hidden="false" customHeight="false" outlineLevel="0" collapsed="false">
      <c r="A774" s="0" t="n">
        <v>0.27473152551952</v>
      </c>
      <c r="B774" s="0" t="n">
        <v>0.394576075597646</v>
      </c>
      <c r="C774" s="0" t="n">
        <v>0.421828178538831</v>
      </c>
      <c r="D774" s="0" t="n">
        <f aca="false">A774/SUM($A774:$C774)</f>
        <v>0.251784911320692</v>
      </c>
      <c r="E774" s="0" t="n">
        <f aca="false">B774/SUM($A774:$C774)</f>
        <v>0.361619592129996</v>
      </c>
      <c r="F774" s="0" t="n">
        <f aca="false">C774/SUM($A774:$C774)</f>
        <v>0.386595496549312</v>
      </c>
      <c r="G774" s="0" t="n">
        <f aca="false">SUMPRODUCT(D774:F774,Stats!$B$6:$D$6)</f>
        <v>0.366630605627506</v>
      </c>
      <c r="H774" s="0" t="n">
        <f aca="false">SQRT(SUMPRODUCT(MMULT(D774:F774,Stats!$B$12:$D$14),D774:F774))</f>
        <v>0.229276679381083</v>
      </c>
      <c r="I774" s="0" t="n">
        <f aca="false">(G774-Stats!$B$2)/H774</f>
        <v>1.41589020960974</v>
      </c>
    </row>
    <row r="775" customFormat="false" ht="15" hidden="false" customHeight="false" outlineLevel="0" collapsed="false">
      <c r="A775" s="0" t="n">
        <v>0.411021075265546</v>
      </c>
      <c r="B775" s="0" t="n">
        <v>0.907611002556555</v>
      </c>
      <c r="C775" s="0" t="n">
        <v>0.714032644466856</v>
      </c>
      <c r="D775" s="0" t="n">
        <f aca="false">A775/SUM($A775:$C775)</f>
        <v>0.202208003493414</v>
      </c>
      <c r="E775" s="0" t="n">
        <f aca="false">B775/SUM($A775:$C775)</f>
        <v>0.446512891478977</v>
      </c>
      <c r="F775" s="0" t="n">
        <f aca="false">C775/SUM($A775:$C775)</f>
        <v>0.351279105027608</v>
      </c>
      <c r="G775" s="0" t="n">
        <f aca="false">SUMPRODUCT(D775:F775,Stats!$B$6:$D$6)</f>
        <v>0.372489092109611</v>
      </c>
      <c r="H775" s="0" t="n">
        <f aca="false">SQRT(SUMPRODUCT(MMULT(D775:F775,Stats!$B$12:$D$14),D775:F775))</f>
        <v>0.231718230553959</v>
      </c>
      <c r="I775" s="0" t="n">
        <f aca="false">(G775-Stats!$B$2)/H775</f>
        <v>1.4262541679156</v>
      </c>
    </row>
    <row r="776" customFormat="false" ht="15" hidden="false" customHeight="false" outlineLevel="0" collapsed="false">
      <c r="A776" s="0" t="n">
        <v>0.607905214090704</v>
      </c>
      <c r="B776" s="0" t="n">
        <v>0.309372717862782</v>
      </c>
      <c r="C776" s="0" t="n">
        <v>0.823790384221295</v>
      </c>
      <c r="D776" s="0" t="n">
        <f aca="false">A776/SUM($A776:$C776)</f>
        <v>0.349156439436164</v>
      </c>
      <c r="E776" s="0" t="n">
        <f aca="false">B776/SUM($A776:$C776)</f>
        <v>0.177691314573164</v>
      </c>
      <c r="F776" s="0" t="n">
        <f aca="false">C776/SUM($A776:$C776)</f>
        <v>0.473152245990672</v>
      </c>
      <c r="G776" s="0" t="n">
        <f aca="false">SUMPRODUCT(D776:F776,Stats!$B$6:$D$6)</f>
        <v>0.353660841516228</v>
      </c>
      <c r="H776" s="0" t="n">
        <f aca="false">SQRT(SUMPRODUCT(MMULT(D776:F776,Stats!$B$12:$D$14),D776:F776))</f>
        <v>0.226165972267786</v>
      </c>
      <c r="I776" s="0" t="n">
        <f aca="false">(G776-Stats!$B$2)/H776</f>
        <v>1.37801826858027</v>
      </c>
    </row>
    <row r="777" customFormat="false" ht="15" hidden="false" customHeight="false" outlineLevel="0" collapsed="false">
      <c r="A777" s="0" t="n">
        <v>0.955060511484989</v>
      </c>
      <c r="B777" s="0" t="n">
        <v>0.821198282550227</v>
      </c>
      <c r="C777" s="0" t="n">
        <v>0.0015651051914729</v>
      </c>
      <c r="D777" s="0" t="n">
        <f aca="false">A777/SUM($A777:$C777)</f>
        <v>0.537207600764293</v>
      </c>
      <c r="E777" s="0" t="n">
        <f aca="false">B777/SUM($A777:$C777)</f>
        <v>0.461912050404671</v>
      </c>
      <c r="F777" s="0" t="n">
        <f aca="false">C777/SUM($A777:$C777)</f>
        <v>0.000880348831036464</v>
      </c>
      <c r="G777" s="0" t="n">
        <f aca="false">SUMPRODUCT(D777:F777,Stats!$B$6:$D$6)</f>
        <v>0.383037250715128</v>
      </c>
      <c r="H777" s="0" t="n">
        <f aca="false">SQRT(SUMPRODUCT(MMULT(D777:F777,Stats!$B$12:$D$14),D777:F777))</f>
        <v>0.228885675728575</v>
      </c>
      <c r="I777" s="0" t="n">
        <f aca="false">(G777-Stats!$B$2)/H777</f>
        <v>1.48998948767571</v>
      </c>
    </row>
    <row r="778" customFormat="false" ht="15" hidden="false" customHeight="false" outlineLevel="0" collapsed="false">
      <c r="A778" s="0" t="n">
        <v>0.636401370183407</v>
      </c>
      <c r="B778" s="0" t="n">
        <v>0.0511353814421007</v>
      </c>
      <c r="C778" s="0" t="n">
        <v>0.257607220333722</v>
      </c>
      <c r="D778" s="0" t="n">
        <f aca="false">A778/SUM($A778:$C778)</f>
        <v>0.673338019459811</v>
      </c>
      <c r="E778" s="0" t="n">
        <f aca="false">B778/SUM($A778:$C778)</f>
        <v>0.0541032720508178</v>
      </c>
      <c r="F778" s="0" t="n">
        <f aca="false">C778/SUM($A778:$C778)</f>
        <v>0.272558708489371</v>
      </c>
      <c r="G778" s="0" t="n">
        <f aca="false">SUMPRODUCT(D778:F778,Stats!$B$6:$D$6)</f>
        <v>0.352081035150633</v>
      </c>
      <c r="H778" s="0" t="n">
        <f aca="false">SQRT(SUMPRODUCT(MMULT(D778:F778,Stats!$B$12:$D$14),D778:F778))</f>
        <v>0.221560080634682</v>
      </c>
      <c r="I778" s="0" t="n">
        <f aca="false">(G778-Stats!$B$2)/H778</f>
        <v>1.39953476394472</v>
      </c>
    </row>
    <row r="779" customFormat="false" ht="15" hidden="false" customHeight="false" outlineLevel="0" collapsed="false">
      <c r="A779" s="0" t="n">
        <v>0.0595247003477717</v>
      </c>
      <c r="B779" s="0" t="n">
        <v>0.603795452949388</v>
      </c>
      <c r="C779" s="0" t="n">
        <v>0.686589913492607</v>
      </c>
      <c r="D779" s="0" t="n">
        <f aca="false">A779/SUM($A779:$C779)</f>
        <v>0.044095308133621</v>
      </c>
      <c r="E779" s="0" t="n">
        <f aca="false">B779/SUM($A779:$C779)</f>
        <v>0.447285687990519</v>
      </c>
      <c r="F779" s="0" t="n">
        <f aca="false">C779/SUM($A779:$C779)</f>
        <v>0.50861900387586</v>
      </c>
      <c r="G779" s="0" t="n">
        <f aca="false">SUMPRODUCT(D779:F779,Stats!$B$6:$D$6)</f>
        <v>0.368194970626041</v>
      </c>
      <c r="H779" s="0" t="n">
        <f aca="false">SQRT(SUMPRODUCT(MMULT(D779:F779,Stats!$B$12:$D$14),D779:F779))</f>
        <v>0.2405882514926</v>
      </c>
      <c r="I779" s="0" t="n">
        <f aca="false">(G779-Stats!$B$2)/H779</f>
        <v>1.35582252500835</v>
      </c>
    </row>
    <row r="780" customFormat="false" ht="15" hidden="false" customHeight="false" outlineLevel="0" collapsed="false">
      <c r="A780" s="0" t="n">
        <v>0.114487638065905</v>
      </c>
      <c r="B780" s="0" t="n">
        <v>0.38383888304498</v>
      </c>
      <c r="C780" s="0" t="n">
        <v>0.456236508955542</v>
      </c>
      <c r="D780" s="0" t="n">
        <f aca="false">A780/SUM($A780:$C780)</f>
        <v>0.119937222016589</v>
      </c>
      <c r="E780" s="0" t="n">
        <f aca="false">B780/SUM($A780:$C780)</f>
        <v>0.402109521273067</v>
      </c>
      <c r="F780" s="0" t="n">
        <f aca="false">C780/SUM($A780:$C780)</f>
        <v>0.477953256710343</v>
      </c>
      <c r="G780" s="0" t="n">
        <f aca="false">SUMPRODUCT(D780:F780,Stats!$B$6:$D$6)</f>
        <v>0.36644118864691</v>
      </c>
      <c r="H780" s="0" t="n">
        <f aca="false">SQRT(SUMPRODUCT(MMULT(D780:F780,Stats!$B$12:$D$14),D780:F780))</f>
        <v>0.235944288254278</v>
      </c>
      <c r="I780" s="0" t="n">
        <f aca="false">(G780-Stats!$B$2)/H780</f>
        <v>1.37507540889169</v>
      </c>
    </row>
    <row r="781" customFormat="false" ht="15" hidden="false" customHeight="false" outlineLevel="0" collapsed="false">
      <c r="A781" s="0" t="n">
        <v>0.369053021760917</v>
      </c>
      <c r="B781" s="0" t="n">
        <v>0.121025000485193</v>
      </c>
      <c r="C781" s="0" t="n">
        <v>0.418947790187475</v>
      </c>
      <c r="D781" s="0" t="n">
        <f aca="false">A781/SUM($A781:$C781)</f>
        <v>0.405987395201586</v>
      </c>
      <c r="E781" s="0" t="n">
        <f aca="false">B781/SUM($A781:$C781)</f>
        <v>0.133137033987179</v>
      </c>
      <c r="F781" s="0" t="n">
        <f aca="false">C781/SUM($A781:$C781)</f>
        <v>0.460875570811235</v>
      </c>
      <c r="G781" s="0" t="n">
        <f aca="false">SUMPRODUCT(D781:F781,Stats!$B$6:$D$6)</f>
        <v>0.351435770473002</v>
      </c>
      <c r="H781" s="0" t="n">
        <f aca="false">SQRT(SUMPRODUCT(MMULT(D781:F781,Stats!$B$12:$D$14),D781:F781))</f>
        <v>0.224536392102557</v>
      </c>
      <c r="I781" s="0" t="n">
        <f aca="false">(G781-Stats!$B$2)/H781</f>
        <v>1.37810965775057</v>
      </c>
    </row>
    <row r="782" customFormat="false" ht="15" hidden="false" customHeight="false" outlineLevel="0" collapsed="false">
      <c r="A782" s="0" t="n">
        <v>0.751178047808418</v>
      </c>
      <c r="B782" s="0" t="n">
        <v>0.0710076645332555</v>
      </c>
      <c r="C782" s="0" t="n">
        <v>0.0801800140819035</v>
      </c>
      <c r="D782" s="0" t="n">
        <f aca="false">A782/SUM($A782:$C782)</f>
        <v>0.832454099055409</v>
      </c>
      <c r="E782" s="0" t="n">
        <f aca="false">B782/SUM($A782:$C782)</f>
        <v>0.0786905602174034</v>
      </c>
      <c r="F782" s="0" t="n">
        <f aca="false">C782/SUM($A782:$C782)</f>
        <v>0.088855340727188</v>
      </c>
      <c r="G782" s="0" t="n">
        <f aca="false">SUMPRODUCT(D782:F782,Stats!$B$6:$D$6)</f>
        <v>0.358561305599046</v>
      </c>
      <c r="H782" s="0" t="n">
        <f aca="false">SQRT(SUMPRODUCT(MMULT(D782:F782,Stats!$B$12:$D$14),D782:F782))</f>
        <v>0.226268045629296</v>
      </c>
      <c r="I782" s="0" t="n">
        <f aca="false">(G782-Stats!$B$2)/H782</f>
        <v>1.39905440345599</v>
      </c>
    </row>
    <row r="783" customFormat="false" ht="15" hidden="false" customHeight="false" outlineLevel="0" collapsed="false">
      <c r="A783" s="0" t="n">
        <v>0.354771291835984</v>
      </c>
      <c r="B783" s="0" t="n">
        <v>0.941725711618925</v>
      </c>
      <c r="C783" s="0" t="n">
        <v>0.668572646722914</v>
      </c>
      <c r="D783" s="0" t="n">
        <f aca="false">A783/SUM($A783:$C783)</f>
        <v>0.180538787418492</v>
      </c>
      <c r="E783" s="0" t="n">
        <f aca="false">B783/SUM($A783:$C783)</f>
        <v>0.479232739426669</v>
      </c>
      <c r="F783" s="0" t="n">
        <f aca="false">C783/SUM($A783:$C783)</f>
        <v>0.340228473154839</v>
      </c>
      <c r="G783" s="0" t="n">
        <f aca="false">SUMPRODUCT(D783:F783,Stats!$B$6:$D$6)</f>
        <v>0.374676466735646</v>
      </c>
      <c r="H783" s="0" t="n">
        <f aca="false">SQRT(SUMPRODUCT(MMULT(D783:F783,Stats!$B$12:$D$14),D783:F783))</f>
        <v>0.232902380173177</v>
      </c>
      <c r="I783" s="0" t="n">
        <f aca="false">(G783-Stats!$B$2)/H783</f>
        <v>1.42839444787246</v>
      </c>
    </row>
    <row r="784" customFormat="false" ht="15" hidden="false" customHeight="false" outlineLevel="0" collapsed="false">
      <c r="A784" s="0" t="n">
        <v>0.678669956672565</v>
      </c>
      <c r="B784" s="0" t="n">
        <v>0.361919990837865</v>
      </c>
      <c r="C784" s="0" t="n">
        <v>0.593660791208538</v>
      </c>
      <c r="D784" s="0" t="n">
        <f aca="false">A784/SUM($A784:$C784)</f>
        <v>0.415278965824149</v>
      </c>
      <c r="E784" s="0" t="n">
        <f aca="false">B784/SUM($A784:$C784)</f>
        <v>0.221459279327945</v>
      </c>
      <c r="F784" s="0" t="n">
        <f aca="false">C784/SUM($A784:$C784)</f>
        <v>0.363261754847906</v>
      </c>
      <c r="G784" s="0" t="n">
        <f aca="false">SUMPRODUCT(D784:F784,Stats!$B$6:$D$6)</f>
        <v>0.359209381587606</v>
      </c>
      <c r="H784" s="0" t="n">
        <f aca="false">SQRT(SUMPRODUCT(MMULT(D784:F784,Stats!$B$12:$D$14),D784:F784))</f>
        <v>0.22378229586471</v>
      </c>
      <c r="I784" s="0" t="n">
        <f aca="false">(G784-Stats!$B$2)/H784</f>
        <v>1.417490960855</v>
      </c>
    </row>
    <row r="785" customFormat="false" ht="15" hidden="false" customHeight="false" outlineLevel="0" collapsed="false">
      <c r="A785" s="0" t="n">
        <v>0.0101311840277434</v>
      </c>
      <c r="B785" s="0" t="n">
        <v>0.636096046409542</v>
      </c>
      <c r="C785" s="0" t="n">
        <v>0.913286947576237</v>
      </c>
      <c r="D785" s="0" t="n">
        <f aca="false">A785/SUM($A785:$C785)</f>
        <v>0.00649637186412007</v>
      </c>
      <c r="E785" s="0" t="n">
        <f aca="false">B785/SUM($A785:$C785)</f>
        <v>0.407880899947821</v>
      </c>
      <c r="F785" s="0" t="n">
        <f aca="false">C785/SUM($A785:$C785)</f>
        <v>0.585622728188059</v>
      </c>
      <c r="G785" s="0" t="n">
        <f aca="false">SUMPRODUCT(D785:F785,Stats!$B$6:$D$6)</f>
        <v>0.363804322041964</v>
      </c>
      <c r="H785" s="0" t="n">
        <f aca="false">SQRT(SUMPRODUCT(MMULT(D785:F785,Stats!$B$12:$D$14),D785:F785))</f>
        <v>0.243837063502483</v>
      </c>
      <c r="I785" s="0" t="n">
        <f aca="false">(G785-Stats!$B$2)/H785</f>
        <v>1.31975146607967</v>
      </c>
    </row>
    <row r="786" customFormat="false" ht="15" hidden="false" customHeight="false" outlineLevel="0" collapsed="false">
      <c r="A786" s="0" t="n">
        <v>0.612573468344819</v>
      </c>
      <c r="B786" s="0" t="n">
        <v>0.873698593466345</v>
      </c>
      <c r="C786" s="0" t="n">
        <v>0.723973055466094</v>
      </c>
      <c r="D786" s="0" t="n">
        <f aca="false">A786/SUM($A786:$C786)</f>
        <v>0.277151825178301</v>
      </c>
      <c r="E786" s="0" t="n">
        <f aca="false">B786/SUM($A786:$C786)</f>
        <v>0.395294886814468</v>
      </c>
      <c r="F786" s="0" t="n">
        <f aca="false">C786/SUM($A786:$C786)</f>
        <v>0.327553288007231</v>
      </c>
      <c r="G786" s="0" t="n">
        <f aca="false">SUMPRODUCT(D786:F786,Stats!$B$6:$D$6)</f>
        <v>0.37019630469029</v>
      </c>
      <c r="H786" s="0" t="n">
        <f aca="false">SQRT(SUMPRODUCT(MMULT(D786:F786,Stats!$B$12:$D$14),D786:F786))</f>
        <v>0.228498292092344</v>
      </c>
      <c r="I786" s="0" t="n">
        <f aca="false">(G786-Stats!$B$2)/H786</f>
        <v>1.43631841483373</v>
      </c>
    </row>
    <row r="787" customFormat="false" ht="15" hidden="false" customHeight="false" outlineLevel="0" collapsed="false">
      <c r="A787" s="0" t="n">
        <v>0.12055841640369</v>
      </c>
      <c r="B787" s="0" t="n">
        <v>0.902453307285842</v>
      </c>
      <c r="C787" s="0" t="n">
        <v>0.0664438443557749</v>
      </c>
      <c r="D787" s="0" t="n">
        <f aca="false">A787/SUM($A787:$C787)</f>
        <v>0.1106593237391</v>
      </c>
      <c r="E787" s="0" t="n">
        <f aca="false">B787/SUM($A787:$C787)</f>
        <v>0.828352558613305</v>
      </c>
      <c r="F787" s="0" t="n">
        <f aca="false">C787/SUM($A787:$C787)</f>
        <v>0.0609881176475953</v>
      </c>
      <c r="G787" s="0" t="n">
        <f aca="false">SUMPRODUCT(D787:F787,Stats!$B$6:$D$6)</f>
        <v>0.40246431467633</v>
      </c>
      <c r="H787" s="0" t="n">
        <f aca="false">SQRT(SUMPRODUCT(MMULT(D787:F787,Stats!$B$12:$D$14),D787:F787))</f>
        <v>0.244166799512367</v>
      </c>
      <c r="I787" s="0" t="n">
        <f aca="false">(G787-Stats!$B$2)/H787</f>
        <v>1.47630355722491</v>
      </c>
    </row>
    <row r="788" customFormat="false" ht="15" hidden="false" customHeight="false" outlineLevel="0" collapsed="false">
      <c r="A788" s="0" t="n">
        <v>0.533967472547764</v>
      </c>
      <c r="B788" s="0" t="n">
        <v>0.142137123793458</v>
      </c>
      <c r="C788" s="0" t="n">
        <v>0.0117066107309041</v>
      </c>
      <c r="D788" s="0" t="n">
        <f aca="false">A788/SUM($A788:$C788)</f>
        <v>0.77632854343964</v>
      </c>
      <c r="E788" s="0" t="n">
        <f aca="false">B788/SUM($A788:$C788)</f>
        <v>0.206651363531145</v>
      </c>
      <c r="F788" s="0" t="n">
        <f aca="false">C788/SUM($A788:$C788)</f>
        <v>0.0170200930292148</v>
      </c>
      <c r="G788" s="0" t="n">
        <f aca="false">SUMPRODUCT(D788:F788,Stats!$B$6:$D$6)</f>
        <v>0.367904833931274</v>
      </c>
      <c r="H788" s="0" t="n">
        <f aca="false">SQRT(SUMPRODUCT(MMULT(D788:F788,Stats!$B$12:$D$14),D788:F788))</f>
        <v>0.227457948627347</v>
      </c>
      <c r="I788" s="0" t="n">
        <f aca="false">(G788-Stats!$B$2)/H788</f>
        <v>1.43281356355331</v>
      </c>
    </row>
    <row r="789" customFormat="false" ht="15" hidden="false" customHeight="false" outlineLevel="0" collapsed="false">
      <c r="A789" s="0" t="n">
        <v>0.422034260127639</v>
      </c>
      <c r="B789" s="0" t="n">
        <v>0.295040707654156</v>
      </c>
      <c r="C789" s="0" t="n">
        <v>0.486000493797603</v>
      </c>
      <c r="D789" s="0" t="n">
        <f aca="false">A789/SUM($A789:$C789)</f>
        <v>0.350796166662391</v>
      </c>
      <c r="E789" s="0" t="n">
        <f aca="false">B789/SUM($A789:$C789)</f>
        <v>0.24523873778194</v>
      </c>
      <c r="F789" s="0" t="n">
        <f aca="false">C789/SUM($A789:$C789)</f>
        <v>0.40396509555567</v>
      </c>
      <c r="G789" s="0" t="n">
        <f aca="false">SUMPRODUCT(D789:F789,Stats!$B$6:$D$6)</f>
        <v>0.35945524188521</v>
      </c>
      <c r="H789" s="0" t="n">
        <f aca="false">SQRT(SUMPRODUCT(MMULT(D789:F789,Stats!$B$12:$D$14),D789:F789))</f>
        <v>0.225620267145351</v>
      </c>
      <c r="I789" s="0" t="n">
        <f aca="false">(G789-Stats!$B$2)/H789</f>
        <v>1.40703335698426</v>
      </c>
    </row>
    <row r="790" customFormat="false" ht="15" hidden="false" customHeight="false" outlineLevel="0" collapsed="false">
      <c r="A790" s="0" t="n">
        <v>0.577199886734551</v>
      </c>
      <c r="B790" s="0" t="n">
        <v>0.0437390723089474</v>
      </c>
      <c r="C790" s="0" t="n">
        <v>0.123003295123746</v>
      </c>
      <c r="D790" s="0" t="n">
        <f aca="false">A790/SUM($A790:$C790)</f>
        <v>0.775866518538671</v>
      </c>
      <c r="E790" s="0" t="n">
        <f aca="false">B790/SUM($A790:$C790)</f>
        <v>0.0587936389739122</v>
      </c>
      <c r="F790" s="0" t="n">
        <f aca="false">C790/SUM($A790:$C790)</f>
        <v>0.165339842487416</v>
      </c>
      <c r="G790" s="0" t="n">
        <f aca="false">SUMPRODUCT(D790:F790,Stats!$B$6:$D$6)</f>
        <v>0.355307431784224</v>
      </c>
      <c r="H790" s="0" t="n">
        <f aca="false">SQRT(SUMPRODUCT(MMULT(D790:F790,Stats!$B$12:$D$14),D790:F790))</f>
        <v>0.223751510466201</v>
      </c>
      <c r="I790" s="0" t="n">
        <f aca="false">(G790-Stats!$B$2)/H790</f>
        <v>1.4002472257346</v>
      </c>
    </row>
    <row r="791" customFormat="false" ht="15" hidden="false" customHeight="false" outlineLevel="0" collapsed="false">
      <c r="A791" s="0" t="n">
        <v>0.558642396450425</v>
      </c>
      <c r="B791" s="0" t="n">
        <v>0.343167353172658</v>
      </c>
      <c r="C791" s="0" t="n">
        <v>0.729173487549448</v>
      </c>
      <c r="D791" s="0" t="n">
        <f aca="false">A791/SUM($A791:$C791)</f>
        <v>0.342518784815279</v>
      </c>
      <c r="E791" s="0" t="n">
        <f aca="false">B791/SUM($A791:$C791)</f>
        <v>0.210405199361566</v>
      </c>
      <c r="F791" s="0" t="n">
        <f aca="false">C791/SUM($A791:$C791)</f>
        <v>0.447076015823156</v>
      </c>
      <c r="G791" s="0" t="n">
        <f aca="false">SUMPRODUCT(D791:F791,Stats!$B$6:$D$6)</f>
        <v>0.356262198123624</v>
      </c>
      <c r="H791" s="0" t="n">
        <f aca="false">SQRT(SUMPRODUCT(MMULT(D791:F791,Stats!$B$12:$D$14),D791:F791))</f>
        <v>0.22611303969797</v>
      </c>
      <c r="I791" s="0" t="n">
        <f aca="false">(G791-Stats!$B$2)/H791</f>
        <v>1.38984553276272</v>
      </c>
    </row>
    <row r="792" customFormat="false" ht="15" hidden="false" customHeight="false" outlineLevel="0" collapsed="false">
      <c r="A792" s="0" t="n">
        <v>0.65229164859194</v>
      </c>
      <c r="B792" s="0" t="n">
        <v>0.845604362989907</v>
      </c>
      <c r="C792" s="0" t="n">
        <v>0.692492826669225</v>
      </c>
      <c r="D792" s="0" t="n">
        <f aca="false">A792/SUM($A792:$C792)</f>
        <v>0.297797193448432</v>
      </c>
      <c r="E792" s="0" t="n">
        <f aca="false">B792/SUM($A792:$C792)</f>
        <v>0.386052169470095</v>
      </c>
      <c r="F792" s="0" t="n">
        <f aca="false">C792/SUM($A792:$C792)</f>
        <v>0.316150637081474</v>
      </c>
      <c r="G792" s="0" t="n">
        <f aca="false">SUMPRODUCT(D792:F792,Stats!$B$6:$D$6)</f>
        <v>0.369978914410497</v>
      </c>
      <c r="H792" s="0" t="n">
        <f aca="false">SQRT(SUMPRODUCT(MMULT(D792:F792,Stats!$B$12:$D$14),D792:F792))</f>
        <v>0.227762724089016</v>
      </c>
      <c r="I792" s="0" t="n">
        <f aca="false">(G792-Stats!$B$2)/H792</f>
        <v>1.44000259797698</v>
      </c>
    </row>
    <row r="793" customFormat="false" ht="15" hidden="false" customHeight="false" outlineLevel="0" collapsed="false">
      <c r="A793" s="0" t="n">
        <v>0.429931077390148</v>
      </c>
      <c r="B793" s="0" t="n">
        <v>0.672966622394432</v>
      </c>
      <c r="C793" s="0" t="n">
        <v>0.275381174255419</v>
      </c>
      <c r="D793" s="0" t="n">
        <f aca="false">A793/SUM($A793:$C793)</f>
        <v>0.311933299920602</v>
      </c>
      <c r="E793" s="0" t="n">
        <f aca="false">B793/SUM($A793:$C793)</f>
        <v>0.488265934470749</v>
      </c>
      <c r="F793" s="0" t="n">
        <f aca="false">C793/SUM($A793:$C793)</f>
        <v>0.199800765608649</v>
      </c>
      <c r="G793" s="0" t="n">
        <f aca="false">SUMPRODUCT(D793:F793,Stats!$B$6:$D$6)</f>
        <v>0.379068465111297</v>
      </c>
      <c r="H793" s="0" t="n">
        <f aca="false">SQRT(SUMPRODUCT(MMULT(D793:F793,Stats!$B$12:$D$14),D793:F793))</f>
        <v>0.229063944442891</v>
      </c>
      <c r="I793" s="0" t="n">
        <f aca="false">(G793-Stats!$B$2)/H793</f>
        <v>1.47150380183614</v>
      </c>
    </row>
    <row r="794" customFormat="false" ht="15" hidden="false" customHeight="false" outlineLevel="0" collapsed="false">
      <c r="A794" s="0" t="n">
        <v>0.306313498778213</v>
      </c>
      <c r="B794" s="0" t="n">
        <v>0.788985159920793</v>
      </c>
      <c r="C794" s="0" t="n">
        <v>0.446419516401582</v>
      </c>
      <c r="D794" s="0" t="n">
        <f aca="false">A794/SUM($A794:$C794)</f>
        <v>0.198683198865595</v>
      </c>
      <c r="E794" s="0" t="n">
        <f aca="false">B794/SUM($A794:$C794)</f>
        <v>0.511757059534773</v>
      </c>
      <c r="F794" s="0" t="n">
        <f aca="false">C794/SUM($A794:$C794)</f>
        <v>0.289559741599632</v>
      </c>
      <c r="G794" s="0" t="n">
        <f aca="false">SUMPRODUCT(D794:F794,Stats!$B$6:$D$6)</f>
        <v>0.377945044803679</v>
      </c>
      <c r="H794" s="0" t="n">
        <f aca="false">SQRT(SUMPRODUCT(MMULT(D794:F794,Stats!$B$12:$D$14),D794:F794))</f>
        <v>0.232563737339736</v>
      </c>
      <c r="I794" s="0" t="n">
        <f aca="false">(G794-Stats!$B$2)/H794</f>
        <v>1.44452892203448</v>
      </c>
    </row>
    <row r="795" customFormat="false" ht="15" hidden="false" customHeight="false" outlineLevel="0" collapsed="false">
      <c r="A795" s="0" t="n">
        <v>0.798380340518353</v>
      </c>
      <c r="B795" s="0" t="n">
        <v>0.822422373668278</v>
      </c>
      <c r="C795" s="0" t="n">
        <v>0.857562337661284</v>
      </c>
      <c r="D795" s="0" t="n">
        <f aca="false">A795/SUM($A795:$C795)</f>
        <v>0.322139928467384</v>
      </c>
      <c r="E795" s="0" t="n">
        <f aca="false">B795/SUM($A795:$C795)</f>
        <v>0.331840691933202</v>
      </c>
      <c r="F795" s="0" t="n">
        <f aca="false">C795/SUM($A795:$C795)</f>
        <v>0.346019379599414</v>
      </c>
      <c r="G795" s="0" t="n">
        <f aca="false">SUMPRODUCT(D795:F795,Stats!$B$6:$D$6)</f>
        <v>0.366036037070757</v>
      </c>
      <c r="H795" s="0" t="n">
        <f aca="false">SQRT(SUMPRODUCT(MMULT(D795:F795,Stats!$B$12:$D$14),D795:F795))</f>
        <v>0.226636852447768</v>
      </c>
      <c r="I795" s="0" t="n">
        <f aca="false">(G795-Stats!$B$2)/H795</f>
        <v>1.42975881270429</v>
      </c>
    </row>
    <row r="796" customFormat="false" ht="15" hidden="false" customHeight="false" outlineLevel="0" collapsed="false">
      <c r="A796" s="0" t="n">
        <v>0.916635235841207</v>
      </c>
      <c r="B796" s="0" t="n">
        <v>0.430985220513296</v>
      </c>
      <c r="C796" s="0" t="n">
        <v>0.318866818321139</v>
      </c>
      <c r="D796" s="0" t="n">
        <f aca="false">A796/SUM($A796:$C796)</f>
        <v>0.550040345204326</v>
      </c>
      <c r="E796" s="0" t="n">
        <f aca="false">B796/SUM($A796:$C796)</f>
        <v>0.258618968811017</v>
      </c>
      <c r="F796" s="0" t="n">
        <f aca="false">C796/SUM($A796:$C796)</f>
        <v>0.191340685984657</v>
      </c>
      <c r="G796" s="0" t="n">
        <f aca="false">SUMPRODUCT(D796:F796,Stats!$B$6:$D$6)</f>
        <v>0.366088159375202</v>
      </c>
      <c r="H796" s="0" t="n">
        <f aca="false">SQRT(SUMPRODUCT(MMULT(D796:F796,Stats!$B$12:$D$14),D796:F796))</f>
        <v>0.222950403130603</v>
      </c>
      <c r="I796" s="0" t="n">
        <f aca="false">(G796-Stats!$B$2)/H796</f>
        <v>1.45363343068437</v>
      </c>
    </row>
    <row r="797" customFormat="false" ht="15" hidden="false" customHeight="false" outlineLevel="0" collapsed="false">
      <c r="A797" s="0" t="n">
        <v>0.582198746594114</v>
      </c>
      <c r="B797" s="0" t="n">
        <v>0.371172423437628</v>
      </c>
      <c r="C797" s="0" t="n">
        <v>0.601074166800233</v>
      </c>
      <c r="D797" s="0" t="n">
        <f aca="false">A797/SUM($A797:$C797)</f>
        <v>0.374537935042901</v>
      </c>
      <c r="E797" s="0" t="n">
        <f aca="false">B797/SUM($A797:$C797)</f>
        <v>0.238781264701204</v>
      </c>
      <c r="F797" s="0" t="n">
        <f aca="false">C797/SUM($A797:$C797)</f>
        <v>0.386680800255896</v>
      </c>
      <c r="G797" s="0" t="n">
        <f aca="false">SUMPRODUCT(D797:F797,Stats!$B$6:$D$6)</f>
        <v>0.35956029503689</v>
      </c>
      <c r="H797" s="0" t="n">
        <f aca="false">SQRT(SUMPRODUCT(MMULT(D797:F797,Stats!$B$12:$D$14),D797:F797))</f>
        <v>0.224873821672149</v>
      </c>
      <c r="I797" s="0" t="n">
        <f aca="false">(G797-Stats!$B$2)/H797</f>
        <v>1.41217102406821</v>
      </c>
    </row>
    <row r="798" customFormat="false" ht="15" hidden="false" customHeight="false" outlineLevel="0" collapsed="false">
      <c r="A798" s="0" t="n">
        <v>0.705585862643825</v>
      </c>
      <c r="B798" s="0" t="n">
        <v>0.688405018492137</v>
      </c>
      <c r="C798" s="0" t="n">
        <v>0.374552887020121</v>
      </c>
      <c r="D798" s="0" t="n">
        <f aca="false">A798/SUM($A798:$C798)</f>
        <v>0.398964320447371</v>
      </c>
      <c r="E798" s="0" t="n">
        <f aca="false">B798/SUM($A798:$C798)</f>
        <v>0.389249636275545</v>
      </c>
      <c r="F798" s="0" t="n">
        <f aca="false">C798/SUM($A798:$C798)</f>
        <v>0.211786043277084</v>
      </c>
      <c r="G798" s="0" t="n">
        <f aca="false">SUMPRODUCT(D798:F798,Stats!$B$6:$D$6)</f>
        <v>0.373040706045505</v>
      </c>
      <c r="H798" s="0" t="n">
        <f aca="false">SQRT(SUMPRODUCT(MMULT(D798:F798,Stats!$B$12:$D$14),D798:F798))</f>
        <v>0.225747641052808</v>
      </c>
      <c r="I798" s="0" t="n">
        <f aca="false">(G798-Stats!$B$2)/H798</f>
        <v>1.46641933666127</v>
      </c>
    </row>
    <row r="799" customFormat="false" ht="15" hidden="false" customHeight="false" outlineLevel="0" collapsed="false">
      <c r="A799" s="0" t="n">
        <v>0.166860201698753</v>
      </c>
      <c r="B799" s="0" t="n">
        <v>0.430529338462208</v>
      </c>
      <c r="C799" s="0" t="n">
        <v>0.142594144081909</v>
      </c>
      <c r="D799" s="0" t="n">
        <f aca="false">A799/SUM($A799:$C799)</f>
        <v>0.225491730766307</v>
      </c>
      <c r="E799" s="0" t="n">
        <f aca="false">B799/SUM($A799:$C799)</f>
        <v>0.581809231243677</v>
      </c>
      <c r="F799" s="0" t="n">
        <f aca="false">C799/SUM($A799:$C799)</f>
        <v>0.192699037990016</v>
      </c>
      <c r="G799" s="0" t="n">
        <f aca="false">SUMPRODUCT(D799:F799,Stats!$B$6:$D$6)</f>
        <v>0.384646652744507</v>
      </c>
      <c r="H799" s="0" t="n">
        <f aca="false">SQRT(SUMPRODUCT(MMULT(D799:F799,Stats!$B$12:$D$14),D799:F799))</f>
        <v>0.233145727830945</v>
      </c>
      <c r="I799" s="0" t="n">
        <f aca="false">(G799-Stats!$B$2)/H799</f>
        <v>1.46966730178715</v>
      </c>
    </row>
    <row r="800" customFormat="false" ht="15" hidden="false" customHeight="false" outlineLevel="0" collapsed="false">
      <c r="A800" s="0" t="n">
        <v>0.890097035183808</v>
      </c>
      <c r="B800" s="0" t="n">
        <v>0.345877460737857</v>
      </c>
      <c r="C800" s="0" t="n">
        <v>0.154459747223324</v>
      </c>
      <c r="D800" s="0" t="n">
        <f aca="false">A800/SUM($A800:$C800)</f>
        <v>0.640157590746988</v>
      </c>
      <c r="E800" s="0" t="n">
        <f aca="false">B800/SUM($A800:$C800)</f>
        <v>0.248754993228249</v>
      </c>
      <c r="F800" s="0" t="n">
        <f aca="false">C800/SUM($A800:$C800)</f>
        <v>0.111087416024763</v>
      </c>
      <c r="G800" s="0" t="n">
        <f aca="false">SUMPRODUCT(D800:F800,Stats!$B$6:$D$6)</f>
        <v>0.367733552038977</v>
      </c>
      <c r="H800" s="0" t="n">
        <f aca="false">SQRT(SUMPRODUCT(MMULT(D800:F800,Stats!$B$12:$D$14),D800:F800))</f>
        <v>0.224062398452472</v>
      </c>
      <c r="I800" s="0" t="n">
        <f aca="false">(G800-Stats!$B$2)/H800</f>
        <v>1.45376267632907</v>
      </c>
    </row>
    <row r="801" customFormat="false" ht="15" hidden="false" customHeight="false" outlineLevel="0" collapsed="false">
      <c r="A801" s="0" t="n">
        <v>0.0254477599057509</v>
      </c>
      <c r="B801" s="0" t="n">
        <v>0.645822386286484</v>
      </c>
      <c r="C801" s="0" t="n">
        <v>0.636902317454743</v>
      </c>
      <c r="D801" s="0" t="n">
        <f aca="false">A801/SUM($A801:$C801)</f>
        <v>0.019452909010794</v>
      </c>
      <c r="E801" s="0" t="n">
        <f aca="false">B801/SUM($A801:$C801)</f>
        <v>0.493682908204652</v>
      </c>
      <c r="F801" s="0" t="n">
        <f aca="false">C801/SUM($A801:$C801)</f>
        <v>0.486864182784554</v>
      </c>
      <c r="G801" s="0" t="n">
        <f aca="false">SUMPRODUCT(D801:F801,Stats!$B$6:$D$6)</f>
        <v>0.371464487450664</v>
      </c>
      <c r="H801" s="0" t="n">
        <f aca="false">SQRT(SUMPRODUCT(MMULT(D801:F801,Stats!$B$12:$D$14),D801:F801))</f>
        <v>0.242018752318011</v>
      </c>
      <c r="I801" s="0" t="n">
        <f aca="false">(G801-Stats!$B$2)/H801</f>
        <v>1.36131801480304</v>
      </c>
    </row>
    <row r="802" customFormat="false" ht="15" hidden="false" customHeight="false" outlineLevel="0" collapsed="false">
      <c r="A802" s="0" t="n">
        <v>0.340604166581292</v>
      </c>
      <c r="B802" s="0" t="n">
        <v>0.071711888847651</v>
      </c>
      <c r="C802" s="0" t="n">
        <v>0.409628894895232</v>
      </c>
      <c r="D802" s="0" t="n">
        <f aca="false">A802/SUM($A802:$C802)</f>
        <v>0.414388051714361</v>
      </c>
      <c r="E802" s="0" t="n">
        <f aca="false">B802/SUM($A802:$C802)</f>
        <v>0.087246583629923</v>
      </c>
      <c r="F802" s="0" t="n">
        <f aca="false">C802/SUM($A802:$C802)</f>
        <v>0.498365364655716</v>
      </c>
      <c r="G802" s="0" t="n">
        <f aca="false">SUMPRODUCT(D802:F802,Stats!$B$6:$D$6)</f>
        <v>0.347761526708365</v>
      </c>
      <c r="H802" s="0" t="n">
        <f aca="false">SQRT(SUMPRODUCT(MMULT(D802:F802,Stats!$B$12:$D$14),D802:F802))</f>
        <v>0.224869806242812</v>
      </c>
      <c r="I802" s="0" t="n">
        <f aca="false">(G802-Stats!$B$2)/H802</f>
        <v>1.35972690961546</v>
      </c>
    </row>
    <row r="803" customFormat="false" ht="15" hidden="false" customHeight="false" outlineLevel="0" collapsed="false">
      <c r="A803" s="0" t="n">
        <v>0.311217495063394</v>
      </c>
      <c r="B803" s="0" t="n">
        <v>0.677120639735009</v>
      </c>
      <c r="C803" s="0" t="n">
        <v>0.60577924945269</v>
      </c>
      <c r="D803" s="0" t="n">
        <f aca="false">A803/SUM($A803:$C803)</f>
        <v>0.195228719125726</v>
      </c>
      <c r="E803" s="0" t="n">
        <f aca="false">B803/SUM($A803:$C803)</f>
        <v>0.424762094952698</v>
      </c>
      <c r="F803" s="0" t="n">
        <f aca="false">C803/SUM($A803:$C803)</f>
        <v>0.380009185921576</v>
      </c>
      <c r="G803" s="0" t="n">
        <f aca="false">SUMPRODUCT(D803:F803,Stats!$B$6:$D$6)</f>
        <v>0.370445358498513</v>
      </c>
      <c r="H803" s="0" t="n">
        <f aca="false">SQRT(SUMPRODUCT(MMULT(D803:F803,Stats!$B$12:$D$14),D803:F803))</f>
        <v>0.231905317048061</v>
      </c>
      <c r="I803" s="0" t="n">
        <f aca="false">(G803-Stats!$B$2)/H803</f>
        <v>1.41629076331374</v>
      </c>
    </row>
    <row r="804" customFormat="false" ht="15" hidden="false" customHeight="false" outlineLevel="0" collapsed="false">
      <c r="A804" s="0" t="n">
        <v>0.36459372819754</v>
      </c>
      <c r="B804" s="0" t="n">
        <v>0.21789255425499</v>
      </c>
      <c r="C804" s="0" t="n">
        <v>0.988035966155592</v>
      </c>
      <c r="D804" s="0" t="n">
        <f aca="false">A804/SUM($A804:$C804)</f>
        <v>0.232148082283242</v>
      </c>
      <c r="E804" s="0" t="n">
        <f aca="false">B804/SUM($A804:$C804)</f>
        <v>0.13873891595493</v>
      </c>
      <c r="F804" s="0" t="n">
        <f aca="false">C804/SUM($A804:$C804)</f>
        <v>0.629113001761828</v>
      </c>
      <c r="G804" s="0" t="n">
        <f aca="false">SUMPRODUCT(D804:F804,Stats!$B$6:$D$6)</f>
        <v>0.347119013060108</v>
      </c>
      <c r="H804" s="0" t="n">
        <f aca="false">SQRT(SUMPRODUCT(MMULT(D804:F804,Stats!$B$12:$D$14),D804:F804))</f>
        <v>0.233155890856705</v>
      </c>
      <c r="I804" s="0" t="n">
        <f aca="false">(G804-Stats!$B$2)/H804</f>
        <v>1.30864809779836</v>
      </c>
    </row>
    <row r="805" customFormat="false" ht="15" hidden="false" customHeight="false" outlineLevel="0" collapsed="false">
      <c r="A805" s="0" t="n">
        <v>0.454001621196115</v>
      </c>
      <c r="B805" s="0" t="n">
        <v>0.688274235780237</v>
      </c>
      <c r="C805" s="0" t="n">
        <v>0.140552967578361</v>
      </c>
      <c r="D805" s="0" t="n">
        <f aca="false">A805/SUM($A805:$C805)</f>
        <v>0.353906626126603</v>
      </c>
      <c r="E805" s="0" t="n">
        <f aca="false">B805/SUM($A805:$C805)</f>
        <v>0.536528508407306</v>
      </c>
      <c r="F805" s="0" t="n">
        <f aca="false">C805/SUM($A805:$C805)</f>
        <v>0.109564865466091</v>
      </c>
      <c r="G805" s="0" t="n">
        <f aca="false">SUMPRODUCT(D805:F805,Stats!$B$6:$D$6)</f>
        <v>0.384333651390459</v>
      </c>
      <c r="H805" s="0" t="n">
        <f aca="false">SQRT(SUMPRODUCT(MMULT(D805:F805,Stats!$B$12:$D$14),D805:F805))</f>
        <v>0.229940418144059</v>
      </c>
      <c r="I805" s="0" t="n">
        <f aca="false">(G805-Stats!$B$2)/H805</f>
        <v>1.48879285405137</v>
      </c>
    </row>
    <row r="806" customFormat="false" ht="15" hidden="false" customHeight="false" outlineLevel="0" collapsed="false">
      <c r="A806" s="0" t="n">
        <v>0.485589699659398</v>
      </c>
      <c r="B806" s="0" t="n">
        <v>0.0275367198694655</v>
      </c>
      <c r="C806" s="0" t="n">
        <v>0.50545511791045</v>
      </c>
      <c r="D806" s="0" t="n">
        <f aca="false">A806/SUM($A806:$C806)</f>
        <v>0.47673129917528</v>
      </c>
      <c r="E806" s="0" t="n">
        <f aca="false">B806/SUM($A806:$C806)</f>
        <v>0.0270343795340058</v>
      </c>
      <c r="F806" s="0" t="n">
        <f aca="false">C806/SUM($A806:$C806)</f>
        <v>0.496234321290714</v>
      </c>
      <c r="G806" s="0" t="n">
        <f aca="false">SUMPRODUCT(D806:F806,Stats!$B$6:$D$6)</f>
        <v>0.344355757116964</v>
      </c>
      <c r="H806" s="0" t="n">
        <f aca="false">SQRT(SUMPRODUCT(MMULT(D806:F806,Stats!$B$12:$D$14),D806:F806))</f>
        <v>0.223762458145895</v>
      </c>
      <c r="I806" s="0" t="n">
        <f aca="false">(G806-Stats!$B$2)/H806</f>
        <v>1.35123541107966</v>
      </c>
    </row>
    <row r="807" customFormat="false" ht="15" hidden="false" customHeight="false" outlineLevel="0" collapsed="false">
      <c r="A807" s="0" t="n">
        <v>0.964017407117702</v>
      </c>
      <c r="B807" s="0" t="n">
        <v>0.3842067129858</v>
      </c>
      <c r="C807" s="0" t="n">
        <v>0.0389960125749116</v>
      </c>
      <c r="D807" s="0" t="n">
        <f aca="false">A807/SUM($A807:$C807)</f>
        <v>0.694927491613317</v>
      </c>
      <c r="E807" s="0" t="n">
        <f aca="false">B807/SUM($A807:$C807)</f>
        <v>0.276961603955374</v>
      </c>
      <c r="F807" s="0" t="n">
        <f aca="false">C807/SUM($A807:$C807)</f>
        <v>0.0281109044313096</v>
      </c>
      <c r="G807" s="0" t="n">
        <f aca="false">SUMPRODUCT(D807:F807,Stats!$B$6:$D$6)</f>
        <v>0.371644569305859</v>
      </c>
      <c r="H807" s="0" t="n">
        <f aca="false">SQRT(SUMPRODUCT(MMULT(D807:F807,Stats!$B$12:$D$14),D807:F807))</f>
        <v>0.226549087585639</v>
      </c>
      <c r="I807" s="0" t="n">
        <f aca="false">(G807-Stats!$B$2)/H807</f>
        <v>1.45506906613008</v>
      </c>
    </row>
    <row r="808" customFormat="false" ht="15" hidden="false" customHeight="false" outlineLevel="0" collapsed="false">
      <c r="A808" s="0" t="n">
        <v>0.0309557909193435</v>
      </c>
      <c r="B808" s="0" t="n">
        <v>0.38798675994687</v>
      </c>
      <c r="C808" s="0" t="n">
        <v>0.160024936463194</v>
      </c>
      <c r="D808" s="0" t="n">
        <f aca="false">A808/SUM($A808:$C808)</f>
        <v>0.053467235374706</v>
      </c>
      <c r="E808" s="0" t="n">
        <f aca="false">B808/SUM($A808:$C808)</f>
        <v>0.670135661220856</v>
      </c>
      <c r="F808" s="0" t="n">
        <f aca="false">C808/SUM($A808:$C808)</f>
        <v>0.276397103404438</v>
      </c>
      <c r="G808" s="0" t="n">
        <f aca="false">SUMPRODUCT(D808:F808,Stats!$B$6:$D$6)</f>
        <v>0.387420899244899</v>
      </c>
      <c r="H808" s="0" t="n">
        <f aca="false">SQRT(SUMPRODUCT(MMULT(D808:F808,Stats!$B$12:$D$14),D808:F808))</f>
        <v>0.241308701963454</v>
      </c>
      <c r="I808" s="0" t="n">
        <f aca="false">(G808-Stats!$B$2)/H808</f>
        <v>1.43144816757256</v>
      </c>
    </row>
    <row r="809" customFormat="false" ht="15" hidden="false" customHeight="false" outlineLevel="0" collapsed="false">
      <c r="A809" s="0" t="n">
        <v>0.0233520963281859</v>
      </c>
      <c r="B809" s="0" t="n">
        <v>0.756213613950177</v>
      </c>
      <c r="C809" s="0" t="n">
        <v>0.458523008881891</v>
      </c>
      <c r="D809" s="0" t="n">
        <f aca="false">A809/SUM($A809:$C809)</f>
        <v>0.0188614078836165</v>
      </c>
      <c r="E809" s="0" t="n">
        <f aca="false">B809/SUM($A809:$C809)</f>
        <v>0.610791134954437</v>
      </c>
      <c r="F809" s="0" t="n">
        <f aca="false">C809/SUM($A809:$C809)</f>
        <v>0.370347457161946</v>
      </c>
      <c r="G809" s="0" t="n">
        <f aca="false">SUMPRODUCT(D809:F809,Stats!$B$6:$D$6)</f>
        <v>0.381415647141989</v>
      </c>
      <c r="H809" s="0" t="n">
        <f aca="false">SQRT(SUMPRODUCT(MMULT(D809:F809,Stats!$B$12:$D$14),D809:F809))</f>
        <v>0.242314706877404</v>
      </c>
      <c r="I809" s="0" t="n">
        <f aca="false">(G809-Stats!$B$2)/H809</f>
        <v>1.40072243866614</v>
      </c>
    </row>
    <row r="810" customFormat="false" ht="15" hidden="false" customHeight="false" outlineLevel="0" collapsed="false">
      <c r="A810" s="0" t="n">
        <v>0.289244771972655</v>
      </c>
      <c r="B810" s="0" t="n">
        <v>0.900083183016481</v>
      </c>
      <c r="C810" s="0" t="n">
        <v>0.116138960200526</v>
      </c>
      <c r="D810" s="0" t="n">
        <f aca="false">A810/SUM($A810:$C810)</f>
        <v>0.221564230090529</v>
      </c>
      <c r="E810" s="0" t="n">
        <f aca="false">B810/SUM($A810:$C810)</f>
        <v>0.689472228322014</v>
      </c>
      <c r="F810" s="0" t="n">
        <f aca="false">C810/SUM($A810:$C810)</f>
        <v>0.0889635415874578</v>
      </c>
      <c r="G810" s="0" t="n">
        <f aca="false">SUMPRODUCT(D810:F810,Stats!$B$6:$D$6)</f>
        <v>0.393701908665435</v>
      </c>
      <c r="H810" s="0" t="n">
        <f aca="false">SQRT(SUMPRODUCT(MMULT(D810:F810,Stats!$B$12:$D$14),D810:F810))</f>
        <v>0.23660675640072</v>
      </c>
      <c r="I810" s="0" t="n">
        <f aca="false">(G810-Stats!$B$2)/H810</f>
        <v>1.48644068333277</v>
      </c>
    </row>
    <row r="811" customFormat="false" ht="15" hidden="false" customHeight="false" outlineLevel="0" collapsed="false">
      <c r="A811" s="0" t="n">
        <v>0.955918828955319</v>
      </c>
      <c r="B811" s="0" t="n">
        <v>0.313966717377353</v>
      </c>
      <c r="C811" s="0" t="n">
        <v>0.888403672308681</v>
      </c>
      <c r="D811" s="0" t="n">
        <f aca="false">A811/SUM($A811:$C811)</f>
        <v>0.442905807386219</v>
      </c>
      <c r="E811" s="0" t="n">
        <f aca="false">B811/SUM($A811:$C811)</f>
        <v>0.145470178262298</v>
      </c>
      <c r="F811" s="0" t="n">
        <f aca="false">C811/SUM($A811:$C811)</f>
        <v>0.411624014351484</v>
      </c>
      <c r="G811" s="0" t="n">
        <f aca="false">SUMPRODUCT(D811:F811,Stats!$B$6:$D$6)</f>
        <v>0.35350349635835</v>
      </c>
      <c r="H811" s="0" t="n">
        <f aca="false">SQRT(SUMPRODUCT(MMULT(D811:F811,Stats!$B$12:$D$14),D811:F811))</f>
        <v>0.223312457653991</v>
      </c>
      <c r="I811" s="0" t="n">
        <f aca="false">(G811-Stats!$B$2)/H811</f>
        <v>1.39492216256473</v>
      </c>
    </row>
    <row r="812" customFormat="false" ht="15" hidden="false" customHeight="false" outlineLevel="0" collapsed="false">
      <c r="A812" s="0" t="n">
        <v>0.602942876479462</v>
      </c>
      <c r="B812" s="0" t="n">
        <v>0.826707359741488</v>
      </c>
      <c r="C812" s="0" t="n">
        <v>0.984013163210464</v>
      </c>
      <c r="D812" s="0" t="n">
        <f aca="false">A812/SUM($A812:$C812)</f>
        <v>0.249804043356458</v>
      </c>
      <c r="E812" s="0" t="n">
        <f aca="false">B812/SUM($A812:$C812)</f>
        <v>0.342511453724755</v>
      </c>
      <c r="F812" s="0" t="n">
        <f aca="false">C812/SUM($A812:$C812)</f>
        <v>0.407684502918787</v>
      </c>
      <c r="G812" s="0" t="n">
        <f aca="false">SUMPRODUCT(D812:F812,Stats!$B$6:$D$6)</f>
        <v>0.364949626835468</v>
      </c>
      <c r="H812" s="0" t="n">
        <f aca="false">SQRT(SUMPRODUCT(MMULT(D812:F812,Stats!$B$12:$D$14),D812:F812))</f>
        <v>0.229352663814862</v>
      </c>
      <c r="I812" s="0" t="n">
        <f aca="false">(G812-Stats!$B$2)/H812</f>
        <v>1.40809189421998</v>
      </c>
    </row>
    <row r="813" customFormat="false" ht="15" hidden="false" customHeight="false" outlineLevel="0" collapsed="false">
      <c r="A813" s="0" t="n">
        <v>0.288405437818746</v>
      </c>
      <c r="B813" s="0" t="n">
        <v>0.961135485407593</v>
      </c>
      <c r="C813" s="0" t="n">
        <v>0.38948189490242</v>
      </c>
      <c r="D813" s="0" t="n">
        <f aca="false">A813/SUM($A813:$C813)</f>
        <v>0.175961819828727</v>
      </c>
      <c r="E813" s="0" t="n">
        <f aca="false">B813/SUM($A813:$C813)</f>
        <v>0.586407629458694</v>
      </c>
      <c r="F813" s="0" t="n">
        <f aca="false">C813/SUM($A813:$C813)</f>
        <v>0.237630550712579</v>
      </c>
      <c r="G813" s="0" t="n">
        <f aca="false">SUMPRODUCT(D813:F813,Stats!$B$6:$D$6)</f>
        <v>0.383672269444453</v>
      </c>
      <c r="H813" s="0" t="n">
        <f aca="false">SQRT(SUMPRODUCT(MMULT(D813:F813,Stats!$B$12:$D$14),D813:F813))</f>
        <v>0.234689364856677</v>
      </c>
      <c r="I813" s="0" t="n">
        <f aca="false">(G813-Stats!$B$2)/H813</f>
        <v>1.45584896722146</v>
      </c>
    </row>
    <row r="814" customFormat="false" ht="15" hidden="false" customHeight="false" outlineLevel="0" collapsed="false">
      <c r="A814" s="0" t="n">
        <v>0.385511904736922</v>
      </c>
      <c r="B814" s="0" t="n">
        <v>0.340387104254506</v>
      </c>
      <c r="C814" s="0" t="n">
        <v>0.541407607347585</v>
      </c>
      <c r="D814" s="0" t="n">
        <f aca="false">A814/SUM($A814:$C814)</f>
        <v>0.304197815877097</v>
      </c>
      <c r="E814" s="0" t="n">
        <f aca="false">B814/SUM($A814:$C814)</f>
        <v>0.268590962807259</v>
      </c>
      <c r="F814" s="0" t="n">
        <f aca="false">C814/SUM($A814:$C814)</f>
        <v>0.427211221315643</v>
      </c>
      <c r="G814" s="0" t="n">
        <f aca="false">SUMPRODUCT(D814:F814,Stats!$B$6:$D$6)</f>
        <v>0.360157895712072</v>
      </c>
      <c r="H814" s="0" t="n">
        <f aca="false">SQRT(SUMPRODUCT(MMULT(D814:F814,Stats!$B$12:$D$14),D814:F814))</f>
        <v>0.227268477568731</v>
      </c>
      <c r="I814" s="0" t="n">
        <f aca="false">(G814-Stats!$B$2)/H814</f>
        <v>1.399920917831</v>
      </c>
    </row>
    <row r="815" customFormat="false" ht="15" hidden="false" customHeight="false" outlineLevel="0" collapsed="false">
      <c r="A815" s="0" t="n">
        <v>0.154145043178487</v>
      </c>
      <c r="B815" s="0" t="n">
        <v>0.553711485358011</v>
      </c>
      <c r="C815" s="0" t="n">
        <v>0.541704812410004</v>
      </c>
      <c r="D815" s="0" t="n">
        <f aca="false">A815/SUM($A815:$C815)</f>
        <v>0.123359324690477</v>
      </c>
      <c r="E815" s="0" t="n">
        <f aca="false">B815/SUM($A815:$C815)</f>
        <v>0.443124692813074</v>
      </c>
      <c r="F815" s="0" t="n">
        <f aca="false">C815/SUM($A815:$C815)</f>
        <v>0.43351598249645</v>
      </c>
      <c r="G815" s="0" t="n">
        <f aca="false">SUMPRODUCT(D815:F815,Stats!$B$6:$D$6)</f>
        <v>0.370026489277398</v>
      </c>
      <c r="H815" s="0" t="n">
        <f aca="false">SQRT(SUMPRODUCT(MMULT(D815:F815,Stats!$B$12:$D$14),D815:F815))</f>
        <v>0.23560361935077</v>
      </c>
      <c r="I815" s="0" t="n">
        <f aca="false">(G815-Stats!$B$2)/H815</f>
        <v>1.39228119746763</v>
      </c>
    </row>
    <row r="816" customFormat="false" ht="15" hidden="false" customHeight="false" outlineLevel="0" collapsed="false">
      <c r="A816" s="0" t="n">
        <v>0.76190181260487</v>
      </c>
      <c r="B816" s="0" t="n">
        <v>0.833649961937586</v>
      </c>
      <c r="C816" s="0" t="n">
        <v>0.440441350312424</v>
      </c>
      <c r="D816" s="0" t="n">
        <f aca="false">A816/SUM($A816:$C816)</f>
        <v>0.374216299310528</v>
      </c>
      <c r="E816" s="0" t="n">
        <f aca="false">B816/SUM($A816:$C816)</f>
        <v>0.409456177312488</v>
      </c>
      <c r="F816" s="0" t="n">
        <f aca="false">C816/SUM($A816:$C816)</f>
        <v>0.216327523376985</v>
      </c>
      <c r="G816" s="0" t="n">
        <f aca="false">SUMPRODUCT(D816:F816,Stats!$B$6:$D$6)</f>
        <v>0.374078134696947</v>
      </c>
      <c r="H816" s="0" t="n">
        <f aca="false">SQRT(SUMPRODUCT(MMULT(D816:F816,Stats!$B$12:$D$14),D816:F816))</f>
        <v>0.226435215036765</v>
      </c>
      <c r="I816" s="0" t="n">
        <f aca="false">(G816-Stats!$B$2)/H816</f>
        <v>1.4665481013765</v>
      </c>
    </row>
    <row r="817" customFormat="false" ht="15" hidden="false" customHeight="false" outlineLevel="0" collapsed="false">
      <c r="A817" s="0" t="n">
        <v>0.302333249351494</v>
      </c>
      <c r="B817" s="0" t="n">
        <v>0.259334897317095</v>
      </c>
      <c r="C817" s="0" t="n">
        <v>0.194623836704872</v>
      </c>
      <c r="D817" s="0" t="n">
        <f aca="false">A817/SUM($A817:$C817)</f>
        <v>0.39975731066582</v>
      </c>
      <c r="E817" s="0" t="n">
        <f aca="false">B817/SUM($A817:$C817)</f>
        <v>0.342903141932464</v>
      </c>
      <c r="F817" s="0" t="n">
        <f aca="false">C817/SUM($A817:$C817)</f>
        <v>0.257339547401715</v>
      </c>
      <c r="G817" s="0" t="n">
        <f aca="false">SUMPRODUCT(D817:F817,Stats!$B$6:$D$6)</f>
        <v>0.36911786839066</v>
      </c>
      <c r="H817" s="0" t="n">
        <f aca="false">SQRT(SUMPRODUCT(MMULT(D817:F817,Stats!$B$12:$D$14),D817:F817))</f>
        <v>0.224961046090373</v>
      </c>
      <c r="I817" s="0" t="n">
        <f aca="false">(G817-Stats!$B$2)/H817</f>
        <v>1.45410894052852</v>
      </c>
    </row>
    <row r="818" customFormat="false" ht="15" hidden="false" customHeight="false" outlineLevel="0" collapsed="false">
      <c r="A818" s="0" t="n">
        <v>0.0576475821990249</v>
      </c>
      <c r="B818" s="0" t="n">
        <v>0.342447978834713</v>
      </c>
      <c r="C818" s="0" t="n">
        <v>0.270247692130783</v>
      </c>
      <c r="D818" s="0" t="n">
        <f aca="false">A818/SUM($A818:$C818)</f>
        <v>0.0859971095806293</v>
      </c>
      <c r="E818" s="0" t="n">
        <f aca="false">B818/SUM($A818:$C818)</f>
        <v>0.510854666199895</v>
      </c>
      <c r="F818" s="0" t="n">
        <f aca="false">C818/SUM($A818:$C818)</f>
        <v>0.403148224219476</v>
      </c>
      <c r="G818" s="0" t="n">
        <f aca="false">SUMPRODUCT(D818:F818,Stats!$B$6:$D$6)</f>
        <v>0.37476096353932</v>
      </c>
      <c r="H818" s="0" t="n">
        <f aca="false">SQRT(SUMPRODUCT(MMULT(D818:F818,Stats!$B$12:$D$14),D818:F818))</f>
        <v>0.237813958281292</v>
      </c>
      <c r="I818" s="0" t="n">
        <f aca="false">(G818-Stats!$B$2)/H818</f>
        <v>1.39924908505885</v>
      </c>
    </row>
    <row r="819" customFormat="false" ht="15" hidden="false" customHeight="false" outlineLevel="0" collapsed="false">
      <c r="A819" s="0" t="n">
        <v>0.966417385866407</v>
      </c>
      <c r="B819" s="0" t="n">
        <v>0.557708826250044</v>
      </c>
      <c r="C819" s="0" t="n">
        <v>0.347277039030508</v>
      </c>
      <c r="D819" s="0" t="n">
        <f aca="false">A819/SUM($A819:$C819)</f>
        <v>0.516413223752872</v>
      </c>
      <c r="E819" s="0" t="n">
        <f aca="false">B819/SUM($A819:$C819)</f>
        <v>0.29801638204285</v>
      </c>
      <c r="F819" s="0" t="n">
        <f aca="false">C819/SUM($A819:$C819)</f>
        <v>0.185570394204277</v>
      </c>
      <c r="G819" s="0" t="n">
        <f aca="false">SUMPRODUCT(D819:F819,Stats!$B$6:$D$6)</f>
        <v>0.36851414911796</v>
      </c>
      <c r="H819" s="0" t="n">
        <f aca="false">SQRT(SUMPRODUCT(MMULT(D819:F819,Stats!$B$12:$D$14),D819:F819))</f>
        <v>0.223540751584669</v>
      </c>
      <c r="I819" s="0" t="n">
        <f aca="false">(G819-Stats!$B$2)/H819</f>
        <v>1.46064709366555</v>
      </c>
    </row>
    <row r="820" customFormat="false" ht="15" hidden="false" customHeight="false" outlineLevel="0" collapsed="false">
      <c r="A820" s="0" t="n">
        <v>0.580467600993696</v>
      </c>
      <c r="B820" s="0" t="n">
        <v>0.139196701345696</v>
      </c>
      <c r="C820" s="0" t="n">
        <v>0.444043749202203</v>
      </c>
      <c r="D820" s="0" t="n">
        <f aca="false">A820/SUM($A820:$C820)</f>
        <v>0.498808614604613</v>
      </c>
      <c r="E820" s="0" t="n">
        <f aca="false">B820/SUM($A820:$C820)</f>
        <v>0.119614796134905</v>
      </c>
      <c r="F820" s="0" t="n">
        <f aca="false">C820/SUM($A820:$C820)</f>
        <v>0.381576589260482</v>
      </c>
      <c r="G820" s="0" t="n">
        <f aca="false">SUMPRODUCT(D820:F820,Stats!$B$6:$D$6)</f>
        <v>0.352844357324743</v>
      </c>
      <c r="H820" s="0" t="n">
        <f aca="false">SQRT(SUMPRODUCT(MMULT(D820:F820,Stats!$B$12:$D$14),D820:F820))</f>
        <v>0.222223930641756</v>
      </c>
      <c r="I820" s="0" t="n">
        <f aca="false">(G820-Stats!$B$2)/H820</f>
        <v>1.39878885422943</v>
      </c>
    </row>
    <row r="821" customFormat="false" ht="15" hidden="false" customHeight="false" outlineLevel="0" collapsed="false">
      <c r="A821" s="0" t="n">
        <v>0.626234321421064</v>
      </c>
      <c r="B821" s="0" t="n">
        <v>0.488897831792451</v>
      </c>
      <c r="C821" s="0" t="n">
        <v>0.401778800654324</v>
      </c>
      <c r="D821" s="0" t="n">
        <f aca="false">A821/SUM($A821:$C821)</f>
        <v>0.412835255638628</v>
      </c>
      <c r="E821" s="0" t="n">
        <f aca="false">B821/SUM($A821:$C821)</f>
        <v>0.32229830666451</v>
      </c>
      <c r="F821" s="0" t="n">
        <f aca="false">C821/SUM($A821:$C821)</f>
        <v>0.264866437696862</v>
      </c>
      <c r="G821" s="0" t="n">
        <f aca="false">SUMPRODUCT(D821:F821,Stats!$B$6:$D$6)</f>
        <v>0.367724741732764</v>
      </c>
      <c r="H821" s="0" t="n">
        <f aca="false">SQRT(SUMPRODUCT(MMULT(D821:F821,Stats!$B$12:$D$14),D821:F821))</f>
        <v>0.22449513725862</v>
      </c>
      <c r="I821" s="0" t="n">
        <f aca="false">(G821-Stats!$B$2)/H821</f>
        <v>1.45092114559937</v>
      </c>
    </row>
    <row r="822" customFormat="false" ht="15" hidden="false" customHeight="false" outlineLevel="0" collapsed="false">
      <c r="A822" s="0" t="n">
        <v>0.993848388899698</v>
      </c>
      <c r="B822" s="0" t="n">
        <v>0.880314762148927</v>
      </c>
      <c r="C822" s="0" t="n">
        <v>0.62340595815944</v>
      </c>
      <c r="D822" s="0" t="n">
        <f aca="false">A822/SUM($A822:$C822)</f>
        <v>0.397926281693494</v>
      </c>
      <c r="E822" s="0" t="n">
        <f aca="false">B822/SUM($A822:$C822)</f>
        <v>0.352468629958375</v>
      </c>
      <c r="F822" s="0" t="n">
        <f aca="false">C822/SUM($A822:$C822)</f>
        <v>0.24960508834813</v>
      </c>
      <c r="G822" s="0" t="n">
        <f aca="false">SUMPRODUCT(D822:F822,Stats!$B$6:$D$6)</f>
        <v>0.369881528924876</v>
      </c>
      <c r="H822" s="0" t="n">
        <f aca="false">SQRT(SUMPRODUCT(MMULT(D822:F822,Stats!$B$12:$D$14),D822:F822))</f>
        <v>0.22512597135783</v>
      </c>
      <c r="I822" s="0" t="n">
        <f aca="false">(G822-Stats!$B$2)/H822</f>
        <v>1.45643582100849</v>
      </c>
    </row>
    <row r="823" customFormat="false" ht="15" hidden="false" customHeight="false" outlineLevel="0" collapsed="false">
      <c r="A823" s="0" t="n">
        <v>0.569377361182283</v>
      </c>
      <c r="B823" s="0" t="n">
        <v>0.620660479824584</v>
      </c>
      <c r="C823" s="0" t="n">
        <v>0.201312107822433</v>
      </c>
      <c r="D823" s="0" t="n">
        <f aca="false">A823/SUM($A823:$C823)</f>
        <v>0.409226565654</v>
      </c>
      <c r="E823" s="0" t="n">
        <f aca="false">B823/SUM($A823:$C823)</f>
        <v>0.446085099113143</v>
      </c>
      <c r="F823" s="0" t="n">
        <f aca="false">C823/SUM($A823:$C823)</f>
        <v>0.144688335232858</v>
      </c>
      <c r="G823" s="0" t="n">
        <f aca="false">SUMPRODUCT(D823:F823,Stats!$B$6:$D$6)</f>
        <v>0.378161138508665</v>
      </c>
      <c r="H823" s="0" t="n">
        <f aca="false">SQRT(SUMPRODUCT(MMULT(D823:F823,Stats!$B$12:$D$14),D823:F823))</f>
        <v>0.227014596509137</v>
      </c>
      <c r="I823" s="0" t="n">
        <f aca="false">(G823-Stats!$B$2)/H823</f>
        <v>1.48079085520448</v>
      </c>
    </row>
    <row r="824" customFormat="false" ht="15" hidden="false" customHeight="false" outlineLevel="0" collapsed="false">
      <c r="A824" s="0" t="n">
        <v>0.395137743264319</v>
      </c>
      <c r="B824" s="0" t="n">
        <v>0.0394595328908993</v>
      </c>
      <c r="C824" s="0" t="n">
        <v>0.475546037486827</v>
      </c>
      <c r="D824" s="0" t="n">
        <f aca="false">A824/SUM($A824:$C824)</f>
        <v>0.434148927253147</v>
      </c>
      <c r="E824" s="0" t="n">
        <f aca="false">B824/SUM($A824:$C824)</f>
        <v>0.0433552961379207</v>
      </c>
      <c r="F824" s="0" t="n">
        <f aca="false">C824/SUM($A824:$C824)</f>
        <v>0.522495776608932</v>
      </c>
      <c r="G824" s="0" t="n">
        <f aca="false">SUMPRODUCT(D824:F824,Stats!$B$6:$D$6)</f>
        <v>0.344570692004891</v>
      </c>
      <c r="H824" s="0" t="n">
        <f aca="false">SQRT(SUMPRODUCT(MMULT(D824:F824,Stats!$B$12:$D$14),D824:F824))</f>
        <v>0.224919492896088</v>
      </c>
      <c r="I824" s="0" t="n">
        <f aca="false">(G824-Stats!$B$2)/H824</f>
        <v>1.34523997057328</v>
      </c>
    </row>
    <row r="825" customFormat="false" ht="15" hidden="false" customHeight="false" outlineLevel="0" collapsed="false">
      <c r="A825" s="0" t="n">
        <v>0.543024583957663</v>
      </c>
      <c r="B825" s="0" t="n">
        <v>0.22774973610321</v>
      </c>
      <c r="C825" s="0" t="n">
        <v>0.964028847165514</v>
      </c>
      <c r="D825" s="0" t="n">
        <f aca="false">A825/SUM($A825:$C825)</f>
        <v>0.313017980492769</v>
      </c>
      <c r="E825" s="0" t="n">
        <f aca="false">B825/SUM($A825:$C825)</f>
        <v>0.13128275322862</v>
      </c>
      <c r="F825" s="0" t="n">
        <f aca="false">C825/SUM($A825:$C825)</f>
        <v>0.555699266278611</v>
      </c>
      <c r="G825" s="0" t="n">
        <f aca="false">SUMPRODUCT(D825:F825,Stats!$B$6:$D$6)</f>
        <v>0.348714350626702</v>
      </c>
      <c r="H825" s="0" t="n">
        <f aca="false">SQRT(SUMPRODUCT(MMULT(D825:F825,Stats!$B$12:$D$14),D825:F825))</f>
        <v>0.228581960347161</v>
      </c>
      <c r="I825" s="0" t="n">
        <f aca="false">(G825-Stats!$B$2)/H825</f>
        <v>1.34181345789876</v>
      </c>
    </row>
    <row r="826" customFormat="false" ht="15" hidden="false" customHeight="false" outlineLevel="0" collapsed="false">
      <c r="A826" s="0" t="n">
        <v>0.909454610937242</v>
      </c>
      <c r="B826" s="0" t="n">
        <v>0.722143235455906</v>
      </c>
      <c r="C826" s="0" t="n">
        <v>0.533386628765363</v>
      </c>
      <c r="D826" s="0" t="n">
        <f aca="false">A826/SUM($A826:$C826)</f>
        <v>0.420074426109063</v>
      </c>
      <c r="E826" s="0" t="n">
        <f aca="false">B826/SUM($A826:$C826)</f>
        <v>0.333555849356857</v>
      </c>
      <c r="F826" s="0" t="n">
        <f aca="false">C826/SUM($A826:$C826)</f>
        <v>0.24636972453408</v>
      </c>
      <c r="G826" s="0" t="n">
        <f aca="false">SUMPRODUCT(D826:F826,Stats!$B$6:$D$6)</f>
        <v>0.368882525920183</v>
      </c>
      <c r="H826" s="0" t="n">
        <f aca="false">SQRT(SUMPRODUCT(MMULT(D826:F826,Stats!$B$12:$D$14),D826:F826))</f>
        <v>0.224555522199623</v>
      </c>
      <c r="I826" s="0" t="n">
        <f aca="false">(G826-Stats!$B$2)/H826</f>
        <v>1.45568687297565</v>
      </c>
    </row>
    <row r="827" customFormat="false" ht="15" hidden="false" customHeight="false" outlineLevel="0" collapsed="false">
      <c r="A827" s="0" t="n">
        <v>0.869969159647685</v>
      </c>
      <c r="B827" s="0" t="n">
        <v>0.130652343823463</v>
      </c>
      <c r="C827" s="0" t="n">
        <v>0.790509794274885</v>
      </c>
      <c r="D827" s="0" t="n">
        <f aca="false">A827/SUM($A827:$C827)</f>
        <v>0.485709317202183</v>
      </c>
      <c r="E827" s="0" t="n">
        <f aca="false">B827/SUM($A827:$C827)</f>
        <v>0.0729440348610269</v>
      </c>
      <c r="F827" s="0" t="n">
        <f aca="false">C827/SUM($A827:$C827)</f>
        <v>0.441346647936791</v>
      </c>
      <c r="G827" s="0" t="n">
        <f aca="false">SUMPRODUCT(D827:F827,Stats!$B$6:$D$6)</f>
        <v>0.348510845746602</v>
      </c>
      <c r="H827" s="0" t="n">
        <f aca="false">SQRT(SUMPRODUCT(MMULT(D827:F827,Stats!$B$12:$D$14),D827:F827))</f>
        <v>0.222852768592224</v>
      </c>
      <c r="I827" s="0" t="n">
        <f aca="false">(G827-Stats!$B$2)/H827</f>
        <v>1.37539617606213</v>
      </c>
    </row>
    <row r="828" customFormat="false" ht="15" hidden="false" customHeight="false" outlineLevel="0" collapsed="false">
      <c r="A828" s="0" t="n">
        <v>0.124820813966848</v>
      </c>
      <c r="B828" s="0" t="n">
        <v>0.794210662549405</v>
      </c>
      <c r="C828" s="0" t="n">
        <v>0.275767568251357</v>
      </c>
      <c r="D828" s="0" t="n">
        <f aca="false">A828/SUM($A828:$C828)</f>
        <v>0.10447013203892</v>
      </c>
      <c r="E828" s="0" t="n">
        <f aca="false">B828/SUM($A828:$C828)</f>
        <v>0.664723215194636</v>
      </c>
      <c r="F828" s="0" t="n">
        <f aca="false">C828/SUM($A828:$C828)</f>
        <v>0.230806652766444</v>
      </c>
      <c r="G828" s="0" t="n">
        <f aca="false">SUMPRODUCT(D828:F828,Stats!$B$6:$D$6)</f>
        <v>0.388366613247075</v>
      </c>
      <c r="H828" s="0" t="n">
        <f aca="false">SQRT(SUMPRODUCT(MMULT(D828:F828,Stats!$B$12:$D$14),D828:F828))</f>
        <v>0.239004219096926</v>
      </c>
      <c r="I828" s="0" t="n">
        <f aca="false">(G828-Stats!$B$2)/H828</f>
        <v>1.44920710837581</v>
      </c>
    </row>
    <row r="829" customFormat="false" ht="15" hidden="false" customHeight="false" outlineLevel="0" collapsed="false">
      <c r="A829" s="0" t="n">
        <v>0.877090581018189</v>
      </c>
      <c r="B829" s="0" t="n">
        <v>0.944042093825398</v>
      </c>
      <c r="C829" s="0" t="n">
        <v>0.148795969405116</v>
      </c>
      <c r="D829" s="0" t="n">
        <f aca="false">A829/SUM($A829:$C829)</f>
        <v>0.445239772302868</v>
      </c>
      <c r="E829" s="0" t="n">
        <f aca="false">B829/SUM($A829:$C829)</f>
        <v>0.479226542840307</v>
      </c>
      <c r="F829" s="0" t="n">
        <f aca="false">C829/SUM($A829:$C829)</f>
        <v>0.0755336848568258</v>
      </c>
      <c r="G829" s="0" t="n">
        <f aca="false">SUMPRODUCT(D829:F829,Stats!$B$6:$D$6)</f>
        <v>0.381974967172437</v>
      </c>
      <c r="H829" s="0" t="n">
        <f aca="false">SQRT(SUMPRODUCT(MMULT(D829:F829,Stats!$B$12:$D$14),D829:F829))</f>
        <v>0.228128492614877</v>
      </c>
      <c r="I829" s="0" t="n">
        <f aca="false">(G829-Stats!$B$2)/H829</f>
        <v>1.4902784096609</v>
      </c>
    </row>
    <row r="830" customFormat="false" ht="15" hidden="false" customHeight="false" outlineLevel="0" collapsed="false">
      <c r="A830" s="0" t="n">
        <v>0.462675605065394</v>
      </c>
      <c r="B830" s="0" t="n">
        <v>0.980987378162685</v>
      </c>
      <c r="C830" s="0" t="n">
        <v>0.483407435973147</v>
      </c>
      <c r="D830" s="0" t="n">
        <f aca="false">A830/SUM($A830:$C830)</f>
        <v>0.240092733745129</v>
      </c>
      <c r="E830" s="0" t="n">
        <f aca="false">B830/SUM($A830:$C830)</f>
        <v>0.509056321132938</v>
      </c>
      <c r="F830" s="0" t="n">
        <f aca="false">C830/SUM($A830:$C830)</f>
        <v>0.250850945121933</v>
      </c>
      <c r="G830" s="0" t="n">
        <f aca="false">SUMPRODUCT(D830:F830,Stats!$B$6:$D$6)</f>
        <v>0.378857027986221</v>
      </c>
      <c r="H830" s="0" t="n">
        <f aca="false">SQRT(SUMPRODUCT(MMULT(D830:F830,Stats!$B$12:$D$14),D830:F830))</f>
        <v>0.231163201781581</v>
      </c>
      <c r="I830" s="0" t="n">
        <f aca="false">(G830-Stats!$B$2)/H830</f>
        <v>1.45722600046225</v>
      </c>
    </row>
    <row r="831" customFormat="false" ht="15" hidden="false" customHeight="false" outlineLevel="0" collapsed="false">
      <c r="A831" s="0" t="n">
        <v>0.863547522514545</v>
      </c>
      <c r="B831" s="0" t="n">
        <v>0.58873152213132</v>
      </c>
      <c r="C831" s="0" t="n">
        <v>0.375329907919602</v>
      </c>
      <c r="D831" s="0" t="n">
        <f aca="false">A831/SUM($A831:$C831)</f>
        <v>0.472501254331436</v>
      </c>
      <c r="E831" s="0" t="n">
        <f aca="false">B831/SUM($A831:$C831)</f>
        <v>0.322132106709644</v>
      </c>
      <c r="F831" s="0" t="n">
        <f aca="false">C831/SUM($A831:$C831)</f>
        <v>0.20536663895892</v>
      </c>
      <c r="G831" s="0" t="n">
        <f aca="false">SUMPRODUCT(D831:F831,Stats!$B$6:$D$6)</f>
        <v>0.369355862867843</v>
      </c>
      <c r="H831" s="0" t="n">
        <f aca="false">SQRT(SUMPRODUCT(MMULT(D831:F831,Stats!$B$12:$D$14),D831:F831))</f>
        <v>0.223985166582118</v>
      </c>
      <c r="I831" s="0" t="n">
        <f aca="false">(G831-Stats!$B$2)/H831</f>
        <v>1.46150688397406</v>
      </c>
    </row>
    <row r="832" customFormat="false" ht="15" hidden="false" customHeight="false" outlineLevel="0" collapsed="false">
      <c r="A832" s="0" t="n">
        <v>0.28578355552587</v>
      </c>
      <c r="B832" s="0" t="n">
        <v>0.203223091086087</v>
      </c>
      <c r="C832" s="0" t="n">
        <v>0.761798191377697</v>
      </c>
      <c r="D832" s="0" t="n">
        <f aca="false">A832/SUM($A832:$C832)</f>
        <v>0.228479733085454</v>
      </c>
      <c r="E832" s="0" t="n">
        <f aca="false">B832/SUM($A832:$C832)</f>
        <v>0.162473860760497</v>
      </c>
      <c r="F832" s="0" t="n">
        <f aca="false">C832/SUM($A832:$C832)</f>
        <v>0.60904640615405</v>
      </c>
      <c r="G832" s="0" t="n">
        <f aca="false">SUMPRODUCT(D832:F832,Stats!$B$6:$D$6)</f>
        <v>0.349038019720549</v>
      </c>
      <c r="H832" s="0" t="n">
        <f aca="false">SQRT(SUMPRODUCT(MMULT(D832:F832,Stats!$B$12:$D$14),D832:F832))</f>
        <v>0.232785776889889</v>
      </c>
      <c r="I832" s="0" t="n">
        <f aca="false">(G832-Stats!$B$2)/H832</f>
        <v>1.31897242100741</v>
      </c>
    </row>
    <row r="833" customFormat="false" ht="15" hidden="false" customHeight="false" outlineLevel="0" collapsed="false">
      <c r="A833" s="0" t="n">
        <v>0.386540506823028</v>
      </c>
      <c r="B833" s="0" t="n">
        <v>0.511275462200751</v>
      </c>
      <c r="C833" s="0" t="n">
        <v>0.492325480001182</v>
      </c>
      <c r="D833" s="0" t="n">
        <f aca="false">A833/SUM($A833:$C833)</f>
        <v>0.278058399808268</v>
      </c>
      <c r="E833" s="0" t="n">
        <f aca="false">B833/SUM($A833:$C833)</f>
        <v>0.367786646861985</v>
      </c>
      <c r="F833" s="0" t="n">
        <f aca="false">C833/SUM($A833:$C833)</f>
        <v>0.354154953329747</v>
      </c>
      <c r="G833" s="0" t="n">
        <f aca="false">SUMPRODUCT(D833:F833,Stats!$B$6:$D$6)</f>
        <v>0.367879985476912</v>
      </c>
      <c r="H833" s="0" t="n">
        <f aca="false">SQRT(SUMPRODUCT(MMULT(D833:F833,Stats!$B$12:$D$14),D833:F833))</f>
        <v>0.228285241106627</v>
      </c>
      <c r="I833" s="0" t="n">
        <f aca="false">(G833-Stats!$B$2)/H833</f>
        <v>1.42751228199067</v>
      </c>
    </row>
    <row r="834" customFormat="false" ht="15" hidden="false" customHeight="false" outlineLevel="0" collapsed="false">
      <c r="A834" s="0" t="n">
        <v>0.577279029233131</v>
      </c>
      <c r="B834" s="0" t="n">
        <v>0.865577145624552</v>
      </c>
      <c r="C834" s="0" t="n">
        <v>0.980739343583429</v>
      </c>
      <c r="D834" s="0" t="n">
        <f aca="false">A834/SUM($A834:$C834)</f>
        <v>0.238191160546643</v>
      </c>
      <c r="E834" s="0" t="n">
        <f aca="false">B834/SUM($A834:$C834)</f>
        <v>0.35714587646263</v>
      </c>
      <c r="F834" s="0" t="n">
        <f aca="false">C834/SUM($A834:$C834)</f>
        <v>0.404662962990728</v>
      </c>
      <c r="G834" s="0" t="n">
        <f aca="false">SUMPRODUCT(D834:F834,Stats!$B$6:$D$6)</f>
        <v>0.365874990380213</v>
      </c>
      <c r="H834" s="0" t="n">
        <f aca="false">SQRT(SUMPRODUCT(MMULT(D834:F834,Stats!$B$12:$D$14),D834:F834))</f>
        <v>0.229854215468295</v>
      </c>
      <c r="I834" s="0" t="n">
        <f aca="false">(G834-Stats!$B$2)/H834</f>
        <v>1.40904524948722</v>
      </c>
    </row>
    <row r="835" customFormat="false" ht="15" hidden="false" customHeight="false" outlineLevel="0" collapsed="false">
      <c r="A835" s="0" t="n">
        <v>0.407584208573817</v>
      </c>
      <c r="B835" s="0" t="n">
        <v>0.827518922106303</v>
      </c>
      <c r="C835" s="0" t="n">
        <v>0.764527794654718</v>
      </c>
      <c r="D835" s="0" t="n">
        <f aca="false">A835/SUM($A835:$C835)</f>
        <v>0.203829718479457</v>
      </c>
      <c r="E835" s="0" t="n">
        <f aca="false">B835/SUM($A835:$C835)</f>
        <v>0.413835829213201</v>
      </c>
      <c r="F835" s="0" t="n">
        <f aca="false">C835/SUM($A835:$C835)</f>
        <v>0.382334452307342</v>
      </c>
      <c r="G835" s="0" t="n">
        <f aca="false">SUMPRODUCT(D835:F835,Stats!$B$6:$D$6)</f>
        <v>0.369752556983209</v>
      </c>
      <c r="H835" s="0" t="n">
        <f aca="false">SQRT(SUMPRODUCT(MMULT(D835:F835,Stats!$B$12:$D$14),D835:F835))</f>
        <v>0.231476796540609</v>
      </c>
      <c r="I835" s="0" t="n">
        <f aca="false">(G835-Stats!$B$2)/H835</f>
        <v>1.41591970288784</v>
      </c>
    </row>
    <row r="836" customFormat="false" ht="15" hidden="false" customHeight="false" outlineLevel="0" collapsed="false">
      <c r="A836" s="0" t="n">
        <v>0.573528951455573</v>
      </c>
      <c r="B836" s="0" t="n">
        <v>0.956047143611933</v>
      </c>
      <c r="C836" s="0" t="n">
        <v>0.200474515528403</v>
      </c>
      <c r="D836" s="0" t="n">
        <f aca="false">A836/SUM($A836:$C836)</f>
        <v>0.331509926902094</v>
      </c>
      <c r="E836" s="0" t="n">
        <f aca="false">B836/SUM($A836:$C836)</f>
        <v>0.552612240218005</v>
      </c>
      <c r="F836" s="0" t="n">
        <f aca="false">C836/SUM($A836:$C836)</f>
        <v>0.115877832879901</v>
      </c>
      <c r="G836" s="0" t="n">
        <f aca="false">SUMPRODUCT(D836:F836,Stats!$B$6:$D$6)</f>
        <v>0.385085010853739</v>
      </c>
      <c r="H836" s="0" t="n">
        <f aca="false">SQRT(SUMPRODUCT(MMULT(D836:F836,Stats!$B$12:$D$14),D836:F836))</f>
        <v>0.230598945655785</v>
      </c>
      <c r="I836" s="0" t="n">
        <f aca="false">(G836-Stats!$B$2)/H836</f>
        <v>1.48779956420903</v>
      </c>
    </row>
    <row r="837" customFormat="false" ht="15" hidden="false" customHeight="false" outlineLevel="0" collapsed="false">
      <c r="A837" s="0" t="n">
        <v>0.109264210309621</v>
      </c>
      <c r="B837" s="0" t="n">
        <v>0.853961966955422</v>
      </c>
      <c r="C837" s="0" t="n">
        <v>0.439149816633748</v>
      </c>
      <c r="D837" s="0" t="n">
        <f aca="false">A837/SUM($A837:$C837)</f>
        <v>0.0779136342785307</v>
      </c>
      <c r="E837" s="0" t="n">
        <f aca="false">B837/SUM($A837:$C837)</f>
        <v>0.608939379075717</v>
      </c>
      <c r="F837" s="0" t="n">
        <f aca="false">C837/SUM($A837:$C837)</f>
        <v>0.313146986645752</v>
      </c>
      <c r="G837" s="0" t="n">
        <f aca="false">SUMPRODUCT(D837:F837,Stats!$B$6:$D$6)</f>
        <v>0.382886380479434</v>
      </c>
      <c r="H837" s="0" t="n">
        <f aca="false">SQRT(SUMPRODUCT(MMULT(D837:F837,Stats!$B$12:$D$14),D837:F837))</f>
        <v>0.239119185717685</v>
      </c>
      <c r="I837" s="0" t="n">
        <f aca="false">(G837-Stats!$B$2)/H837</f>
        <v>1.42559192586872</v>
      </c>
    </row>
    <row r="838" customFormat="false" ht="15" hidden="false" customHeight="false" outlineLevel="0" collapsed="false">
      <c r="A838" s="0" t="n">
        <v>0.846968854207061</v>
      </c>
      <c r="B838" s="0" t="n">
        <v>0.893090205195415</v>
      </c>
      <c r="C838" s="0" t="n">
        <v>0.0624575936190714</v>
      </c>
      <c r="D838" s="0" t="n">
        <f aca="false">A838/SUM($A838:$C838)</f>
        <v>0.469881292240653</v>
      </c>
      <c r="E838" s="0" t="n">
        <f aca="false">B838/SUM($A838:$C838)</f>
        <v>0.495468490512048</v>
      </c>
      <c r="F838" s="0" t="n">
        <f aca="false">C838/SUM($A838:$C838)</f>
        <v>0.0346502172472993</v>
      </c>
      <c r="G838" s="0" t="n">
        <f aca="false">SUMPRODUCT(D838:F838,Stats!$B$6:$D$6)</f>
        <v>0.384036853714651</v>
      </c>
      <c r="H838" s="0" t="n">
        <f aca="false">SQRT(SUMPRODUCT(MMULT(D838:F838,Stats!$B$12:$D$14),D838:F838))</f>
        <v>0.228987883081835</v>
      </c>
      <c r="I838" s="0" t="n">
        <f aca="false">(G838-Stats!$B$2)/H838</f>
        <v>1.49368974948083</v>
      </c>
    </row>
    <row r="839" customFormat="false" ht="15" hidden="false" customHeight="false" outlineLevel="0" collapsed="false">
      <c r="A839" s="0" t="n">
        <v>0.883464762986061</v>
      </c>
      <c r="B839" s="0" t="n">
        <v>0.448319055369422</v>
      </c>
      <c r="C839" s="0" t="n">
        <v>0.510432489004232</v>
      </c>
      <c r="D839" s="0" t="n">
        <f aca="false">A839/SUM($A839:$C839)</f>
        <v>0.479566248250322</v>
      </c>
      <c r="E839" s="0" t="n">
        <f aca="false">B839/SUM($A839:$C839)</f>
        <v>0.243358531557002</v>
      </c>
      <c r="F839" s="0" t="n">
        <f aca="false">C839/SUM($A839:$C839)</f>
        <v>0.277075220192676</v>
      </c>
      <c r="G839" s="0" t="n">
        <f aca="false">SUMPRODUCT(D839:F839,Stats!$B$6:$D$6)</f>
        <v>0.362845996761252</v>
      </c>
      <c r="H839" s="0" t="n">
        <f aca="false">SQRT(SUMPRODUCT(MMULT(D839:F839,Stats!$B$12:$D$14),D839:F839))</f>
        <v>0.222831044698994</v>
      </c>
      <c r="I839" s="0" t="n">
        <f aca="false">(G839-Stats!$B$2)/H839</f>
        <v>1.43986219332526</v>
      </c>
    </row>
    <row r="840" customFormat="false" ht="15" hidden="false" customHeight="false" outlineLevel="0" collapsed="false">
      <c r="A840" s="0" t="n">
        <v>0.62659251109321</v>
      </c>
      <c r="B840" s="0" t="n">
        <v>0.926382606730087</v>
      </c>
      <c r="C840" s="0" t="n">
        <v>0.019116094429764</v>
      </c>
      <c r="D840" s="0" t="n">
        <f aca="false">A840/SUM($A840:$C840)</f>
        <v>0.398572618566579</v>
      </c>
      <c r="E840" s="0" t="n">
        <f aca="false">B840/SUM($A840:$C840)</f>
        <v>0.589267721560781</v>
      </c>
      <c r="F840" s="0" t="n">
        <f aca="false">C840/SUM($A840:$C840)</f>
        <v>0.0121596598726403</v>
      </c>
      <c r="G840" s="0" t="n">
        <f aca="false">SUMPRODUCT(D840:F840,Stats!$B$6:$D$6)</f>
        <v>0.390054108536509</v>
      </c>
      <c r="H840" s="0" t="n">
        <f aca="false">SQRT(SUMPRODUCT(MMULT(D840:F840,Stats!$B$12:$D$14),D840:F840))</f>
        <v>0.232031221025605</v>
      </c>
      <c r="I840" s="0" t="n">
        <f aca="false">(G840-Stats!$B$2)/H840</f>
        <v>1.50003136215062</v>
      </c>
    </row>
    <row r="841" customFormat="false" ht="15" hidden="false" customHeight="false" outlineLevel="0" collapsed="false">
      <c r="A841" s="0" t="n">
        <v>0.476843468317817</v>
      </c>
      <c r="B841" s="0" t="n">
        <v>0.687722042430561</v>
      </c>
      <c r="C841" s="0" t="n">
        <v>0.722706957698229</v>
      </c>
      <c r="D841" s="0" t="n">
        <f aca="false">A841/SUM($A841:$C841)</f>
        <v>0.252662758711413</v>
      </c>
      <c r="E841" s="0" t="n">
        <f aca="false">B841/SUM($A841:$C841)</f>
        <v>0.364399976118243</v>
      </c>
      <c r="F841" s="0" t="n">
        <f aca="false">C841/SUM($A841:$C841)</f>
        <v>0.382937265170344</v>
      </c>
      <c r="G841" s="0" t="n">
        <f aca="false">SUMPRODUCT(D841:F841,Stats!$B$6:$D$6)</f>
        <v>0.366891459646854</v>
      </c>
      <c r="H841" s="0" t="n">
        <f aca="false">SQRT(SUMPRODUCT(MMULT(D841:F841,Stats!$B$12:$D$14),D841:F841))</f>
        <v>0.229245882237381</v>
      </c>
      <c r="I841" s="0" t="n">
        <f aca="false">(G841-Stats!$B$2)/H841</f>
        <v>1.41721830061241</v>
      </c>
    </row>
    <row r="842" customFormat="false" ht="15" hidden="false" customHeight="false" outlineLevel="0" collapsed="false">
      <c r="A842" s="0" t="n">
        <v>0.692532431537108</v>
      </c>
      <c r="B842" s="0" t="n">
        <v>0.134435129408122</v>
      </c>
      <c r="C842" s="0" t="n">
        <v>0.299395588371681</v>
      </c>
      <c r="D842" s="0" t="n">
        <f aca="false">A842/SUM($A842:$C842)</f>
        <v>0.614839389904666</v>
      </c>
      <c r="E842" s="0" t="n">
        <f aca="false">B842/SUM($A842:$C842)</f>
        <v>0.11935327384392</v>
      </c>
      <c r="F842" s="0" t="n">
        <f aca="false">C842/SUM($A842:$C842)</f>
        <v>0.265807336251413</v>
      </c>
      <c r="G842" s="0" t="n">
        <f aca="false">SUMPRODUCT(D842:F842,Stats!$B$6:$D$6)</f>
        <v>0.35602160229513</v>
      </c>
      <c r="H842" s="0" t="n">
        <f aca="false">SQRT(SUMPRODUCT(MMULT(D842:F842,Stats!$B$12:$D$14),D842:F842))</f>
        <v>0.221512899643588</v>
      </c>
      <c r="I842" s="0" t="n">
        <f aca="false">(G842-Stats!$B$2)/H842</f>
        <v>1.41762219175672</v>
      </c>
    </row>
    <row r="843" customFormat="false" ht="15" hidden="false" customHeight="false" outlineLevel="0" collapsed="false">
      <c r="A843" s="0" t="n">
        <v>0.358715525417014</v>
      </c>
      <c r="B843" s="0" t="n">
        <v>0.804437207679505</v>
      </c>
      <c r="C843" s="0" t="n">
        <v>0.278759872414553</v>
      </c>
      <c r="D843" s="0" t="n">
        <f aca="false">A843/SUM($A843:$C843)</f>
        <v>0.248777577812957</v>
      </c>
      <c r="E843" s="0" t="n">
        <f aca="false">B843/SUM($A843:$C843)</f>
        <v>0.557895953336492</v>
      </c>
      <c r="F843" s="0" t="n">
        <f aca="false">C843/SUM($A843:$C843)</f>
        <v>0.193326468850551</v>
      </c>
      <c r="G843" s="0" t="n">
        <f aca="false">SUMPRODUCT(D843:F843,Stats!$B$6:$D$6)</f>
        <v>0.383253412519421</v>
      </c>
      <c r="H843" s="0" t="n">
        <f aca="false">SQRT(SUMPRODUCT(MMULT(D843:F843,Stats!$B$12:$D$14),D843:F843))</f>
        <v>0.231993934212397</v>
      </c>
      <c r="I843" s="0" t="n">
        <f aca="false">(G843-Stats!$B$2)/H843</f>
        <v>1.4709583406909</v>
      </c>
    </row>
    <row r="844" customFormat="false" ht="15" hidden="false" customHeight="false" outlineLevel="0" collapsed="false">
      <c r="A844" s="0" t="n">
        <v>0.210704963867203</v>
      </c>
      <c r="B844" s="0" t="n">
        <v>0.957448019038096</v>
      </c>
      <c r="C844" s="0" t="n">
        <v>0.0088632851134689</v>
      </c>
      <c r="D844" s="0" t="n">
        <f aca="false">A844/SUM($A844:$C844)</f>
        <v>0.179016186600272</v>
      </c>
      <c r="E844" s="0" t="n">
        <f aca="false">B844/SUM($A844:$C844)</f>
        <v>0.813453513815689</v>
      </c>
      <c r="F844" s="0" t="n">
        <f aca="false">C844/SUM($A844:$C844)</f>
        <v>0.00753029958403903</v>
      </c>
      <c r="G844" s="0" t="n">
        <f aca="false">SUMPRODUCT(D844:F844,Stats!$B$6:$D$6)</f>
        <v>0.403081121694276</v>
      </c>
      <c r="H844" s="0" t="n">
        <f aca="false">SQRT(SUMPRODUCT(MMULT(D844:F844,Stats!$B$12:$D$14),D844:F844))</f>
        <v>0.242379993462057</v>
      </c>
      <c r="I844" s="0" t="n">
        <f aca="false">(G844-Stats!$B$2)/H844</f>
        <v>1.48973154317211</v>
      </c>
    </row>
    <row r="845" customFormat="false" ht="15" hidden="false" customHeight="false" outlineLevel="0" collapsed="false">
      <c r="A845" s="0" t="n">
        <v>0.997820855681978</v>
      </c>
      <c r="B845" s="0" t="n">
        <v>0.676821298857396</v>
      </c>
      <c r="C845" s="0" t="n">
        <v>0.828469299449117</v>
      </c>
      <c r="D845" s="0" t="n">
        <f aca="false">A845/SUM($A845:$C845)</f>
        <v>0.398632211958456</v>
      </c>
      <c r="E845" s="0" t="n">
        <f aca="false">B845/SUM($A845:$C845)</f>
        <v>0.270391994642883</v>
      </c>
      <c r="F845" s="0" t="n">
        <f aca="false">C845/SUM($A845:$C845)</f>
        <v>0.330975793398661</v>
      </c>
      <c r="G845" s="0" t="n">
        <f aca="false">SUMPRODUCT(D845:F845,Stats!$B$6:$D$6)</f>
        <v>0.362915179663583</v>
      </c>
      <c r="H845" s="0" t="n">
        <f aca="false">SQRT(SUMPRODUCT(MMULT(D845:F845,Stats!$B$12:$D$14),D845:F845))</f>
        <v>0.224297978997406</v>
      </c>
      <c r="I845" s="0" t="n">
        <f aca="false">(G845-Stats!$B$2)/H845</f>
        <v>1.4307537727181</v>
      </c>
    </row>
    <row r="846" customFormat="false" ht="15" hidden="false" customHeight="false" outlineLevel="0" collapsed="false">
      <c r="A846" s="0" t="n">
        <v>0.294619396346193</v>
      </c>
      <c r="B846" s="0" t="n">
        <v>0.01431527766706</v>
      </c>
      <c r="C846" s="0" t="n">
        <v>0.73786951856153</v>
      </c>
      <c r="D846" s="0" t="n">
        <f aca="false">A846/SUM($A846:$C846)</f>
        <v>0.281446519259279</v>
      </c>
      <c r="E846" s="0" t="n">
        <f aca="false">B846/SUM($A846:$C846)</f>
        <v>0.0136752200350375</v>
      </c>
      <c r="F846" s="0" t="n">
        <f aca="false">C846/SUM($A846:$C846)</f>
        <v>0.704878260705683</v>
      </c>
      <c r="G846" s="0" t="n">
        <f aca="false">SUMPRODUCT(D846:F846,Stats!$B$6:$D$6)</f>
        <v>0.337833811989126</v>
      </c>
      <c r="H846" s="0" t="n">
        <f aca="false">SQRT(SUMPRODUCT(MMULT(D846:F846,Stats!$B$12:$D$14),D846:F846))</f>
        <v>0.233859341976359</v>
      </c>
      <c r="I846" s="0" t="n">
        <f aca="false">(G846-Stats!$B$2)/H846</f>
        <v>1.26500745913769</v>
      </c>
    </row>
    <row r="847" customFormat="false" ht="15" hidden="false" customHeight="false" outlineLevel="0" collapsed="false">
      <c r="A847" s="0" t="n">
        <v>0.834144597000676</v>
      </c>
      <c r="B847" s="0" t="n">
        <v>0.740476131953519</v>
      </c>
      <c r="C847" s="0" t="n">
        <v>0.142850287300839</v>
      </c>
      <c r="D847" s="0" t="n">
        <f aca="false">A847/SUM($A847:$C847)</f>
        <v>0.485681906189915</v>
      </c>
      <c r="E847" s="0" t="n">
        <f aca="false">B847/SUM($A847:$C847)</f>
        <v>0.431143306026868</v>
      </c>
      <c r="F847" s="0" t="n">
        <f aca="false">C847/SUM($A847:$C847)</f>
        <v>0.0831747877832171</v>
      </c>
      <c r="G847" s="0" t="n">
        <f aca="false">SUMPRODUCT(D847:F847,Stats!$B$6:$D$6)</f>
        <v>0.378997619484834</v>
      </c>
      <c r="H847" s="0" t="n">
        <f aca="false">SQRT(SUMPRODUCT(MMULT(D847:F847,Stats!$B$12:$D$14),D847:F847))</f>
        <v>0.226860381235307</v>
      </c>
      <c r="I847" s="0" t="n">
        <f aca="false">(G847-Stats!$B$2)/H847</f>
        <v>1.48548467409693</v>
      </c>
    </row>
    <row r="848" customFormat="false" ht="15" hidden="false" customHeight="false" outlineLevel="0" collapsed="false">
      <c r="A848" s="0" t="n">
        <v>0.753427922256969</v>
      </c>
      <c r="B848" s="0" t="n">
        <v>0.768922782107641</v>
      </c>
      <c r="C848" s="0" t="n">
        <v>0.658540515670055</v>
      </c>
      <c r="D848" s="0" t="n">
        <f aca="false">A848/SUM($A848:$C848)</f>
        <v>0.345467905659684</v>
      </c>
      <c r="E848" s="0" t="n">
        <f aca="false">B848/SUM($A848:$C848)</f>
        <v>0.352572734964479</v>
      </c>
      <c r="F848" s="0" t="n">
        <f aca="false">C848/SUM($A848:$C848)</f>
        <v>0.301959359375837</v>
      </c>
      <c r="G848" s="0" t="n">
        <f aca="false">SUMPRODUCT(D848:F848,Stats!$B$6:$D$6)</f>
        <v>0.368443870105109</v>
      </c>
      <c r="H848" s="0" t="n">
        <f aca="false">SQRT(SUMPRODUCT(MMULT(D848:F848,Stats!$B$12:$D$14),D848:F848))</f>
        <v>0.226142832676906</v>
      </c>
      <c r="I848" s="0" t="n">
        <f aca="false">(G848-Stats!$B$2)/H848</f>
        <v>1.44352958809667</v>
      </c>
    </row>
    <row r="849" customFormat="false" ht="15" hidden="false" customHeight="false" outlineLevel="0" collapsed="false">
      <c r="A849" s="0" t="n">
        <v>0.766115932795586</v>
      </c>
      <c r="B849" s="0" t="n">
        <v>0.845921439677732</v>
      </c>
      <c r="C849" s="0" t="n">
        <v>0.613604114237458</v>
      </c>
      <c r="D849" s="0" t="n">
        <f aca="false">A849/SUM($A849:$C849)</f>
        <v>0.34422252522252</v>
      </c>
      <c r="E849" s="0" t="n">
        <f aca="false">B849/SUM($A849:$C849)</f>
        <v>0.380079830794267</v>
      </c>
      <c r="F849" s="0" t="n">
        <f aca="false">C849/SUM($A849:$C849)</f>
        <v>0.275697643983214</v>
      </c>
      <c r="G849" s="0" t="n">
        <f aca="false">SUMPRODUCT(D849:F849,Stats!$B$6:$D$6)</f>
        <v>0.370750749498582</v>
      </c>
      <c r="H849" s="0" t="n">
        <f aca="false">SQRT(SUMPRODUCT(MMULT(D849:F849,Stats!$B$12:$D$14),D849:F849))</f>
        <v>0.226484731330995</v>
      </c>
      <c r="I849" s="0" t="n">
        <f aca="false">(G849-Stats!$B$2)/H849</f>
        <v>1.45153603762424</v>
      </c>
    </row>
    <row r="850" customFormat="false" ht="15" hidden="false" customHeight="false" outlineLevel="0" collapsed="false">
      <c r="A850" s="0" t="n">
        <v>0.0886047139696791</v>
      </c>
      <c r="B850" s="0" t="n">
        <v>0.487627809667211</v>
      </c>
      <c r="C850" s="0" t="n">
        <v>0.0776493346716051</v>
      </c>
      <c r="D850" s="0" t="n">
        <f aca="false">A850/SUM($A850:$C850)</f>
        <v>0.135505692418027</v>
      </c>
      <c r="E850" s="0" t="n">
        <f aca="false">B850/SUM($A850:$C850)</f>
        <v>0.74574298624623</v>
      </c>
      <c r="F850" s="0" t="n">
        <f aca="false">C850/SUM($A850:$C850)</f>
        <v>0.118751321335743</v>
      </c>
      <c r="G850" s="0" t="n">
        <f aca="false">SUMPRODUCT(D850:F850,Stats!$B$6:$D$6)</f>
        <v>0.396118268677001</v>
      </c>
      <c r="H850" s="0" t="n">
        <f aca="false">SQRT(SUMPRODUCT(MMULT(D850:F850,Stats!$B$12:$D$14),D850:F850))</f>
        <v>0.240385914981398</v>
      </c>
      <c r="I850" s="0" t="n">
        <f aca="false">(G850-Stats!$B$2)/H850</f>
        <v>1.47312403351255</v>
      </c>
    </row>
    <row r="851" customFormat="false" ht="15" hidden="false" customHeight="false" outlineLevel="0" collapsed="false">
      <c r="A851" s="0" t="n">
        <v>0.407543031032431</v>
      </c>
      <c r="B851" s="0" t="n">
        <v>0.407106489125628</v>
      </c>
      <c r="C851" s="0" t="n">
        <v>0.0660098441402416</v>
      </c>
      <c r="D851" s="0" t="n">
        <f aca="false">A851/SUM($A851:$C851)</f>
        <v>0.462770337265597</v>
      </c>
      <c r="E851" s="0" t="n">
        <f aca="false">B851/SUM($A851:$C851)</f>
        <v>0.46227463833307</v>
      </c>
      <c r="F851" s="0" t="n">
        <f aca="false">C851/SUM($A851:$C851)</f>
        <v>0.0749550244013331</v>
      </c>
      <c r="G851" s="0" t="n">
        <f aca="false">SUMPRODUCT(D851:F851,Stats!$B$6:$D$6)</f>
        <v>0.381015532867006</v>
      </c>
      <c r="H851" s="0" t="n">
        <f aca="false">SQRT(SUMPRODUCT(MMULT(D851:F851,Stats!$B$12:$D$14),D851:F851))</f>
        <v>0.227685873345957</v>
      </c>
      <c r="I851" s="0" t="n">
        <f aca="false">(G851-Stats!$B$2)/H851</f>
        <v>1.48896164652204</v>
      </c>
    </row>
    <row r="852" customFormat="false" ht="15" hidden="false" customHeight="false" outlineLevel="0" collapsed="false">
      <c r="A852" s="0" t="n">
        <v>0.348820533969479</v>
      </c>
      <c r="B852" s="0" t="n">
        <v>0.110998098791315</v>
      </c>
      <c r="C852" s="0" t="n">
        <v>0.808235210009222</v>
      </c>
      <c r="D852" s="0" t="n">
        <f aca="false">A852/SUM($A852:$C852)</f>
        <v>0.275083377538208</v>
      </c>
      <c r="E852" s="0" t="n">
        <f aca="false">B852/SUM($A852:$C852)</f>
        <v>0.0875342158569888</v>
      </c>
      <c r="F852" s="0" t="n">
        <f aca="false">C852/SUM($A852:$C852)</f>
        <v>0.637382406604804</v>
      </c>
      <c r="G852" s="0" t="n">
        <f aca="false">SUMPRODUCT(D852:F852,Stats!$B$6:$D$6)</f>
        <v>0.343944735231455</v>
      </c>
      <c r="H852" s="0" t="n">
        <f aca="false">SQRT(SUMPRODUCT(MMULT(D852:F852,Stats!$B$12:$D$14),D852:F852))</f>
        <v>0.231836814044548</v>
      </c>
      <c r="I852" s="0" t="n">
        <f aca="false">(G852-Stats!$B$2)/H852</f>
        <v>1.30240202133487</v>
      </c>
    </row>
    <row r="853" customFormat="false" ht="15" hidden="false" customHeight="false" outlineLevel="0" collapsed="false">
      <c r="A853" s="0" t="n">
        <v>0.947688025964471</v>
      </c>
      <c r="B853" s="0" t="n">
        <v>0.0723164752579386</v>
      </c>
      <c r="C853" s="0" t="n">
        <v>0.955115207291701</v>
      </c>
      <c r="D853" s="0" t="n">
        <f aca="false">A853/SUM($A853:$C853)</f>
        <v>0.479812956085289</v>
      </c>
      <c r="E853" s="0" t="n">
        <f aca="false">B853/SUM($A853:$C853)</f>
        <v>0.0366137176122568</v>
      </c>
      <c r="F853" s="0" t="n">
        <f aca="false">C853/SUM($A853:$C853)</f>
        <v>0.483573326302454</v>
      </c>
      <c r="G853" s="0" t="n">
        <f aca="false">SUMPRODUCT(D853:F853,Stats!$B$6:$D$6)</f>
        <v>0.345256061898819</v>
      </c>
      <c r="H853" s="0" t="n">
        <f aca="false">SQRT(SUMPRODUCT(MMULT(D853:F853,Stats!$B$12:$D$14),D853:F853))</f>
        <v>0.223507448238573</v>
      </c>
      <c r="I853" s="0" t="n">
        <f aca="false">(G853-Stats!$B$2)/H853</f>
        <v>1.35680517266307</v>
      </c>
    </row>
    <row r="854" customFormat="false" ht="15" hidden="false" customHeight="false" outlineLevel="0" collapsed="false">
      <c r="A854" s="0" t="n">
        <v>0.522576599336745</v>
      </c>
      <c r="B854" s="0" t="n">
        <v>0.299565677953874</v>
      </c>
      <c r="C854" s="0" t="n">
        <v>0.0768620752761635</v>
      </c>
      <c r="D854" s="0" t="n">
        <f aca="false">A854/SUM($A854:$C854)</f>
        <v>0.581283725540056</v>
      </c>
      <c r="E854" s="0" t="n">
        <f aca="false">B854/SUM($A854:$C854)</f>
        <v>0.333219385533087</v>
      </c>
      <c r="F854" s="0" t="n">
        <f aca="false">C854/SUM($A854:$C854)</f>
        <v>0.0854968889268574</v>
      </c>
      <c r="G854" s="0" t="n">
        <f aca="false">SUMPRODUCT(D854:F854,Stats!$B$6:$D$6)</f>
        <v>0.373299172794164</v>
      </c>
      <c r="H854" s="0" t="n">
        <f aca="false">SQRT(SUMPRODUCT(MMULT(D854:F854,Stats!$B$12:$D$14),D854:F854))</f>
        <v>0.225194002977999</v>
      </c>
      <c r="I854" s="0" t="n">
        <f aca="false">(G854-Stats!$B$2)/H854</f>
        <v>1.47117227107744</v>
      </c>
    </row>
    <row r="855" customFormat="false" ht="15" hidden="false" customHeight="false" outlineLevel="0" collapsed="false">
      <c r="A855" s="0" t="n">
        <v>0.500624268070418</v>
      </c>
      <c r="B855" s="0" t="n">
        <v>0.794515544490749</v>
      </c>
      <c r="C855" s="0" t="n">
        <v>0.707086477266698</v>
      </c>
      <c r="D855" s="0" t="n">
        <f aca="false">A855/SUM($A855:$C855)</f>
        <v>0.250033810171106</v>
      </c>
      <c r="E855" s="0" t="n">
        <f aca="false">B855/SUM($A855:$C855)</f>
        <v>0.396816058468124</v>
      </c>
      <c r="F855" s="0" t="n">
        <f aca="false">C855/SUM($A855:$C855)</f>
        <v>0.35315013136077</v>
      </c>
      <c r="G855" s="0" t="n">
        <f aca="false">SUMPRODUCT(D855:F855,Stats!$B$6:$D$6)</f>
        <v>0.369578007828017</v>
      </c>
      <c r="H855" s="0" t="n">
        <f aca="false">SQRT(SUMPRODUCT(MMULT(D855:F855,Stats!$B$12:$D$14),D855:F855))</f>
        <v>0.229477142186488</v>
      </c>
      <c r="I855" s="0" t="n">
        <f aca="false">(G855-Stats!$B$2)/H855</f>
        <v>1.42749733026484</v>
      </c>
    </row>
    <row r="856" customFormat="false" ht="15" hidden="false" customHeight="false" outlineLevel="0" collapsed="false">
      <c r="A856" s="0" t="n">
        <v>0.0502260114639738</v>
      </c>
      <c r="B856" s="0" t="n">
        <v>0.0729018353679035</v>
      </c>
      <c r="C856" s="0" t="n">
        <v>0.402873282632637</v>
      </c>
      <c r="D856" s="0" t="n">
        <f aca="false">A856/SUM($A856:$C856)</f>
        <v>0.0954865087744306</v>
      </c>
      <c r="E856" s="0" t="n">
        <f aca="false">B856/SUM($A856:$C856)</f>
        <v>0.138596347582219</v>
      </c>
      <c r="F856" s="0" t="n">
        <f aca="false">C856/SUM($A856:$C856)</f>
        <v>0.765917143643351</v>
      </c>
      <c r="G856" s="0" t="n">
        <f aca="false">SUMPRODUCT(D856:F856,Stats!$B$6:$D$6)</f>
        <v>0.343338488265722</v>
      </c>
      <c r="H856" s="0" t="n">
        <f aca="false">SQRT(SUMPRODUCT(MMULT(D856:F856,Stats!$B$12:$D$14),D856:F856))</f>
        <v>0.243640254525571</v>
      </c>
      <c r="I856" s="0" t="n">
        <f aca="false">(G856-Stats!$B$2)/H856</f>
        <v>1.23681732664622</v>
      </c>
    </row>
    <row r="857" customFormat="false" ht="15" hidden="false" customHeight="false" outlineLevel="0" collapsed="false">
      <c r="A857" s="0" t="n">
        <v>0.295290494047943</v>
      </c>
      <c r="B857" s="0" t="n">
        <v>0.232384323056048</v>
      </c>
      <c r="C857" s="0" t="n">
        <v>0.281004498908714</v>
      </c>
      <c r="D857" s="0" t="n">
        <f aca="false">A857/SUM($A857:$C857)</f>
        <v>0.365151535597461</v>
      </c>
      <c r="E857" s="0" t="n">
        <f aca="false">B857/SUM($A857:$C857)</f>
        <v>0.287362763526398</v>
      </c>
      <c r="F857" s="0" t="n">
        <f aca="false">C857/SUM($A857:$C857)</f>
        <v>0.347485700876142</v>
      </c>
      <c r="G857" s="0" t="n">
        <f aca="false">SUMPRODUCT(D857:F857,Stats!$B$6:$D$6)</f>
        <v>0.363436401391657</v>
      </c>
      <c r="H857" s="0" t="n">
        <f aca="false">SQRT(SUMPRODUCT(MMULT(D857:F857,Stats!$B$12:$D$14),D857:F857))</f>
        <v>0.225197393246658</v>
      </c>
      <c r="I857" s="0" t="n">
        <f aca="false">(G857-Stats!$B$2)/H857</f>
        <v>1.42735400600125</v>
      </c>
    </row>
    <row r="858" customFormat="false" ht="15" hidden="false" customHeight="false" outlineLevel="0" collapsed="false">
      <c r="A858" s="0" t="n">
        <v>0.803482743296885</v>
      </c>
      <c r="B858" s="0" t="n">
        <v>0.929228053631854</v>
      </c>
      <c r="C858" s="0" t="n">
        <v>0.405102694527566</v>
      </c>
      <c r="D858" s="0" t="n">
        <f aca="false">A858/SUM($A858:$C858)</f>
        <v>0.375843237264605</v>
      </c>
      <c r="E858" s="0" t="n">
        <f aca="false">B858/SUM($A858:$C858)</f>
        <v>0.434662825988086</v>
      </c>
      <c r="F858" s="0" t="n">
        <f aca="false">C858/SUM($A858:$C858)</f>
        <v>0.18949393674731</v>
      </c>
      <c r="G858" s="0" t="n">
        <f aca="false">SUMPRODUCT(D858:F858,Stats!$B$6:$D$6)</f>
        <v>0.376268418467987</v>
      </c>
      <c r="H858" s="0" t="n">
        <f aca="false">SQRT(SUMPRODUCT(MMULT(D858:F858,Stats!$B$12:$D$14),D858:F858))</f>
        <v>0.226949115739492</v>
      </c>
      <c r="I858" s="0" t="n">
        <f aca="false">(G858-Stats!$B$2)/H858</f>
        <v>1.47287825898244</v>
      </c>
    </row>
    <row r="859" customFormat="false" ht="15" hidden="false" customHeight="false" outlineLevel="0" collapsed="false">
      <c r="A859" s="0" t="n">
        <v>0.906111002132497</v>
      </c>
      <c r="B859" s="0" t="n">
        <v>0.321495701247882</v>
      </c>
      <c r="C859" s="0" t="n">
        <v>0.476436986343792</v>
      </c>
      <c r="D859" s="0" t="n">
        <f aca="false">A859/SUM($A859:$C859)</f>
        <v>0.531741649346542</v>
      </c>
      <c r="E859" s="0" t="n">
        <f aca="false">B859/SUM($A859:$C859)</f>
        <v>0.188666348865692</v>
      </c>
      <c r="F859" s="0" t="n">
        <f aca="false">C859/SUM($A859:$C859)</f>
        <v>0.279592001787766</v>
      </c>
      <c r="G859" s="0" t="n">
        <f aca="false">SUMPRODUCT(D859:F859,Stats!$B$6:$D$6)</f>
        <v>0.359629680071422</v>
      </c>
      <c r="H859" s="0" t="n">
        <f aca="false">SQRT(SUMPRODUCT(MMULT(D859:F859,Stats!$B$12:$D$14),D859:F859))</f>
        <v>0.222003282996847</v>
      </c>
      <c r="I859" s="0" t="n">
        <f aca="false">(G859-Stats!$B$2)/H859</f>
        <v>1.43074316642396</v>
      </c>
    </row>
    <row r="860" customFormat="false" ht="15" hidden="false" customHeight="false" outlineLevel="0" collapsed="false">
      <c r="A860" s="0" t="n">
        <v>0.226028997816</v>
      </c>
      <c r="B860" s="0" t="n">
        <v>0.640476042175844</v>
      </c>
      <c r="C860" s="0" t="n">
        <v>0.978981115174809</v>
      </c>
      <c r="D860" s="0" t="n">
        <f aca="false">A860/SUM($A860:$C860)</f>
        <v>0.122476669458183</v>
      </c>
      <c r="E860" s="0" t="n">
        <f aca="false">B860/SUM($A860:$C860)</f>
        <v>0.347050039027796</v>
      </c>
      <c r="F860" s="0" t="n">
        <f aca="false">C860/SUM($A860:$C860)</f>
        <v>0.530473291514021</v>
      </c>
      <c r="G860" s="0" t="n">
        <f aca="false">SUMPRODUCT(D860:F860,Stats!$B$6:$D$6)</f>
        <v>0.361824917541166</v>
      </c>
      <c r="H860" s="0" t="n">
        <f aca="false">SQRT(SUMPRODUCT(MMULT(D860:F860,Stats!$B$12:$D$14),D860:F860))</f>
        <v>0.236284740921666</v>
      </c>
      <c r="I860" s="0" t="n">
        <f aca="false">(G860-Stats!$B$2)/H860</f>
        <v>1.35355722207722</v>
      </c>
    </row>
    <row r="861" customFormat="false" ht="15" hidden="false" customHeight="false" outlineLevel="0" collapsed="false">
      <c r="A861" s="0" t="n">
        <v>0.603493096043379</v>
      </c>
      <c r="B861" s="0" t="n">
        <v>0.357814084113549</v>
      </c>
      <c r="C861" s="0" t="n">
        <v>0.647817445990528</v>
      </c>
      <c r="D861" s="0" t="n">
        <f aca="false">A861/SUM($A861:$C861)</f>
        <v>0.375044347862759</v>
      </c>
      <c r="E861" s="0" t="n">
        <f aca="false">B861/SUM($A861:$C861)</f>
        <v>0.222365675286583</v>
      </c>
      <c r="F861" s="0" t="n">
        <f aca="false">C861/SUM($A861:$C861)</f>
        <v>0.402589976850658</v>
      </c>
      <c r="G861" s="0" t="n">
        <f aca="false">SUMPRODUCT(D861:F861,Stats!$B$6:$D$6)</f>
        <v>0.358177073842644</v>
      </c>
      <c r="H861" s="0" t="n">
        <f aca="false">SQRT(SUMPRODUCT(MMULT(D861:F861,Stats!$B$12:$D$14),D861:F861))</f>
        <v>0.224897513274263</v>
      </c>
      <c r="I861" s="0" t="n">
        <f aca="false">(G861-Stats!$B$2)/H861</f>
        <v>1.40587180907183</v>
      </c>
    </row>
    <row r="862" customFormat="false" ht="15" hidden="false" customHeight="false" outlineLevel="0" collapsed="false">
      <c r="A862" s="0" t="n">
        <v>0.122920678465388</v>
      </c>
      <c r="B862" s="0" t="n">
        <v>0.888659080265399</v>
      </c>
      <c r="C862" s="0" t="n">
        <v>0.503083950779836</v>
      </c>
      <c r="D862" s="0" t="n">
        <f aca="false">A862/SUM($A862:$C862)</f>
        <v>0.0811537753849681</v>
      </c>
      <c r="E862" s="0" t="n">
        <f aca="false">B862/SUM($A862:$C862)</f>
        <v>0.586703883301276</v>
      </c>
      <c r="F862" s="0" t="n">
        <f aca="false">C862/SUM($A862:$C862)</f>
        <v>0.332142341313756</v>
      </c>
      <c r="G862" s="0" t="n">
        <f aca="false">SUMPRODUCT(D862:F862,Stats!$B$6:$D$6)</f>
        <v>0.381083189232439</v>
      </c>
      <c r="H862" s="0" t="n">
        <f aca="false">SQRT(SUMPRODUCT(MMULT(D862:F862,Stats!$B$12:$D$14),D862:F862))</f>
        <v>0.238666513452152</v>
      </c>
      <c r="I862" s="0" t="n">
        <f aca="false">(G862-Stats!$B$2)/H862</f>
        <v>1.42074053174795</v>
      </c>
    </row>
    <row r="863" customFormat="false" ht="15" hidden="false" customHeight="false" outlineLevel="0" collapsed="false">
      <c r="A863" s="0" t="n">
        <v>0.449349742039642</v>
      </c>
      <c r="B863" s="0" t="n">
        <v>0.585864788453519</v>
      </c>
      <c r="C863" s="0" t="n">
        <v>0.624783862789403</v>
      </c>
      <c r="D863" s="0" t="n">
        <f aca="false">A863/SUM($A863:$C863)</f>
        <v>0.270692877690728</v>
      </c>
      <c r="E863" s="0" t="n">
        <f aca="false">B863/SUM($A863:$C863)</f>
        <v>0.352930937056512</v>
      </c>
      <c r="F863" s="0" t="n">
        <f aca="false">C863/SUM($A863:$C863)</f>
        <v>0.37637618525276</v>
      </c>
      <c r="G863" s="0" t="n">
        <f aca="false">SUMPRODUCT(D863:F863,Stats!$B$6:$D$6)</f>
        <v>0.366412465238532</v>
      </c>
      <c r="H863" s="0" t="n">
        <f aca="false">SQRT(SUMPRODUCT(MMULT(D863:F863,Stats!$B$12:$D$14),D863:F863))</f>
        <v>0.22850386934345</v>
      </c>
      <c r="I863" s="0" t="n">
        <f aca="false">(G863-Stats!$B$2)/H863</f>
        <v>1.41972416559357</v>
      </c>
    </row>
    <row r="864" customFormat="false" ht="15" hidden="false" customHeight="false" outlineLevel="0" collapsed="false">
      <c r="A864" s="0" t="n">
        <v>0.071775806226513</v>
      </c>
      <c r="B864" s="0" t="n">
        <v>0.682617221223402</v>
      </c>
      <c r="C864" s="0" t="n">
        <v>0.24193168031553</v>
      </c>
      <c r="D864" s="0" t="n">
        <f aca="false">A864/SUM($A864:$C864)</f>
        <v>0.0720405763975197</v>
      </c>
      <c r="E864" s="0" t="n">
        <f aca="false">B864/SUM($A864:$C864)</f>
        <v>0.685135293647766</v>
      </c>
      <c r="F864" s="0" t="n">
        <f aca="false">C864/SUM($A864:$C864)</f>
        <v>0.242824129954715</v>
      </c>
      <c r="G864" s="0" t="n">
        <f aca="false">SUMPRODUCT(D864:F864,Stats!$B$6:$D$6)</f>
        <v>0.38920972051113</v>
      </c>
      <c r="H864" s="0" t="n">
        <f aca="false">SQRT(SUMPRODUCT(MMULT(D864:F864,Stats!$B$12:$D$14),D864:F864))</f>
        <v>0.240786691473744</v>
      </c>
      <c r="I864" s="0" t="n">
        <f aca="false">(G864-Stats!$B$2)/H864</f>
        <v>1.44198052801847</v>
      </c>
    </row>
    <row r="865" customFormat="false" ht="15" hidden="false" customHeight="false" outlineLevel="0" collapsed="false">
      <c r="A865" s="0" t="n">
        <v>0.71395263250659</v>
      </c>
      <c r="B865" s="0" t="n">
        <v>0.822534794384197</v>
      </c>
      <c r="C865" s="0" t="n">
        <v>0.80395850755252</v>
      </c>
      <c r="D865" s="0" t="n">
        <f aca="false">A865/SUM($A865:$C865)</f>
        <v>0.305049829179843</v>
      </c>
      <c r="E865" s="0" t="n">
        <f aca="false">B865/SUM($A865:$C865)</f>
        <v>0.351443621183176</v>
      </c>
      <c r="F865" s="0" t="n">
        <f aca="false">C865/SUM($A865:$C865)</f>
        <v>0.343506549636981</v>
      </c>
      <c r="G865" s="0" t="n">
        <f aca="false">SUMPRODUCT(D865:F865,Stats!$B$6:$D$6)</f>
        <v>0.367233254567954</v>
      </c>
      <c r="H865" s="0" t="n">
        <f aca="false">SQRT(SUMPRODUCT(MMULT(D865:F865,Stats!$B$12:$D$14),D865:F865))</f>
        <v>0.227280375819131</v>
      </c>
      <c r="I865" s="0" t="n">
        <f aca="false">(G865-Stats!$B$2)/H865</f>
        <v>1.43097816252633</v>
      </c>
    </row>
    <row r="866" customFormat="false" ht="15" hidden="false" customHeight="false" outlineLevel="0" collapsed="false">
      <c r="A866" s="0" t="n">
        <v>0.552500967407889</v>
      </c>
      <c r="B866" s="0" t="n">
        <v>0.520169892310751</v>
      </c>
      <c r="C866" s="0" t="n">
        <v>0.142875961339412</v>
      </c>
      <c r="D866" s="0" t="n">
        <f aca="false">A866/SUM($A866:$C866)</f>
        <v>0.454528741991998</v>
      </c>
      <c r="E866" s="0" t="n">
        <f aca="false">B866/SUM($A866:$C866)</f>
        <v>0.42793077428147</v>
      </c>
      <c r="F866" s="0" t="n">
        <f aca="false">C866/SUM($A866:$C866)</f>
        <v>0.117540483726532</v>
      </c>
      <c r="G866" s="0" t="n">
        <f aca="false">SUMPRODUCT(D866:F866,Stats!$B$6:$D$6)</f>
        <v>0.377865153718207</v>
      </c>
      <c r="H866" s="0" t="n">
        <f aca="false">SQRT(SUMPRODUCT(MMULT(D866:F866,Stats!$B$12:$D$14),D866:F866))</f>
        <v>0.226528549410876</v>
      </c>
      <c r="I866" s="0" t="n">
        <f aca="false">(G866-Stats!$B$2)/H866</f>
        <v>1.4826614772914</v>
      </c>
    </row>
    <row r="867" customFormat="false" ht="15" hidden="false" customHeight="false" outlineLevel="0" collapsed="false">
      <c r="A867" s="0" t="n">
        <v>0.775346150403136</v>
      </c>
      <c r="B867" s="0" t="n">
        <v>0.271409380446714</v>
      </c>
      <c r="C867" s="0" t="n">
        <v>0.496695422817947</v>
      </c>
      <c r="D867" s="0" t="n">
        <f aca="false">A867/SUM($A867:$C867)</f>
        <v>0.502345830012048</v>
      </c>
      <c r="E867" s="0" t="n">
        <f aca="false">B867/SUM($A867:$C867)</f>
        <v>0.175845808253089</v>
      </c>
      <c r="F867" s="0" t="n">
        <f aca="false">C867/SUM($A867:$C867)</f>
        <v>0.321808361734864</v>
      </c>
      <c r="G867" s="0" t="n">
        <f aca="false">SUMPRODUCT(D867:F867,Stats!$B$6:$D$6)</f>
        <v>0.357727902869598</v>
      </c>
      <c r="H867" s="0" t="n">
        <f aca="false">SQRT(SUMPRODUCT(MMULT(D867:F867,Stats!$B$12:$D$14),D867:F867))</f>
        <v>0.222158281131549</v>
      </c>
      <c r="I867" s="0" t="n">
        <f aca="false">(G867-Stats!$B$2)/H867</f>
        <v>1.42118448730094</v>
      </c>
    </row>
    <row r="868" customFormat="false" ht="15" hidden="false" customHeight="false" outlineLevel="0" collapsed="false">
      <c r="A868" s="0" t="n">
        <v>0.284274092927517</v>
      </c>
      <c r="B868" s="0" t="n">
        <v>0.133828362999693</v>
      </c>
      <c r="C868" s="0" t="n">
        <v>0.629557696891737</v>
      </c>
      <c r="D868" s="0" t="n">
        <f aca="false">A868/SUM($A868:$C868)</f>
        <v>0.271341896666222</v>
      </c>
      <c r="E868" s="0" t="n">
        <f aca="false">B868/SUM($A868:$C868)</f>
        <v>0.127740243474566</v>
      </c>
      <c r="F868" s="0" t="n">
        <f aca="false">C868/SUM($A868:$C868)</f>
        <v>0.600917859859212</v>
      </c>
      <c r="G868" s="0" t="n">
        <f aca="false">SUMPRODUCT(D868:F868,Stats!$B$6:$D$6)</f>
        <v>0.347263633874434</v>
      </c>
      <c r="H868" s="0" t="n">
        <f aca="false">SQRT(SUMPRODUCT(MMULT(D868:F868,Stats!$B$12:$D$14),D868:F868))</f>
        <v>0.230986645267424</v>
      </c>
      <c r="I868" s="0" t="n">
        <f aca="false">(G868-Stats!$B$2)/H868</f>
        <v>1.3215639957064</v>
      </c>
    </row>
    <row r="869" customFormat="false" ht="15" hidden="false" customHeight="false" outlineLevel="0" collapsed="false">
      <c r="A869" s="0" t="n">
        <v>0.0543320348229038</v>
      </c>
      <c r="B869" s="0" t="n">
        <v>0.7486452341262</v>
      </c>
      <c r="C869" s="0" t="n">
        <v>0.317586795261117</v>
      </c>
      <c r="D869" s="0" t="n">
        <f aca="false">A869/SUM($A869:$C869)</f>
        <v>0.0484863262692592</v>
      </c>
      <c r="E869" s="0" t="n">
        <f aca="false">B869/SUM($A869:$C869)</f>
        <v>0.668096772007274</v>
      </c>
      <c r="F869" s="0" t="n">
        <f aca="false">C869/SUM($A869:$C869)</f>
        <v>0.283416901723467</v>
      </c>
      <c r="G869" s="0" t="n">
        <f aca="false">SUMPRODUCT(D869:F869,Stats!$B$6:$D$6)</f>
        <v>0.387110015959741</v>
      </c>
      <c r="H869" s="0" t="n">
        <f aca="false">SQRT(SUMPRODUCT(MMULT(D869:F869,Stats!$B$12:$D$14),D869:F869))</f>
        <v>0.24150829782432</v>
      </c>
      <c r="I869" s="0" t="n">
        <f aca="false">(G869-Stats!$B$2)/H869</f>
        <v>1.42897788220421</v>
      </c>
    </row>
    <row r="870" customFormat="false" ht="15" hidden="false" customHeight="false" outlineLevel="0" collapsed="false">
      <c r="A870" s="0" t="n">
        <v>0.00013469300448532</v>
      </c>
      <c r="B870" s="0" t="n">
        <v>0.51112913923723</v>
      </c>
      <c r="C870" s="0" t="n">
        <v>0.0468519085276031</v>
      </c>
      <c r="D870" s="0" t="n">
        <f aca="false">A870/SUM($A870:$C870)</f>
        <v>0.000241335254762133</v>
      </c>
      <c r="E870" s="0" t="n">
        <f aca="false">B870/SUM($A870:$C870)</f>
        <v>0.915812083229688</v>
      </c>
      <c r="F870" s="0" t="n">
        <f aca="false">C870/SUM($A870:$C870)</f>
        <v>0.08394658151555</v>
      </c>
      <c r="G870" s="0" t="n">
        <f aca="false">SUMPRODUCT(D870:F870,Stats!$B$6:$D$6)</f>
        <v>0.40686355171524</v>
      </c>
      <c r="H870" s="0" t="n">
        <f aca="false">SQRT(SUMPRODUCT(MMULT(D870:F870,Stats!$B$12:$D$14),D870:F870))</f>
        <v>0.250826293350404</v>
      </c>
      <c r="I870" s="0" t="n">
        <f aca="false">(G870-Stats!$B$2)/H870</f>
        <v>1.45464634844133</v>
      </c>
    </row>
    <row r="871" customFormat="false" ht="15" hidden="false" customHeight="false" outlineLevel="0" collapsed="false">
      <c r="A871" s="0" t="n">
        <v>0.2761695578209</v>
      </c>
      <c r="B871" s="0" t="n">
        <v>0.706976487455716</v>
      </c>
      <c r="C871" s="0" t="n">
        <v>0.0626896216218659</v>
      </c>
      <c r="D871" s="0" t="n">
        <f aca="false">A871/SUM($A871:$C871)</f>
        <v>0.264065920260594</v>
      </c>
      <c r="E871" s="0" t="n">
        <f aca="false">B871/SUM($A871:$C871)</f>
        <v>0.675991945801885</v>
      </c>
      <c r="F871" s="0" t="n">
        <f aca="false">C871/SUM($A871:$C871)</f>
        <v>0.0599421339375215</v>
      </c>
      <c r="G871" s="0" t="n">
        <f aca="false">SUMPRODUCT(D871:F871,Stats!$B$6:$D$6)</f>
        <v>0.393726524810142</v>
      </c>
      <c r="H871" s="0" t="n">
        <f aca="false">SQRT(SUMPRODUCT(MMULT(D871:F871,Stats!$B$12:$D$14),D871:F871))</f>
        <v>0.235592415833433</v>
      </c>
      <c r="I871" s="0" t="n">
        <f aca="false">(G871-Stats!$B$2)/H871</f>
        <v>1.49294502357333</v>
      </c>
    </row>
    <row r="872" customFormat="false" ht="15" hidden="false" customHeight="false" outlineLevel="0" collapsed="false">
      <c r="A872" s="0" t="n">
        <v>0.839338492356002</v>
      </c>
      <c r="B872" s="0" t="n">
        <v>0.00381992265858311</v>
      </c>
      <c r="C872" s="0" t="n">
        <v>0.246823869201902</v>
      </c>
      <c r="D872" s="0" t="n">
        <f aca="false">A872/SUM($A872:$C872)</f>
        <v>0.770047829684997</v>
      </c>
      <c r="E872" s="0" t="n">
        <f aca="false">B872/SUM($A872:$C872)</f>
        <v>0.00350457316040598</v>
      </c>
      <c r="F872" s="0" t="n">
        <f aca="false">C872/SUM($A872:$C872)</f>
        <v>0.226447597154597</v>
      </c>
      <c r="G872" s="0" t="n">
        <f aca="false">SUMPRODUCT(D872:F872,Stats!$B$6:$D$6)</f>
        <v>0.350441147664883</v>
      </c>
      <c r="H872" s="0" t="n">
        <f aca="false">SQRT(SUMPRODUCT(MMULT(D872:F872,Stats!$B$12:$D$14),D872:F872))</f>
        <v>0.22291280264494</v>
      </c>
      <c r="I872" s="0" t="n">
        <f aca="false">(G872-Stats!$B$2)/H872</f>
        <v>1.38368520787106</v>
      </c>
    </row>
    <row r="873" customFormat="false" ht="15" hidden="false" customHeight="false" outlineLevel="0" collapsed="false">
      <c r="A873" s="0" t="n">
        <v>0.740904056152071</v>
      </c>
      <c r="B873" s="0" t="n">
        <v>0.316270149729307</v>
      </c>
      <c r="C873" s="0" t="n">
        <v>0.101892388066014</v>
      </c>
      <c r="D873" s="0" t="n">
        <f aca="false">A873/SUM($A873:$C873)</f>
        <v>0.63922475207296</v>
      </c>
      <c r="E873" s="0" t="n">
        <f aca="false">B873/SUM($A873:$C873)</f>
        <v>0.272866245460666</v>
      </c>
      <c r="F873" s="0" t="n">
        <f aca="false">C873/SUM($A873:$C873)</f>
        <v>0.0879090024663745</v>
      </c>
      <c r="G873" s="0" t="n">
        <f aca="false">SUMPRODUCT(D873:F873,Stats!$B$6:$D$6)</f>
        <v>0.369760018124833</v>
      </c>
      <c r="H873" s="0" t="n">
        <f aca="false">SQRT(SUMPRODUCT(MMULT(D873:F873,Stats!$B$12:$D$14),D873:F873))</f>
        <v>0.22470291081021</v>
      </c>
      <c r="I873" s="0" t="n">
        <f aca="false">(G873-Stats!$B$2)/H873</f>
        <v>1.45863717093397</v>
      </c>
    </row>
    <row r="874" customFormat="false" ht="15" hidden="false" customHeight="false" outlineLevel="0" collapsed="false">
      <c r="A874" s="0" t="n">
        <v>0.360233918800428</v>
      </c>
      <c r="B874" s="0" t="n">
        <v>0.270393286384526</v>
      </c>
      <c r="C874" s="0" t="n">
        <v>0.842711902160555</v>
      </c>
      <c r="D874" s="0" t="n">
        <f aca="false">A874/SUM($A874:$C874)</f>
        <v>0.244501701614</v>
      </c>
      <c r="E874" s="0" t="n">
        <f aca="false">B874/SUM($A874:$C874)</f>
        <v>0.183524135778686</v>
      </c>
      <c r="F874" s="0" t="n">
        <f aca="false">C874/SUM($A874:$C874)</f>
        <v>0.571974162607314</v>
      </c>
      <c r="G874" s="0" t="n">
        <f aca="false">SUMPRODUCT(D874:F874,Stats!$B$6:$D$6)</f>
        <v>0.351271478157324</v>
      </c>
      <c r="H874" s="0" t="n">
        <f aca="false">SQRT(SUMPRODUCT(MMULT(D874:F874,Stats!$B$12:$D$14),D874:F874))</f>
        <v>0.231325501085921</v>
      </c>
      <c r="I874" s="0" t="n">
        <f aca="false">(G874-Stats!$B$2)/H874</f>
        <v>1.33695367223025</v>
      </c>
    </row>
    <row r="875" customFormat="false" ht="15" hidden="false" customHeight="false" outlineLevel="0" collapsed="false">
      <c r="A875" s="0" t="n">
        <v>0.313347917585143</v>
      </c>
      <c r="B875" s="0" t="n">
        <v>0.788932471776007</v>
      </c>
      <c r="C875" s="0" t="n">
        <v>0.891872144810735</v>
      </c>
      <c r="D875" s="0" t="n">
        <f aca="false">A875/SUM($A875:$C875)</f>
        <v>0.157133374812408</v>
      </c>
      <c r="E875" s="0" t="n">
        <f aca="false">B875/SUM($A875:$C875)</f>
        <v>0.395622931674897</v>
      </c>
      <c r="F875" s="0" t="n">
        <f aca="false">C875/SUM($A875:$C875)</f>
        <v>0.447243693512695</v>
      </c>
      <c r="G875" s="0" t="n">
        <f aca="false">SUMPRODUCT(D875:F875,Stats!$B$6:$D$6)</f>
        <v>0.366914763070516</v>
      </c>
      <c r="H875" s="0" t="n">
        <f aca="false">SQRT(SUMPRODUCT(MMULT(D875:F875,Stats!$B$12:$D$14),D875:F875))</f>
        <v>0.233815342092006</v>
      </c>
      <c r="I875" s="0" t="n">
        <f aca="false">(G875-Stats!$B$2)/H875</f>
        <v>1.38962122914356</v>
      </c>
    </row>
    <row r="876" customFormat="false" ht="15" hidden="false" customHeight="false" outlineLevel="0" collapsed="false">
      <c r="A876" s="0" t="n">
        <v>0.43381741957653</v>
      </c>
      <c r="B876" s="0" t="n">
        <v>0.909943143854392</v>
      </c>
      <c r="C876" s="0" t="n">
        <v>0.377318053963193</v>
      </c>
      <c r="D876" s="0" t="n">
        <f aca="false">A876/SUM($A876:$C876)</f>
        <v>0.252061361516055</v>
      </c>
      <c r="E876" s="0" t="n">
        <f aca="false">B876/SUM($A876:$C876)</f>
        <v>0.528705158880038</v>
      </c>
      <c r="F876" s="0" t="n">
        <f aca="false">C876/SUM($A876:$C876)</f>
        <v>0.219233479603907</v>
      </c>
      <c r="G876" s="0" t="n">
        <f aca="false">SUMPRODUCT(D876:F876,Stats!$B$6:$D$6)</f>
        <v>0.380859436130139</v>
      </c>
      <c r="H876" s="0" t="n">
        <f aca="false">SQRT(SUMPRODUCT(MMULT(D876:F876,Stats!$B$12:$D$14),D876:F876))</f>
        <v>0.231234464006906</v>
      </c>
      <c r="I876" s="0" t="n">
        <f aca="false">(G876-Stats!$B$2)/H876</f>
        <v>1.46543655412897</v>
      </c>
    </row>
    <row r="877" customFormat="false" ht="15" hidden="false" customHeight="false" outlineLevel="0" collapsed="false">
      <c r="A877" s="0" t="n">
        <v>0.964078416490108</v>
      </c>
      <c r="B877" s="0" t="n">
        <v>0.0892895245255729</v>
      </c>
      <c r="C877" s="0" t="n">
        <v>0.687019266503243</v>
      </c>
      <c r="D877" s="0" t="n">
        <f aca="false">A877/SUM($A877:$C877)</f>
        <v>0.553944784427879</v>
      </c>
      <c r="E877" s="0" t="n">
        <f aca="false">B877/SUM($A877:$C877)</f>
        <v>0.0513044017675027</v>
      </c>
      <c r="F877" s="0" t="n">
        <f aca="false">C877/SUM($A877:$C877)</f>
        <v>0.394750813804619</v>
      </c>
      <c r="G877" s="0" t="n">
        <f aca="false">SUMPRODUCT(D877:F877,Stats!$B$6:$D$6)</f>
        <v>0.348550591470524</v>
      </c>
      <c r="H877" s="0" t="n">
        <f aca="false">SQRT(SUMPRODUCT(MMULT(D877:F877,Stats!$B$12:$D$14),D877:F877))</f>
        <v>0.221740328009864</v>
      </c>
      <c r="I877" s="0" t="n">
        <f aca="false">(G877-Stats!$B$2)/H877</f>
        <v>1.38247559305896</v>
      </c>
    </row>
    <row r="878" customFormat="false" ht="15" hidden="false" customHeight="false" outlineLevel="0" collapsed="false">
      <c r="A878" s="0" t="n">
        <v>0.493814040456929</v>
      </c>
      <c r="B878" s="0" t="n">
        <v>0.387648805455647</v>
      </c>
      <c r="C878" s="0" t="n">
        <v>0.632711878748601</v>
      </c>
      <c r="D878" s="0" t="n">
        <f aca="false">A878/SUM($A878:$C878)</f>
        <v>0.326127515150161</v>
      </c>
      <c r="E878" s="0" t="n">
        <f aca="false">B878/SUM($A878:$C878)</f>
        <v>0.256013258669597</v>
      </c>
      <c r="F878" s="0" t="n">
        <f aca="false">C878/SUM($A878:$C878)</f>
        <v>0.417859226180242</v>
      </c>
      <c r="G878" s="0" t="n">
        <f aca="false">SUMPRODUCT(D878:F878,Stats!$B$6:$D$6)</f>
        <v>0.359692068563887</v>
      </c>
      <c r="H878" s="0" t="n">
        <f aca="false">SQRT(SUMPRODUCT(MMULT(D878:F878,Stats!$B$12:$D$14),D878:F878))</f>
        <v>0.226465973792153</v>
      </c>
      <c r="I878" s="0" t="n">
        <f aca="false">(G878-Stats!$B$2)/H878</f>
        <v>1.40282473010917</v>
      </c>
    </row>
    <row r="879" customFormat="false" ht="15" hidden="false" customHeight="false" outlineLevel="0" collapsed="false">
      <c r="A879" s="0" t="n">
        <v>0.703857091634331</v>
      </c>
      <c r="B879" s="0" t="n">
        <v>0.00436326965030909</v>
      </c>
      <c r="C879" s="0" t="n">
        <v>0.166953088747199</v>
      </c>
      <c r="D879" s="0" t="n">
        <f aca="false">A879/SUM($A879:$C879)</f>
        <v>0.804248679628849</v>
      </c>
      <c r="E879" s="0" t="n">
        <f aca="false">B879/SUM($A879:$C879)</f>
        <v>0.00498560559641103</v>
      </c>
      <c r="F879" s="0" t="n">
        <f aca="false">C879/SUM($A879:$C879)</f>
        <v>0.19076571477474</v>
      </c>
      <c r="G879" s="0" t="n">
        <f aca="false">SUMPRODUCT(D879:F879,Stats!$B$6:$D$6)</f>
        <v>0.351510278537039</v>
      </c>
      <c r="H879" s="0" t="n">
        <f aca="false">SQRT(SUMPRODUCT(MMULT(D879:F879,Stats!$B$12:$D$14),D879:F879))</f>
        <v>0.223885672731819</v>
      </c>
      <c r="I879" s="0" t="n">
        <f aca="false">(G879-Stats!$B$2)/H879</f>
        <v>1.38244790191548</v>
      </c>
    </row>
    <row r="880" customFormat="false" ht="15" hidden="false" customHeight="false" outlineLevel="0" collapsed="false">
      <c r="A880" s="0" t="n">
        <v>0.713046050634319</v>
      </c>
      <c r="B880" s="0" t="n">
        <v>0.666385413578207</v>
      </c>
      <c r="C880" s="0" t="n">
        <v>0.966047505128677</v>
      </c>
      <c r="D880" s="0" t="n">
        <f aca="false">A880/SUM($A880:$C880)</f>
        <v>0.304008716323983</v>
      </c>
      <c r="E880" s="0" t="n">
        <f aca="false">B880/SUM($A880:$C880)</f>
        <v>0.284114853421764</v>
      </c>
      <c r="F880" s="0" t="n">
        <f aca="false">C880/SUM($A880:$C880)</f>
        <v>0.411876430254252</v>
      </c>
      <c r="G880" s="0" t="n">
        <f aca="false">SUMPRODUCT(D880:F880,Stats!$B$6:$D$6)</f>
        <v>0.361473971251299</v>
      </c>
      <c r="H880" s="0" t="n">
        <f aca="false">SQRT(SUMPRODUCT(MMULT(D880:F880,Stats!$B$12:$D$14),D880:F880))</f>
        <v>0.227219263691024</v>
      </c>
      <c r="I880" s="0" t="n">
        <f aca="false">(G880-Stats!$B$2)/H880</f>
        <v>1.40601622442419</v>
      </c>
    </row>
    <row r="881" customFormat="false" ht="15" hidden="false" customHeight="false" outlineLevel="0" collapsed="false">
      <c r="A881" s="0" t="n">
        <v>0.761037790250783</v>
      </c>
      <c r="B881" s="0" t="n">
        <v>0.950772707731338</v>
      </c>
      <c r="C881" s="0" t="n">
        <v>0.702540501534807</v>
      </c>
      <c r="D881" s="0" t="n">
        <f aca="false">A881/SUM($A881:$C881)</f>
        <v>0.315214229580974</v>
      </c>
      <c r="E881" s="0" t="n">
        <f aca="false">B881/SUM($A881:$C881)</f>
        <v>0.393800531870292</v>
      </c>
      <c r="F881" s="0" t="n">
        <f aca="false">C881/SUM($A881:$C881)</f>
        <v>0.290985238548734</v>
      </c>
      <c r="G881" s="0" t="n">
        <f aca="false">SUMPRODUCT(D881:F881,Stats!$B$6:$D$6)</f>
        <v>0.371118671339914</v>
      </c>
      <c r="H881" s="0" t="n">
        <f aca="false">SQRT(SUMPRODUCT(MMULT(D881:F881,Stats!$B$12:$D$14),D881:F881))</f>
        <v>0.227352691160233</v>
      </c>
      <c r="I881" s="0" t="n">
        <f aca="false">(G881-Stats!$B$2)/H881</f>
        <v>1.44761282419991</v>
      </c>
    </row>
    <row r="882" customFormat="false" ht="15" hidden="false" customHeight="false" outlineLevel="0" collapsed="false">
      <c r="A882" s="0" t="n">
        <v>0.298052208639443</v>
      </c>
      <c r="B882" s="0" t="n">
        <v>0.105364922250857</v>
      </c>
      <c r="C882" s="0" t="n">
        <v>0.781823863344936</v>
      </c>
      <c r="D882" s="0" t="n">
        <f aca="false">A882/SUM($A882:$C882)</f>
        <v>0.251469709611047</v>
      </c>
      <c r="E882" s="0" t="n">
        <f aca="false">B882/SUM($A882:$C882)</f>
        <v>0.0888974670664696</v>
      </c>
      <c r="F882" s="0" t="n">
        <f aca="false">C882/SUM($A882:$C882)</f>
        <v>0.659632823322483</v>
      </c>
      <c r="G882" s="0" t="n">
        <f aca="false">SUMPRODUCT(D882:F882,Stats!$B$6:$D$6)</f>
        <v>0.343409628258597</v>
      </c>
      <c r="H882" s="0" t="n">
        <f aca="false">SQRT(SUMPRODUCT(MMULT(D882:F882,Stats!$B$12:$D$14),D882:F882))</f>
        <v>0.233319789657961</v>
      </c>
      <c r="I882" s="0" t="n">
        <f aca="false">(G882-Stats!$B$2)/H882</f>
        <v>1.29183053310846</v>
      </c>
    </row>
    <row r="883" customFormat="false" ht="15" hidden="false" customHeight="false" outlineLevel="0" collapsed="false">
      <c r="A883" s="0" t="n">
        <v>0.644149221475916</v>
      </c>
      <c r="B883" s="0" t="n">
        <v>0.0481860123932962</v>
      </c>
      <c r="C883" s="0" t="n">
        <v>0.360050465900978</v>
      </c>
      <c r="D883" s="0" t="n">
        <f aca="false">A883/SUM($A883:$C883)</f>
        <v>0.612084734348423</v>
      </c>
      <c r="E883" s="0" t="n">
        <f aca="false">B883/SUM($A883:$C883)</f>
        <v>0.0457874070351</v>
      </c>
      <c r="F883" s="0" t="n">
        <f aca="false">C883/SUM($A883:$C883)</f>
        <v>0.342127858616477</v>
      </c>
      <c r="G883" s="0" t="n">
        <f aca="false">SUMPRODUCT(D883:F883,Stats!$B$6:$D$6)</f>
        <v>0.349684208483589</v>
      </c>
      <c r="H883" s="0" t="n">
        <f aca="false">SQRT(SUMPRODUCT(MMULT(D883:F883,Stats!$B$12:$D$14),D883:F883))</f>
        <v>0.221299400423085</v>
      </c>
      <c r="I883" s="0" t="n">
        <f aca="false">(G883-Stats!$B$2)/H883</f>
        <v>1.39035265299116</v>
      </c>
    </row>
    <row r="884" customFormat="false" ht="15" hidden="false" customHeight="false" outlineLevel="0" collapsed="false">
      <c r="A884" s="0" t="n">
        <v>0.956799815484286</v>
      </c>
      <c r="B884" s="0" t="n">
        <v>0.500401145710201</v>
      </c>
      <c r="C884" s="0" t="n">
        <v>0.432729136019705</v>
      </c>
      <c r="D884" s="0" t="n">
        <f aca="false">A884/SUM($A884:$C884)</f>
        <v>0.506262013020818</v>
      </c>
      <c r="E884" s="0" t="n">
        <f aca="false">B884/SUM($A884:$C884)</f>
        <v>0.264772303720548</v>
      </c>
      <c r="F884" s="0" t="n">
        <f aca="false">C884/SUM($A884:$C884)</f>
        <v>0.228965683258634</v>
      </c>
      <c r="G884" s="0" t="n">
        <f aca="false">SUMPRODUCT(D884:F884,Stats!$B$6:$D$6)</f>
        <v>0.365404719473295</v>
      </c>
      <c r="H884" s="0" t="n">
        <f aca="false">SQRT(SUMPRODUCT(MMULT(D884:F884,Stats!$B$12:$D$14),D884:F884))</f>
        <v>0.22294994456133</v>
      </c>
      <c r="I884" s="0" t="n">
        <f aca="false">(G884-Stats!$B$2)/H884</f>
        <v>1.45057097955156</v>
      </c>
    </row>
    <row r="885" customFormat="false" ht="15" hidden="false" customHeight="false" outlineLevel="0" collapsed="false">
      <c r="A885" s="0" t="n">
        <v>0.457699605159294</v>
      </c>
      <c r="B885" s="0" t="n">
        <v>0.208882724005164</v>
      </c>
      <c r="C885" s="0" t="n">
        <v>0.368707170864795</v>
      </c>
      <c r="D885" s="0" t="n">
        <f aca="false">A885/SUM($A885:$C885)</f>
        <v>0.442098181374738</v>
      </c>
      <c r="E885" s="0" t="n">
        <f aca="false">B885/SUM($A885:$C885)</f>
        <v>0.20176262195189</v>
      </c>
      <c r="F885" s="0" t="n">
        <f aca="false">C885/SUM($A885:$C885)</f>
        <v>0.356139196673372</v>
      </c>
      <c r="G885" s="0" t="n">
        <f aca="false">SUMPRODUCT(D885:F885,Stats!$B$6:$D$6)</f>
        <v>0.358272463217256</v>
      </c>
      <c r="H885" s="0" t="n">
        <f aca="false">SQRT(SUMPRODUCT(MMULT(D885:F885,Stats!$B$12:$D$14),D885:F885))</f>
        <v>0.223174117104436</v>
      </c>
      <c r="I885" s="0" t="n">
        <f aca="false">(G885-Stats!$B$2)/H885</f>
        <v>1.41715565998746</v>
      </c>
    </row>
    <row r="886" customFormat="false" ht="15" hidden="false" customHeight="false" outlineLevel="0" collapsed="false">
      <c r="A886" s="0" t="n">
        <v>0.369813255987177</v>
      </c>
      <c r="B886" s="0" t="n">
        <v>0.0523550201874724</v>
      </c>
      <c r="C886" s="0" t="n">
        <v>0.767567628517918</v>
      </c>
      <c r="D886" s="0" t="n">
        <f aca="false">A886/SUM($A886:$C886)</f>
        <v>0.310836425570209</v>
      </c>
      <c r="E886" s="0" t="n">
        <f aca="false">B886/SUM($A886:$C886)</f>
        <v>0.0440055813907719</v>
      </c>
      <c r="F886" s="0" t="n">
        <f aca="false">C886/SUM($A886:$C886)</f>
        <v>0.645157993039019</v>
      </c>
      <c r="G886" s="0" t="n">
        <f aca="false">SUMPRODUCT(D886:F886,Stats!$B$6:$D$6)</f>
        <v>0.341225745137002</v>
      </c>
      <c r="H886" s="0" t="n">
        <f aca="false">SQRT(SUMPRODUCT(MMULT(D886:F886,Stats!$B$12:$D$14),D886:F886))</f>
        <v>0.230948293472893</v>
      </c>
      <c r="I886" s="0" t="n">
        <f aca="false">(G886-Stats!$B$2)/H886</f>
        <v>1.29563955912981</v>
      </c>
    </row>
    <row r="887" customFormat="false" ht="15" hidden="false" customHeight="false" outlineLevel="0" collapsed="false">
      <c r="A887" s="0" t="n">
        <v>0.416504431903879</v>
      </c>
      <c r="B887" s="0" t="n">
        <v>0.822179886816423</v>
      </c>
      <c r="C887" s="0" t="n">
        <v>0.850348001119895</v>
      </c>
      <c r="D887" s="0" t="n">
        <f aca="false">A887/SUM($A887:$C887)</f>
        <v>0.199376729573882</v>
      </c>
      <c r="E887" s="0" t="n">
        <f aca="false">B887/SUM($A887:$C887)</f>
        <v>0.393569730352145</v>
      </c>
      <c r="F887" s="0" t="n">
        <f aca="false">C887/SUM($A887:$C887)</f>
        <v>0.407053540073972</v>
      </c>
      <c r="G887" s="0" t="n">
        <f aca="false">SUMPRODUCT(D887:F887,Stats!$B$6:$D$6)</f>
        <v>0.367904852546938</v>
      </c>
      <c r="H887" s="0" t="n">
        <f aca="false">SQRT(SUMPRODUCT(MMULT(D887:F887,Stats!$B$12:$D$14),D887:F887))</f>
        <v>0.231644665670031</v>
      </c>
      <c r="I887" s="0" t="n">
        <f aca="false">(G887-Stats!$B$2)/H887</f>
        <v>1.40691714874703</v>
      </c>
    </row>
    <row r="888" customFormat="false" ht="15" hidden="false" customHeight="false" outlineLevel="0" collapsed="false">
      <c r="A888" s="0" t="n">
        <v>0.211994054698658</v>
      </c>
      <c r="B888" s="0" t="n">
        <v>0.657353482170129</v>
      </c>
      <c r="C888" s="0" t="n">
        <v>0.472281804162982</v>
      </c>
      <c r="D888" s="0" t="n">
        <f aca="false">A888/SUM($A888:$C888)</f>
        <v>0.158012387039498</v>
      </c>
      <c r="E888" s="0" t="n">
        <f aca="false">B888/SUM($A888:$C888)</f>
        <v>0.489966537005367</v>
      </c>
      <c r="F888" s="0" t="n">
        <f aca="false">C888/SUM($A888:$C888)</f>
        <v>0.352021075955135</v>
      </c>
      <c r="G888" s="0" t="n">
        <f aca="false">SUMPRODUCT(D888:F888,Stats!$B$6:$D$6)</f>
        <v>0.374968899069298</v>
      </c>
      <c r="H888" s="0" t="n">
        <f aca="false">SQRT(SUMPRODUCT(MMULT(D888:F888,Stats!$B$12:$D$14),D888:F888))</f>
        <v>0.233994648226528</v>
      </c>
      <c r="I888" s="0" t="n">
        <f aca="false">(G888-Stats!$B$2)/H888</f>
        <v>1.42297655776705</v>
      </c>
    </row>
    <row r="889" customFormat="false" ht="15" hidden="false" customHeight="false" outlineLevel="0" collapsed="false">
      <c r="A889" s="0" t="n">
        <v>0.880156737921485</v>
      </c>
      <c r="B889" s="0" t="n">
        <v>0.215740679176454</v>
      </c>
      <c r="C889" s="0" t="n">
        <v>0.677813200310044</v>
      </c>
      <c r="D889" s="0" t="n">
        <f aca="false">A889/SUM($A889:$C889)</f>
        <v>0.496223413945452</v>
      </c>
      <c r="E889" s="0" t="n">
        <f aca="false">B889/SUM($A889:$C889)</f>
        <v>0.121632399929887</v>
      </c>
      <c r="F889" s="0" t="n">
        <f aca="false">C889/SUM($A889:$C889)</f>
        <v>0.382144186124661</v>
      </c>
      <c r="G889" s="0" t="n">
        <f aca="false">SUMPRODUCT(D889:F889,Stats!$B$6:$D$6)</f>
        <v>0.352944796370552</v>
      </c>
      <c r="H889" s="0" t="n">
        <f aca="false">SQRT(SUMPRODUCT(MMULT(D889:F889,Stats!$B$12:$D$14),D889:F889))</f>
        <v>0.222261912613572</v>
      </c>
      <c r="I889" s="0" t="n">
        <f aca="false">(G889-Stats!$B$2)/H889</f>
        <v>1.39900171250288</v>
      </c>
    </row>
    <row r="890" customFormat="false" ht="15" hidden="false" customHeight="false" outlineLevel="0" collapsed="false">
      <c r="A890" s="0" t="n">
        <v>0.607752122252723</v>
      </c>
      <c r="B890" s="0" t="n">
        <v>0.295301477571833</v>
      </c>
      <c r="C890" s="0" t="n">
        <v>0.136600903651173</v>
      </c>
      <c r="D890" s="0" t="n">
        <f aca="false">A890/SUM($A890:$C890)</f>
        <v>0.58457123998493</v>
      </c>
      <c r="E890" s="0" t="n">
        <f aca="false">B890/SUM($A890:$C890)</f>
        <v>0.284038088215454</v>
      </c>
      <c r="F890" s="0" t="n">
        <f aca="false">C890/SUM($A890:$C890)</f>
        <v>0.131390671799617</v>
      </c>
      <c r="G890" s="0" t="n">
        <f aca="false">SUMPRODUCT(D890:F890,Stats!$B$6:$D$6)</f>
        <v>0.369203841189575</v>
      </c>
      <c r="H890" s="0" t="n">
        <f aca="false">SQRT(SUMPRODUCT(MMULT(D890:F890,Stats!$B$12:$D$14),D890:F890))</f>
        <v>0.223884720039029</v>
      </c>
      <c r="I890" s="0" t="n">
        <f aca="false">(G890-Stats!$B$2)/H890</f>
        <v>1.46148357571046</v>
      </c>
    </row>
    <row r="891" customFormat="false" ht="15" hidden="false" customHeight="false" outlineLevel="0" collapsed="false">
      <c r="A891" s="0" t="n">
        <v>0.651639760477277</v>
      </c>
      <c r="B891" s="0" t="n">
        <v>0.738597458132331</v>
      </c>
      <c r="C891" s="0" t="n">
        <v>0.31562734376335</v>
      </c>
      <c r="D891" s="0" t="n">
        <f aca="false">A891/SUM($A891:$C891)</f>
        <v>0.381999705516367</v>
      </c>
      <c r="E891" s="0" t="n">
        <f aca="false">B891/SUM($A891:$C891)</f>
        <v>0.432975439213591</v>
      </c>
      <c r="F891" s="0" t="n">
        <f aca="false">C891/SUM($A891:$C891)</f>
        <v>0.185024855270042</v>
      </c>
      <c r="G891" s="0" t="n">
        <f aca="false">SUMPRODUCT(D891:F891,Stats!$B$6:$D$6)</f>
        <v>0.376294561619761</v>
      </c>
      <c r="H891" s="0" t="n">
        <f aca="false">SQRT(SUMPRODUCT(MMULT(D891:F891,Stats!$B$12:$D$14),D891:F891))</f>
        <v>0.226849377250972</v>
      </c>
      <c r="I891" s="0" t="n">
        <f aca="false">(G891-Stats!$B$2)/H891</f>
        <v>1.47364108145608</v>
      </c>
    </row>
    <row r="892" customFormat="false" ht="15" hidden="false" customHeight="false" outlineLevel="0" collapsed="false">
      <c r="A892" s="0" t="n">
        <v>0.644832604022314</v>
      </c>
      <c r="B892" s="0" t="n">
        <v>0.395130907611503</v>
      </c>
      <c r="C892" s="0" t="n">
        <v>0.713206883282618</v>
      </c>
      <c r="D892" s="0" t="n">
        <f aca="false">A892/SUM($A892:$C892)</f>
        <v>0.367809430214027</v>
      </c>
      <c r="E892" s="0" t="n">
        <f aca="false">B892/SUM($A892:$C892)</f>
        <v>0.225380778022057</v>
      </c>
      <c r="F892" s="0" t="n">
        <f aca="false">C892/SUM($A892:$C892)</f>
        <v>0.406809791763916</v>
      </c>
      <c r="G892" s="0" t="n">
        <f aca="false">SUMPRODUCT(D892:F892,Stats!$B$6:$D$6)</f>
        <v>0.358234199178466</v>
      </c>
      <c r="H892" s="0" t="n">
        <f aca="false">SQRT(SUMPRODUCT(MMULT(D892:F892,Stats!$B$12:$D$14),D892:F892))</f>
        <v>0.225119269868509</v>
      </c>
      <c r="I892" s="0" t="n">
        <f aca="false">(G892-Stats!$B$2)/H892</f>
        <v>1.40474069306984</v>
      </c>
    </row>
    <row r="893" customFormat="false" ht="15" hidden="false" customHeight="false" outlineLevel="0" collapsed="false">
      <c r="A893" s="0" t="n">
        <v>0.199215274894053</v>
      </c>
      <c r="B893" s="0" t="n">
        <v>0.890215002636174</v>
      </c>
      <c r="C893" s="0" t="n">
        <v>0.28740959646558</v>
      </c>
      <c r="D893" s="0" t="n">
        <f aca="false">A893/SUM($A893:$C893)</f>
        <v>0.144690227713916</v>
      </c>
      <c r="E893" s="0" t="n">
        <f aca="false">B893/SUM($A893:$C893)</f>
        <v>0.646563931978981</v>
      </c>
      <c r="F893" s="0" t="n">
        <f aca="false">C893/SUM($A893:$C893)</f>
        <v>0.208745840307102</v>
      </c>
      <c r="G893" s="0" t="n">
        <f aca="false">SUMPRODUCT(D893:F893,Stats!$B$6:$D$6)</f>
        <v>0.387930070012479</v>
      </c>
      <c r="H893" s="0" t="n">
        <f aca="false">SQRT(SUMPRODUCT(MMULT(D893:F893,Stats!$B$12:$D$14),D893:F893))</f>
        <v>0.237119462076543</v>
      </c>
      <c r="I893" s="0" t="n">
        <f aca="false">(G893-Stats!$B$2)/H893</f>
        <v>1.45888518379318</v>
      </c>
    </row>
    <row r="894" customFormat="false" ht="15" hidden="false" customHeight="false" outlineLevel="0" collapsed="false">
      <c r="A894" s="0" t="n">
        <v>0.367785987756153</v>
      </c>
      <c r="B894" s="0" t="n">
        <v>0.0580919520803498</v>
      </c>
      <c r="C894" s="0" t="n">
        <v>0.111512212321276</v>
      </c>
      <c r="D894" s="0" t="n">
        <f aca="false">A894/SUM($A894:$C894)</f>
        <v>0.684392868532079</v>
      </c>
      <c r="E894" s="0" t="n">
        <f aca="false">B894/SUM($A894:$C894)</f>
        <v>0.10810014260048</v>
      </c>
      <c r="F894" s="0" t="n">
        <f aca="false">C894/SUM($A894:$C894)</f>
        <v>0.20750698886744</v>
      </c>
      <c r="G894" s="0" t="n">
        <f aca="false">SUMPRODUCT(D894:F894,Stats!$B$6:$D$6)</f>
        <v>0.356981721343646</v>
      </c>
      <c r="H894" s="0" t="n">
        <f aca="false">SQRT(SUMPRODUCT(MMULT(D894:F894,Stats!$B$12:$D$14),D894:F894))</f>
        <v>0.222214454366086</v>
      </c>
      <c r="I894" s="0" t="n">
        <f aca="false">(G894-Stats!$B$2)/H894</f>
        <v>1.41746729411549</v>
      </c>
    </row>
    <row r="895" customFormat="false" ht="15" hidden="false" customHeight="false" outlineLevel="0" collapsed="false">
      <c r="A895" s="0" t="n">
        <v>0.515861902712328</v>
      </c>
      <c r="B895" s="0" t="n">
        <v>0.267592676727972</v>
      </c>
      <c r="C895" s="0" t="n">
        <v>0.835480225742194</v>
      </c>
      <c r="D895" s="0" t="n">
        <f aca="false">A895/SUM($A895:$C895)</f>
        <v>0.318642789728755</v>
      </c>
      <c r="E895" s="0" t="n">
        <f aca="false">B895/SUM($A895:$C895)</f>
        <v>0.165289346965276</v>
      </c>
      <c r="F895" s="0" t="n">
        <f aca="false">C895/SUM($A895:$C895)</f>
        <v>0.516067863305969</v>
      </c>
      <c r="G895" s="0" t="n">
        <f aca="false">SUMPRODUCT(D895:F895,Stats!$B$6:$D$6)</f>
        <v>0.351763866710367</v>
      </c>
      <c r="H895" s="0" t="n">
        <f aca="false">SQRT(SUMPRODUCT(MMULT(D895:F895,Stats!$B$12:$D$14),D895:F895))</f>
        <v>0.227685675075209</v>
      </c>
      <c r="I895" s="0" t="n">
        <f aca="false">(G895-Stats!$B$2)/H895</f>
        <v>1.36048904529478</v>
      </c>
    </row>
    <row r="896" customFormat="false" ht="15" hidden="false" customHeight="false" outlineLevel="0" collapsed="false">
      <c r="A896" s="0" t="n">
        <v>0.0146933886549538</v>
      </c>
      <c r="B896" s="0" t="n">
        <v>0.379094048671936</v>
      </c>
      <c r="C896" s="0" t="n">
        <v>0.337345546769093</v>
      </c>
      <c r="D896" s="0" t="n">
        <f aca="false">A896/SUM($A896:$C896)</f>
        <v>0.020096738862249</v>
      </c>
      <c r="E896" s="0" t="n">
        <f aca="false">B896/SUM($A896:$C896)</f>
        <v>0.518502183485363</v>
      </c>
      <c r="F896" s="0" t="n">
        <f aca="false">C896/SUM($A896:$C896)</f>
        <v>0.461401077652388</v>
      </c>
      <c r="G896" s="0" t="n">
        <f aca="false">SUMPRODUCT(D896:F896,Stats!$B$6:$D$6)</f>
        <v>0.373594691757751</v>
      </c>
      <c r="H896" s="0" t="n">
        <f aca="false">SQRT(SUMPRODUCT(MMULT(D896:F896,Stats!$B$12:$D$14),D896:F896))</f>
        <v>0.241899293960855</v>
      </c>
      <c r="I896" s="0" t="n">
        <f aca="false">(G896-Stats!$B$2)/H896</f>
        <v>1.37079644313228</v>
      </c>
    </row>
    <row r="897" customFormat="false" ht="15" hidden="false" customHeight="false" outlineLevel="0" collapsed="false">
      <c r="A897" s="0" t="n">
        <v>0.019327630917601</v>
      </c>
      <c r="B897" s="0" t="n">
        <v>0.12436839900051</v>
      </c>
      <c r="C897" s="0" t="n">
        <v>0.413642674918635</v>
      </c>
      <c r="D897" s="0" t="n">
        <f aca="false">A897/SUM($A897:$C897)</f>
        <v>0.0346784293821159</v>
      </c>
      <c r="E897" s="0" t="n">
        <f aca="false">B897/SUM($A897:$C897)</f>
        <v>0.223146890609257</v>
      </c>
      <c r="F897" s="0" t="n">
        <f aca="false">C897/SUM($A897:$C897)</f>
        <v>0.742174680008628</v>
      </c>
      <c r="G897" s="0" t="n">
        <f aca="false">SUMPRODUCT(D897:F897,Stats!$B$6:$D$6)</f>
        <v>0.348858106382767</v>
      </c>
      <c r="H897" s="0" t="n">
        <f aca="false">SQRT(SUMPRODUCT(MMULT(D897:F897,Stats!$B$12:$D$14),D897:F897))</f>
        <v>0.245998351363338</v>
      </c>
      <c r="I897" s="0" t="n">
        <f aca="false">(G897-Stats!$B$2)/H897</f>
        <v>1.24739903614045</v>
      </c>
    </row>
    <row r="898" customFormat="false" ht="15" hidden="false" customHeight="false" outlineLevel="0" collapsed="false">
      <c r="A898" s="0" t="n">
        <v>0.492864584447447</v>
      </c>
      <c r="B898" s="0" t="n">
        <v>0.404289747254869</v>
      </c>
      <c r="C898" s="0" t="n">
        <v>0.530937678412094</v>
      </c>
      <c r="D898" s="0" t="n">
        <f aca="false">A898/SUM($A898:$C898)</f>
        <v>0.345121029287155</v>
      </c>
      <c r="E898" s="0" t="n">
        <f aca="false">B898/SUM($A898:$C898)</f>
        <v>0.283097828705365</v>
      </c>
      <c r="F898" s="0" t="n">
        <f aca="false">C898/SUM($A898:$C898)</f>
        <v>0.371781142007481</v>
      </c>
      <c r="G898" s="0" t="n">
        <f aca="false">SUMPRODUCT(D898:F898,Stats!$B$6:$D$6)</f>
        <v>0.362521065117373</v>
      </c>
      <c r="H898" s="0" t="n">
        <f aca="false">SQRT(SUMPRODUCT(MMULT(D898:F898,Stats!$B$12:$D$14),D898:F898))</f>
        <v>0.225772438131888</v>
      </c>
      <c r="I898" s="0" t="n">
        <f aca="false">(G898-Stats!$B$2)/H898</f>
        <v>1.41966427686863</v>
      </c>
    </row>
    <row r="899" customFormat="false" ht="15" hidden="false" customHeight="false" outlineLevel="0" collapsed="false">
      <c r="A899" s="0" t="n">
        <v>0.595131674905682</v>
      </c>
      <c r="B899" s="0" t="n">
        <v>0.00992382112783563</v>
      </c>
      <c r="C899" s="0" t="n">
        <v>0.464095159453504</v>
      </c>
      <c r="D899" s="0" t="n">
        <f aca="false">A899/SUM($A899:$C899)</f>
        <v>0.556639676411727</v>
      </c>
      <c r="E899" s="0" t="n">
        <f aca="false">B899/SUM($A899:$C899)</f>
        <v>0.00928196702392248</v>
      </c>
      <c r="F899" s="0" t="n">
        <f aca="false">C899/SUM($A899:$C899)</f>
        <v>0.43407835656435</v>
      </c>
      <c r="G899" s="0" t="n">
        <f aca="false">SUMPRODUCT(D899:F899,Stats!$B$6:$D$6)</f>
        <v>0.34504823309852</v>
      </c>
      <c r="H899" s="0" t="n">
        <f aca="false">SQRT(SUMPRODUCT(MMULT(D899:F899,Stats!$B$12:$D$14),D899:F899))</f>
        <v>0.222099065183287</v>
      </c>
      <c r="I899" s="0" t="n">
        <f aca="false">(G899-Stats!$B$2)/H899</f>
        <v>1.36447324912615</v>
      </c>
    </row>
    <row r="900" customFormat="false" ht="15" hidden="false" customHeight="false" outlineLevel="0" collapsed="false">
      <c r="A900" s="0" t="n">
        <v>0.963499240887588</v>
      </c>
      <c r="B900" s="0" t="n">
        <v>0.519032280129549</v>
      </c>
      <c r="C900" s="0" t="n">
        <v>0.677542267458953</v>
      </c>
      <c r="D900" s="0" t="n">
        <f aca="false">A900/SUM($A900:$C900)</f>
        <v>0.446049225738407</v>
      </c>
      <c r="E900" s="0" t="n">
        <f aca="false">B900/SUM($A900:$C900)</f>
        <v>0.240284513843261</v>
      </c>
      <c r="F900" s="0" t="n">
        <f aca="false">C900/SUM($A900:$C900)</f>
        <v>0.313666260418331</v>
      </c>
      <c r="G900" s="0" t="n">
        <f aca="false">SUMPRODUCT(D900:F900,Stats!$B$6:$D$6)</f>
        <v>0.361660137900059</v>
      </c>
      <c r="H900" s="0" t="n">
        <f aca="false">SQRT(SUMPRODUCT(MMULT(D900:F900,Stats!$B$12:$D$14),D900:F900))</f>
        <v>0.223227866362018</v>
      </c>
      <c r="I900" s="0" t="n">
        <f aca="false">(G900-Stats!$B$2)/H900</f>
        <v>1.43199029363858</v>
      </c>
    </row>
    <row r="901" customFormat="false" ht="15" hidden="false" customHeight="false" outlineLevel="0" collapsed="false">
      <c r="A901" s="0" t="n">
        <v>0.311863857916883</v>
      </c>
      <c r="B901" s="0" t="n">
        <v>0.773991378152763</v>
      </c>
      <c r="C901" s="0" t="n">
        <v>0.772921481876115</v>
      </c>
      <c r="D901" s="0" t="n">
        <f aca="false">A901/SUM($A901:$C901)</f>
        <v>0.167779085516813</v>
      </c>
      <c r="E901" s="0" t="n">
        <f aca="false">B901/SUM($A901:$C901)</f>
        <v>0.416398253044693</v>
      </c>
      <c r="F901" s="0" t="n">
        <f aca="false">C901/SUM($A901:$C901)</f>
        <v>0.415822661438494</v>
      </c>
      <c r="G901" s="0" t="n">
        <f aca="false">SUMPRODUCT(D901:F901,Stats!$B$6:$D$6)</f>
        <v>0.368976571047443</v>
      </c>
      <c r="H901" s="0" t="n">
        <f aca="false">SQRT(SUMPRODUCT(MMULT(D901:F901,Stats!$B$12:$D$14),D901:F901))</f>
        <v>0.233217077391553</v>
      </c>
      <c r="I901" s="0" t="n">
        <f aca="false">(G901-Stats!$B$2)/H901</f>
        <v>1.40202670706861</v>
      </c>
    </row>
    <row r="902" customFormat="false" ht="15" hidden="false" customHeight="false" outlineLevel="0" collapsed="false">
      <c r="A902" s="0" t="n">
        <v>0.521296047654139</v>
      </c>
      <c r="B902" s="0" t="n">
        <v>0.976013823279214</v>
      </c>
      <c r="C902" s="0" t="n">
        <v>0.125550214762653</v>
      </c>
      <c r="D902" s="0" t="n">
        <f aca="false">A902/SUM($A902:$C902)</f>
        <v>0.321220573633473</v>
      </c>
      <c r="E902" s="0" t="n">
        <f aca="false">B902/SUM($A902:$C902)</f>
        <v>0.601415877981018</v>
      </c>
      <c r="F902" s="0" t="n">
        <f aca="false">C902/SUM($A902:$C902)</f>
        <v>0.0773635483855085</v>
      </c>
      <c r="G902" s="0" t="n">
        <f aca="false">SUMPRODUCT(D902:F902,Stats!$B$6:$D$6)</f>
        <v>0.38895512558687</v>
      </c>
      <c r="H902" s="0" t="n">
        <f aca="false">SQRT(SUMPRODUCT(MMULT(D902:F902,Stats!$B$12:$D$14),D902:F902))</f>
        <v>0.232353641034156</v>
      </c>
      <c r="I902" s="0" t="n">
        <f aca="false">(G902-Stats!$B$2)/H902</f>
        <v>1.49322009348615</v>
      </c>
    </row>
    <row r="903" customFormat="false" ht="15" hidden="false" customHeight="false" outlineLevel="0" collapsed="false">
      <c r="A903" s="0" t="n">
        <v>0.016947664889581</v>
      </c>
      <c r="B903" s="0" t="n">
        <v>0.770158211757096</v>
      </c>
      <c r="C903" s="0" t="n">
        <v>0.807155537364883</v>
      </c>
      <c r="D903" s="0" t="n">
        <f aca="false">A903/SUM($A903:$C903)</f>
        <v>0.0106304177850836</v>
      </c>
      <c r="E903" s="0" t="n">
        <f aca="false">B903/SUM($A903:$C903)</f>
        <v>0.483081510339754</v>
      </c>
      <c r="F903" s="0" t="n">
        <f aca="false">C903/SUM($A903:$C903)</f>
        <v>0.506288071875162</v>
      </c>
      <c r="G903" s="0" t="n">
        <f aca="false">SUMPRODUCT(D903:F903,Stats!$B$6:$D$6)</f>
        <v>0.370318890467785</v>
      </c>
      <c r="H903" s="0" t="n">
        <f aca="false">SQRT(SUMPRODUCT(MMULT(D903:F903,Stats!$B$12:$D$14),D903:F903))</f>
        <v>0.242699654604795</v>
      </c>
      <c r="I903" s="0" t="n">
        <f aca="false">(G903-Stats!$B$2)/H903</f>
        <v>1.35277856494032</v>
      </c>
    </row>
    <row r="904" customFormat="false" ht="15" hidden="false" customHeight="false" outlineLevel="0" collapsed="false">
      <c r="A904" s="0" t="n">
        <v>0.120207229120576</v>
      </c>
      <c r="B904" s="0" t="n">
        <v>0.265582832958606</v>
      </c>
      <c r="C904" s="0" t="n">
        <v>0.0175523633666289</v>
      </c>
      <c r="D904" s="0" t="n">
        <f aca="false">A904/SUM($A904:$C904)</f>
        <v>0.298027734096437</v>
      </c>
      <c r="E904" s="0" t="n">
        <f aca="false">B904/SUM($A904:$C904)</f>
        <v>0.658454990607694</v>
      </c>
      <c r="F904" s="0" t="n">
        <f aca="false">C904/SUM($A904:$C904)</f>
        <v>0.0435172752958691</v>
      </c>
      <c r="G904" s="0" t="n">
        <f aca="false">SUMPRODUCT(D904:F904,Stats!$B$6:$D$6)</f>
        <v>0.393170380265616</v>
      </c>
      <c r="H904" s="0" t="n">
        <f aca="false">SQRT(SUMPRODUCT(MMULT(D904:F904,Stats!$B$12:$D$14),D904:F904))</f>
        <v>0.234679344204668</v>
      </c>
      <c r="I904" s="0" t="n">
        <f aca="false">(G904-Stats!$B$2)/H904</f>
        <v>1.49638384859025</v>
      </c>
    </row>
    <row r="905" customFormat="false" ht="15" hidden="false" customHeight="false" outlineLevel="0" collapsed="false">
      <c r="A905" s="0" t="n">
        <v>0.293308610780565</v>
      </c>
      <c r="B905" s="0" t="n">
        <v>0.773141873918672</v>
      </c>
      <c r="C905" s="0" t="n">
        <v>0.517960527712579</v>
      </c>
      <c r="D905" s="0" t="n">
        <f aca="false">A905/SUM($A905:$C905)</f>
        <v>0.185121542631849</v>
      </c>
      <c r="E905" s="0" t="n">
        <f aca="false">B905/SUM($A905:$C905)</f>
        <v>0.48796800064005</v>
      </c>
      <c r="F905" s="0" t="n">
        <f aca="false">C905/SUM($A905:$C905)</f>
        <v>0.326910456728101</v>
      </c>
      <c r="G905" s="0" t="n">
        <f aca="false">SUMPRODUCT(D905:F905,Stats!$B$6:$D$6)</f>
        <v>0.375546321540626</v>
      </c>
      <c r="H905" s="0" t="n">
        <f aca="false">SQRT(SUMPRODUCT(MMULT(D905:F905,Stats!$B$12:$D$14),D905:F905))</f>
        <v>0.232793868860061</v>
      </c>
      <c r="I905" s="0" t="n">
        <f aca="false">(G905-Stats!$B$2)/H905</f>
        <v>1.43279684801806</v>
      </c>
    </row>
    <row r="906" customFormat="false" ht="15" hidden="false" customHeight="false" outlineLevel="0" collapsed="false">
      <c r="A906" s="0" t="n">
        <v>0.348095593168288</v>
      </c>
      <c r="B906" s="0" t="n">
        <v>0.37173929490633</v>
      </c>
      <c r="C906" s="0" t="n">
        <v>0.00135362571546815</v>
      </c>
      <c r="D906" s="0" t="n">
        <f aca="false">A906/SUM($A906:$C906)</f>
        <v>0.482669352759003</v>
      </c>
      <c r="E906" s="0" t="n">
        <f aca="false">B906/SUM($A906:$C906)</f>
        <v>0.515453709811206</v>
      </c>
      <c r="F906" s="0" t="n">
        <f aca="false">C906/SUM($A906:$C906)</f>
        <v>0.00187693742979127</v>
      </c>
      <c r="G906" s="0" t="n">
        <f aca="false">SUMPRODUCT(D906:F906,Stats!$B$6:$D$6)</f>
        <v>0.386090487952463</v>
      </c>
      <c r="H906" s="0" t="n">
        <f aca="false">SQRT(SUMPRODUCT(MMULT(D906:F906,Stats!$B$12:$D$14),D906:F906))</f>
        <v>0.230005396108241</v>
      </c>
      <c r="I906" s="0" t="n">
        <f aca="false">(G906-Stats!$B$2)/H906</f>
        <v>1.49601050138204</v>
      </c>
    </row>
    <row r="907" customFormat="false" ht="15" hidden="false" customHeight="false" outlineLevel="0" collapsed="false">
      <c r="A907" s="0" t="n">
        <v>0.299800527565236</v>
      </c>
      <c r="B907" s="0" t="n">
        <v>0.646458741637931</v>
      </c>
      <c r="C907" s="0" t="n">
        <v>0.974194443816357</v>
      </c>
      <c r="D907" s="0" t="n">
        <f aca="false">A907/SUM($A907:$C907)</f>
        <v>0.156109218114849</v>
      </c>
      <c r="E907" s="0" t="n">
        <f aca="false">B907/SUM($A907:$C907)</f>
        <v>0.336617715519686</v>
      </c>
      <c r="F907" s="0" t="n">
        <f aca="false">C907/SUM($A907:$C907)</f>
        <v>0.507273066365465</v>
      </c>
      <c r="G907" s="0" t="n">
        <f aca="false">SUMPRODUCT(D907:F907,Stats!$B$6:$D$6)</f>
        <v>0.361864392433997</v>
      </c>
      <c r="H907" s="0" t="n">
        <f aca="false">SQRT(SUMPRODUCT(MMULT(D907:F907,Stats!$B$12:$D$14),D907:F907))</f>
        <v>0.234277997287327</v>
      </c>
      <c r="I907" s="0" t="n">
        <f aca="false">(G907-Stats!$B$2)/H907</f>
        <v>1.36531981721572</v>
      </c>
    </row>
    <row r="908" customFormat="false" ht="15" hidden="false" customHeight="false" outlineLevel="0" collapsed="false">
      <c r="A908" s="0" t="n">
        <v>0.8470608269839</v>
      </c>
      <c r="B908" s="0" t="n">
        <v>0.0235949646455291</v>
      </c>
      <c r="C908" s="0" t="n">
        <v>0.898560604674839</v>
      </c>
      <c r="D908" s="0" t="n">
        <f aca="false">A908/SUM($A908:$C908)</f>
        <v>0.478777400409205</v>
      </c>
      <c r="E908" s="0" t="n">
        <f aca="false">B908/SUM($A908:$C908)</f>
        <v>0.0133363927074251</v>
      </c>
      <c r="F908" s="0" t="n">
        <f aca="false">C908/SUM($A908:$C908)</f>
        <v>0.50788620688337</v>
      </c>
      <c r="G908" s="0" t="n">
        <f aca="false">SUMPRODUCT(D908:F908,Stats!$B$6:$D$6)</f>
        <v>0.343246296420253</v>
      </c>
      <c r="H908" s="0" t="n">
        <f aca="false">SQRT(SUMPRODUCT(MMULT(D908:F908,Stats!$B$12:$D$14),D908:F908))</f>
        <v>0.223949617999589</v>
      </c>
      <c r="I908" s="0" t="n">
        <f aca="false">(G908-Stats!$B$2)/H908</f>
        <v>1.34515208872027</v>
      </c>
    </row>
    <row r="909" customFormat="false" ht="15" hidden="false" customHeight="false" outlineLevel="0" collapsed="false">
      <c r="A909" s="0" t="n">
        <v>0.783198413298626</v>
      </c>
      <c r="B909" s="0" t="n">
        <v>0.78037612357098</v>
      </c>
      <c r="C909" s="0" t="n">
        <v>0.457995759003572</v>
      </c>
      <c r="D909" s="0" t="n">
        <f aca="false">A909/SUM($A909:$C909)</f>
        <v>0.387420815836799</v>
      </c>
      <c r="E909" s="0" t="n">
        <f aca="false">B909/SUM($A909:$C909)</f>
        <v>0.386024727986969</v>
      </c>
      <c r="F909" s="0" t="n">
        <f aca="false">C909/SUM($A909:$C909)</f>
        <v>0.226554456176232</v>
      </c>
      <c r="G909" s="0" t="n">
        <f aca="false">SUMPRODUCT(D909:F909,Stats!$B$6:$D$6)</f>
        <v>0.372447915691034</v>
      </c>
      <c r="H909" s="0" t="n">
        <f aca="false">SQRT(SUMPRODUCT(MMULT(D909:F909,Stats!$B$12:$D$14),D909:F909))</f>
        <v>0.225822140829777</v>
      </c>
      <c r="I909" s="0" t="n">
        <f aca="false">(G909-Stats!$B$2)/H909</f>
        <v>1.46331052604856</v>
      </c>
    </row>
    <row r="910" customFormat="false" ht="15" hidden="false" customHeight="false" outlineLevel="0" collapsed="false">
      <c r="A910" s="0" t="n">
        <v>0.398005292954503</v>
      </c>
      <c r="B910" s="0" t="n">
        <v>0.302915728833193</v>
      </c>
      <c r="C910" s="0" t="n">
        <v>0.0656948589543658</v>
      </c>
      <c r="D910" s="0" t="n">
        <f aca="false">A910/SUM($A910:$C910)</f>
        <v>0.519171729875</v>
      </c>
      <c r="E910" s="0" t="n">
        <f aca="false">B910/SUM($A910:$C910)</f>
        <v>0.395133647035826</v>
      </c>
      <c r="F910" s="0" t="n">
        <f aca="false">C910/SUM($A910:$C910)</f>
        <v>0.0856946230891736</v>
      </c>
      <c r="G910" s="0" t="n">
        <f aca="false">SUMPRODUCT(D910:F910,Stats!$B$6:$D$6)</f>
        <v>0.376856186823497</v>
      </c>
      <c r="H910" s="0" t="n">
        <f aca="false">SQRT(SUMPRODUCT(MMULT(D910:F910,Stats!$B$12:$D$14),D910:F910))</f>
        <v>0.226094712005405</v>
      </c>
      <c r="I910" s="0" t="n">
        <f aca="false">(G910-Stats!$B$2)/H910</f>
        <v>1.48104386809141</v>
      </c>
    </row>
    <row r="911" customFormat="false" ht="15" hidden="false" customHeight="false" outlineLevel="0" collapsed="false">
      <c r="A911" s="0" t="n">
        <v>0.228235363493699</v>
      </c>
      <c r="B911" s="0" t="n">
        <v>0.246603634978025</v>
      </c>
      <c r="C911" s="0" t="n">
        <v>0.484077069710202</v>
      </c>
      <c r="D911" s="0" t="n">
        <f aca="false">A911/SUM($A911:$C911)</f>
        <v>0.238013910775764</v>
      </c>
      <c r="E911" s="0" t="n">
        <f aca="false">B911/SUM($A911:$C911)</f>
        <v>0.257169155008089</v>
      </c>
      <c r="F911" s="0" t="n">
        <f aca="false">C911/SUM($A911:$C911)</f>
        <v>0.504816934216147</v>
      </c>
      <c r="G911" s="0" t="n">
        <f aca="false">SUMPRODUCT(D911:F911,Stats!$B$6:$D$6)</f>
        <v>0.357360751989759</v>
      </c>
      <c r="H911" s="0" t="n">
        <f aca="false">SQRT(SUMPRODUCT(MMULT(D911:F911,Stats!$B$12:$D$14),D911:F911))</f>
        <v>0.230486383007566</v>
      </c>
      <c r="I911" s="0" t="n">
        <f aca="false">(G911-Stats!$B$2)/H911</f>
        <v>1.36824027465175</v>
      </c>
    </row>
    <row r="912" customFormat="false" ht="15" hidden="false" customHeight="false" outlineLevel="0" collapsed="false">
      <c r="A912" s="0" t="n">
        <v>0.747444406596694</v>
      </c>
      <c r="B912" s="0" t="n">
        <v>0.473809828397947</v>
      </c>
      <c r="C912" s="0" t="n">
        <v>0.0578444494471606</v>
      </c>
      <c r="D912" s="0" t="n">
        <f aca="false">A912/SUM($A912:$C912)</f>
        <v>0.584352416031824</v>
      </c>
      <c r="E912" s="0" t="n">
        <f aca="false">B912/SUM($A912:$C912)</f>
        <v>0.370424764063234</v>
      </c>
      <c r="F912" s="0" t="n">
        <f aca="false">C912/SUM($A912:$C912)</f>
        <v>0.0452228199049426</v>
      </c>
      <c r="G912" s="0" t="n">
        <f aca="false">SUMPRODUCT(D912:F912,Stats!$B$6:$D$6)</f>
        <v>0.376550464083867</v>
      </c>
      <c r="H912" s="0" t="n">
        <f aca="false">SQRT(SUMPRODUCT(MMULT(D912:F912,Stats!$B$12:$D$14),D912:F912))</f>
        <v>0.226487274241398</v>
      </c>
      <c r="I912" s="0" t="n">
        <f aca="false">(G912-Stats!$B$2)/H912</f>
        <v>1.47712698298135</v>
      </c>
    </row>
    <row r="913" customFormat="false" ht="15" hidden="false" customHeight="false" outlineLevel="0" collapsed="false">
      <c r="A913" s="0" t="n">
        <v>0.957789800988204</v>
      </c>
      <c r="B913" s="0" t="n">
        <v>0.942724319094112</v>
      </c>
      <c r="C913" s="0" t="n">
        <v>0.785189543148408</v>
      </c>
      <c r="D913" s="0" t="n">
        <f aca="false">A913/SUM($A913:$C913)</f>
        <v>0.356625272587239</v>
      </c>
      <c r="E913" s="0" t="n">
        <f aca="false">B913/SUM($A913:$C913)</f>
        <v>0.351015762461327</v>
      </c>
      <c r="F913" s="0" t="n">
        <f aca="false">C913/SUM($A913:$C913)</f>
        <v>0.292358964951434</v>
      </c>
      <c r="G913" s="0" t="n">
        <f aca="false">SUMPRODUCT(D913:F913,Stats!$B$6:$D$6)</f>
        <v>0.368619011106174</v>
      </c>
      <c r="H913" s="0" t="n">
        <f aca="false">SQRT(SUMPRODUCT(MMULT(D913:F913,Stats!$B$12:$D$14),D913:F913))</f>
        <v>0.225865485970797</v>
      </c>
      <c r="I913" s="0" t="n">
        <f aca="false">(G913-Stats!$B$2)/H913</f>
        <v>1.44607756117464</v>
      </c>
    </row>
    <row r="914" customFormat="false" ht="15" hidden="false" customHeight="false" outlineLevel="0" collapsed="false">
      <c r="A914" s="0" t="n">
        <v>0.991327901564221</v>
      </c>
      <c r="B914" s="0" t="n">
        <v>0.544482332800263</v>
      </c>
      <c r="C914" s="0" t="n">
        <v>0.962768350253206</v>
      </c>
      <c r="D914" s="0" t="n">
        <f aca="false">A914/SUM($A914:$C914)</f>
        <v>0.396756743080748</v>
      </c>
      <c r="E914" s="0" t="n">
        <f aca="false">B914/SUM($A914:$C914)</f>
        <v>0.217916833255647</v>
      </c>
      <c r="F914" s="0" t="n">
        <f aca="false">C914/SUM($A914:$C914)</f>
        <v>0.385326423663605</v>
      </c>
      <c r="G914" s="0" t="n">
        <f aca="false">SUMPRODUCT(D914:F914,Stats!$B$6:$D$6)</f>
        <v>0.358397129069429</v>
      </c>
      <c r="H914" s="0" t="n">
        <f aca="false">SQRT(SUMPRODUCT(MMULT(D914:F914,Stats!$B$12:$D$14),D914:F914))</f>
        <v>0.22426384908791</v>
      </c>
      <c r="I914" s="0" t="n">
        <f aca="false">(G914-Stats!$B$2)/H914</f>
        <v>1.41082537536134</v>
      </c>
    </row>
    <row r="915" customFormat="false" ht="15" hidden="false" customHeight="false" outlineLevel="0" collapsed="false">
      <c r="A915" s="0" t="n">
        <v>0.0756050406167508</v>
      </c>
      <c r="B915" s="0" t="n">
        <v>0.365680748261371</v>
      </c>
      <c r="C915" s="0" t="n">
        <v>0.225381268006766</v>
      </c>
      <c r="D915" s="0" t="n">
        <f aca="false">A915/SUM($A915:$C915)</f>
        <v>0.11340749454462</v>
      </c>
      <c r="E915" s="0" t="n">
        <f aca="false">B915/SUM($A915:$C915)</f>
        <v>0.54852080132784</v>
      </c>
      <c r="F915" s="0" t="n">
        <f aca="false">C915/SUM($A915:$C915)</f>
        <v>0.33807170412754</v>
      </c>
      <c r="G915" s="0" t="n">
        <f aca="false">SUMPRODUCT(D915:F915,Stats!$B$6:$D$6)</f>
        <v>0.378722684216047</v>
      </c>
      <c r="H915" s="0" t="n">
        <f aca="false">SQRT(SUMPRODUCT(MMULT(D915:F915,Stats!$B$12:$D$14),D915:F915))</f>
        <v>0.236643874492093</v>
      </c>
      <c r="I915" s="0" t="n">
        <f aca="false">(G915-Stats!$B$2)/H915</f>
        <v>1.42290893833087</v>
      </c>
    </row>
    <row r="916" customFormat="false" ht="15" hidden="false" customHeight="false" outlineLevel="0" collapsed="false">
      <c r="A916" s="0" t="n">
        <v>0.19583308413427</v>
      </c>
      <c r="B916" s="0" t="n">
        <v>0.140802948892676</v>
      </c>
      <c r="C916" s="0" t="n">
        <v>0.622413641565997</v>
      </c>
      <c r="D916" s="0" t="n">
        <f aca="false">A916/SUM($A916:$C916)</f>
        <v>0.204194933090811</v>
      </c>
      <c r="E916" s="0" t="n">
        <f aca="false">B916/SUM($A916:$C916)</f>
        <v>0.146815073945401</v>
      </c>
      <c r="F916" s="0" t="n">
        <f aca="false">C916/SUM($A916:$C916)</f>
        <v>0.648989992963788</v>
      </c>
      <c r="G916" s="0" t="n">
        <f aca="false">SUMPRODUCT(D916:F916,Stats!$B$6:$D$6)</f>
        <v>0.347035604350812</v>
      </c>
      <c r="H916" s="0" t="n">
        <f aca="false">SQRT(SUMPRODUCT(MMULT(D916:F916,Stats!$B$12:$D$14),D916:F916))</f>
        <v>0.234819704553025</v>
      </c>
      <c r="I916" s="0" t="n">
        <f aca="false">(G916-Stats!$B$2)/H916</f>
        <v>1.29902047586442</v>
      </c>
    </row>
    <row r="917" customFormat="false" ht="15" hidden="false" customHeight="false" outlineLevel="0" collapsed="false">
      <c r="A917" s="0" t="n">
        <v>0.781321855747305</v>
      </c>
      <c r="B917" s="0" t="n">
        <v>0.578298399420361</v>
      </c>
      <c r="C917" s="0" t="n">
        <v>0.14696270958821</v>
      </c>
      <c r="D917" s="0" t="n">
        <f aca="false">A917/SUM($A917:$C917)</f>
        <v>0.518605263716034</v>
      </c>
      <c r="E917" s="0" t="n">
        <f aca="false">B917/SUM($A917:$C917)</f>
        <v>0.38384769571191</v>
      </c>
      <c r="F917" s="0" t="n">
        <f aca="false">C917/SUM($A917:$C917)</f>
        <v>0.0975470405720559</v>
      </c>
      <c r="G917" s="0" t="n">
        <f aca="false">SUMPRODUCT(D917:F917,Stats!$B$6:$D$6)</f>
        <v>0.375879981938029</v>
      </c>
      <c r="H917" s="0" t="n">
        <f aca="false">SQRT(SUMPRODUCT(MMULT(D917:F917,Stats!$B$12:$D$14),D917:F917))</f>
        <v>0.225733866795586</v>
      </c>
      <c r="I917" s="0" t="n">
        <f aca="false">(G917-Stats!$B$2)/H917</f>
        <v>1.4790867966674</v>
      </c>
    </row>
    <row r="918" customFormat="false" ht="15" hidden="false" customHeight="false" outlineLevel="0" collapsed="false">
      <c r="A918" s="0" t="n">
        <v>0.811123769933471</v>
      </c>
      <c r="B918" s="0" t="n">
        <v>0.635954707163729</v>
      </c>
      <c r="C918" s="0" t="n">
        <v>0.388165706126996</v>
      </c>
      <c r="D918" s="0" t="n">
        <f aca="false">A918/SUM($A918:$C918)</f>
        <v>0.441970489457415</v>
      </c>
      <c r="E918" s="0" t="n">
        <f aca="false">B918/SUM($A918:$C918)</f>
        <v>0.346523210903995</v>
      </c>
      <c r="F918" s="0" t="n">
        <f aca="false">C918/SUM($A918:$C918)</f>
        <v>0.21150629963859</v>
      </c>
      <c r="G918" s="0" t="n">
        <f aca="false">SUMPRODUCT(D918:F918,Stats!$B$6:$D$6)</f>
        <v>0.370589996652593</v>
      </c>
      <c r="H918" s="0" t="n">
        <f aca="false">SQRT(SUMPRODUCT(MMULT(D918:F918,Stats!$B$12:$D$14),D918:F918))</f>
        <v>0.22457468557951</v>
      </c>
      <c r="I918" s="0" t="n">
        <f aca="false">(G918-Stats!$B$2)/H918</f>
        <v>1.4631657873846</v>
      </c>
    </row>
    <row r="919" customFormat="false" ht="15" hidden="false" customHeight="false" outlineLevel="0" collapsed="false">
      <c r="A919" s="0" t="n">
        <v>0.674130295536063</v>
      </c>
      <c r="B919" s="0" t="n">
        <v>0.259904979242833</v>
      </c>
      <c r="C919" s="0" t="n">
        <v>0.345192208494211</v>
      </c>
      <c r="D919" s="0" t="n">
        <f aca="false">A919/SUM($A919:$C919)</f>
        <v>0.526982342351803</v>
      </c>
      <c r="E919" s="0" t="n">
        <f aca="false">B919/SUM($A919:$C919)</f>
        <v>0.203173386001546</v>
      </c>
      <c r="F919" s="0" t="n">
        <f aca="false">C919/SUM($A919:$C919)</f>
        <v>0.269844271646652</v>
      </c>
      <c r="G919" s="0" t="n">
        <f aca="false">SUMPRODUCT(D919:F919,Stats!$B$6:$D$6)</f>
        <v>0.360733186121595</v>
      </c>
      <c r="H919" s="0" t="n">
        <f aca="false">SQRT(SUMPRODUCT(MMULT(D919:F919,Stats!$B$12:$D$14),D919:F919))</f>
        <v>0.222147603190344</v>
      </c>
      <c r="I919" s="0" t="n">
        <f aca="false">(G919-Stats!$B$2)/H919</f>
        <v>1.43478111644758</v>
      </c>
    </row>
    <row r="920" customFormat="false" ht="15" hidden="false" customHeight="false" outlineLevel="0" collapsed="false">
      <c r="A920" s="0" t="n">
        <v>0.91748584313199</v>
      </c>
      <c r="B920" s="0" t="n">
        <v>0.29050450567142</v>
      </c>
      <c r="C920" s="0" t="n">
        <v>0.469988268157937</v>
      </c>
      <c r="D920" s="0" t="n">
        <f aca="false">A920/SUM($A920:$C920)</f>
        <v>0.546780414158952</v>
      </c>
      <c r="E920" s="0" t="n">
        <f aca="false">B920/SUM($A920:$C920)</f>
        <v>0.173127656535633</v>
      </c>
      <c r="F920" s="0" t="n">
        <f aca="false">C920/SUM($A920:$C920)</f>
        <v>0.280091929305416</v>
      </c>
      <c r="G920" s="0" t="n">
        <f aca="false">SUMPRODUCT(D920:F920,Stats!$B$6:$D$6)</f>
        <v>0.358721818517069</v>
      </c>
      <c r="H920" s="0" t="n">
        <f aca="false">SQRT(SUMPRODUCT(MMULT(D920:F920,Stats!$B$12:$D$14),D920:F920))</f>
        <v>0.221830244260885</v>
      </c>
      <c r="I920" s="0" t="n">
        <f aca="false">(G920-Stats!$B$2)/H920</f>
        <v>1.42776662205081</v>
      </c>
    </row>
    <row r="921" customFormat="false" ht="15" hidden="false" customHeight="false" outlineLevel="0" collapsed="false">
      <c r="A921" s="0" t="n">
        <v>0.890141137396015</v>
      </c>
      <c r="B921" s="0" t="n">
        <v>0.707721350267528</v>
      </c>
      <c r="C921" s="0" t="n">
        <v>0.0622032261647028</v>
      </c>
      <c r="D921" s="0" t="n">
        <f aca="false">A921/SUM($A921:$C921)</f>
        <v>0.536208374151212</v>
      </c>
      <c r="E921" s="0" t="n">
        <f aca="false">B921/SUM($A921:$C921)</f>
        <v>0.426321286182982</v>
      </c>
      <c r="F921" s="0" t="n">
        <f aca="false">C921/SUM($A921:$C921)</f>
        <v>0.0374703396658058</v>
      </c>
      <c r="G921" s="0" t="n">
        <f aca="false">SUMPRODUCT(D921:F921,Stats!$B$6:$D$6)</f>
        <v>0.379980449282018</v>
      </c>
      <c r="H921" s="0" t="n">
        <f aca="false">SQRT(SUMPRODUCT(MMULT(D921:F921,Stats!$B$12:$D$14),D921:F921))</f>
        <v>0.227461782262414</v>
      </c>
      <c r="I921" s="0" t="n">
        <f aca="false">(G921-Stats!$B$2)/H921</f>
        <v>1.4858779612133</v>
      </c>
    </row>
    <row r="922" customFormat="false" ht="15" hidden="false" customHeight="false" outlineLevel="0" collapsed="false">
      <c r="A922" s="0" t="n">
        <v>0.14730304427897</v>
      </c>
      <c r="B922" s="0" t="n">
        <v>0.00784159077191682</v>
      </c>
      <c r="C922" s="0" t="n">
        <v>0.630921790229163</v>
      </c>
      <c r="D922" s="0" t="n">
        <f aca="false">A922/SUM($A922:$C922)</f>
        <v>0.187392616630956</v>
      </c>
      <c r="E922" s="0" t="n">
        <f aca="false">B922/SUM($A922:$C922)</f>
        <v>0.00997573553548367</v>
      </c>
      <c r="F922" s="0" t="n">
        <f aca="false">C922/SUM($A922:$C922)</f>
        <v>0.802631647833561</v>
      </c>
      <c r="G922" s="0" t="n">
        <f aca="false">SUMPRODUCT(D922:F922,Stats!$B$6:$D$6)</f>
        <v>0.334925436387049</v>
      </c>
      <c r="H922" s="0" t="n">
        <f aca="false">SQRT(SUMPRODUCT(MMULT(D922:F922,Stats!$B$12:$D$14),D922:F922))</f>
        <v>0.241129363644386</v>
      </c>
      <c r="I922" s="0" t="n">
        <f aca="false">(G922-Stats!$B$2)/H922</f>
        <v>1.21480616031091</v>
      </c>
    </row>
    <row r="923" customFormat="false" ht="15" hidden="false" customHeight="false" outlineLevel="0" collapsed="false">
      <c r="A923" s="0" t="n">
        <v>0.447673425410418</v>
      </c>
      <c r="B923" s="0" t="n">
        <v>0.134274850902276</v>
      </c>
      <c r="C923" s="0" t="n">
        <v>0.95793412105677</v>
      </c>
      <c r="D923" s="0" t="n">
        <f aca="false">A923/SUM($A923:$C923)</f>
        <v>0.290719230361465</v>
      </c>
      <c r="E923" s="0" t="n">
        <f aca="false">B923/SUM($A923:$C923)</f>
        <v>0.0871981205393693</v>
      </c>
      <c r="F923" s="0" t="n">
        <f aca="false">C923/SUM($A923:$C923)</f>
        <v>0.622082649099166</v>
      </c>
      <c r="G923" s="0" t="n">
        <f aca="false">SUMPRODUCT(D923:F923,Stats!$B$6:$D$6)</f>
        <v>0.3443472816705</v>
      </c>
      <c r="H923" s="0" t="n">
        <f aca="false">SQRT(SUMPRODUCT(MMULT(D923:F923,Stats!$B$12:$D$14),D923:F923))</f>
        <v>0.230889305320503</v>
      </c>
      <c r="I923" s="0" t="n">
        <f aca="false">(G923-Stats!$B$2)/H923</f>
        <v>1.30949019596557</v>
      </c>
    </row>
    <row r="924" customFormat="false" ht="15" hidden="false" customHeight="false" outlineLevel="0" collapsed="false">
      <c r="A924" s="0" t="n">
        <v>0.52965972394562</v>
      </c>
      <c r="B924" s="0" t="n">
        <v>0.241893294112889</v>
      </c>
      <c r="C924" s="0" t="n">
        <v>0.500603571154708</v>
      </c>
      <c r="D924" s="0" t="n">
        <f aca="false">A924/SUM($A924:$C924)</f>
        <v>0.41634789965062</v>
      </c>
      <c r="E924" s="0" t="n">
        <f aca="false">B924/SUM($A924:$C924)</f>
        <v>0.190144276391707</v>
      </c>
      <c r="F924" s="0" t="n">
        <f aca="false">C924/SUM($A924:$C924)</f>
        <v>0.393507823957673</v>
      </c>
      <c r="G924" s="0" t="n">
        <f aca="false">SUMPRODUCT(D924:F924,Stats!$B$6:$D$6)</f>
        <v>0.356573533126418</v>
      </c>
      <c r="H924" s="0" t="n">
        <f aca="false">SQRT(SUMPRODUCT(MMULT(D924:F924,Stats!$B$12:$D$14),D924:F924))</f>
        <v>0.223799844186722</v>
      </c>
      <c r="I924" s="0" t="n">
        <f aca="false">(G924-Stats!$B$2)/H924</f>
        <v>1.40560210964205</v>
      </c>
    </row>
    <row r="925" customFormat="false" ht="15" hidden="false" customHeight="false" outlineLevel="0" collapsed="false">
      <c r="A925" s="0" t="n">
        <v>0.679620332735108</v>
      </c>
      <c r="B925" s="0" t="n">
        <v>0.0762392179735645</v>
      </c>
      <c r="C925" s="0" t="n">
        <v>0.274703815047892</v>
      </c>
      <c r="D925" s="0" t="n">
        <f aca="false">A925/SUM($A925:$C925)</f>
        <v>0.659464866807273</v>
      </c>
      <c r="E925" s="0" t="n">
        <f aca="false">B925/SUM($A925:$C925)</f>
        <v>0.0739781953316332</v>
      </c>
      <c r="F925" s="0" t="n">
        <f aca="false">C925/SUM($A925:$C925)</f>
        <v>0.266556937861094</v>
      </c>
      <c r="G925" s="0" t="n">
        <f aca="false">SUMPRODUCT(D925:F925,Stats!$B$6:$D$6)</f>
        <v>0.353390109029273</v>
      </c>
      <c r="H925" s="0" t="n">
        <f aca="false">SQRT(SUMPRODUCT(MMULT(D925:F925,Stats!$B$12:$D$14),D925:F925))</f>
        <v>0.221534694848872</v>
      </c>
      <c r="I925" s="0" t="n">
        <f aca="false">(G925-Stats!$B$2)/H925</f>
        <v>1.40560425192857</v>
      </c>
    </row>
    <row r="926" customFormat="false" ht="15" hidden="false" customHeight="false" outlineLevel="0" collapsed="false">
      <c r="A926" s="0" t="n">
        <v>0.806965490883994</v>
      </c>
      <c r="B926" s="0" t="n">
        <v>0.459664870402661</v>
      </c>
      <c r="C926" s="0" t="n">
        <v>0.546577142032295</v>
      </c>
      <c r="D926" s="0" t="n">
        <f aca="false">A926/SUM($A926:$C926)</f>
        <v>0.445048616557619</v>
      </c>
      <c r="E926" s="0" t="n">
        <f aca="false">B926/SUM($A926:$C926)</f>
        <v>0.253509247872225</v>
      </c>
      <c r="F926" s="0" t="n">
        <f aca="false">C926/SUM($A926:$C926)</f>
        <v>0.301442135570156</v>
      </c>
      <c r="G926" s="0" t="n">
        <f aca="false">SUMPRODUCT(D926:F926,Stats!$B$6:$D$6)</f>
        <v>0.36275814752069</v>
      </c>
      <c r="H926" s="0" t="n">
        <f aca="false">SQRT(SUMPRODUCT(MMULT(D926:F926,Stats!$B$12:$D$14),D926:F926))</f>
        <v>0.223331162947126</v>
      </c>
      <c r="I926" s="0" t="n">
        <f aca="false">(G926-Stats!$B$2)/H926</f>
        <v>1.43624446892183</v>
      </c>
    </row>
    <row r="927" customFormat="false" ht="15" hidden="false" customHeight="false" outlineLevel="0" collapsed="false">
      <c r="A927" s="0" t="n">
        <v>0.432816002209469</v>
      </c>
      <c r="B927" s="0" t="n">
        <v>0.0438999426430051</v>
      </c>
      <c r="C927" s="0" t="n">
        <v>0.165749779820156</v>
      </c>
      <c r="D927" s="0" t="n">
        <f aca="false">A927/SUM($A927:$C927)</f>
        <v>0.673679521860892</v>
      </c>
      <c r="E927" s="0" t="n">
        <f aca="false">B927/SUM($A927:$C927)</f>
        <v>0.0683304041867361</v>
      </c>
      <c r="F927" s="0" t="n">
        <f aca="false">C927/SUM($A927:$C927)</f>
        <v>0.257990073952372</v>
      </c>
      <c r="G927" s="0" t="n">
        <f aca="false">SUMPRODUCT(D927:F927,Stats!$B$6:$D$6)</f>
        <v>0.353301370413883</v>
      </c>
      <c r="H927" s="0" t="n">
        <f aca="false">SQRT(SUMPRODUCT(MMULT(D927:F927,Stats!$B$12:$D$14),D927:F927))</f>
        <v>0.221651659054117</v>
      </c>
      <c r="I927" s="0" t="n">
        <f aca="false">(G927-Stats!$B$2)/H927</f>
        <v>1.40446217159998</v>
      </c>
    </row>
    <row r="928" customFormat="false" ht="15" hidden="false" customHeight="false" outlineLevel="0" collapsed="false">
      <c r="A928" s="0" t="n">
        <v>0.445541638741891</v>
      </c>
      <c r="B928" s="0" t="n">
        <v>0.209185465407928</v>
      </c>
      <c r="C928" s="0" t="n">
        <v>0.0499790286596787</v>
      </c>
      <c r="D928" s="0" t="n">
        <f aca="false">A928/SUM($A928:$C928)</f>
        <v>0.632237493046387</v>
      </c>
      <c r="E928" s="0" t="n">
        <f aca="false">B928/SUM($A928:$C928)</f>
        <v>0.296840705180122</v>
      </c>
      <c r="F928" s="0" t="n">
        <f aca="false">C928/SUM($A928:$C928)</f>
        <v>0.0709218017734912</v>
      </c>
      <c r="G928" s="0" t="n">
        <f aca="false">SUMPRODUCT(D928:F928,Stats!$B$6:$D$6)</f>
        <v>0.371607893033039</v>
      </c>
      <c r="H928" s="0" t="n">
        <f aca="false">SQRT(SUMPRODUCT(MMULT(D928:F928,Stats!$B$12:$D$14),D928:F928))</f>
        <v>0.225242697129173</v>
      </c>
      <c r="I928" s="0" t="n">
        <f aca="false">(G928-Stats!$B$2)/H928</f>
        <v>1.46334552566654</v>
      </c>
    </row>
    <row r="929" customFormat="false" ht="15" hidden="false" customHeight="false" outlineLevel="0" collapsed="false">
      <c r="A929" s="0" t="n">
        <v>0.843649664051824</v>
      </c>
      <c r="B929" s="0" t="n">
        <v>0.981192529164116</v>
      </c>
      <c r="C929" s="0" t="n">
        <v>0.793142873996739</v>
      </c>
      <c r="D929" s="0" t="n">
        <f aca="false">A929/SUM($A929:$C929)</f>
        <v>0.322251518779686</v>
      </c>
      <c r="E929" s="0" t="n">
        <f aca="false">B929/SUM($A929:$C929)</f>
        <v>0.374789200080799</v>
      </c>
      <c r="F929" s="0" t="n">
        <f aca="false">C929/SUM($A929:$C929)</f>
        <v>0.302959281139516</v>
      </c>
      <c r="G929" s="0" t="n">
        <f aca="false">SUMPRODUCT(D929:F929,Stats!$B$6:$D$6)</f>
        <v>0.36969460429565</v>
      </c>
      <c r="H929" s="0" t="n">
        <f aca="false">SQRT(SUMPRODUCT(MMULT(D929:F929,Stats!$B$12:$D$14),D929:F929))</f>
        <v>0.226957767854599</v>
      </c>
      <c r="I929" s="0" t="n">
        <f aca="false">(G929-Stats!$B$2)/H929</f>
        <v>1.44385718714677</v>
      </c>
    </row>
    <row r="930" customFormat="false" ht="15" hidden="false" customHeight="false" outlineLevel="0" collapsed="false">
      <c r="A930" s="0" t="n">
        <v>0.853784921704667</v>
      </c>
      <c r="B930" s="0" t="n">
        <v>0.241977130317045</v>
      </c>
      <c r="C930" s="0" t="n">
        <v>0.9606269755132</v>
      </c>
      <c r="D930" s="0" t="n">
        <f aca="false">A930/SUM($A930:$C930)</f>
        <v>0.415186479927943</v>
      </c>
      <c r="E930" s="0" t="n">
        <f aca="false">B930/SUM($A930:$C930)</f>
        <v>0.117670891585681</v>
      </c>
      <c r="F930" s="0" t="n">
        <f aca="false">C930/SUM($A930:$C930)</f>
        <v>0.467142628486375</v>
      </c>
      <c r="G930" s="0" t="n">
        <f aca="false">SUMPRODUCT(D930:F930,Stats!$B$6:$D$6)</f>
        <v>0.350373056951702</v>
      </c>
      <c r="H930" s="0" t="n">
        <f aca="false">SQRT(SUMPRODUCT(MMULT(D930:F930,Stats!$B$12:$D$14),D930:F930))</f>
        <v>0.224405636297572</v>
      </c>
      <c r="I930" s="0" t="n">
        <f aca="false">(G930-Stats!$B$2)/H930</f>
        <v>1.37417696827715</v>
      </c>
    </row>
    <row r="931" customFormat="false" ht="15" hidden="false" customHeight="false" outlineLevel="0" collapsed="false">
      <c r="A931" s="0" t="n">
        <v>0.196925704453428</v>
      </c>
      <c r="B931" s="0" t="n">
        <v>0.951429810361832</v>
      </c>
      <c r="C931" s="0" t="n">
        <v>0.994819293965951</v>
      </c>
      <c r="D931" s="0" t="n">
        <f aca="false">A931/SUM($A931:$C931)</f>
        <v>0.0918850406633031</v>
      </c>
      <c r="E931" s="0" t="n">
        <f aca="false">B931/SUM($A931:$C931)</f>
        <v>0.443934767459727</v>
      </c>
      <c r="F931" s="0" t="n">
        <f aca="false">C931/SUM($A931:$C931)</f>
        <v>0.46418019187697</v>
      </c>
      <c r="G931" s="0" t="n">
        <f aca="false">SUMPRODUCT(D931:F931,Stats!$B$6:$D$6)</f>
        <v>0.369227546144514</v>
      </c>
      <c r="H931" s="0" t="n">
        <f aca="false">SQRT(SUMPRODUCT(MMULT(D931:F931,Stats!$B$12:$D$14),D931:F931))</f>
        <v>0.23746584441828</v>
      </c>
      <c r="I931" s="0" t="n">
        <f aca="false">(G931-Stats!$B$2)/H931</f>
        <v>1.3779983683385</v>
      </c>
    </row>
    <row r="932" customFormat="false" ht="15" hidden="false" customHeight="false" outlineLevel="0" collapsed="false">
      <c r="A932" s="0" t="n">
        <v>0.711722805746049</v>
      </c>
      <c r="B932" s="0" t="n">
        <v>0.981143731791822</v>
      </c>
      <c r="C932" s="0" t="n">
        <v>0.569539779567104</v>
      </c>
      <c r="D932" s="0" t="n">
        <f aca="false">A932/SUM($A932:$C932)</f>
        <v>0.314586641826913</v>
      </c>
      <c r="E932" s="0" t="n">
        <f aca="false">B932/SUM($A932:$C932)</f>
        <v>0.433672645083185</v>
      </c>
      <c r="F932" s="0" t="n">
        <f aca="false">C932/SUM($A932:$C932)</f>
        <v>0.251740713089901</v>
      </c>
      <c r="G932" s="0" t="n">
        <f aca="false">SUMPRODUCT(D932:F932,Stats!$B$6:$D$6)</f>
        <v>0.374495013824007</v>
      </c>
      <c r="H932" s="0" t="n">
        <f aca="false">SQRT(SUMPRODUCT(MMULT(D932:F932,Stats!$B$12:$D$14),D932:F932))</f>
        <v>0.227933855765409</v>
      </c>
      <c r="I932" s="0" t="n">
        <f aca="false">(G932-Stats!$B$2)/H932</f>
        <v>1.45873465224145</v>
      </c>
    </row>
    <row r="933" customFormat="false" ht="15" hidden="false" customHeight="false" outlineLevel="0" collapsed="false">
      <c r="A933" s="0" t="n">
        <v>0.25954178317609</v>
      </c>
      <c r="B933" s="0" t="n">
        <v>0.436995885665621</v>
      </c>
      <c r="C933" s="0" t="n">
        <v>0.593560935378786</v>
      </c>
      <c r="D933" s="0" t="n">
        <f aca="false">A933/SUM($A933:$C933)</f>
        <v>0.201179803099555</v>
      </c>
      <c r="E933" s="0" t="n">
        <f aca="false">B933/SUM($A933:$C933)</f>
        <v>0.338730608835642</v>
      </c>
      <c r="F933" s="0" t="n">
        <f aca="false">C933/SUM($A933:$C933)</f>
        <v>0.460089588064803</v>
      </c>
      <c r="G933" s="0" t="n">
        <f aca="false">SUMPRODUCT(D933:F933,Stats!$B$6:$D$6)</f>
        <v>0.363287031847154</v>
      </c>
      <c r="H933" s="0" t="n">
        <f aca="false">SQRT(SUMPRODUCT(MMULT(D933:F933,Stats!$B$12:$D$14),D933:F933))</f>
        <v>0.231703700844769</v>
      </c>
      <c r="I933" s="0" t="n">
        <f aca="false">(G933-Stats!$B$2)/H933</f>
        <v>1.38662883102762</v>
      </c>
    </row>
    <row r="934" customFormat="false" ht="15" hidden="false" customHeight="false" outlineLevel="0" collapsed="false">
      <c r="A934" s="0" t="n">
        <v>0.073081562027015</v>
      </c>
      <c r="B934" s="0" t="n">
        <v>0.622343264617246</v>
      </c>
      <c r="C934" s="0" t="n">
        <v>0.981177836762295</v>
      </c>
      <c r="D934" s="0" t="n">
        <f aca="false">A934/SUM($A934:$C934)</f>
        <v>0.0435890766620437</v>
      </c>
      <c r="E934" s="0" t="n">
        <f aca="false">B934/SUM($A934:$C934)</f>
        <v>0.371193054979858</v>
      </c>
      <c r="F934" s="0" t="n">
        <f aca="false">C934/SUM($A934:$C934)</f>
        <v>0.585217868358098</v>
      </c>
      <c r="G934" s="0" t="n">
        <f aca="false">SUMPRODUCT(D934:F934,Stats!$B$6:$D$6)</f>
        <v>0.36170451478075</v>
      </c>
      <c r="H934" s="0" t="n">
        <f aca="false">SQRT(SUMPRODUCT(MMULT(D934:F934,Stats!$B$12:$D$14),D934:F934))</f>
        <v>0.241540016595643</v>
      </c>
      <c r="I934" s="0" t="n">
        <f aca="false">(G934-Stats!$B$2)/H934</f>
        <v>1.32360889630955</v>
      </c>
    </row>
    <row r="935" customFormat="false" ht="15" hidden="false" customHeight="false" outlineLevel="0" collapsed="false">
      <c r="A935" s="0" t="n">
        <v>0.190107649783728</v>
      </c>
      <c r="B935" s="0" t="n">
        <v>0.792595116288383</v>
      </c>
      <c r="C935" s="0" t="n">
        <v>0.907898793779619</v>
      </c>
      <c r="D935" s="0" t="n">
        <f aca="false">A935/SUM($A935:$C935)</f>
        <v>0.100554053175877</v>
      </c>
      <c r="E935" s="0" t="n">
        <f aca="false">B935/SUM($A935:$C935)</f>
        <v>0.419229060802501</v>
      </c>
      <c r="F935" s="0" t="n">
        <f aca="false">C935/SUM($A935:$C935)</f>
        <v>0.480216886021622</v>
      </c>
      <c r="G935" s="0" t="n">
        <f aca="false">SUMPRODUCT(D935:F935,Stats!$B$6:$D$6)</f>
        <v>0.367363806086426</v>
      </c>
      <c r="H935" s="0" t="n">
        <f aca="false">SQRT(SUMPRODUCT(MMULT(D935:F935,Stats!$B$12:$D$14),D935:F935))</f>
        <v>0.237042171834005</v>
      </c>
      <c r="I935" s="0" t="n">
        <f aca="false">(G935-Stats!$B$2)/H935</f>
        <v>1.37259882310845</v>
      </c>
    </row>
    <row r="936" customFormat="false" ht="15" hidden="false" customHeight="false" outlineLevel="0" collapsed="false">
      <c r="A936" s="0" t="n">
        <v>0.943701592820221</v>
      </c>
      <c r="B936" s="0" t="n">
        <v>0.960135604405447</v>
      </c>
      <c r="C936" s="0" t="n">
        <v>0.521459638721472</v>
      </c>
      <c r="D936" s="0" t="n">
        <f aca="false">A936/SUM($A936:$C936)</f>
        <v>0.389107666671111</v>
      </c>
      <c r="E936" s="0" t="n">
        <f aca="false">B936/SUM($A936:$C936)</f>
        <v>0.395883749227954</v>
      </c>
      <c r="F936" s="0" t="n">
        <f aca="false">C936/SUM($A936:$C936)</f>
        <v>0.215008584100935</v>
      </c>
      <c r="G936" s="0" t="n">
        <f aca="false">SUMPRODUCT(D936:F936,Stats!$B$6:$D$6)</f>
        <v>0.373333563994659</v>
      </c>
      <c r="H936" s="0" t="n">
        <f aca="false">SQRT(SUMPRODUCT(MMULT(D936:F936,Stats!$B$12:$D$14),D936:F936))</f>
        <v>0.225985617301351</v>
      </c>
      <c r="I936" s="0" t="n">
        <f aca="false">(G936-Stats!$B$2)/H936</f>
        <v>1.466171024295</v>
      </c>
    </row>
    <row r="937" customFormat="false" ht="15" hidden="false" customHeight="false" outlineLevel="0" collapsed="false">
      <c r="A937" s="0" t="n">
        <v>0.977307907991504</v>
      </c>
      <c r="B937" s="0" t="n">
        <v>0.757310207134439</v>
      </c>
      <c r="C937" s="0" t="n">
        <v>0.161671436236962</v>
      </c>
      <c r="D937" s="0" t="n">
        <f aca="false">A937/SUM($A937:$C937)</f>
        <v>0.515379050255849</v>
      </c>
      <c r="E937" s="0" t="n">
        <f aca="false">B937/SUM($A937:$C937)</f>
        <v>0.399364225041552</v>
      </c>
      <c r="F937" s="0" t="n">
        <f aca="false">C937/SUM($A937:$C937)</f>
        <v>0.0852567247025989</v>
      </c>
      <c r="G937" s="0" t="n">
        <f aca="false">SUMPRODUCT(D937:F937,Stats!$B$6:$D$6)</f>
        <v>0.377111683686002</v>
      </c>
      <c r="H937" s="0" t="n">
        <f aca="false">SQRT(SUMPRODUCT(MMULT(D937:F937,Stats!$B$12:$D$14),D937:F937))</f>
        <v>0.226179316831687</v>
      </c>
      <c r="I937" s="0" t="n">
        <f aca="false">(G937-Stats!$B$2)/H937</f>
        <v>1.48161948837868</v>
      </c>
    </row>
    <row r="938" customFormat="false" ht="15" hidden="false" customHeight="false" outlineLevel="0" collapsed="false">
      <c r="A938" s="0" t="n">
        <v>0.47690010646797</v>
      </c>
      <c r="B938" s="0" t="n">
        <v>0.718331175372004</v>
      </c>
      <c r="C938" s="0" t="n">
        <v>0.247340315819083</v>
      </c>
      <c r="D938" s="0" t="n">
        <f aca="false">A938/SUM($A938:$C938)</f>
        <v>0.330590250939269</v>
      </c>
      <c r="E938" s="0" t="n">
        <f aca="false">B938/SUM($A938:$C938)</f>
        <v>0.497951835831012</v>
      </c>
      <c r="F938" s="0" t="n">
        <f aca="false">C938/SUM($A938:$C938)</f>
        <v>0.171457913229719</v>
      </c>
      <c r="G938" s="0" t="n">
        <f aca="false">SUMPRODUCT(D938:F938,Stats!$B$6:$D$6)</f>
        <v>0.380407322592465</v>
      </c>
      <c r="H938" s="0" t="n">
        <f aca="false">SQRT(SUMPRODUCT(MMULT(D938:F938,Stats!$B$12:$D$14),D938:F938))</f>
        <v>0.229016451554787</v>
      </c>
      <c r="I938" s="0" t="n">
        <f aca="false">(G938-Stats!$B$2)/H938</f>
        <v>1.47765507803053</v>
      </c>
    </row>
    <row r="939" customFormat="false" ht="15" hidden="false" customHeight="false" outlineLevel="0" collapsed="false">
      <c r="A939" s="0" t="n">
        <v>0.640615183548887</v>
      </c>
      <c r="B939" s="0" t="n">
        <v>0.666600479046619</v>
      </c>
      <c r="C939" s="0" t="n">
        <v>0.162699743808566</v>
      </c>
      <c r="D939" s="0" t="n">
        <f aca="false">A939/SUM($A939:$C939)</f>
        <v>0.435817721725944</v>
      </c>
      <c r="E939" s="0" t="n">
        <f aca="false">B939/SUM($A939:$C939)</f>
        <v>0.453495810808159</v>
      </c>
      <c r="F939" s="0" t="n">
        <f aca="false">C939/SUM($A939:$C939)</f>
        <v>0.110686467465898</v>
      </c>
      <c r="G939" s="0" t="n">
        <f aca="false">SUMPRODUCT(D939:F939,Stats!$B$6:$D$6)</f>
        <v>0.379525129693967</v>
      </c>
      <c r="H939" s="0" t="n">
        <f aca="false">SQRT(SUMPRODUCT(MMULT(D939:F939,Stats!$B$12:$D$14),D939:F939))</f>
        <v>0.227234041814054</v>
      </c>
      <c r="I939" s="0" t="n">
        <f aca="false">(G939-Stats!$B$2)/H939</f>
        <v>1.48536340329749</v>
      </c>
    </row>
    <row r="940" customFormat="false" ht="15" hidden="false" customHeight="false" outlineLevel="0" collapsed="false">
      <c r="A940" s="0" t="n">
        <v>0.565085312452756</v>
      </c>
      <c r="B940" s="0" t="n">
        <v>0.771626910978608</v>
      </c>
      <c r="C940" s="0" t="n">
        <v>0.498895664535942</v>
      </c>
      <c r="D940" s="0" t="n">
        <f aca="false">A940/SUM($A940:$C940)</f>
        <v>0.307846417612922</v>
      </c>
      <c r="E940" s="0" t="n">
        <f aca="false">B940/SUM($A940:$C940)</f>
        <v>0.420365872274107</v>
      </c>
      <c r="F940" s="0" t="n">
        <f aca="false">C940/SUM($A940:$C940)</f>
        <v>0.271787710112972</v>
      </c>
      <c r="G940" s="0" t="n">
        <f aca="false">SUMPRODUCT(D940:F940,Stats!$B$6:$D$6)</f>
        <v>0.373176571106761</v>
      </c>
      <c r="H940" s="0" t="n">
        <f aca="false">SQRT(SUMPRODUCT(MMULT(D940:F940,Stats!$B$12:$D$14),D940:F940))</f>
        <v>0.227887719044831</v>
      </c>
      <c r="I940" s="0" t="n">
        <f aca="false">(G940-Stats!$B$2)/H940</f>
        <v>1.45324448590233</v>
      </c>
    </row>
    <row r="941" customFormat="false" ht="15" hidden="false" customHeight="false" outlineLevel="0" collapsed="false">
      <c r="A941" s="0" t="n">
        <v>0.0121031167761074</v>
      </c>
      <c r="B941" s="0" t="n">
        <v>0.00903846907929218</v>
      </c>
      <c r="C941" s="0" t="n">
        <v>0.357029343970012</v>
      </c>
      <c r="D941" s="0" t="n">
        <f aca="false">A941/SUM($A941:$C941)</f>
        <v>0.0320043552308344</v>
      </c>
      <c r="E941" s="0" t="n">
        <f aca="false">B941/SUM($A941:$C941)</f>
        <v>0.023900486172919</v>
      </c>
      <c r="F941" s="0" t="n">
        <f aca="false">C941/SUM($A941:$C941)</f>
        <v>0.944095158596247</v>
      </c>
      <c r="G941" s="0" t="n">
        <f aca="false">SUMPRODUCT(D941:F941,Stats!$B$6:$D$6)</f>
        <v>0.331825846616721</v>
      </c>
      <c r="H941" s="0" t="n">
        <f aca="false">SQRT(SUMPRODUCT(MMULT(D941:F941,Stats!$B$12:$D$14),D941:F941))</f>
        <v>0.255070721420606</v>
      </c>
      <c r="I941" s="0" t="n">
        <f aca="false">(G941-Stats!$B$2)/H941</f>
        <v>1.13625681929524</v>
      </c>
    </row>
    <row r="942" customFormat="false" ht="15" hidden="false" customHeight="false" outlineLevel="0" collapsed="false">
      <c r="A942" s="0" t="n">
        <v>0.926194068431782</v>
      </c>
      <c r="B942" s="0" t="n">
        <v>0.228676779603609</v>
      </c>
      <c r="C942" s="0" t="n">
        <v>0.634363688871687</v>
      </c>
      <c r="D942" s="0" t="n">
        <f aca="false">A942/SUM($A942:$C942)</f>
        <v>0.517648217339258</v>
      </c>
      <c r="E942" s="0" t="n">
        <f aca="false">B942/SUM($A942:$C942)</f>
        <v>0.127807045351867</v>
      </c>
      <c r="F942" s="0" t="n">
        <f aca="false">C942/SUM($A942:$C942)</f>
        <v>0.354544737308875</v>
      </c>
      <c r="G942" s="0" t="n">
        <f aca="false">SUMPRODUCT(D942:F942,Stats!$B$6:$D$6)</f>
        <v>0.354061121662235</v>
      </c>
      <c r="H942" s="0" t="n">
        <f aca="false">SQRT(SUMPRODUCT(MMULT(D942:F942,Stats!$B$12:$D$14),D942:F942))</f>
        <v>0.221914120562117</v>
      </c>
      <c r="I942" s="0" t="n">
        <f aca="false">(G942-Stats!$B$2)/H942</f>
        <v>1.40622471824583</v>
      </c>
    </row>
    <row r="943" customFormat="false" ht="15" hidden="false" customHeight="false" outlineLevel="0" collapsed="false">
      <c r="A943" s="0" t="n">
        <v>0.222075870693321</v>
      </c>
      <c r="B943" s="0" t="n">
        <v>0.321669989659549</v>
      </c>
      <c r="C943" s="0" t="n">
        <v>0.848042089601484</v>
      </c>
      <c r="D943" s="0" t="n">
        <f aca="false">A943/SUM($A943:$C943)</f>
        <v>0.159561570209459</v>
      </c>
      <c r="E943" s="0" t="n">
        <f aca="false">B943/SUM($A943:$C943)</f>
        <v>0.231119970301581</v>
      </c>
      <c r="F943" s="0" t="n">
        <f aca="false">C943/SUM($A943:$C943)</f>
        <v>0.60931845948896</v>
      </c>
      <c r="G943" s="0" t="n">
        <f aca="false">SUMPRODUCT(D943:F943,Stats!$B$6:$D$6)</f>
        <v>0.352980326250549</v>
      </c>
      <c r="H943" s="0" t="n">
        <f aca="false">SQRT(SUMPRODUCT(MMULT(D943:F943,Stats!$B$12:$D$14),D943:F943))</f>
        <v>0.2357860933348</v>
      </c>
      <c r="I943" s="0" t="n">
        <f aca="false">(G943-Stats!$B$2)/H943</f>
        <v>1.31890868478396</v>
      </c>
    </row>
    <row r="944" customFormat="false" ht="15" hidden="false" customHeight="false" outlineLevel="0" collapsed="false">
      <c r="A944" s="0" t="n">
        <v>0.728861442269947</v>
      </c>
      <c r="B944" s="0" t="n">
        <v>0.0953992773132106</v>
      </c>
      <c r="C944" s="0" t="n">
        <v>0.428702020986434</v>
      </c>
      <c r="D944" s="0" t="n">
        <f aca="false">A944/SUM($A944:$C944)</f>
        <v>0.581710388242359</v>
      </c>
      <c r="E944" s="0" t="n">
        <f aca="false">B944/SUM($A944:$C944)</f>
        <v>0.0761389578670492</v>
      </c>
      <c r="F944" s="0" t="n">
        <f aca="false">C944/SUM($A944:$C944)</f>
        <v>0.342150653890592</v>
      </c>
      <c r="G944" s="0" t="n">
        <f aca="false">SUMPRODUCT(D944:F944,Stats!$B$6:$D$6)</f>
        <v>0.351429968864299</v>
      </c>
      <c r="H944" s="0" t="n">
        <f aca="false">SQRT(SUMPRODUCT(MMULT(D944:F944,Stats!$B$12:$D$14),D944:F944))</f>
        <v>0.22137470057747</v>
      </c>
      <c r="I944" s="0" t="n">
        <f aca="false">(G944-Stats!$B$2)/H944</f>
        <v>1.39776572506764</v>
      </c>
    </row>
    <row r="945" customFormat="false" ht="15" hidden="false" customHeight="false" outlineLevel="0" collapsed="false">
      <c r="A945" s="0" t="n">
        <v>0.0291697636452645</v>
      </c>
      <c r="B945" s="0" t="n">
        <v>0.480890146603009</v>
      </c>
      <c r="C945" s="0" t="n">
        <v>0.662434011701068</v>
      </c>
      <c r="D945" s="0" t="n">
        <f aca="false">A945/SUM($A945:$C945)</f>
        <v>0.024878392202467</v>
      </c>
      <c r="E945" s="0" t="n">
        <f aca="false">B945/SUM($A945:$C945)</f>
        <v>0.4101429760962</v>
      </c>
      <c r="F945" s="0" t="n">
        <f aca="false">C945/SUM($A945:$C945)</f>
        <v>0.564978631701333</v>
      </c>
      <c r="G945" s="0" t="n">
        <f aca="false">SUMPRODUCT(D945:F945,Stats!$B$6:$D$6)</f>
        <v>0.364503731996278</v>
      </c>
      <c r="H945" s="0" t="n">
        <f aca="false">SQRT(SUMPRODUCT(MMULT(D945:F945,Stats!$B$12:$D$14),D945:F945))</f>
        <v>0.242380356425056</v>
      </c>
      <c r="I945" s="0" t="n">
        <f aca="false">(G945-Stats!$B$2)/H945</f>
        <v>1.33056876701143</v>
      </c>
    </row>
    <row r="946" customFormat="false" ht="15" hidden="false" customHeight="false" outlineLevel="0" collapsed="false">
      <c r="A946" s="0" t="n">
        <v>0.118502623598152</v>
      </c>
      <c r="B946" s="0" t="n">
        <v>0.288884938909166</v>
      </c>
      <c r="C946" s="0" t="n">
        <v>0.397836625502157</v>
      </c>
      <c r="D946" s="0" t="n">
        <f aca="false">A946/SUM($A946:$C946)</f>
        <v>0.147167242816056</v>
      </c>
      <c r="E946" s="0" t="n">
        <f aca="false">B946/SUM($A946:$C946)</f>
        <v>0.358763364552291</v>
      </c>
      <c r="F946" s="0" t="n">
        <f aca="false">C946/SUM($A946:$C946)</f>
        <v>0.494069392631653</v>
      </c>
      <c r="G946" s="0" t="n">
        <f aca="false">SUMPRODUCT(D946:F946,Stats!$B$6:$D$6)</f>
        <v>0.363502710641591</v>
      </c>
      <c r="H946" s="0" t="n">
        <f aca="false">SQRT(SUMPRODUCT(MMULT(D946:F946,Stats!$B$12:$D$14),D946:F946))</f>
        <v>0.234609192424752</v>
      </c>
      <c r="I946" s="0" t="n">
        <f aca="false">(G946-Stats!$B$2)/H946</f>
        <v>1.37037559065256</v>
      </c>
    </row>
    <row r="947" customFormat="false" ht="15" hidden="false" customHeight="false" outlineLevel="0" collapsed="false">
      <c r="A947" s="0" t="n">
        <v>0.91953102465605</v>
      </c>
      <c r="B947" s="0" t="n">
        <v>0.993255015422964</v>
      </c>
      <c r="C947" s="0" t="n">
        <v>0.0449112989956159</v>
      </c>
      <c r="D947" s="0" t="n">
        <f aca="false">A947/SUM($A947:$C947)</f>
        <v>0.469700298561317</v>
      </c>
      <c r="E947" s="0" t="n">
        <f aca="false">B947/SUM($A947:$C947)</f>
        <v>0.507358821814846</v>
      </c>
      <c r="F947" s="0" t="n">
        <f aca="false">C947/SUM($A947:$C947)</f>
        <v>0.0229408796238364</v>
      </c>
      <c r="G947" s="0" t="n">
        <f aca="false">SUMPRODUCT(D947:F947,Stats!$B$6:$D$6)</f>
        <v>0.385043888469779</v>
      </c>
      <c r="H947" s="0" t="n">
        <f aca="false">SQRT(SUMPRODUCT(MMULT(D947:F947,Stats!$B$12:$D$14),D947:F947))</f>
        <v>0.229457437764779</v>
      </c>
      <c r="I947" s="0" t="n">
        <f aca="false">(G947-Stats!$B$2)/H947</f>
        <v>1.49502187338743</v>
      </c>
    </row>
    <row r="948" customFormat="false" ht="15" hidden="false" customHeight="false" outlineLevel="0" collapsed="false">
      <c r="A948" s="0" t="n">
        <v>0.761007923495392</v>
      </c>
      <c r="B948" s="0" t="n">
        <v>0.371724066402343</v>
      </c>
      <c r="C948" s="0" t="n">
        <v>0.39245818622948</v>
      </c>
      <c r="D948" s="0" t="n">
        <f aca="false">A948/SUM($A948:$C948)</f>
        <v>0.498959366121643</v>
      </c>
      <c r="E948" s="0" t="n">
        <f aca="false">B948/SUM($A948:$C948)</f>
        <v>0.243723092517046</v>
      </c>
      <c r="F948" s="0" t="n">
        <f aca="false">C948/SUM($A948:$C948)</f>
        <v>0.257317541361311</v>
      </c>
      <c r="G948" s="0" t="n">
        <f aca="false">SUMPRODUCT(D948:F948,Stats!$B$6:$D$6)</f>
        <v>0.363411783521623</v>
      </c>
      <c r="H948" s="0" t="n">
        <f aca="false">SQRT(SUMPRODUCT(MMULT(D948:F948,Stats!$B$12:$D$14),D948:F948))</f>
        <v>0.222696235253818</v>
      </c>
      <c r="I948" s="0" t="n">
        <f aca="false">(G948-Stats!$B$2)/H948</f>
        <v>1.44327443683677</v>
      </c>
    </row>
    <row r="949" customFormat="false" ht="15" hidden="false" customHeight="false" outlineLevel="0" collapsed="false">
      <c r="A949" s="0" t="n">
        <v>0.754264973347023</v>
      </c>
      <c r="B949" s="0" t="n">
        <v>0.918426432145409</v>
      </c>
      <c r="C949" s="0" t="n">
        <v>0.950928594502548</v>
      </c>
      <c r="D949" s="0" t="n">
        <f aca="false">A949/SUM($A949:$C949)</f>
        <v>0.287490175158165</v>
      </c>
      <c r="E949" s="0" t="n">
        <f aca="false">B949/SUM($A949:$C949)</f>
        <v>0.35006076800267</v>
      </c>
      <c r="F949" s="0" t="n">
        <f aca="false">C949/SUM($A949:$C949)</f>
        <v>0.362449056839164</v>
      </c>
      <c r="G949" s="0" t="n">
        <f aca="false">SUMPRODUCT(D949:F949,Stats!$B$6:$D$6)</f>
        <v>0.366631354635311</v>
      </c>
      <c r="H949" s="0" t="n">
        <f aca="false">SQRT(SUMPRODUCT(MMULT(D949:F949,Stats!$B$12:$D$14),D949:F949))</f>
        <v>0.22787086415681</v>
      </c>
      <c r="I949" s="0" t="n">
        <f aca="false">(G949-Stats!$B$2)/H949</f>
        <v>1.42462861953213</v>
      </c>
    </row>
    <row r="950" customFormat="false" ht="15" hidden="false" customHeight="false" outlineLevel="0" collapsed="false">
      <c r="A950" s="0" t="n">
        <v>0.577122586038321</v>
      </c>
      <c r="B950" s="0" t="n">
        <v>0.357121159300503</v>
      </c>
      <c r="C950" s="0" t="n">
        <v>0.787549085858779</v>
      </c>
      <c r="D950" s="0" t="n">
        <f aca="false">A950/SUM($A950:$C950)</f>
        <v>0.335187007159799</v>
      </c>
      <c r="E950" s="0" t="n">
        <f aca="false">B950/SUM($A950:$C950)</f>
        <v>0.207412385990773</v>
      </c>
      <c r="F950" s="0" t="n">
        <f aca="false">C950/SUM($A950:$C950)</f>
        <v>0.457400606849429</v>
      </c>
      <c r="G950" s="0" t="n">
        <f aca="false">SUMPRODUCT(D950:F950,Stats!$B$6:$D$6)</f>
        <v>0.355805298889288</v>
      </c>
      <c r="H950" s="0" t="n">
        <f aca="false">SQRT(SUMPRODUCT(MMULT(D950:F950,Stats!$B$12:$D$14),D950:F950))</f>
        <v>0.22643025954884</v>
      </c>
      <c r="I950" s="0" t="n">
        <f aca="false">(G950-Stats!$B$2)/H950</f>
        <v>1.38588057759834</v>
      </c>
    </row>
    <row r="951" customFormat="false" ht="15" hidden="false" customHeight="false" outlineLevel="0" collapsed="false">
      <c r="A951" s="0" t="n">
        <v>0.2510013832623</v>
      </c>
      <c r="B951" s="0" t="n">
        <v>0.564074028833518</v>
      </c>
      <c r="C951" s="0" t="n">
        <v>0.358578461524873</v>
      </c>
      <c r="D951" s="0" t="n">
        <f aca="false">A951/SUM($A951:$C951)</f>
        <v>0.213863208654497</v>
      </c>
      <c r="E951" s="0" t="n">
        <f aca="false">B951/SUM($A951:$C951)</f>
        <v>0.480613613188498</v>
      </c>
      <c r="F951" s="0" t="n">
        <f aca="false">C951/SUM($A951:$C951)</f>
        <v>0.305523178157005</v>
      </c>
      <c r="G951" s="0" t="n">
        <f aca="false">SUMPRODUCT(D951:F951,Stats!$B$6:$D$6)</f>
        <v>0.375712905585879</v>
      </c>
      <c r="H951" s="0" t="n">
        <f aca="false">SQRT(SUMPRODUCT(MMULT(D951:F951,Stats!$B$12:$D$14),D951:F951))</f>
        <v>0.231590009187937</v>
      </c>
      <c r="I951" s="0" t="n">
        <f aca="false">(G951-Stats!$B$2)/H951</f>
        <v>1.44096417093308</v>
      </c>
    </row>
    <row r="952" customFormat="false" ht="15" hidden="false" customHeight="false" outlineLevel="0" collapsed="false">
      <c r="A952" s="0" t="n">
        <v>0.656631073707876</v>
      </c>
      <c r="B952" s="0" t="n">
        <v>0.240398912893507</v>
      </c>
      <c r="C952" s="0" t="n">
        <v>0.191592945734826</v>
      </c>
      <c r="D952" s="0" t="n">
        <f aca="false">A952/SUM($A952:$C952)</f>
        <v>0.603175860257446</v>
      </c>
      <c r="E952" s="0" t="n">
        <f aca="false">B952/SUM($A952:$C952)</f>
        <v>0.220828448265007</v>
      </c>
      <c r="F952" s="0" t="n">
        <f aca="false">C952/SUM($A952:$C952)</f>
        <v>0.175995691477547</v>
      </c>
      <c r="G952" s="0" t="n">
        <f aca="false">SUMPRODUCT(D952:F952,Stats!$B$6:$D$6)</f>
        <v>0.364336874055836</v>
      </c>
      <c r="H952" s="0" t="n">
        <f aca="false">SQRT(SUMPRODUCT(MMULT(D952:F952,Stats!$B$12:$D$14),D952:F952))</f>
        <v>0.222759767268276</v>
      </c>
      <c r="I952" s="0" t="n">
        <f aca="false">(G952-Stats!$B$2)/H952</f>
        <v>1.44701567077702</v>
      </c>
    </row>
    <row r="953" customFormat="false" ht="15" hidden="false" customHeight="false" outlineLevel="0" collapsed="false">
      <c r="A953" s="0" t="n">
        <v>0.918239086675437</v>
      </c>
      <c r="B953" s="0" t="n">
        <v>0.101803682949537</v>
      </c>
      <c r="C953" s="0" t="n">
        <v>0.505957907734932</v>
      </c>
      <c r="D953" s="0" t="n">
        <f aca="false">A953/SUM($A953:$C953)</f>
        <v>0.601729147502122</v>
      </c>
      <c r="E953" s="0" t="n">
        <f aca="false">B953/SUM($A953:$C953)</f>
        <v>0.0667127377201856</v>
      </c>
      <c r="F953" s="0" t="n">
        <f aca="false">C953/SUM($A953:$C953)</f>
        <v>0.331558114777692</v>
      </c>
      <c r="G953" s="0" t="n">
        <f aca="false">SUMPRODUCT(D953:F953,Stats!$B$6:$D$6)</f>
        <v>0.3511796815491</v>
      </c>
      <c r="H953" s="0" t="n">
        <f aca="false">SQRT(SUMPRODUCT(MMULT(D953:F953,Stats!$B$12:$D$14),D953:F953))</f>
        <v>0.221301712755255</v>
      </c>
      <c r="I953" s="0" t="n">
        <f aca="false">(G953-Stats!$B$2)/H953</f>
        <v>1.39709574634442</v>
      </c>
    </row>
    <row r="954" customFormat="false" ht="15" hidden="false" customHeight="false" outlineLevel="0" collapsed="false">
      <c r="A954" s="0" t="n">
        <v>0.220852782963009</v>
      </c>
      <c r="B954" s="0" t="n">
        <v>0.0389299633256675</v>
      </c>
      <c r="C954" s="0" t="n">
        <v>0.0360188182914264</v>
      </c>
      <c r="D954" s="0" t="n">
        <f aca="false">A954/SUM($A954:$C954)</f>
        <v>0.74662479651355</v>
      </c>
      <c r="E954" s="0" t="n">
        <f aca="false">B954/SUM($A954:$C954)</f>
        <v>0.131608375300278</v>
      </c>
      <c r="F954" s="0" t="n">
        <f aca="false">C954/SUM($A954:$C954)</f>
        <v>0.121766828186173</v>
      </c>
      <c r="G954" s="0" t="n">
        <f aca="false">SUMPRODUCT(D954:F954,Stats!$B$6:$D$6)</f>
        <v>0.360698606580469</v>
      </c>
      <c r="H954" s="0" t="n">
        <f aca="false">SQRT(SUMPRODUCT(MMULT(D954:F954,Stats!$B$12:$D$14),D954:F954))</f>
        <v>0.224204523570985</v>
      </c>
      <c r="I954" s="0" t="n">
        <f aca="false">(G954-Stats!$B$2)/H954</f>
        <v>1.42146376667359</v>
      </c>
    </row>
    <row r="955" customFormat="false" ht="15" hidden="false" customHeight="false" outlineLevel="0" collapsed="false">
      <c r="A955" s="0" t="n">
        <v>0.175221772105827</v>
      </c>
      <c r="B955" s="0" t="n">
        <v>0.866770354506</v>
      </c>
      <c r="C955" s="0" t="n">
        <v>0.282478743977027</v>
      </c>
      <c r="D955" s="0" t="n">
        <f aca="false">A955/SUM($A955:$C955)</f>
        <v>0.132295678218974</v>
      </c>
      <c r="E955" s="0" t="n">
        <f aca="false">B955/SUM($A955:$C955)</f>
        <v>0.654427646355588</v>
      </c>
      <c r="F955" s="0" t="n">
        <f aca="false">C955/SUM($A955:$C955)</f>
        <v>0.213276675425438</v>
      </c>
      <c r="G955" s="0" t="n">
        <f aca="false">SUMPRODUCT(D955:F955,Stats!$B$6:$D$6)</f>
        <v>0.388257601924165</v>
      </c>
      <c r="H955" s="0" t="n">
        <f aca="false">SQRT(SUMPRODUCT(MMULT(D955:F955,Stats!$B$12:$D$14),D955:F955))</f>
        <v>0.237736071761616</v>
      </c>
      <c r="I955" s="0" t="n">
        <f aca="false">(G955-Stats!$B$2)/H955</f>
        <v>1.45647902465288</v>
      </c>
    </row>
    <row r="956" customFormat="false" ht="15" hidden="false" customHeight="false" outlineLevel="0" collapsed="false">
      <c r="A956" s="0" t="n">
        <v>0.950459170575296</v>
      </c>
      <c r="B956" s="0" t="n">
        <v>0.581622292989194</v>
      </c>
      <c r="C956" s="0" t="n">
        <v>0.436614189768766</v>
      </c>
      <c r="D956" s="0" t="n">
        <f aca="false">A956/SUM($A956:$C956)</f>
        <v>0.48278623918636</v>
      </c>
      <c r="E956" s="0" t="n">
        <f aca="false">B956/SUM($A956:$C956)</f>
        <v>0.29543535183025</v>
      </c>
      <c r="F956" s="0" t="n">
        <f aca="false">C956/SUM($A956:$C956)</f>
        <v>0.221778408983391</v>
      </c>
      <c r="G956" s="0" t="n">
        <f aca="false">SUMPRODUCT(D956:F956,Stats!$B$6:$D$6)</f>
        <v>0.36736721789889</v>
      </c>
      <c r="H956" s="0" t="n">
        <f aca="false">SQRT(SUMPRODUCT(MMULT(D956:F956,Stats!$B$12:$D$14),D956:F956))</f>
        <v>0.223487538709271</v>
      </c>
      <c r="I956" s="0" t="n">
        <f aca="false">(G956-Stats!$B$2)/H956</f>
        <v>1.45586290751607</v>
      </c>
    </row>
    <row r="957" customFormat="false" ht="15" hidden="false" customHeight="false" outlineLevel="0" collapsed="false">
      <c r="A957" s="0" t="n">
        <v>0.580088834669455</v>
      </c>
      <c r="B957" s="0" t="n">
        <v>0.516698385226268</v>
      </c>
      <c r="C957" s="0" t="n">
        <v>0.758776253757325</v>
      </c>
      <c r="D957" s="0" t="n">
        <f aca="false">A957/SUM($A957:$C957)</f>
        <v>0.31262139124103</v>
      </c>
      <c r="E957" s="0" t="n">
        <f aca="false">B957/SUM($A957:$C957)</f>
        <v>0.278459019356015</v>
      </c>
      <c r="F957" s="0" t="n">
        <f aca="false">C957/SUM($A957:$C957)</f>
        <v>0.408919589402955</v>
      </c>
      <c r="G957" s="0" t="n">
        <f aca="false">SUMPRODUCT(D957:F957,Stats!$B$6:$D$6)</f>
        <v>0.361230075628572</v>
      </c>
      <c r="H957" s="0" t="n">
        <f aca="false">SQRT(SUMPRODUCT(MMULT(D957:F957,Stats!$B$12:$D$14),D957:F957))</f>
        <v>0.226902543727446</v>
      </c>
      <c r="I957" s="0" t="n">
        <f aca="false">(G957-Stats!$B$2)/H957</f>
        <v>1.40690390854335</v>
      </c>
    </row>
    <row r="958" customFormat="false" ht="15" hidden="false" customHeight="false" outlineLevel="0" collapsed="false">
      <c r="A958" s="0" t="n">
        <v>0.282496065972852</v>
      </c>
      <c r="B958" s="0" t="n">
        <v>0.353050391600302</v>
      </c>
      <c r="C958" s="0" t="n">
        <v>0.894094302533251</v>
      </c>
      <c r="D958" s="0" t="n">
        <f aca="false">A958/SUM($A958:$C958)</f>
        <v>0.184681314293169</v>
      </c>
      <c r="E958" s="0" t="n">
        <f aca="false">B958/SUM($A958:$C958)</f>
        <v>0.230806082583563</v>
      </c>
      <c r="F958" s="0" t="n">
        <f aca="false">C958/SUM($A958:$C958)</f>
        <v>0.584512603123269</v>
      </c>
      <c r="G958" s="0" t="n">
        <f aca="false">SUMPRODUCT(D958:F958,Stats!$B$6:$D$6)</f>
        <v>0.353646277505961</v>
      </c>
      <c r="H958" s="0" t="n">
        <f aca="false">SQRT(SUMPRODUCT(MMULT(D958:F958,Stats!$B$12:$D$14),D958:F958))</f>
        <v>0.234095960967617</v>
      </c>
      <c r="I958" s="0" t="n">
        <f aca="false">(G958-Stats!$B$2)/H958</f>
        <v>1.33127575639407</v>
      </c>
    </row>
    <row r="959" customFormat="false" ht="15" hidden="false" customHeight="false" outlineLevel="0" collapsed="false">
      <c r="A959" s="0" t="n">
        <v>0.946456513150406</v>
      </c>
      <c r="B959" s="0" t="n">
        <v>0.892558227486475</v>
      </c>
      <c r="C959" s="0" t="n">
        <v>0.419447993957314</v>
      </c>
      <c r="D959" s="0" t="n">
        <f aca="false">A959/SUM($A959:$C959)</f>
        <v>0.419071122428977</v>
      </c>
      <c r="E959" s="0" t="n">
        <f aca="false">B959/SUM($A959:$C959)</f>
        <v>0.395206090326238</v>
      </c>
      <c r="F959" s="0" t="n">
        <f aca="false">C959/SUM($A959:$C959)</f>
        <v>0.185722787244785</v>
      </c>
      <c r="G959" s="0" t="n">
        <f aca="false">SUMPRODUCT(D959:F959,Stats!$B$6:$D$6)</f>
        <v>0.37410211696293</v>
      </c>
      <c r="H959" s="0" t="n">
        <f aca="false">SQRT(SUMPRODUCT(MMULT(D959:F959,Stats!$B$12:$D$14),D959:F959))</f>
        <v>0.225708113733499</v>
      </c>
      <c r="I959" s="0" t="n">
        <f aca="false">(G959-Stats!$B$2)/H959</f>
        <v>1.47137872657539</v>
      </c>
    </row>
    <row r="960" customFormat="false" ht="15" hidden="false" customHeight="false" outlineLevel="0" collapsed="false">
      <c r="A960" s="0" t="n">
        <v>0.780365503006882</v>
      </c>
      <c r="B960" s="0" t="n">
        <v>0.476335733301099</v>
      </c>
      <c r="C960" s="0" t="n">
        <v>0.497539852146102</v>
      </c>
      <c r="D960" s="0" t="n">
        <f aca="false">A960/SUM($A960:$C960)</f>
        <v>0.444845071833641</v>
      </c>
      <c r="E960" s="0" t="n">
        <f aca="false">B960/SUM($A960:$C960)</f>
        <v>0.271533791128372</v>
      </c>
      <c r="F960" s="0" t="n">
        <f aca="false">C960/SUM($A960:$C960)</f>
        <v>0.283621137037987</v>
      </c>
      <c r="G960" s="0" t="n">
        <f aca="false">SUMPRODUCT(D960:F960,Stats!$B$6:$D$6)</f>
        <v>0.364286663591147</v>
      </c>
      <c r="H960" s="0" t="n">
        <f aca="false">SQRT(SUMPRODUCT(MMULT(D960:F960,Stats!$B$12:$D$14),D960:F960))</f>
        <v>0.223487668771226</v>
      </c>
      <c r="I960" s="0" t="n">
        <f aca="false">(G960-Stats!$B$2)/H960</f>
        <v>1.44207805899599</v>
      </c>
    </row>
    <row r="961" customFormat="false" ht="15" hidden="false" customHeight="false" outlineLevel="0" collapsed="false">
      <c r="A961" s="0" t="n">
        <v>0.204680109057284</v>
      </c>
      <c r="B961" s="0" t="n">
        <v>0.591130303258517</v>
      </c>
      <c r="C961" s="0" t="n">
        <v>0.186135897753348</v>
      </c>
      <c r="D961" s="0" t="n">
        <f aca="false">A961/SUM($A961:$C961)</f>
        <v>0.20844327939159</v>
      </c>
      <c r="E961" s="0" t="n">
        <f aca="false">B961/SUM($A961:$C961)</f>
        <v>0.601998599309253</v>
      </c>
      <c r="F961" s="0" t="n">
        <f aca="false">C961/SUM($A961:$C961)</f>
        <v>0.189558121299158</v>
      </c>
      <c r="G961" s="0" t="n">
        <f aca="false">SUMPRODUCT(D961:F961,Stats!$B$6:$D$6)</f>
        <v>0.385894932422103</v>
      </c>
      <c r="H961" s="0" t="n">
        <f aca="false">SQRT(SUMPRODUCT(MMULT(D961:F961,Stats!$B$12:$D$14),D961:F961))</f>
        <v>0.234096111863902</v>
      </c>
      <c r="I961" s="0" t="n">
        <f aca="false">(G961-Stats!$B$2)/H961</f>
        <v>1.4690330808315</v>
      </c>
    </row>
    <row r="962" customFormat="false" ht="15" hidden="false" customHeight="false" outlineLevel="0" collapsed="false">
      <c r="A962" s="0" t="n">
        <v>0.331564699067194</v>
      </c>
      <c r="B962" s="0" t="n">
        <v>0.855030201619935</v>
      </c>
      <c r="C962" s="0" t="n">
        <v>0.207075809210855</v>
      </c>
      <c r="D962" s="0" t="n">
        <f aca="false">A962/SUM($A962:$C962)</f>
        <v>0.237907488987455</v>
      </c>
      <c r="E962" s="0" t="n">
        <f aca="false">B962/SUM($A962:$C962)</f>
        <v>0.61350948652894</v>
      </c>
      <c r="F962" s="0" t="n">
        <f aca="false">C962/SUM($A962:$C962)</f>
        <v>0.148583024483605</v>
      </c>
      <c r="G962" s="0" t="n">
        <f aca="false">SUMPRODUCT(D962:F962,Stats!$B$6:$D$6)</f>
        <v>0.387687126509312</v>
      </c>
      <c r="H962" s="0" t="n">
        <f aca="false">SQRT(SUMPRODUCT(MMULT(D962:F962,Stats!$B$12:$D$14),D962:F962))</f>
        <v>0.233756949474868</v>
      </c>
      <c r="I962" s="0" t="n">
        <f aca="false">(G962-Stats!$B$2)/H962</f>
        <v>1.47883144131498</v>
      </c>
    </row>
    <row r="963" customFormat="false" ht="15" hidden="false" customHeight="false" outlineLevel="0" collapsed="false">
      <c r="A963" s="0" t="n">
        <v>0.0711582851734328</v>
      </c>
      <c r="B963" s="0" t="n">
        <v>0.0690075926128163</v>
      </c>
      <c r="C963" s="0" t="n">
        <v>0.940784520503108</v>
      </c>
      <c r="D963" s="0" t="n">
        <f aca="false">A963/SUM($A963:$C963)</f>
        <v>0.0658293713439982</v>
      </c>
      <c r="E963" s="0" t="n">
        <f aca="false">B963/SUM($A963:$C963)</f>
        <v>0.0638397402156688</v>
      </c>
      <c r="F963" s="0" t="n">
        <f aca="false">C963/SUM($A963:$C963)</f>
        <v>0.870330888440333</v>
      </c>
      <c r="G963" s="0" t="n">
        <f aca="false">SUMPRODUCT(D963:F963,Stats!$B$6:$D$6)</f>
        <v>0.336157920980295</v>
      </c>
      <c r="H963" s="0" t="n">
        <f aca="false">SQRT(SUMPRODUCT(MMULT(D963:F963,Stats!$B$12:$D$14),D963:F963))</f>
        <v>0.249608920808062</v>
      </c>
      <c r="I963" s="0" t="n">
        <f aca="false">(G963-Stats!$B$2)/H963</f>
        <v>1.17847519242507</v>
      </c>
    </row>
    <row r="964" customFormat="false" ht="15" hidden="false" customHeight="false" outlineLevel="0" collapsed="false">
      <c r="A964" s="0" t="n">
        <v>0.506920437961835</v>
      </c>
      <c r="B964" s="0" t="n">
        <v>0.409412071817018</v>
      </c>
      <c r="C964" s="0" t="n">
        <v>0.810878581007918</v>
      </c>
      <c r="D964" s="0" t="n">
        <f aca="false">A964/SUM($A964:$C964)</f>
        <v>0.29349072656251</v>
      </c>
      <c r="E964" s="0" t="n">
        <f aca="false">B964/SUM($A964:$C964)</f>
        <v>0.23703650005543</v>
      </c>
      <c r="F964" s="0" t="n">
        <f aca="false">C964/SUM($A964:$C964)</f>
        <v>0.46947277338206</v>
      </c>
      <c r="G964" s="0" t="n">
        <f aca="false">SUMPRODUCT(D964:F964,Stats!$B$6:$D$6)</f>
        <v>0.35717694672189</v>
      </c>
      <c r="H964" s="0" t="n">
        <f aca="false">SQRT(SUMPRODUCT(MMULT(D964:F964,Stats!$B$12:$D$14),D964:F964))</f>
        <v>0.227951221479329</v>
      </c>
      <c r="I964" s="0" t="n">
        <f aca="false">(G964-Stats!$B$2)/H964</f>
        <v>1.38265083501854</v>
      </c>
    </row>
    <row r="965" customFormat="false" ht="15" hidden="false" customHeight="false" outlineLevel="0" collapsed="false">
      <c r="A965" s="0" t="n">
        <v>0.835825927910516</v>
      </c>
      <c r="B965" s="0" t="n">
        <v>0.332191033115605</v>
      </c>
      <c r="C965" s="0" t="n">
        <v>0.693618057473795</v>
      </c>
      <c r="D965" s="0" t="n">
        <f aca="false">A965/SUM($A965:$C965)</f>
        <v>0.448974111254103</v>
      </c>
      <c r="E965" s="0" t="n">
        <f aca="false">B965/SUM($A965:$C965)</f>
        <v>0.178440472925397</v>
      </c>
      <c r="F965" s="0" t="n">
        <f aca="false">C965/SUM($A965:$C965)</f>
        <v>0.3725854158205</v>
      </c>
      <c r="G965" s="0" t="n">
        <f aca="false">SUMPRODUCT(D965:F965,Stats!$B$6:$D$6)</f>
        <v>0.356477038780104</v>
      </c>
      <c r="H965" s="0" t="n">
        <f aca="false">SQRT(SUMPRODUCT(MMULT(D965:F965,Stats!$B$12:$D$14),D965:F965))</f>
        <v>0.223039244961989</v>
      </c>
      <c r="I965" s="0" t="n">
        <f aca="false">(G965-Stats!$B$2)/H965</f>
        <v>1.40996280198894</v>
      </c>
    </row>
    <row r="966" customFormat="false" ht="15" hidden="false" customHeight="false" outlineLevel="0" collapsed="false">
      <c r="A966" s="0" t="n">
        <v>0.771122815851887</v>
      </c>
      <c r="B966" s="0" t="n">
        <v>0.654650686865955</v>
      </c>
      <c r="C966" s="0" t="n">
        <v>0.151595074800099</v>
      </c>
      <c r="D966" s="0" t="n">
        <f aca="false">A966/SUM($A966:$C966)</f>
        <v>0.488866601530305</v>
      </c>
      <c r="E966" s="0" t="n">
        <f aca="false">B966/SUM($A966:$C966)</f>
        <v>0.415027087642431</v>
      </c>
      <c r="F966" s="0" t="n">
        <f aca="false">C966/SUM($A966:$C966)</f>
        <v>0.0961063108272646</v>
      </c>
      <c r="G966" s="0" t="n">
        <f aca="false">SUMPRODUCT(D966:F966,Stats!$B$6:$D$6)</f>
        <v>0.377713731363593</v>
      </c>
      <c r="H966" s="0" t="n">
        <f aca="false">SQRT(SUMPRODUCT(MMULT(D966:F966,Stats!$B$12:$D$14),D966:F966))</f>
        <v>0.226372819140323</v>
      </c>
      <c r="I966" s="0" t="n">
        <f aca="false">(G966-Stats!$B$2)/H966</f>
        <v>1.4830125482313</v>
      </c>
    </row>
    <row r="967" customFormat="false" ht="15" hidden="false" customHeight="false" outlineLevel="0" collapsed="false">
      <c r="A967" s="0" t="n">
        <v>0.875883083517057</v>
      </c>
      <c r="B967" s="0" t="n">
        <v>0.539094552736009</v>
      </c>
      <c r="C967" s="0" t="n">
        <v>0.282472426370004</v>
      </c>
      <c r="D967" s="0" t="n">
        <f aca="false">A967/SUM($A967:$C967)</f>
        <v>0.515999323222243</v>
      </c>
      <c r="E967" s="0" t="n">
        <f aca="false">B967/SUM($A967:$C967)</f>
        <v>0.317590817312732</v>
      </c>
      <c r="F967" s="0" t="n">
        <f aca="false">C967/SUM($A967:$C967)</f>
        <v>0.166409859465026</v>
      </c>
      <c r="G967" s="0" t="n">
        <f aca="false">SUMPRODUCT(D967:F967,Stats!$B$6:$D$6)</f>
        <v>0.370168781164599</v>
      </c>
      <c r="H967" s="0" t="n">
        <f aca="false">SQRT(SUMPRODUCT(MMULT(D967:F967,Stats!$B$12:$D$14),D967:F967))</f>
        <v>0.223953798075949</v>
      </c>
      <c r="I967" s="0" t="n">
        <f aca="false">(G967-Stats!$B$2)/H967</f>
        <v>1.46534144088643</v>
      </c>
    </row>
    <row r="968" customFormat="false" ht="15" hidden="false" customHeight="false" outlineLevel="0" collapsed="false">
      <c r="A968" s="0" t="n">
        <v>0.425228185437694</v>
      </c>
      <c r="B968" s="0" t="n">
        <v>0.0375710903989074</v>
      </c>
      <c r="C968" s="0" t="n">
        <v>0.127866801222418</v>
      </c>
      <c r="D968" s="0" t="n">
        <f aca="false">A968/SUM($A968:$C968)</f>
        <v>0.719912996451302</v>
      </c>
      <c r="E968" s="0" t="n">
        <f aca="false">B968/SUM($A968:$C968)</f>
        <v>0.0636080043498982</v>
      </c>
      <c r="F968" s="0" t="n">
        <f aca="false">C968/SUM($A968:$C968)</f>
        <v>0.2164789991988</v>
      </c>
      <c r="G968" s="0" t="n">
        <f aca="false">SUMPRODUCT(D968:F968,Stats!$B$6:$D$6)</f>
        <v>0.354174301559685</v>
      </c>
      <c r="H968" s="0" t="n">
        <f aca="false">SQRT(SUMPRODUCT(MMULT(D968:F968,Stats!$B$12:$D$14),D968:F968))</f>
        <v>0.2223656592713</v>
      </c>
      <c r="I968" s="0" t="n">
        <f aca="false">(G968-Stats!$B$2)/H968</f>
        <v>1.40387820036013</v>
      </c>
    </row>
    <row r="969" customFormat="false" ht="15" hidden="false" customHeight="false" outlineLevel="0" collapsed="false">
      <c r="A969" s="0" t="n">
        <v>0.765546750515861</v>
      </c>
      <c r="B969" s="0" t="n">
        <v>1.16347553661411E-005</v>
      </c>
      <c r="C969" s="0" t="n">
        <v>0.416565828482292</v>
      </c>
      <c r="D969" s="0" t="n">
        <f aca="false">A969/SUM($A969:$C969)</f>
        <v>0.647602630594184</v>
      </c>
      <c r="E969" s="0" t="n">
        <f aca="false">B969/SUM($A969:$C969)</f>
        <v>9.84224435196878E-006</v>
      </c>
      <c r="F969" s="0" t="n">
        <f aca="false">C969/SUM($A969:$C969)</f>
        <v>0.352387527161464</v>
      </c>
      <c r="G969" s="0" t="n">
        <f aca="false">SUMPRODUCT(D969:F969,Stats!$B$6:$D$6)</f>
        <v>0.34676732024022</v>
      </c>
      <c r="H969" s="0" t="n">
        <f aca="false">SQRT(SUMPRODUCT(MMULT(D969:F969,Stats!$B$12:$D$14),D969:F969))</f>
        <v>0.221393204295466</v>
      </c>
      <c r="I969" s="0" t="n">
        <f aca="false">(G969-Stats!$B$2)/H969</f>
        <v>1.37658841521389</v>
      </c>
    </row>
    <row r="970" customFormat="false" ht="15" hidden="false" customHeight="false" outlineLevel="0" collapsed="false">
      <c r="A970" s="0" t="n">
        <v>0.522510181085588</v>
      </c>
      <c r="B970" s="0" t="n">
        <v>0.0546344200009723</v>
      </c>
      <c r="C970" s="0" t="n">
        <v>0.973078162972333</v>
      </c>
      <c r="D970" s="0" t="n">
        <f aca="false">A970/SUM($A970:$C970)</f>
        <v>0.337054901527519</v>
      </c>
      <c r="E970" s="0" t="n">
        <f aca="false">B970/SUM($A970:$C970)</f>
        <v>0.0352429478315264</v>
      </c>
      <c r="F970" s="0" t="n">
        <f aca="false">C970/SUM($A970:$C970)</f>
        <v>0.627702150640955</v>
      </c>
      <c r="G970" s="0" t="n">
        <f aca="false">SUMPRODUCT(D970:F970,Stats!$B$6:$D$6)</f>
        <v>0.341202892683514</v>
      </c>
      <c r="H970" s="0" t="n">
        <f aca="false">SQRT(SUMPRODUCT(MMULT(D970:F970,Stats!$B$12:$D$14),D970:F970))</f>
        <v>0.22968755897095</v>
      </c>
      <c r="I970" s="0" t="n">
        <f aca="false">(G970-Stats!$B$2)/H970</f>
        <v>1.3026517153302</v>
      </c>
    </row>
    <row r="971" customFormat="false" ht="15" hidden="false" customHeight="false" outlineLevel="0" collapsed="false">
      <c r="A971" s="0" t="n">
        <v>0.226125331249672</v>
      </c>
      <c r="B971" s="0" t="n">
        <v>0.304198719636281</v>
      </c>
      <c r="C971" s="0" t="n">
        <v>0.303942512255027</v>
      </c>
      <c r="D971" s="0" t="n">
        <f aca="false">A971/SUM($A971:$C971)</f>
        <v>0.271046858690248</v>
      </c>
      <c r="E971" s="0" t="n">
        <f aca="false">B971/SUM($A971:$C971)</f>
        <v>0.364630123123939</v>
      </c>
      <c r="F971" s="0" t="n">
        <f aca="false">C971/SUM($A971:$C971)</f>
        <v>0.364323018185813</v>
      </c>
      <c r="G971" s="0" t="n">
        <f aca="false">SUMPRODUCT(D971:F971,Stats!$B$6:$D$6)</f>
        <v>0.367417982708871</v>
      </c>
      <c r="H971" s="0" t="n">
        <f aca="false">SQRT(SUMPRODUCT(MMULT(D971:F971,Stats!$B$12:$D$14),D971:F971))</f>
        <v>0.22852763142886</v>
      </c>
      <c r="I971" s="0" t="n">
        <f aca="false">(G971-Stats!$B$2)/H971</f>
        <v>1.42397652605161</v>
      </c>
    </row>
    <row r="972" customFormat="false" ht="15" hidden="false" customHeight="false" outlineLevel="0" collapsed="false">
      <c r="A972" s="0" t="n">
        <v>0.23041666211735</v>
      </c>
      <c r="B972" s="0" t="n">
        <v>0.00147382208631142</v>
      </c>
      <c r="C972" s="0" t="n">
        <v>0.729344794087996</v>
      </c>
      <c r="D972" s="0" t="n">
        <f aca="false">A972/SUM($A972:$C972)</f>
        <v>0.239708911357118</v>
      </c>
      <c r="E972" s="0" t="n">
        <f aca="false">B972/SUM($A972:$C972)</f>
        <v>0.00153325842236122</v>
      </c>
      <c r="F972" s="0" t="n">
        <f aca="false">C972/SUM($A972:$C972)</f>
        <v>0.758757830220521</v>
      </c>
      <c r="G972" s="0" t="n">
        <f aca="false">SUMPRODUCT(D972:F972,Stats!$B$6:$D$6)</f>
        <v>0.335649470826766</v>
      </c>
      <c r="H972" s="0" t="n">
        <f aca="false">SQRT(SUMPRODUCT(MMULT(D972:F972,Stats!$B$12:$D$14),D972:F972))</f>
        <v>0.23733354440573</v>
      </c>
      <c r="I972" s="0" t="n">
        <f aca="false">(G972-Stats!$B$2)/H972</f>
        <v>1.23728599579991</v>
      </c>
    </row>
    <row r="973" customFormat="false" ht="15" hidden="false" customHeight="false" outlineLevel="0" collapsed="false">
      <c r="A973" s="0" t="n">
        <v>0.966845499799285</v>
      </c>
      <c r="B973" s="0" t="n">
        <v>0.224293483285045</v>
      </c>
      <c r="C973" s="0" t="n">
        <v>0.663047191803422</v>
      </c>
      <c r="D973" s="0" t="n">
        <f aca="false">A973/SUM($A973:$C973)</f>
        <v>0.521439277723994</v>
      </c>
      <c r="E973" s="0" t="n">
        <f aca="false">B973/SUM($A973:$C973)</f>
        <v>0.120965999165981</v>
      </c>
      <c r="F973" s="0" t="n">
        <f aca="false">C973/SUM($A973:$C973)</f>
        <v>0.357594723110025</v>
      </c>
      <c r="G973" s="0" t="n">
        <f aca="false">SUMPRODUCT(D973:F973,Stats!$B$6:$D$6)</f>
        <v>0.353583394533511</v>
      </c>
      <c r="H973" s="0" t="n">
        <f aca="false">SQRT(SUMPRODUCT(MMULT(D973:F973,Stats!$B$12:$D$14),D973:F973))</f>
        <v>0.221873480926052</v>
      </c>
      <c r="I973" s="0" t="n">
        <f aca="false">(G973-Stats!$B$2)/H973</f>
        <v>1.40432913944032</v>
      </c>
    </row>
    <row r="974" customFormat="false" ht="15" hidden="false" customHeight="false" outlineLevel="0" collapsed="false">
      <c r="A974" s="0" t="n">
        <v>0.741896326958715</v>
      </c>
      <c r="B974" s="0" t="n">
        <v>0.848425379090525</v>
      </c>
      <c r="C974" s="0" t="n">
        <v>0.422629197013609</v>
      </c>
      <c r="D974" s="0" t="n">
        <f aca="false">A974/SUM($A974:$C974)</f>
        <v>0.368561560955047</v>
      </c>
      <c r="E974" s="0" t="n">
        <f aca="false">B974/SUM($A974:$C974)</f>
        <v>0.421483394254467</v>
      </c>
      <c r="F974" s="0" t="n">
        <f aca="false">C974/SUM($A974:$C974)</f>
        <v>0.209955044790486</v>
      </c>
      <c r="G974" s="0" t="n">
        <f aca="false">SUMPRODUCT(D974:F974,Stats!$B$6:$D$6)</f>
        <v>0.374945883839305</v>
      </c>
      <c r="H974" s="0" t="n">
        <f aca="false">SQRT(SUMPRODUCT(MMULT(D974:F974,Stats!$B$12:$D$14),D974:F974))</f>
        <v>0.226750250772089</v>
      </c>
      <c r="I974" s="0" t="n">
        <f aca="false">(G974-Stats!$B$2)/H974</f>
        <v>1.4683374448567</v>
      </c>
    </row>
    <row r="975" customFormat="false" ht="15" hidden="false" customHeight="false" outlineLevel="0" collapsed="false">
      <c r="A975" s="0" t="n">
        <v>0.302930905640429</v>
      </c>
      <c r="B975" s="0" t="n">
        <v>0.325295134023031</v>
      </c>
      <c r="C975" s="0" t="n">
        <v>0.712621333098513</v>
      </c>
      <c r="D975" s="0" t="n">
        <f aca="false">A975/SUM($A975:$C975)</f>
        <v>0.225924972367609</v>
      </c>
      <c r="E975" s="0" t="n">
        <f aca="false">B975/SUM($A975:$C975)</f>
        <v>0.242604147668922</v>
      </c>
      <c r="F975" s="0" t="n">
        <f aca="false">C975/SUM($A975:$C975)</f>
        <v>0.53147087996347</v>
      </c>
      <c r="G975" s="0" t="n">
        <f aca="false">SUMPRODUCT(D975:F975,Stats!$B$6:$D$6)</f>
        <v>0.355787728016248</v>
      </c>
      <c r="H975" s="0" t="n">
        <f aca="false">SQRT(SUMPRODUCT(MMULT(D975:F975,Stats!$B$12:$D$14),D975:F975))</f>
        <v>0.231356575310494</v>
      </c>
      <c r="I975" s="0" t="n">
        <f aca="false">(G975-Stats!$B$2)/H975</f>
        <v>1.35629483447845</v>
      </c>
    </row>
    <row r="976" customFormat="false" ht="15" hidden="false" customHeight="false" outlineLevel="0" collapsed="false">
      <c r="A976" s="0" t="n">
        <v>0.816779466505636</v>
      </c>
      <c r="B976" s="0" t="n">
        <v>0.181613967756603</v>
      </c>
      <c r="C976" s="0" t="n">
        <v>0.370941008157765</v>
      </c>
      <c r="D976" s="0" t="n">
        <f aca="false">A976/SUM($A976:$C976)</f>
        <v>0.596479166230679</v>
      </c>
      <c r="E976" s="0" t="n">
        <f aca="false">B976/SUM($A976:$C976)</f>
        <v>0.13262937243851</v>
      </c>
      <c r="F976" s="0" t="n">
        <f aca="false">C976/SUM($A976:$C976)</f>
        <v>0.27089146133081</v>
      </c>
      <c r="G976" s="0" t="n">
        <f aca="false">SUMPRODUCT(D976:F976,Stats!$B$6:$D$6)</f>
        <v>0.356645299031738</v>
      </c>
      <c r="H976" s="0" t="n">
        <f aca="false">SQRT(SUMPRODUCT(MMULT(D976:F976,Stats!$B$12:$D$14),D976:F976))</f>
        <v>0.221534731105572</v>
      </c>
      <c r="I976" s="0" t="n">
        <f aca="false">(G976-Stats!$B$2)/H976</f>
        <v>1.42029783529425</v>
      </c>
    </row>
    <row r="977" customFormat="false" ht="15" hidden="false" customHeight="false" outlineLevel="0" collapsed="false">
      <c r="A977" s="0" t="n">
        <v>0.90194019674915</v>
      </c>
      <c r="B977" s="0" t="n">
        <v>0.806693519694739</v>
      </c>
      <c r="C977" s="0" t="n">
        <v>0.984858402762476</v>
      </c>
      <c r="D977" s="0" t="n">
        <f aca="false">A977/SUM($A977:$C977)</f>
        <v>0.334859044256237</v>
      </c>
      <c r="E977" s="0" t="n">
        <f aca="false">B977/SUM($A977:$C977)</f>
        <v>0.299497263772367</v>
      </c>
      <c r="F977" s="0" t="n">
        <f aca="false">C977/SUM($A977:$C977)</f>
        <v>0.365643691971396</v>
      </c>
      <c r="G977" s="0" t="n">
        <f aca="false">SUMPRODUCT(D977:F977,Stats!$B$6:$D$6)</f>
        <v>0.363633905209912</v>
      </c>
      <c r="H977" s="0" t="n">
        <f aca="false">SQRT(SUMPRODUCT(MMULT(D977:F977,Stats!$B$12:$D$14),D977:F977))</f>
        <v>0.226123587687302</v>
      </c>
      <c r="I977" s="0" t="n">
        <f aca="false">(G977-Stats!$B$2)/H977</f>
        <v>1.42238104613256</v>
      </c>
    </row>
    <row r="978" customFormat="false" ht="15" hidden="false" customHeight="false" outlineLevel="0" collapsed="false">
      <c r="A978" s="0" t="n">
        <v>0.754248259682081</v>
      </c>
      <c r="B978" s="0" t="n">
        <v>0.393195201027922</v>
      </c>
      <c r="C978" s="0" t="n">
        <v>0.590637833994638</v>
      </c>
      <c r="D978" s="0" t="n">
        <f aca="false">A978/SUM($A978:$C978)</f>
        <v>0.433954534796517</v>
      </c>
      <c r="E978" s="0" t="n">
        <f aca="false">B978/SUM($A978:$C978)</f>
        <v>0.226223711299269</v>
      </c>
      <c r="F978" s="0" t="n">
        <f aca="false">C978/SUM($A978:$C978)</f>
        <v>0.339821753904214</v>
      </c>
      <c r="G978" s="0" t="n">
        <f aca="false">SUMPRODUCT(D978:F978,Stats!$B$6:$D$6)</f>
        <v>0.360129869847276</v>
      </c>
      <c r="H978" s="0" t="n">
        <f aca="false">SQRT(SUMPRODUCT(MMULT(D978:F978,Stats!$B$12:$D$14),D978:F978))</f>
        <v>0.223382501938321</v>
      </c>
      <c r="I978" s="0" t="n">
        <f aca="false">(G978-Stats!$B$2)/H978</f>
        <v>1.42414856618947</v>
      </c>
    </row>
    <row r="979" customFormat="false" ht="15" hidden="false" customHeight="false" outlineLevel="0" collapsed="false">
      <c r="A979" s="0" t="n">
        <v>0.66101425424732</v>
      </c>
      <c r="B979" s="0" t="n">
        <v>0.078455816317124</v>
      </c>
      <c r="C979" s="0" t="n">
        <v>0.544496959103865</v>
      </c>
      <c r="D979" s="0" t="n">
        <f aca="false">A979/SUM($A979:$C979)</f>
        <v>0.51482182873347</v>
      </c>
      <c r="E979" s="0" t="n">
        <f aca="false">B979/SUM($A979:$C979)</f>
        <v>0.0611042297070445</v>
      </c>
      <c r="F979" s="0" t="n">
        <f aca="false">C979/SUM($A979:$C979)</f>
        <v>0.424073941559486</v>
      </c>
      <c r="G979" s="0" t="n">
        <f aca="false">SUMPRODUCT(D979:F979,Stats!$B$6:$D$6)</f>
        <v>0.348305886916924</v>
      </c>
      <c r="H979" s="0" t="n">
        <f aca="false">SQRT(SUMPRODUCT(MMULT(D979:F979,Stats!$B$12:$D$14),D979:F979))</f>
        <v>0.222319400767808</v>
      </c>
      <c r="I979" s="0" t="n">
        <f aca="false">(G979-Stats!$B$2)/H979</f>
        <v>1.37777398580177</v>
      </c>
    </row>
    <row r="980" customFormat="false" ht="15" hidden="false" customHeight="false" outlineLevel="0" collapsed="false">
      <c r="A980" s="0" t="n">
        <v>0.70932082847261</v>
      </c>
      <c r="B980" s="0" t="n">
        <v>0.16732130400106</v>
      </c>
      <c r="C980" s="0" t="n">
        <v>0.780631717425557</v>
      </c>
      <c r="D980" s="0" t="n">
        <f aca="false">A980/SUM($A980:$C980)</f>
        <v>0.428004598344287</v>
      </c>
      <c r="E980" s="0" t="n">
        <f aca="false">B980/SUM($A980:$C980)</f>
        <v>0.100961771653631</v>
      </c>
      <c r="F980" s="0" t="n">
        <f aca="false">C980/SUM($A980:$C980)</f>
        <v>0.471033630002081</v>
      </c>
      <c r="G980" s="0" t="n">
        <f aca="false">SUMPRODUCT(D980:F980,Stats!$B$6:$D$6)</f>
        <v>0.349304342946765</v>
      </c>
      <c r="H980" s="0" t="n">
        <f aca="false">SQRT(SUMPRODUCT(MMULT(D980:F980,Stats!$B$12:$D$14),D980:F980))</f>
        <v>0.224188210792142</v>
      </c>
      <c r="I980" s="0" t="n">
        <f aca="false">(G980-Stats!$B$2)/H980</f>
        <v>1.37074265350949</v>
      </c>
    </row>
    <row r="981" customFormat="false" ht="15" hidden="false" customHeight="false" outlineLevel="0" collapsed="false">
      <c r="A981" s="0" t="n">
        <v>0.583772780514112</v>
      </c>
      <c r="B981" s="0" t="n">
        <v>0.952221785697595</v>
      </c>
      <c r="C981" s="0" t="n">
        <v>0.0424222982068917</v>
      </c>
      <c r="D981" s="0" t="n">
        <f aca="false">A981/SUM($A981:$C981)</f>
        <v>0.369847024365861</v>
      </c>
      <c r="E981" s="0" t="n">
        <f aca="false">B981/SUM($A981:$C981)</f>
        <v>0.603276489983741</v>
      </c>
      <c r="F981" s="0" t="n">
        <f aca="false">C981/SUM($A981:$C981)</f>
        <v>0.0268764856503974</v>
      </c>
      <c r="G981" s="0" t="n">
        <f aca="false">SUMPRODUCT(D981:F981,Stats!$B$6:$D$6)</f>
        <v>0.390454344129939</v>
      </c>
      <c r="H981" s="0" t="n">
        <f aca="false">SQRT(SUMPRODUCT(MMULT(D981:F981,Stats!$B$12:$D$14),D981:F981))</f>
        <v>0.232429242844166</v>
      </c>
      <c r="I981" s="0" t="n">
        <f aca="false">(G981-Stats!$B$2)/H981</f>
        <v>1.49918461148008</v>
      </c>
    </row>
    <row r="982" customFormat="false" ht="15" hidden="false" customHeight="false" outlineLevel="0" collapsed="false">
      <c r="A982" s="0" t="n">
        <v>0.265326137555467</v>
      </c>
      <c r="B982" s="0" t="n">
        <v>0.601553879299824</v>
      </c>
      <c r="C982" s="0" t="n">
        <v>0.296559912205931</v>
      </c>
      <c r="D982" s="0" t="n">
        <f aca="false">A982/SUM($A982:$C982)</f>
        <v>0.228053147333149</v>
      </c>
      <c r="E982" s="0" t="n">
        <f aca="false">B982/SUM($A982:$C982)</f>
        <v>0.517047648334725</v>
      </c>
      <c r="F982" s="0" t="n">
        <f aca="false">C982/SUM($A982:$C982)</f>
        <v>0.254899204332126</v>
      </c>
      <c r="G982" s="0" t="n">
        <f aca="false">SUMPRODUCT(D982:F982,Stats!$B$6:$D$6)</f>
        <v>0.379205209419761</v>
      </c>
      <c r="H982" s="0" t="n">
        <f aca="false">SQRT(SUMPRODUCT(MMULT(D982:F982,Stats!$B$12:$D$14),D982:F982))</f>
        <v>0.231666682654309</v>
      </c>
      <c r="I982" s="0" t="n">
        <f aca="false">(G982-Stats!$B$2)/H982</f>
        <v>1.45556195459895</v>
      </c>
    </row>
    <row r="983" customFormat="false" ht="15" hidden="false" customHeight="false" outlineLevel="0" collapsed="false">
      <c r="A983" s="0" t="n">
        <v>0.714424164071242</v>
      </c>
      <c r="B983" s="0" t="n">
        <v>0.759005282521931</v>
      </c>
      <c r="C983" s="0" t="n">
        <v>0.102515964066475</v>
      </c>
      <c r="D983" s="0" t="n">
        <f aca="false">A983/SUM($A983:$C983)</f>
        <v>0.453330527338637</v>
      </c>
      <c r="E983" s="0" t="n">
        <f aca="false">B983/SUM($A983:$C983)</f>
        <v>0.481619018900047</v>
      </c>
      <c r="F983" s="0" t="n">
        <f aca="false">C983/SUM($A983:$C983)</f>
        <v>0.0650504537613166</v>
      </c>
      <c r="G983" s="0" t="n">
        <f aca="false">SUMPRODUCT(D983:F983,Stats!$B$6:$D$6)</f>
        <v>0.382401698213789</v>
      </c>
      <c r="H983" s="0" t="n">
        <f aca="false">SQRT(SUMPRODUCT(MMULT(D983:F983,Stats!$B$12:$D$14),D983:F983))</f>
        <v>0.228280029368679</v>
      </c>
      <c r="I983" s="0" t="n">
        <f aca="false">(G983-Stats!$B$2)/H983</f>
        <v>1.49115846513244</v>
      </c>
    </row>
    <row r="984" customFormat="false" ht="15" hidden="false" customHeight="false" outlineLevel="0" collapsed="false">
      <c r="A984" s="0" t="n">
        <v>0.513854464206768</v>
      </c>
      <c r="B984" s="0" t="n">
        <v>0.508890555591056</v>
      </c>
      <c r="C984" s="0" t="n">
        <v>0.369280770215541</v>
      </c>
      <c r="D984" s="0" t="n">
        <f aca="false">A984/SUM($A984:$C984)</f>
        <v>0.369141482789507</v>
      </c>
      <c r="E984" s="0" t="n">
        <f aca="false">B984/SUM($A984:$C984)</f>
        <v>0.365575522552761</v>
      </c>
      <c r="F984" s="0" t="n">
        <f aca="false">C984/SUM($A984:$C984)</f>
        <v>0.265282994657732</v>
      </c>
      <c r="G984" s="0" t="n">
        <f aca="false">SUMPRODUCT(D984:F984,Stats!$B$6:$D$6)</f>
        <v>0.37020337032439</v>
      </c>
      <c r="H984" s="0" t="n">
        <f aca="false">SQRT(SUMPRODUCT(MMULT(D984:F984,Stats!$B$12:$D$14),D984:F984))</f>
        <v>0.225786308292215</v>
      </c>
      <c r="I984" s="0" t="n">
        <f aca="false">(G984-Stats!$B$2)/H984</f>
        <v>1.45360173877163</v>
      </c>
    </row>
    <row r="985" customFormat="false" ht="15" hidden="false" customHeight="false" outlineLevel="0" collapsed="false">
      <c r="A985" s="0" t="n">
        <v>0.932924862569672</v>
      </c>
      <c r="B985" s="0" t="n">
        <v>0.827506319873221</v>
      </c>
      <c r="C985" s="0" t="n">
        <v>0.697209381909637</v>
      </c>
      <c r="D985" s="0" t="n">
        <f aca="false">A985/SUM($A985:$C985)</f>
        <v>0.379601832790977</v>
      </c>
      <c r="E985" s="0" t="n">
        <f aca="false">B985/SUM($A985:$C985)</f>
        <v>0.336707625954745</v>
      </c>
      <c r="F985" s="0" t="n">
        <f aca="false">C985/SUM($A985:$C985)</f>
        <v>0.283690541254277</v>
      </c>
      <c r="G985" s="0" t="n">
        <f aca="false">SUMPRODUCT(D985:F985,Stats!$B$6:$D$6)</f>
        <v>0.368034767899643</v>
      </c>
      <c r="H985" s="0" t="n">
        <f aca="false">SQRT(SUMPRODUCT(MMULT(D985:F985,Stats!$B$12:$D$14),D985:F985))</f>
        <v>0.225228420956346</v>
      </c>
      <c r="I985" s="0" t="n">
        <f aca="false">(G985-Stats!$B$2)/H985</f>
        <v>1.4475738297825</v>
      </c>
    </row>
    <row r="986" customFormat="false" ht="15" hidden="false" customHeight="false" outlineLevel="0" collapsed="false">
      <c r="A986" s="0" t="n">
        <v>0.714326635734998</v>
      </c>
      <c r="B986" s="0" t="n">
        <v>0.461716143813119</v>
      </c>
      <c r="C986" s="0" t="n">
        <v>0.920994521096576</v>
      </c>
      <c r="D986" s="0" t="n">
        <f aca="false">A986/SUM($A986:$C986)</f>
        <v>0.340636113394546</v>
      </c>
      <c r="E986" s="0" t="n">
        <f aca="false">B986/SUM($A986:$C986)</f>
        <v>0.22017545594977</v>
      </c>
      <c r="F986" s="0" t="n">
        <f aca="false">C986/SUM($A986:$C986)</f>
        <v>0.439188430655685</v>
      </c>
      <c r="G986" s="0" t="n">
        <f aca="false">SUMPRODUCT(D986:F986,Stats!$B$6:$D$6)</f>
        <v>0.357041863169581</v>
      </c>
      <c r="H986" s="0" t="n">
        <f aca="false">SQRT(SUMPRODUCT(MMULT(D986:F986,Stats!$B$12:$D$14),D986:F986))</f>
        <v>0.226112359935428</v>
      </c>
      <c r="I986" s="0" t="n">
        <f aca="false">(G986-Stats!$B$2)/H986</f>
        <v>1.3932978420974</v>
      </c>
    </row>
    <row r="987" customFormat="false" ht="15" hidden="false" customHeight="false" outlineLevel="0" collapsed="false">
      <c r="A987" s="0" t="n">
        <v>0.694595427253285</v>
      </c>
      <c r="B987" s="0" t="n">
        <v>0.728981061655816</v>
      </c>
      <c r="C987" s="0" t="n">
        <v>0.861690903787345</v>
      </c>
      <c r="D987" s="0" t="n">
        <f aca="false">A987/SUM($A987:$C987)</f>
        <v>0.303944925426741</v>
      </c>
      <c r="E987" s="0" t="n">
        <f aca="false">B987/SUM($A987:$C987)</f>
        <v>0.318991582335436</v>
      </c>
      <c r="F987" s="0" t="n">
        <f aca="false">C987/SUM($A987:$C987)</f>
        <v>0.377063492237822</v>
      </c>
      <c r="G987" s="0" t="n">
        <f aca="false">SUMPRODUCT(D987:F987,Stats!$B$6:$D$6)</f>
        <v>0.364440686468968</v>
      </c>
      <c r="H987" s="0" t="n">
        <f aca="false">SQRT(SUMPRODUCT(MMULT(D987:F987,Stats!$B$12:$D$14),D987:F987))</f>
        <v>0.227201361578073</v>
      </c>
      <c r="I987" s="0" t="n">
        <f aca="false">(G987-Stats!$B$2)/H987</f>
        <v>1.41918465729867</v>
      </c>
    </row>
    <row r="988" customFormat="false" ht="15" hidden="false" customHeight="false" outlineLevel="0" collapsed="false">
      <c r="A988" s="0" t="n">
        <v>0.274071589342191</v>
      </c>
      <c r="B988" s="0" t="n">
        <v>0.807070903866703</v>
      </c>
      <c r="C988" s="0" t="n">
        <v>0.195240602956492</v>
      </c>
      <c r="D988" s="0" t="n">
        <f aca="false">A988/SUM($A988:$C988)</f>
        <v>0.214725179427383</v>
      </c>
      <c r="E988" s="0" t="n">
        <f aca="false">B988/SUM($A988:$C988)</f>
        <v>0.632310868336764</v>
      </c>
      <c r="F988" s="0" t="n">
        <f aca="false">C988/SUM($A988:$C988)</f>
        <v>0.152963952235853</v>
      </c>
      <c r="G988" s="0" t="n">
        <f aca="false">SUMPRODUCT(D988:F988,Stats!$B$6:$D$6)</f>
        <v>0.388648131286607</v>
      </c>
      <c r="H988" s="0" t="n">
        <f aca="false">SQRT(SUMPRODUCT(MMULT(D988:F988,Stats!$B$12:$D$14),D988:F988))</f>
        <v>0.234800413997315</v>
      </c>
      <c r="I988" s="0" t="n">
        <f aca="false">(G988-Stats!$B$2)/H988</f>
        <v>1.47635230017342</v>
      </c>
    </row>
    <row r="989" customFormat="false" ht="15" hidden="false" customHeight="false" outlineLevel="0" collapsed="false">
      <c r="A989" s="0" t="n">
        <v>0.345341952244888</v>
      </c>
      <c r="B989" s="0" t="n">
        <v>0.335610454269843</v>
      </c>
      <c r="C989" s="0" t="n">
        <v>0.978525468389141</v>
      </c>
      <c r="D989" s="0" t="n">
        <f aca="false">A989/SUM($A989:$C989)</f>
        <v>0.208102775859481</v>
      </c>
      <c r="E989" s="0" t="n">
        <f aca="false">B989/SUM($A989:$C989)</f>
        <v>0.202238583198516</v>
      </c>
      <c r="F989" s="0" t="n">
        <f aca="false">C989/SUM($A989:$C989)</f>
        <v>0.589658640942004</v>
      </c>
      <c r="G989" s="0" t="n">
        <f aca="false">SUMPRODUCT(D989:F989,Stats!$B$6:$D$6)</f>
        <v>0.351860640551955</v>
      </c>
      <c r="H989" s="0" t="n">
        <f aca="false">SQRT(SUMPRODUCT(MMULT(D989:F989,Stats!$B$12:$D$14),D989:F989))</f>
        <v>0.233177177955312</v>
      </c>
      <c r="I989" s="0" t="n">
        <f aca="false">(G989-Stats!$B$2)/H989</f>
        <v>1.32886349885982</v>
      </c>
    </row>
    <row r="990" customFormat="false" ht="15" hidden="false" customHeight="false" outlineLevel="0" collapsed="false">
      <c r="A990" s="0" t="n">
        <v>0.856537223747927</v>
      </c>
      <c r="B990" s="0" t="n">
        <v>0.70116986159026</v>
      </c>
      <c r="C990" s="0" t="n">
        <v>0.72705676161539</v>
      </c>
      <c r="D990" s="0" t="n">
        <f aca="false">A990/SUM($A990:$C990)</f>
        <v>0.374890921392162</v>
      </c>
      <c r="E990" s="0" t="n">
        <f aca="false">B990/SUM($A990:$C990)</f>
        <v>0.306889424272524</v>
      </c>
      <c r="F990" s="0" t="n">
        <f aca="false">C990/SUM($A990:$C990)</f>
        <v>0.318219654335314</v>
      </c>
      <c r="G990" s="0" t="n">
        <f aca="false">SUMPRODUCT(D990:F990,Stats!$B$6:$D$6)</f>
        <v>0.365366940155176</v>
      </c>
      <c r="H990" s="0" t="n">
        <f aca="false">SQRT(SUMPRODUCT(MMULT(D990:F990,Stats!$B$12:$D$14),D990:F990))</f>
        <v>0.225056878628895</v>
      </c>
      <c r="I990" s="0" t="n">
        <f aca="false">(G990-Stats!$B$2)/H990</f>
        <v>1.43682318054534</v>
      </c>
    </row>
    <row r="991" customFormat="false" ht="15" hidden="false" customHeight="false" outlineLevel="0" collapsed="false">
      <c r="A991" s="0" t="n">
        <v>0.562072794402571</v>
      </c>
      <c r="B991" s="0" t="n">
        <v>0.947090667108519</v>
      </c>
      <c r="C991" s="0" t="n">
        <v>0.496258752882362</v>
      </c>
      <c r="D991" s="0" t="n">
        <f aca="false">A991/SUM($A991:$C991)</f>
        <v>0.280276537463495</v>
      </c>
      <c r="E991" s="0" t="n">
        <f aca="false">B991/SUM($A991:$C991)</f>
        <v>0.472264972588314</v>
      </c>
      <c r="F991" s="0" t="n">
        <f aca="false">C991/SUM($A991:$C991)</f>
        <v>0.247458489948191</v>
      </c>
      <c r="G991" s="0" t="n">
        <f aca="false">SUMPRODUCT(D991:F991,Stats!$B$6:$D$6)</f>
        <v>0.376833647055683</v>
      </c>
      <c r="H991" s="0" t="n">
        <f aca="false">SQRT(SUMPRODUCT(MMULT(D991:F991,Stats!$B$12:$D$14),D991:F991))</f>
        <v>0.229411497872778</v>
      </c>
      <c r="I991" s="0" t="n">
        <f aca="false">(G991-Stats!$B$2)/H991</f>
        <v>1.45953297964764</v>
      </c>
    </row>
    <row r="992" customFormat="false" ht="15" hidden="false" customHeight="false" outlineLevel="0" collapsed="false">
      <c r="A992" s="0" t="n">
        <v>0.380517709869895</v>
      </c>
      <c r="B992" s="0" t="n">
        <v>0.163035336931591</v>
      </c>
      <c r="C992" s="0" t="n">
        <v>0.786205652261058</v>
      </c>
      <c r="D992" s="0" t="n">
        <f aca="false">A992/SUM($A992:$C992)</f>
        <v>0.286155458233252</v>
      </c>
      <c r="E992" s="0" t="n">
        <f aca="false">B992/SUM($A992:$C992)</f>
        <v>0.12260520427242</v>
      </c>
      <c r="F992" s="0" t="n">
        <f aca="false">C992/SUM($A992:$C992)</f>
        <v>0.591239337494328</v>
      </c>
      <c r="G992" s="0" t="n">
        <f aca="false">SUMPRODUCT(D992:F992,Stats!$B$6:$D$6)</f>
        <v>0.34723505189655</v>
      </c>
      <c r="H992" s="0" t="n">
        <f aca="false">SQRT(SUMPRODUCT(MMULT(D992:F992,Stats!$B$12:$D$14),D992:F992))</f>
        <v>0.230243681225456</v>
      </c>
      <c r="I992" s="0" t="n">
        <f aca="false">(G992-Stats!$B$2)/H992</f>
        <v>1.32570435927691</v>
      </c>
    </row>
    <row r="993" customFormat="false" ht="15" hidden="false" customHeight="false" outlineLevel="0" collapsed="false">
      <c r="A993" s="0" t="n">
        <v>0.734443932075591</v>
      </c>
      <c r="B993" s="0" t="n">
        <v>0.384355038524135</v>
      </c>
      <c r="C993" s="0" t="n">
        <v>0.0251934139592294</v>
      </c>
      <c r="D993" s="0" t="n">
        <f aca="false">A993/SUM($A993:$C993)</f>
        <v>0.642000717827105</v>
      </c>
      <c r="E993" s="0" t="n">
        <f aca="false">B993/SUM($A993:$C993)</f>
        <v>0.335976920573921</v>
      </c>
      <c r="F993" s="0" t="n">
        <f aca="false">C993/SUM($A993:$C993)</f>
        <v>0.0220223615989736</v>
      </c>
      <c r="G993" s="0" t="n">
        <f aca="false">SUMPRODUCT(D993:F993,Stats!$B$6:$D$6)</f>
        <v>0.375208123468885</v>
      </c>
      <c r="H993" s="0" t="n">
        <f aca="false">SQRT(SUMPRODUCT(MMULT(D993:F993,Stats!$B$12:$D$14),D993:F993))</f>
        <v>0.226851826928041</v>
      </c>
      <c r="I993" s="0" t="n">
        <f aca="false">(G993-Stats!$B$2)/H993</f>
        <v>1.46883597095553</v>
      </c>
    </row>
    <row r="994" customFormat="false" ht="15" hidden="false" customHeight="false" outlineLevel="0" collapsed="false">
      <c r="A994" s="0" t="n">
        <v>0.838997327718011</v>
      </c>
      <c r="B994" s="0" t="n">
        <v>0.0114179834540736</v>
      </c>
      <c r="C994" s="0" t="n">
        <v>0.703699779629051</v>
      </c>
      <c r="D994" s="0" t="n">
        <f aca="false">A994/SUM($A994:$C994)</f>
        <v>0.53985533805319</v>
      </c>
      <c r="E994" s="0" t="n">
        <f aca="false">B994/SUM($A994:$C994)</f>
        <v>0.00734693557874645</v>
      </c>
      <c r="F994" s="0" t="n">
        <f aca="false">C994/SUM($A994:$C994)</f>
        <v>0.452797726368064</v>
      </c>
      <c r="G994" s="0" t="n">
        <f aca="false">SUMPRODUCT(D994:F994,Stats!$B$6:$D$6)</f>
        <v>0.344420714471138</v>
      </c>
      <c r="H994" s="0" t="n">
        <f aca="false">SQRT(SUMPRODUCT(MMULT(D994:F994,Stats!$B$12:$D$14),D994:F994))</f>
        <v>0.22244128165896</v>
      </c>
      <c r="I994" s="0" t="n">
        <f aca="false">(G994-Stats!$B$2)/H994</f>
        <v>1.35955301199352</v>
      </c>
    </row>
    <row r="995" customFormat="false" ht="15" hidden="false" customHeight="false" outlineLevel="0" collapsed="false">
      <c r="A995" s="0" t="n">
        <v>0.970257109726057</v>
      </c>
      <c r="B995" s="0" t="n">
        <v>0.437661328148204</v>
      </c>
      <c r="C995" s="0" t="n">
        <v>0.234973404995953</v>
      </c>
      <c r="D995" s="0" t="n">
        <f aca="false">A995/SUM($A995:$C995)</f>
        <v>0.590578810124816</v>
      </c>
      <c r="E995" s="0" t="n">
        <f aca="false">B995/SUM($A995:$C995)</f>
        <v>0.266396920800086</v>
      </c>
      <c r="F995" s="0" t="n">
        <f aca="false">C995/SUM($A995:$C995)</f>
        <v>0.143024269075098</v>
      </c>
      <c r="G995" s="0" t="n">
        <f aca="false">SUMPRODUCT(D995:F995,Stats!$B$6:$D$6)</f>
        <v>0.367867999278656</v>
      </c>
      <c r="H995" s="0" t="n">
        <f aca="false">SQRT(SUMPRODUCT(MMULT(D995:F995,Stats!$B$12:$D$14),D995:F995))</f>
        <v>0.223550151016912</v>
      </c>
      <c r="I995" s="0" t="n">
        <f aca="false">(G995-Stats!$B$2)/H995</f>
        <v>1.45769527685984</v>
      </c>
    </row>
    <row r="996" customFormat="false" ht="15" hidden="false" customHeight="false" outlineLevel="0" collapsed="false">
      <c r="A996" s="0" t="n">
        <v>0.704871010043382</v>
      </c>
      <c r="B996" s="0" t="n">
        <v>0.817128142015585</v>
      </c>
      <c r="C996" s="0" t="n">
        <v>0.546430316077847</v>
      </c>
      <c r="D996" s="0" t="n">
        <f aca="false">A996/SUM($A996:$C996)</f>
        <v>0.340775946630808</v>
      </c>
      <c r="E996" s="0" t="n">
        <f aca="false">B996/SUM($A996:$C996)</f>
        <v>0.395047621687401</v>
      </c>
      <c r="F996" s="0" t="n">
        <f aca="false">C996/SUM($A996:$C996)</f>
        <v>0.26417643168179</v>
      </c>
      <c r="G996" s="0" t="n">
        <f aca="false">SUMPRODUCT(D996:F996,Stats!$B$6:$D$6)</f>
        <v>0.371929669812061</v>
      </c>
      <c r="H996" s="0" t="n">
        <f aca="false">SQRT(SUMPRODUCT(MMULT(D996:F996,Stats!$B$12:$D$14),D996:F996))</f>
        <v>0.226764649277737</v>
      </c>
      <c r="I996" s="0" t="n">
        <f aca="false">(G996-Stats!$B$2)/H996</f>
        <v>1.45494313537367</v>
      </c>
    </row>
    <row r="997" customFormat="false" ht="15" hidden="false" customHeight="false" outlineLevel="0" collapsed="false">
      <c r="A997" s="0" t="n">
        <v>0.967035275256146</v>
      </c>
      <c r="B997" s="0" t="n">
        <v>0.0516687216579611</v>
      </c>
      <c r="C997" s="0" t="n">
        <v>0.504795598304528</v>
      </c>
      <c r="D997" s="0" t="n">
        <f aca="false">A997/SUM($A997:$C997)</f>
        <v>0.634746000780767</v>
      </c>
      <c r="E997" s="0" t="n">
        <f aca="false">B997/SUM($A997:$C997)</f>
        <v>0.0339144964791055</v>
      </c>
      <c r="F997" s="0" t="n">
        <f aca="false">C997/SUM($A997:$C997)</f>
        <v>0.331339502740127</v>
      </c>
      <c r="G997" s="0" t="n">
        <f aca="false">SUMPRODUCT(D997:F997,Stats!$B$6:$D$6)</f>
        <v>0.349298541340875</v>
      </c>
      <c r="H997" s="0" t="n">
        <f aca="false">SQRT(SUMPRODUCT(MMULT(D997:F997,Stats!$B$12:$D$14),D997:F997))</f>
        <v>0.221298748614687</v>
      </c>
      <c r="I997" s="0" t="n">
        <f aca="false">(G997-Stats!$B$2)/H997</f>
        <v>1.3886140037598</v>
      </c>
    </row>
    <row r="998" customFormat="false" ht="15" hidden="false" customHeight="false" outlineLevel="0" collapsed="false">
      <c r="A998" s="0" t="n">
        <v>0.71845394732255</v>
      </c>
      <c r="B998" s="0" t="n">
        <v>0.862640471149179</v>
      </c>
      <c r="C998" s="0" t="n">
        <v>0.17925561190779</v>
      </c>
      <c r="D998" s="0" t="n">
        <f aca="false">A998/SUM($A998:$C998)</f>
        <v>0.408131300550298</v>
      </c>
      <c r="E998" s="0" t="n">
        <f aca="false">B998/SUM($A998:$C998)</f>
        <v>0.490039171904465</v>
      </c>
      <c r="F998" s="0" t="n">
        <f aca="false">C998/SUM($A998:$C998)</f>
        <v>0.101829527545237</v>
      </c>
      <c r="G998" s="0" t="n">
        <f aca="false">SUMPRODUCT(D998:F998,Stats!$B$6:$D$6)</f>
        <v>0.381872014106056</v>
      </c>
      <c r="H998" s="0" t="n">
        <f aca="false">SQRT(SUMPRODUCT(MMULT(D998:F998,Stats!$B$12:$D$14),D998:F998))</f>
        <v>0.228332108532608</v>
      </c>
      <c r="I998" s="0" t="n">
        <f aca="false">(G998-Stats!$B$2)/H998</f>
        <v>1.48849855716862</v>
      </c>
    </row>
    <row r="999" customFormat="false" ht="15" hidden="false" customHeight="false" outlineLevel="0" collapsed="false">
      <c r="A999" s="0" t="n">
        <v>0.800003481763681</v>
      </c>
      <c r="B999" s="0" t="n">
        <v>0.552707075718545</v>
      </c>
      <c r="C999" s="0" t="n">
        <v>0.396553681989963</v>
      </c>
      <c r="D999" s="0" t="n">
        <f aca="false">A999/SUM($A999:$C999)</f>
        <v>0.457337127068389</v>
      </c>
      <c r="E999" s="0" t="n">
        <f aca="false">B999/SUM($A999:$C999)</f>
        <v>0.315965457503044</v>
      </c>
      <c r="F999" s="0" t="n">
        <f aca="false">C999/SUM($A999:$C999)</f>
        <v>0.226697415428567</v>
      </c>
      <c r="G999" s="0" t="n">
        <f aca="false">SUMPRODUCT(D999:F999,Stats!$B$6:$D$6)</f>
        <v>0.36841285389693</v>
      </c>
      <c r="H999" s="0" t="n">
        <f aca="false">SQRT(SUMPRODUCT(MMULT(D999:F999,Stats!$B$12:$D$14),D999:F999))</f>
        <v>0.223944594996045</v>
      </c>
      <c r="I999" s="0" t="n">
        <f aca="false">(G999-Stats!$B$2)/H999</f>
        <v>1.45756075918106</v>
      </c>
    </row>
    <row r="1000" customFormat="false" ht="15" hidden="false" customHeight="false" outlineLevel="0" collapsed="false">
      <c r="A1000" s="0" t="n">
        <v>0.131715028579094</v>
      </c>
      <c r="B1000" s="0" t="n">
        <v>0.865295758908912</v>
      </c>
      <c r="C1000" s="0" t="n">
        <v>0.157273208179715</v>
      </c>
      <c r="D1000" s="0" t="n">
        <f aca="false">A1000/SUM($A1000:$C1000)</f>
        <v>0.114109724360252</v>
      </c>
      <c r="E1000" s="0" t="n">
        <f aca="false">B1000/SUM($A1000:$C1000)</f>
        <v>0.749638531034438</v>
      </c>
      <c r="F1000" s="0" t="n">
        <f aca="false">C1000/SUM($A1000:$C1000)</f>
        <v>0.13625174460531</v>
      </c>
      <c r="G1000" s="0" t="n">
        <f aca="false">SUMPRODUCT(D1000:F1000,Stats!$B$6:$D$6)</f>
        <v>0.395859845841568</v>
      </c>
      <c r="H1000" s="0" t="n">
        <f aca="false">SQRT(SUMPRODUCT(MMULT(D1000:F1000,Stats!$B$12:$D$14),D1000:F1000))</f>
        <v>0.241099213274849</v>
      </c>
      <c r="I1000" s="0" t="n">
        <f aca="false">(G1000-Stats!$B$2)/H1000</f>
        <v>1.46769390507374</v>
      </c>
    </row>
    <row r="1001" customFormat="false" ht="15" hidden="false" customHeight="false" outlineLevel="0" collapsed="false">
      <c r="A1001" s="0" t="n">
        <v>0.309787859209099</v>
      </c>
      <c r="B1001" s="0" t="n">
        <v>0.290045531962437</v>
      </c>
      <c r="C1001" s="0" t="n">
        <v>0.871414034190854</v>
      </c>
      <c r="D1001" s="0" t="n">
        <f aca="false">A1001/SUM($A1001:$C1001)</f>
        <v>0.210561360291111</v>
      </c>
      <c r="E1001" s="0" t="n">
        <f aca="false">B1001/SUM($A1001:$C1001)</f>
        <v>0.197142592715834</v>
      </c>
      <c r="F1001" s="0" t="n">
        <f aca="false">C1001/SUM($A1001:$C1001)</f>
        <v>0.592296046993056</v>
      </c>
      <c r="G1001" s="0" t="n">
        <f aca="false">SUMPRODUCT(D1001:F1001,Stats!$B$6:$D$6)</f>
        <v>0.351494698397735</v>
      </c>
      <c r="H1001" s="0" t="n">
        <f aca="false">SQRT(SUMPRODUCT(MMULT(D1001:F1001,Stats!$B$12:$D$14),D1001:F1001))</f>
        <v>0.233130500926909</v>
      </c>
      <c r="I1001" s="0" t="n">
        <f aca="false">(G1001-Stats!$B$2)/H1001</f>
        <v>1.3275598738355</v>
      </c>
    </row>
    <row r="1002" customFormat="false" ht="15" hidden="false" customHeight="false" outlineLevel="0" collapsed="false">
      <c r="A1002" s="0" t="n">
        <v>0.672702994208898</v>
      </c>
      <c r="B1002" s="0" t="n">
        <v>0.796681397191372</v>
      </c>
      <c r="C1002" s="0" t="n">
        <v>0.250467898792499</v>
      </c>
      <c r="D1002" s="0" t="n">
        <f aca="false">A1002/SUM($A1002:$C1002)</f>
        <v>0.391139982221088</v>
      </c>
      <c r="E1002" s="0" t="n">
        <f aca="false">B1002/SUM($A1002:$C1002)</f>
        <v>0.463226639714552</v>
      </c>
      <c r="F1002" s="0" t="n">
        <f aca="false">C1002/SUM($A1002:$C1002)</f>
        <v>0.14563337806436</v>
      </c>
      <c r="G1002" s="0" t="n">
        <f aca="false">SUMPRODUCT(D1002:F1002,Stats!$B$6:$D$6)</f>
        <v>0.379121381376412</v>
      </c>
      <c r="H1002" s="0" t="n">
        <f aca="false">SQRT(SUMPRODUCT(MMULT(D1002:F1002,Stats!$B$12:$D$14),D1002:F1002))</f>
        <v>0.227554143475043</v>
      </c>
      <c r="I1002" s="0" t="n">
        <f aca="false">(G1002-Stats!$B$2)/H1002</f>
        <v>1.48149963884699</v>
      </c>
    </row>
    <row r="1003" customFormat="false" ht="15" hidden="false" customHeight="false" outlineLevel="0" collapsed="false">
      <c r="A1003" s="0" t="n">
        <v>0.624874099606999</v>
      </c>
      <c r="B1003" s="0" t="n">
        <v>0.571745983143749</v>
      </c>
      <c r="C1003" s="0" t="n">
        <v>0.832830376788271</v>
      </c>
      <c r="D1003" s="0" t="n">
        <f aca="false">A1003/SUM($A1003:$C1003)</f>
        <v>0.307903105823503</v>
      </c>
      <c r="E1003" s="0" t="n">
        <f aca="false">B1003/SUM($A1003:$C1003)</f>
        <v>0.28172453309041</v>
      </c>
      <c r="F1003" s="0" t="n">
        <f aca="false">C1003/SUM($A1003:$C1003)</f>
        <v>0.410372361086087</v>
      </c>
      <c r="G1003" s="0" t="n">
        <f aca="false">SUMPRODUCT(D1003:F1003,Stats!$B$6:$D$6)</f>
        <v>0.361377909441981</v>
      </c>
      <c r="H1003" s="0" t="n">
        <f aca="false">SQRT(SUMPRODUCT(MMULT(D1003:F1003,Stats!$B$12:$D$14),D1003:F1003))</f>
        <v>0.227074572113305</v>
      </c>
      <c r="I1003" s="0" t="n">
        <f aca="false">(G1003-Stats!$B$2)/H1003</f>
        <v>1.40648909505649</v>
      </c>
    </row>
    <row r="1004" customFormat="false" ht="15" hidden="false" customHeight="false" outlineLevel="0" collapsed="false">
      <c r="A1004" s="0" t="n">
        <v>0.906087060481261</v>
      </c>
      <c r="B1004" s="0" t="n">
        <v>0.0121567714773868</v>
      </c>
      <c r="C1004" s="0" t="n">
        <v>0.674019919058793</v>
      </c>
      <c r="D1004" s="0" t="n">
        <f aca="false">A1004/SUM($A1004:$C1004)</f>
        <v>0.569055886565452</v>
      </c>
      <c r="E1004" s="0" t="n">
        <f aca="false">B1004/SUM($A1004:$C1004)</f>
        <v>0.00763489809374782</v>
      </c>
      <c r="F1004" s="0" t="n">
        <f aca="false">C1004/SUM($A1004:$C1004)</f>
        <v>0.423309215340801</v>
      </c>
      <c r="G1004" s="0" t="n">
        <f aca="false">SUMPRODUCT(D1004:F1004,Stats!$B$6:$D$6)</f>
        <v>0.345250417811248</v>
      </c>
      <c r="H1004" s="0" t="n">
        <f aca="false">SQRT(SUMPRODUCT(MMULT(D1004:F1004,Stats!$B$12:$D$14),D1004:F1004))</f>
        <v>0.221919343918319</v>
      </c>
      <c r="I1004" s="0" t="n">
        <f aca="false">(G1004-Stats!$B$2)/H1004</f>
        <v>1.36648934003186</v>
      </c>
    </row>
    <row r="1005" customFormat="false" ht="15" hidden="false" customHeight="false" outlineLevel="0" collapsed="false">
      <c r="A1005" s="0" t="n">
        <v>0.051835799119729</v>
      </c>
      <c r="B1005" s="0" t="n">
        <v>0.548858665077356</v>
      </c>
      <c r="C1005" s="0" t="n">
        <v>0.287632729043678</v>
      </c>
      <c r="D1005" s="0" t="n">
        <f aca="false">A1005/SUM($A1005:$C1005)</f>
        <v>0.0583521471752132</v>
      </c>
      <c r="E1005" s="0" t="n">
        <f aca="false">B1005/SUM($A1005:$C1005)</f>
        <v>0.617856426386127</v>
      </c>
      <c r="F1005" s="0" t="n">
        <f aca="false">C1005/SUM($A1005:$C1005)</f>
        <v>0.32379142643866</v>
      </c>
      <c r="G1005" s="0" t="n">
        <f aca="false">SUMPRODUCT(D1005:F1005,Stats!$B$6:$D$6)</f>
        <v>0.383105939507344</v>
      </c>
      <c r="H1005" s="0" t="n">
        <f aca="false">SQRT(SUMPRODUCT(MMULT(D1005:F1005,Stats!$B$12:$D$14),D1005:F1005))</f>
        <v>0.240221232002457</v>
      </c>
      <c r="I1005" s="0" t="n">
        <f aca="false">(G1005-Stats!$B$2)/H1005</f>
        <v>1.41996582343669</v>
      </c>
    </row>
    <row r="1006" customFormat="false" ht="15" hidden="false" customHeight="false" outlineLevel="0" collapsed="false">
      <c r="A1006" s="0" t="n">
        <v>0.306776599522141</v>
      </c>
      <c r="B1006" s="0" t="n">
        <v>0.352958503452357</v>
      </c>
      <c r="C1006" s="0" t="n">
        <v>0.62129244904961</v>
      </c>
      <c r="D1006" s="0" t="n">
        <f aca="false">A1006/SUM($A1006:$C1006)</f>
        <v>0.239476972245768</v>
      </c>
      <c r="E1006" s="0" t="n">
        <f aca="false">B1006/SUM($A1006:$C1006)</f>
        <v>0.275527644112462</v>
      </c>
      <c r="F1006" s="0" t="n">
        <f aca="false">C1006/SUM($A1006:$C1006)</f>
        <v>0.48499538364177</v>
      </c>
      <c r="G1006" s="0" t="n">
        <f aca="false">SUMPRODUCT(D1006:F1006,Stats!$B$6:$D$6)</f>
        <v>0.358963647325217</v>
      </c>
      <c r="H1006" s="0" t="n">
        <f aca="false">SQRT(SUMPRODUCT(MMULT(D1006:F1006,Stats!$B$12:$D$14),D1006:F1006))</f>
        <v>0.230205475756684</v>
      </c>
      <c r="I1006" s="0" t="n">
        <f aca="false">(G1006-Stats!$B$2)/H1006</f>
        <v>1.3768727537143</v>
      </c>
    </row>
    <row r="1007" customFormat="false" ht="15" hidden="false" customHeight="false" outlineLevel="0" collapsed="false">
      <c r="A1007" s="0" t="n">
        <v>0.334049965668769</v>
      </c>
      <c r="B1007" s="0" t="n">
        <v>0.73269905059028</v>
      </c>
      <c r="C1007" s="0" t="n">
        <v>0.40452738557387</v>
      </c>
      <c r="D1007" s="0" t="n">
        <f aca="false">A1007/SUM($A1007:$C1007)</f>
        <v>0.227047728932925</v>
      </c>
      <c r="E1007" s="0" t="n">
        <f aca="false">B1007/SUM($A1007:$C1007)</f>
        <v>0.498002312602501</v>
      </c>
      <c r="F1007" s="0" t="n">
        <f aca="false">C1007/SUM($A1007:$C1007)</f>
        <v>0.274949958464574</v>
      </c>
      <c r="G1007" s="0" t="n">
        <f aca="false">SUMPRODUCT(D1007:F1007,Stats!$B$6:$D$6)</f>
        <v>0.377556473618348</v>
      </c>
      <c r="H1007" s="0" t="n">
        <f aca="false">SQRT(SUMPRODUCT(MMULT(D1007:F1007,Stats!$B$12:$D$14),D1007:F1007))</f>
        <v>0.231377073978087</v>
      </c>
      <c r="I1007" s="0" t="n">
        <f aca="false">(G1007-Stats!$B$2)/H1007</f>
        <v>1.45025809104202</v>
      </c>
    </row>
    <row r="1008" customFormat="false" ht="15" hidden="false" customHeight="false" outlineLevel="0" collapsed="false">
      <c r="A1008" s="0" t="n">
        <v>0.0683532003099586</v>
      </c>
      <c r="B1008" s="0" t="n">
        <v>0.783759842484107</v>
      </c>
      <c r="C1008" s="0" t="n">
        <v>0.285758324592706</v>
      </c>
      <c r="D1008" s="0" t="n">
        <f aca="false">A1008/SUM($A1008:$C1008)</f>
        <v>0.0600711137208226</v>
      </c>
      <c r="E1008" s="0" t="n">
        <f aca="false">B1008/SUM($A1008:$C1008)</f>
        <v>0.688794766216928</v>
      </c>
      <c r="F1008" s="0" t="n">
        <f aca="false">C1008/SUM($A1008:$C1008)</f>
        <v>0.25113412006225</v>
      </c>
      <c r="G1008" s="0" t="n">
        <f aca="false">SUMPRODUCT(D1008:F1008,Stats!$B$6:$D$6)</f>
        <v>0.389191137045372</v>
      </c>
      <c r="H1008" s="0" t="n">
        <f aca="false">SQRT(SUMPRODUCT(MMULT(D1008:F1008,Stats!$B$12:$D$14),D1008:F1008))</f>
        <v>0.24138633153538</v>
      </c>
      <c r="I1008" s="0" t="n">
        <f aca="false">(G1008-Stats!$B$2)/H1008</f>
        <v>1.4383214444538</v>
      </c>
    </row>
    <row r="1009" customFormat="false" ht="15" hidden="false" customHeight="false" outlineLevel="0" collapsed="false">
      <c r="A1009" s="0" t="n">
        <v>0.432766879599263</v>
      </c>
      <c r="B1009" s="0" t="n">
        <v>0.685443883221902</v>
      </c>
      <c r="C1009" s="0" t="n">
        <v>0.332456157148712</v>
      </c>
      <c r="D1009" s="0" t="n">
        <f aca="false">A1009/SUM($A1009:$C1009)</f>
        <v>0.298322704986096</v>
      </c>
      <c r="E1009" s="0" t="n">
        <f aca="false">B1009/SUM($A1009:$C1009)</f>
        <v>0.472502594348905</v>
      </c>
      <c r="F1009" s="0" t="n">
        <f aca="false">C1009/SUM($A1009:$C1009)</f>
        <v>0.229174700664999</v>
      </c>
      <c r="G1009" s="0" t="n">
        <f aca="false">SUMPRODUCT(D1009:F1009,Stats!$B$6:$D$6)</f>
        <v>0.377351487961409</v>
      </c>
      <c r="H1009" s="0" t="n">
        <f aca="false">SQRT(SUMPRODUCT(MMULT(D1009:F1009,Stats!$B$12:$D$14),D1009:F1009))</f>
        <v>0.228994711754594</v>
      </c>
      <c r="I1009" s="0" t="n">
        <f aca="false">(G1009-Stats!$B$2)/H1009</f>
        <v>1.46445079622972</v>
      </c>
    </row>
    <row r="1010" customFormat="false" ht="15" hidden="false" customHeight="false" outlineLevel="0" collapsed="false">
      <c r="A1010" s="0" t="n">
        <v>0.0565856561467156</v>
      </c>
      <c r="B1010" s="0" t="n">
        <v>0.373921047012814</v>
      </c>
      <c r="C1010" s="0" t="n">
        <v>0.944448582694303</v>
      </c>
      <c r="D1010" s="0" t="n">
        <f aca="false">A1010/SUM($A1010:$C1010)</f>
        <v>0.0411545427905145</v>
      </c>
      <c r="E1010" s="0" t="n">
        <f aca="false">B1010/SUM($A1010:$C1010)</f>
        <v>0.271951423337096</v>
      </c>
      <c r="F1010" s="0" t="n">
        <f aca="false">C1010/SUM($A1010:$C1010)</f>
        <v>0.68689403387239</v>
      </c>
      <c r="G1010" s="0" t="n">
        <f aca="false">SUMPRODUCT(D1010:F1010,Stats!$B$6:$D$6)</f>
        <v>0.353190598584608</v>
      </c>
      <c r="H1010" s="0" t="n">
        <f aca="false">SQRT(SUMPRODUCT(MMULT(D1010:F1010,Stats!$B$12:$D$14),D1010:F1010))</f>
        <v>0.243932021152836</v>
      </c>
      <c r="I1010" s="0" t="n">
        <f aca="false">(G1010-Stats!$B$2)/H1010</f>
        <v>1.27572672547829</v>
      </c>
    </row>
    <row r="1011" customFormat="false" ht="15" hidden="false" customHeight="false" outlineLevel="0" collapsed="false">
      <c r="A1011" s="0" t="n">
        <v>0.641734397298558</v>
      </c>
      <c r="B1011" s="0" t="n">
        <v>0.671479148667207</v>
      </c>
      <c r="C1011" s="0" t="n">
        <v>0.63228215363764</v>
      </c>
      <c r="D1011" s="0" t="n">
        <f aca="false">A1011/SUM($A1011:$C1011)</f>
        <v>0.329856497461998</v>
      </c>
      <c r="E1011" s="0" t="n">
        <f aca="false">B1011/SUM($A1011:$C1011)</f>
        <v>0.345145532217876</v>
      </c>
      <c r="F1011" s="0" t="n">
        <f aca="false">C1011/SUM($A1011:$C1011)</f>
        <v>0.324997970320126</v>
      </c>
      <c r="G1011" s="0" t="n">
        <f aca="false">SUMPRODUCT(D1011:F1011,Stats!$B$6:$D$6)</f>
        <v>0.367381237636236</v>
      </c>
      <c r="H1011" s="0" t="n">
        <f aca="false">SQRT(SUMPRODUCT(MMULT(D1011:F1011,Stats!$B$12:$D$14),D1011:F1011))</f>
        <v>0.226490031823952</v>
      </c>
      <c r="I1011" s="0" t="n">
        <f aca="false">(G1011-Stats!$B$2)/H1011</f>
        <v>1.43662498086958</v>
      </c>
    </row>
    <row r="1012" customFormat="false" ht="15" hidden="false" customHeight="false" outlineLevel="0" collapsed="false">
      <c r="A1012" s="0" t="n">
        <v>0.198992138959437</v>
      </c>
      <c r="B1012" s="0" t="n">
        <v>0.41833386410228</v>
      </c>
      <c r="C1012" s="0" t="n">
        <v>0.750939798363318</v>
      </c>
      <c r="D1012" s="0" t="n">
        <f aca="false">A1012/SUM($A1012:$C1012)</f>
        <v>0.145433832192684</v>
      </c>
      <c r="E1012" s="0" t="n">
        <f aca="false">B1012/SUM($A1012:$C1012)</f>
        <v>0.305740203158326</v>
      </c>
      <c r="F1012" s="0" t="n">
        <f aca="false">C1012/SUM($A1012:$C1012)</f>
        <v>0.54882596464899</v>
      </c>
      <c r="G1012" s="0" t="n">
        <f aca="false">SUMPRODUCT(D1012:F1012,Stats!$B$6:$D$6)</f>
        <v>0.358941935148624</v>
      </c>
      <c r="H1012" s="0" t="n">
        <f aca="false">SQRT(SUMPRODUCT(MMULT(D1012:F1012,Stats!$B$12:$D$14),D1012:F1012))</f>
        <v>0.235343349523492</v>
      </c>
      <c r="I1012" s="0" t="n">
        <f aca="false">(G1012-Stats!$B$2)/H1012</f>
        <v>1.34672144248115</v>
      </c>
    </row>
    <row r="1013" customFormat="false" ht="15" hidden="false" customHeight="false" outlineLevel="0" collapsed="false">
      <c r="A1013" s="0" t="n">
        <v>0.101372897553159</v>
      </c>
      <c r="B1013" s="0" t="n">
        <v>0.277852776089712</v>
      </c>
      <c r="C1013" s="0" t="n">
        <v>0.276319108465854</v>
      </c>
      <c r="D1013" s="0" t="n">
        <f aca="false">A1013/SUM($A1013:$C1013)</f>
        <v>0.154639164737255</v>
      </c>
      <c r="E1013" s="0" t="n">
        <f aca="false">B1013/SUM($A1013:$C1013)</f>
        <v>0.423850183348159</v>
      </c>
      <c r="F1013" s="0" t="n">
        <f aca="false">C1013/SUM($A1013:$C1013)</f>
        <v>0.421510651914586</v>
      </c>
      <c r="G1013" s="0" t="n">
        <f aca="false">SUMPRODUCT(D1013:F1013,Stats!$B$6:$D$6)</f>
        <v>0.369248501322598</v>
      </c>
      <c r="H1013" s="0" t="n">
        <f aca="false">SQRT(SUMPRODUCT(MMULT(D1013:F1013,Stats!$B$12:$D$14),D1013:F1013))</f>
        <v>0.233901431993311</v>
      </c>
      <c r="I1013" s="0" t="n">
        <f aca="false">(G1013-Stats!$B$2)/H1013</f>
        <v>1.39908720752063</v>
      </c>
    </row>
    <row r="1014" customFormat="false" ht="15" hidden="false" customHeight="false" outlineLevel="0" collapsed="false">
      <c r="A1014" s="0" t="n">
        <v>0.432018927594506</v>
      </c>
      <c r="B1014" s="0" t="n">
        <v>0.980368740942185</v>
      </c>
      <c r="C1014" s="0" t="n">
        <v>0.0675025466838219</v>
      </c>
      <c r="D1014" s="0" t="n">
        <f aca="false">A1014/SUM($A1014:$C1014)</f>
        <v>0.29192633558303</v>
      </c>
      <c r="E1014" s="0" t="n">
        <f aca="false">B1014/SUM($A1014:$C1014)</f>
        <v>0.662460452038399</v>
      </c>
      <c r="F1014" s="0" t="n">
        <f aca="false">C1014/SUM($A1014:$C1014)</f>
        <v>0.0456132123785707</v>
      </c>
      <c r="G1014" s="0" t="n">
        <f aca="false">SUMPRODUCT(D1014:F1014,Stats!$B$6:$D$6)</f>
        <v>0.393343054673256</v>
      </c>
      <c r="H1014" s="0" t="n">
        <f aca="false">SQRT(SUMPRODUCT(MMULT(D1014:F1014,Stats!$B$12:$D$14),D1014:F1014))</f>
        <v>0.23486831899312</v>
      </c>
      <c r="I1014" s="0" t="n">
        <f aca="false">(G1014-Stats!$B$2)/H1014</f>
        <v>1.49591505648554</v>
      </c>
    </row>
    <row r="1015" customFormat="false" ht="15" hidden="false" customHeight="false" outlineLevel="0" collapsed="false">
      <c r="A1015" s="0" t="n">
        <v>0.518700994380595</v>
      </c>
      <c r="B1015" s="0" t="n">
        <v>0.179364682012211</v>
      </c>
      <c r="C1015" s="0" t="n">
        <v>0.970676545409744</v>
      </c>
      <c r="D1015" s="0" t="n">
        <f aca="false">A1015/SUM($A1015:$C1015)</f>
        <v>0.310833505381258</v>
      </c>
      <c r="E1015" s="0" t="n">
        <f aca="false">B1015/SUM($A1015:$C1015)</f>
        <v>0.107484954637549</v>
      </c>
      <c r="F1015" s="0" t="n">
        <f aca="false">C1015/SUM($A1015:$C1015)</f>
        <v>0.581681539981193</v>
      </c>
      <c r="G1015" s="0" t="n">
        <f aca="false">SUMPRODUCT(D1015:F1015,Stats!$B$6:$D$6)</f>
        <v>0.346628604892619</v>
      </c>
      <c r="H1015" s="0" t="n">
        <f aca="false">SQRT(SUMPRODUCT(MMULT(D1015:F1015,Stats!$B$12:$D$14),D1015:F1015))</f>
        <v>0.229220506269733</v>
      </c>
      <c r="I1015" s="0" t="n">
        <f aca="false">(G1015-Stats!$B$2)/H1015</f>
        <v>1.32897623275532</v>
      </c>
    </row>
    <row r="1016" customFormat="false" ht="15" hidden="false" customHeight="false" outlineLevel="0" collapsed="false">
      <c r="A1016" s="0" t="n">
        <v>0.113303504727464</v>
      </c>
      <c r="B1016" s="0" t="n">
        <v>0.403601002361591</v>
      </c>
      <c r="C1016" s="0" t="n">
        <v>0.737884984834606</v>
      </c>
      <c r="D1016" s="0" t="n">
        <f aca="false">A1016/SUM($A1016:$C1016)</f>
        <v>0.0902968230581559</v>
      </c>
      <c r="E1016" s="0" t="n">
        <f aca="false">B1016/SUM($A1016:$C1016)</f>
        <v>0.321648376049793</v>
      </c>
      <c r="F1016" s="0" t="n">
        <f aca="false">C1016/SUM($A1016:$C1016)</f>
        <v>0.588054800892051</v>
      </c>
      <c r="G1016" s="0" t="n">
        <f aca="false">SUMPRODUCT(D1016:F1016,Stats!$B$6:$D$6)</f>
        <v>0.358775550756055</v>
      </c>
      <c r="H1016" s="0" t="n">
        <f aca="false">SQRT(SUMPRODUCT(MMULT(D1016:F1016,Stats!$B$12:$D$14),D1016:F1016))</f>
        <v>0.238901545210894</v>
      </c>
      <c r="I1016" s="0" t="n">
        <f aca="false">(G1016-Stats!$B$2)/H1016</f>
        <v>1.32596693954581</v>
      </c>
    </row>
    <row r="1017" customFormat="false" ht="15" hidden="false" customHeight="false" outlineLevel="0" collapsed="false">
      <c r="A1017" s="0" t="n">
        <v>0.704554428027445</v>
      </c>
      <c r="B1017" s="0" t="n">
        <v>0.422728636893932</v>
      </c>
      <c r="C1017" s="0" t="n">
        <v>0.346524167952718</v>
      </c>
      <c r="D1017" s="0" t="n">
        <f aca="false">A1017/SUM($A1017:$C1017)</f>
        <v>0.478050597331838</v>
      </c>
      <c r="E1017" s="0" t="n">
        <f aca="false">B1017/SUM($A1017:$C1017)</f>
        <v>0.286827630822222</v>
      </c>
      <c r="F1017" s="0" t="n">
        <f aca="false">C1017/SUM($A1017:$C1017)</f>
        <v>0.235121771845939</v>
      </c>
      <c r="G1017" s="0" t="n">
        <f aca="false">SUMPRODUCT(D1017:F1017,Stats!$B$6:$D$6)</f>
        <v>0.366504002674036</v>
      </c>
      <c r="H1017" s="0" t="n">
        <f aca="false">SQRT(SUMPRODUCT(MMULT(D1017:F1017,Stats!$B$12:$D$14),D1017:F1017))</f>
        <v>0.223372919182674</v>
      </c>
      <c r="I1017" s="0" t="n">
        <f aca="false">(G1017-Stats!$B$2)/H1017</f>
        <v>1.45274549780431</v>
      </c>
    </row>
    <row r="1018" customFormat="false" ht="15" hidden="false" customHeight="false" outlineLevel="0" collapsed="false">
      <c r="A1018" s="0" t="n">
        <v>0.397612378552871</v>
      </c>
      <c r="B1018" s="0" t="n">
        <v>0.264276263158639</v>
      </c>
      <c r="C1018" s="0" t="n">
        <v>0.2053329387068</v>
      </c>
      <c r="D1018" s="0" t="n">
        <f aca="false">A1018/SUM($A1018:$C1018)</f>
        <v>0.458489949432623</v>
      </c>
      <c r="E1018" s="0" t="n">
        <f aca="false">B1018/SUM($A1018:$C1018)</f>
        <v>0.304739029938766</v>
      </c>
      <c r="F1018" s="0" t="n">
        <f aca="false">C1018/SUM($A1018:$C1018)</f>
        <v>0.23677102062861</v>
      </c>
      <c r="G1018" s="0" t="n">
        <f aca="false">SUMPRODUCT(D1018:F1018,Stats!$B$6:$D$6)</f>
        <v>0.367489123996084</v>
      </c>
      <c r="H1018" s="0" t="n">
        <f aca="false">SQRT(SUMPRODUCT(MMULT(D1018:F1018,Stats!$B$12:$D$14),D1018:F1018))</f>
        <v>0.223760226311756</v>
      </c>
      <c r="I1018" s="0" t="n">
        <f aca="false">(G1018-Stats!$B$2)/H1018</f>
        <v>1.4546335126717</v>
      </c>
    </row>
    <row r="1019" customFormat="false" ht="15" hidden="false" customHeight="false" outlineLevel="0" collapsed="false">
      <c r="A1019" s="0" t="n">
        <v>0.48303969755889</v>
      </c>
      <c r="B1019" s="0" t="n">
        <v>0.268533756067607</v>
      </c>
      <c r="C1019" s="0" t="n">
        <v>0.28746166489725</v>
      </c>
      <c r="D1019" s="0" t="n">
        <f aca="false">A1019/SUM($A1019:$C1019)</f>
        <v>0.464892561326694</v>
      </c>
      <c r="E1019" s="0" t="n">
        <f aca="false">B1019/SUM($A1019:$C1019)</f>
        <v>0.258445312656167</v>
      </c>
      <c r="F1019" s="0" t="n">
        <f aca="false">C1019/SUM($A1019:$C1019)</f>
        <v>0.276662126017139</v>
      </c>
      <c r="G1019" s="0" t="n">
        <f aca="false">SUMPRODUCT(D1019:F1019,Stats!$B$6:$D$6)</f>
        <v>0.363725461532266</v>
      </c>
      <c r="H1019" s="0" t="n">
        <f aca="false">SQRT(SUMPRODUCT(MMULT(D1019:F1019,Stats!$B$12:$D$14),D1019:F1019))</f>
        <v>0.223122492089219</v>
      </c>
      <c r="I1019" s="0" t="n">
        <f aca="false">(G1019-Stats!$B$2)/H1019</f>
        <v>1.44192303751976</v>
      </c>
    </row>
    <row r="1020" customFormat="false" ht="15" hidden="false" customHeight="false" outlineLevel="0" collapsed="false">
      <c r="A1020" s="0" t="n">
        <v>0.656756063474557</v>
      </c>
      <c r="B1020" s="0" t="n">
        <v>0.968537331699892</v>
      </c>
      <c r="C1020" s="0" t="n">
        <v>0.603637200559375</v>
      </c>
      <c r="D1020" s="0" t="n">
        <f aca="false">A1020/SUM($A1020:$C1020)</f>
        <v>0.29465074629582</v>
      </c>
      <c r="E1020" s="0" t="n">
        <f aca="false">B1020/SUM($A1020:$C1020)</f>
        <v>0.434530053808617</v>
      </c>
      <c r="F1020" s="0" t="n">
        <f aca="false">C1020/SUM($A1020:$C1020)</f>
        <v>0.270819199895563</v>
      </c>
      <c r="G1020" s="0" t="n">
        <f aca="false">SUMPRODUCT(D1020:F1020,Stats!$B$6:$D$6)</f>
        <v>0.374018266076652</v>
      </c>
      <c r="H1020" s="0" t="n">
        <f aca="false">SQRT(SUMPRODUCT(MMULT(D1020:F1020,Stats!$B$12:$D$14),D1020:F1020))</f>
        <v>0.228429715199675</v>
      </c>
      <c r="I1020" s="0" t="n">
        <f aca="false">(G1020-Stats!$B$2)/H1020</f>
        <v>1.45348106653475</v>
      </c>
    </row>
    <row r="1021" customFormat="false" ht="15" hidden="false" customHeight="false" outlineLevel="0" collapsed="false">
      <c r="A1021" s="0" t="n">
        <v>0.0769794670649663</v>
      </c>
      <c r="B1021" s="0" t="n">
        <v>0.075583613854067</v>
      </c>
      <c r="C1021" s="0" t="n">
        <v>0.951423220845566</v>
      </c>
      <c r="D1021" s="0" t="n">
        <f aca="false">A1021/SUM($A1021:$C1021)</f>
        <v>0.0697286433191455</v>
      </c>
      <c r="E1021" s="0" t="n">
        <f aca="false">B1021/SUM($A1021:$C1021)</f>
        <v>0.0684642678385185</v>
      </c>
      <c r="F1021" s="0" t="n">
        <f aca="false">C1021/SUM($A1021:$C1021)</f>
        <v>0.861807088842336</v>
      </c>
      <c r="G1021" s="0" t="n">
        <f aca="false">SUMPRODUCT(D1021:F1021,Stats!$B$6:$D$6)</f>
        <v>0.336659050809794</v>
      </c>
      <c r="H1021" s="0" t="n">
        <f aca="false">SQRT(SUMPRODUCT(MMULT(D1021:F1021,Stats!$B$12:$D$14),D1021:F1021))</f>
        <v>0.249010575247726</v>
      </c>
      <c r="I1021" s="0" t="n">
        <f aca="false">(G1021-Stats!$B$2)/H1021</f>
        <v>1.18331942535635</v>
      </c>
    </row>
    <row r="1022" customFormat="false" ht="15" hidden="false" customHeight="false" outlineLevel="0" collapsed="false">
      <c r="A1022" s="0" t="n">
        <v>0.297290790307334</v>
      </c>
      <c r="B1022" s="0" t="n">
        <v>0.0920669860824754</v>
      </c>
      <c r="C1022" s="0" t="n">
        <v>0.599044587150382</v>
      </c>
      <c r="D1022" s="0" t="n">
        <f aca="false">A1022/SUM($A1022:$C1022)</f>
        <v>0.300779117162891</v>
      </c>
      <c r="E1022" s="0" t="n">
        <f aca="false">B1022/SUM($A1022:$C1022)</f>
        <v>0.0931472743071115</v>
      </c>
      <c r="F1022" s="0" t="n">
        <f aca="false">C1022/SUM($A1022:$C1022)</f>
        <v>0.606073608529997</v>
      </c>
      <c r="G1022" s="0" t="n">
        <f aca="false">SUMPRODUCT(D1022:F1022,Stats!$B$6:$D$6)</f>
        <v>0.345131031414751</v>
      </c>
      <c r="H1022" s="0" t="n">
        <f aca="false">SQRT(SUMPRODUCT(MMULT(D1022:F1022,Stats!$B$12:$D$14),D1022:F1022))</f>
        <v>0.230138853807678</v>
      </c>
      <c r="I1022" s="0" t="n">
        <f aca="false">(G1022-Stats!$B$2)/H1022</f>
        <v>1.31716581706829</v>
      </c>
    </row>
    <row r="1023" customFormat="false" ht="15" hidden="false" customHeight="false" outlineLevel="0" collapsed="false">
      <c r="A1023" s="0" t="n">
        <v>0.623648778290266</v>
      </c>
      <c r="B1023" s="0" t="n">
        <v>0.648504820118688</v>
      </c>
      <c r="C1023" s="0" t="n">
        <v>0.267402027857541</v>
      </c>
      <c r="D1023" s="0" t="n">
        <f aca="false">A1023/SUM($A1023:$C1023)</f>
        <v>0.405083627801515</v>
      </c>
      <c r="E1023" s="0" t="n">
        <f aca="false">B1023/SUM($A1023:$C1023)</f>
        <v>0.421228573397732</v>
      </c>
      <c r="F1023" s="0" t="n">
        <f aca="false">C1023/SUM($A1023:$C1023)</f>
        <v>0.173687798800752</v>
      </c>
      <c r="G1023" s="0" t="n">
        <f aca="false">SUMPRODUCT(D1023:F1023,Stats!$B$6:$D$6)</f>
        <v>0.375931277136067</v>
      </c>
      <c r="H1023" s="0" t="n">
        <f aca="false">SQRT(SUMPRODUCT(MMULT(D1023:F1023,Stats!$B$12:$D$14),D1023:F1023))</f>
        <v>0.226393866679424</v>
      </c>
      <c r="I1023" s="0" t="n">
        <f aca="false">(G1023-Stats!$B$2)/H1023</f>
        <v>1.47500143017972</v>
      </c>
    </row>
    <row r="1024" customFormat="false" ht="15" hidden="false" customHeight="false" outlineLevel="0" collapsed="false">
      <c r="A1024" s="0" t="n">
        <v>0.015110684214475</v>
      </c>
      <c r="B1024" s="0" t="n">
        <v>0.965015369454472</v>
      </c>
      <c r="C1024" s="0" t="n">
        <v>0.250893045691103</v>
      </c>
      <c r="D1024" s="0" t="n">
        <f aca="false">A1024/SUM($A1024:$C1024)</f>
        <v>0.0122749388878941</v>
      </c>
      <c r="E1024" s="0" t="n">
        <f aca="false">B1024/SUM($A1024:$C1024)</f>
        <v>0.783915838475731</v>
      </c>
      <c r="F1024" s="0" t="n">
        <f aca="false">C1024/SUM($A1024:$C1024)</f>
        <v>0.203809222636375</v>
      </c>
      <c r="G1024" s="0" t="n">
        <f aca="false">SUMPRODUCT(D1024:F1024,Stats!$B$6:$D$6)</f>
        <v>0.395969246274755</v>
      </c>
      <c r="H1024" s="0" t="n">
        <f aca="false">SQRT(SUMPRODUCT(MMULT(D1024:F1024,Stats!$B$12:$D$14),D1024:F1024))</f>
        <v>0.245836776678131</v>
      </c>
      <c r="I1024" s="0" t="n">
        <f aca="false">(G1024-Stats!$B$2)/H1024</f>
        <v>1.43985473230557</v>
      </c>
    </row>
    <row r="1025" customFormat="false" ht="15" hidden="false" customHeight="false" outlineLevel="0" collapsed="false">
      <c r="A1025" s="0" t="n">
        <v>0.676026288052548</v>
      </c>
      <c r="B1025" s="0" t="n">
        <v>0.70662986987871</v>
      </c>
      <c r="C1025" s="0" t="n">
        <v>0.610007417079486</v>
      </c>
      <c r="D1025" s="0" t="n">
        <f aca="false">A1025/SUM($A1025:$C1025)</f>
        <v>0.33925761304133</v>
      </c>
      <c r="E1025" s="0" t="n">
        <f aca="false">B1025/SUM($A1025:$C1025)</f>
        <v>0.354615740830662</v>
      </c>
      <c r="F1025" s="0" t="n">
        <f aca="false">C1025/SUM($A1025:$C1025)</f>
        <v>0.306126646128008</v>
      </c>
      <c r="G1025" s="0" t="n">
        <f aca="false">SUMPRODUCT(D1025:F1025,Stats!$B$6:$D$6)</f>
        <v>0.36844651068907</v>
      </c>
      <c r="H1025" s="0" t="n">
        <f aca="false">SQRT(SUMPRODUCT(MMULT(D1025:F1025,Stats!$B$12:$D$14),D1025:F1025))</f>
        <v>0.226317198732246</v>
      </c>
      <c r="I1025" s="0" t="n">
        <f aca="false">(G1025-Stats!$B$2)/H1025</f>
        <v>1.44242908854349</v>
      </c>
    </row>
    <row r="1026" customFormat="false" ht="15" hidden="false" customHeight="false" outlineLevel="0" collapsed="false">
      <c r="A1026" s="0" t="n">
        <v>0.312907394213648</v>
      </c>
      <c r="B1026" s="0" t="n">
        <v>0.271096253764066</v>
      </c>
      <c r="C1026" s="0" t="n">
        <v>0.597668282702703</v>
      </c>
      <c r="D1026" s="0" t="n">
        <f aca="false">A1026/SUM($A1026:$C1026)</f>
        <v>0.264800564428634</v>
      </c>
      <c r="E1026" s="0" t="n">
        <f aca="false">B1026/SUM($A1026:$C1026)</f>
        <v>0.229417528440374</v>
      </c>
      <c r="F1026" s="0" t="n">
        <f aca="false">C1026/SUM($A1026:$C1026)</f>
        <v>0.505781907130992</v>
      </c>
      <c r="G1026" s="0" t="n">
        <f aca="false">SUMPRODUCT(D1026:F1026,Stats!$B$6:$D$6)</f>
        <v>0.355737350558302</v>
      </c>
      <c r="H1026" s="0" t="n">
        <f aca="false">SQRT(SUMPRODUCT(MMULT(D1026:F1026,Stats!$B$12:$D$14),D1026:F1026))</f>
        <v>0.229429323592773</v>
      </c>
      <c r="I1026" s="0" t="n">
        <f aca="false">(G1026-Stats!$B$2)/H1026</f>
        <v>1.3674684022308</v>
      </c>
    </row>
    <row r="1027" customFormat="false" ht="15" hidden="false" customHeight="false" outlineLevel="0" collapsed="false">
      <c r="A1027" s="0" t="n">
        <v>0.866095633611692</v>
      </c>
      <c r="B1027" s="0" t="n">
        <v>0.946733728923396</v>
      </c>
      <c r="C1027" s="0" t="n">
        <v>0.105905804403758</v>
      </c>
      <c r="D1027" s="0" t="n">
        <f aca="false">A1027/SUM($A1027:$C1027)</f>
        <v>0.451388836007766</v>
      </c>
      <c r="E1027" s="0" t="n">
        <f aca="false">B1027/SUM($A1027:$C1027)</f>
        <v>0.493415529790814</v>
      </c>
      <c r="F1027" s="0" t="n">
        <f aca="false">C1027/SUM($A1027:$C1027)</f>
        <v>0.0551956342014203</v>
      </c>
      <c r="G1027" s="0" t="n">
        <f aca="false">SUMPRODUCT(D1027:F1027,Stats!$B$6:$D$6)</f>
        <v>0.38335219704152</v>
      </c>
      <c r="H1027" s="0" t="n">
        <f aca="false">SQRT(SUMPRODUCT(MMULT(D1027:F1027,Stats!$B$12:$D$14),D1027:F1027))</f>
        <v>0.228691497587517</v>
      </c>
      <c r="I1027" s="0" t="n">
        <f aca="false">(G1027-Stats!$B$2)/H1027</f>
        <v>1.49263177967904</v>
      </c>
    </row>
    <row r="1028" customFormat="false" ht="15" hidden="false" customHeight="false" outlineLevel="0" collapsed="false">
      <c r="A1028" s="0" t="n">
        <v>0.15482861259772</v>
      </c>
      <c r="B1028" s="0" t="n">
        <v>0.94473625878308</v>
      </c>
      <c r="C1028" s="0" t="n">
        <v>0.736535228334793</v>
      </c>
      <c r="D1028" s="0" t="n">
        <f aca="false">A1028/SUM($A1028:$C1028)</f>
        <v>0.0843247122647085</v>
      </c>
      <c r="E1028" s="0" t="n">
        <f aca="false">B1028/SUM($A1028:$C1028)</f>
        <v>0.514534179770165</v>
      </c>
      <c r="F1028" s="0" t="n">
        <f aca="false">C1028/SUM($A1028:$C1028)</f>
        <v>0.401141107965127</v>
      </c>
      <c r="G1028" s="0" t="n">
        <f aca="false">SUMPRODUCT(D1028:F1028,Stats!$B$6:$D$6)</f>
        <v>0.375028023446588</v>
      </c>
      <c r="H1028" s="0" t="n">
        <f aca="false">SQRT(SUMPRODUCT(MMULT(D1028:F1028,Stats!$B$12:$D$14),D1028:F1028))</f>
        <v>0.237922501306359</v>
      </c>
      <c r="I1028" s="0" t="n">
        <f aca="false">(G1028-Stats!$B$2)/H1028</f>
        <v>1.39973319723033</v>
      </c>
    </row>
    <row r="1029" customFormat="false" ht="15" hidden="false" customHeight="false" outlineLevel="0" collapsed="false">
      <c r="A1029" s="0" t="n">
        <v>0.882993824829773</v>
      </c>
      <c r="B1029" s="0" t="n">
        <v>0.202632634135343</v>
      </c>
      <c r="C1029" s="0" t="n">
        <v>0.587585871109402</v>
      </c>
      <c r="D1029" s="0" t="n">
        <f aca="false">A1029/SUM($A1029:$C1029)</f>
        <v>0.527723713816075</v>
      </c>
      <c r="E1029" s="0" t="n">
        <f aca="false">B1029/SUM($A1029:$C1029)</f>
        <v>0.121103957037132</v>
      </c>
      <c r="F1029" s="0" t="n">
        <f aca="false">C1029/SUM($A1029:$C1029)</f>
        <v>0.351172329146793</v>
      </c>
      <c r="G1029" s="0" t="n">
        <f aca="false">SUMPRODUCT(D1029:F1029,Stats!$B$6:$D$6)</f>
        <v>0.353768427494215</v>
      </c>
      <c r="H1029" s="0" t="n">
        <f aca="false">SQRT(SUMPRODUCT(MMULT(D1029:F1029,Stats!$B$12:$D$14),D1029:F1029))</f>
        <v>0.221795478164986</v>
      </c>
      <c r="I1029" s="0" t="n">
        <f aca="false">(G1029-Stats!$B$2)/H1029</f>
        <v>1.40565727522318</v>
      </c>
    </row>
    <row r="1030" customFormat="false" ht="15" hidden="false" customHeight="false" outlineLevel="0" collapsed="false">
      <c r="A1030" s="0" t="n">
        <v>0.701139594417474</v>
      </c>
      <c r="B1030" s="0" t="n">
        <v>0.680111885446973</v>
      </c>
      <c r="C1030" s="0" t="n">
        <v>0.408151690866698</v>
      </c>
      <c r="D1030" s="0" t="n">
        <f aca="false">A1030/SUM($A1030:$C1030)</f>
        <v>0.391828742614215</v>
      </c>
      <c r="E1030" s="0" t="n">
        <f aca="false">B1030/SUM($A1030:$C1030)</f>
        <v>0.380077501019002</v>
      </c>
      <c r="F1030" s="0" t="n">
        <f aca="false">C1030/SUM($A1030:$C1030)</f>
        <v>0.228093756366783</v>
      </c>
      <c r="G1030" s="0" t="n">
        <f aca="false">SUMPRODUCT(D1030:F1030,Stats!$B$6:$D$6)</f>
        <v>0.372063274337934</v>
      </c>
      <c r="H1030" s="0" t="n">
        <f aca="false">SQRT(SUMPRODUCT(MMULT(D1030:F1030,Stats!$B$12:$D$14),D1030:F1030))</f>
        <v>0.225659260965134</v>
      </c>
      <c r="I1030" s="0" t="n">
        <f aca="false">(G1030-Stats!$B$2)/H1030</f>
        <v>1.46266221437697</v>
      </c>
    </row>
    <row r="1031" customFormat="false" ht="15" hidden="false" customHeight="false" outlineLevel="0" collapsed="false">
      <c r="A1031" s="0" t="n">
        <v>0.0153948916913085</v>
      </c>
      <c r="B1031" s="0" t="n">
        <v>0.582926056804263</v>
      </c>
      <c r="C1031" s="0" t="n">
        <v>0.253101539179609</v>
      </c>
      <c r="D1031" s="0" t="n">
        <f aca="false">A1031/SUM($A1031:$C1031)</f>
        <v>0.0180813778284673</v>
      </c>
      <c r="E1031" s="0" t="n">
        <f aca="false">B1031/SUM($A1031:$C1031)</f>
        <v>0.684649589648436</v>
      </c>
      <c r="F1031" s="0" t="n">
        <f aca="false">C1031/SUM($A1031:$C1031)</f>
        <v>0.297269032523096</v>
      </c>
      <c r="G1031" s="0" t="n">
        <f aca="false">SUMPRODUCT(D1031:F1031,Stats!$B$6:$D$6)</f>
        <v>0.387680476483931</v>
      </c>
      <c r="H1031" s="0" t="n">
        <f aca="false">SQRT(SUMPRODUCT(MMULT(D1031:F1031,Stats!$B$12:$D$14),D1031:F1031))</f>
        <v>0.243323622546977</v>
      </c>
      <c r="I1031" s="0" t="n">
        <f aca="false">(G1031-Stats!$B$2)/H1031</f>
        <v>1.42066139269808</v>
      </c>
    </row>
    <row r="1032" customFormat="false" ht="15" hidden="false" customHeight="false" outlineLevel="0" collapsed="false">
      <c r="A1032" s="0" t="n">
        <v>0.45025424614289</v>
      </c>
      <c r="B1032" s="0" t="n">
        <v>0.957581015083817</v>
      </c>
      <c r="C1032" s="0" t="n">
        <v>0.399035317642435</v>
      </c>
      <c r="D1032" s="0" t="n">
        <f aca="false">A1032/SUM($A1032:$C1032)</f>
        <v>0.249190092200565</v>
      </c>
      <c r="E1032" s="0" t="n">
        <f aca="false">B1032/SUM($A1032:$C1032)</f>
        <v>0.529966576622845</v>
      </c>
      <c r="F1032" s="0" t="n">
        <f aca="false">C1032/SUM($A1032:$C1032)</f>
        <v>0.22084333117659</v>
      </c>
      <c r="G1032" s="0" t="n">
        <f aca="false">SUMPRODUCT(D1032:F1032,Stats!$B$6:$D$6)</f>
        <v>0.380887625436504</v>
      </c>
      <c r="H1032" s="0" t="n">
        <f aca="false">SQRT(SUMPRODUCT(MMULT(D1032:F1032,Stats!$B$12:$D$14),D1032:F1032))</f>
        <v>0.231333813815036</v>
      </c>
      <c r="I1032" s="0" t="n">
        <f aca="false">(G1032-Stats!$B$2)/H1032</f>
        <v>1.46492905575604</v>
      </c>
    </row>
    <row r="1033" customFormat="false" ht="15" hidden="false" customHeight="false" outlineLevel="0" collapsed="false">
      <c r="A1033" s="0" t="n">
        <v>0.839801606664427</v>
      </c>
      <c r="B1033" s="0" t="n">
        <v>0.188540605749251</v>
      </c>
      <c r="C1033" s="0" t="n">
        <v>0.672460498025029</v>
      </c>
      <c r="D1033" s="0" t="n">
        <f aca="false">A1033/SUM($A1033:$C1033)</f>
        <v>0.493767796529327</v>
      </c>
      <c r="E1033" s="0" t="n">
        <f aca="false">B1033/SUM($A1033:$C1033)</f>
        <v>0.110853895394263</v>
      </c>
      <c r="F1033" s="0" t="n">
        <f aca="false">C1033/SUM($A1033:$C1033)</f>
        <v>0.39537830807641</v>
      </c>
      <c r="G1033" s="0" t="n">
        <f aca="false">SUMPRODUCT(D1033:F1033,Stats!$B$6:$D$6)</f>
        <v>0.351959689347209</v>
      </c>
      <c r="H1033" s="0" t="n">
        <f aca="false">SQRT(SUMPRODUCT(MMULT(D1033:F1033,Stats!$B$12:$D$14),D1033:F1033))</f>
        <v>0.222359099705777</v>
      </c>
      <c r="I1033" s="0" t="n">
        <f aca="false">(G1033-Stats!$B$2)/H1033</f>
        <v>1.39395999424959</v>
      </c>
    </row>
    <row r="1034" customFormat="false" ht="15" hidden="false" customHeight="false" outlineLevel="0" collapsed="false">
      <c r="A1034" s="0" t="n">
        <v>0.977006954438944</v>
      </c>
      <c r="B1034" s="0" t="n">
        <v>0.101893100872937</v>
      </c>
      <c r="C1034" s="0" t="n">
        <v>0.00831994222719201</v>
      </c>
      <c r="D1034" s="0" t="n">
        <f aca="false">A1034/SUM($A1034:$C1034)</f>
        <v>0.898628572552384</v>
      </c>
      <c r="E1034" s="0" t="n">
        <f aca="false">B1034/SUM($A1034:$C1034)</f>
        <v>0.0937189355453104</v>
      </c>
      <c r="F1034" s="0" t="n">
        <f aca="false">C1034/SUM($A1034:$C1034)</f>
        <v>0.00765249190230518</v>
      </c>
      <c r="G1034" s="0" t="n">
        <f aca="false">SUMPRODUCT(D1034:F1034,Stats!$B$6:$D$6)</f>
        <v>0.361665156188656</v>
      </c>
      <c r="H1034" s="0" t="n">
        <f aca="false">SQRT(SUMPRODUCT(MMULT(D1034:F1034,Stats!$B$12:$D$14),D1034:F1034))</f>
        <v>0.230028636996956</v>
      </c>
      <c r="I1034" s="0" t="n">
        <f aca="false">(G1034-Stats!$B$2)/H1034</f>
        <v>1.38967547850525</v>
      </c>
    </row>
    <row r="1035" customFormat="false" ht="15" hidden="false" customHeight="false" outlineLevel="0" collapsed="false">
      <c r="A1035" s="0" t="n">
        <v>0.433582792632614</v>
      </c>
      <c r="B1035" s="0" t="n">
        <v>0.0926254830513672</v>
      </c>
      <c r="C1035" s="0" t="n">
        <v>0.748384349676231</v>
      </c>
      <c r="D1035" s="0" t="n">
        <f aca="false">A1035/SUM($A1035:$C1035)</f>
        <v>0.340173624109962</v>
      </c>
      <c r="E1035" s="0" t="n">
        <f aca="false">B1035/SUM($A1035:$C1035)</f>
        <v>0.0726706566540743</v>
      </c>
      <c r="F1035" s="0" t="n">
        <f aca="false">C1035/SUM($A1035:$C1035)</f>
        <v>0.587155719235964</v>
      </c>
      <c r="G1035" s="0" t="n">
        <f aca="false">SUMPRODUCT(D1035:F1035,Stats!$B$6:$D$6)</f>
        <v>0.344474486858443</v>
      </c>
      <c r="H1035" s="0" t="n">
        <f aca="false">SQRT(SUMPRODUCT(MMULT(D1035:F1035,Stats!$B$12:$D$14),D1035:F1035))</f>
        <v>0.22849644559002</v>
      </c>
      <c r="I1035" s="0" t="n">
        <f aca="false">(G1035-Stats!$B$2)/H1035</f>
        <v>1.32376014023937</v>
      </c>
    </row>
    <row r="1036" customFormat="false" ht="15" hidden="false" customHeight="false" outlineLevel="0" collapsed="false">
      <c r="A1036" s="0" t="n">
        <v>0.914548663848559</v>
      </c>
      <c r="B1036" s="0" t="n">
        <v>0.434020972708759</v>
      </c>
      <c r="C1036" s="0" t="n">
        <v>0.258711642155441</v>
      </c>
      <c r="D1036" s="0" t="n">
        <f aca="false">A1036/SUM($A1036:$C1036)</f>
        <v>0.569003494261442</v>
      </c>
      <c r="E1036" s="0" t="n">
        <f aca="false">B1036/SUM($A1036:$C1036)</f>
        <v>0.270034236357409</v>
      </c>
      <c r="F1036" s="0" t="n">
        <f aca="false">C1036/SUM($A1036:$C1036)</f>
        <v>0.160962269381149</v>
      </c>
      <c r="G1036" s="0" t="n">
        <f aca="false">SUMPRODUCT(D1036:F1036,Stats!$B$6:$D$6)</f>
        <v>0.367582652249018</v>
      </c>
      <c r="H1036" s="0" t="n">
        <f aca="false">SQRT(SUMPRODUCT(MMULT(D1036:F1036,Stats!$B$12:$D$14),D1036:F1036))</f>
        <v>0.223347543564624</v>
      </c>
      <c r="I1036" s="0" t="n">
        <f aca="false">(G1036-Stats!$B$2)/H1036</f>
        <v>1.45774001832625</v>
      </c>
    </row>
    <row r="1037" customFormat="false" ht="15" hidden="false" customHeight="false" outlineLevel="0" collapsed="false">
      <c r="A1037" s="0" t="n">
        <v>0.43440331900661</v>
      </c>
      <c r="B1037" s="0" t="n">
        <v>0.723447817850001</v>
      </c>
      <c r="C1037" s="0" t="n">
        <v>0.00905416158037098</v>
      </c>
      <c r="D1037" s="0" t="n">
        <f aca="false">A1037/SUM($A1037:$C1037)</f>
        <v>0.372269557425503</v>
      </c>
      <c r="E1037" s="0" t="n">
        <f aca="false">B1037/SUM($A1037:$C1037)</f>
        <v>0.619971319711229</v>
      </c>
      <c r="F1037" s="0" t="n">
        <f aca="false">C1037/SUM($A1037:$C1037)</f>
        <v>0.00775912286326802</v>
      </c>
      <c r="G1037" s="0" t="n">
        <f aca="false">SUMPRODUCT(D1037:F1037,Stats!$B$6:$D$6)</f>
        <v>0.391942096950695</v>
      </c>
      <c r="H1037" s="0" t="n">
        <f aca="false">SQRT(SUMPRODUCT(MMULT(D1037:F1037,Stats!$B$12:$D$14),D1037:F1037))</f>
        <v>0.233159016762345</v>
      </c>
      <c r="I1037" s="0" t="n">
        <f aca="false">(G1037-Stats!$B$2)/H1037</f>
        <v>1.50087310287204</v>
      </c>
    </row>
    <row r="1038" customFormat="false" ht="15" hidden="false" customHeight="false" outlineLevel="0" collapsed="false">
      <c r="A1038" s="0" t="n">
        <v>0.589453989484697</v>
      </c>
      <c r="B1038" s="0" t="n">
        <v>0.613291684887379</v>
      </c>
      <c r="C1038" s="0" t="n">
        <v>0.637688246895936</v>
      </c>
      <c r="D1038" s="0" t="n">
        <f aca="false">A1038/SUM($A1038:$C1038)</f>
        <v>0.320279898491861</v>
      </c>
      <c r="E1038" s="0" t="n">
        <f aca="false">B1038/SUM($A1038:$C1038)</f>
        <v>0.333232113253399</v>
      </c>
      <c r="F1038" s="0" t="n">
        <f aca="false">C1038/SUM($A1038:$C1038)</f>
        <v>0.34648798825474</v>
      </c>
      <c r="G1038" s="0" t="n">
        <f aca="false">SUMPRODUCT(D1038:F1038,Stats!$B$6:$D$6)</f>
        <v>0.366103175949205</v>
      </c>
      <c r="H1038" s="0" t="n">
        <f aca="false">SQRT(SUMPRODUCT(MMULT(D1038:F1038,Stats!$B$12:$D$14),D1038:F1038))</f>
        <v>0.226701441292199</v>
      </c>
      <c r="I1038" s="0" t="n">
        <f aca="false">(G1038-Stats!$B$2)/H1038</f>
        <v>1.42964761980257</v>
      </c>
    </row>
    <row r="1039" customFormat="false" ht="15" hidden="false" customHeight="false" outlineLevel="0" collapsed="false">
      <c r="A1039" s="0" t="n">
        <v>0.242022079980877</v>
      </c>
      <c r="B1039" s="0" t="n">
        <v>0.714052723378127</v>
      </c>
      <c r="C1039" s="0" t="n">
        <v>0.0913914863317764</v>
      </c>
      <c r="D1039" s="0" t="n">
        <f aca="false">A1039/SUM($A1039:$C1039)</f>
        <v>0.231054767454449</v>
      </c>
      <c r="E1039" s="0" t="n">
        <f aca="false">B1039/SUM($A1039:$C1039)</f>
        <v>0.6816951823709</v>
      </c>
      <c r="F1039" s="0" t="n">
        <f aca="false">C1039/SUM($A1039:$C1039)</f>
        <v>0.0872500501746513</v>
      </c>
      <c r="G1039" s="0" t="n">
        <f aca="false">SUMPRODUCT(D1039:F1039,Stats!$B$6:$D$6)</f>
        <v>0.393301676373707</v>
      </c>
      <c r="H1039" s="0" t="n">
        <f aca="false">SQRT(SUMPRODUCT(MMULT(D1039:F1039,Stats!$B$12:$D$14),D1039:F1039))</f>
        <v>0.236179357295226</v>
      </c>
      <c r="I1039" s="0" t="n">
        <f aca="false">(G1039-Stats!$B$2)/H1039</f>
        <v>1.48743599100651</v>
      </c>
    </row>
    <row r="1040" customFormat="false" ht="15" hidden="false" customHeight="false" outlineLevel="0" collapsed="false">
      <c r="A1040" s="0" t="n">
        <v>0.199270336466801</v>
      </c>
      <c r="B1040" s="0" t="n">
        <v>0.877470046654482</v>
      </c>
      <c r="C1040" s="0" t="n">
        <v>0.738723150726566</v>
      </c>
      <c r="D1040" s="0" t="n">
        <f aca="false">A1040/SUM($A1040:$C1040)</f>
        <v>0.109762786611555</v>
      </c>
      <c r="E1040" s="0" t="n">
        <f aca="false">B1040/SUM($A1040:$C1040)</f>
        <v>0.483331132955723</v>
      </c>
      <c r="F1040" s="0" t="n">
        <f aca="false">C1040/SUM($A1040:$C1040)</f>
        <v>0.406906080432722</v>
      </c>
      <c r="G1040" s="0" t="n">
        <f aca="false">SUMPRODUCT(D1040:F1040,Stats!$B$6:$D$6)</f>
        <v>0.37307367361973</v>
      </c>
      <c r="H1040" s="0" t="n">
        <f aca="false">SQRT(SUMPRODUCT(MMULT(D1040:F1040,Stats!$B$12:$D$14),D1040:F1040))</f>
        <v>0.236399399395985</v>
      </c>
      <c r="I1040" s="0" t="n">
        <f aca="false">(G1040-Stats!$B$2)/H1040</f>
        <v>1.40048441098262</v>
      </c>
    </row>
    <row r="1041" customFormat="false" ht="15" hidden="false" customHeight="false" outlineLevel="0" collapsed="false">
      <c r="A1041" s="0" t="n">
        <v>0.0137455540113453</v>
      </c>
      <c r="B1041" s="0" t="n">
        <v>0.2483762603698</v>
      </c>
      <c r="C1041" s="0" t="n">
        <v>0.214406482993165</v>
      </c>
      <c r="D1041" s="0" t="n">
        <f aca="false">A1041/SUM($A1041:$C1041)</f>
        <v>0.0288451999326877</v>
      </c>
      <c r="E1041" s="0" t="n">
        <f aca="false">B1041/SUM($A1041:$C1041)</f>
        <v>0.521220380276184</v>
      </c>
      <c r="F1041" s="0" t="n">
        <f aca="false">C1041/SUM($A1041:$C1041)</f>
        <v>0.449934419791129</v>
      </c>
      <c r="G1041" s="0" t="n">
        <f aca="false">SUMPRODUCT(D1041:F1041,Stats!$B$6:$D$6)</f>
        <v>0.374067281963217</v>
      </c>
      <c r="H1041" s="0" t="n">
        <f aca="false">SQRT(SUMPRODUCT(MMULT(D1041:F1041,Stats!$B$12:$D$14),D1041:F1041))</f>
        <v>0.24131757036411</v>
      </c>
      <c r="I1041" s="0" t="n">
        <f aca="false">(G1041-Stats!$B$2)/H1041</f>
        <v>1.37605927932301</v>
      </c>
    </row>
    <row r="1042" customFormat="false" ht="15" hidden="false" customHeight="false" outlineLevel="0" collapsed="false">
      <c r="A1042" s="0" t="n">
        <v>0.270806328036973</v>
      </c>
      <c r="B1042" s="0" t="n">
        <v>0.247559770279886</v>
      </c>
      <c r="C1042" s="0" t="n">
        <v>0.0625262957428457</v>
      </c>
      <c r="D1042" s="0" t="n">
        <f aca="false">A1042/SUM($A1042:$C1042)</f>
        <v>0.466190177055647</v>
      </c>
      <c r="E1042" s="0" t="n">
        <f aca="false">B1042/SUM($A1042:$C1042)</f>
        <v>0.426171478248761</v>
      </c>
      <c r="F1042" s="0" t="n">
        <f aca="false">C1042/SUM($A1042:$C1042)</f>
        <v>0.107638344695591</v>
      </c>
      <c r="G1042" s="0" t="n">
        <f aca="false">SUMPRODUCT(D1042:F1042,Stats!$B$6:$D$6)</f>
        <v>0.378036973776713</v>
      </c>
      <c r="H1042" s="0" t="n">
        <f aca="false">SQRT(SUMPRODUCT(MMULT(D1042:F1042,Stats!$B$12:$D$14),D1042:F1042))</f>
        <v>0.226537140143578</v>
      </c>
      <c r="I1042" s="0" t="n">
        <f aca="false">(G1042-Stats!$B$2)/H1042</f>
        <v>1.48336371494641</v>
      </c>
    </row>
    <row r="1043" customFormat="false" ht="15" hidden="false" customHeight="false" outlineLevel="0" collapsed="false">
      <c r="A1043" s="0" t="n">
        <v>0.45894051659682</v>
      </c>
      <c r="B1043" s="0" t="n">
        <v>0.732733474786165</v>
      </c>
      <c r="C1043" s="0" t="n">
        <v>0.606731724717436</v>
      </c>
      <c r="D1043" s="0" t="n">
        <f aca="false">A1043/SUM($A1043:$C1043)</f>
        <v>0.25519298147693</v>
      </c>
      <c r="E1043" s="0" t="n">
        <f aca="false">B1043/SUM($A1043:$C1043)</f>
        <v>0.407435023268826</v>
      </c>
      <c r="F1043" s="0" t="n">
        <f aca="false">C1043/SUM($A1043:$C1043)</f>
        <v>0.337371995254244</v>
      </c>
      <c r="G1043" s="0" t="n">
        <f aca="false">SUMPRODUCT(D1043:F1043,Stats!$B$6:$D$6)</f>
        <v>0.370624085353339</v>
      </c>
      <c r="H1043" s="0" t="n">
        <f aca="false">SQRT(SUMPRODUCT(MMULT(D1043:F1043,Stats!$B$12:$D$14),D1043:F1043))</f>
        <v>0.229356156251787</v>
      </c>
      <c r="I1043" s="0" t="n">
        <f aca="false">(G1043-Stats!$B$2)/H1043</f>
        <v>1.43281126926707</v>
      </c>
    </row>
    <row r="1044" customFormat="false" ht="15" hidden="false" customHeight="false" outlineLevel="0" collapsed="false">
      <c r="A1044" s="0" t="n">
        <v>0.67287166859808</v>
      </c>
      <c r="B1044" s="0" t="n">
        <v>0.0811491785362392</v>
      </c>
      <c r="C1044" s="0" t="n">
        <v>0.951490710176787</v>
      </c>
      <c r="D1044" s="0" t="n">
        <f aca="false">A1044/SUM($A1044:$C1044)</f>
        <v>0.394527768348239</v>
      </c>
      <c r="E1044" s="0" t="n">
        <f aca="false">B1044/SUM($A1044:$C1044)</f>
        <v>0.0475805503565031</v>
      </c>
      <c r="F1044" s="0" t="n">
        <f aca="false">C1044/SUM($A1044:$C1044)</f>
        <v>0.557891681295258</v>
      </c>
      <c r="G1044" s="0" t="n">
        <f aca="false">SUMPRODUCT(D1044:F1044,Stats!$B$6:$D$6)</f>
        <v>0.343837779206244</v>
      </c>
      <c r="H1044" s="0" t="n">
        <f aca="false">SQRT(SUMPRODUCT(MMULT(D1044:F1044,Stats!$B$12:$D$14),D1044:F1044))</f>
        <v>0.226459889532638</v>
      </c>
      <c r="I1044" s="0" t="n">
        <f aca="false">(G1044-Stats!$B$2)/H1044</f>
        <v>1.33285315924674</v>
      </c>
    </row>
    <row r="1045" customFormat="false" ht="15" hidden="false" customHeight="false" outlineLevel="0" collapsed="false">
      <c r="A1045" s="0" t="n">
        <v>0.838491833843025</v>
      </c>
      <c r="B1045" s="0" t="n">
        <v>0.805090318495663</v>
      </c>
      <c r="C1045" s="0" t="n">
        <v>0.822983805041768</v>
      </c>
      <c r="D1045" s="0" t="n">
        <f aca="false">A1045/SUM($A1045:$C1045)</f>
        <v>0.339943001051357</v>
      </c>
      <c r="E1045" s="0" t="n">
        <f aca="false">B1045/SUM($A1045:$C1045)</f>
        <v>0.326401293298755</v>
      </c>
      <c r="F1045" s="0" t="n">
        <f aca="false">C1045/SUM($A1045:$C1045)</f>
        <v>0.333655705649888</v>
      </c>
      <c r="G1045" s="0" t="n">
        <f aca="false">SUMPRODUCT(D1045:F1045,Stats!$B$6:$D$6)</f>
        <v>0.366063984667246</v>
      </c>
      <c r="H1045" s="0" t="n">
        <f aca="false">SQRT(SUMPRODUCT(MMULT(D1045:F1045,Stats!$B$12:$D$14),D1045:F1045))</f>
        <v>0.226081723905621</v>
      </c>
      <c r="I1045" s="0" t="n">
        <f aca="false">(G1045-Stats!$B$2)/H1045</f>
        <v>1.43339310700996</v>
      </c>
    </row>
    <row r="1046" customFormat="false" ht="15" hidden="false" customHeight="false" outlineLevel="0" collapsed="false">
      <c r="A1046" s="0" t="n">
        <v>0.932710508132761</v>
      </c>
      <c r="B1046" s="0" t="n">
        <v>0.544253966113698</v>
      </c>
      <c r="C1046" s="0" t="n">
        <v>0.200282017867626</v>
      </c>
      <c r="D1046" s="0" t="n">
        <f aca="false">A1046/SUM($A1046:$C1046)</f>
        <v>0.556096264036377</v>
      </c>
      <c r="E1046" s="0" t="n">
        <f aca="false">B1046/SUM($A1046:$C1046)</f>
        <v>0.324492535040388</v>
      </c>
      <c r="F1046" s="0" t="n">
        <f aca="false">C1046/SUM($A1046:$C1046)</f>
        <v>0.119411200923235</v>
      </c>
      <c r="G1046" s="0" t="n">
        <f aca="false">SUMPRODUCT(D1046:F1046,Stats!$B$6:$D$6)</f>
        <v>0.371861867002585</v>
      </c>
      <c r="H1046" s="0" t="n">
        <f aca="false">SQRT(SUMPRODUCT(MMULT(D1046:F1046,Stats!$B$12:$D$14),D1046:F1046))</f>
        <v>0.224516077102462</v>
      </c>
      <c r="I1046" s="0" t="n">
        <f aca="false">(G1046-Stats!$B$2)/H1046</f>
        <v>1.4692126784847</v>
      </c>
    </row>
    <row r="1047" customFormat="false" ht="15" hidden="false" customHeight="false" outlineLevel="0" collapsed="false">
      <c r="A1047" s="0" t="n">
        <v>0.616783607852541</v>
      </c>
      <c r="B1047" s="0" t="n">
        <v>0.742881493667939</v>
      </c>
      <c r="C1047" s="0" t="n">
        <v>0.737917393354025</v>
      </c>
      <c r="D1047" s="0" t="n">
        <f aca="false">A1047/SUM($A1047:$C1047)</f>
        <v>0.294044982430806</v>
      </c>
      <c r="E1047" s="0" t="n">
        <f aca="false">B1047/SUM($A1047:$C1047)</f>
        <v>0.354160799626803</v>
      </c>
      <c r="F1047" s="0" t="n">
        <f aca="false">C1047/SUM($A1047:$C1047)</f>
        <v>0.351794217942391</v>
      </c>
      <c r="G1047" s="0" t="n">
        <f aca="false">SUMPRODUCT(D1047:F1047,Stats!$B$6:$D$6)</f>
        <v>0.367161068232909</v>
      </c>
      <c r="H1047" s="0" t="n">
        <f aca="false">SQRT(SUMPRODUCT(MMULT(D1047:F1047,Stats!$B$12:$D$14),D1047:F1047))</f>
        <v>0.22765976206044</v>
      </c>
      <c r="I1047" s="0" t="n">
        <f aca="false">(G1047-Stats!$B$2)/H1047</f>
        <v>1.42827641252908</v>
      </c>
    </row>
    <row r="1048" customFormat="false" ht="15" hidden="false" customHeight="false" outlineLevel="0" collapsed="false">
      <c r="A1048" s="0" t="n">
        <v>0.52144902416688</v>
      </c>
      <c r="B1048" s="0" t="n">
        <v>0.0684587193335781</v>
      </c>
      <c r="C1048" s="0" t="n">
        <v>0.371112938430128</v>
      </c>
      <c r="D1048" s="0" t="n">
        <f aca="false">A1048/SUM($A1048:$C1048)</f>
        <v>0.542599169790338</v>
      </c>
      <c r="E1048" s="0" t="n">
        <f aca="false">B1048/SUM($A1048:$C1048)</f>
        <v>0.0712354277288309</v>
      </c>
      <c r="F1048" s="0" t="n">
        <f aca="false">C1048/SUM($A1048:$C1048)</f>
        <v>0.386165402480831</v>
      </c>
      <c r="G1048" s="0" t="n">
        <f aca="false">SUMPRODUCT(D1048:F1048,Stats!$B$6:$D$6)</f>
        <v>0.349934136323248</v>
      </c>
      <c r="H1048" s="0" t="n">
        <f aca="false">SQRT(SUMPRODUCT(MMULT(D1048:F1048,Stats!$B$12:$D$14),D1048:F1048))</f>
        <v>0.221768737844475</v>
      </c>
      <c r="I1048" s="0" t="n">
        <f aca="false">(G1048-Stats!$B$2)/H1048</f>
        <v>1.38853717307621</v>
      </c>
    </row>
    <row r="1049" customFormat="false" ht="15" hidden="false" customHeight="false" outlineLevel="0" collapsed="false">
      <c r="A1049" s="0" t="n">
        <v>0.920766608463357</v>
      </c>
      <c r="B1049" s="0" t="n">
        <v>0.584448909757426</v>
      </c>
      <c r="C1049" s="0" t="n">
        <v>0.538331943255713</v>
      </c>
      <c r="D1049" s="0" t="n">
        <f aca="false">A1049/SUM($A1049:$C1049)</f>
        <v>0.450572656530369</v>
      </c>
      <c r="E1049" s="0" t="n">
        <f aca="false">B1049/SUM($A1049:$C1049)</f>
        <v>0.285997228239148</v>
      </c>
      <c r="F1049" s="0" t="n">
        <f aca="false">C1049/SUM($A1049:$C1049)</f>
        <v>0.263430115230482</v>
      </c>
      <c r="G1049" s="0" t="n">
        <f aca="false">SUMPRODUCT(D1049:F1049,Stats!$B$6:$D$6)</f>
        <v>0.365675630703307</v>
      </c>
      <c r="H1049" s="0" t="n">
        <f aca="false">SQRT(SUMPRODUCT(MMULT(D1049:F1049,Stats!$B$12:$D$14),D1049:F1049))</f>
        <v>0.223576283130311</v>
      </c>
      <c r="I1049" s="0" t="n">
        <f aca="false">(G1049-Stats!$B$2)/H1049</f>
        <v>1.4477189895614</v>
      </c>
    </row>
    <row r="1050" customFormat="false" ht="15" hidden="false" customHeight="false" outlineLevel="0" collapsed="false">
      <c r="A1050" s="0" t="n">
        <v>0.268853514382194</v>
      </c>
      <c r="B1050" s="0" t="n">
        <v>0.368448919916579</v>
      </c>
      <c r="C1050" s="0" t="n">
        <v>0.895346089153169</v>
      </c>
      <c r="D1050" s="0" t="n">
        <f aca="false">A1050/SUM($A1050:$C1050)</f>
        <v>0.175417592662838</v>
      </c>
      <c r="E1050" s="0" t="n">
        <f aca="false">B1050/SUM($A1050:$C1050)</f>
        <v>0.240400140200919</v>
      </c>
      <c r="F1050" s="0" t="n">
        <f aca="false">C1050/SUM($A1050:$C1050)</f>
        <v>0.584182267136242</v>
      </c>
      <c r="G1050" s="0" t="n">
        <f aca="false">SUMPRODUCT(D1050:F1050,Stats!$B$6:$D$6)</f>
        <v>0.354207416051706</v>
      </c>
      <c r="H1050" s="0" t="n">
        <f aca="false">SQRT(SUMPRODUCT(MMULT(D1050:F1050,Stats!$B$12:$D$14),D1050:F1050))</f>
        <v>0.234512570912974</v>
      </c>
      <c r="I1050" s="0" t="n">
        <f aca="false">(G1050-Stats!$B$2)/H1050</f>
        <v>1.33130354094137</v>
      </c>
    </row>
    <row r="1051" customFormat="false" ht="15" hidden="false" customHeight="false" outlineLevel="0" collapsed="false">
      <c r="A1051" s="0" t="n">
        <v>0.666463047526836</v>
      </c>
      <c r="B1051" s="0" t="n">
        <v>0.787387026752333</v>
      </c>
      <c r="C1051" s="0" t="n">
        <v>0.454345423067655</v>
      </c>
      <c r="D1051" s="0" t="n">
        <f aca="false">A1051/SUM($A1051:$C1051)</f>
        <v>0.349263504946686</v>
      </c>
      <c r="E1051" s="0" t="n">
        <f aca="false">B1051/SUM($A1051:$C1051)</f>
        <v>0.412634359449608</v>
      </c>
      <c r="F1051" s="0" t="n">
        <f aca="false">C1051/SUM($A1051:$C1051)</f>
        <v>0.238102135603706</v>
      </c>
      <c r="G1051" s="0" t="n">
        <f aca="false">SUMPRODUCT(D1051:F1051,Stats!$B$6:$D$6)</f>
        <v>0.37366057662648</v>
      </c>
      <c r="H1051" s="0" t="n">
        <f aca="false">SQRT(SUMPRODUCT(MMULT(D1051:F1051,Stats!$B$12:$D$14),D1051:F1051))</f>
        <v>0.226880582745176</v>
      </c>
      <c r="I1051" s="0" t="n">
        <f aca="false">(G1051-Stats!$B$2)/H1051</f>
        <v>1.46182882912897</v>
      </c>
    </row>
    <row r="1052" customFormat="false" ht="15" hidden="false" customHeight="false" outlineLevel="0" collapsed="false">
      <c r="A1052" s="0" t="n">
        <v>0.630247219456158</v>
      </c>
      <c r="B1052" s="0" t="n">
        <v>0.248383608743208</v>
      </c>
      <c r="C1052" s="0" t="n">
        <v>0.705460830283486</v>
      </c>
      <c r="D1052" s="0" t="n">
        <f aca="false">A1052/SUM($A1052:$C1052)</f>
        <v>0.397860323347559</v>
      </c>
      <c r="E1052" s="0" t="n">
        <f aca="false">B1052/SUM($A1052:$C1052)</f>
        <v>0.156798760610288</v>
      </c>
      <c r="F1052" s="0" t="n">
        <f aca="false">C1052/SUM($A1052:$C1052)</f>
        <v>0.445340916042153</v>
      </c>
      <c r="G1052" s="0" t="n">
        <f aca="false">SUMPRODUCT(D1052:F1052,Stats!$B$6:$D$6)</f>
        <v>0.353225597728438</v>
      </c>
      <c r="H1052" s="0" t="n">
        <f aca="false">SQRT(SUMPRODUCT(MMULT(D1052:F1052,Stats!$B$12:$D$14),D1052:F1052))</f>
        <v>0.224568205991703</v>
      </c>
      <c r="I1052" s="0" t="n">
        <f aca="false">(G1052-Stats!$B$2)/H1052</f>
        <v>1.38588450824574</v>
      </c>
    </row>
    <row r="1053" customFormat="false" ht="15" hidden="false" customHeight="false" outlineLevel="0" collapsed="false">
      <c r="A1053" s="0" t="n">
        <v>0.427601333703337</v>
      </c>
      <c r="B1053" s="0" t="n">
        <v>0.442545514814746</v>
      </c>
      <c r="C1053" s="0" t="n">
        <v>0.649322324576882</v>
      </c>
      <c r="D1053" s="0" t="n">
        <f aca="false">A1053/SUM($A1053:$C1053)</f>
        <v>0.281414944952367</v>
      </c>
      <c r="E1053" s="0" t="n">
        <f aca="false">B1053/SUM($A1053:$C1053)</f>
        <v>0.291250077757969</v>
      </c>
      <c r="F1053" s="0" t="n">
        <f aca="false">C1053/SUM($A1053:$C1053)</f>
        <v>0.427334977289664</v>
      </c>
      <c r="G1053" s="0" t="n">
        <f aca="false">SUMPRODUCT(D1053:F1053,Stats!$B$6:$D$6)</f>
        <v>0.361458259335832</v>
      </c>
      <c r="H1053" s="0" t="n">
        <f aca="false">SQRT(SUMPRODUCT(MMULT(D1053:F1053,Stats!$B$12:$D$14),D1053:F1053))</f>
        <v>0.228117234459641</v>
      </c>
      <c r="I1053" s="0" t="n">
        <f aca="false">(G1053-Stats!$B$2)/H1053</f>
        <v>1.40041264349254</v>
      </c>
    </row>
    <row r="1054" customFormat="false" ht="15" hidden="false" customHeight="false" outlineLevel="0" collapsed="false">
      <c r="A1054" s="0" t="n">
        <v>0.936280621468927</v>
      </c>
      <c r="B1054" s="0" t="n">
        <v>0.0640063466086209</v>
      </c>
      <c r="C1054" s="0" t="n">
        <v>0.824743237347008</v>
      </c>
      <c r="D1054" s="0" t="n">
        <f aca="false">A1054/SUM($A1054:$C1054)</f>
        <v>0.513021986532612</v>
      </c>
      <c r="E1054" s="0" t="n">
        <f aca="false">B1054/SUM($A1054:$C1054)</f>
        <v>0.0350713902807604</v>
      </c>
      <c r="F1054" s="0" t="n">
        <f aca="false">C1054/SUM($A1054:$C1054)</f>
        <v>0.451906623186627</v>
      </c>
      <c r="G1054" s="0" t="n">
        <f aca="false">SUMPRODUCT(D1054:F1054,Stats!$B$6:$D$6)</f>
        <v>0.346040515539124</v>
      </c>
      <c r="H1054" s="0" t="n">
        <f aca="false">SQRT(SUMPRODUCT(MMULT(D1054:F1054,Stats!$B$12:$D$14),D1054:F1054))</f>
        <v>0.222654998503258</v>
      </c>
      <c r="I1054" s="0" t="n">
        <f aca="false">(G1054-Stats!$B$2)/H1054</f>
        <v>1.36552297313314</v>
      </c>
    </row>
    <row r="1055" customFormat="false" ht="15" hidden="false" customHeight="false" outlineLevel="0" collapsed="false">
      <c r="A1055" s="0" t="n">
        <v>0.292383110412193</v>
      </c>
      <c r="B1055" s="0" t="n">
        <v>0.443919454506378</v>
      </c>
      <c r="C1055" s="0" t="n">
        <v>0.021913328775009</v>
      </c>
      <c r="D1055" s="0" t="n">
        <f aca="false">A1055/SUM($A1055:$C1055)</f>
        <v>0.385619864795864</v>
      </c>
      <c r="E1055" s="0" t="n">
        <f aca="false">B1055/SUM($A1055:$C1055)</f>
        <v>0.585478962124975</v>
      </c>
      <c r="F1055" s="0" t="n">
        <f aca="false">C1055/SUM($A1055:$C1055)</f>
        <v>0.0289011730791611</v>
      </c>
      <c r="G1055" s="0" t="n">
        <f aca="false">SUMPRODUCT(D1055:F1055,Stats!$B$6:$D$6)</f>
        <v>0.389374467434723</v>
      </c>
      <c r="H1055" s="0" t="n">
        <f aca="false">SQRT(SUMPRODUCT(MMULT(D1055:F1055,Stats!$B$12:$D$14),D1055:F1055))</f>
        <v>0.231774681571116</v>
      </c>
      <c r="I1055" s="0" t="n">
        <f aca="false">(G1055-Stats!$B$2)/H1055</f>
        <v>1.49875933419474</v>
      </c>
    </row>
    <row r="1056" customFormat="false" ht="15" hidden="false" customHeight="false" outlineLevel="0" collapsed="false">
      <c r="A1056" s="0" t="n">
        <v>0.301046077834313</v>
      </c>
      <c r="B1056" s="0" t="n">
        <v>0.502631242630131</v>
      </c>
      <c r="C1056" s="0" t="n">
        <v>0.056176077347439</v>
      </c>
      <c r="D1056" s="0" t="n">
        <f aca="false">A1056/SUM($A1056:$C1056)</f>
        <v>0.350113261865804</v>
      </c>
      <c r="E1056" s="0" t="n">
        <f aca="false">B1056/SUM($A1056:$C1056)</f>
        <v>0.584554580942757</v>
      </c>
      <c r="F1056" s="0" t="n">
        <f aca="false">C1056/SUM($A1056:$C1056)</f>
        <v>0.0653321571914392</v>
      </c>
      <c r="G1056" s="0" t="n">
        <f aca="false">SUMPRODUCT(D1056:F1056,Stats!$B$6:$D$6)</f>
        <v>0.388316709363099</v>
      </c>
      <c r="H1056" s="0" t="n">
        <f aca="false">SQRT(SUMPRODUCT(MMULT(D1056:F1056,Stats!$B$12:$D$14),D1056:F1056))</f>
        <v>0.231644191482834</v>
      </c>
      <c r="I1056" s="0" t="n">
        <f aca="false">(G1056-Stats!$B$2)/H1056</f>
        <v>1.49503731194901</v>
      </c>
    </row>
    <row r="1057" customFormat="false" ht="15" hidden="false" customHeight="false" outlineLevel="0" collapsed="false">
      <c r="A1057" s="0" t="n">
        <v>0.491095729383165</v>
      </c>
      <c r="B1057" s="0" t="n">
        <v>0.927110628858427</v>
      </c>
      <c r="C1057" s="0" t="n">
        <v>0.105393218107805</v>
      </c>
      <c r="D1057" s="0" t="n">
        <f aca="false">A1057/SUM($A1057:$C1057)</f>
        <v>0.322325981843503</v>
      </c>
      <c r="E1057" s="0" t="n">
        <f aca="false">B1057/SUM($A1057:$C1057)</f>
        <v>0.608500188139865</v>
      </c>
      <c r="F1057" s="0" t="n">
        <f aca="false">C1057/SUM($A1057:$C1057)</f>
        <v>0.0691738300166316</v>
      </c>
      <c r="G1057" s="0" t="n">
        <f aca="false">SUMPRODUCT(D1057:F1057,Stats!$B$6:$D$6)</f>
        <v>0.389588575958458</v>
      </c>
      <c r="H1057" s="0" t="n">
        <f aca="false">SQRT(SUMPRODUCT(MMULT(D1057:F1057,Stats!$B$12:$D$14),D1057:F1057))</f>
        <v>0.232614209871108</v>
      </c>
      <c r="I1057" s="0" t="n">
        <f aca="false">(G1057-Stats!$B$2)/H1057</f>
        <v>1.49427060432403</v>
      </c>
    </row>
    <row r="1058" customFormat="false" ht="15" hidden="false" customHeight="false" outlineLevel="0" collapsed="false">
      <c r="A1058" s="0" t="n">
        <v>0.764440728075504</v>
      </c>
      <c r="B1058" s="0" t="n">
        <v>0.409671053375993</v>
      </c>
      <c r="C1058" s="0" t="n">
        <v>0.655173714524338</v>
      </c>
      <c r="D1058" s="0" t="n">
        <f aca="false">A1058/SUM($A1058:$C1058)</f>
        <v>0.417890334645502</v>
      </c>
      <c r="E1058" s="0" t="n">
        <f aca="false">B1058/SUM($A1058:$C1058)</f>
        <v>0.223951403035344</v>
      </c>
      <c r="F1058" s="0" t="n">
        <f aca="false">C1058/SUM($A1058:$C1058)</f>
        <v>0.358158262319155</v>
      </c>
      <c r="G1058" s="0" t="n">
        <f aca="false">SUMPRODUCT(D1058:F1058,Stats!$B$6:$D$6)</f>
        <v>0.359493502003811</v>
      </c>
      <c r="H1058" s="0" t="n">
        <f aca="false">SQRT(SUMPRODUCT(MMULT(D1058:F1058,Stats!$B$12:$D$14),D1058:F1058))</f>
        <v>0.223722754984285</v>
      </c>
      <c r="I1058" s="0" t="n">
        <f aca="false">(G1058-Stats!$B$2)/H1058</f>
        <v>1.41913817405884</v>
      </c>
    </row>
    <row r="1059" customFormat="false" ht="15" hidden="false" customHeight="false" outlineLevel="0" collapsed="false">
      <c r="A1059" s="0" t="n">
        <v>0.260236597985229</v>
      </c>
      <c r="B1059" s="0" t="n">
        <v>0.159492262541358</v>
      </c>
      <c r="C1059" s="0" t="n">
        <v>0.160462614271226</v>
      </c>
      <c r="D1059" s="0" t="n">
        <f aca="false">A1059/SUM($A1059:$C1059)</f>
        <v>0.448535714999806</v>
      </c>
      <c r="E1059" s="0" t="n">
        <f aca="false">B1059/SUM($A1059:$C1059)</f>
        <v>0.27489590845322</v>
      </c>
      <c r="F1059" s="0" t="n">
        <f aca="false">C1059/SUM($A1059:$C1059)</f>
        <v>0.276568376546975</v>
      </c>
      <c r="G1059" s="0" t="n">
        <f aca="false">SUMPRODUCT(D1059:F1059,Stats!$B$6:$D$6)</f>
        <v>0.364674592628421</v>
      </c>
      <c r="H1059" s="0" t="n">
        <f aca="false">SQRT(SUMPRODUCT(MMULT(D1059:F1059,Stats!$B$12:$D$14),D1059:F1059))</f>
        <v>0.223474895259714</v>
      </c>
      <c r="I1059" s="0" t="n">
        <f aca="false">(G1059-Stats!$B$2)/H1059</f>
        <v>1.44389638153055</v>
      </c>
    </row>
    <row r="1060" customFormat="false" ht="15" hidden="false" customHeight="false" outlineLevel="0" collapsed="false">
      <c r="A1060" s="0" t="n">
        <v>0.0704919456431447</v>
      </c>
      <c r="B1060" s="0" t="n">
        <v>0.185646704901243</v>
      </c>
      <c r="C1060" s="0" t="n">
        <v>0.664219384988968</v>
      </c>
      <c r="D1060" s="0" t="n">
        <f aca="false">A1060/SUM($A1060:$C1060)</f>
        <v>0.0765918728598854</v>
      </c>
      <c r="E1060" s="0" t="n">
        <f aca="false">B1060/SUM($A1060:$C1060)</f>
        <v>0.201711396797507</v>
      </c>
      <c r="F1060" s="0" t="n">
        <f aca="false">C1060/SUM($A1060:$C1060)</f>
        <v>0.721696730342607</v>
      </c>
      <c r="G1060" s="0" t="n">
        <f aca="false">SUMPRODUCT(D1060:F1060,Stats!$B$6:$D$6)</f>
        <v>0.348189407398062</v>
      </c>
      <c r="H1060" s="0" t="n">
        <f aca="false">SQRT(SUMPRODUCT(MMULT(D1060:F1060,Stats!$B$12:$D$14),D1060:F1060))</f>
        <v>0.24303748046915</v>
      </c>
      <c r="I1060" s="0" t="n">
        <f aca="false">(G1060-Stats!$B$2)/H1060</f>
        <v>1.25984439439961</v>
      </c>
    </row>
    <row r="1061" customFormat="false" ht="15" hidden="false" customHeight="false" outlineLevel="0" collapsed="false">
      <c r="A1061" s="0" t="n">
        <v>0.881690611843508</v>
      </c>
      <c r="B1061" s="0" t="n">
        <v>0.814125685591162</v>
      </c>
      <c r="C1061" s="0" t="n">
        <v>0.685134309874484</v>
      </c>
      <c r="D1061" s="0" t="n">
        <f aca="false">A1061/SUM($A1061:$C1061)</f>
        <v>0.370310332829607</v>
      </c>
      <c r="E1061" s="0" t="n">
        <f aca="false">B1061/SUM($A1061:$C1061)</f>
        <v>0.341933042664523</v>
      </c>
      <c r="F1061" s="0" t="n">
        <f aca="false">C1061/SUM($A1061:$C1061)</f>
        <v>0.28775662450587</v>
      </c>
      <c r="G1061" s="0" t="n">
        <f aca="false">SUMPRODUCT(D1061:F1061,Stats!$B$6:$D$6)</f>
        <v>0.368223310932234</v>
      </c>
      <c r="H1061" s="0" t="n">
        <f aca="false">SQRT(SUMPRODUCT(MMULT(D1061:F1061,Stats!$B$12:$D$14),D1061:F1061))</f>
        <v>0.225472413194421</v>
      </c>
      <c r="I1061" s="0" t="n">
        <f aca="false">(G1061-Stats!$B$2)/H1061</f>
        <v>1.4468435686229</v>
      </c>
    </row>
    <row r="1062" customFormat="false" ht="15" hidden="false" customHeight="false" outlineLevel="0" collapsed="false">
      <c r="A1062" s="0" t="n">
        <v>0.110431863411103</v>
      </c>
      <c r="B1062" s="0" t="n">
        <v>0.28918744629595</v>
      </c>
      <c r="C1062" s="0" t="n">
        <v>0.309806875322469</v>
      </c>
      <c r="D1062" s="0" t="n">
        <f aca="false">A1062/SUM($A1062:$C1062)</f>
        <v>0.155663641604246</v>
      </c>
      <c r="E1062" s="0" t="n">
        <f aca="false">B1062/SUM($A1062:$C1062)</f>
        <v>0.407635709533214</v>
      </c>
      <c r="F1062" s="0" t="n">
        <f aca="false">C1062/SUM($A1062:$C1062)</f>
        <v>0.436700648862541</v>
      </c>
      <c r="G1062" s="0" t="n">
        <f aca="false">SUMPRODUCT(D1062:F1062,Stats!$B$6:$D$6)</f>
        <v>0.367896683161809</v>
      </c>
      <c r="H1062" s="0" t="n">
        <f aca="false">SQRT(SUMPRODUCT(MMULT(D1062:F1062,Stats!$B$12:$D$14),D1062:F1062))</f>
        <v>0.233864009223451</v>
      </c>
      <c r="I1062" s="0" t="n">
        <f aca="false">(G1062-Stats!$B$2)/H1062</f>
        <v>1.39353072858006</v>
      </c>
    </row>
    <row r="1063" customFormat="false" ht="15" hidden="false" customHeight="false" outlineLevel="0" collapsed="false">
      <c r="A1063" s="0" t="n">
        <v>0.249956946397621</v>
      </c>
      <c r="B1063" s="0" t="n">
        <v>0.515005659709723</v>
      </c>
      <c r="C1063" s="0" t="n">
        <v>0.535553814879673</v>
      </c>
      <c r="D1063" s="0" t="n">
        <f aca="false">A1063/SUM($A1063:$C1063)</f>
        <v>0.192198224000831</v>
      </c>
      <c r="E1063" s="0" t="n">
        <f aca="false">B1063/SUM($A1063:$C1063)</f>
        <v>0.396000889645718</v>
      </c>
      <c r="F1063" s="0" t="n">
        <f aca="false">C1063/SUM($A1063:$C1063)</f>
        <v>0.411800886353452</v>
      </c>
      <c r="G1063" s="0" t="n">
        <f aca="false">SUMPRODUCT(D1063:F1063,Stats!$B$6:$D$6)</f>
        <v>0.367913832058371</v>
      </c>
      <c r="H1063" s="0" t="n">
        <f aca="false">SQRT(SUMPRODUCT(MMULT(D1063:F1063,Stats!$B$12:$D$14),D1063:F1063))</f>
        <v>0.231992069805494</v>
      </c>
      <c r="I1063" s="0" t="n">
        <f aca="false">(G1063-Stats!$B$2)/H1063</f>
        <v>1.40484902062223</v>
      </c>
    </row>
    <row r="1064" customFormat="false" ht="15" hidden="false" customHeight="false" outlineLevel="0" collapsed="false">
      <c r="A1064" s="0" t="n">
        <v>0.35688597517111</v>
      </c>
      <c r="B1064" s="0" t="n">
        <v>0.353789158736436</v>
      </c>
      <c r="C1064" s="0" t="n">
        <v>0.828555597906081</v>
      </c>
      <c r="D1064" s="0" t="n">
        <f aca="false">A1064/SUM($A1064:$C1064)</f>
        <v>0.23185995952056</v>
      </c>
      <c r="E1064" s="0" t="n">
        <f aca="false">B1064/SUM($A1064:$C1064)</f>
        <v>0.229848034751474</v>
      </c>
      <c r="F1064" s="0" t="n">
        <f aca="false">C1064/SUM($A1064:$C1064)</f>
        <v>0.538292005727965</v>
      </c>
      <c r="G1064" s="0" t="n">
        <f aca="false">SUMPRODUCT(D1064:F1064,Stats!$B$6:$D$6)</f>
        <v>0.354865667869479</v>
      </c>
      <c r="H1064" s="0" t="n">
        <f aca="false">SQRT(SUMPRODUCT(MMULT(D1064:F1064,Stats!$B$12:$D$14),D1064:F1064))</f>
        <v>0.231215896046175</v>
      </c>
      <c r="I1064" s="0" t="n">
        <f aca="false">(G1064-Stats!$B$2)/H1064</f>
        <v>1.35313217308813</v>
      </c>
    </row>
    <row r="1065" customFormat="false" ht="15" hidden="false" customHeight="false" outlineLevel="0" collapsed="false">
      <c r="A1065" s="0" t="n">
        <v>0.789292848319686</v>
      </c>
      <c r="B1065" s="0" t="n">
        <v>0.307795831680746</v>
      </c>
      <c r="C1065" s="0" t="n">
        <v>0.913788443873259</v>
      </c>
      <c r="D1065" s="0" t="n">
        <f aca="false">A1065/SUM($A1065:$C1065)</f>
        <v>0.392511724833398</v>
      </c>
      <c r="E1065" s="0" t="n">
        <f aca="false">B1065/SUM($A1065:$C1065)</f>
        <v>0.153065459856551</v>
      </c>
      <c r="F1065" s="0" t="n">
        <f aca="false">C1065/SUM($A1065:$C1065)</f>
        <v>0.45442281531005</v>
      </c>
      <c r="G1065" s="0" t="n">
        <f aca="false">SUMPRODUCT(D1065:F1065,Stats!$B$6:$D$6)</f>
        <v>0.352760358555754</v>
      </c>
      <c r="H1065" s="0" t="n">
        <f aca="false">SQRT(SUMPRODUCT(MMULT(D1065:F1065,Stats!$B$12:$D$14),D1065:F1065))</f>
        <v>0.224788116438757</v>
      </c>
      <c r="I1065" s="0" t="n">
        <f aca="false">(G1065-Stats!$B$2)/H1065</f>
        <v>1.38245901731384</v>
      </c>
    </row>
    <row r="1066" customFormat="false" ht="15" hidden="false" customHeight="false" outlineLevel="0" collapsed="false">
      <c r="A1066" s="0" t="n">
        <v>0.952815017002506</v>
      </c>
      <c r="B1066" s="0" t="n">
        <v>0.326742542030041</v>
      </c>
      <c r="C1066" s="0" t="n">
        <v>0.354424948793055</v>
      </c>
      <c r="D1066" s="0" t="n">
        <f aca="false">A1066/SUM($A1066:$C1066)</f>
        <v>0.583124367879832</v>
      </c>
      <c r="E1066" s="0" t="n">
        <f aca="false">B1066/SUM($A1066:$C1066)</f>
        <v>0.199966976675196</v>
      </c>
      <c r="F1066" s="0" t="n">
        <f aca="false">C1066/SUM($A1066:$C1066)</f>
        <v>0.216908655444972</v>
      </c>
      <c r="G1066" s="0" t="n">
        <f aca="false">SUMPRODUCT(D1066:F1066,Stats!$B$6:$D$6)</f>
        <v>0.362008372735584</v>
      </c>
      <c r="H1066" s="0" t="n">
        <f aca="false">SQRT(SUMPRODUCT(MMULT(D1066:F1066,Stats!$B$12:$D$14),D1066:F1066))</f>
        <v>0.222205787417871</v>
      </c>
      <c r="I1066" s="0" t="n">
        <f aca="false">(G1066-Stats!$B$2)/H1066</f>
        <v>1.4401441855058</v>
      </c>
    </row>
    <row r="1067" customFormat="false" ht="15" hidden="false" customHeight="false" outlineLevel="0" collapsed="false">
      <c r="A1067" s="0" t="n">
        <v>0.505634153421959</v>
      </c>
      <c r="B1067" s="0" t="n">
        <v>0.941120812533674</v>
      </c>
      <c r="C1067" s="0" t="n">
        <v>0.876319433142312</v>
      </c>
      <c r="D1067" s="0" t="n">
        <f aca="false">A1067/SUM($A1067:$C1067)</f>
        <v>0.217657322390664</v>
      </c>
      <c r="E1067" s="0" t="n">
        <f aca="false">B1067/SUM($A1067:$C1067)</f>
        <v>0.405118670714598</v>
      </c>
      <c r="F1067" s="0" t="n">
        <f aca="false">C1067/SUM($A1067:$C1067)</f>
        <v>0.377224006894738</v>
      </c>
      <c r="G1067" s="0" t="n">
        <f aca="false">SUMPRODUCT(D1067:F1067,Stats!$B$6:$D$6)</f>
        <v>0.369391901532269</v>
      </c>
      <c r="H1067" s="0" t="n">
        <f aca="false">SQRT(SUMPRODUCT(MMULT(D1067:F1067,Stats!$B$12:$D$14),D1067:F1067))</f>
        <v>0.230835600348421</v>
      </c>
      <c r="I1067" s="0" t="n">
        <f aca="false">(G1067-Stats!$B$2)/H1067</f>
        <v>1.41829033753072</v>
      </c>
    </row>
    <row r="1068" customFormat="false" ht="15" hidden="false" customHeight="false" outlineLevel="0" collapsed="false">
      <c r="A1068" s="0" t="n">
        <v>0.10256796258359</v>
      </c>
      <c r="B1068" s="0" t="n">
        <v>0.392730743271416</v>
      </c>
      <c r="C1068" s="0" t="n">
        <v>0.553371189749772</v>
      </c>
      <c r="D1068" s="0" t="n">
        <f aca="false">A1068/SUM($A1068:$C1068)</f>
        <v>0.0978076733331206</v>
      </c>
      <c r="E1068" s="0" t="n">
        <f aca="false">B1068/SUM($A1068:$C1068)</f>
        <v>0.374503687878753</v>
      </c>
      <c r="F1068" s="0" t="n">
        <f aca="false">C1068/SUM($A1068:$C1068)</f>
        <v>0.527688638788126</v>
      </c>
      <c r="G1068" s="0" t="n">
        <f aca="false">SUMPRODUCT(D1068:F1068,Stats!$B$6:$D$6)</f>
        <v>0.363481350691371</v>
      </c>
      <c r="H1068" s="0" t="n">
        <f aca="false">SQRT(SUMPRODUCT(MMULT(D1068:F1068,Stats!$B$12:$D$14),D1068:F1068))</f>
        <v>0.237600621278573</v>
      </c>
      <c r="I1068" s="0" t="n">
        <f aca="false">(G1068-Stats!$B$2)/H1068</f>
        <v>1.35303244983713</v>
      </c>
    </row>
    <row r="1069" customFormat="false" ht="15" hidden="false" customHeight="false" outlineLevel="0" collapsed="false">
      <c r="A1069" s="0" t="n">
        <v>0.50313247255154</v>
      </c>
      <c r="B1069" s="0" t="n">
        <v>0.193863067936893</v>
      </c>
      <c r="C1069" s="0" t="n">
        <v>0.858816771168155</v>
      </c>
      <c r="D1069" s="0" t="n">
        <f aca="false">A1069/SUM($A1069:$C1069)</f>
        <v>0.323388926017572</v>
      </c>
      <c r="E1069" s="0" t="n">
        <f aca="false">B1069/SUM($A1069:$C1069)</f>
        <v>0.12460569085642</v>
      </c>
      <c r="F1069" s="0" t="n">
        <f aca="false">C1069/SUM($A1069:$C1069)</f>
        <v>0.552005383126008</v>
      </c>
      <c r="G1069" s="0" t="n">
        <f aca="false">SUMPRODUCT(D1069:F1069,Stats!$B$6:$D$6)</f>
        <v>0.348432018506949</v>
      </c>
      <c r="H1069" s="0" t="n">
        <f aca="false">SQRT(SUMPRODUCT(MMULT(D1069:F1069,Stats!$B$12:$D$14),D1069:F1069))</f>
        <v>0.228186349500052</v>
      </c>
      <c r="I1069" s="0" t="n">
        <f aca="false">(G1069-Stats!$B$2)/H1069</f>
        <v>1.34290249692118</v>
      </c>
    </row>
    <row r="1070" customFormat="false" ht="15" hidden="false" customHeight="false" outlineLevel="0" collapsed="false">
      <c r="A1070" s="0" t="n">
        <v>0.676940782996837</v>
      </c>
      <c r="B1070" s="0" t="n">
        <v>0.837908374851804</v>
      </c>
      <c r="C1070" s="0" t="n">
        <v>0.858764279349472</v>
      </c>
      <c r="D1070" s="0" t="n">
        <f aca="false">A1070/SUM($A1070:$C1070)</f>
        <v>0.285194199016635</v>
      </c>
      <c r="E1070" s="0" t="n">
        <f aca="false">B1070/SUM($A1070:$C1070)</f>
        <v>0.353009618887605</v>
      </c>
      <c r="F1070" s="0" t="n">
        <f aca="false">C1070/SUM($A1070:$C1070)</f>
        <v>0.36179618209576</v>
      </c>
      <c r="G1070" s="0" t="n">
        <f aca="false">SUMPRODUCT(D1070:F1070,Stats!$B$6:$D$6)</f>
        <v>0.366819030468548</v>
      </c>
      <c r="H1070" s="0" t="n">
        <f aca="false">SQRT(SUMPRODUCT(MMULT(D1070:F1070,Stats!$B$12:$D$14),D1070:F1070))</f>
        <v>0.227964271079506</v>
      </c>
      <c r="I1070" s="0" t="n">
        <f aca="false">(G1070-Stats!$B$2)/H1070</f>
        <v>1.42486815556839</v>
      </c>
    </row>
    <row r="1071" customFormat="false" ht="15" hidden="false" customHeight="false" outlineLevel="0" collapsed="false">
      <c r="A1071" s="0" t="n">
        <v>0.74835585366574</v>
      </c>
      <c r="B1071" s="0" t="n">
        <v>0.439210601249717</v>
      </c>
      <c r="C1071" s="0" t="n">
        <v>0.610546755015425</v>
      </c>
      <c r="D1071" s="0" t="n">
        <f aca="false">A1071/SUM($A1071:$C1071)</f>
        <v>0.416189508832153</v>
      </c>
      <c r="E1071" s="0" t="n">
        <f aca="false">B1071/SUM($A1071:$C1071)</f>
        <v>0.244261929017584</v>
      </c>
      <c r="F1071" s="0" t="n">
        <f aca="false">C1071/SUM($A1071:$C1071)</f>
        <v>0.339548562150263</v>
      </c>
      <c r="G1071" s="0" t="n">
        <f aca="false">SUMPRODUCT(D1071:F1071,Stats!$B$6:$D$6)</f>
        <v>0.36117529870592</v>
      </c>
      <c r="H1071" s="0" t="n">
        <f aca="false">SQRT(SUMPRODUCT(MMULT(D1071:F1071,Stats!$B$12:$D$14),D1071:F1071))</f>
        <v>0.223805678691138</v>
      </c>
      <c r="I1071" s="0" t="n">
        <f aca="false">(G1071-Stats!$B$2)/H1071</f>
        <v>1.42612689978433</v>
      </c>
    </row>
    <row r="1072" customFormat="false" ht="15" hidden="false" customHeight="false" outlineLevel="0" collapsed="false">
      <c r="A1072" s="0" t="n">
        <v>0.160365406119743</v>
      </c>
      <c r="B1072" s="0" t="n">
        <v>0.673645417474908</v>
      </c>
      <c r="C1072" s="0" t="n">
        <v>0.179253255739281</v>
      </c>
      <c r="D1072" s="0" t="n">
        <f aca="false">A1072/SUM($A1072:$C1072)</f>
        <v>0.158266151332592</v>
      </c>
      <c r="E1072" s="0" t="n">
        <f aca="false">B1072/SUM($A1072:$C1072)</f>
        <v>0.664827098102331</v>
      </c>
      <c r="F1072" s="0" t="n">
        <f aca="false">C1072/SUM($A1072:$C1072)</f>
        <v>0.176906750565077</v>
      </c>
      <c r="G1072" s="0" t="n">
        <f aca="false">SUMPRODUCT(D1072:F1072,Stats!$B$6:$D$6)</f>
        <v>0.389858859607341</v>
      </c>
      <c r="H1072" s="0" t="n">
        <f aca="false">SQRT(SUMPRODUCT(MMULT(D1072:F1072,Stats!$B$12:$D$14),D1072:F1072))</f>
        <v>0.237185893710129</v>
      </c>
      <c r="I1072" s="0" t="n">
        <f aca="false">(G1072-Stats!$B$2)/H1072</f>
        <v>1.46660854980047</v>
      </c>
    </row>
    <row r="1073" customFormat="false" ht="15" hidden="false" customHeight="false" outlineLevel="0" collapsed="false">
      <c r="A1073" s="0" t="n">
        <v>0.693949590510157</v>
      </c>
      <c r="B1073" s="0" t="n">
        <v>0.229598160753969</v>
      </c>
      <c r="C1073" s="0" t="n">
        <v>0.11755130015022</v>
      </c>
      <c r="D1073" s="0" t="n">
        <f aca="false">A1073/SUM($A1073:$C1073)</f>
        <v>0.666554819704636</v>
      </c>
      <c r="E1073" s="0" t="n">
        <f aca="false">B1073/SUM($A1073:$C1073)</f>
        <v>0.220534405868545</v>
      </c>
      <c r="F1073" s="0" t="n">
        <f aca="false">C1073/SUM($A1073:$C1073)</f>
        <v>0.112910774426819</v>
      </c>
      <c r="G1073" s="0" t="n">
        <f aca="false">SUMPRODUCT(D1073:F1073,Stats!$B$6:$D$6)</f>
        <v>0.366059497560855</v>
      </c>
      <c r="H1073" s="0" t="n">
        <f aca="false">SQRT(SUMPRODUCT(MMULT(D1073:F1073,Stats!$B$12:$D$14),D1073:F1073))</f>
        <v>0.223981206915351</v>
      </c>
      <c r="I1073" s="0" t="n">
        <f aca="false">(G1073-Stats!$B$2)/H1073</f>
        <v>1.44681557003721</v>
      </c>
    </row>
    <row r="1074" customFormat="false" ht="15" hidden="false" customHeight="false" outlineLevel="0" collapsed="false">
      <c r="A1074" s="0" t="n">
        <v>0.165284490142957</v>
      </c>
      <c r="B1074" s="0" t="n">
        <v>0.00199213521907027</v>
      </c>
      <c r="C1074" s="0" t="n">
        <v>0.71873961785353</v>
      </c>
      <c r="D1074" s="0" t="n">
        <f aca="false">A1074/SUM($A1074:$C1074)</f>
        <v>0.186547923256014</v>
      </c>
      <c r="E1074" s="0" t="n">
        <f aca="false">B1074/SUM($A1074:$C1074)</f>
        <v>0.00224841839449844</v>
      </c>
      <c r="F1074" s="0" t="n">
        <f aca="false">C1074/SUM($A1074:$C1074)</f>
        <v>0.811203658349488</v>
      </c>
      <c r="G1074" s="0" t="n">
        <f aca="false">SUMPRODUCT(D1074:F1074,Stats!$B$6:$D$6)</f>
        <v>0.334244446667019</v>
      </c>
      <c r="H1074" s="0" t="n">
        <f aca="false">SQRT(SUMPRODUCT(MMULT(D1074:F1074,Stats!$B$12:$D$14),D1074:F1074))</f>
        <v>0.241550467132778</v>
      </c>
      <c r="I1074" s="0" t="n">
        <f aca="false">(G1074-Stats!$B$2)/H1074</f>
        <v>1.20986910162494</v>
      </c>
    </row>
    <row r="1075" customFormat="false" ht="15" hidden="false" customHeight="false" outlineLevel="0" collapsed="false">
      <c r="A1075" s="0" t="n">
        <v>0.732401049058379</v>
      </c>
      <c r="B1075" s="0" t="n">
        <v>0.51493334991326</v>
      </c>
      <c r="C1075" s="0" t="n">
        <v>0.161362801055384</v>
      </c>
      <c r="D1075" s="0" t="n">
        <f aca="false">A1075/SUM($A1075:$C1075)</f>
        <v>0.519913753675616</v>
      </c>
      <c r="E1075" s="0" t="n">
        <f aca="false">B1075/SUM($A1075:$C1075)</f>
        <v>0.365538704771602</v>
      </c>
      <c r="F1075" s="0" t="n">
        <f aca="false">C1075/SUM($A1075:$C1075)</f>
        <v>0.114547541552783</v>
      </c>
      <c r="G1075" s="0" t="n">
        <f aca="false">SUMPRODUCT(D1075:F1075,Stats!$B$6:$D$6)</f>
        <v>0.37435772402038</v>
      </c>
      <c r="H1075" s="0" t="n">
        <f aca="false">SQRT(SUMPRODUCT(MMULT(D1075:F1075,Stats!$B$12:$D$14),D1075:F1075))</f>
        <v>0.225207403085786</v>
      </c>
      <c r="I1075" s="0" t="n">
        <f aca="false">(G1075-Stats!$B$2)/H1075</f>
        <v>1.47578507396481</v>
      </c>
    </row>
    <row r="1076" customFormat="false" ht="15" hidden="false" customHeight="false" outlineLevel="0" collapsed="false">
      <c r="A1076" s="0" t="n">
        <v>0.0835543375106898</v>
      </c>
      <c r="B1076" s="0" t="n">
        <v>0.019128966437287</v>
      </c>
      <c r="C1076" s="0" t="n">
        <v>0.165748176965221</v>
      </c>
      <c r="D1076" s="0" t="n">
        <f aca="false">A1076/SUM($A1076:$C1076)</f>
        <v>0.311268772300625</v>
      </c>
      <c r="E1076" s="0" t="n">
        <f aca="false">B1076/SUM($A1076:$C1076)</f>
        <v>0.0712620083613544</v>
      </c>
      <c r="F1076" s="0" t="n">
        <f aca="false">C1076/SUM($A1076:$C1076)</f>
        <v>0.61746921933802</v>
      </c>
      <c r="G1076" s="0" t="n">
        <f aca="false">SUMPRODUCT(D1076:F1076,Stats!$B$6:$D$6)</f>
        <v>0.343557551952729</v>
      </c>
      <c r="H1076" s="0" t="n">
        <f aca="false">SQRT(SUMPRODUCT(MMULT(D1076:F1076,Stats!$B$12:$D$14),D1076:F1076))</f>
        <v>0.230123333817424</v>
      </c>
      <c r="I1076" s="0" t="n">
        <f aca="false">(G1076-Stats!$B$2)/H1076</f>
        <v>1.31041710090981</v>
      </c>
    </row>
    <row r="1077" customFormat="false" ht="15" hidden="false" customHeight="false" outlineLevel="0" collapsed="false">
      <c r="A1077" s="0" t="n">
        <v>0.890855534983147</v>
      </c>
      <c r="B1077" s="0" t="n">
        <v>0.241536841701682</v>
      </c>
      <c r="C1077" s="0" t="n">
        <v>0.354271327217216</v>
      </c>
      <c r="D1077" s="0" t="n">
        <f aca="false">A1077/SUM($A1077:$C1077)</f>
        <v>0.599231374684752</v>
      </c>
      <c r="E1077" s="0" t="n">
        <f aca="false">B1077/SUM($A1077:$C1077)</f>
        <v>0.162469051385139</v>
      </c>
      <c r="F1077" s="0" t="n">
        <f aca="false">C1077/SUM($A1077:$C1077)</f>
        <v>0.23829957393011</v>
      </c>
      <c r="G1077" s="0" t="n">
        <f aca="false">SUMPRODUCT(D1077:F1077,Stats!$B$6:$D$6)</f>
        <v>0.359260944297162</v>
      </c>
      <c r="H1077" s="0" t="n">
        <f aca="false">SQRT(SUMPRODUCT(MMULT(D1077:F1077,Stats!$B$12:$D$14),D1077:F1077))</f>
        <v>0.221829753318538</v>
      </c>
      <c r="I1077" s="0" t="n">
        <f aca="false">(G1077-Stats!$B$2)/H1077</f>
        <v>1.43020014020206</v>
      </c>
    </row>
    <row r="1078" customFormat="false" ht="15" hidden="false" customHeight="false" outlineLevel="0" collapsed="false">
      <c r="A1078" s="0" t="n">
        <v>0.105345484481333</v>
      </c>
      <c r="B1078" s="0" t="n">
        <v>0.22236130474817</v>
      </c>
      <c r="C1078" s="0" t="n">
        <v>0.519224570780205</v>
      </c>
      <c r="D1078" s="0" t="n">
        <f aca="false">A1078/SUM($A1078:$C1078)</f>
        <v>0.12438491412117</v>
      </c>
      <c r="E1078" s="0" t="n">
        <f aca="false">B1078/SUM($A1078:$C1078)</f>
        <v>0.262549381505511</v>
      </c>
      <c r="F1078" s="0" t="n">
        <f aca="false">C1078/SUM($A1078:$C1078)</f>
        <v>0.613065704373319</v>
      </c>
      <c r="G1078" s="0" t="n">
        <f aca="false">SUMPRODUCT(D1078:F1078,Stats!$B$6:$D$6)</f>
        <v>0.354685405056512</v>
      </c>
      <c r="H1078" s="0" t="n">
        <f aca="false">SQRT(SUMPRODUCT(MMULT(D1078:F1078,Stats!$B$12:$D$14),D1078:F1078))</f>
        <v>0.237594004148244</v>
      </c>
      <c r="I1078" s="0" t="n">
        <f aca="false">(G1078-Stats!$B$2)/H1078</f>
        <v>1.31604922513708</v>
      </c>
    </row>
    <row r="1079" customFormat="false" ht="15" hidden="false" customHeight="false" outlineLevel="0" collapsed="false">
      <c r="A1079" s="0" t="n">
        <v>0.607752683095653</v>
      </c>
      <c r="B1079" s="0" t="n">
        <v>0.245352314166211</v>
      </c>
      <c r="C1079" s="0" t="n">
        <v>0.0577321592251172</v>
      </c>
      <c r="D1079" s="0" t="n">
        <f aca="false">A1079/SUM($A1079:$C1079)</f>
        <v>0.667246256663158</v>
      </c>
      <c r="E1079" s="0" t="n">
        <f aca="false">B1079/SUM($A1079:$C1079)</f>
        <v>0.269370120025092</v>
      </c>
      <c r="F1079" s="0" t="n">
        <f aca="false">C1079/SUM($A1079:$C1079)</f>
        <v>0.063383623311751</v>
      </c>
      <c r="G1079" s="0" t="n">
        <f aca="false">SUMPRODUCT(D1079:F1079,Stats!$B$6:$D$6)</f>
        <v>0.370235133489448</v>
      </c>
      <c r="H1079" s="0" t="n">
        <f aca="false">SQRT(SUMPRODUCT(MMULT(D1079:F1079,Stats!$B$12:$D$14),D1079:F1079))</f>
        <v>0.225376894593461</v>
      </c>
      <c r="I1079" s="0" t="n">
        <f aca="false">(G1079-Stats!$B$2)/H1079</f>
        <v>1.45638324674552</v>
      </c>
    </row>
    <row r="1080" customFormat="false" ht="15" hidden="false" customHeight="false" outlineLevel="0" collapsed="false">
      <c r="A1080" s="0" t="n">
        <v>0.391032869127399</v>
      </c>
      <c r="B1080" s="0" t="n">
        <v>0.234203370926334</v>
      </c>
      <c r="C1080" s="0" t="n">
        <v>0.219553923229802</v>
      </c>
      <c r="D1080" s="0" t="n">
        <f aca="false">A1080/SUM($A1080:$C1080)</f>
        <v>0.46287573662971</v>
      </c>
      <c r="E1080" s="0" t="n">
        <f aca="false">B1080/SUM($A1080:$C1080)</f>
        <v>0.277232597046385</v>
      </c>
      <c r="F1080" s="0" t="n">
        <f aca="false">C1080/SUM($A1080:$C1080)</f>
        <v>0.259891666323905</v>
      </c>
      <c r="G1080" s="0" t="n">
        <f aca="false">SUMPRODUCT(D1080:F1080,Stats!$B$6:$D$6)</f>
        <v>0.365268896535956</v>
      </c>
      <c r="H1080" s="0" t="n">
        <f aca="false">SQRT(SUMPRODUCT(MMULT(D1080:F1080,Stats!$B$12:$D$14),D1080:F1080))</f>
        <v>0.223350177346723</v>
      </c>
      <c r="I1080" s="0" t="n">
        <f aca="false">(G1080-Stats!$B$2)/H1080</f>
        <v>1.44736350951771</v>
      </c>
    </row>
    <row r="1081" customFormat="false" ht="15" hidden="false" customHeight="false" outlineLevel="0" collapsed="false">
      <c r="A1081" s="0" t="n">
        <v>0.959862802713455</v>
      </c>
      <c r="B1081" s="0" t="n">
        <v>0.616300485925724</v>
      </c>
      <c r="C1081" s="0" t="n">
        <v>0.556878443172096</v>
      </c>
      <c r="D1081" s="0" t="n">
        <f aca="false">A1081/SUM($A1081:$C1081)</f>
        <v>0.449997198085003</v>
      </c>
      <c r="E1081" s="0" t="n">
        <f aca="false">B1081/SUM($A1081:$C1081)</f>
        <v>0.288930346150514</v>
      </c>
      <c r="F1081" s="0" t="n">
        <f aca="false">C1081/SUM($A1081:$C1081)</f>
        <v>0.261072455764483</v>
      </c>
      <c r="G1081" s="0" t="n">
        <f aca="false">SUMPRODUCT(D1081:F1081,Stats!$B$6:$D$6)</f>
        <v>0.365909410064638</v>
      </c>
      <c r="H1081" s="0" t="n">
        <f aca="false">SQRT(SUMPRODUCT(MMULT(D1081:F1081,Stats!$B$12:$D$14),D1081:F1081))</f>
        <v>0.223617944481702</v>
      </c>
      <c r="I1081" s="0" t="n">
        <f aca="false">(G1081-Stats!$B$2)/H1081</f>
        <v>1.44849471188634</v>
      </c>
    </row>
    <row r="1082" customFormat="false" ht="15" hidden="false" customHeight="false" outlineLevel="0" collapsed="false">
      <c r="A1082" s="0" t="n">
        <v>0.415775103523322</v>
      </c>
      <c r="B1082" s="0" t="n">
        <v>0.428944333430144</v>
      </c>
      <c r="C1082" s="0" t="n">
        <v>0.540905003838081</v>
      </c>
      <c r="D1082" s="0" t="n">
        <f aca="false">A1082/SUM($A1082:$C1082)</f>
        <v>0.300063344210216</v>
      </c>
      <c r="E1082" s="0" t="n">
        <f aca="false">B1082/SUM($A1082:$C1082)</f>
        <v>0.309567528402651</v>
      </c>
      <c r="F1082" s="0" t="n">
        <f aca="false">C1082/SUM($A1082:$C1082)</f>
        <v>0.390369127387133</v>
      </c>
      <c r="G1082" s="0" t="n">
        <f aca="false">SUMPRODUCT(D1082:F1082,Stats!$B$6:$D$6)</f>
        <v>0.363531540831364</v>
      </c>
      <c r="H1082" s="0" t="n">
        <f aca="false">SQRT(SUMPRODUCT(MMULT(D1082:F1082,Stats!$B$12:$D$14),D1082:F1082))</f>
        <v>0.227335584325306</v>
      </c>
      <c r="I1082" s="0" t="n">
        <f aca="false">(G1082-Stats!$B$2)/H1082</f>
        <v>1.41434761208025</v>
      </c>
    </row>
    <row r="1083" customFormat="false" ht="15" hidden="false" customHeight="false" outlineLevel="0" collapsed="false">
      <c r="A1083" s="0" t="n">
        <v>0.696429807036107</v>
      </c>
      <c r="B1083" s="0" t="n">
        <v>0.702146096181829</v>
      </c>
      <c r="C1083" s="0" t="n">
        <v>0.17169390770545</v>
      </c>
      <c r="D1083" s="0" t="n">
        <f aca="false">A1083/SUM($A1083:$C1083)</f>
        <v>0.443509645407101</v>
      </c>
      <c r="E1083" s="0" t="n">
        <f aca="false">B1083/SUM($A1083:$C1083)</f>
        <v>0.447149968303178</v>
      </c>
      <c r="F1083" s="0" t="n">
        <f aca="false">C1083/SUM($A1083:$C1083)</f>
        <v>0.109340386289721</v>
      </c>
      <c r="G1083" s="0" t="n">
        <f aca="false">SUMPRODUCT(D1083:F1083,Stats!$B$6:$D$6)</f>
        <v>0.379197115800197</v>
      </c>
      <c r="H1083" s="0" t="n">
        <f aca="false">SQRT(SUMPRODUCT(MMULT(D1083:F1083,Stats!$B$12:$D$14),D1083:F1083))</f>
        <v>0.227065158878862</v>
      </c>
      <c r="I1083" s="0" t="n">
        <f aca="false">(G1083-Stats!$B$2)/H1083</f>
        <v>1.48502358294471</v>
      </c>
    </row>
    <row r="1084" customFormat="false" ht="15" hidden="false" customHeight="false" outlineLevel="0" collapsed="false">
      <c r="A1084" s="0" t="n">
        <v>0.500112752076627</v>
      </c>
      <c r="B1084" s="0" t="n">
        <v>0.411958095034102</v>
      </c>
      <c r="C1084" s="0" t="n">
        <v>0.870526966269384</v>
      </c>
      <c r="D1084" s="0" t="n">
        <f aca="false">A1084/SUM($A1084:$C1084)</f>
        <v>0.280552768730445</v>
      </c>
      <c r="E1084" s="0" t="n">
        <f aca="false">B1084/SUM($A1084:$C1084)</f>
        <v>0.231099854348502</v>
      </c>
      <c r="F1084" s="0" t="n">
        <f aca="false">C1084/SUM($A1084:$C1084)</f>
        <v>0.488347376921054</v>
      </c>
      <c r="G1084" s="0" t="n">
        <f aca="false">SUMPRODUCT(D1084:F1084,Stats!$B$6:$D$6)</f>
        <v>0.35631489987853</v>
      </c>
      <c r="H1084" s="0" t="n">
        <f aca="false">SQRT(SUMPRODUCT(MMULT(D1084:F1084,Stats!$B$12:$D$14),D1084:F1084))</f>
        <v>0.228621352530677</v>
      </c>
      <c r="I1084" s="0" t="n">
        <f aca="false">(G1084-Stats!$B$2)/H1084</f>
        <v>1.37482740084986</v>
      </c>
    </row>
    <row r="1085" customFormat="false" ht="15" hidden="false" customHeight="false" outlineLevel="0" collapsed="false">
      <c r="A1085" s="0" t="n">
        <v>0.631418921218376</v>
      </c>
      <c r="B1085" s="0" t="n">
        <v>0.532504066415982</v>
      </c>
      <c r="C1085" s="0" t="n">
        <v>0.115394642178917</v>
      </c>
      <c r="D1085" s="0" t="n">
        <f aca="false">A1085/SUM($A1085:$C1085)</f>
        <v>0.493559149427602</v>
      </c>
      <c r="E1085" s="0" t="n">
        <f aca="false">B1085/SUM($A1085:$C1085)</f>
        <v>0.416240700516028</v>
      </c>
      <c r="F1085" s="0" t="n">
        <f aca="false">C1085/SUM($A1085:$C1085)</f>
        <v>0.0902001500563703</v>
      </c>
      <c r="G1085" s="0" t="n">
        <f aca="false">SUMPRODUCT(D1085:F1085,Stats!$B$6:$D$6)</f>
        <v>0.37794642118922</v>
      </c>
      <c r="H1085" s="0" t="n">
        <f aca="false">SQRT(SUMPRODUCT(MMULT(D1085:F1085,Stats!$B$12:$D$14),D1085:F1085))</f>
        <v>0.226459134416048</v>
      </c>
      <c r="I1085" s="0" t="n">
        <f aca="false">(G1085-Stats!$B$2)/H1085</f>
        <v>1.48347480906654</v>
      </c>
    </row>
    <row r="1086" customFormat="false" ht="15" hidden="false" customHeight="false" outlineLevel="0" collapsed="false">
      <c r="A1086" s="0" t="n">
        <v>0.605637889323411</v>
      </c>
      <c r="B1086" s="0" t="n">
        <v>0.117203905680233</v>
      </c>
      <c r="C1086" s="0" t="n">
        <v>0.337206575565752</v>
      </c>
      <c r="D1086" s="0" t="n">
        <f aca="false">A1086/SUM($A1086:$C1086)</f>
        <v>0.571330428061597</v>
      </c>
      <c r="E1086" s="0" t="n">
        <f aca="false">B1086/SUM($A1086:$C1086)</f>
        <v>0.110564676984766</v>
      </c>
      <c r="F1086" s="0" t="n">
        <f aca="false">C1086/SUM($A1086:$C1086)</f>
        <v>0.318104894953637</v>
      </c>
      <c r="G1086" s="0" t="n">
        <f aca="false">SUMPRODUCT(D1086:F1086,Stats!$B$6:$D$6)</f>
        <v>0.354073832740198</v>
      </c>
      <c r="H1086" s="0" t="n">
        <f aca="false">SQRT(SUMPRODUCT(MMULT(D1086:F1086,Stats!$B$12:$D$14),D1086:F1086))</f>
        <v>0.221442208126905</v>
      </c>
      <c r="I1086" s="0" t="n">
        <f aca="false">(G1086-Stats!$B$2)/H1086</f>
        <v>1.40927890567887</v>
      </c>
    </row>
    <row r="1087" customFormat="false" ht="15" hidden="false" customHeight="false" outlineLevel="0" collapsed="false">
      <c r="A1087" s="0" t="n">
        <v>0.142841964814332</v>
      </c>
      <c r="B1087" s="0" t="n">
        <v>0.692073647024369</v>
      </c>
      <c r="C1087" s="0" t="n">
        <v>0.206252113836153</v>
      </c>
      <c r="D1087" s="0" t="n">
        <f aca="false">A1087/SUM($A1087:$C1087)</f>
        <v>0.137193999863707</v>
      </c>
      <c r="E1087" s="0" t="n">
        <f aca="false">B1087/SUM($A1087:$C1087)</f>
        <v>0.664709085729475</v>
      </c>
      <c r="F1087" s="0" t="n">
        <f aca="false">C1087/SUM($A1087:$C1087)</f>
        <v>0.198096914406818</v>
      </c>
      <c r="G1087" s="0" t="n">
        <f aca="false">SUMPRODUCT(D1087:F1087,Stats!$B$6:$D$6)</f>
        <v>0.389267758710377</v>
      </c>
      <c r="H1087" s="0" t="n">
        <f aca="false">SQRT(SUMPRODUCT(MMULT(D1087:F1087,Stats!$B$12:$D$14),D1087:F1087))</f>
        <v>0.237833650452349</v>
      </c>
      <c r="I1087" s="0" t="n">
        <f aca="false">(G1087-Stats!$B$2)/H1087</f>
        <v>1.4601287835001</v>
      </c>
    </row>
    <row r="1088" customFormat="false" ht="15" hidden="false" customHeight="false" outlineLevel="0" collapsed="false">
      <c r="A1088" s="0" t="n">
        <v>0.391859373188026</v>
      </c>
      <c r="B1088" s="0" t="n">
        <v>0.895674777618779</v>
      </c>
      <c r="C1088" s="0" t="n">
        <v>0.20431638339897</v>
      </c>
      <c r="D1088" s="0" t="n">
        <f aca="false">A1088/SUM($A1088:$C1088)</f>
        <v>0.26266664401246</v>
      </c>
      <c r="E1088" s="0" t="n">
        <f aca="false">B1088/SUM($A1088:$C1088)</f>
        <v>0.600378360353381</v>
      </c>
      <c r="F1088" s="0" t="n">
        <f aca="false">C1088/SUM($A1088:$C1088)</f>
        <v>0.136954995634159</v>
      </c>
      <c r="G1088" s="0" t="n">
        <f aca="false">SUMPRODUCT(D1088:F1088,Stats!$B$6:$D$6)</f>
        <v>0.387252216927603</v>
      </c>
      <c r="H1088" s="0" t="n">
        <f aca="false">SQRT(SUMPRODUCT(MMULT(D1088:F1088,Stats!$B$12:$D$14),D1088:F1088))</f>
        <v>0.232918996142999</v>
      </c>
      <c r="I1088" s="0" t="n">
        <f aca="false">(G1088-Stats!$B$2)/H1088</f>
        <v>1.48228449651929</v>
      </c>
    </row>
    <row r="1089" customFormat="false" ht="15" hidden="false" customHeight="false" outlineLevel="0" collapsed="false">
      <c r="A1089" s="0" t="n">
        <v>0.507805063958779</v>
      </c>
      <c r="B1089" s="0" t="n">
        <v>0.419271661166022</v>
      </c>
      <c r="C1089" s="0" t="n">
        <v>0.0181240410457297</v>
      </c>
      <c r="D1089" s="0" t="n">
        <f aca="false">A1089/SUM($A1089:$C1089)</f>
        <v>0.537245717664984</v>
      </c>
      <c r="E1089" s="0" t="n">
        <f aca="false">B1089/SUM($A1089:$C1089)</f>
        <v>0.443579476627697</v>
      </c>
      <c r="F1089" s="0" t="n">
        <f aca="false">C1089/SUM($A1089:$C1089)</f>
        <v>0.0191748057073198</v>
      </c>
      <c r="G1089" s="0" t="n">
        <f aca="false">SUMPRODUCT(D1089:F1089,Stats!$B$6:$D$6)</f>
        <v>0.381477955535441</v>
      </c>
      <c r="H1089" s="0" t="n">
        <f aca="false">SQRT(SUMPRODUCT(MMULT(D1089:F1089,Stats!$B$12:$D$14),D1089:F1089))</f>
        <v>0.228145147823527</v>
      </c>
      <c r="I1089" s="0" t="n">
        <f aca="false">(G1089-Stats!$B$2)/H1089</f>
        <v>1.48799112658767</v>
      </c>
    </row>
    <row r="1090" customFormat="false" ht="15" hidden="false" customHeight="false" outlineLevel="0" collapsed="false">
      <c r="A1090" s="0" t="n">
        <v>0.792758113572813</v>
      </c>
      <c r="B1090" s="0" t="n">
        <v>0.0690459063145997</v>
      </c>
      <c r="C1090" s="0" t="n">
        <v>0.474255020976954</v>
      </c>
      <c r="D1090" s="0" t="n">
        <f aca="false">A1090/SUM($A1090:$C1090)</f>
        <v>0.593355599809374</v>
      </c>
      <c r="E1090" s="0" t="n">
        <f aca="false">B1090/SUM($A1090:$C1090)</f>
        <v>0.0516787837983045</v>
      </c>
      <c r="F1090" s="0" t="n">
        <f aca="false">C1090/SUM($A1090:$C1090)</f>
        <v>0.354965616392322</v>
      </c>
      <c r="G1090" s="0" t="n">
        <f aca="false">SUMPRODUCT(D1090:F1090,Stats!$B$6:$D$6)</f>
        <v>0.349669194444476</v>
      </c>
      <c r="H1090" s="0" t="n">
        <f aca="false">SQRT(SUMPRODUCT(MMULT(D1090:F1090,Stats!$B$12:$D$14),D1090:F1090))</f>
        <v>0.22136094951821</v>
      </c>
      <c r="I1090" s="0" t="n">
        <f aca="false">(G1090-Stats!$B$2)/H1090</f>
        <v>1.38989824137507</v>
      </c>
    </row>
    <row r="1091" customFormat="false" ht="15" hidden="false" customHeight="false" outlineLevel="0" collapsed="false">
      <c r="A1091" s="0" t="n">
        <v>0.56067829493895</v>
      </c>
      <c r="B1091" s="0" t="n">
        <v>0.628426456614587</v>
      </c>
      <c r="C1091" s="0" t="n">
        <v>0.688631629307876</v>
      </c>
      <c r="D1091" s="0" t="n">
        <f aca="false">A1091/SUM($A1091:$C1091)</f>
        <v>0.298592656910518</v>
      </c>
      <c r="E1091" s="0" t="n">
        <f aca="false">B1091/SUM($A1091:$C1091)</f>
        <v>0.33467235498004</v>
      </c>
      <c r="F1091" s="0" t="n">
        <f aca="false">C1091/SUM($A1091:$C1091)</f>
        <v>0.366734988109441</v>
      </c>
      <c r="G1091" s="0" t="n">
        <f aca="false">SUMPRODUCT(D1091:F1091,Stats!$B$6:$D$6)</f>
        <v>0.3656277423605</v>
      </c>
      <c r="H1091" s="0" t="n">
        <f aca="false">SQRT(SUMPRODUCT(MMULT(D1091:F1091,Stats!$B$12:$D$14),D1091:F1091))</f>
        <v>0.227426075312001</v>
      </c>
      <c r="I1091" s="0" t="n">
        <f aca="false">(G1091-Stats!$B$2)/H1091</f>
        <v>1.42300192234563</v>
      </c>
    </row>
    <row r="1092" customFormat="false" ht="15" hidden="false" customHeight="false" outlineLevel="0" collapsed="false">
      <c r="A1092" s="0" t="n">
        <v>0.253272383522715</v>
      </c>
      <c r="B1092" s="0" t="n">
        <v>0.00997877665844937</v>
      </c>
      <c r="C1092" s="0" t="n">
        <v>0.723443662354912</v>
      </c>
      <c r="D1092" s="0" t="n">
        <f aca="false">A1092/SUM($A1092:$C1092)</f>
        <v>0.256687658370129</v>
      </c>
      <c r="E1092" s="0" t="n">
        <f aca="false">B1092/SUM($A1092:$C1092)</f>
        <v>0.0101133363939229</v>
      </c>
      <c r="F1092" s="0" t="n">
        <f aca="false">C1092/SUM($A1092:$C1092)</f>
        <v>0.733199005235949</v>
      </c>
      <c r="G1092" s="0" t="n">
        <f aca="false">SUMPRODUCT(D1092:F1092,Stats!$B$6:$D$6)</f>
        <v>0.336847932176781</v>
      </c>
      <c r="H1092" s="0" t="n">
        <f aca="false">SQRT(SUMPRODUCT(MMULT(D1092:F1092,Stats!$B$12:$D$14),D1092:F1092))</f>
        <v>0.235729312470991</v>
      </c>
      <c r="I1092" s="0" t="n">
        <f aca="false">(G1092-Stats!$B$2)/H1092</f>
        <v>1.25079027756917</v>
      </c>
    </row>
    <row r="1093" customFormat="false" ht="15" hidden="false" customHeight="false" outlineLevel="0" collapsed="false">
      <c r="A1093" s="0" t="n">
        <v>0.535656599347579</v>
      </c>
      <c r="B1093" s="0" t="n">
        <v>0.836117703207249</v>
      </c>
      <c r="C1093" s="0" t="n">
        <v>0.821388362900694</v>
      </c>
      <c r="D1093" s="0" t="n">
        <f aca="false">A1093/SUM($A1093:$C1093)</f>
        <v>0.244239338825478</v>
      </c>
      <c r="E1093" s="0" t="n">
        <f aca="false">B1093/SUM($A1093:$C1093)</f>
        <v>0.381238344230881</v>
      </c>
      <c r="F1093" s="0" t="n">
        <f aca="false">C1093/SUM($A1093:$C1093)</f>
        <v>0.374522316943641</v>
      </c>
      <c r="G1093" s="0" t="n">
        <f aca="false">SUMPRODUCT(D1093:F1093,Stats!$B$6:$D$6)</f>
        <v>0.368092356515374</v>
      </c>
      <c r="H1093" s="0" t="n">
        <f aca="false">SQRT(SUMPRODUCT(MMULT(D1093:F1093,Stats!$B$12:$D$14),D1093:F1093))</f>
        <v>0.229635024738072</v>
      </c>
      <c r="I1093" s="0" t="n">
        <f aca="false">(G1093-Stats!$B$2)/H1093</f>
        <v>1.4200462533419</v>
      </c>
    </row>
    <row r="1094" customFormat="false" ht="15" hidden="false" customHeight="false" outlineLevel="0" collapsed="false">
      <c r="A1094" s="0" t="n">
        <v>0.843326167787883</v>
      </c>
      <c r="B1094" s="0" t="n">
        <v>0.48509465997954</v>
      </c>
      <c r="C1094" s="0" t="n">
        <v>0.333628395836866</v>
      </c>
      <c r="D1094" s="0" t="n">
        <f aca="false">A1094/SUM($A1094:$C1094)</f>
        <v>0.507401439025411</v>
      </c>
      <c r="E1094" s="0" t="n">
        <f aca="false">B1094/SUM($A1094:$C1094)</f>
        <v>0.291865399105072</v>
      </c>
      <c r="F1094" s="0" t="n">
        <f aca="false">C1094/SUM($A1094:$C1094)</f>
        <v>0.200733161869518</v>
      </c>
      <c r="G1094" s="0" t="n">
        <f aca="false">SUMPRODUCT(D1094:F1094,Stats!$B$6:$D$6)</f>
        <v>0.36774212203432</v>
      </c>
      <c r="H1094" s="0" t="n">
        <f aca="false">SQRT(SUMPRODUCT(MMULT(D1094:F1094,Stats!$B$12:$D$14),D1094:F1094))</f>
        <v>0.22340068646682</v>
      </c>
      <c r="I1094" s="0" t="n">
        <f aca="false">(G1094-Stats!$B$2)/H1094</f>
        <v>1.45810707740462</v>
      </c>
    </row>
    <row r="1095" customFormat="false" ht="15" hidden="false" customHeight="false" outlineLevel="0" collapsed="false">
      <c r="A1095" s="0" t="n">
        <v>0.79155820259137</v>
      </c>
      <c r="B1095" s="0" t="n">
        <v>0.451294113029255</v>
      </c>
      <c r="C1095" s="0" t="n">
        <v>0.183442196403435</v>
      </c>
      <c r="D1095" s="0" t="n">
        <f aca="false">A1095/SUM($A1095:$C1095)</f>
        <v>0.55497528450002</v>
      </c>
      <c r="E1095" s="0" t="n">
        <f aca="false">B1095/SUM($A1095:$C1095)</f>
        <v>0.316410186833589</v>
      </c>
      <c r="F1095" s="0" t="n">
        <f aca="false">C1095/SUM($A1095:$C1095)</f>
        <v>0.128614528666391</v>
      </c>
      <c r="G1095" s="0" t="n">
        <f aca="false">SUMPRODUCT(D1095:F1095,Stats!$B$6:$D$6)</f>
        <v>0.371143040924813</v>
      </c>
      <c r="H1095" s="0" t="n">
        <f aca="false">SQRT(SUMPRODUCT(MMULT(D1095:F1095,Stats!$B$12:$D$14),D1095:F1095))</f>
        <v>0.224286028825792</v>
      </c>
      <c r="I1095" s="0" t="n">
        <f aca="false">(G1095-Stats!$B$2)/H1095</f>
        <v>1.46751468492256</v>
      </c>
    </row>
    <row r="1096" customFormat="false" ht="15" hidden="false" customHeight="false" outlineLevel="0" collapsed="false">
      <c r="A1096" s="0" t="n">
        <v>0.854974019561474</v>
      </c>
      <c r="B1096" s="0" t="n">
        <v>0.882559876772347</v>
      </c>
      <c r="C1096" s="0" t="n">
        <v>0.46630975614017</v>
      </c>
      <c r="D1096" s="0" t="n">
        <f aca="false">A1096/SUM($A1096:$C1096)</f>
        <v>0.387946766823362</v>
      </c>
      <c r="E1096" s="0" t="n">
        <f aca="false">B1096/SUM($A1096:$C1096)</f>
        <v>0.400463923918379</v>
      </c>
      <c r="F1096" s="0" t="n">
        <f aca="false">C1096/SUM($A1096:$C1096)</f>
        <v>0.211589309258259</v>
      </c>
      <c r="G1096" s="0" t="n">
        <f aca="false">SUMPRODUCT(D1096:F1096,Stats!$B$6:$D$6)</f>
        <v>0.373691386507007</v>
      </c>
      <c r="H1096" s="0" t="n">
        <f aca="false">SQRT(SUMPRODUCT(MMULT(D1096:F1096,Stats!$B$12:$D$14),D1096:F1096))</f>
        <v>0.226088789371756</v>
      </c>
      <c r="I1096" s="0" t="n">
        <f aca="false">(G1096-Stats!$B$2)/H1096</f>
        <v>1.46708462382719</v>
      </c>
    </row>
    <row r="1097" customFormat="false" ht="15" hidden="false" customHeight="false" outlineLevel="0" collapsed="false">
      <c r="A1097" s="0" t="n">
        <v>0.0756997273097875</v>
      </c>
      <c r="B1097" s="0" t="n">
        <v>0.387826089916931</v>
      </c>
      <c r="C1097" s="0" t="n">
        <v>0.803537659462603</v>
      </c>
      <c r="D1097" s="0" t="n">
        <f aca="false">A1097/SUM($A1097:$C1097)</f>
        <v>0.059744226475205</v>
      </c>
      <c r="E1097" s="0" t="n">
        <f aca="false">B1097/SUM($A1097:$C1097)</f>
        <v>0.30608260521428</v>
      </c>
      <c r="F1097" s="0" t="n">
        <f aca="false">C1097/SUM($A1097:$C1097)</f>
        <v>0.634173168310515</v>
      </c>
      <c r="G1097" s="0" t="n">
        <f aca="false">SUMPRODUCT(D1097:F1097,Stats!$B$6:$D$6)</f>
        <v>0.356608220205055</v>
      </c>
      <c r="H1097" s="0" t="n">
        <f aca="false">SQRT(SUMPRODUCT(MMULT(D1097:F1097,Stats!$B$12:$D$14),D1097:F1097))</f>
        <v>0.241546535490735</v>
      </c>
      <c r="I1097" s="0" t="n">
        <f aca="false">(G1097-Stats!$B$2)/H1097</f>
        <v>1.30247457106303</v>
      </c>
    </row>
    <row r="1098" customFormat="false" ht="15" hidden="false" customHeight="false" outlineLevel="0" collapsed="false">
      <c r="A1098" s="0" t="n">
        <v>0.901774028546229</v>
      </c>
      <c r="B1098" s="0" t="n">
        <v>0.203472742497596</v>
      </c>
      <c r="C1098" s="0" t="n">
        <v>0.0669736120252715</v>
      </c>
      <c r="D1098" s="0" t="n">
        <f aca="false">A1098/SUM($A1098:$C1098)</f>
        <v>0.769287108099258</v>
      </c>
      <c r="E1098" s="0" t="n">
        <f aca="false">B1098/SUM($A1098:$C1098)</f>
        <v>0.173578915224853</v>
      </c>
      <c r="F1098" s="0" t="n">
        <f aca="false">C1098/SUM($A1098:$C1098)</f>
        <v>0.0571339766758891</v>
      </c>
      <c r="G1098" s="0" t="n">
        <f aca="false">SUMPRODUCT(D1098:F1098,Stats!$B$6:$D$6)</f>
        <v>0.364895763147616</v>
      </c>
      <c r="H1098" s="0" t="n">
        <f aca="false">SQRT(SUMPRODUCT(MMULT(D1098:F1098,Stats!$B$12:$D$14),D1098:F1098))</f>
        <v>0.226112492291329</v>
      </c>
      <c r="I1098" s="0" t="n">
        <f aca="false">(G1098-Stats!$B$2)/H1098</f>
        <v>1.4280315071296</v>
      </c>
    </row>
    <row r="1099" customFormat="false" ht="15" hidden="false" customHeight="false" outlineLevel="0" collapsed="false">
      <c r="A1099" s="0" t="n">
        <v>0.877350453132839</v>
      </c>
      <c r="B1099" s="0" t="n">
        <v>0.389404938978875</v>
      </c>
      <c r="C1099" s="0" t="n">
        <v>0.541760964267563</v>
      </c>
      <c r="D1099" s="0" t="n">
        <f aca="false">A1099/SUM($A1099:$C1099)</f>
        <v>0.485121657892732</v>
      </c>
      <c r="E1099" s="0" t="n">
        <f aca="false">B1099/SUM($A1099:$C1099)</f>
        <v>0.215317344300098</v>
      </c>
      <c r="F1099" s="0" t="n">
        <f aca="false">C1099/SUM($A1099:$C1099)</f>
        <v>0.29956099780717</v>
      </c>
      <c r="G1099" s="0" t="n">
        <f aca="false">SUMPRODUCT(D1099:F1099,Stats!$B$6:$D$6)</f>
        <v>0.360612506470254</v>
      </c>
      <c r="H1099" s="0" t="n">
        <f aca="false">SQRT(SUMPRODUCT(MMULT(D1099:F1099,Stats!$B$12:$D$14),D1099:F1099))</f>
        <v>0.22254797201809</v>
      </c>
      <c r="I1099" s="0" t="n">
        <f aca="false">(G1099-Stats!$B$2)/H1099</f>
        <v>1.43165764927463</v>
      </c>
    </row>
    <row r="1100" customFormat="false" ht="15" hidden="false" customHeight="false" outlineLevel="0" collapsed="false">
      <c r="A1100" s="0" t="n">
        <v>0.968065812050759</v>
      </c>
      <c r="B1100" s="0" t="n">
        <v>0.0665647279142229</v>
      </c>
      <c r="C1100" s="0" t="n">
        <v>0.648318007452096</v>
      </c>
      <c r="D1100" s="0" t="n">
        <f aca="false">A1100/SUM($A1100:$C1100)</f>
        <v>0.575220088300684</v>
      </c>
      <c r="E1100" s="0" t="n">
        <f aca="false">B1100/SUM($A1100:$C1100)</f>
        <v>0.0395524438440996</v>
      </c>
      <c r="F1100" s="0" t="n">
        <f aca="false">C1100/SUM($A1100:$C1100)</f>
        <v>0.385227467855217</v>
      </c>
      <c r="G1100" s="0" t="n">
        <f aca="false">SUMPRODUCT(D1100:F1100,Stats!$B$6:$D$6)</f>
        <v>0.348137001623557</v>
      </c>
      <c r="H1100" s="0" t="n">
        <f aca="false">SQRT(SUMPRODUCT(MMULT(D1100:F1100,Stats!$B$12:$D$14),D1100:F1100))</f>
        <v>0.221564101979589</v>
      </c>
      <c r="I1100" s="0" t="n">
        <f aca="false">(G1100-Stats!$B$2)/H1100</f>
        <v>1.38170849378732</v>
      </c>
    </row>
    <row r="1101" customFormat="false" ht="15" hidden="false" customHeight="false" outlineLevel="0" collapsed="false">
      <c r="A1101" s="0" t="n">
        <v>0.0741054225748671</v>
      </c>
      <c r="B1101" s="0" t="n">
        <v>0.3754689284665</v>
      </c>
      <c r="C1101" s="0" t="n">
        <v>0.803814545193447</v>
      </c>
      <c r="D1101" s="0" t="n">
        <f aca="false">A1101/SUM($A1101:$C1101)</f>
        <v>0.0591240458547863</v>
      </c>
      <c r="E1101" s="0" t="n">
        <f aca="false">B1101/SUM($A1101:$C1101)</f>
        <v>0.299562992455423</v>
      </c>
      <c r="F1101" s="0" t="n">
        <f aca="false">C1101/SUM($A1101:$C1101)</f>
        <v>0.641312961689791</v>
      </c>
      <c r="G1101" s="0" t="n">
        <f aca="false">SUMPRODUCT(D1101:F1101,Stats!$B$6:$D$6)</f>
        <v>0.356036213068755</v>
      </c>
      <c r="H1101" s="0" t="n">
        <f aca="false">SQRT(SUMPRODUCT(MMULT(D1101:F1101,Stats!$B$12:$D$14),D1101:F1101))</f>
        <v>0.241744708807485</v>
      </c>
      <c r="I1101" s="0" t="n">
        <f aca="false">(G1101-Stats!$B$2)/H1101</f>
        <v>1.29904068890641</v>
      </c>
    </row>
    <row r="1102" customFormat="false" ht="15" hidden="false" customHeight="false" outlineLevel="0" collapsed="false">
      <c r="A1102" s="0" t="n">
        <v>0.433472232755634</v>
      </c>
      <c r="B1102" s="0" t="n">
        <v>0.99718235390295</v>
      </c>
      <c r="C1102" s="0" t="n">
        <v>0.559059284946602</v>
      </c>
      <c r="D1102" s="0" t="n">
        <f aca="false">A1102/SUM($A1102:$C1102)</f>
        <v>0.21785656668611</v>
      </c>
      <c r="E1102" s="0" t="n">
        <f aca="false">B1102/SUM($A1102:$C1102)</f>
        <v>0.501168719851403</v>
      </c>
      <c r="F1102" s="0" t="n">
        <f aca="false">C1102/SUM($A1102:$C1102)</f>
        <v>0.280974713462487</v>
      </c>
      <c r="G1102" s="0" t="n">
        <f aca="false">SUMPRODUCT(D1102:F1102,Stats!$B$6:$D$6)</f>
        <v>0.377572534291424</v>
      </c>
      <c r="H1102" s="0" t="n">
        <f aca="false">SQRT(SUMPRODUCT(MMULT(D1102:F1102,Stats!$B$12:$D$14),D1102:F1102))</f>
        <v>0.231731488957682</v>
      </c>
      <c r="I1102" s="0" t="n">
        <f aca="false">(G1102-Stats!$B$2)/H1102</f>
        <v>1.44810934327835</v>
      </c>
    </row>
    <row r="1103" customFormat="false" ht="15" hidden="false" customHeight="false" outlineLevel="0" collapsed="false">
      <c r="A1103" s="0" t="n">
        <v>0.321162152635954</v>
      </c>
      <c r="B1103" s="0" t="n">
        <v>0.220111325904753</v>
      </c>
      <c r="C1103" s="0" t="n">
        <v>0.350520534286162</v>
      </c>
      <c r="D1103" s="0" t="n">
        <f aca="false">A1103/SUM($A1103:$C1103)</f>
        <v>0.360130420272628</v>
      </c>
      <c r="E1103" s="0" t="n">
        <f aca="false">B1103/SUM($A1103:$C1103)</f>
        <v>0.24681857327908</v>
      </c>
      <c r="F1103" s="0" t="n">
        <f aca="false">C1103/SUM($A1103:$C1103)</f>
        <v>0.393051006448292</v>
      </c>
      <c r="G1103" s="0" t="n">
        <f aca="false">SUMPRODUCT(D1103:F1103,Stats!$B$6:$D$6)</f>
        <v>0.35984709538433</v>
      </c>
      <c r="H1103" s="0" t="n">
        <f aca="false">SQRT(SUMPRODUCT(MMULT(D1103:F1103,Stats!$B$12:$D$14),D1103:F1103))</f>
        <v>0.225308336695131</v>
      </c>
      <c r="I1103" s="0" t="n">
        <f aca="false">(G1103-Stats!$B$2)/H1103</f>
        <v>1.41072052657517</v>
      </c>
    </row>
    <row r="1104" customFormat="false" ht="15" hidden="false" customHeight="false" outlineLevel="0" collapsed="false">
      <c r="A1104" s="0" t="n">
        <v>0.372533273759551</v>
      </c>
      <c r="B1104" s="0" t="n">
        <v>0.068713677723961</v>
      </c>
      <c r="C1104" s="0" t="n">
        <v>0.369574199426773</v>
      </c>
      <c r="D1104" s="0" t="n">
        <f aca="false">A1104/SUM($A1104:$C1104)</f>
        <v>0.459451845010849</v>
      </c>
      <c r="E1104" s="0" t="n">
        <f aca="false">B1104/SUM($A1104:$C1104)</f>
        <v>0.0847457884476967</v>
      </c>
      <c r="F1104" s="0" t="n">
        <f aca="false">C1104/SUM($A1104:$C1104)</f>
        <v>0.455802366541454</v>
      </c>
      <c r="G1104" s="0" t="n">
        <f aca="false">SUMPRODUCT(D1104:F1104,Stats!$B$6:$D$6)</f>
        <v>0.348791292492706</v>
      </c>
      <c r="H1104" s="0" t="n">
        <f aca="false">SQRT(SUMPRODUCT(MMULT(D1104:F1104,Stats!$B$12:$D$14),D1104:F1104))</f>
        <v>0.223418969151931</v>
      </c>
      <c r="I1104" s="0" t="n">
        <f aca="false">(G1104-Stats!$B$2)/H1104</f>
        <v>1.373165822299</v>
      </c>
    </row>
    <row r="1105" customFormat="false" ht="15" hidden="false" customHeight="false" outlineLevel="0" collapsed="false">
      <c r="A1105" s="0" t="n">
        <v>0.464238519739225</v>
      </c>
      <c r="B1105" s="0" t="n">
        <v>0.722737752238805</v>
      </c>
      <c r="C1105" s="0" t="n">
        <v>0.656729484721608</v>
      </c>
      <c r="D1105" s="0" t="n">
        <f aca="false">A1105/SUM($A1105:$C1105)</f>
        <v>0.251796425786642</v>
      </c>
      <c r="E1105" s="0" t="n">
        <f aca="false">B1105/SUM($A1105:$C1105)</f>
        <v>0.39200276378838</v>
      </c>
      <c r="F1105" s="0" t="n">
        <f aca="false">C1105/SUM($A1105:$C1105)</f>
        <v>0.356200810424978</v>
      </c>
      <c r="G1105" s="0" t="n">
        <f aca="false">SUMPRODUCT(D1105:F1105,Stats!$B$6:$D$6)</f>
        <v>0.369216935780027</v>
      </c>
      <c r="H1105" s="0" t="n">
        <f aca="false">SQRT(SUMPRODUCT(MMULT(D1105:F1105,Stats!$B$12:$D$14),D1105:F1105))</f>
        <v>0.229382981765296</v>
      </c>
      <c r="I1105" s="0" t="n">
        <f aca="false">(G1105-Stats!$B$2)/H1105</f>
        <v>1.42650920858128</v>
      </c>
    </row>
    <row r="1106" customFormat="false" ht="15" hidden="false" customHeight="false" outlineLevel="0" collapsed="false">
      <c r="A1106" s="0" t="n">
        <v>0.708765655229154</v>
      </c>
      <c r="B1106" s="0" t="n">
        <v>0.0083636818768571</v>
      </c>
      <c r="C1106" s="0" t="n">
        <v>0.217667399580536</v>
      </c>
      <c r="D1106" s="0" t="n">
        <f aca="false">A1106/SUM($A1106:$C1106)</f>
        <v>0.758202962647713</v>
      </c>
      <c r="E1106" s="0" t="n">
        <f aca="false">B1106/SUM($A1106:$C1106)</f>
        <v>0.00894705934308538</v>
      </c>
      <c r="F1106" s="0" t="n">
        <f aca="false">C1106/SUM($A1106:$C1106)</f>
        <v>0.232849978009202</v>
      </c>
      <c r="G1106" s="0" t="n">
        <f aca="false">SUMPRODUCT(D1106:F1106,Stats!$B$6:$D$6)</f>
        <v>0.350577758086182</v>
      </c>
      <c r="H1106" s="0" t="n">
        <f aca="false">SQRT(SUMPRODUCT(MMULT(D1106:F1106,Stats!$B$12:$D$14),D1106:F1106))</f>
        <v>0.222676976322661</v>
      </c>
      <c r="I1106" s="0" t="n">
        <f aca="false">(G1106-Stats!$B$2)/H1106</f>
        <v>1.38576409282229</v>
      </c>
    </row>
    <row r="1107" customFormat="false" ht="15" hidden="false" customHeight="false" outlineLevel="0" collapsed="false">
      <c r="A1107" s="0" t="n">
        <v>0.661684288399857</v>
      </c>
      <c r="B1107" s="0" t="n">
        <v>0.483989368179747</v>
      </c>
      <c r="C1107" s="0" t="n">
        <v>0.00531347566834595</v>
      </c>
      <c r="D1107" s="0" t="n">
        <f aca="false">A1107/SUM($A1107:$C1107)</f>
        <v>0.574884175383912</v>
      </c>
      <c r="E1107" s="0" t="n">
        <f aca="false">B1107/SUM($A1107:$C1107)</f>
        <v>0.42049937364155</v>
      </c>
      <c r="F1107" s="0" t="n">
        <f aca="false">C1107/SUM($A1107:$C1107)</f>
        <v>0.00461645097453731</v>
      </c>
      <c r="G1107" s="0" t="n">
        <f aca="false">SUMPRODUCT(D1107:F1107,Stats!$B$6:$D$6)</f>
        <v>0.38055139731393</v>
      </c>
      <c r="H1107" s="0" t="n">
        <f aca="false">SQRT(SUMPRODUCT(MMULT(D1107:F1107,Stats!$B$12:$D$14),D1107:F1107))</f>
        <v>0.228138854102181</v>
      </c>
      <c r="I1107" s="0" t="n">
        <f aca="false">(G1107-Stats!$B$2)/H1107</f>
        <v>1.48397079772434</v>
      </c>
    </row>
    <row r="1108" customFormat="false" ht="15" hidden="false" customHeight="false" outlineLevel="0" collapsed="false">
      <c r="A1108" s="0" t="n">
        <v>0.804494642431822</v>
      </c>
      <c r="B1108" s="0" t="n">
        <v>0.772809573290337</v>
      </c>
      <c r="C1108" s="0" t="n">
        <v>0.548419162993563</v>
      </c>
      <c r="D1108" s="0" t="n">
        <f aca="false">A1108/SUM($A1108:$C1108)</f>
        <v>0.378456882248652</v>
      </c>
      <c r="E1108" s="0" t="n">
        <f aca="false">B1108/SUM($A1108:$C1108)</f>
        <v>0.363551335525716</v>
      </c>
      <c r="F1108" s="0" t="n">
        <f aca="false">C1108/SUM($A1108:$C1108)</f>
        <v>0.257991782225633</v>
      </c>
      <c r="G1108" s="0" t="n">
        <f aca="false">SUMPRODUCT(D1108:F1108,Stats!$B$6:$D$6)</f>
        <v>0.370287953601175</v>
      </c>
      <c r="H1108" s="0" t="n">
        <f aca="false">SQRT(SUMPRODUCT(MMULT(D1108:F1108,Stats!$B$12:$D$14),D1108:F1108))</f>
        <v>0.225592439129282</v>
      </c>
      <c r="I1108" s="0" t="n">
        <f aca="false">(G1108-Stats!$B$2)/H1108</f>
        <v>1.45522587046032</v>
      </c>
    </row>
    <row r="1109" customFormat="false" ht="15" hidden="false" customHeight="false" outlineLevel="0" collapsed="false">
      <c r="A1109" s="0" t="n">
        <v>0.0664633257762721</v>
      </c>
      <c r="B1109" s="0" t="n">
        <v>0.766515049532585</v>
      </c>
      <c r="C1109" s="0" t="n">
        <v>0.583713587731364</v>
      </c>
      <c r="D1109" s="0" t="n">
        <f aca="false">A1109/SUM($A1109:$C1109)</f>
        <v>0.046914451066442</v>
      </c>
      <c r="E1109" s="0" t="n">
        <f aca="false">B1109/SUM($A1109:$C1109)</f>
        <v>0.541059785422685</v>
      </c>
      <c r="F1109" s="0" t="n">
        <f aca="false">C1109/SUM($A1109:$C1109)</f>
        <v>0.412025763510873</v>
      </c>
      <c r="G1109" s="0" t="n">
        <f aca="false">SUMPRODUCT(D1109:F1109,Stats!$B$6:$D$6)</f>
        <v>0.376254132274199</v>
      </c>
      <c r="H1109" s="0" t="n">
        <f aca="false">SQRT(SUMPRODUCT(MMULT(D1109:F1109,Stats!$B$12:$D$14),D1109:F1109))</f>
        <v>0.240210621058541</v>
      </c>
      <c r="I1109" s="0" t="n">
        <f aca="false">(G1109-Stats!$B$2)/H1109</f>
        <v>1.39150438394953</v>
      </c>
    </row>
    <row r="1110" customFormat="false" ht="15" hidden="false" customHeight="false" outlineLevel="0" collapsed="false">
      <c r="A1110" s="0" t="n">
        <v>0.781959977157959</v>
      </c>
      <c r="B1110" s="0" t="n">
        <v>0.75174699239584</v>
      </c>
      <c r="C1110" s="0" t="n">
        <v>0.803002071957837</v>
      </c>
      <c r="D1110" s="0" t="n">
        <f aca="false">A1110/SUM($A1110:$C1110)</f>
        <v>0.334641567806021</v>
      </c>
      <c r="E1110" s="0" t="n">
        <f aca="false">B1110/SUM($A1110:$C1110)</f>
        <v>0.321711851600287</v>
      </c>
      <c r="F1110" s="0" t="n">
        <f aca="false">C1110/SUM($A1110:$C1110)</f>
        <v>0.343646580593692</v>
      </c>
      <c r="G1110" s="0" t="n">
        <f aca="false">SUMPRODUCT(D1110:F1110,Stats!$B$6:$D$6)</f>
        <v>0.365518665727459</v>
      </c>
      <c r="H1110" s="0" t="n">
        <f aca="false">SQRT(SUMPRODUCT(MMULT(D1110:F1110,Stats!$B$12:$D$14),D1110:F1110))</f>
        <v>0.226208961392594</v>
      </c>
      <c r="I1110" s="0" t="n">
        <f aca="false">(G1110-Stats!$B$2)/H1110</f>
        <v>1.43017616868848</v>
      </c>
    </row>
    <row r="1111" customFormat="false" ht="15" hidden="false" customHeight="false" outlineLevel="0" collapsed="false">
      <c r="A1111" s="0" t="n">
        <v>0.518008066404625</v>
      </c>
      <c r="B1111" s="0" t="n">
        <v>0.140324518193515</v>
      </c>
      <c r="C1111" s="0" t="n">
        <v>0.671157473379689</v>
      </c>
      <c r="D1111" s="0" t="n">
        <f aca="false">A1111/SUM($A1111:$C1111)</f>
        <v>0.389629138853826</v>
      </c>
      <c r="E1111" s="0" t="n">
        <f aca="false">B1111/SUM($A1111:$C1111)</f>
        <v>0.105547625084877</v>
      </c>
      <c r="F1111" s="0" t="n">
        <f aca="false">C1111/SUM($A1111:$C1111)</f>
        <v>0.504823236061297</v>
      </c>
      <c r="G1111" s="0" t="n">
        <f aca="false">SUMPRODUCT(D1111:F1111,Stats!$B$6:$D$6)</f>
        <v>0.348636471626927</v>
      </c>
      <c r="H1111" s="0" t="n">
        <f aca="false">SQRT(SUMPRODUCT(MMULT(D1111:F1111,Stats!$B$12:$D$14),D1111:F1111))</f>
        <v>0.225528562030395</v>
      </c>
      <c r="I1111" s="0" t="n">
        <f aca="false">(G1111-Stats!$B$2)/H1111</f>
        <v>1.35963475697416</v>
      </c>
    </row>
    <row r="1112" customFormat="false" ht="15" hidden="false" customHeight="false" outlineLevel="0" collapsed="false">
      <c r="A1112" s="0" t="n">
        <v>0.620473785051971</v>
      </c>
      <c r="B1112" s="0" t="n">
        <v>0.742253187199087</v>
      </c>
      <c r="C1112" s="0" t="n">
        <v>0.169881006050735</v>
      </c>
      <c r="D1112" s="0" t="n">
        <f aca="false">A1112/SUM($A1112:$C1112)</f>
        <v>0.40484833293083</v>
      </c>
      <c r="E1112" s="0" t="n">
        <f aca="false">B1112/SUM($A1112:$C1112)</f>
        <v>0.484307270813989</v>
      </c>
      <c r="F1112" s="0" t="n">
        <f aca="false">C1112/SUM($A1112:$C1112)</f>
        <v>0.110844396255181</v>
      </c>
      <c r="G1112" s="0" t="n">
        <f aca="false">SUMPRODUCT(D1112:F1112,Stats!$B$6:$D$6)</f>
        <v>0.381293626398589</v>
      </c>
      <c r="H1112" s="0" t="n">
        <f aca="false">SQRT(SUMPRODUCT(MMULT(D1112:F1112,Stats!$B$12:$D$14),D1112:F1112))</f>
        <v>0.228146534666009</v>
      </c>
      <c r="I1112" s="0" t="n">
        <f aca="false">(G1112-Stats!$B$2)/H1112</f>
        <v>1.48717413961729</v>
      </c>
    </row>
    <row r="1113" customFormat="false" ht="15" hidden="false" customHeight="false" outlineLevel="0" collapsed="false">
      <c r="A1113" s="0" t="n">
        <v>0.194975199900289</v>
      </c>
      <c r="B1113" s="0" t="n">
        <v>0.890409517219329</v>
      </c>
      <c r="C1113" s="0" t="n">
        <v>0.749977798452071</v>
      </c>
      <c r="D1113" s="0" t="n">
        <f aca="false">A1113/SUM($A1113:$C1113)</f>
        <v>0.106232528040684</v>
      </c>
      <c r="E1113" s="0" t="n">
        <f aca="false">B1113/SUM($A1113:$C1113)</f>
        <v>0.485140951536748</v>
      </c>
      <c r="F1113" s="0" t="n">
        <f aca="false">C1113/SUM($A1113:$C1113)</f>
        <v>0.408626520422568</v>
      </c>
      <c r="G1113" s="0" t="n">
        <f aca="false">SUMPRODUCT(D1113:F1113,Stats!$B$6:$D$6)</f>
        <v>0.373130367767475</v>
      </c>
      <c r="H1113" s="0" t="n">
        <f aca="false">SQRT(SUMPRODUCT(MMULT(D1113:F1113,Stats!$B$12:$D$14),D1113:F1113))</f>
        <v>0.236599465570376</v>
      </c>
      <c r="I1113" s="0" t="n">
        <f aca="false">(G1113-Stats!$B$2)/H1113</f>
        <v>1.39953979595521</v>
      </c>
    </row>
    <row r="1114" customFormat="false" ht="15" hidden="false" customHeight="false" outlineLevel="0" collapsed="false">
      <c r="A1114" s="0" t="n">
        <v>0.908228488700323</v>
      </c>
      <c r="B1114" s="0" t="n">
        <v>0.758715321163921</v>
      </c>
      <c r="C1114" s="0" t="n">
        <v>0.597155305990302</v>
      </c>
      <c r="D1114" s="0" t="n">
        <f aca="false">A1114/SUM($A1114:$C1114)</f>
        <v>0.401143431548723</v>
      </c>
      <c r="E1114" s="0" t="n">
        <f aca="false">B1114/SUM($A1114:$C1114)</f>
        <v>0.335106937611941</v>
      </c>
      <c r="F1114" s="0" t="n">
        <f aca="false">C1114/SUM($A1114:$C1114)</f>
        <v>0.263749630839335</v>
      </c>
      <c r="G1114" s="0" t="n">
        <f aca="false">SUMPRODUCT(D1114:F1114,Stats!$B$6:$D$6)</f>
        <v>0.368492529299143</v>
      </c>
      <c r="H1114" s="0" t="n">
        <f aca="false">SQRT(SUMPRODUCT(MMULT(D1114:F1114,Stats!$B$12:$D$14),D1114:F1114))</f>
        <v>0.224834477284116</v>
      </c>
      <c r="I1114" s="0" t="n">
        <f aca="false">(G1114-Stats!$B$2)/H1114</f>
        <v>1.45214618880077</v>
      </c>
    </row>
    <row r="1115" customFormat="false" ht="15" hidden="false" customHeight="false" outlineLevel="0" collapsed="false">
      <c r="A1115" s="0" t="n">
        <v>0.654132737027874</v>
      </c>
      <c r="B1115" s="0" t="n">
        <v>0.88912792394001</v>
      </c>
      <c r="C1115" s="0" t="n">
        <v>0.578806754511941</v>
      </c>
      <c r="D1115" s="0" t="n">
        <f aca="false">A1115/SUM($A1115:$C1115)</f>
        <v>0.308252571174779</v>
      </c>
      <c r="E1115" s="0" t="n">
        <f aca="false">B1115/SUM($A1115:$C1115)</f>
        <v>0.418991365426988</v>
      </c>
      <c r="F1115" s="0" t="n">
        <f aca="false">C1115/SUM($A1115:$C1115)</f>
        <v>0.272756063398234</v>
      </c>
      <c r="G1115" s="0" t="n">
        <f aca="false">SUMPRODUCT(D1115:F1115,Stats!$B$6:$D$6)</f>
        <v>0.373070781792374</v>
      </c>
      <c r="H1115" s="0" t="n">
        <f aca="false">SQRT(SUMPRODUCT(MMULT(D1115:F1115,Stats!$B$12:$D$14),D1115:F1115))</f>
        <v>0.227858005269996</v>
      </c>
      <c r="I1115" s="0" t="n">
        <f aca="false">(G1115-Stats!$B$2)/H1115</f>
        <v>1.45296971857574</v>
      </c>
    </row>
    <row r="1116" customFormat="false" ht="15" hidden="false" customHeight="false" outlineLevel="0" collapsed="false">
      <c r="A1116" s="0" t="n">
        <v>0.632391324328387</v>
      </c>
      <c r="B1116" s="0" t="n">
        <v>0.156476716003601</v>
      </c>
      <c r="C1116" s="0" t="n">
        <v>0.473921220116103</v>
      </c>
      <c r="D1116" s="0" t="n">
        <f aca="false">A1116/SUM($A1116:$C1116)</f>
        <v>0.50078927983913</v>
      </c>
      <c r="E1116" s="0" t="n">
        <f aca="false">B1116/SUM($A1116:$C1116)</f>
        <v>0.123913562543346</v>
      </c>
      <c r="F1116" s="0" t="n">
        <f aca="false">C1116/SUM($A1116:$C1116)</f>
        <v>0.375297157617523</v>
      </c>
      <c r="G1116" s="0" t="n">
        <f aca="false">SUMPRODUCT(D1116:F1116,Stats!$B$6:$D$6)</f>
        <v>0.353264855692458</v>
      </c>
      <c r="H1116" s="0" t="n">
        <f aca="false">SQRT(SUMPRODUCT(MMULT(D1116:F1116,Stats!$B$12:$D$14),D1116:F1116))</f>
        <v>0.222174416323828</v>
      </c>
      <c r="I1116" s="0" t="n">
        <f aca="false">(G1116-Stats!$B$2)/H1116</f>
        <v>1.40099324144855</v>
      </c>
    </row>
    <row r="1117" customFormat="false" ht="15" hidden="false" customHeight="false" outlineLevel="0" collapsed="false">
      <c r="A1117" s="0" t="n">
        <v>0.716397111958099</v>
      </c>
      <c r="B1117" s="0" t="n">
        <v>0.270942698316365</v>
      </c>
      <c r="C1117" s="0" t="n">
        <v>0.202254180524535</v>
      </c>
      <c r="D1117" s="0" t="n">
        <f aca="false">A1117/SUM($A1117:$C1117)</f>
        <v>0.6022198476952</v>
      </c>
      <c r="E1117" s="0" t="n">
        <f aca="false">B1117/SUM($A1117:$C1117)</f>
        <v>0.227760648096738</v>
      </c>
      <c r="F1117" s="0" t="n">
        <f aca="false">C1117/SUM($A1117:$C1117)</f>
        <v>0.170019504208061</v>
      </c>
      <c r="G1117" s="0" t="n">
        <f aca="false">SUMPRODUCT(D1117:F1117,Stats!$B$6:$D$6)</f>
        <v>0.364900534927377</v>
      </c>
      <c r="H1117" s="0" t="n">
        <f aca="false">SQRT(SUMPRODUCT(MMULT(D1117:F1117,Stats!$B$12:$D$14),D1117:F1117))</f>
        <v>0.22288182357359</v>
      </c>
      <c r="I1117" s="0" t="n">
        <f aca="false">(G1117-Stats!$B$2)/H1117</f>
        <v>1.44875221204731</v>
      </c>
    </row>
    <row r="1118" customFormat="false" ht="15" hidden="false" customHeight="false" outlineLevel="0" collapsed="false">
      <c r="A1118" s="0" t="n">
        <v>0.313826808224416</v>
      </c>
      <c r="B1118" s="0" t="n">
        <v>0.241500627992833</v>
      </c>
      <c r="C1118" s="0" t="n">
        <v>0.214912637036396</v>
      </c>
      <c r="D1118" s="0" t="n">
        <f aca="false">A1118/SUM($A1118:$C1118)</f>
        <v>0.407440250282941</v>
      </c>
      <c r="E1118" s="0" t="n">
        <f aca="false">B1118/SUM($A1118:$C1118)</f>
        <v>0.31353942280968</v>
      </c>
      <c r="F1118" s="0" t="n">
        <f aca="false">C1118/SUM($A1118:$C1118)</f>
        <v>0.279020326907379</v>
      </c>
      <c r="G1118" s="0" t="n">
        <f aca="false">SUMPRODUCT(D1118:F1118,Stats!$B$6:$D$6)</f>
        <v>0.366830478841051</v>
      </c>
      <c r="H1118" s="0" t="n">
        <f aca="false">SQRT(SUMPRODUCT(MMULT(D1118:F1118,Stats!$B$12:$D$14),D1118:F1118))</f>
        <v>0.224473394331481</v>
      </c>
      <c r="I1118" s="0" t="n">
        <f aca="false">(G1118-Stats!$B$2)/H1118</f>
        <v>1.44707785886363</v>
      </c>
    </row>
    <row r="1119" customFormat="false" ht="15" hidden="false" customHeight="false" outlineLevel="0" collapsed="false">
      <c r="A1119" s="0" t="n">
        <v>0.424850842868087</v>
      </c>
      <c r="B1119" s="0" t="n">
        <v>0.907838513883534</v>
      </c>
      <c r="C1119" s="0" t="n">
        <v>0.507059646738718</v>
      </c>
      <c r="D1119" s="0" t="n">
        <f aca="false">A1119/SUM($A1119:$C1119)</f>
        <v>0.230928698459446</v>
      </c>
      <c r="E1119" s="0" t="n">
        <f aca="false">B1119/SUM($A1119:$C1119)</f>
        <v>0.493457809821448</v>
      </c>
      <c r="F1119" s="0" t="n">
        <f aca="false">C1119/SUM($A1119:$C1119)</f>
        <v>0.275613491719106</v>
      </c>
      <c r="G1119" s="0" t="n">
        <f aca="false">SUMPRODUCT(D1119:F1119,Stats!$B$6:$D$6)</f>
        <v>0.377276692135875</v>
      </c>
      <c r="H1119" s="0" t="n">
        <f aca="false">SQRT(SUMPRODUCT(MMULT(D1119:F1119,Stats!$B$12:$D$14),D1119:F1119))</f>
        <v>0.231180377047722</v>
      </c>
      <c r="I1119" s="0" t="n">
        <f aca="false">(G1119-Stats!$B$2)/H1119</f>
        <v>1.45028179475054</v>
      </c>
    </row>
    <row r="1120" customFormat="false" ht="15" hidden="false" customHeight="false" outlineLevel="0" collapsed="false">
      <c r="A1120" s="0" t="n">
        <v>0.187920380815323</v>
      </c>
      <c r="B1120" s="0" t="n">
        <v>0.0769716693808741</v>
      </c>
      <c r="C1120" s="0" t="n">
        <v>0.696156145137925</v>
      </c>
      <c r="D1120" s="0" t="n">
        <f aca="false">A1120/SUM($A1120:$C1120)</f>
        <v>0.195536895784909</v>
      </c>
      <c r="E1120" s="0" t="n">
        <f aca="false">B1120/SUM($A1120:$C1120)</f>
        <v>0.0800913728932333</v>
      </c>
      <c r="F1120" s="0" t="n">
        <f aca="false">C1120/SUM($A1120:$C1120)</f>
        <v>0.724371731321858</v>
      </c>
      <c r="G1120" s="0" t="n">
        <f aca="false">SUMPRODUCT(D1120:F1120,Stats!$B$6:$D$6)</f>
        <v>0.341117786509184</v>
      </c>
      <c r="H1120" s="0" t="n">
        <f aca="false">SQRT(SUMPRODUCT(MMULT(D1120:F1120,Stats!$B$12:$D$14),D1120:F1120))</f>
        <v>0.237618980510135</v>
      </c>
      <c r="I1120" s="0" t="n">
        <f aca="false">(G1120-Stats!$B$2)/H1120</f>
        <v>1.2588126835113</v>
      </c>
    </row>
    <row r="1121" customFormat="false" ht="15" hidden="false" customHeight="false" outlineLevel="0" collapsed="false">
      <c r="A1121" s="0" t="n">
        <v>0.382798764436388</v>
      </c>
      <c r="B1121" s="0" t="n">
        <v>0.821830946585359</v>
      </c>
      <c r="C1121" s="0" t="n">
        <v>0.65951076864077</v>
      </c>
      <c r="D1121" s="0" t="n">
        <f aca="false">A1121/SUM($A1121:$C1121)</f>
        <v>0.205348667985414</v>
      </c>
      <c r="E1121" s="0" t="n">
        <f aca="false">B1121/SUM($A1121:$C1121)</f>
        <v>0.440863205081059</v>
      </c>
      <c r="F1121" s="0" t="n">
        <f aca="false">C1121/SUM($A1121:$C1121)</f>
        <v>0.353788126933528</v>
      </c>
      <c r="G1121" s="0" t="n">
        <f aca="false">SUMPRODUCT(D1121:F1121,Stats!$B$6:$D$6)</f>
        <v>0.372094831152486</v>
      </c>
      <c r="H1121" s="0" t="n">
        <f aca="false">SQRT(SUMPRODUCT(MMULT(D1121:F1121,Stats!$B$12:$D$14),D1121:F1121))</f>
        <v>0.23154678689546</v>
      </c>
      <c r="I1121" s="0" t="n">
        <f aca="false">(G1121-Stats!$B$2)/H1121</f>
        <v>1.42560747906866</v>
      </c>
    </row>
    <row r="1122" customFormat="false" ht="15" hidden="false" customHeight="false" outlineLevel="0" collapsed="false">
      <c r="A1122" s="0" t="n">
        <v>0.796241450541369</v>
      </c>
      <c r="B1122" s="0" t="n">
        <v>0.271946039418449</v>
      </c>
      <c r="C1122" s="0" t="n">
        <v>0.692358922461058</v>
      </c>
      <c r="D1122" s="0" t="n">
        <f aca="false">A1122/SUM($A1122:$C1122)</f>
        <v>0.45226950276561</v>
      </c>
      <c r="E1122" s="0" t="n">
        <f aca="false">B1122/SUM($A1122:$C1122)</f>
        <v>0.154466839101676</v>
      </c>
      <c r="F1122" s="0" t="n">
        <f aca="false">C1122/SUM($A1122:$C1122)</f>
        <v>0.393263658132713</v>
      </c>
      <c r="G1122" s="0" t="n">
        <f aca="false">SUMPRODUCT(D1122:F1122,Stats!$B$6:$D$6)</f>
        <v>0.354527432339865</v>
      </c>
      <c r="H1122" s="0" t="n">
        <f aca="false">SQRT(SUMPRODUCT(MMULT(D1122:F1122,Stats!$B$12:$D$14),D1122:F1122))</f>
        <v>0.223034366819481</v>
      </c>
      <c r="I1122" s="0" t="n">
        <f aca="false">(G1122-Stats!$B$2)/H1122</f>
        <v>1.40125235763697</v>
      </c>
    </row>
    <row r="1123" customFormat="false" ht="15" hidden="false" customHeight="false" outlineLevel="0" collapsed="false">
      <c r="A1123" s="0" t="n">
        <v>0.264061984693719</v>
      </c>
      <c r="B1123" s="0" t="n">
        <v>0.939068479450292</v>
      </c>
      <c r="C1123" s="0" t="n">
        <v>0.636374281533374</v>
      </c>
      <c r="D1123" s="0" t="n">
        <f aca="false">A1123/SUM($A1123:$C1123)</f>
        <v>0.143550586272872</v>
      </c>
      <c r="E1123" s="0" t="n">
        <f aca="false">B1123/SUM($A1123:$C1123)</f>
        <v>0.510500710398812</v>
      </c>
      <c r="F1123" s="0" t="n">
        <f aca="false">C1123/SUM($A1123:$C1123)</f>
        <v>0.345948703328316</v>
      </c>
      <c r="G1123" s="0" t="n">
        <f aca="false">SUMPRODUCT(D1123:F1123,Stats!$B$6:$D$6)</f>
        <v>0.376317852169123</v>
      </c>
      <c r="H1123" s="0" t="n">
        <f aca="false">SQRT(SUMPRODUCT(MMULT(D1123:F1123,Stats!$B$12:$D$14),D1123:F1123))</f>
        <v>0.234839262661242</v>
      </c>
      <c r="I1123" s="0" t="n">
        <f aca="false">(G1123-Stats!$B$2)/H1123</f>
        <v>1.42360288641929</v>
      </c>
    </row>
    <row r="1124" customFormat="false" ht="15" hidden="false" customHeight="false" outlineLevel="0" collapsed="false">
      <c r="A1124" s="0" t="n">
        <v>0.324511800175342</v>
      </c>
      <c r="B1124" s="0" t="n">
        <v>0.269511862292273</v>
      </c>
      <c r="C1124" s="0" t="n">
        <v>0.190926585071644</v>
      </c>
      <c r="D1124" s="0" t="n">
        <f aca="false">A1124/SUM($A1124:$C1124)</f>
        <v>0.413417030178224</v>
      </c>
      <c r="E1124" s="0" t="n">
        <f aca="false">B1124/SUM($A1124:$C1124)</f>
        <v>0.343348974202079</v>
      </c>
      <c r="F1124" s="0" t="n">
        <f aca="false">C1124/SUM($A1124:$C1124)</f>
        <v>0.243233995619696</v>
      </c>
      <c r="G1124" s="0" t="n">
        <f aca="false">SUMPRODUCT(D1124:F1124,Stats!$B$6:$D$6)</f>
        <v>0.369532476167533</v>
      </c>
      <c r="H1124" s="0" t="n">
        <f aca="false">SQRT(SUMPRODUCT(MMULT(D1124:F1124,Stats!$B$12:$D$14),D1124:F1124))</f>
        <v>0.22478314906325</v>
      </c>
      <c r="I1124" s="0" t="n">
        <f aca="false">(G1124-Stats!$B$2)/H1124</f>
        <v>1.45710422481612</v>
      </c>
    </row>
    <row r="1125" customFormat="false" ht="15" hidden="false" customHeight="false" outlineLevel="0" collapsed="false">
      <c r="A1125" s="0" t="n">
        <v>0.694640958893728</v>
      </c>
      <c r="B1125" s="0" t="n">
        <v>0.218715612997927</v>
      </c>
      <c r="C1125" s="0" t="n">
        <v>0.595303265927489</v>
      </c>
      <c r="D1125" s="0" t="n">
        <f aca="false">A1125/SUM($A1125:$C1125)</f>
        <v>0.460435773181231</v>
      </c>
      <c r="E1125" s="0" t="n">
        <f aca="false">B1125/SUM($A1125:$C1125)</f>
        <v>0.144973444321348</v>
      </c>
      <c r="F1125" s="0" t="n">
        <f aca="false">C1125/SUM($A1125:$C1125)</f>
        <v>0.394590782497422</v>
      </c>
      <c r="G1125" s="0" t="n">
        <f aca="false">SUMPRODUCT(D1125:F1125,Stats!$B$6:$D$6)</f>
        <v>0.353944599747348</v>
      </c>
      <c r="H1125" s="0" t="n">
        <f aca="false">SQRT(SUMPRODUCT(MMULT(D1125:F1125,Stats!$B$12:$D$14),D1125:F1125))</f>
        <v>0.222888487750002</v>
      </c>
      <c r="I1125" s="0" t="n">
        <f aca="false">(G1125-Stats!$B$2)/H1125</f>
        <v>1.39955456154933</v>
      </c>
    </row>
    <row r="1126" customFormat="false" ht="15" hidden="false" customHeight="false" outlineLevel="0" collapsed="false">
      <c r="A1126" s="0" t="n">
        <v>0.264635026925357</v>
      </c>
      <c r="B1126" s="0" t="n">
        <v>0.661968944793869</v>
      </c>
      <c r="C1126" s="0" t="n">
        <v>0.814939728540539</v>
      </c>
      <c r="D1126" s="0" t="n">
        <f aca="false">A1126/SUM($A1126:$C1126)</f>
        <v>0.151954284515447</v>
      </c>
      <c r="E1126" s="0" t="n">
        <f aca="false">B1126/SUM($A1126:$C1126)</f>
        <v>0.380104699465842</v>
      </c>
      <c r="F1126" s="0" t="n">
        <f aca="false">C1126/SUM($A1126:$C1126)</f>
        <v>0.467941016018711</v>
      </c>
      <c r="G1126" s="0" t="n">
        <f aca="false">SUMPRODUCT(D1126:F1126,Stats!$B$6:$D$6)</f>
        <v>0.365451143366567</v>
      </c>
      <c r="H1126" s="0" t="n">
        <f aca="false">SQRT(SUMPRODUCT(MMULT(D1126:F1126,Stats!$B$12:$D$14),D1126:F1126))</f>
        <v>0.23417587412064</v>
      </c>
      <c r="I1126" s="0" t="n">
        <f aca="false">(G1126-Stats!$B$2)/H1126</f>
        <v>1.3812317113416</v>
      </c>
    </row>
    <row r="1127" customFormat="false" ht="15" hidden="false" customHeight="false" outlineLevel="0" collapsed="false">
      <c r="A1127" s="0" t="n">
        <v>0.778025243144653</v>
      </c>
      <c r="B1127" s="0" t="n">
        <v>0.760851330930782</v>
      </c>
      <c r="C1127" s="0" t="n">
        <v>0.187722405692252</v>
      </c>
      <c r="D1127" s="0" t="n">
        <f aca="false">A1127/SUM($A1127:$C1127)</f>
        <v>0.45061143453782</v>
      </c>
      <c r="E1127" s="0" t="n">
        <f aca="false">B1127/SUM($A1127:$C1127)</f>
        <v>0.440664763414348</v>
      </c>
      <c r="F1127" s="0" t="n">
        <f aca="false">C1127/SUM($A1127:$C1127)</f>
        <v>0.108723802047833</v>
      </c>
      <c r="G1127" s="0" t="n">
        <f aca="false">SUMPRODUCT(D1127:F1127,Stats!$B$6:$D$6)</f>
        <v>0.37884096757785</v>
      </c>
      <c r="H1127" s="0" t="n">
        <f aca="false">SQRT(SUMPRODUCT(MMULT(D1127:F1127,Stats!$B$12:$D$14),D1127:F1127))</f>
        <v>0.226895956647251</v>
      </c>
      <c r="I1127" s="0" t="n">
        <f aca="false">(G1127-Stats!$B$2)/H1127</f>
        <v>1.48456134941852</v>
      </c>
    </row>
    <row r="1128" customFormat="false" ht="15" hidden="false" customHeight="false" outlineLevel="0" collapsed="false">
      <c r="A1128" s="0" t="n">
        <v>0.0883849469845187</v>
      </c>
      <c r="B1128" s="0" t="n">
        <v>0.698948828487386</v>
      </c>
      <c r="C1128" s="0" t="n">
        <v>0.368347213794351</v>
      </c>
      <c r="D1128" s="0" t="n">
        <f aca="false">A1128/SUM($A1128:$C1128)</f>
        <v>0.0764786717142717</v>
      </c>
      <c r="E1128" s="0" t="n">
        <f aca="false">B1128/SUM($A1128:$C1128)</f>
        <v>0.604793913700311</v>
      </c>
      <c r="F1128" s="0" t="n">
        <f aca="false">C1128/SUM($A1128:$C1128)</f>
        <v>0.318727414585418</v>
      </c>
      <c r="G1128" s="0" t="n">
        <f aca="false">SUMPRODUCT(D1128:F1128,Stats!$B$6:$D$6)</f>
        <v>0.382493977613014</v>
      </c>
      <c r="H1128" s="0" t="n">
        <f aca="false">SQRT(SUMPRODUCT(MMULT(D1128:F1128,Stats!$B$12:$D$14),D1128:F1128))</f>
        <v>0.239131706624644</v>
      </c>
      <c r="I1128" s="0" t="n">
        <f aca="false">(G1128-Stats!$B$2)/H1128</f>
        <v>1.42387633333573</v>
      </c>
    </row>
    <row r="1129" customFormat="false" ht="15" hidden="false" customHeight="false" outlineLevel="0" collapsed="false">
      <c r="A1129" s="0" t="n">
        <v>0.432346226403347</v>
      </c>
      <c r="B1129" s="0" t="n">
        <v>0.0311490927933911</v>
      </c>
      <c r="C1129" s="0" t="n">
        <v>0.259576449275049</v>
      </c>
      <c r="D1129" s="0" t="n">
        <f aca="false">A1129/SUM($A1129:$C1129)</f>
        <v>0.597929894728308</v>
      </c>
      <c r="E1129" s="0" t="n">
        <f aca="false">B1129/SUM($A1129:$C1129)</f>
        <v>0.0430788396831267</v>
      </c>
      <c r="F1129" s="0" t="n">
        <f aca="false">C1129/SUM($A1129:$C1129)</f>
        <v>0.358991265588565</v>
      </c>
      <c r="G1129" s="0" t="n">
        <f aca="false">SUMPRODUCT(D1129:F1129,Stats!$B$6:$D$6)</f>
        <v>0.349063359062538</v>
      </c>
      <c r="H1129" s="0" t="n">
        <f aca="false">SQRT(SUMPRODUCT(MMULT(D1129:F1129,Stats!$B$12:$D$14),D1129:F1129))</f>
        <v>0.221364158392577</v>
      </c>
      <c r="I1129" s="0" t="n">
        <f aca="false">(G1129-Stats!$B$2)/H1129</f>
        <v>1.38714126664525</v>
      </c>
    </row>
    <row r="1130" customFormat="false" ht="15" hidden="false" customHeight="false" outlineLevel="0" collapsed="false">
      <c r="A1130" s="0" t="n">
        <v>0.033676403874464</v>
      </c>
      <c r="B1130" s="0" t="n">
        <v>0.879185772601248</v>
      </c>
      <c r="C1130" s="0" t="n">
        <v>0.243396683218531</v>
      </c>
      <c r="D1130" s="0" t="n">
        <f aca="false">A1130/SUM($A1130:$C1130)</f>
        <v>0.0291253153150924</v>
      </c>
      <c r="E1130" s="0" t="n">
        <f aca="false">B1130/SUM($A1130:$C1130)</f>
        <v>0.7603710581156</v>
      </c>
      <c r="F1130" s="0" t="n">
        <f aca="false">C1130/SUM($A1130:$C1130)</f>
        <v>0.210503626569308</v>
      </c>
      <c r="G1130" s="0" t="n">
        <f aca="false">SUMPRODUCT(D1130:F1130,Stats!$B$6:$D$6)</f>
        <v>0.394429914472598</v>
      </c>
      <c r="H1130" s="0" t="n">
        <f aca="false">SQRT(SUMPRODUCT(MMULT(D1130:F1130,Stats!$B$12:$D$14),D1130:F1130))</f>
        <v>0.244468339562754</v>
      </c>
      <c r="I1130" s="0" t="n">
        <f aca="false">(G1130-Stats!$B$2)/H1130</f>
        <v>1.44161781890833</v>
      </c>
    </row>
    <row r="1131" customFormat="false" ht="15" hidden="false" customHeight="false" outlineLevel="0" collapsed="false">
      <c r="A1131" s="0" t="n">
        <v>0.557337169573008</v>
      </c>
      <c r="B1131" s="0" t="n">
        <v>0.0389793206611304</v>
      </c>
      <c r="C1131" s="0" t="n">
        <v>0.666847391305658</v>
      </c>
      <c r="D1131" s="0" t="n">
        <f aca="false">A1131/SUM($A1131:$C1131)</f>
        <v>0.441223168045</v>
      </c>
      <c r="E1131" s="0" t="n">
        <f aca="false">B1131/SUM($A1131:$C1131)</f>
        <v>0.0308584826013349</v>
      </c>
      <c r="F1131" s="0" t="n">
        <f aca="false">C1131/SUM($A1131:$C1131)</f>
        <v>0.527918349353665</v>
      </c>
      <c r="G1131" s="0" t="n">
        <f aca="false">SUMPRODUCT(D1131:F1131,Stats!$B$6:$D$6)</f>
        <v>0.343702116170501</v>
      </c>
      <c r="H1131" s="0" t="n">
        <f aca="false">SQRT(SUMPRODUCT(MMULT(D1131:F1131,Stats!$B$12:$D$14),D1131:F1131))</f>
        <v>0.224905556664787</v>
      </c>
      <c r="I1131" s="0" t="n">
        <f aca="false">(G1131-Stats!$B$2)/H1131</f>
        <v>1.3414613700282</v>
      </c>
    </row>
    <row r="1132" customFormat="false" ht="15" hidden="false" customHeight="false" outlineLevel="0" collapsed="false">
      <c r="A1132" s="0" t="n">
        <v>0.323027345754094</v>
      </c>
      <c r="B1132" s="0" t="n">
        <v>0.897919186957666</v>
      </c>
      <c r="C1132" s="0" t="n">
        <v>0.888118188934036</v>
      </c>
      <c r="D1132" s="0" t="n">
        <f aca="false">A1132/SUM($A1132:$C1132)</f>
        <v>0.153161419106201</v>
      </c>
      <c r="E1132" s="0" t="n">
        <f aca="false">B1132/SUM($A1132:$C1132)</f>
        <v>0.425742831759558</v>
      </c>
      <c r="F1132" s="0" t="n">
        <f aca="false">C1132/SUM($A1132:$C1132)</f>
        <v>0.421095749134241</v>
      </c>
      <c r="G1132" s="0" t="n">
        <f aca="false">SUMPRODUCT(D1132:F1132,Stats!$B$6:$D$6)</f>
        <v>0.369368842647171</v>
      </c>
      <c r="H1132" s="0" t="n">
        <f aca="false">SQRT(SUMPRODUCT(MMULT(D1132:F1132,Stats!$B$12:$D$14),D1132:F1132))</f>
        <v>0.233979416771321</v>
      </c>
      <c r="I1132" s="0" t="n">
        <f aca="false">(G1132-Stats!$B$2)/H1132</f>
        <v>1.39913521951858</v>
      </c>
    </row>
    <row r="1133" customFormat="false" ht="15" hidden="false" customHeight="false" outlineLevel="0" collapsed="false">
      <c r="A1133" s="0" t="n">
        <v>0.325290618361748</v>
      </c>
      <c r="B1133" s="0" t="n">
        <v>0.900960895690468</v>
      </c>
      <c r="C1133" s="0" t="n">
        <v>0.996157673498779</v>
      </c>
      <c r="D1133" s="0" t="n">
        <f aca="false">A1133/SUM($A1133:$C1133)</f>
        <v>0.14636846364022</v>
      </c>
      <c r="E1133" s="0" t="n">
        <f aca="false">B1133/SUM($A1133:$C1133)</f>
        <v>0.405398295119222</v>
      </c>
      <c r="F1133" s="0" t="n">
        <f aca="false">C1133/SUM($A1133:$C1133)</f>
        <v>0.448233241240559</v>
      </c>
      <c r="G1133" s="0" t="n">
        <f aca="false">SUMPRODUCT(D1133:F1133,Stats!$B$6:$D$6)</f>
        <v>0.367449938433101</v>
      </c>
      <c r="H1133" s="0" t="n">
        <f aca="false">SQRT(SUMPRODUCT(MMULT(D1133:F1133,Stats!$B$12:$D$14),D1133:F1133))</f>
        <v>0.234382418655246</v>
      </c>
      <c r="I1133" s="0" t="n">
        <f aca="false">(G1133-Stats!$B$2)/H1133</f>
        <v>1.3885424525455</v>
      </c>
    </row>
    <row r="1134" customFormat="false" ht="15" hidden="false" customHeight="false" outlineLevel="0" collapsed="false">
      <c r="A1134" s="0" t="n">
        <v>0.825415664123948</v>
      </c>
      <c r="B1134" s="0" t="n">
        <v>0.844871347755229</v>
      </c>
      <c r="C1134" s="0" t="n">
        <v>0.24900873610909</v>
      </c>
      <c r="D1134" s="0" t="n">
        <f aca="false">A1134/SUM($A1134:$C1134)</f>
        <v>0.430061737483198</v>
      </c>
      <c r="E1134" s="0" t="n">
        <f aca="false">B1134/SUM($A1134:$C1134)</f>
        <v>0.440198624230159</v>
      </c>
      <c r="F1134" s="0" t="n">
        <f aca="false">C1134/SUM($A1134:$C1134)</f>
        <v>0.129739638286643</v>
      </c>
      <c r="G1134" s="0" t="n">
        <f aca="false">SUMPRODUCT(D1134:F1134,Stats!$B$6:$D$6)</f>
        <v>0.378234642931334</v>
      </c>
      <c r="H1134" s="0" t="n">
        <f aca="false">SQRT(SUMPRODUCT(MMULT(D1134:F1134,Stats!$B$12:$D$14),D1134:F1134))</f>
        <v>0.226826924076996</v>
      </c>
      <c r="I1134" s="0" t="n">
        <f aca="false">(G1134-Stats!$B$2)/H1134</f>
        <v>1.48234008947368</v>
      </c>
    </row>
    <row r="1135" customFormat="false" ht="15" hidden="false" customHeight="false" outlineLevel="0" collapsed="false">
      <c r="A1135" s="0" t="n">
        <v>0.576702398857756</v>
      </c>
      <c r="B1135" s="0" t="n">
        <v>0.0672559139673679</v>
      </c>
      <c r="C1135" s="0" t="n">
        <v>0.0949179368216697</v>
      </c>
      <c r="D1135" s="0" t="n">
        <f aca="false">A1135/SUM($A1135:$C1135)</f>
        <v>0.780512838426514</v>
      </c>
      <c r="E1135" s="0" t="n">
        <f aca="false">B1135/SUM($A1135:$C1135)</f>
        <v>0.0910245985028187</v>
      </c>
      <c r="F1135" s="0" t="n">
        <f aca="false">C1135/SUM($A1135:$C1135)</f>
        <v>0.128462563070668</v>
      </c>
      <c r="G1135" s="0" t="n">
        <f aca="false">SUMPRODUCT(D1135:F1135,Stats!$B$6:$D$6)</f>
        <v>0.358178836275972</v>
      </c>
      <c r="H1135" s="0" t="n">
        <f aca="false">SQRT(SUMPRODUCT(MMULT(D1135:F1135,Stats!$B$12:$D$14),D1135:F1135))</f>
        <v>0.224490206775311</v>
      </c>
      <c r="I1135" s="0" t="n">
        <f aca="false">(G1135-Stats!$B$2)/H1135</f>
        <v>1.40843042027411</v>
      </c>
    </row>
    <row r="1136" customFormat="false" ht="15" hidden="false" customHeight="false" outlineLevel="0" collapsed="false">
      <c r="A1136" s="0" t="n">
        <v>0.998892612033291</v>
      </c>
      <c r="B1136" s="0" t="n">
        <v>0.326639249425911</v>
      </c>
      <c r="C1136" s="0" t="n">
        <v>0.748183912048846</v>
      </c>
      <c r="D1136" s="0" t="n">
        <f aca="false">A1136/SUM($A1136:$C1136)</f>
        <v>0.481692151255373</v>
      </c>
      <c r="E1136" s="0" t="n">
        <f aca="false">B1136/SUM($A1136:$C1136)</f>
        <v>0.157513991839559</v>
      </c>
      <c r="F1136" s="0" t="n">
        <f aca="false">C1136/SUM($A1136:$C1136)</f>
        <v>0.360793856905069</v>
      </c>
      <c r="G1136" s="0" t="n">
        <f aca="false">SUMPRODUCT(D1136:F1136,Stats!$B$6:$D$6)</f>
        <v>0.355598103844861</v>
      </c>
      <c r="H1136" s="0" t="n">
        <f aca="false">SQRT(SUMPRODUCT(MMULT(D1136:F1136,Stats!$B$12:$D$14),D1136:F1136))</f>
        <v>0.2224300238621</v>
      </c>
      <c r="I1136" s="0" t="n">
        <f aca="false">(G1136-Stats!$B$2)/H1136</f>
        <v>1.4098730845764</v>
      </c>
    </row>
    <row r="1137" customFormat="false" ht="15" hidden="false" customHeight="false" outlineLevel="0" collapsed="false">
      <c r="A1137" s="0" t="n">
        <v>0.806665053026817</v>
      </c>
      <c r="B1137" s="0" t="n">
        <v>0.858023271007229</v>
      </c>
      <c r="C1137" s="0" t="n">
        <v>0.997628297402157</v>
      </c>
      <c r="D1137" s="0" t="n">
        <f aca="false">A1137/SUM($A1137:$C1137)</f>
        <v>0.302993658429573</v>
      </c>
      <c r="E1137" s="0" t="n">
        <f aca="false">B1137/SUM($A1137:$C1137)</f>
        <v>0.322284458617234</v>
      </c>
      <c r="F1137" s="0" t="n">
        <f aca="false">C1137/SUM($A1137:$C1137)</f>
        <v>0.374721882953193</v>
      </c>
      <c r="G1137" s="0" t="n">
        <f aca="false">SUMPRODUCT(D1137:F1137,Stats!$B$6:$D$6)</f>
        <v>0.36469472328373</v>
      </c>
      <c r="H1137" s="0" t="n">
        <f aca="false">SQRT(SUMPRODUCT(MMULT(D1137:F1137,Stats!$B$12:$D$14),D1137:F1137))</f>
        <v>0.227240831436763</v>
      </c>
      <c r="I1137" s="0" t="n">
        <f aca="false">(G1137-Stats!$B$2)/H1137</f>
        <v>1.42005607550124</v>
      </c>
    </row>
    <row r="1138" customFormat="false" ht="15" hidden="false" customHeight="false" outlineLevel="0" collapsed="false">
      <c r="A1138" s="0" t="n">
        <v>0.241496485256868</v>
      </c>
      <c r="B1138" s="0" t="n">
        <v>0.0403508268596997</v>
      </c>
      <c r="C1138" s="0" t="n">
        <v>0.411191517994586</v>
      </c>
      <c r="D1138" s="0" t="n">
        <f aca="false">A1138/SUM($A1138:$C1138)</f>
        <v>0.348460251813214</v>
      </c>
      <c r="E1138" s="0" t="n">
        <f aca="false">B1138/SUM($A1138:$C1138)</f>
        <v>0.0582230390369729</v>
      </c>
      <c r="F1138" s="0" t="n">
        <f aca="false">C1138/SUM($A1138:$C1138)</f>
        <v>0.593316709149813</v>
      </c>
      <c r="G1138" s="0" t="n">
        <f aca="false">SUMPRODUCT(D1138:F1138,Stats!$B$6:$D$6)</f>
        <v>0.343473302712708</v>
      </c>
      <c r="H1138" s="0" t="n">
        <f aca="false">SQRT(SUMPRODUCT(MMULT(D1138:F1138,Stats!$B$12:$D$14),D1138:F1138))</f>
        <v>0.228430802165209</v>
      </c>
      <c r="I1138" s="0" t="n">
        <f aca="false">(G1138-Stats!$B$2)/H1138</f>
        <v>1.31975766777141</v>
      </c>
    </row>
    <row r="1139" customFormat="false" ht="15" hidden="false" customHeight="false" outlineLevel="0" collapsed="false">
      <c r="A1139" s="0" t="n">
        <v>0.130080669828947</v>
      </c>
      <c r="B1139" s="0" t="n">
        <v>0.0224258891620551</v>
      </c>
      <c r="C1139" s="0" t="n">
        <v>0.360426827141486</v>
      </c>
      <c r="D1139" s="0" t="n">
        <f aca="false">A1139/SUM($A1139:$C1139)</f>
        <v>0.253601487728755</v>
      </c>
      <c r="E1139" s="0" t="n">
        <f aca="false">B1139/SUM($A1139:$C1139)</f>
        <v>0.0437208607752092</v>
      </c>
      <c r="F1139" s="0" t="n">
        <f aca="false">C1139/SUM($A1139:$C1139)</f>
        <v>0.702677651496036</v>
      </c>
      <c r="G1139" s="0" t="n">
        <f aca="false">SUMPRODUCT(D1139:F1139,Stats!$B$6:$D$6)</f>
        <v>0.339623280222561</v>
      </c>
      <c r="H1139" s="0" t="n">
        <f aca="false">SQRT(SUMPRODUCT(MMULT(D1139:F1139,Stats!$B$12:$D$14),D1139:F1139))</f>
        <v>0.234683482075319</v>
      </c>
      <c r="I1139" s="0" t="n">
        <f aca="false">(G1139-Stats!$B$2)/H1139</f>
        <v>1.26819014951825</v>
      </c>
    </row>
    <row r="1140" customFormat="false" ht="15" hidden="false" customHeight="false" outlineLevel="0" collapsed="false">
      <c r="A1140" s="0" t="n">
        <v>0.783738251075236</v>
      </c>
      <c r="B1140" s="0" t="n">
        <v>0.566180691225071</v>
      </c>
      <c r="C1140" s="0" t="n">
        <v>0.312777989210354</v>
      </c>
      <c r="D1140" s="0" t="n">
        <f aca="false">A1140/SUM($A1140:$C1140)</f>
        <v>0.47136566876512</v>
      </c>
      <c r="E1140" s="0" t="n">
        <f aca="false">B1140/SUM($A1140:$C1140)</f>
        <v>0.340519478020965</v>
      </c>
      <c r="F1140" s="0" t="n">
        <f aca="false">C1140/SUM($A1140:$C1140)</f>
        <v>0.188114853213914</v>
      </c>
      <c r="G1140" s="0" t="n">
        <f aca="false">SUMPRODUCT(D1140:F1140,Stats!$B$6:$D$6)</f>
        <v>0.37088955977132</v>
      </c>
      <c r="H1140" s="0" t="n">
        <f aca="false">SQRT(SUMPRODUCT(MMULT(D1140:F1140,Stats!$B$12:$D$14),D1140:F1140))</f>
        <v>0.224349540909483</v>
      </c>
      <c r="I1140" s="0" t="n">
        <f aca="false">(G1140-Stats!$B$2)/H1140</f>
        <v>1.46596939061273</v>
      </c>
    </row>
    <row r="1141" customFormat="false" ht="15" hidden="false" customHeight="false" outlineLevel="0" collapsed="false">
      <c r="A1141" s="0" t="n">
        <v>0.65434200549272</v>
      </c>
      <c r="B1141" s="0" t="n">
        <v>0.232018180308811</v>
      </c>
      <c r="C1141" s="0" t="n">
        <v>0.014381446072085</v>
      </c>
      <c r="D1141" s="0" t="n">
        <f aca="false">A1141/SUM($A1141:$C1141)</f>
        <v>0.726448053846068</v>
      </c>
      <c r="E1141" s="0" t="n">
        <f aca="false">B1141/SUM($A1141:$C1141)</f>
        <v>0.257585718366536</v>
      </c>
      <c r="F1141" s="0" t="n">
        <f aca="false">C1141/SUM($A1141:$C1141)</f>
        <v>0.0159662277873961</v>
      </c>
      <c r="G1141" s="0" t="n">
        <f aca="false">SUMPRODUCT(D1141:F1141,Stats!$B$6:$D$6)</f>
        <v>0.370864590714162</v>
      </c>
      <c r="H1141" s="0" t="n">
        <f aca="false">SQRT(SUMPRODUCT(MMULT(D1141:F1141,Stats!$B$12:$D$14),D1141:F1141))</f>
        <v>0.227082202842871</v>
      </c>
      <c r="I1141" s="0" t="n">
        <f aca="false">(G1141-Stats!$B$2)/H1141</f>
        <v>1.44821825135156</v>
      </c>
    </row>
    <row r="1142" customFormat="false" ht="15" hidden="false" customHeight="false" outlineLevel="0" collapsed="false">
      <c r="A1142" s="0" t="n">
        <v>0.764353386436427</v>
      </c>
      <c r="B1142" s="0" t="n">
        <v>0.623743084864009</v>
      </c>
      <c r="C1142" s="0" t="n">
        <v>0.76230262450096</v>
      </c>
      <c r="D1142" s="0" t="n">
        <f aca="false">A1142/SUM($A1142:$C1142)</f>
        <v>0.355447222763816</v>
      </c>
      <c r="E1142" s="0" t="n">
        <f aca="false">B1142/SUM($A1142:$C1142)</f>
        <v>0.290059220207939</v>
      </c>
      <c r="F1142" s="0" t="n">
        <f aca="false">C1142/SUM($A1142:$C1142)</f>
        <v>0.354493557028246</v>
      </c>
      <c r="G1142" s="0" t="n">
        <f aca="false">SUMPRODUCT(D1142:F1142,Stats!$B$6:$D$6)</f>
        <v>0.363398313081126</v>
      </c>
      <c r="H1142" s="0" t="n">
        <f aca="false">SQRT(SUMPRODUCT(MMULT(D1142:F1142,Stats!$B$12:$D$14),D1142:F1142))</f>
        <v>0.225477123943909</v>
      </c>
      <c r="I1142" s="0" t="n">
        <f aca="false">(G1142-Stats!$B$2)/H1142</f>
        <v>1.42541428353982</v>
      </c>
    </row>
    <row r="1143" customFormat="false" ht="15" hidden="false" customHeight="false" outlineLevel="0" collapsed="false">
      <c r="A1143" s="0" t="n">
        <v>0.0389380166876656</v>
      </c>
      <c r="B1143" s="0" t="n">
        <v>0.837119627830652</v>
      </c>
      <c r="C1143" s="0" t="n">
        <v>0.619526200036303</v>
      </c>
      <c r="D1143" s="0" t="n">
        <f aca="false">A1143/SUM($A1143:$C1143)</f>
        <v>0.0260353284969197</v>
      </c>
      <c r="E1143" s="0" t="n">
        <f aca="false">B1143/SUM($A1143:$C1143)</f>
        <v>0.559727648087789</v>
      </c>
      <c r="F1143" s="0" t="n">
        <f aca="false">C1143/SUM($A1143:$C1143)</f>
        <v>0.414237023415291</v>
      </c>
      <c r="G1143" s="0" t="n">
        <f aca="false">SUMPRODUCT(D1143:F1143,Stats!$B$6:$D$6)</f>
        <v>0.377267282289238</v>
      </c>
      <c r="H1143" s="0" t="n">
        <f aca="false">SQRT(SUMPRODUCT(MMULT(D1143:F1143,Stats!$B$12:$D$14),D1143:F1143))</f>
        <v>0.241558983125371</v>
      </c>
      <c r="I1143" s="0" t="n">
        <f aca="false">(G1143-Stats!$B$2)/H1143</f>
        <v>1.38793133648535</v>
      </c>
    </row>
    <row r="1144" customFormat="false" ht="15" hidden="false" customHeight="false" outlineLevel="0" collapsed="false">
      <c r="A1144" s="0" t="n">
        <v>0.56339535071264</v>
      </c>
      <c r="B1144" s="0" t="n">
        <v>0.624614048114532</v>
      </c>
      <c r="C1144" s="0" t="n">
        <v>0.864433246868364</v>
      </c>
      <c r="D1144" s="0" t="n">
        <f aca="false">A1144/SUM($A1144:$C1144)</f>
        <v>0.274499924221617</v>
      </c>
      <c r="E1144" s="0" t="n">
        <f aca="false">B1144/SUM($A1144:$C1144)</f>
        <v>0.304327163258129</v>
      </c>
      <c r="F1144" s="0" t="n">
        <f aca="false">C1144/SUM($A1144:$C1144)</f>
        <v>0.421172912520254</v>
      </c>
      <c r="G1144" s="0" t="n">
        <f aca="false">SUMPRODUCT(D1144:F1144,Stats!$B$6:$D$6)</f>
        <v>0.362380614476133</v>
      </c>
      <c r="H1144" s="0" t="n">
        <f aca="false">SQRT(SUMPRODUCT(MMULT(D1144:F1144,Stats!$B$12:$D$14),D1144:F1144))</f>
        <v>0.228365074235908</v>
      </c>
      <c r="I1144" s="0" t="n">
        <f aca="false">(G1144-Stats!$B$2)/H1144</f>
        <v>1.40293175542758</v>
      </c>
    </row>
    <row r="1145" customFormat="false" ht="15" hidden="false" customHeight="false" outlineLevel="0" collapsed="false">
      <c r="A1145" s="0" t="n">
        <v>0.586936506558907</v>
      </c>
      <c r="B1145" s="0" t="n">
        <v>0.580950379888179</v>
      </c>
      <c r="C1145" s="0" t="n">
        <v>0.990679157065766</v>
      </c>
      <c r="D1145" s="0" t="n">
        <f aca="false">A1145/SUM($A1145:$C1145)</f>
        <v>0.271910376948081</v>
      </c>
      <c r="E1145" s="0" t="n">
        <f aca="false">B1145/SUM($A1145:$C1145)</f>
        <v>0.269137180969798</v>
      </c>
      <c r="F1145" s="0" t="n">
        <f aca="false">C1145/SUM($A1145:$C1145)</f>
        <v>0.458952442082121</v>
      </c>
      <c r="G1145" s="0" t="n">
        <f aca="false">SUMPRODUCT(D1145:F1145,Stats!$B$6:$D$6)</f>
        <v>0.359314072443868</v>
      </c>
      <c r="H1145" s="0" t="n">
        <f aca="false">SQRT(SUMPRODUCT(MMULT(D1145:F1145,Stats!$B$12:$D$14),D1145:F1145))</f>
        <v>0.228669173931367</v>
      </c>
      <c r="I1145" s="0" t="n">
        <f aca="false">(G1145-Stats!$B$2)/H1145</f>
        <v>1.38765565549778</v>
      </c>
    </row>
    <row r="1146" customFormat="false" ht="15" hidden="false" customHeight="false" outlineLevel="0" collapsed="false">
      <c r="A1146" s="0" t="n">
        <v>0.756730167068568</v>
      </c>
      <c r="B1146" s="0" t="n">
        <v>0.442293805451135</v>
      </c>
      <c r="C1146" s="0" t="n">
        <v>0.707397000032928</v>
      </c>
      <c r="D1146" s="0" t="n">
        <f aca="false">A1146/SUM($A1146:$C1146)</f>
        <v>0.39693760085703</v>
      </c>
      <c r="E1146" s="0" t="n">
        <f aca="false">B1146/SUM($A1146:$C1146)</f>
        <v>0.232002171513524</v>
      </c>
      <c r="F1146" s="0" t="n">
        <f aca="false">C1146/SUM($A1146:$C1146)</f>
        <v>0.371060227629445</v>
      </c>
      <c r="G1146" s="0" t="n">
        <f aca="false">SUMPRODUCT(D1146:F1146,Stats!$B$6:$D$6)</f>
        <v>0.359600966071065</v>
      </c>
      <c r="H1146" s="0" t="n">
        <f aca="false">SQRT(SUMPRODUCT(MMULT(D1146:F1146,Stats!$B$12:$D$14),D1146:F1146))</f>
        <v>0.224245999404594</v>
      </c>
      <c r="I1146" s="0" t="n">
        <f aca="false">(G1146-Stats!$B$2)/H1146</f>
        <v>1.41630605189989</v>
      </c>
    </row>
    <row r="1147" customFormat="false" ht="15" hidden="false" customHeight="false" outlineLevel="0" collapsed="false">
      <c r="A1147" s="0" t="n">
        <v>0.389230471691789</v>
      </c>
      <c r="B1147" s="0" t="n">
        <v>0.228875462483499</v>
      </c>
      <c r="C1147" s="0" t="n">
        <v>0.596851876887759</v>
      </c>
      <c r="D1147" s="0" t="n">
        <f aca="false">A1147/SUM($A1147:$C1147)</f>
        <v>0.320365421866974</v>
      </c>
      <c r="E1147" s="0" t="n">
        <f aca="false">B1147/SUM($A1147:$C1147)</f>
        <v>0.188381407485451</v>
      </c>
      <c r="F1147" s="0" t="n">
        <f aca="false">C1147/SUM($A1147:$C1147)</f>
        <v>0.491253170647575</v>
      </c>
      <c r="G1147" s="0" t="n">
        <f aca="false">SUMPRODUCT(D1147:F1147,Stats!$B$6:$D$6)</f>
        <v>0.353776809591052</v>
      </c>
      <c r="H1147" s="0" t="n">
        <f aca="false">SQRT(SUMPRODUCT(MMULT(D1147:F1147,Stats!$B$12:$D$14),D1147:F1147))</f>
        <v>0.227274919927337</v>
      </c>
      <c r="I1147" s="0" t="n">
        <f aca="false">(G1147-Stats!$B$2)/H1147</f>
        <v>1.37180472746721</v>
      </c>
    </row>
    <row r="1148" customFormat="false" ht="15" hidden="false" customHeight="false" outlineLevel="0" collapsed="false">
      <c r="A1148" s="0" t="n">
        <v>0.928182098113952</v>
      </c>
      <c r="B1148" s="0" t="n">
        <v>0.929139520015463</v>
      </c>
      <c r="C1148" s="0" t="n">
        <v>0.34190527810549</v>
      </c>
      <c r="D1148" s="0" t="n">
        <f aca="false">A1148/SUM($A1148:$C1148)</f>
        <v>0.422049266359468</v>
      </c>
      <c r="E1148" s="0" t="n">
        <f aca="false">B1148/SUM($A1148:$C1148)</f>
        <v>0.422484611117733</v>
      </c>
      <c r="F1148" s="0" t="n">
        <f aca="false">C1148/SUM($A1148:$C1148)</f>
        <v>0.155466122522799</v>
      </c>
      <c r="G1148" s="0" t="n">
        <f aca="false">SUMPRODUCT(D1148:F1148,Stats!$B$6:$D$6)</f>
        <v>0.376506003635758</v>
      </c>
      <c r="H1148" s="0" t="n">
        <f aca="false">SQRT(SUMPRODUCT(MMULT(D1148:F1148,Stats!$B$12:$D$14),D1148:F1148))</f>
        <v>0.226351415028869</v>
      </c>
      <c r="I1148" s="0" t="n">
        <f aca="false">(G1148-Stats!$B$2)/H1148</f>
        <v>1.47781715255941</v>
      </c>
    </row>
    <row r="1149" customFormat="false" ht="15" hidden="false" customHeight="false" outlineLevel="0" collapsed="false">
      <c r="A1149" s="0" t="n">
        <v>0.527677466221695</v>
      </c>
      <c r="B1149" s="0" t="n">
        <v>0.211635898569861</v>
      </c>
      <c r="C1149" s="0" t="n">
        <v>0.995631109498883</v>
      </c>
      <c r="D1149" s="0" t="n">
        <f aca="false">A1149/SUM($A1149:$C1149)</f>
        <v>0.304146601831454</v>
      </c>
      <c r="E1149" s="0" t="n">
        <f aca="false">B1149/SUM($A1149:$C1149)</f>
        <v>0.12198424889443</v>
      </c>
      <c r="F1149" s="0" t="n">
        <f aca="false">C1149/SUM($A1149:$C1149)</f>
        <v>0.573869149274116</v>
      </c>
      <c r="G1149" s="0" t="n">
        <f aca="false">SUMPRODUCT(D1149:F1149,Stats!$B$6:$D$6)</f>
        <v>0.347678299187034</v>
      </c>
      <c r="H1149" s="0" t="n">
        <f aca="false">SQRT(SUMPRODUCT(MMULT(D1149:F1149,Stats!$B$12:$D$14),D1149:F1149))</f>
        <v>0.229252037399206</v>
      </c>
      <c r="I1149" s="0" t="n">
        <f aca="false">(G1149-Stats!$B$2)/H1149</f>
        <v>1.33337222497502</v>
      </c>
    </row>
    <row r="1150" customFormat="false" ht="15" hidden="false" customHeight="false" outlineLevel="0" collapsed="false">
      <c r="A1150" s="0" t="n">
        <v>0.981117907867936</v>
      </c>
      <c r="B1150" s="0" t="n">
        <v>0.649508929707447</v>
      </c>
      <c r="C1150" s="0" t="n">
        <v>0.804414059677473</v>
      </c>
      <c r="D1150" s="0" t="n">
        <f aca="false">A1150/SUM($A1150:$C1150)</f>
        <v>0.40291639823167</v>
      </c>
      <c r="E1150" s="0" t="n">
        <f aca="false">B1150/SUM($A1150:$C1150)</f>
        <v>0.266734300208348</v>
      </c>
      <c r="F1150" s="0" t="n">
        <f aca="false">C1150/SUM($A1150:$C1150)</f>
        <v>0.330349301559982</v>
      </c>
      <c r="G1150" s="0" t="n">
        <f aca="false">SUMPRODUCT(D1150:F1150,Stats!$B$6:$D$6)</f>
        <v>0.362721995931371</v>
      </c>
      <c r="H1150" s="0" t="n">
        <f aca="false">SQRT(SUMPRODUCT(MMULT(D1150:F1150,Stats!$B$12:$D$14),D1150:F1150))</f>
        <v>0.22418566650388</v>
      </c>
      <c r="I1150" s="0" t="n">
        <f aca="false">(G1150-Stats!$B$2)/H1150</f>
        <v>1.43060883834793</v>
      </c>
    </row>
    <row r="1151" customFormat="false" ht="15" hidden="false" customHeight="false" outlineLevel="0" collapsed="false">
      <c r="A1151" s="0" t="n">
        <v>0.7151001612837</v>
      </c>
      <c r="B1151" s="0" t="n">
        <v>0.593158219039468</v>
      </c>
      <c r="C1151" s="0" t="n">
        <v>0.0533479969888977</v>
      </c>
      <c r="D1151" s="0" t="n">
        <f aca="false">A1151/SUM($A1151:$C1151)</f>
        <v>0.525188610452437</v>
      </c>
      <c r="E1151" s="0" t="n">
        <f aca="false">B1151/SUM($A1151:$C1151)</f>
        <v>0.435631199238664</v>
      </c>
      <c r="F1151" s="0" t="n">
        <f aca="false">C1151/SUM($A1151:$C1151)</f>
        <v>0.0391801903088993</v>
      </c>
      <c r="G1151" s="0" t="n">
        <f aca="false">SUMPRODUCT(D1151:F1151,Stats!$B$6:$D$6)</f>
        <v>0.380468981155817</v>
      </c>
      <c r="H1151" s="0" t="n">
        <f aca="false">SQRT(SUMPRODUCT(MMULT(D1151:F1151,Stats!$B$12:$D$14),D1151:F1151))</f>
        <v>0.22759669028299</v>
      </c>
      <c r="I1151" s="0" t="n">
        <f aca="false">(G1151-Stats!$B$2)/H1151</f>
        <v>1.48714368708513</v>
      </c>
    </row>
    <row r="1152" customFormat="false" ht="15" hidden="false" customHeight="false" outlineLevel="0" collapsed="false">
      <c r="A1152" s="0" t="n">
        <v>0.454764342552661</v>
      </c>
      <c r="B1152" s="0" t="n">
        <v>0.674786302167411</v>
      </c>
      <c r="C1152" s="0" t="n">
        <v>0.677531613883685</v>
      </c>
      <c r="D1152" s="0" t="n">
        <f aca="false">A1152/SUM($A1152:$C1152)</f>
        <v>0.251656691546535</v>
      </c>
      <c r="E1152" s="0" t="n">
        <f aca="false">B1152/SUM($A1152:$C1152)</f>
        <v>0.37341205634368</v>
      </c>
      <c r="F1152" s="0" t="n">
        <f aca="false">C1152/SUM($A1152:$C1152)</f>
        <v>0.374931252109785</v>
      </c>
      <c r="G1152" s="0" t="n">
        <f aca="false">SUMPRODUCT(D1152:F1152,Stats!$B$6:$D$6)</f>
        <v>0.367630765809789</v>
      </c>
      <c r="H1152" s="0" t="n">
        <f aca="false">SQRT(SUMPRODUCT(MMULT(D1152:F1152,Stats!$B$12:$D$14),D1152:F1152))</f>
        <v>0.229309959752056</v>
      </c>
      <c r="I1152" s="0" t="n">
        <f aca="false">(G1152-Stats!$B$2)/H1152</f>
        <v>1.42004632577617</v>
      </c>
    </row>
    <row r="1153" customFormat="false" ht="15" hidden="false" customHeight="false" outlineLevel="0" collapsed="false">
      <c r="A1153" s="0" t="n">
        <v>0.373122618422384</v>
      </c>
      <c r="B1153" s="0" t="n">
        <v>0.941691986658031</v>
      </c>
      <c r="C1153" s="0" t="n">
        <v>0.167357032236781</v>
      </c>
      <c r="D1153" s="0" t="n">
        <f aca="false">A1153/SUM($A1153:$C1153)</f>
        <v>0.25174049282022</v>
      </c>
      <c r="E1153" s="0" t="n">
        <f aca="false">B1153/SUM($A1153:$C1153)</f>
        <v>0.635346111711151</v>
      </c>
      <c r="F1153" s="0" t="n">
        <f aca="false">C1153/SUM($A1153:$C1153)</f>
        <v>0.112913395468628</v>
      </c>
      <c r="G1153" s="0" t="n">
        <f aca="false">SUMPRODUCT(D1153:F1153,Stats!$B$6:$D$6)</f>
        <v>0.389927153960533</v>
      </c>
      <c r="H1153" s="0" t="n">
        <f aca="false">SQRT(SUMPRODUCT(MMULT(D1153:F1153,Stats!$B$12:$D$14),D1153:F1153))</f>
        <v>0.234227465419677</v>
      </c>
      <c r="I1153" s="0" t="n">
        <f aca="false">(G1153-Stats!$B$2)/H1153</f>
        <v>1.48542423638122</v>
      </c>
    </row>
    <row r="1154" customFormat="false" ht="15" hidden="false" customHeight="false" outlineLevel="0" collapsed="false">
      <c r="A1154" s="0" t="n">
        <v>0.500359446215561</v>
      </c>
      <c r="B1154" s="0" t="n">
        <v>0.690883976550823</v>
      </c>
      <c r="C1154" s="0" t="n">
        <v>0.697135805891809</v>
      </c>
      <c r="D1154" s="0" t="n">
        <f aca="false">A1154/SUM($A1154:$C1154)</f>
        <v>0.264967671017593</v>
      </c>
      <c r="E1154" s="0" t="n">
        <f aca="false">B1154/SUM($A1154:$C1154)</f>
        <v>0.365860821844422</v>
      </c>
      <c r="F1154" s="0" t="n">
        <f aca="false">C1154/SUM($A1154:$C1154)</f>
        <v>0.369171507137984</v>
      </c>
      <c r="G1154" s="0" t="n">
        <f aca="false">SUMPRODUCT(D1154:F1154,Stats!$B$6:$D$6)</f>
        <v>0.367355100302356</v>
      </c>
      <c r="H1154" s="0" t="n">
        <f aca="false">SQRT(SUMPRODUCT(MMULT(D1154:F1154,Stats!$B$12:$D$14),D1154:F1154))</f>
        <v>0.228762507673109</v>
      </c>
      <c r="I1154" s="0" t="n">
        <f aca="false">(G1154-Stats!$B$2)/H1154</f>
        <v>1.42223961265223</v>
      </c>
    </row>
    <row r="1155" customFormat="false" ht="15" hidden="false" customHeight="false" outlineLevel="0" collapsed="false">
      <c r="A1155" s="0" t="n">
        <v>0.648638956768816</v>
      </c>
      <c r="B1155" s="0" t="n">
        <v>0.27528821345186</v>
      </c>
      <c r="C1155" s="0" t="n">
        <v>0.156206568686622</v>
      </c>
      <c r="D1155" s="0" t="n">
        <f aca="false">A1155/SUM($A1155:$C1155)</f>
        <v>0.600517263190947</v>
      </c>
      <c r="E1155" s="0" t="n">
        <f aca="false">B1155/SUM($A1155:$C1155)</f>
        <v>0.254864933420515</v>
      </c>
      <c r="F1155" s="0" t="n">
        <f aca="false">C1155/SUM($A1155:$C1155)</f>
        <v>0.144617803388538</v>
      </c>
      <c r="G1155" s="0" t="n">
        <f aca="false">SUMPRODUCT(D1155:F1155,Stats!$B$6:$D$6)</f>
        <v>0.367160522554608</v>
      </c>
      <c r="H1155" s="0" t="n">
        <f aca="false">SQRT(SUMPRODUCT(MMULT(D1155:F1155,Stats!$B$12:$D$14),D1155:F1155))</f>
        <v>0.223437086462164</v>
      </c>
      <c r="I1155" s="0" t="n">
        <f aca="false">(G1155-Stats!$B$2)/H1155</f>
        <v>1.45526657057296</v>
      </c>
    </row>
    <row r="1156" customFormat="false" ht="15" hidden="false" customHeight="false" outlineLevel="0" collapsed="false">
      <c r="A1156" s="0" t="n">
        <v>0.635940326826711</v>
      </c>
      <c r="B1156" s="0" t="n">
        <v>0.599302116139438</v>
      </c>
      <c r="C1156" s="0" t="n">
        <v>0.179356010289241</v>
      </c>
      <c r="D1156" s="0" t="n">
        <f aca="false">A1156/SUM($A1156:$C1156)</f>
        <v>0.449555367011206</v>
      </c>
      <c r="E1156" s="0" t="n">
        <f aca="false">B1156/SUM($A1156:$C1156)</f>
        <v>0.423655288721881</v>
      </c>
      <c r="F1156" s="0" t="n">
        <f aca="false">C1156/SUM($A1156:$C1156)</f>
        <v>0.126789344266914</v>
      </c>
      <c r="G1156" s="0" t="n">
        <f aca="false">SUMPRODUCT(D1156:F1156,Stats!$B$6:$D$6)</f>
        <v>0.377364114040659</v>
      </c>
      <c r="H1156" s="0" t="n">
        <f aca="false">SQRT(SUMPRODUCT(MMULT(D1156:F1156,Stats!$B$12:$D$14),D1156:F1156))</f>
        <v>0.226386258160867</v>
      </c>
      <c r="I1156" s="0" t="n">
        <f aca="false">(G1156-Stats!$B$2)/H1156</f>
        <v>1.48138017194645</v>
      </c>
    </row>
    <row r="1157" customFormat="false" ht="15" hidden="false" customHeight="false" outlineLevel="0" collapsed="false">
      <c r="A1157" s="0" t="n">
        <v>0.705139145570563</v>
      </c>
      <c r="B1157" s="0" t="n">
        <v>0.455171991733656</v>
      </c>
      <c r="C1157" s="0" t="n">
        <v>0.667760591603153</v>
      </c>
      <c r="D1157" s="0" t="n">
        <f aca="false">A1157/SUM($A1157:$C1157)</f>
        <v>0.385728379483239</v>
      </c>
      <c r="E1157" s="0" t="n">
        <f aca="false">B1157/SUM($A1157:$C1157)</f>
        <v>0.248990225348384</v>
      </c>
      <c r="F1157" s="0" t="n">
        <f aca="false">C1157/SUM($A1157:$C1157)</f>
        <v>0.365281395168377</v>
      </c>
      <c r="G1157" s="0" t="n">
        <f aca="false">SUMPRODUCT(D1157:F1157,Stats!$B$6:$D$6)</f>
        <v>0.360737785783974</v>
      </c>
      <c r="H1157" s="0" t="n">
        <f aca="false">SQRT(SUMPRODUCT(MMULT(D1157:F1157,Stats!$B$12:$D$14),D1157:F1157))</f>
        <v>0.224552739512755</v>
      </c>
      <c r="I1157" s="0" t="n">
        <f aca="false">(G1157-Stats!$B$2)/H1157</f>
        <v>1.41943396671796</v>
      </c>
    </row>
    <row r="1158" customFormat="false" ht="15" hidden="false" customHeight="false" outlineLevel="0" collapsed="false">
      <c r="A1158" s="0" t="n">
        <v>0.837367079770151</v>
      </c>
      <c r="B1158" s="0" t="n">
        <v>0.169728428576923</v>
      </c>
      <c r="C1158" s="0" t="n">
        <v>0.0191448679968367</v>
      </c>
      <c r="D1158" s="0" t="n">
        <f aca="false">A1158/SUM($A1158:$C1158)</f>
        <v>0.815956085019145</v>
      </c>
      <c r="E1158" s="0" t="n">
        <f aca="false">B1158/SUM($A1158:$C1158)</f>
        <v>0.165388570250567</v>
      </c>
      <c r="F1158" s="0" t="n">
        <f aca="false">C1158/SUM($A1158:$C1158)</f>
        <v>0.0186553447302885</v>
      </c>
      <c r="G1158" s="0" t="n">
        <f aca="false">SUMPRODUCT(D1158:F1158,Stats!$B$6:$D$6)</f>
        <v>0.365485534774592</v>
      </c>
      <c r="H1158" s="0" t="n">
        <f aca="false">SQRT(SUMPRODUCT(MMULT(D1158:F1158,Stats!$B$12:$D$14),D1158:F1158))</f>
        <v>0.227947257970718</v>
      </c>
      <c r="I1158" s="0" t="n">
        <f aca="false">(G1158-Stats!$B$2)/H1158</f>
        <v>1.41912448368274</v>
      </c>
    </row>
    <row r="1159" customFormat="false" ht="15" hidden="false" customHeight="false" outlineLevel="0" collapsed="false">
      <c r="A1159" s="0" t="n">
        <v>0.779102586395787</v>
      </c>
      <c r="B1159" s="0" t="n">
        <v>0.609697425152616</v>
      </c>
      <c r="C1159" s="0" t="n">
        <v>0.699639569622122</v>
      </c>
      <c r="D1159" s="0" t="n">
        <f aca="false">A1159/SUM($A1159:$C1159)</f>
        <v>0.373054884335757</v>
      </c>
      <c r="E1159" s="0" t="n">
        <f aca="false">B1159/SUM($A1159:$C1159)</f>
        <v>0.291939221344816</v>
      </c>
      <c r="F1159" s="0" t="n">
        <f aca="false">C1159/SUM($A1159:$C1159)</f>
        <v>0.335005894319427</v>
      </c>
      <c r="G1159" s="0" t="n">
        <f aca="false">SUMPRODUCT(D1159:F1159,Stats!$B$6:$D$6)</f>
        <v>0.36404385071715</v>
      </c>
      <c r="H1159" s="0" t="n">
        <f aca="false">SQRT(SUMPRODUCT(MMULT(D1159:F1159,Stats!$B$12:$D$14),D1159:F1159))</f>
        <v>0.225011021420452</v>
      </c>
      <c r="I1159" s="0" t="n">
        <f aca="false">(G1159-Stats!$B$2)/H1159</f>
        <v>1.43123589539814</v>
      </c>
    </row>
    <row r="1160" customFormat="false" ht="15" hidden="false" customHeight="false" outlineLevel="0" collapsed="false">
      <c r="A1160" s="0" t="n">
        <v>0.838154974988643</v>
      </c>
      <c r="B1160" s="0" t="n">
        <v>0.802810934824501</v>
      </c>
      <c r="C1160" s="0" t="n">
        <v>0.960920146928825</v>
      </c>
      <c r="D1160" s="0" t="n">
        <f aca="false">A1160/SUM($A1160:$C1160)</f>
        <v>0.322133620270122</v>
      </c>
      <c r="E1160" s="0" t="n">
        <f aca="false">B1160/SUM($A1160:$C1160)</f>
        <v>0.308549612595167</v>
      </c>
      <c r="F1160" s="0" t="n">
        <f aca="false">C1160/SUM($A1160:$C1160)</f>
        <v>0.369316767134711</v>
      </c>
      <c r="G1160" s="0" t="n">
        <f aca="false">SUMPRODUCT(D1160:F1160,Stats!$B$6:$D$6)</f>
        <v>0.364053482010061</v>
      </c>
      <c r="H1160" s="0" t="n">
        <f aca="false">SQRT(SUMPRODUCT(MMULT(D1160:F1160,Stats!$B$12:$D$14),D1160:F1160))</f>
        <v>0.226555975927638</v>
      </c>
      <c r="I1160" s="0" t="n">
        <f aca="false">(G1160-Stats!$B$2)/H1160</f>
        <v>1.42151837174635</v>
      </c>
    </row>
    <row r="1161" customFormat="false" ht="15" hidden="false" customHeight="false" outlineLevel="0" collapsed="false">
      <c r="A1161" s="0" t="n">
        <v>0.535935078852118</v>
      </c>
      <c r="B1161" s="0" t="n">
        <v>0.488495632659905</v>
      </c>
      <c r="C1161" s="0" t="n">
        <v>0.40188719989073</v>
      </c>
      <c r="D1161" s="0" t="n">
        <f aca="false">A1161/SUM($A1161:$C1161)</f>
        <v>0.375747282262646</v>
      </c>
      <c r="E1161" s="0" t="n">
        <f aca="false">B1161/SUM($A1161:$C1161)</f>
        <v>0.342487203417</v>
      </c>
      <c r="F1161" s="0" t="n">
        <f aca="false">C1161/SUM($A1161:$C1161)</f>
        <v>0.281765514320354</v>
      </c>
      <c r="G1161" s="0" t="n">
        <f aca="false">SUMPRODUCT(D1161:F1161,Stats!$B$6:$D$6)</f>
        <v>0.368420399183759</v>
      </c>
      <c r="H1161" s="0" t="n">
        <f aca="false">SQRT(SUMPRODUCT(MMULT(D1161:F1161,Stats!$B$12:$D$14),D1161:F1161))</f>
        <v>0.225369181500699</v>
      </c>
      <c r="I1161" s="0" t="n">
        <f aca="false">(G1161-Stats!$B$2)/H1161</f>
        <v>1.44838081680101</v>
      </c>
    </row>
    <row r="1162" customFormat="false" ht="15" hidden="false" customHeight="false" outlineLevel="0" collapsed="false">
      <c r="A1162" s="0" t="n">
        <v>0.153691042844205</v>
      </c>
      <c r="B1162" s="0" t="n">
        <v>0.572607232882022</v>
      </c>
      <c r="C1162" s="0" t="n">
        <v>0.277012524325979</v>
      </c>
      <c r="D1162" s="0" t="n">
        <f aca="false">A1162/SUM($A1162:$C1162)</f>
        <v>0.153183881640871</v>
      </c>
      <c r="E1162" s="0" t="n">
        <f aca="false">B1162/SUM($A1162:$C1162)</f>
        <v>0.570717700688787</v>
      </c>
      <c r="F1162" s="0" t="n">
        <f aca="false">C1162/SUM($A1162:$C1162)</f>
        <v>0.276098417670342</v>
      </c>
      <c r="G1162" s="0" t="n">
        <f aca="false">SUMPRODUCT(D1162:F1162,Stats!$B$6:$D$6)</f>
        <v>0.381708754614269</v>
      </c>
      <c r="H1162" s="0" t="n">
        <f aca="false">SQRT(SUMPRODUCT(MMULT(D1162:F1162,Stats!$B$12:$D$14),D1162:F1162))</f>
        <v>0.235214108617907</v>
      </c>
      <c r="I1162" s="0" t="n">
        <f aca="false">(G1162-Stats!$B$2)/H1162</f>
        <v>1.44425330865721</v>
      </c>
    </row>
    <row r="1163" customFormat="false" ht="15" hidden="false" customHeight="false" outlineLevel="0" collapsed="false">
      <c r="A1163" s="0" t="n">
        <v>0.921307512212976</v>
      </c>
      <c r="B1163" s="0" t="n">
        <v>0.583190804277098</v>
      </c>
      <c r="C1163" s="0" t="n">
        <v>0.59284018050811</v>
      </c>
      <c r="D1163" s="0" t="n">
        <f aca="false">A1163/SUM($A1163:$C1163)</f>
        <v>0.439274591837034</v>
      </c>
      <c r="E1163" s="0" t="n">
        <f aca="false">B1163/SUM($A1163:$C1163)</f>
        <v>0.278062318081602</v>
      </c>
      <c r="F1163" s="0" t="n">
        <f aca="false">C1163/SUM($A1163:$C1163)</f>
        <v>0.282663090081364</v>
      </c>
      <c r="G1163" s="0" t="n">
        <f aca="false">SUMPRODUCT(D1163:F1163,Stats!$B$6:$D$6)</f>
        <v>0.364688724358673</v>
      </c>
      <c r="H1163" s="0" t="n">
        <f aca="false">SQRT(SUMPRODUCT(MMULT(D1163:F1163,Stats!$B$12:$D$14),D1163:F1163))</f>
        <v>0.223625748415918</v>
      </c>
      <c r="I1163" s="0" t="n">
        <f aca="false">(G1163-Stats!$B$2)/H1163</f>
        <v>1.44298555351734</v>
      </c>
    </row>
    <row r="1164" customFormat="false" ht="15" hidden="false" customHeight="false" outlineLevel="0" collapsed="false">
      <c r="A1164" s="0" t="n">
        <v>0.35492466087701</v>
      </c>
      <c r="B1164" s="0" t="n">
        <v>0.0519893519777075</v>
      </c>
      <c r="C1164" s="0" t="n">
        <v>0.0317437653729886</v>
      </c>
      <c r="D1164" s="0" t="n">
        <f aca="false">A1164/SUM($A1164:$C1164)</f>
        <v>0.809115165610422</v>
      </c>
      <c r="E1164" s="0" t="n">
        <f aca="false">B1164/SUM($A1164:$C1164)</f>
        <v>0.118519161310118</v>
      </c>
      <c r="F1164" s="0" t="n">
        <f aca="false">C1164/SUM($A1164:$C1164)</f>
        <v>0.0723656730794604</v>
      </c>
      <c r="G1164" s="0" t="n">
        <f aca="false">SUMPRODUCT(D1164:F1164,Stats!$B$6:$D$6)</f>
        <v>0.361307687999897</v>
      </c>
      <c r="H1164" s="0" t="n">
        <f aca="false">SQRT(SUMPRODUCT(MMULT(D1164:F1164,Stats!$B$12:$D$14),D1164:F1164))</f>
        <v>0.226251980338048</v>
      </c>
      <c r="I1164" s="0" t="n">
        <f aca="false">(G1164-Stats!$B$2)/H1164</f>
        <v>1.41129234547611</v>
      </c>
    </row>
    <row r="1165" customFormat="false" ht="15" hidden="false" customHeight="false" outlineLevel="0" collapsed="false">
      <c r="A1165" s="0" t="n">
        <v>0.423335144153198</v>
      </c>
      <c r="B1165" s="0" t="n">
        <v>0.0845653780972379</v>
      </c>
      <c r="C1165" s="0" t="n">
        <v>0.606846955540139</v>
      </c>
      <c r="D1165" s="0" t="n">
        <f aca="false">A1165/SUM($A1165:$C1165)</f>
        <v>0.379758781775624</v>
      </c>
      <c r="E1165" s="0" t="n">
        <f aca="false">B1165/SUM($A1165:$C1165)</f>
        <v>0.0758605691262438</v>
      </c>
      <c r="F1165" s="0" t="n">
        <f aca="false">C1165/SUM($A1165:$C1165)</f>
        <v>0.544380649098133</v>
      </c>
      <c r="G1165" s="0" t="n">
        <f aca="false">SUMPRODUCT(D1165:F1165,Stats!$B$6:$D$6)</f>
        <v>0.345837536400363</v>
      </c>
      <c r="H1165" s="0" t="n">
        <f aca="false">SQRT(SUMPRODUCT(MMULT(D1165:F1165,Stats!$B$12:$D$14),D1165:F1165))</f>
        <v>0.226500635565546</v>
      </c>
      <c r="I1165" s="0" t="n">
        <f aca="false">(G1165-Stats!$B$2)/H1165</f>
        <v>1.34144231269689</v>
      </c>
    </row>
    <row r="1166" customFormat="false" ht="15" hidden="false" customHeight="false" outlineLevel="0" collapsed="false">
      <c r="A1166" s="0" t="n">
        <v>0.880973005639657</v>
      </c>
      <c r="B1166" s="0" t="n">
        <v>0.882914816518722</v>
      </c>
      <c r="C1166" s="0" t="n">
        <v>0.659045410132232</v>
      </c>
      <c r="D1166" s="0" t="n">
        <f aca="false">A1166/SUM($A1166:$C1166)</f>
        <v>0.363597722751442</v>
      </c>
      <c r="E1166" s="0" t="n">
        <f aca="false">B1166/SUM($A1166:$C1166)</f>
        <v>0.364399152544548</v>
      </c>
      <c r="F1166" s="0" t="n">
        <f aca="false">C1166/SUM($A1166:$C1166)</f>
        <v>0.27200312470401</v>
      </c>
      <c r="G1166" s="0" t="n">
        <f aca="false">SUMPRODUCT(D1166:F1166,Stats!$B$6:$D$6)</f>
        <v>0.369950378515335</v>
      </c>
      <c r="H1166" s="0" t="n">
        <f aca="false">SQRT(SUMPRODUCT(MMULT(D1166:F1166,Stats!$B$12:$D$14),D1166:F1166))</f>
        <v>0.225876828624892</v>
      </c>
      <c r="I1166" s="0" t="n">
        <f aca="false">(G1166-Stats!$B$2)/H1166</f>
        <v>1.45189916341509</v>
      </c>
    </row>
    <row r="1167" customFormat="false" ht="15" hidden="false" customHeight="false" outlineLevel="0" collapsed="false">
      <c r="A1167" s="0" t="n">
        <v>0.211231831472931</v>
      </c>
      <c r="B1167" s="0" t="n">
        <v>0.862996831358872</v>
      </c>
      <c r="C1167" s="0" t="n">
        <v>0.886093435313208</v>
      </c>
      <c r="D1167" s="0" t="n">
        <f aca="false">A1167/SUM($A1167:$C1167)</f>
        <v>0.107753634809715</v>
      </c>
      <c r="E1167" s="0" t="n">
        <f aca="false">B1167/SUM($A1167:$C1167)</f>
        <v>0.440232159896324</v>
      </c>
      <c r="F1167" s="0" t="n">
        <f aca="false">C1167/SUM($A1167:$C1167)</f>
        <v>0.452014205293961</v>
      </c>
      <c r="G1167" s="0" t="n">
        <f aca="false">SUMPRODUCT(D1167:F1167,Stats!$B$6:$D$6)</f>
        <v>0.369349975298249</v>
      </c>
      <c r="H1167" s="0" t="n">
        <f aca="false">SQRT(SUMPRODUCT(MMULT(D1167:F1167,Stats!$B$12:$D$14),D1167:F1167))</f>
        <v>0.236514265824085</v>
      </c>
      <c r="I1167" s="0" t="n">
        <f aca="false">(G1167-Stats!$B$2)/H1167</f>
        <v>1.38406017141362</v>
      </c>
    </row>
    <row r="1168" customFormat="false" ht="15" hidden="false" customHeight="false" outlineLevel="0" collapsed="false">
      <c r="A1168" s="0" t="n">
        <v>0.196653584952959</v>
      </c>
      <c r="B1168" s="0" t="n">
        <v>0.737426085770677</v>
      </c>
      <c r="C1168" s="0" t="n">
        <v>0.286519548927123</v>
      </c>
      <c r="D1168" s="0" t="n">
        <f aca="false">A1168/SUM($A1168:$C1168)</f>
        <v>0.161112330556156</v>
      </c>
      <c r="E1168" s="0" t="n">
        <f aca="false">B1168/SUM($A1168:$C1168)</f>
        <v>0.604150874339959</v>
      </c>
      <c r="F1168" s="0" t="n">
        <f aca="false">C1168/SUM($A1168:$C1168)</f>
        <v>0.234736795103886</v>
      </c>
      <c r="G1168" s="0" t="n">
        <f aca="false">SUMPRODUCT(D1168:F1168,Stats!$B$6:$D$6)</f>
        <v>0.384772986988201</v>
      </c>
      <c r="H1168" s="0" t="n">
        <f aca="false">SQRT(SUMPRODUCT(MMULT(D1168:F1168,Stats!$B$12:$D$14),D1168:F1168))</f>
        <v>0.235572310921829</v>
      </c>
      <c r="I1168" s="0" t="n">
        <f aca="false">(G1168-Stats!$B$2)/H1168</f>
        <v>1.45506484037483</v>
      </c>
    </row>
    <row r="1169" customFormat="false" ht="15" hidden="false" customHeight="false" outlineLevel="0" collapsed="false">
      <c r="A1169" s="0" t="n">
        <v>0.80264031235293</v>
      </c>
      <c r="B1169" s="0" t="n">
        <v>0.997237899903603</v>
      </c>
      <c r="C1169" s="0" t="n">
        <v>0.0300260053293928</v>
      </c>
      <c r="D1169" s="0" t="n">
        <f aca="false">A1169/SUM($A1169:$C1169)</f>
        <v>0.438624221223885</v>
      </c>
      <c r="E1169" s="0" t="n">
        <f aca="false">B1169/SUM($A1169:$C1169)</f>
        <v>0.544967266767216</v>
      </c>
      <c r="F1169" s="0" t="n">
        <f aca="false">C1169/SUM($A1169:$C1169)</f>
        <v>0.0164085120088986</v>
      </c>
      <c r="G1169" s="0" t="n">
        <f aca="false">SUMPRODUCT(D1169:F1169,Stats!$B$6:$D$6)</f>
        <v>0.387387957241181</v>
      </c>
      <c r="H1169" s="0" t="n">
        <f aca="false">SQRT(SUMPRODUCT(MMULT(D1169:F1169,Stats!$B$12:$D$14),D1169:F1169))</f>
        <v>0.23058028829507</v>
      </c>
      <c r="I1169" s="0" t="n">
        <f aca="false">(G1169-Stats!$B$2)/H1169</f>
        <v>1.49790756094118</v>
      </c>
    </row>
    <row r="1170" customFormat="false" ht="15" hidden="false" customHeight="false" outlineLevel="0" collapsed="false">
      <c r="A1170" s="0" t="n">
        <v>0.897365865790932</v>
      </c>
      <c r="B1170" s="0" t="n">
        <v>0.622630533598658</v>
      </c>
      <c r="C1170" s="0" t="n">
        <v>0.973382619164821</v>
      </c>
      <c r="D1170" s="0" t="n">
        <f aca="false">A1170/SUM($A1170:$C1170)</f>
        <v>0.359899501485016</v>
      </c>
      <c r="E1170" s="0" t="n">
        <f aca="false">B1170/SUM($A1170:$C1170)</f>
        <v>0.249713552959807</v>
      </c>
      <c r="F1170" s="0" t="n">
        <f aca="false">C1170/SUM($A1170:$C1170)</f>
        <v>0.390386945555177</v>
      </c>
      <c r="G1170" s="0" t="n">
        <f aca="false">SUMPRODUCT(D1170:F1170,Stats!$B$6:$D$6)</f>
        <v>0.360087129222737</v>
      </c>
      <c r="H1170" s="0" t="n">
        <f aca="false">SQRT(SUMPRODUCT(MMULT(D1170:F1170,Stats!$B$12:$D$14),D1170:F1170))</f>
        <v>0.225310910229309</v>
      </c>
      <c r="I1170" s="0" t="n">
        <f aca="false">(G1170-Stats!$B$2)/H1170</f>
        <v>1.41176975806012</v>
      </c>
    </row>
    <row r="1171" customFormat="false" ht="15" hidden="false" customHeight="false" outlineLevel="0" collapsed="false">
      <c r="A1171" s="0" t="n">
        <v>0.465009517526428</v>
      </c>
      <c r="B1171" s="0" t="n">
        <v>0.847387930571374</v>
      </c>
      <c r="C1171" s="0" t="n">
        <v>0.0623940685982772</v>
      </c>
      <c r="D1171" s="0" t="n">
        <f aca="false">A1171/SUM($A1171:$C1171)</f>
        <v>0.338240025399594</v>
      </c>
      <c r="E1171" s="0" t="n">
        <f aca="false">B1171/SUM($A1171:$C1171)</f>
        <v>0.616375588793151</v>
      </c>
      <c r="F1171" s="0" t="n">
        <f aca="false">C1171/SUM($A1171:$C1171)</f>
        <v>0.0453843858072558</v>
      </c>
      <c r="G1171" s="0" t="n">
        <f aca="false">SUMPRODUCT(D1171:F1171,Stats!$B$6:$D$6)</f>
        <v>0.390697701093288</v>
      </c>
      <c r="H1171" s="0" t="n">
        <f aca="false">SQRT(SUMPRODUCT(MMULT(D1171:F1171,Stats!$B$12:$D$14),D1171:F1171))</f>
        <v>0.232892138156348</v>
      </c>
      <c r="I1171" s="0" t="n">
        <f aca="false">(G1171-Stats!$B$2)/H1171</f>
        <v>1.49724977345176</v>
      </c>
    </row>
    <row r="1172" customFormat="false" ht="15" hidden="false" customHeight="false" outlineLevel="0" collapsed="false">
      <c r="A1172" s="0" t="n">
        <v>0.335279050078296</v>
      </c>
      <c r="B1172" s="0" t="n">
        <v>0.06701653775121</v>
      </c>
      <c r="C1172" s="0" t="n">
        <v>0.975343133479071</v>
      </c>
      <c r="D1172" s="0" t="n">
        <f aca="false">A1172/SUM($A1172:$C1172)</f>
        <v>0.243372260733079</v>
      </c>
      <c r="E1172" s="0" t="n">
        <f aca="false">B1172/SUM($A1172:$C1172)</f>
        <v>0.0486459452065583</v>
      </c>
      <c r="F1172" s="0" t="n">
        <f aca="false">C1172/SUM($A1172:$C1172)</f>
        <v>0.707981794060363</v>
      </c>
      <c r="G1172" s="0" t="n">
        <f aca="false">SUMPRODUCT(D1172:F1172,Stats!$B$6:$D$6)</f>
        <v>0.339760403515198</v>
      </c>
      <c r="H1172" s="0" t="n">
        <f aca="false">SQRT(SUMPRODUCT(MMULT(D1172:F1172,Stats!$B$12:$D$14),D1172:F1172))</f>
        <v>0.235228391896833</v>
      </c>
      <c r="I1172" s="0" t="n">
        <f aca="false">(G1172-Stats!$B$2)/H1172</f>
        <v>1.26583530633407</v>
      </c>
    </row>
    <row r="1173" customFormat="false" ht="15" hidden="false" customHeight="false" outlineLevel="0" collapsed="false">
      <c r="A1173" s="0" t="n">
        <v>0.816973907271837</v>
      </c>
      <c r="B1173" s="0" t="n">
        <v>0.852547421245971</v>
      </c>
      <c r="C1173" s="0" t="n">
        <v>0.937965231433894</v>
      </c>
      <c r="D1173" s="0" t="n">
        <f aca="false">A1173/SUM($A1173:$C1173)</f>
        <v>0.313318549679109</v>
      </c>
      <c r="E1173" s="0" t="n">
        <f aca="false">B1173/SUM($A1173:$C1173)</f>
        <v>0.326961386624276</v>
      </c>
      <c r="F1173" s="0" t="n">
        <f aca="false">C1173/SUM($A1173:$C1173)</f>
        <v>0.359720063696615</v>
      </c>
      <c r="G1173" s="0" t="n">
        <f aca="false">SUMPRODUCT(D1173:F1173,Stats!$B$6:$D$6)</f>
        <v>0.365377497064022</v>
      </c>
      <c r="H1173" s="0" t="n">
        <f aca="false">SQRT(SUMPRODUCT(MMULT(D1173:F1173,Stats!$B$12:$D$14),D1173:F1173))</f>
        <v>0.226898983974755</v>
      </c>
      <c r="I1173" s="0" t="n">
        <f aca="false">(G1173-Stats!$B$2)/H1173</f>
        <v>1.42520469417352</v>
      </c>
    </row>
    <row r="1174" customFormat="false" ht="15" hidden="false" customHeight="false" outlineLevel="0" collapsed="false">
      <c r="A1174" s="0" t="n">
        <v>0.0851034861197854</v>
      </c>
      <c r="B1174" s="0" t="n">
        <v>0.385597592513333</v>
      </c>
      <c r="C1174" s="0" t="n">
        <v>0.0710348890440021</v>
      </c>
      <c r="D1174" s="0" t="n">
        <f aca="false">A1174/SUM($A1174:$C1174)</f>
        <v>0.157094029559632</v>
      </c>
      <c r="E1174" s="0" t="n">
        <f aca="false">B1174/SUM($A1174:$C1174)</f>
        <v>0.711781412939435</v>
      </c>
      <c r="F1174" s="0" t="n">
        <f aca="false">C1174/SUM($A1174:$C1174)</f>
        <v>0.131124557500933</v>
      </c>
      <c r="G1174" s="0" t="n">
        <f aca="false">SUMPRODUCT(D1174:F1174,Stats!$B$6:$D$6)</f>
        <v>0.393822976476274</v>
      </c>
      <c r="H1174" s="0" t="n">
        <f aca="false">SQRT(SUMPRODUCT(MMULT(D1174:F1174,Stats!$B$12:$D$14),D1174:F1174))</f>
        <v>0.238675302424137</v>
      </c>
      <c r="I1174" s="0" t="n">
        <f aca="false">(G1174-Stats!$B$2)/H1174</f>
        <v>1.4740652799135</v>
      </c>
    </row>
    <row r="1175" customFormat="false" ht="15" hidden="false" customHeight="false" outlineLevel="0" collapsed="false">
      <c r="A1175" s="0" t="n">
        <v>0.210793101550029</v>
      </c>
      <c r="B1175" s="0" t="n">
        <v>0.229365777037672</v>
      </c>
      <c r="C1175" s="0" t="n">
        <v>0.469107211047579</v>
      </c>
      <c r="D1175" s="0" t="n">
        <f aca="false">A1175/SUM($A1175:$C1175)</f>
        <v>0.231827738824595</v>
      </c>
      <c r="E1175" s="0" t="n">
        <f aca="false">B1175/SUM($A1175:$C1175)</f>
        <v>0.25225374579808</v>
      </c>
      <c r="F1175" s="0" t="n">
        <f aca="false">C1175/SUM($A1175:$C1175)</f>
        <v>0.515918515377325</v>
      </c>
      <c r="G1175" s="0" t="n">
        <f aca="false">SUMPRODUCT(D1175:F1175,Stats!$B$6:$D$6)</f>
        <v>0.356771803875078</v>
      </c>
      <c r="H1175" s="0" t="n">
        <f aca="false">SQRT(SUMPRODUCT(MMULT(D1175:F1175,Stats!$B$12:$D$14),D1175:F1175))</f>
        <v>0.230886703619582</v>
      </c>
      <c r="I1175" s="0" t="n">
        <f aca="false">(G1175-Stats!$B$2)/H1175</f>
        <v>1.36331715486617</v>
      </c>
    </row>
    <row r="1176" customFormat="false" ht="15" hidden="false" customHeight="false" outlineLevel="0" collapsed="false">
      <c r="A1176" s="0" t="n">
        <v>0.268562167453643</v>
      </c>
      <c r="B1176" s="0" t="n">
        <v>0.100978106817761</v>
      </c>
      <c r="C1176" s="0" t="n">
        <v>0.167491089094108</v>
      </c>
      <c r="D1176" s="0" t="n">
        <f aca="false">A1176/SUM($A1176:$C1176)</f>
        <v>0.5000865606258</v>
      </c>
      <c r="E1176" s="0" t="n">
        <f aca="false">B1176/SUM($A1176:$C1176)</f>
        <v>0.188030185397261</v>
      </c>
      <c r="F1176" s="0" t="n">
        <f aca="false">C1176/SUM($A1176:$C1176)</f>
        <v>0.311883253976939</v>
      </c>
      <c r="G1176" s="0" t="n">
        <f aca="false">SUMPRODUCT(D1176:F1176,Stats!$B$6:$D$6)</f>
        <v>0.358702657189571</v>
      </c>
      <c r="H1176" s="0" t="n">
        <f aca="false">SQRT(SUMPRODUCT(MMULT(D1176:F1176,Stats!$B$12:$D$14),D1176:F1176))</f>
        <v>0.222232823647276</v>
      </c>
      <c r="I1176" s="0" t="n">
        <f aca="false">(G1176-Stats!$B$2)/H1176</f>
        <v>1.42509397123188</v>
      </c>
    </row>
    <row r="1177" customFormat="false" ht="15" hidden="false" customHeight="false" outlineLevel="0" collapsed="false">
      <c r="A1177" s="0" t="n">
        <v>0.147275563552091</v>
      </c>
      <c r="B1177" s="0" t="n">
        <v>0.973076797912298</v>
      </c>
      <c r="C1177" s="0" t="n">
        <v>0.759292506918474</v>
      </c>
      <c r="D1177" s="0" t="n">
        <f aca="false">A1177/SUM($A1177:$C1177)</f>
        <v>0.0783528665597338</v>
      </c>
      <c r="E1177" s="0" t="n">
        <f aca="false">B1177/SUM($A1177:$C1177)</f>
        <v>0.517691833324599</v>
      </c>
      <c r="F1177" s="0" t="n">
        <f aca="false">C1177/SUM($A1177:$C1177)</f>
        <v>0.403955300115667</v>
      </c>
      <c r="G1177" s="0" t="n">
        <f aca="false">SUMPRODUCT(D1177:F1177,Stats!$B$6:$D$6)</f>
        <v>0.375132110479083</v>
      </c>
      <c r="H1177" s="0" t="n">
        <f aca="false">SQRT(SUMPRODUCT(MMULT(D1177:F1177,Stats!$B$12:$D$14),D1177:F1177))</f>
        <v>0.238274644440994</v>
      </c>
      <c r="I1177" s="0" t="n">
        <f aca="false">(G1177-Stats!$B$2)/H1177</f>
        <v>1.3981013853179</v>
      </c>
    </row>
    <row r="1178" customFormat="false" ht="15" hidden="false" customHeight="false" outlineLevel="0" collapsed="false">
      <c r="A1178" s="0" t="n">
        <v>0.967761465269562</v>
      </c>
      <c r="B1178" s="0" t="n">
        <v>0.439740486507909</v>
      </c>
      <c r="C1178" s="0" t="n">
        <v>0.278368481662657</v>
      </c>
      <c r="D1178" s="0" t="n">
        <f aca="false">A1178/SUM($A1178:$C1178)</f>
        <v>0.57404261091096</v>
      </c>
      <c r="E1178" s="0" t="n">
        <f aca="false">B1178/SUM($A1178:$C1178)</f>
        <v>0.260838838967352</v>
      </c>
      <c r="F1178" s="0" t="n">
        <f aca="false">C1178/SUM($A1178:$C1178)</f>
        <v>0.165118550121689</v>
      </c>
      <c r="G1178" s="0" t="n">
        <f aca="false">SUMPRODUCT(D1178:F1178,Stats!$B$6:$D$6)</f>
        <v>0.366938953141733</v>
      </c>
      <c r="H1178" s="0" t="n">
        <f aca="false">SQRT(SUMPRODUCT(MMULT(D1178:F1178,Stats!$B$12:$D$14),D1178:F1178))</f>
        <v>0.223207240958761</v>
      </c>
      <c r="I1178" s="0" t="n">
        <f aca="false">(G1178-Stats!$B$2)/H1178</f>
        <v>1.45577245498844</v>
      </c>
    </row>
    <row r="1179" customFormat="false" ht="15" hidden="false" customHeight="false" outlineLevel="0" collapsed="false">
      <c r="A1179" s="0" t="n">
        <v>0.798293197209187</v>
      </c>
      <c r="B1179" s="0" t="n">
        <v>0.326253918041147</v>
      </c>
      <c r="C1179" s="0" t="n">
        <v>0.299383373705348</v>
      </c>
      <c r="D1179" s="0" t="n">
        <f aca="false">A1179/SUM($A1179:$C1179)</f>
        <v>0.560626521730467</v>
      </c>
      <c r="E1179" s="0" t="n">
        <f aca="false">B1179/SUM($A1179:$C1179)</f>
        <v>0.229122081851357</v>
      </c>
      <c r="F1179" s="0" t="n">
        <f aca="false">C1179/SUM($A1179:$C1179)</f>
        <v>0.210251396418176</v>
      </c>
      <c r="G1179" s="0" t="n">
        <f aca="false">SUMPRODUCT(D1179:F1179,Stats!$B$6:$D$6)</f>
        <v>0.363869491109854</v>
      </c>
      <c r="H1179" s="0" t="n">
        <f aca="false">SQRT(SUMPRODUCT(MMULT(D1179:F1179,Stats!$B$12:$D$14),D1179:F1179))</f>
        <v>0.22250632937609</v>
      </c>
      <c r="I1179" s="0" t="n">
        <f aca="false">(G1179-Stats!$B$2)/H1179</f>
        <v>1.44656330456927</v>
      </c>
    </row>
    <row r="1180" customFormat="false" ht="15" hidden="false" customHeight="false" outlineLevel="0" collapsed="false">
      <c r="A1180" s="0" t="n">
        <v>0.232505992207831</v>
      </c>
      <c r="B1180" s="0" t="n">
        <v>0.129678978224235</v>
      </c>
      <c r="C1180" s="0" t="n">
        <v>0.256463061016766</v>
      </c>
      <c r="D1180" s="0" t="n">
        <f aca="false">A1180/SUM($A1180:$C1180)</f>
        <v>0.375829195905332</v>
      </c>
      <c r="E1180" s="0" t="n">
        <f aca="false">B1180/SUM($A1180:$C1180)</f>
        <v>0.20961673137557</v>
      </c>
      <c r="F1180" s="0" t="n">
        <f aca="false">C1180/SUM($A1180:$C1180)</f>
        <v>0.414554072719098</v>
      </c>
      <c r="G1180" s="0" t="n">
        <f aca="false">SUMPRODUCT(D1180:F1180,Stats!$B$6:$D$6)</f>
        <v>0.357113610768701</v>
      </c>
      <c r="H1180" s="0" t="n">
        <f aca="false">SQRT(SUMPRODUCT(MMULT(D1180:F1180,Stats!$B$12:$D$14),D1180:F1180))</f>
        <v>0.224925001696835</v>
      </c>
      <c r="I1180" s="0" t="n">
        <f aca="false">(G1180-Stats!$B$2)/H1180</f>
        <v>1.40097191682331</v>
      </c>
    </row>
    <row r="1181" customFormat="false" ht="15" hidden="false" customHeight="false" outlineLevel="0" collapsed="false">
      <c r="A1181" s="0" t="n">
        <v>0.355319748473888</v>
      </c>
      <c r="B1181" s="0" t="n">
        <v>0.67399420814573</v>
      </c>
      <c r="C1181" s="0" t="n">
        <v>0.0625648422194516</v>
      </c>
      <c r="D1181" s="0" t="n">
        <f aca="false">A1181/SUM($A1181:$C1181)</f>
        <v>0.325420503495148</v>
      </c>
      <c r="E1181" s="0" t="n">
        <f aca="false">B1181/SUM($A1181:$C1181)</f>
        <v>0.617279325198318</v>
      </c>
      <c r="F1181" s="0" t="n">
        <f aca="false">C1181/SUM($A1181:$C1181)</f>
        <v>0.0573001713065343</v>
      </c>
      <c r="G1181" s="0" t="n">
        <f aca="false">SUMPRODUCT(D1181:F1181,Stats!$B$6:$D$6)</f>
        <v>0.390421127714268</v>
      </c>
      <c r="H1181" s="0" t="n">
        <f aca="false">SQRT(SUMPRODUCT(MMULT(D1181:F1181,Stats!$B$12:$D$14),D1181:F1181))</f>
        <v>0.232943091973741</v>
      </c>
      <c r="I1181" s="0" t="n">
        <f aca="false">(G1181-Stats!$B$2)/H1181</f>
        <v>1.49573496583253</v>
      </c>
    </row>
    <row r="1182" customFormat="false" ht="15" hidden="false" customHeight="false" outlineLevel="0" collapsed="false">
      <c r="A1182" s="0" t="n">
        <v>0.210506939665343</v>
      </c>
      <c r="B1182" s="0" t="n">
        <v>0.809023640291676</v>
      </c>
      <c r="C1182" s="0" t="n">
        <v>0.146921923583771</v>
      </c>
      <c r="D1182" s="0" t="n">
        <f aca="false">A1182/SUM($A1182:$C1182)</f>
        <v>0.180467647869369</v>
      </c>
      <c r="E1182" s="0" t="n">
        <f aca="false">B1182/SUM($A1182:$C1182)</f>
        <v>0.69357615319601</v>
      </c>
      <c r="F1182" s="0" t="n">
        <f aca="false">C1182/SUM($A1182:$C1182)</f>
        <v>0.125956198934621</v>
      </c>
      <c r="G1182" s="0" t="n">
        <f aca="false">SUMPRODUCT(D1182:F1182,Stats!$B$6:$D$6)</f>
        <v>0.392917984892855</v>
      </c>
      <c r="H1182" s="0" t="n">
        <f aca="false">SQRT(SUMPRODUCT(MMULT(D1182:F1182,Stats!$B$12:$D$14),D1182:F1182))</f>
        <v>0.237514350936095</v>
      </c>
      <c r="I1182" s="0" t="n">
        <f aca="false">(G1182-Stats!$B$2)/H1182</f>
        <v>1.47746013455529</v>
      </c>
    </row>
    <row r="1183" customFormat="false" ht="15" hidden="false" customHeight="false" outlineLevel="0" collapsed="false">
      <c r="A1183" s="0" t="n">
        <v>0.342645146522522</v>
      </c>
      <c r="B1183" s="0" t="n">
        <v>0.86465892185814</v>
      </c>
      <c r="C1183" s="0" t="n">
        <v>0.154925311143443</v>
      </c>
      <c r="D1183" s="0" t="n">
        <f aca="false">A1183/SUM($A1183:$C1183)</f>
        <v>0.251532635892954</v>
      </c>
      <c r="E1183" s="0" t="n">
        <f aca="false">B1183/SUM($A1183:$C1183)</f>
        <v>0.634738124764428</v>
      </c>
      <c r="F1183" s="0" t="n">
        <f aca="false">C1183/SUM($A1183:$C1183)</f>
        <v>0.113729239342618</v>
      </c>
      <c r="G1183" s="0" t="n">
        <f aca="false">SUMPRODUCT(D1183:F1183,Stats!$B$6:$D$6)</f>
        <v>0.389869674597485</v>
      </c>
      <c r="H1183" s="0" t="n">
        <f aca="false">SQRT(SUMPRODUCT(MMULT(D1183:F1183,Stats!$B$12:$D$14),D1183:F1183))</f>
        <v>0.234209757483788</v>
      </c>
      <c r="I1183" s="0" t="n">
        <f aca="false">(G1183-Stats!$B$2)/H1183</f>
        <v>1.48529112678649</v>
      </c>
    </row>
    <row r="1184" customFormat="false" ht="15" hidden="false" customHeight="false" outlineLevel="0" collapsed="false">
      <c r="A1184" s="0" t="n">
        <v>0.0827368356181899</v>
      </c>
      <c r="B1184" s="0" t="n">
        <v>0.484537995080011</v>
      </c>
      <c r="C1184" s="0" t="n">
        <v>0.302419511278536</v>
      </c>
      <c r="D1184" s="0" t="n">
        <f aca="false">A1184/SUM($A1184:$C1184)</f>
        <v>0.0951332343155602</v>
      </c>
      <c r="E1184" s="0" t="n">
        <f aca="false">B1184/SUM($A1184:$C1184)</f>
        <v>0.557135963399163</v>
      </c>
      <c r="F1184" s="0" t="n">
        <f aca="false">C1184/SUM($A1184:$C1184)</f>
        <v>0.347730802285277</v>
      </c>
      <c r="G1184" s="0" t="n">
        <f aca="false">SUMPRODUCT(D1184:F1184,Stats!$B$6:$D$6)</f>
        <v>0.378952043574629</v>
      </c>
      <c r="H1184" s="0" t="n">
        <f aca="false">SQRT(SUMPRODUCT(MMULT(D1184:F1184,Stats!$B$12:$D$14),D1184:F1184))</f>
        <v>0.237636700988388</v>
      </c>
      <c r="I1184" s="0" t="n">
        <f aca="false">(G1184-Stats!$B$2)/H1184</f>
        <v>1.41792931046915</v>
      </c>
    </row>
    <row r="1185" customFormat="false" ht="15" hidden="false" customHeight="false" outlineLevel="0" collapsed="false">
      <c r="A1185" s="0" t="n">
        <v>0.563408364483854</v>
      </c>
      <c r="B1185" s="0" t="n">
        <v>0.803804890483475</v>
      </c>
      <c r="C1185" s="0" t="n">
        <v>0.137148488152743</v>
      </c>
      <c r="D1185" s="0" t="n">
        <f aca="false">A1185/SUM($A1185:$C1185)</f>
        <v>0.374516546342993</v>
      </c>
      <c r="E1185" s="0" t="n">
        <f aca="false">B1185/SUM($A1185:$C1185)</f>
        <v>0.534316226904554</v>
      </c>
      <c r="F1185" s="0" t="n">
        <f aca="false">C1185/SUM($A1185:$C1185)</f>
        <v>0.0911672267524531</v>
      </c>
      <c r="G1185" s="0" t="n">
        <f aca="false">SUMPRODUCT(D1185:F1185,Stats!$B$6:$D$6)</f>
        <v>0.384713667387515</v>
      </c>
      <c r="H1185" s="0" t="n">
        <f aca="false">SQRT(SUMPRODUCT(MMULT(D1185:F1185,Stats!$B$12:$D$14),D1185:F1185))</f>
        <v>0.229808208168608</v>
      </c>
      <c r="I1185" s="0" t="n">
        <f aca="false">(G1185-Stats!$B$2)/H1185</f>
        <v>1.49130298747236</v>
      </c>
    </row>
    <row r="1186" customFormat="false" ht="15" hidden="false" customHeight="false" outlineLevel="0" collapsed="false">
      <c r="A1186" s="0" t="n">
        <v>0.580699084554285</v>
      </c>
      <c r="B1186" s="0" t="n">
        <v>0.505508760389864</v>
      </c>
      <c r="C1186" s="0" t="n">
        <v>0.1440787860132</v>
      </c>
      <c r="D1186" s="0" t="n">
        <f aca="false">A1186/SUM($A1186:$C1186)</f>
        <v>0.47200308443766</v>
      </c>
      <c r="E1186" s="0" t="n">
        <f aca="false">B1186/SUM($A1186:$C1186)</f>
        <v>0.410886981675565</v>
      </c>
      <c r="F1186" s="0" t="n">
        <f aca="false">C1186/SUM($A1186:$C1186)</f>
        <v>0.117109933886776</v>
      </c>
      <c r="G1186" s="0" t="n">
        <f aca="false">SUMPRODUCT(D1186:F1186,Stats!$B$6:$D$6)</f>
        <v>0.376896348197246</v>
      </c>
      <c r="H1186" s="0" t="n">
        <f aca="false">SQRT(SUMPRODUCT(MMULT(D1186:F1186,Stats!$B$12:$D$14),D1186:F1186))</f>
        <v>0.226115036315028</v>
      </c>
      <c r="I1186" s="0" t="n">
        <f aca="false">(G1186-Stats!$B$2)/H1186</f>
        <v>1.48108835951388</v>
      </c>
    </row>
    <row r="1187" customFormat="false" ht="15" hidden="false" customHeight="false" outlineLevel="0" collapsed="false">
      <c r="A1187" s="0" t="n">
        <v>0.623998485528982</v>
      </c>
      <c r="B1187" s="0" t="n">
        <v>0.273640417860772</v>
      </c>
      <c r="C1187" s="0" t="n">
        <v>0.487834318544013</v>
      </c>
      <c r="D1187" s="0" t="n">
        <f aca="false">A1187/SUM($A1187:$C1187)</f>
        <v>0.450386536275338</v>
      </c>
      <c r="E1187" s="0" t="n">
        <f aca="false">B1187/SUM($A1187:$C1187)</f>
        <v>0.197506825486558</v>
      </c>
      <c r="F1187" s="0" t="n">
        <f aca="false">C1187/SUM($A1187:$C1187)</f>
        <v>0.352106638238104</v>
      </c>
      <c r="G1187" s="0" t="n">
        <f aca="false">SUMPRODUCT(D1187:F1187,Stats!$B$6:$D$6)</f>
        <v>0.358138786444659</v>
      </c>
      <c r="H1187" s="0" t="n">
        <f aca="false">SQRT(SUMPRODUCT(MMULT(D1187:F1187,Stats!$B$12:$D$14),D1187:F1187))</f>
        <v>0.223004754138947</v>
      </c>
      <c r="I1187" s="0" t="n">
        <f aca="false">(G1187-Stats!$B$2)/H1187</f>
        <v>1.41763249696319</v>
      </c>
    </row>
    <row r="1188" customFormat="false" ht="15" hidden="false" customHeight="false" outlineLevel="0" collapsed="false">
      <c r="A1188" s="0" t="n">
        <v>0.0822723242770619</v>
      </c>
      <c r="B1188" s="0" t="n">
        <v>0.459584057213623</v>
      </c>
      <c r="C1188" s="0" t="n">
        <v>0.30646346804282</v>
      </c>
      <c r="D1188" s="0" t="n">
        <f aca="false">A1188/SUM($A1188:$C1188)</f>
        <v>0.0969826703009529</v>
      </c>
      <c r="E1188" s="0" t="n">
        <f aca="false">B1188/SUM($A1188:$C1188)</f>
        <v>0.54175799077005</v>
      </c>
      <c r="F1188" s="0" t="n">
        <f aca="false">C1188/SUM($A1188:$C1188)</f>
        <v>0.361259338928997</v>
      </c>
      <c r="G1188" s="0" t="n">
        <f aca="false">SUMPRODUCT(D1188:F1188,Stats!$B$6:$D$6)</f>
        <v>0.377694170738269</v>
      </c>
      <c r="H1188" s="0" t="n">
        <f aca="false">SQRT(SUMPRODUCT(MMULT(D1188:F1188,Stats!$B$12:$D$14),D1188:F1188))</f>
        <v>0.237402101896551</v>
      </c>
      <c r="I1188" s="0" t="n">
        <f aca="false">(G1188-Stats!$B$2)/H1188</f>
        <v>1.41403200753694</v>
      </c>
    </row>
    <row r="1189" customFormat="false" ht="15" hidden="false" customHeight="false" outlineLevel="0" collapsed="false">
      <c r="A1189" s="0" t="n">
        <v>0.822381211185354</v>
      </c>
      <c r="B1189" s="0" t="n">
        <v>0.0569787269973683</v>
      </c>
      <c r="C1189" s="0" t="n">
        <v>0.41860727491833</v>
      </c>
      <c r="D1189" s="0" t="n">
        <f aca="false">A1189/SUM($A1189:$C1189)</f>
        <v>0.633591667712895</v>
      </c>
      <c r="E1189" s="0" t="n">
        <f aca="false">B1189/SUM($A1189:$C1189)</f>
        <v>0.0438984331978902</v>
      </c>
      <c r="F1189" s="0" t="n">
        <f aca="false">C1189/SUM($A1189:$C1189)</f>
        <v>0.322509899089215</v>
      </c>
      <c r="G1189" s="0" t="n">
        <f aca="false">SUMPRODUCT(D1189:F1189,Stats!$B$6:$D$6)</f>
        <v>0.350116477062347</v>
      </c>
      <c r="H1189" s="0" t="n">
        <f aca="false">SQRT(SUMPRODUCT(MMULT(D1189:F1189,Stats!$B$12:$D$14),D1189:F1189))</f>
        <v>0.221291663380345</v>
      </c>
      <c r="I1189" s="0" t="n">
        <f aca="false">(G1189-Stats!$B$2)/H1189</f>
        <v>1.39235465247858</v>
      </c>
    </row>
    <row r="1190" customFormat="false" ht="15" hidden="false" customHeight="false" outlineLevel="0" collapsed="false">
      <c r="A1190" s="0" t="n">
        <v>0.458431424131438</v>
      </c>
      <c r="B1190" s="0" t="n">
        <v>0.725006076299119</v>
      </c>
      <c r="C1190" s="0" t="n">
        <v>0.574287575090211</v>
      </c>
      <c r="D1190" s="0" t="n">
        <f aca="false">A1190/SUM($A1190:$C1190)</f>
        <v>0.260809514818816</v>
      </c>
      <c r="E1190" s="0" t="n">
        <f aca="false">B1190/SUM($A1190:$C1190)</f>
        <v>0.412468415223762</v>
      </c>
      <c r="F1190" s="0" t="n">
        <f aca="false">C1190/SUM($A1190:$C1190)</f>
        <v>0.326722069957422</v>
      </c>
      <c r="G1190" s="0" t="n">
        <f aca="false">SUMPRODUCT(D1190:F1190,Stats!$B$6:$D$6)</f>
        <v>0.371207367805718</v>
      </c>
      <c r="H1190" s="0" t="n">
        <f aca="false">SQRT(SUMPRODUCT(MMULT(D1190:F1190,Stats!$B$12:$D$14),D1190:F1190))</f>
        <v>0.229198328618963</v>
      </c>
      <c r="I1190" s="0" t="n">
        <f aca="false">(G1190-Stats!$B$2)/H1190</f>
        <v>1.43634279442333</v>
      </c>
    </row>
    <row r="1191" customFormat="false" ht="15" hidden="false" customHeight="false" outlineLevel="0" collapsed="false">
      <c r="A1191" s="0" t="n">
        <v>0.667212337194181</v>
      </c>
      <c r="B1191" s="0" t="n">
        <v>0.777049285651756</v>
      </c>
      <c r="C1191" s="0" t="n">
        <v>0.862202973658189</v>
      </c>
      <c r="D1191" s="0" t="n">
        <f aca="false">A1191/SUM($A1191:$C1191)</f>
        <v>0.289279245042592</v>
      </c>
      <c r="E1191" s="0" t="n">
        <f aca="false">B1191/SUM($A1191:$C1191)</f>
        <v>0.336900590986533</v>
      </c>
      <c r="F1191" s="0" t="n">
        <f aca="false">C1191/SUM($A1191:$C1191)</f>
        <v>0.373820163970874</v>
      </c>
      <c r="G1191" s="0" t="n">
        <f aca="false">SUMPRODUCT(D1191:F1191,Stats!$B$6:$D$6)</f>
        <v>0.365560581177087</v>
      </c>
      <c r="H1191" s="0" t="n">
        <f aca="false">SQRT(SUMPRODUCT(MMULT(D1191:F1191,Stats!$B$12:$D$14),D1191:F1191))</f>
        <v>0.227766305252454</v>
      </c>
      <c r="I1191" s="0" t="n">
        <f aca="false">(G1191-Stats!$B$2)/H1191</f>
        <v>1.42058141926856</v>
      </c>
    </row>
    <row r="1192" customFormat="false" ht="15" hidden="false" customHeight="false" outlineLevel="0" collapsed="false">
      <c r="A1192" s="0" t="n">
        <v>0.313875496722471</v>
      </c>
      <c r="B1192" s="0" t="n">
        <v>0.538022705363903</v>
      </c>
      <c r="C1192" s="0" t="n">
        <v>0.8401080784392</v>
      </c>
      <c r="D1192" s="0" t="n">
        <f aca="false">A1192/SUM($A1192:$C1192)</f>
        <v>0.18550492414542</v>
      </c>
      <c r="E1192" s="0" t="n">
        <f aca="false">B1192/SUM($A1192:$C1192)</f>
        <v>0.317979142014048</v>
      </c>
      <c r="F1192" s="0" t="n">
        <f aca="false">C1192/SUM($A1192:$C1192)</f>
        <v>0.496515933840532</v>
      </c>
      <c r="G1192" s="0" t="n">
        <f aca="false">SUMPRODUCT(D1192:F1192,Stats!$B$6:$D$6)</f>
        <v>0.361088576829881</v>
      </c>
      <c r="H1192" s="0" t="n">
        <f aca="false">SQRT(SUMPRODUCT(MMULT(D1192:F1192,Stats!$B$12:$D$14),D1192:F1192))</f>
        <v>0.232730275289489</v>
      </c>
      <c r="I1192" s="0" t="n">
        <f aca="false">(G1192-Stats!$B$2)/H1192</f>
        <v>1.37106603957294</v>
      </c>
    </row>
    <row r="1193" customFormat="false" ht="15" hidden="false" customHeight="false" outlineLevel="0" collapsed="false">
      <c r="A1193" s="0" t="n">
        <v>0.989451130965056</v>
      </c>
      <c r="B1193" s="0" t="n">
        <v>0.889519311043763</v>
      </c>
      <c r="C1193" s="0" t="n">
        <v>0.371467262624377</v>
      </c>
      <c r="D1193" s="0" t="n">
        <f aca="false">A1193/SUM($A1193:$C1193)</f>
        <v>0.43967052672819</v>
      </c>
      <c r="E1193" s="0" t="n">
        <f aca="false">B1193/SUM($A1193:$C1193)</f>
        <v>0.39526502298305</v>
      </c>
      <c r="F1193" s="0" t="n">
        <f aca="false">C1193/SUM($A1193:$C1193)</f>
        <v>0.16506445028876</v>
      </c>
      <c r="G1193" s="0" t="n">
        <f aca="false">SUMPRODUCT(D1193:F1193,Stats!$B$6:$D$6)</f>
        <v>0.374675153567676</v>
      </c>
      <c r="H1193" s="0" t="n">
        <f aca="false">SQRT(SUMPRODUCT(MMULT(D1193:F1193,Stats!$B$12:$D$14),D1193:F1193))</f>
        <v>0.225629498428929</v>
      </c>
      <c r="I1193" s="0" t="n">
        <f aca="false">(G1193-Stats!$B$2)/H1193</f>
        <v>1.4744311177577</v>
      </c>
    </row>
    <row r="1194" customFormat="false" ht="15" hidden="false" customHeight="false" outlineLevel="0" collapsed="false">
      <c r="A1194" s="0" t="n">
        <v>0.19516651721865</v>
      </c>
      <c r="B1194" s="0" t="n">
        <v>0.489392537406589</v>
      </c>
      <c r="C1194" s="0" t="n">
        <v>0.741641451836042</v>
      </c>
      <c r="D1194" s="0" t="n">
        <f aca="false">A1194/SUM($A1194:$C1194)</f>
        <v>0.136843674037742</v>
      </c>
      <c r="E1194" s="0" t="n">
        <f aca="false">B1194/SUM($A1194:$C1194)</f>
        <v>0.343144274026995</v>
      </c>
      <c r="F1194" s="0" t="n">
        <f aca="false">C1194/SUM($A1194:$C1194)</f>
        <v>0.520012051935263</v>
      </c>
      <c r="G1194" s="0" t="n">
        <f aca="false">SUMPRODUCT(D1194:F1194,Stats!$B$6:$D$6)</f>
        <v>0.361888649535933</v>
      </c>
      <c r="H1194" s="0" t="n">
        <f aca="false">SQRT(SUMPRODUCT(MMULT(D1194:F1194,Stats!$B$12:$D$14),D1194:F1194))</f>
        <v>0.235403877603371</v>
      </c>
      <c r="I1194" s="0" t="n">
        <f aca="false">(G1194-Stats!$B$2)/H1194</f>
        <v>1.35889286443662</v>
      </c>
    </row>
    <row r="1195" customFormat="false" ht="15" hidden="false" customHeight="false" outlineLevel="0" collapsed="false">
      <c r="A1195" s="0" t="n">
        <v>0.492569070753298</v>
      </c>
      <c r="B1195" s="0" t="n">
        <v>0.483180863313669</v>
      </c>
      <c r="C1195" s="0" t="n">
        <v>0.838230421081801</v>
      </c>
      <c r="D1195" s="0" t="n">
        <f aca="false">A1195/SUM($A1195:$C1195)</f>
        <v>0.271540465890493</v>
      </c>
      <c r="E1195" s="0" t="n">
        <f aca="false">B1195/SUM($A1195:$C1195)</f>
        <v>0.266364992290141</v>
      </c>
      <c r="F1195" s="0" t="n">
        <f aca="false">C1195/SUM($A1195:$C1195)</f>
        <v>0.462094541819366</v>
      </c>
      <c r="G1195" s="0" t="n">
        <f aca="false">SUMPRODUCT(D1195:F1195,Stats!$B$6:$D$6)</f>
        <v>0.359067922103474</v>
      </c>
      <c r="H1195" s="0" t="n">
        <f aca="false">SQRT(SUMPRODUCT(MMULT(D1195:F1195,Stats!$B$12:$D$14),D1195:F1195))</f>
        <v>0.22870807779857</v>
      </c>
      <c r="I1195" s="0" t="n">
        <f aca="false">(G1195-Stats!$B$2)/H1195</f>
        <v>1.38634334718482</v>
      </c>
    </row>
    <row r="1196" customFormat="false" ht="15" hidden="false" customHeight="false" outlineLevel="0" collapsed="false">
      <c r="A1196" s="0" t="n">
        <v>0.361403779067186</v>
      </c>
      <c r="B1196" s="0" t="n">
        <v>0.859794674811646</v>
      </c>
      <c r="C1196" s="0" t="n">
        <v>0.406804800951724</v>
      </c>
      <c r="D1196" s="0" t="n">
        <f aca="false">A1196/SUM($A1196:$C1196)</f>
        <v>0.221992049459878</v>
      </c>
      <c r="E1196" s="0" t="n">
        <f aca="false">B1196/SUM($A1196:$C1196)</f>
        <v>0.52812835125513</v>
      </c>
      <c r="F1196" s="0" t="n">
        <f aca="false">C1196/SUM($A1196:$C1196)</f>
        <v>0.249879599284993</v>
      </c>
      <c r="G1196" s="0" t="n">
        <f aca="false">SUMPRODUCT(D1196:F1196,Stats!$B$6:$D$6)</f>
        <v>0.379981192402861</v>
      </c>
      <c r="H1196" s="0" t="n">
        <f aca="false">SQRT(SUMPRODUCT(MMULT(D1196:F1196,Stats!$B$12:$D$14),D1196:F1196))</f>
        <v>0.232055651021352</v>
      </c>
      <c r="I1196" s="0" t="n">
        <f aca="false">(G1196-Stats!$B$2)/H1196</f>
        <v>1.45646611455182</v>
      </c>
    </row>
    <row r="1197" customFormat="false" ht="15" hidden="false" customHeight="false" outlineLevel="0" collapsed="false">
      <c r="A1197" s="0" t="n">
        <v>0.328233105678339</v>
      </c>
      <c r="B1197" s="0" t="n">
        <v>0.453989911199699</v>
      </c>
      <c r="C1197" s="0" t="n">
        <v>0.762446958674868</v>
      </c>
      <c r="D1197" s="0" t="n">
        <f aca="false">A1197/SUM($A1197:$C1197)</f>
        <v>0.212494002520409</v>
      </c>
      <c r="E1197" s="0" t="n">
        <f aca="false">B1197/SUM($A1197:$C1197)</f>
        <v>0.293907383703238</v>
      </c>
      <c r="F1197" s="0" t="n">
        <f aca="false">C1197/SUM($A1197:$C1197)</f>
        <v>0.493598613776353</v>
      </c>
      <c r="G1197" s="0" t="n">
        <f aca="false">SUMPRODUCT(D1197:F1197,Stats!$B$6:$D$6)</f>
        <v>0.359783962990854</v>
      </c>
      <c r="H1197" s="0" t="n">
        <f aca="false">SQRT(SUMPRODUCT(MMULT(D1197:F1197,Stats!$B$12:$D$14),D1197:F1197))</f>
        <v>0.231458121951905</v>
      </c>
      <c r="I1197" s="0" t="n">
        <f aca="false">(G1197-Stats!$B$2)/H1197</f>
        <v>1.37296527039516</v>
      </c>
    </row>
    <row r="1198" customFormat="false" ht="15" hidden="false" customHeight="false" outlineLevel="0" collapsed="false">
      <c r="A1198" s="0" t="n">
        <v>0.126002027863994</v>
      </c>
      <c r="B1198" s="0" t="n">
        <v>0.196419215872017</v>
      </c>
      <c r="C1198" s="0" t="n">
        <v>0.951444825663092</v>
      </c>
      <c r="D1198" s="0" t="n">
        <f aca="false">A1198/SUM($A1198:$C1198)</f>
        <v>0.0989130889744405</v>
      </c>
      <c r="E1198" s="0" t="n">
        <f aca="false">B1198/SUM($A1198:$C1198)</f>
        <v>0.154191418227091</v>
      </c>
      <c r="F1198" s="0" t="n">
        <f aca="false">C1198/SUM($A1198:$C1198)</f>
        <v>0.746895492798469</v>
      </c>
      <c r="G1198" s="0" t="n">
        <f aca="false">SUMPRODUCT(D1198:F1198,Stats!$B$6:$D$6)</f>
        <v>0.344760323152259</v>
      </c>
      <c r="H1198" s="0" t="n">
        <f aca="false">SQRT(SUMPRODUCT(MMULT(D1198:F1198,Stats!$B$12:$D$14),D1198:F1198))</f>
        <v>0.242764647141028</v>
      </c>
      <c r="I1198" s="0" t="n">
        <f aca="false">(G1198-Stats!$B$2)/H1198</f>
        <v>1.24713514392554</v>
      </c>
    </row>
    <row r="1199" customFormat="false" ht="15" hidden="false" customHeight="false" outlineLevel="0" collapsed="false">
      <c r="A1199" s="0" t="n">
        <v>0.175491627381357</v>
      </c>
      <c r="B1199" s="0" t="n">
        <v>0.567727317931055</v>
      </c>
      <c r="C1199" s="0" t="n">
        <v>0.579314466661938</v>
      </c>
      <c r="D1199" s="0" t="n">
        <f aca="false">A1199/SUM($A1199:$C1199)</f>
        <v>0.132693530305124</v>
      </c>
      <c r="E1199" s="0" t="n">
        <f aca="false">B1199/SUM($A1199:$C1199)</f>
        <v>0.429272570954196</v>
      </c>
      <c r="F1199" s="0" t="n">
        <f aca="false">C1199/SUM($A1199:$C1199)</f>
        <v>0.43803389874068</v>
      </c>
      <c r="G1199" s="0" t="n">
        <f aca="false">SUMPRODUCT(D1199:F1199,Stats!$B$6:$D$6)</f>
        <v>0.369104876311336</v>
      </c>
      <c r="H1199" s="0" t="n">
        <f aca="false">SQRT(SUMPRODUCT(MMULT(D1199:F1199,Stats!$B$12:$D$14),D1199:F1199))</f>
        <v>0.235093978317806</v>
      </c>
      <c r="I1199" s="0" t="n">
        <f aca="false">(G1199-Stats!$B$2)/H1199</f>
        <v>1.39137922056492</v>
      </c>
    </row>
    <row r="1200" customFormat="false" ht="15" hidden="false" customHeight="false" outlineLevel="0" collapsed="false">
      <c r="A1200" s="0" t="n">
        <v>0.489624462050245</v>
      </c>
      <c r="B1200" s="0" t="n">
        <v>0.644745248576819</v>
      </c>
      <c r="C1200" s="0" t="n">
        <v>0.229826725797618</v>
      </c>
      <c r="D1200" s="0" t="n">
        <f aca="false">A1200/SUM($A1200:$C1200)</f>
        <v>0.358910527089093</v>
      </c>
      <c r="E1200" s="0" t="n">
        <f aca="false">B1200/SUM($A1200:$C1200)</f>
        <v>0.472619068164833</v>
      </c>
      <c r="F1200" s="0" t="n">
        <f aca="false">C1200/SUM($A1200:$C1200)</f>
        <v>0.168470404746074</v>
      </c>
      <c r="G1200" s="0" t="n">
        <f aca="false">SUMPRODUCT(D1200:F1200,Stats!$B$6:$D$6)</f>
        <v>0.379032087325893</v>
      </c>
      <c r="H1200" s="0" t="n">
        <f aca="false">SQRT(SUMPRODUCT(MMULT(D1200:F1200,Stats!$B$12:$D$14),D1200:F1200))</f>
        <v>0.228040015095325</v>
      </c>
      <c r="I1200" s="0" t="n">
        <f aca="false">(G1200-Stats!$B$2)/H1200</f>
        <v>1.47795152173187</v>
      </c>
    </row>
    <row r="1201" customFormat="false" ht="15" hidden="false" customHeight="false" outlineLevel="0" collapsed="false">
      <c r="A1201" s="0" t="n">
        <v>0.552662267776748</v>
      </c>
      <c r="B1201" s="0" t="n">
        <v>0.372173255246897</v>
      </c>
      <c r="C1201" s="0" t="n">
        <v>0.661667259629189</v>
      </c>
      <c r="D1201" s="0" t="n">
        <f aca="false">A1201/SUM($A1201:$C1201)</f>
        <v>0.348352536043225</v>
      </c>
      <c r="E1201" s="0" t="n">
        <f aca="false">B1201/SUM($A1201:$C1201)</f>
        <v>0.234587206096529</v>
      </c>
      <c r="F1201" s="0" t="n">
        <f aca="false">C1201/SUM($A1201:$C1201)</f>
        <v>0.417060257860246</v>
      </c>
      <c r="G1201" s="0" t="n">
        <f aca="false">SUMPRODUCT(D1201:F1201,Stats!$B$6:$D$6)</f>
        <v>0.358481272474154</v>
      </c>
      <c r="H1201" s="0" t="n">
        <f aca="false">SQRT(SUMPRODUCT(MMULT(D1201:F1201,Stats!$B$12:$D$14),D1201:F1201))</f>
        <v>0.225744658873991</v>
      </c>
      <c r="I1201" s="0" t="n">
        <f aca="false">(G1201-Stats!$B$2)/H1201</f>
        <v>1.40194356780247</v>
      </c>
    </row>
    <row r="1202" customFormat="false" ht="15" hidden="false" customHeight="false" outlineLevel="0" collapsed="false">
      <c r="A1202" s="0" t="n">
        <v>0.14122354337315</v>
      </c>
      <c r="B1202" s="0" t="n">
        <v>0.570877416839476</v>
      </c>
      <c r="C1202" s="0" t="n">
        <v>0.185270355383324</v>
      </c>
      <c r="D1202" s="0" t="n">
        <f aca="false">A1202/SUM($A1202:$C1202)</f>
        <v>0.157374701997648</v>
      </c>
      <c r="E1202" s="0" t="n">
        <f aca="false">B1202/SUM($A1202:$C1202)</f>
        <v>0.636166330389504</v>
      </c>
      <c r="F1202" s="0" t="n">
        <f aca="false">C1202/SUM($A1202:$C1202)</f>
        <v>0.206458967612849</v>
      </c>
      <c r="G1202" s="0" t="n">
        <f aca="false">SUMPRODUCT(D1202:F1202,Stats!$B$6:$D$6)</f>
        <v>0.387394865109339</v>
      </c>
      <c r="H1202" s="0" t="n">
        <f aca="false">SQRT(SUMPRODUCT(MMULT(D1202:F1202,Stats!$B$12:$D$14),D1202:F1202))</f>
        <v>0.236445820224848</v>
      </c>
      <c r="I1202" s="0" t="n">
        <f aca="false">(G1202-Stats!$B$2)/H1202</f>
        <v>1.46077805385135</v>
      </c>
    </row>
    <row r="1203" customFormat="false" ht="15" hidden="false" customHeight="false" outlineLevel="0" collapsed="false">
      <c r="A1203" s="0" t="n">
        <v>0.278643063115036</v>
      </c>
      <c r="B1203" s="0" t="n">
        <v>0.218709800323583</v>
      </c>
      <c r="C1203" s="0" t="n">
        <v>0.182837779868817</v>
      </c>
      <c r="D1203" s="0" t="n">
        <f aca="false">A1203/SUM($A1203:$C1203)</f>
        <v>0.409654360665902</v>
      </c>
      <c r="E1203" s="0" t="n">
        <f aca="false">B1203/SUM($A1203:$C1203)</f>
        <v>0.321541912514562</v>
      </c>
      <c r="F1203" s="0" t="n">
        <f aca="false">C1203/SUM($A1203:$C1203)</f>
        <v>0.268803726819537</v>
      </c>
      <c r="G1203" s="0" t="n">
        <f aca="false">SUMPRODUCT(D1203:F1203,Stats!$B$6:$D$6)</f>
        <v>0.367572650559161</v>
      </c>
      <c r="H1203" s="0" t="n">
        <f aca="false">SQRT(SUMPRODUCT(MMULT(D1203:F1203,Stats!$B$12:$D$14),D1203:F1203))</f>
        <v>0.224532427753686</v>
      </c>
      <c r="I1203" s="0" t="n">
        <f aca="false">(G1203-Stats!$B$2)/H1203</f>
        <v>1.45000280723958</v>
      </c>
    </row>
    <row r="1204" customFormat="false" ht="15" hidden="false" customHeight="false" outlineLevel="0" collapsed="false">
      <c r="A1204" s="0" t="n">
        <v>0.825710951560667</v>
      </c>
      <c r="B1204" s="0" t="n">
        <v>0.28570756766089</v>
      </c>
      <c r="C1204" s="0" t="n">
        <v>0.927123781864449</v>
      </c>
      <c r="D1204" s="0" t="n">
        <f aca="false">A1204/SUM($A1204:$C1204)</f>
        <v>0.405049701995774</v>
      </c>
      <c r="E1204" s="0" t="n">
        <f aca="false">B1204/SUM($A1204:$C1204)</f>
        <v>0.140152876645573</v>
      </c>
      <c r="F1204" s="0" t="n">
        <f aca="false">C1204/SUM($A1204:$C1204)</f>
        <v>0.454797421358652</v>
      </c>
      <c r="G1204" s="0" t="n">
        <f aca="false">SUMPRODUCT(D1204:F1204,Stats!$B$6:$D$6)</f>
        <v>0.352007055612515</v>
      </c>
      <c r="H1204" s="0" t="n">
        <f aca="false">SQRT(SUMPRODUCT(MMULT(D1204:F1204,Stats!$B$12:$D$14),D1204:F1204))</f>
        <v>0.224491149249779</v>
      </c>
      <c r="I1204" s="0" t="n">
        <f aca="false">(G1204-Stats!$B$2)/H1204</f>
        <v>1.38093219553875</v>
      </c>
    </row>
    <row r="1205" customFormat="false" ht="15" hidden="false" customHeight="false" outlineLevel="0" collapsed="false">
      <c r="A1205" s="0" t="n">
        <v>0.969926525345191</v>
      </c>
      <c r="B1205" s="0" t="n">
        <v>0.571260469937097</v>
      </c>
      <c r="C1205" s="0" t="n">
        <v>0.143001122665726</v>
      </c>
      <c r="D1205" s="0" t="n">
        <f aca="false">A1205/SUM($A1205:$C1205)</f>
        <v>0.575901536775436</v>
      </c>
      <c r="E1205" s="0" t="n">
        <f aca="false">B1205/SUM($A1205:$C1205)</f>
        <v>0.339190416942919</v>
      </c>
      <c r="F1205" s="0" t="n">
        <f aca="false">C1205/SUM($A1205:$C1205)</f>
        <v>0.0849080462816449</v>
      </c>
      <c r="G1205" s="0" t="n">
        <f aca="false">SUMPRODUCT(D1205:F1205,Stats!$B$6:$D$6)</f>
        <v>0.373658975322792</v>
      </c>
      <c r="H1205" s="0" t="n">
        <f aca="false">SQRT(SUMPRODUCT(MMULT(D1205:F1205,Stats!$B$12:$D$14),D1205:F1205))</f>
        <v>0.225272114745945</v>
      </c>
      <c r="I1205" s="0" t="n">
        <f aca="false">(G1205-Stats!$B$2)/H1205</f>
        <v>1.47225934153824</v>
      </c>
    </row>
    <row r="1206" customFormat="false" ht="15" hidden="false" customHeight="false" outlineLevel="0" collapsed="false">
      <c r="A1206" s="0" t="n">
        <v>0.374548243379581</v>
      </c>
      <c r="B1206" s="0" t="n">
        <v>0.797732263348214</v>
      </c>
      <c r="C1206" s="0" t="n">
        <v>0.367390728697071</v>
      </c>
      <c r="D1206" s="0" t="n">
        <f aca="false">A1206/SUM($A1206:$C1206)</f>
        <v>0.243265078129635</v>
      </c>
      <c r="E1206" s="0" t="n">
        <f aca="false">B1206/SUM($A1206:$C1206)</f>
        <v>0.518118572974498</v>
      </c>
      <c r="F1206" s="0" t="n">
        <f aca="false">C1206/SUM($A1206:$C1206)</f>
        <v>0.238616348895867</v>
      </c>
      <c r="G1206" s="0" t="n">
        <f aca="false">SUMPRODUCT(D1206:F1206,Stats!$B$6:$D$6)</f>
        <v>0.379715822513402</v>
      </c>
      <c r="H1206" s="0" t="n">
        <f aca="false">SQRT(SUMPRODUCT(MMULT(D1206:F1206,Stats!$B$12:$D$14),D1206:F1206))</f>
        <v>0.231245445108379</v>
      </c>
      <c r="I1206" s="0" t="n">
        <f aca="false">(G1206-Stats!$B$2)/H1206</f>
        <v>1.46042151167615</v>
      </c>
    </row>
    <row r="1207" customFormat="false" ht="15" hidden="false" customHeight="false" outlineLevel="0" collapsed="false">
      <c r="A1207" s="0" t="n">
        <v>0.0870172183027888</v>
      </c>
      <c r="B1207" s="0" t="n">
        <v>0.556784910928188</v>
      </c>
      <c r="C1207" s="0" t="n">
        <v>0.845120851496035</v>
      </c>
      <c r="D1207" s="0" t="n">
        <f aca="false">A1207/SUM($A1207:$C1207)</f>
        <v>0.0584430621524157</v>
      </c>
      <c r="E1207" s="0" t="n">
        <f aca="false">B1207/SUM($A1207:$C1207)</f>
        <v>0.373951452247934</v>
      </c>
      <c r="F1207" s="0" t="n">
        <f aca="false">C1207/SUM($A1207:$C1207)</f>
        <v>0.567605485599651</v>
      </c>
      <c r="G1207" s="0" t="n">
        <f aca="false">SUMPRODUCT(D1207:F1207,Stats!$B$6:$D$6)</f>
        <v>0.362348884069917</v>
      </c>
      <c r="H1207" s="0" t="n">
        <f aca="false">SQRT(SUMPRODUCT(MMULT(D1207:F1207,Stats!$B$12:$D$14),D1207:F1207))</f>
        <v>0.240382501758653</v>
      </c>
      <c r="I1207" s="0" t="n">
        <f aca="false">(G1207-Stats!$B$2)/H1207</f>
        <v>1.33266307541616</v>
      </c>
    </row>
    <row r="1208" customFormat="false" ht="15" hidden="false" customHeight="false" outlineLevel="0" collapsed="false">
      <c r="A1208" s="0" t="n">
        <v>0.795926387143502</v>
      </c>
      <c r="B1208" s="0" t="n">
        <v>0.175123140130353</v>
      </c>
      <c r="C1208" s="0" t="n">
        <v>0.672764614412467</v>
      </c>
      <c r="D1208" s="0" t="n">
        <f aca="false">A1208/SUM($A1208:$C1208)</f>
        <v>0.484194877607631</v>
      </c>
      <c r="E1208" s="0" t="n">
        <f aca="false">B1208/SUM($A1208:$C1208)</f>
        <v>0.106534635327265</v>
      </c>
      <c r="F1208" s="0" t="n">
        <f aca="false">C1208/SUM($A1208:$C1208)</f>
        <v>0.409270487065104</v>
      </c>
      <c r="G1208" s="0" t="n">
        <f aca="false">SUMPRODUCT(D1208:F1208,Stats!$B$6:$D$6)</f>
        <v>0.351328093220863</v>
      </c>
      <c r="H1208" s="0" t="n">
        <f aca="false">SQRT(SUMPRODUCT(MMULT(D1208:F1208,Stats!$B$12:$D$14),D1208:F1208))</f>
        <v>0.222583889116863</v>
      </c>
      <c r="I1208" s="0" t="n">
        <f aca="false">(G1208-Stats!$B$2)/H1208</f>
        <v>1.38971465746318</v>
      </c>
    </row>
    <row r="1209" customFormat="false" ht="15" hidden="false" customHeight="false" outlineLevel="0" collapsed="false">
      <c r="A1209" s="0" t="n">
        <v>0.220504263435647</v>
      </c>
      <c r="B1209" s="0" t="n">
        <v>0.218207534552172</v>
      </c>
      <c r="C1209" s="0" t="n">
        <v>0.874071773305185</v>
      </c>
      <c r="D1209" s="0" t="n">
        <f aca="false">A1209/SUM($A1209:$C1209)</f>
        <v>0.167966958345209</v>
      </c>
      <c r="E1209" s="0" t="n">
        <f aca="false">B1209/SUM($A1209:$C1209)</f>
        <v>0.166217447661424</v>
      </c>
      <c r="F1209" s="0" t="n">
        <f aca="false">C1209/SUM($A1209:$C1209)</f>
        <v>0.665815593993367</v>
      </c>
      <c r="G1209" s="0" t="n">
        <f aca="false">SUMPRODUCT(D1209:F1209,Stats!$B$6:$D$6)</f>
        <v>0.347688032345507</v>
      </c>
      <c r="H1209" s="0" t="n">
        <f aca="false">SQRT(SUMPRODUCT(MMULT(D1209:F1209,Stats!$B$12:$D$14),D1209:F1209))</f>
        <v>0.236858529892085</v>
      </c>
      <c r="I1209" s="0" t="n">
        <f aca="false">(G1209-Stats!$B$2)/H1209</f>
        <v>1.29059330261309</v>
      </c>
    </row>
    <row r="1210" customFormat="false" ht="15" hidden="false" customHeight="false" outlineLevel="0" collapsed="false">
      <c r="A1210" s="0" t="n">
        <v>0.24966895274023</v>
      </c>
      <c r="B1210" s="0" t="n">
        <v>0.263247346518011</v>
      </c>
      <c r="C1210" s="0" t="n">
        <v>0.000653390761299555</v>
      </c>
      <c r="D1210" s="0" t="n">
        <f aca="false">A1210/SUM($A1210:$C1210)</f>
        <v>0.486144251875009</v>
      </c>
      <c r="E1210" s="0" t="n">
        <f aca="false">B1210/SUM($A1210:$C1210)</f>
        <v>0.512583494769707</v>
      </c>
      <c r="F1210" s="0" t="n">
        <f aca="false">C1210/SUM($A1210:$C1210)</f>
        <v>0.00127225335528406</v>
      </c>
      <c r="G1210" s="0" t="n">
        <f aca="false">SUMPRODUCT(D1210:F1210,Stats!$B$6:$D$6)</f>
        <v>0.385942013424603</v>
      </c>
      <c r="H1210" s="0" t="n">
        <f aca="false">SQRT(SUMPRODUCT(MMULT(D1210:F1210,Stats!$B$12:$D$14),D1210:F1210))</f>
        <v>0.229946607493952</v>
      </c>
      <c r="I1210" s="0" t="n">
        <f aca="false">(G1210-Stats!$B$2)/H1210</f>
        <v>1.49574728313245</v>
      </c>
    </row>
    <row r="1211" customFormat="false" ht="15" hidden="false" customHeight="false" outlineLevel="0" collapsed="false">
      <c r="A1211" s="0" t="n">
        <v>0.870669034125518</v>
      </c>
      <c r="B1211" s="0" t="n">
        <v>0.792594813209135</v>
      </c>
      <c r="C1211" s="0" t="n">
        <v>0.627328935090678</v>
      </c>
      <c r="D1211" s="0" t="n">
        <f aca="false">A1211/SUM($A1211:$C1211)</f>
        <v>0.380106425203887</v>
      </c>
      <c r="E1211" s="0" t="n">
        <f aca="false">B1211/SUM($A1211:$C1211)</f>
        <v>0.346021702019823</v>
      </c>
      <c r="F1211" s="0" t="n">
        <f aca="false">C1211/SUM($A1211:$C1211)</f>
        <v>0.27387187277629</v>
      </c>
      <c r="G1211" s="0" t="n">
        <f aca="false">SUMPRODUCT(D1211:F1211,Stats!$B$6:$D$6)</f>
        <v>0.368841433788276</v>
      </c>
      <c r="H1211" s="0" t="n">
        <f aca="false">SQRT(SUMPRODUCT(MMULT(D1211:F1211,Stats!$B$12:$D$14),D1211:F1211))</f>
        <v>0.225328715431707</v>
      </c>
      <c r="I1211" s="0" t="n">
        <f aca="false">(G1211-Stats!$B$2)/H1211</f>
        <v>1.45050946197461</v>
      </c>
    </row>
    <row r="1212" customFormat="false" ht="15" hidden="false" customHeight="false" outlineLevel="0" collapsed="false">
      <c r="A1212" s="0" t="n">
        <v>0.750265763938842</v>
      </c>
      <c r="B1212" s="0" t="n">
        <v>0.152048567424492</v>
      </c>
      <c r="C1212" s="0" t="n">
        <v>0.458323594587575</v>
      </c>
      <c r="D1212" s="0" t="n">
        <f aca="false">A1212/SUM($A1212:$C1212)</f>
        <v>0.551407357996804</v>
      </c>
      <c r="E1212" s="0" t="n">
        <f aca="false">B1212/SUM($A1212:$C1212)</f>
        <v>0.111748000349343</v>
      </c>
      <c r="F1212" s="0" t="n">
        <f aca="false">C1212/SUM($A1212:$C1212)</f>
        <v>0.336844641653853</v>
      </c>
      <c r="G1212" s="0" t="n">
        <f aca="false">SUMPRODUCT(D1212:F1212,Stats!$B$6:$D$6)</f>
        <v>0.353625178327477</v>
      </c>
      <c r="H1212" s="0" t="n">
        <f aca="false">SQRT(SUMPRODUCT(MMULT(D1212:F1212,Stats!$B$12:$D$14),D1212:F1212))</f>
        <v>0.221564415640422</v>
      </c>
      <c r="I1212" s="0" t="n">
        <f aca="false">(G1212-Stats!$B$2)/H1212</f>
        <v>1.40647665567929</v>
      </c>
    </row>
    <row r="1213" customFormat="false" ht="15" hidden="false" customHeight="false" outlineLevel="0" collapsed="false">
      <c r="A1213" s="0" t="n">
        <v>0.351219387348781</v>
      </c>
      <c r="B1213" s="0" t="n">
        <v>0.0937765262570165</v>
      </c>
      <c r="C1213" s="0" t="n">
        <v>0.486130485214924</v>
      </c>
      <c r="D1213" s="0" t="n">
        <f aca="false">A1213/SUM($A1213:$C1213)</f>
        <v>0.377198399480031</v>
      </c>
      <c r="E1213" s="0" t="n">
        <f aca="false">B1213/SUM($A1213:$C1213)</f>
        <v>0.100712992753492</v>
      </c>
      <c r="F1213" s="0" t="n">
        <f aca="false">C1213/SUM($A1213:$C1213)</f>
        <v>0.522088607766477</v>
      </c>
      <c r="G1213" s="0" t="n">
        <f aca="false">SUMPRODUCT(D1213:F1213,Stats!$B$6:$D$6)</f>
        <v>0.347882207155763</v>
      </c>
      <c r="H1213" s="0" t="n">
        <f aca="false">SQRT(SUMPRODUCT(MMULT(D1213:F1213,Stats!$B$12:$D$14),D1213:F1213))</f>
        <v>0.226127980954103</v>
      </c>
      <c r="I1213" s="0" t="n">
        <f aca="false">(G1213-Stats!$B$2)/H1213</f>
        <v>1.35269507941986</v>
      </c>
    </row>
    <row r="1214" customFormat="false" ht="15" hidden="false" customHeight="false" outlineLevel="0" collapsed="false">
      <c r="A1214" s="0" t="n">
        <v>0.920739650342635</v>
      </c>
      <c r="B1214" s="0" t="n">
        <v>0.0400591190506945</v>
      </c>
      <c r="C1214" s="0" t="n">
        <v>0.291460913493794</v>
      </c>
      <c r="D1214" s="0" t="n">
        <f aca="false">A1214/SUM($A1214:$C1214)</f>
        <v>0.735262552108874</v>
      </c>
      <c r="E1214" s="0" t="n">
        <f aca="false">B1214/SUM($A1214:$C1214)</f>
        <v>0.0319894664007204</v>
      </c>
      <c r="F1214" s="0" t="n">
        <f aca="false">C1214/SUM($A1214:$C1214)</f>
        <v>0.232747981490406</v>
      </c>
      <c r="G1214" s="0" t="n">
        <f aca="false">SUMPRODUCT(D1214:F1214,Stats!$B$6:$D$6)</f>
        <v>0.351906400879851</v>
      </c>
      <c r="H1214" s="0" t="n">
        <f aca="false">SQRT(SUMPRODUCT(MMULT(D1214:F1214,Stats!$B$12:$D$14),D1214:F1214))</f>
        <v>0.222371025866633</v>
      </c>
      <c r="I1214" s="0" t="n">
        <f aca="false">(G1214-Stats!$B$2)/H1214</f>
        <v>1.39364559601266</v>
      </c>
    </row>
    <row r="1215" customFormat="false" ht="15" hidden="false" customHeight="false" outlineLevel="0" collapsed="false">
      <c r="A1215" s="0" t="n">
        <v>0.207540936205704</v>
      </c>
      <c r="B1215" s="0" t="n">
        <v>0.238146653665696</v>
      </c>
      <c r="C1215" s="0" t="n">
        <v>0.908434551879375</v>
      </c>
      <c r="D1215" s="0" t="n">
        <f aca="false">A1215/SUM($A1215:$C1215)</f>
        <v>0.153266038422036</v>
      </c>
      <c r="E1215" s="0" t="n">
        <f aca="false">B1215/SUM($A1215:$C1215)</f>
        <v>0.175867926771946</v>
      </c>
      <c r="F1215" s="0" t="n">
        <f aca="false">C1215/SUM($A1215:$C1215)</f>
        <v>0.670866034806018</v>
      </c>
      <c r="G1215" s="0" t="n">
        <f aca="false">SUMPRODUCT(D1215:F1215,Stats!$B$6:$D$6)</f>
        <v>0.348104044460248</v>
      </c>
      <c r="H1215" s="0" t="n">
        <f aca="false">SQRT(SUMPRODUCT(MMULT(D1215:F1215,Stats!$B$12:$D$14),D1215:F1215))</f>
        <v>0.237673312195259</v>
      </c>
      <c r="I1215" s="0" t="n">
        <f aca="false">(G1215-Stats!$B$2)/H1215</f>
        <v>1.28791929406348</v>
      </c>
    </row>
    <row r="1216" customFormat="false" ht="15" hidden="false" customHeight="false" outlineLevel="0" collapsed="false">
      <c r="A1216" s="0" t="n">
        <v>0.46806905423429</v>
      </c>
      <c r="B1216" s="0" t="n">
        <v>0.466299412939819</v>
      </c>
      <c r="C1216" s="0" t="n">
        <v>0.760575642455282</v>
      </c>
      <c r="D1216" s="0" t="n">
        <f aca="false">A1216/SUM($A1216:$C1216)</f>
        <v>0.276156040529641</v>
      </c>
      <c r="E1216" s="0" t="n">
        <f aca="false">B1216/SUM($A1216:$C1216)</f>
        <v>0.275111969940872</v>
      </c>
      <c r="F1216" s="0" t="n">
        <f aca="false">C1216/SUM($A1216:$C1216)</f>
        <v>0.448731989529487</v>
      </c>
      <c r="G1216" s="0" t="n">
        <f aca="false">SUMPRODUCT(D1216:F1216,Stats!$B$6:$D$6)</f>
        <v>0.359939679116391</v>
      </c>
      <c r="H1216" s="0" t="n">
        <f aca="false">SQRT(SUMPRODUCT(MMULT(D1216:F1216,Stats!$B$12:$D$14),D1216:F1216))</f>
        <v>0.228432664055322</v>
      </c>
      <c r="I1216" s="0" t="n">
        <f aca="false">(G1216-Stats!$B$2)/H1216</f>
        <v>1.39183106948047</v>
      </c>
    </row>
    <row r="1217" customFormat="false" ht="15" hidden="false" customHeight="false" outlineLevel="0" collapsed="false">
      <c r="A1217" s="0" t="n">
        <v>0.154492204004926</v>
      </c>
      <c r="B1217" s="0" t="n">
        <v>0.487265354100051</v>
      </c>
      <c r="C1217" s="0" t="n">
        <v>0.42998521412106</v>
      </c>
      <c r="D1217" s="0" t="n">
        <f aca="false">A1217/SUM($A1217:$C1217)</f>
        <v>0.144150451030373</v>
      </c>
      <c r="E1217" s="0" t="n">
        <f aca="false">B1217/SUM($A1217:$C1217)</f>
        <v>0.454647669876969</v>
      </c>
      <c r="F1217" s="0" t="n">
        <f aca="false">C1217/SUM($A1217:$C1217)</f>
        <v>0.401201879092657</v>
      </c>
      <c r="G1217" s="0" t="n">
        <f aca="false">SUMPRODUCT(D1217:F1217,Stats!$B$6:$D$6)</f>
        <v>0.371580555436459</v>
      </c>
      <c r="H1217" s="0" t="n">
        <f aca="false">SQRT(SUMPRODUCT(MMULT(D1217:F1217,Stats!$B$12:$D$14),D1217:F1217))</f>
        <v>0.234486641134515</v>
      </c>
      <c r="I1217" s="0" t="n">
        <f aca="false">(G1217-Stats!$B$2)/H1217</f>
        <v>1.4055408608433</v>
      </c>
    </row>
    <row r="1218" customFormat="false" ht="15" hidden="false" customHeight="false" outlineLevel="0" collapsed="false">
      <c r="A1218" s="0" t="n">
        <v>0.596910690546656</v>
      </c>
      <c r="B1218" s="0" t="n">
        <v>0.999557703250439</v>
      </c>
      <c r="C1218" s="0" t="n">
        <v>0.769448894082047</v>
      </c>
      <c r="D1218" s="0" t="n">
        <f aca="false">A1218/SUM($A1218:$C1218)</f>
        <v>0.252295671368013</v>
      </c>
      <c r="E1218" s="0" t="n">
        <f aca="false">B1218/SUM($A1218:$C1218)</f>
        <v>0.422482099594641</v>
      </c>
      <c r="F1218" s="0" t="n">
        <f aca="false">C1218/SUM($A1218:$C1218)</f>
        <v>0.325222229037346</v>
      </c>
      <c r="G1218" s="0" t="n">
        <f aca="false">SUMPRODUCT(D1218:F1218,Stats!$B$6:$D$6)</f>
        <v>0.371824899780462</v>
      </c>
      <c r="H1218" s="0" t="n">
        <f aca="false">SQRT(SUMPRODUCT(MMULT(D1218:F1218,Stats!$B$12:$D$14),D1218:F1218))</f>
        <v>0.229584861386568</v>
      </c>
      <c r="I1218" s="0" t="n">
        <f aca="false">(G1218-Stats!$B$2)/H1218</f>
        <v>1.43661432112073</v>
      </c>
    </row>
    <row r="1219" customFormat="false" ht="15" hidden="false" customHeight="false" outlineLevel="0" collapsed="false">
      <c r="A1219" s="0" t="n">
        <v>0.397865703017427</v>
      </c>
      <c r="B1219" s="0" t="n">
        <v>0.827553052274047</v>
      </c>
      <c r="C1219" s="0" t="n">
        <v>0.17070836331248</v>
      </c>
      <c r="D1219" s="0" t="n">
        <f aca="false">A1219/SUM($A1219:$C1219)</f>
        <v>0.284978135383023</v>
      </c>
      <c r="E1219" s="0" t="n">
        <f aca="false">B1219/SUM($A1219:$C1219)</f>
        <v>0.592749070802057</v>
      </c>
      <c r="F1219" s="0" t="n">
        <f aca="false">C1219/SUM($A1219:$C1219)</f>
        <v>0.12227279381492</v>
      </c>
      <c r="G1219" s="0" t="n">
        <f aca="false">SUMPRODUCT(D1219:F1219,Stats!$B$6:$D$6)</f>
        <v>0.38721809354931</v>
      </c>
      <c r="H1219" s="0" t="n">
        <f aca="false">SQRT(SUMPRODUCT(MMULT(D1219:F1219,Stats!$B$12:$D$14),D1219:F1219))</f>
        <v>0.232361233257185</v>
      </c>
      <c r="I1219" s="0" t="n">
        <f aca="false">(G1219-Stats!$B$2)/H1219</f>
        <v>1.48569573637618</v>
      </c>
    </row>
    <row r="1220" customFormat="false" ht="15" hidden="false" customHeight="false" outlineLevel="0" collapsed="false">
      <c r="A1220" s="0" t="n">
        <v>0.0304636863089601</v>
      </c>
      <c r="B1220" s="0" t="n">
        <v>0.204448372464273</v>
      </c>
      <c r="C1220" s="0" t="n">
        <v>0.34041155611426</v>
      </c>
      <c r="D1220" s="0" t="n">
        <f aca="false">A1220/SUM($A1220:$C1220)</f>
        <v>0.0529505230111534</v>
      </c>
      <c r="E1220" s="0" t="n">
        <f aca="false">B1220/SUM($A1220:$C1220)</f>
        <v>0.355362385923015</v>
      </c>
      <c r="F1220" s="0" t="n">
        <f aca="false">C1220/SUM($A1220:$C1220)</f>
        <v>0.591687091065832</v>
      </c>
      <c r="G1220" s="0" t="n">
        <f aca="false">SUMPRODUCT(D1220:F1220,Stats!$B$6:$D$6)</f>
        <v>0.360615252244481</v>
      </c>
      <c r="H1220" s="0" t="n">
        <f aca="false">SQRT(SUMPRODUCT(MMULT(D1220:F1220,Stats!$B$12:$D$14),D1220:F1220))</f>
        <v>0.241093570230128</v>
      </c>
      <c r="I1220" s="0" t="n">
        <f aca="false">(G1220-Stats!$B$2)/H1220</f>
        <v>1.3215418890697</v>
      </c>
    </row>
    <row r="1221" customFormat="false" ht="15" hidden="false" customHeight="false" outlineLevel="0" collapsed="false">
      <c r="A1221" s="0" t="n">
        <v>0.51058075745956</v>
      </c>
      <c r="B1221" s="0" t="n">
        <v>0.6151291405412</v>
      </c>
      <c r="C1221" s="0" t="n">
        <v>0.910605717214422</v>
      </c>
      <c r="D1221" s="0" t="n">
        <f aca="false">A1221/SUM($A1221:$C1221)</f>
        <v>0.25073753481265</v>
      </c>
      <c r="E1221" s="0" t="n">
        <f aca="false">B1221/SUM($A1221:$C1221)</f>
        <v>0.302079469383334</v>
      </c>
      <c r="F1221" s="0" t="n">
        <f aca="false">C1221/SUM($A1221:$C1221)</f>
        <v>0.447182995804016</v>
      </c>
      <c r="G1221" s="0" t="n">
        <f aca="false">SUMPRODUCT(D1221:F1221,Stats!$B$6:$D$6)</f>
        <v>0.361534067037165</v>
      </c>
      <c r="H1221" s="0" t="n">
        <f aca="false">SQRT(SUMPRODUCT(MMULT(D1221:F1221,Stats!$B$12:$D$14),D1221:F1221))</f>
        <v>0.229441605371437</v>
      </c>
      <c r="I1221" s="0" t="n">
        <f aca="false">(G1221-Stats!$B$2)/H1221</f>
        <v>1.3926596552525</v>
      </c>
    </row>
    <row r="1222" customFormat="false" ht="15" hidden="false" customHeight="false" outlineLevel="0" collapsed="false">
      <c r="A1222" s="0" t="n">
        <v>0.509854009550458</v>
      </c>
      <c r="B1222" s="0" t="n">
        <v>0.501275644625729</v>
      </c>
      <c r="C1222" s="0" t="n">
        <v>0.0502430098229821</v>
      </c>
      <c r="D1222" s="0" t="n">
        <f aca="false">A1222/SUM($A1222:$C1222)</f>
        <v>0.480372282841135</v>
      </c>
      <c r="E1222" s="0" t="n">
        <f aca="false">B1222/SUM($A1222:$C1222)</f>
        <v>0.472289952086162</v>
      </c>
      <c r="F1222" s="0" t="n">
        <f aca="false">C1222/SUM($A1222:$C1222)</f>
        <v>0.0473377650727035</v>
      </c>
      <c r="G1222" s="0" t="n">
        <f aca="false">SUMPRODUCT(D1222:F1222,Stats!$B$6:$D$6)</f>
        <v>0.382353336361623</v>
      </c>
      <c r="H1222" s="0" t="n">
        <f aca="false">SQRT(SUMPRODUCT(MMULT(D1222:F1222,Stats!$B$12:$D$14),D1222:F1222))</f>
        <v>0.228245151278576</v>
      </c>
      <c r="I1222" s="0" t="n">
        <f aca="false">(G1222-Stats!$B$2)/H1222</f>
        <v>1.49117444315922</v>
      </c>
    </row>
    <row r="1223" customFormat="false" ht="15" hidden="false" customHeight="false" outlineLevel="0" collapsed="false">
      <c r="A1223" s="0" t="n">
        <v>0.0349115526562238</v>
      </c>
      <c r="B1223" s="0" t="n">
        <v>0.551159961916372</v>
      </c>
      <c r="C1223" s="0" t="n">
        <v>0.438178613248345</v>
      </c>
      <c r="D1223" s="0" t="n">
        <f aca="false">A1223/SUM($A1223:$C1223)</f>
        <v>0.0340849873560641</v>
      </c>
      <c r="E1223" s="0" t="n">
        <f aca="false">B1223/SUM($A1223:$C1223)</f>
        <v>0.538110708454533</v>
      </c>
      <c r="F1223" s="0" t="n">
        <f aca="false">C1223/SUM($A1223:$C1223)</f>
        <v>0.427804304189403</v>
      </c>
      <c r="G1223" s="0" t="n">
        <f aca="false">SUMPRODUCT(D1223:F1223,Stats!$B$6:$D$6)</f>
        <v>0.375649359011903</v>
      </c>
      <c r="H1223" s="0" t="n">
        <f aca="false">SQRT(SUMPRODUCT(MMULT(D1223:F1223,Stats!$B$12:$D$14),D1223:F1223))</f>
        <v>0.240994098324472</v>
      </c>
      <c r="I1223" s="0" t="n">
        <f aca="false">(G1223-Stats!$B$2)/H1223</f>
        <v>1.38447107763892</v>
      </c>
    </row>
    <row r="1224" customFormat="false" ht="15" hidden="false" customHeight="false" outlineLevel="0" collapsed="false">
      <c r="A1224" s="0" t="n">
        <v>0.839180394980299</v>
      </c>
      <c r="B1224" s="0" t="n">
        <v>0.160679584711845</v>
      </c>
      <c r="C1224" s="0" t="n">
        <v>0.0249716621170496</v>
      </c>
      <c r="D1224" s="0" t="n">
        <f aca="false">A1224/SUM($A1224:$C1224)</f>
        <v>0.818847077651551</v>
      </c>
      <c r="E1224" s="0" t="n">
        <f aca="false">B1224/SUM($A1224:$C1224)</f>
        <v>0.156786322900987</v>
      </c>
      <c r="F1224" s="0" t="n">
        <f aca="false">C1224/SUM($A1224:$C1224)</f>
        <v>0.0243665994474621</v>
      </c>
      <c r="G1224" s="0" t="n">
        <f aca="false">SUMPRODUCT(D1224:F1224,Stats!$B$6:$D$6)</f>
        <v>0.364833086943606</v>
      </c>
      <c r="H1224" s="0" t="n">
        <f aca="false">SQRT(SUMPRODUCT(MMULT(D1224:F1224,Stats!$B$12:$D$14),D1224:F1224))</f>
        <v>0.227810832859375</v>
      </c>
      <c r="I1224" s="0" t="n">
        <f aca="false">(G1224-Stats!$B$2)/H1224</f>
        <v>1.41711034059072</v>
      </c>
    </row>
    <row r="1225" customFormat="false" ht="15" hidden="false" customHeight="false" outlineLevel="0" collapsed="false">
      <c r="A1225" s="0" t="n">
        <v>0.449038767930126</v>
      </c>
      <c r="B1225" s="0" t="n">
        <v>0.237478556752258</v>
      </c>
      <c r="C1225" s="0" t="n">
        <v>0.0496143733388375</v>
      </c>
      <c r="D1225" s="0" t="n">
        <f aca="false">A1225/SUM($A1225:$C1225)</f>
        <v>0.609997870132718</v>
      </c>
      <c r="E1225" s="0" t="n">
        <f aca="false">B1225/SUM($A1225:$C1225)</f>
        <v>0.322603356696388</v>
      </c>
      <c r="F1225" s="0" t="n">
        <f aca="false">C1225/SUM($A1225:$C1225)</f>
        <v>0.0673987731708942</v>
      </c>
      <c r="G1225" s="0" t="n">
        <f aca="false">SUMPRODUCT(D1225:F1225,Stats!$B$6:$D$6)</f>
        <v>0.373187388816027</v>
      </c>
      <c r="H1225" s="0" t="n">
        <f aca="false">SQRT(SUMPRODUCT(MMULT(D1225:F1225,Stats!$B$12:$D$14),D1225:F1225))</f>
        <v>0.225494815290283</v>
      </c>
      <c r="I1225" s="0" t="n">
        <f aca="false">(G1225-Stats!$B$2)/H1225</f>
        <v>1.46871398524034</v>
      </c>
    </row>
    <row r="1226" customFormat="false" ht="15" hidden="false" customHeight="false" outlineLevel="0" collapsed="false">
      <c r="A1226" s="0" t="n">
        <v>0.724598286847629</v>
      </c>
      <c r="B1226" s="0" t="n">
        <v>0.111592999957248</v>
      </c>
      <c r="C1226" s="0" t="n">
        <v>0.608319500007772</v>
      </c>
      <c r="D1226" s="0" t="n">
        <f aca="false">A1226/SUM($A1226:$C1226)</f>
        <v>0.501621928657573</v>
      </c>
      <c r="E1226" s="0" t="n">
        <f aca="false">B1226/SUM($A1226:$C1226)</f>
        <v>0.0772531440928042</v>
      </c>
      <c r="F1226" s="0" t="n">
        <f aca="false">C1226/SUM($A1226:$C1226)</f>
        <v>0.421124927249623</v>
      </c>
      <c r="G1226" s="0" t="n">
        <f aca="false">SUMPRODUCT(D1226:F1226,Stats!$B$6:$D$6)</f>
        <v>0.349316392484894</v>
      </c>
      <c r="H1226" s="0" t="n">
        <f aca="false">SQRT(SUMPRODUCT(MMULT(D1226:F1226,Stats!$B$12:$D$14),D1226:F1226))</f>
        <v>0.222442966824297</v>
      </c>
      <c r="I1226" s="0" t="n">
        <f aca="false">(G1226-Stats!$B$2)/H1226</f>
        <v>1.38155140111773</v>
      </c>
    </row>
    <row r="1227" customFormat="false" ht="15" hidden="false" customHeight="false" outlineLevel="0" collapsed="false">
      <c r="A1227" s="0" t="n">
        <v>0.281049750166889</v>
      </c>
      <c r="B1227" s="0" t="n">
        <v>0.173496050355022</v>
      </c>
      <c r="C1227" s="0" t="n">
        <v>0.379751522919318</v>
      </c>
      <c r="D1227" s="0" t="n">
        <f aca="false">A1227/SUM($A1227:$C1227)</f>
        <v>0.33687001296809</v>
      </c>
      <c r="E1227" s="0" t="n">
        <f aca="false">B1227/SUM($A1227:$C1227)</f>
        <v>0.207954700896561</v>
      </c>
      <c r="F1227" s="0" t="n">
        <f aca="false">C1227/SUM($A1227:$C1227)</f>
        <v>0.455175286135349</v>
      </c>
      <c r="G1227" s="0" t="n">
        <f aca="false">SUMPRODUCT(D1227:F1227,Stats!$B$6:$D$6)</f>
        <v>0.35589786534985</v>
      </c>
      <c r="H1227" s="0" t="n">
        <f aca="false">SQRT(SUMPRODUCT(MMULT(D1227:F1227,Stats!$B$12:$D$14),D1227:F1227))</f>
        <v>0.226357359197533</v>
      </c>
      <c r="I1227" s="0" t="n">
        <f aca="false">(G1227-Stats!$B$2)/H1227</f>
        <v>1.38673585194075</v>
      </c>
    </row>
    <row r="1228" customFormat="false" ht="15" hidden="false" customHeight="false" outlineLevel="0" collapsed="false">
      <c r="A1228" s="0" t="n">
        <v>0.801445776222954</v>
      </c>
      <c r="B1228" s="0" t="n">
        <v>0.392093576904573</v>
      </c>
      <c r="C1228" s="0" t="n">
        <v>0.750769649211056</v>
      </c>
      <c r="D1228" s="0" t="n">
        <f aca="false">A1228/SUM($A1228:$C1228)</f>
        <v>0.41220082572214</v>
      </c>
      <c r="E1228" s="0" t="n">
        <f aca="false">B1228/SUM($A1228:$C1228)</f>
        <v>0.20166217223341</v>
      </c>
      <c r="F1228" s="0" t="n">
        <f aca="false">C1228/SUM($A1228:$C1228)</f>
        <v>0.38613700204445</v>
      </c>
      <c r="G1228" s="0" t="n">
        <f aca="false">SUMPRODUCT(D1228:F1228,Stats!$B$6:$D$6)</f>
        <v>0.357439505525119</v>
      </c>
      <c r="H1228" s="0" t="n">
        <f aca="false">SQRT(SUMPRODUCT(MMULT(D1228:F1228,Stats!$B$12:$D$14),D1228:F1228))</f>
        <v>0.223877890617423</v>
      </c>
      <c r="I1228" s="0" t="n">
        <f aca="false">(G1228-Stats!$B$2)/H1228</f>
        <v>1.40898015724189</v>
      </c>
    </row>
    <row r="1229" customFormat="false" ht="15" hidden="false" customHeight="false" outlineLevel="0" collapsed="false">
      <c r="A1229" s="0" t="n">
        <v>0.125486296799151</v>
      </c>
      <c r="B1229" s="0" t="n">
        <v>0.772771419665079</v>
      </c>
      <c r="C1229" s="0" t="n">
        <v>0.236933324906649</v>
      </c>
      <c r="D1229" s="0" t="n">
        <f aca="false">A1229/SUM($A1229:$C1229)</f>
        <v>0.110542007667371</v>
      </c>
      <c r="E1229" s="0" t="n">
        <f aca="false">B1229/SUM($A1229:$C1229)</f>
        <v>0.680741295079166</v>
      </c>
      <c r="F1229" s="0" t="n">
        <f aca="false">C1229/SUM($A1229:$C1229)</f>
        <v>0.208716697253463</v>
      </c>
      <c r="G1229" s="0" t="n">
        <f aca="false">SUMPRODUCT(D1229:F1229,Stats!$B$6:$D$6)</f>
        <v>0.389897394858863</v>
      </c>
      <c r="H1229" s="0" t="n">
        <f aca="false">SQRT(SUMPRODUCT(MMULT(D1229:F1229,Stats!$B$12:$D$14),D1229:F1229))</f>
        <v>0.239168751947463</v>
      </c>
      <c r="I1229" s="0" t="n">
        <f aca="false">(G1229-Stats!$B$2)/H1229</f>
        <v>1.45461057109703</v>
      </c>
    </row>
    <row r="1230" customFormat="false" ht="15" hidden="false" customHeight="false" outlineLevel="0" collapsed="false">
      <c r="A1230" s="0" t="n">
        <v>0.677393129888873</v>
      </c>
      <c r="B1230" s="0" t="n">
        <v>0.565781554840996</v>
      </c>
      <c r="C1230" s="0" t="n">
        <v>0.929144717211687</v>
      </c>
      <c r="D1230" s="0" t="n">
        <f aca="false">A1230/SUM($A1230:$C1230)</f>
        <v>0.311829434144647</v>
      </c>
      <c r="E1230" s="0" t="n">
        <f aca="false">B1230/SUM($A1230:$C1230)</f>
        <v>0.260450444964639</v>
      </c>
      <c r="F1230" s="0" t="n">
        <f aca="false">C1230/SUM($A1230:$C1230)</f>
        <v>0.427720120890715</v>
      </c>
      <c r="G1230" s="0" t="n">
        <f aca="false">SUMPRODUCT(D1230:F1230,Stats!$B$6:$D$6)</f>
        <v>0.359675468141424</v>
      </c>
      <c r="H1230" s="0" t="n">
        <f aca="false">SQRT(SUMPRODUCT(MMULT(D1230:F1230,Stats!$B$12:$D$14),D1230:F1230))</f>
        <v>0.227000222923855</v>
      </c>
      <c r="I1230" s="0" t="n">
        <f aca="false">(G1230-Stats!$B$2)/H1230</f>
        <v>1.39945002718339</v>
      </c>
    </row>
    <row r="1231" customFormat="false" ht="15" hidden="false" customHeight="false" outlineLevel="0" collapsed="false">
      <c r="A1231" s="0" t="n">
        <v>0.387322517975314</v>
      </c>
      <c r="B1231" s="0" t="n">
        <v>0.0661651888344405</v>
      </c>
      <c r="C1231" s="0" t="n">
        <v>0.0191554855512529</v>
      </c>
      <c r="D1231" s="0" t="n">
        <f aca="false">A1231/SUM($A1231:$C1231)</f>
        <v>0.819481850654637</v>
      </c>
      <c r="E1231" s="0" t="n">
        <f aca="false">B1231/SUM($A1231:$C1231)</f>
        <v>0.139989721430079</v>
      </c>
      <c r="F1231" s="0" t="n">
        <f aca="false">C1231/SUM($A1231:$C1231)</f>
        <v>0.0405284279152842</v>
      </c>
      <c r="G1231" s="0" t="n">
        <f aca="false">SUMPRODUCT(D1231:F1231,Stats!$B$6:$D$6)</f>
        <v>0.363420976030552</v>
      </c>
      <c r="H1231" s="0" t="n">
        <f aca="false">SQRT(SUMPRODUCT(MMULT(D1231:F1231,Stats!$B$12:$D$14),D1231:F1231))</f>
        <v>0.227323111036252</v>
      </c>
      <c r="I1231" s="0" t="n">
        <f aca="false">(G1231-Stats!$B$2)/H1231</f>
        <v>1.41393884046965</v>
      </c>
    </row>
    <row r="1232" customFormat="false" ht="15" hidden="false" customHeight="false" outlineLevel="0" collapsed="false">
      <c r="A1232" s="0" t="n">
        <v>0.826858560972753</v>
      </c>
      <c r="B1232" s="0" t="n">
        <v>0.524735637661432</v>
      </c>
      <c r="C1232" s="0" t="n">
        <v>0.775244051834949</v>
      </c>
      <c r="D1232" s="0" t="n">
        <f aca="false">A1232/SUM($A1232:$C1232)</f>
        <v>0.388773598928064</v>
      </c>
      <c r="E1232" s="0" t="n">
        <f aca="false">B1232/SUM($A1232:$C1232)</f>
        <v>0.246720989499642</v>
      </c>
      <c r="F1232" s="0" t="n">
        <f aca="false">C1232/SUM($A1232:$C1232)</f>
        <v>0.364505411572294</v>
      </c>
      <c r="G1232" s="0" t="n">
        <f aca="false">SUMPRODUCT(D1232:F1232,Stats!$B$6:$D$6)</f>
        <v>0.360628614339454</v>
      </c>
      <c r="H1232" s="0" t="n">
        <f aca="false">SQRT(SUMPRODUCT(MMULT(D1232:F1232,Stats!$B$12:$D$14),D1232:F1232))</f>
        <v>0.224469147507208</v>
      </c>
      <c r="I1232" s="0" t="n">
        <f aca="false">(G1232-Stats!$B$2)/H1232</f>
        <v>1.41947620810215</v>
      </c>
    </row>
    <row r="1233" customFormat="false" ht="15" hidden="false" customHeight="false" outlineLevel="0" collapsed="false">
      <c r="A1233" s="0" t="n">
        <v>0.234425600011515</v>
      </c>
      <c r="B1233" s="0" t="n">
        <v>0.345083745513234</v>
      </c>
      <c r="C1233" s="0" t="n">
        <v>0.0301038722113189</v>
      </c>
      <c r="D1233" s="0" t="n">
        <f aca="false">A1233/SUM($A1233:$C1233)</f>
        <v>0.384548092448037</v>
      </c>
      <c r="E1233" s="0" t="n">
        <f aca="false">B1233/SUM($A1233:$C1233)</f>
        <v>0.566069985809655</v>
      </c>
      <c r="F1233" s="0" t="n">
        <f aca="false">C1233/SUM($A1233:$C1233)</f>
        <v>0.0493819217423078</v>
      </c>
      <c r="G1233" s="0" t="n">
        <f aca="false">SUMPRODUCT(D1233:F1233,Stats!$B$6:$D$6)</f>
        <v>0.38769295129101</v>
      </c>
      <c r="H1233" s="0" t="n">
        <f aca="false">SQRT(SUMPRODUCT(MMULT(D1233:F1233,Stats!$B$12:$D$14),D1233:F1233))</f>
        <v>0.230989634365665</v>
      </c>
      <c r="I1233" s="0" t="n">
        <f aca="false">(G1233-Stats!$B$2)/H1233</f>
        <v>1.49657343819924</v>
      </c>
    </row>
    <row r="1234" customFormat="false" ht="15" hidden="false" customHeight="false" outlineLevel="0" collapsed="false">
      <c r="A1234" s="0" t="n">
        <v>0.961492324574112</v>
      </c>
      <c r="B1234" s="0" t="n">
        <v>0.667867906700813</v>
      </c>
      <c r="C1234" s="0" t="n">
        <v>0.933205087759306</v>
      </c>
      <c r="D1234" s="0" t="n">
        <f aca="false">A1234/SUM($A1234:$C1234)</f>
        <v>0.375206952748613</v>
      </c>
      <c r="E1234" s="0" t="n">
        <f aca="false">B1234/SUM($A1234:$C1234)</f>
        <v>0.260624734807742</v>
      </c>
      <c r="F1234" s="0" t="n">
        <f aca="false">C1234/SUM($A1234:$C1234)</f>
        <v>0.364168312443645</v>
      </c>
      <c r="G1234" s="0" t="n">
        <f aca="false">SUMPRODUCT(D1234:F1234,Stats!$B$6:$D$6)</f>
        <v>0.361437913228035</v>
      </c>
      <c r="H1234" s="0" t="n">
        <f aca="false">SQRT(SUMPRODUCT(MMULT(D1234:F1234,Stats!$B$12:$D$14),D1234:F1234))</f>
        <v>0.224854040303138</v>
      </c>
      <c r="I1234" s="0" t="n">
        <f aca="false">(G1234-Stats!$B$2)/H1234</f>
        <v>1.42064564549244</v>
      </c>
    </row>
    <row r="1235" customFormat="false" ht="15" hidden="false" customHeight="false" outlineLevel="0" collapsed="false">
      <c r="A1235" s="0" t="n">
        <v>0.265496407429072</v>
      </c>
      <c r="B1235" s="0" t="n">
        <v>0.611463611225661</v>
      </c>
      <c r="C1235" s="0" t="n">
        <v>0.678499968292638</v>
      </c>
      <c r="D1235" s="0" t="n">
        <f aca="false">A1235/SUM($A1235:$C1235)</f>
        <v>0.170686748394033</v>
      </c>
      <c r="E1235" s="0" t="n">
        <f aca="false">B1235/SUM($A1235:$C1235)</f>
        <v>0.393107901429</v>
      </c>
      <c r="F1235" s="0" t="n">
        <f aca="false">C1235/SUM($A1235:$C1235)</f>
        <v>0.436205350176967</v>
      </c>
      <c r="G1235" s="0" t="n">
        <f aca="false">SUMPRODUCT(D1235:F1235,Stats!$B$6:$D$6)</f>
        <v>0.36707442955722</v>
      </c>
      <c r="H1235" s="0" t="n">
        <f aca="false">SQRT(SUMPRODUCT(MMULT(D1235:F1235,Stats!$B$12:$D$14),D1235:F1235))</f>
        <v>0.233090102182288</v>
      </c>
      <c r="I1235" s="0" t="n">
        <f aca="false">(G1235-Stats!$B$2)/H1235</f>
        <v>1.39462991570099</v>
      </c>
    </row>
    <row r="1236" customFormat="false" ht="15" hidden="false" customHeight="false" outlineLevel="0" collapsed="false">
      <c r="A1236" s="0" t="n">
        <v>0.317549700257588</v>
      </c>
      <c r="B1236" s="0" t="n">
        <v>0.84810923501563</v>
      </c>
      <c r="C1236" s="0" t="n">
        <v>0.947161462900248</v>
      </c>
      <c r="D1236" s="0" t="n">
        <f aca="false">A1236/SUM($A1236:$C1236)</f>
        <v>0.150296589588074</v>
      </c>
      <c r="E1236" s="0" t="n">
        <f aca="false">B1236/SUM($A1236:$C1236)</f>
        <v>0.401410946121507</v>
      </c>
      <c r="F1236" s="0" t="n">
        <f aca="false">C1236/SUM($A1236:$C1236)</f>
        <v>0.448292464290419</v>
      </c>
      <c r="G1236" s="0" t="n">
        <f aca="false">SUMPRODUCT(D1236:F1236,Stats!$B$6:$D$6)</f>
        <v>0.367218878479676</v>
      </c>
      <c r="H1236" s="0" t="n">
        <f aca="false">SQRT(SUMPRODUCT(MMULT(D1236:F1236,Stats!$B$12:$D$14),D1236:F1236))</f>
        <v>0.234175461109559</v>
      </c>
      <c r="I1236" s="0" t="n">
        <f aca="false">(G1236-Stats!$B$2)/H1236</f>
        <v>1.38878291063777</v>
      </c>
    </row>
    <row r="1237" customFormat="false" ht="15" hidden="false" customHeight="false" outlineLevel="0" collapsed="false">
      <c r="A1237" s="0" t="n">
        <v>0.884855117696004</v>
      </c>
      <c r="B1237" s="0" t="n">
        <v>0.739066975939373</v>
      </c>
      <c r="C1237" s="0" t="n">
        <v>0.277464679724954</v>
      </c>
      <c r="D1237" s="0" t="n">
        <f aca="false">A1237/SUM($A1237:$C1237)</f>
        <v>0.465373552658198</v>
      </c>
      <c r="E1237" s="0" t="n">
        <f aca="false">B1237/SUM($A1237:$C1237)</f>
        <v>0.388698915073031</v>
      </c>
      <c r="F1237" s="0" t="n">
        <f aca="false">C1237/SUM($A1237:$C1237)</f>
        <v>0.145927532268771</v>
      </c>
      <c r="G1237" s="0" t="n">
        <f aca="false">SUMPRODUCT(D1237:F1237,Stats!$B$6:$D$6)</f>
        <v>0.374825041370836</v>
      </c>
      <c r="H1237" s="0" t="n">
        <f aca="false">SQRT(SUMPRODUCT(MMULT(D1237:F1237,Stats!$B$12:$D$14),D1237:F1237))</f>
        <v>0.225472692380779</v>
      </c>
      <c r="I1237" s="0" t="n">
        <f aca="false">(G1237-Stats!$B$2)/H1237</f>
        <v>1.47612128926354</v>
      </c>
    </row>
    <row r="1238" customFormat="false" ht="15" hidden="false" customHeight="false" outlineLevel="0" collapsed="false">
      <c r="A1238" s="0" t="n">
        <v>0.281616042105632</v>
      </c>
      <c r="B1238" s="0" t="n">
        <v>0.963360320446038</v>
      </c>
      <c r="C1238" s="0" t="n">
        <v>0.010284495935692</v>
      </c>
      <c r="D1238" s="0" t="n">
        <f aca="false">A1238/SUM($A1238:$C1238)</f>
        <v>0.22434862060862</v>
      </c>
      <c r="E1238" s="0" t="n">
        <f aca="false">B1238/SUM($A1238:$C1238)</f>
        <v>0.767458264895573</v>
      </c>
      <c r="F1238" s="0" t="n">
        <f aca="false">C1238/SUM($A1238:$C1238)</f>
        <v>0.00819311449580707</v>
      </c>
      <c r="G1238" s="0" t="n">
        <f aca="false">SUMPRODUCT(D1238:F1238,Stats!$B$6:$D$6)</f>
        <v>0.400416337735639</v>
      </c>
      <c r="H1238" s="0" t="n">
        <f aca="false">SQRT(SUMPRODUCT(MMULT(D1238:F1238,Stats!$B$12:$D$14),D1238:F1238))</f>
        <v>0.23983409546697</v>
      </c>
      <c r="I1238" s="0" t="n">
        <f aca="false">(G1238-Stats!$B$2)/H1238</f>
        <v>1.49443446328089</v>
      </c>
    </row>
    <row r="1239" customFormat="false" ht="15" hidden="false" customHeight="false" outlineLevel="0" collapsed="false">
      <c r="A1239" s="0" t="n">
        <v>0.716049973242145</v>
      </c>
      <c r="B1239" s="0" t="n">
        <v>0.706246162555262</v>
      </c>
      <c r="C1239" s="0" t="n">
        <v>0.622689540949797</v>
      </c>
      <c r="D1239" s="0" t="n">
        <f aca="false">A1239/SUM($A1239:$C1239)</f>
        <v>0.350149138639009</v>
      </c>
      <c r="E1239" s="0" t="n">
        <f aca="false">B1239/SUM($A1239:$C1239)</f>
        <v>0.345355065605463</v>
      </c>
      <c r="F1239" s="0" t="n">
        <f aca="false">C1239/SUM($A1239:$C1239)</f>
        <v>0.304495795755528</v>
      </c>
      <c r="G1239" s="0" t="n">
        <f aca="false">SUMPRODUCT(D1239:F1239,Stats!$B$6:$D$6)</f>
        <v>0.367958633494232</v>
      </c>
      <c r="H1239" s="0" t="n">
        <f aca="false">SQRT(SUMPRODUCT(MMULT(D1239:F1239,Stats!$B$12:$D$14),D1239:F1239))</f>
        <v>0.225960003691915</v>
      </c>
      <c r="I1239" s="0" t="n">
        <f aca="false">(G1239-Stats!$B$2)/H1239</f>
        <v>1.44255013351239</v>
      </c>
    </row>
    <row r="1240" customFormat="false" ht="15" hidden="false" customHeight="false" outlineLevel="0" collapsed="false">
      <c r="A1240" s="0" t="n">
        <v>0.990108846086866</v>
      </c>
      <c r="B1240" s="0" t="n">
        <v>0.311879435763725</v>
      </c>
      <c r="C1240" s="0" t="n">
        <v>0.339971863793248</v>
      </c>
      <c r="D1240" s="0" t="n">
        <f aca="false">A1240/SUM($A1240:$C1240)</f>
        <v>0.603004189056384</v>
      </c>
      <c r="E1240" s="0" t="n">
        <f aca="false">B1240/SUM($A1240:$C1240)</f>
        <v>0.189943365307099</v>
      </c>
      <c r="F1240" s="0" t="n">
        <f aca="false">C1240/SUM($A1240:$C1240)</f>
        <v>0.207052445636517</v>
      </c>
      <c r="G1240" s="0" t="n">
        <f aca="false">SUMPRODUCT(D1240:F1240,Stats!$B$6:$D$6)</f>
        <v>0.361703408305341</v>
      </c>
      <c r="H1240" s="0" t="n">
        <f aca="false">SQRT(SUMPRODUCT(MMULT(D1240:F1240,Stats!$B$12:$D$14),D1240:F1240))</f>
        <v>0.222227800121955</v>
      </c>
      <c r="I1240" s="0" t="n">
        <f aca="false">(G1240-Stats!$B$2)/H1240</f>
        <v>1.43862922699092</v>
      </c>
    </row>
    <row r="1241" customFormat="false" ht="15" hidden="false" customHeight="false" outlineLevel="0" collapsed="false">
      <c r="A1241" s="0" t="n">
        <v>0.0789394029465556</v>
      </c>
      <c r="B1241" s="0" t="n">
        <v>0.442798136543738</v>
      </c>
      <c r="C1241" s="0" t="n">
        <v>0.261048526234848</v>
      </c>
      <c r="D1241" s="0" t="n">
        <f aca="false">A1241/SUM($A1241:$C1241)</f>
        <v>0.100844159602444</v>
      </c>
      <c r="E1241" s="0" t="n">
        <f aca="false">B1241/SUM($A1241:$C1241)</f>
        <v>0.565669415862107</v>
      </c>
      <c r="F1241" s="0" t="n">
        <f aca="false">C1241/SUM($A1241:$C1241)</f>
        <v>0.333486424535449</v>
      </c>
      <c r="G1241" s="0" t="n">
        <f aca="false">SUMPRODUCT(D1241:F1241,Stats!$B$6:$D$6)</f>
        <v>0.379835830622492</v>
      </c>
      <c r="H1241" s="0" t="n">
        <f aca="false">SQRT(SUMPRODUCT(MMULT(D1241:F1241,Stats!$B$12:$D$14),D1241:F1241))</f>
        <v>0.237443523464617</v>
      </c>
      <c r="I1241" s="0" t="n">
        <f aca="false">(G1241-Stats!$B$2)/H1241</f>
        <v>1.42280499250103</v>
      </c>
    </row>
    <row r="1242" customFormat="false" ht="15" hidden="false" customHeight="false" outlineLevel="0" collapsed="false">
      <c r="A1242" s="0" t="n">
        <v>0.343386702177644</v>
      </c>
      <c r="B1242" s="0" t="n">
        <v>0.834571790255628</v>
      </c>
      <c r="C1242" s="0" t="n">
        <v>0.935484513527496</v>
      </c>
      <c r="D1242" s="0" t="n">
        <f aca="false">A1242/SUM($A1242:$C1242)</f>
        <v>0.16247738936378</v>
      </c>
      <c r="E1242" s="0" t="n">
        <f aca="false">B1242/SUM($A1242:$C1242)</f>
        <v>0.394887294287945</v>
      </c>
      <c r="F1242" s="0" t="n">
        <f aca="false">C1242/SUM($A1242:$C1242)</f>
        <v>0.442635316348276</v>
      </c>
      <c r="G1242" s="0" t="n">
        <f aca="false">SUMPRODUCT(D1242:F1242,Stats!$B$6:$D$6)</f>
        <v>0.366999509675221</v>
      </c>
      <c r="H1242" s="0" t="n">
        <f aca="false">SQRT(SUMPRODUCT(MMULT(D1242:F1242,Stats!$B$12:$D$14),D1242:F1242))</f>
        <v>0.233525451261298</v>
      </c>
      <c r="I1242" s="0" t="n">
        <f aca="false">(G1242-Stats!$B$2)/H1242</f>
        <v>1.39170916026438</v>
      </c>
    </row>
    <row r="1243" customFormat="false" ht="15" hidden="false" customHeight="false" outlineLevel="0" collapsed="false">
      <c r="A1243" s="0" t="n">
        <v>0.185733072005186</v>
      </c>
      <c r="B1243" s="0" t="n">
        <v>0.372508931553466</v>
      </c>
      <c r="C1243" s="0" t="n">
        <v>0.928630562115394</v>
      </c>
      <c r="D1243" s="0" t="n">
        <f aca="false">A1243/SUM($A1243:$C1243)</f>
        <v>0.124915259244821</v>
      </c>
      <c r="E1243" s="0" t="n">
        <f aca="false">B1243/SUM($A1243:$C1243)</f>
        <v>0.250531847956046</v>
      </c>
      <c r="F1243" s="0" t="n">
        <f aca="false">C1243/SUM($A1243:$C1243)</f>
        <v>0.624552892799133</v>
      </c>
      <c r="G1243" s="0" t="n">
        <f aca="false">SUMPRODUCT(D1243:F1243,Stats!$B$6:$D$6)</f>
        <v>0.353677176927428</v>
      </c>
      <c r="H1243" s="0" t="n">
        <f aca="false">SQRT(SUMPRODUCT(MMULT(D1243:F1243,Stats!$B$12:$D$14),D1243:F1243))</f>
        <v>0.237826006199536</v>
      </c>
      <c r="I1243" s="0" t="n">
        <f aca="false">(G1243-Stats!$B$2)/H1243</f>
        <v>1.31052605183107</v>
      </c>
    </row>
    <row r="1244" customFormat="false" ht="15" hidden="false" customHeight="false" outlineLevel="0" collapsed="false">
      <c r="A1244" s="0" t="n">
        <v>0.0618084606892226</v>
      </c>
      <c r="B1244" s="0" t="n">
        <v>0.0923605281113785</v>
      </c>
      <c r="C1244" s="0" t="n">
        <v>0.162790989206229</v>
      </c>
      <c r="D1244" s="0" t="n">
        <f aca="false">A1244/SUM($A1244:$C1244)</f>
        <v>0.195003990970402</v>
      </c>
      <c r="E1244" s="0" t="n">
        <f aca="false">B1244/SUM($A1244:$C1244)</f>
        <v>0.291394922135526</v>
      </c>
      <c r="F1244" s="0" t="n">
        <f aca="false">C1244/SUM($A1244:$C1244)</f>
        <v>0.513601086894072</v>
      </c>
      <c r="G1244" s="0" t="n">
        <f aca="false">SUMPRODUCT(D1244:F1244,Stats!$B$6:$D$6)</f>
        <v>0.359087838701197</v>
      </c>
      <c r="H1244" s="0" t="n">
        <f aca="false">SQRT(SUMPRODUCT(MMULT(D1244:F1244,Stats!$B$12:$D$14),D1244:F1244))</f>
        <v>0.232474589734337</v>
      </c>
      <c r="I1244" s="0" t="n">
        <f aca="false">(G1244-Stats!$B$2)/H1244</f>
        <v>1.36396773111226</v>
      </c>
    </row>
    <row r="1245" customFormat="false" ht="15" hidden="false" customHeight="false" outlineLevel="0" collapsed="false">
      <c r="A1245" s="0" t="n">
        <v>0.595212834126875</v>
      </c>
      <c r="B1245" s="0" t="n">
        <v>0.150472271005998</v>
      </c>
      <c r="C1245" s="0" t="n">
        <v>0.968076381450734</v>
      </c>
      <c r="D1245" s="0" t="n">
        <f aca="false">A1245/SUM($A1245:$C1245)</f>
        <v>0.347313694925795</v>
      </c>
      <c r="E1245" s="0" t="n">
        <f aca="false">B1245/SUM($A1245:$C1245)</f>
        <v>0.0878023413316196</v>
      </c>
      <c r="F1245" s="0" t="n">
        <f aca="false">C1245/SUM($A1245:$C1245)</f>
        <v>0.564883963742586</v>
      </c>
      <c r="G1245" s="0" t="n">
        <f aca="false">SUMPRODUCT(D1245:F1245,Stats!$B$6:$D$6)</f>
        <v>0.345959279501795</v>
      </c>
      <c r="H1245" s="0" t="n">
        <f aca="false">SQRT(SUMPRODUCT(MMULT(D1245:F1245,Stats!$B$12:$D$14),D1245:F1245))</f>
        <v>0.227773568526705</v>
      </c>
      <c r="I1245" s="0" t="n">
        <f aca="false">(G1245-Stats!$B$2)/H1245</f>
        <v>1.33448003413161</v>
      </c>
    </row>
    <row r="1246" customFormat="false" ht="15" hidden="false" customHeight="false" outlineLevel="0" collapsed="false">
      <c r="A1246" s="0" t="n">
        <v>0.44671452725852</v>
      </c>
      <c r="B1246" s="0" t="n">
        <v>0.501517960350166</v>
      </c>
      <c r="C1246" s="0" t="n">
        <v>0.246658615805407</v>
      </c>
      <c r="D1246" s="0" t="n">
        <f aca="false">A1246/SUM($A1246:$C1246)</f>
        <v>0.373853756197656</v>
      </c>
      <c r="E1246" s="0" t="n">
        <f aca="false">B1246/SUM($A1246:$C1246)</f>
        <v>0.419718549177585</v>
      </c>
      <c r="F1246" s="0" t="n">
        <f aca="false">C1246/SUM($A1246:$C1246)</f>
        <v>0.20642769462476</v>
      </c>
      <c r="G1246" s="0" t="n">
        <f aca="false">SUMPRODUCT(D1246:F1246,Stats!$B$6:$D$6)</f>
        <v>0.374941602261905</v>
      </c>
      <c r="H1246" s="0" t="n">
        <f aca="false">SQRT(SUMPRODUCT(MMULT(D1246:F1246,Stats!$B$12:$D$14),D1246:F1246))</f>
        <v>0.226646625901039</v>
      </c>
      <c r="I1246" s="0" t="n">
        <f aca="false">(G1246-Stats!$B$2)/H1246</f>
        <v>1.46898989092949</v>
      </c>
    </row>
    <row r="1247" customFormat="false" ht="15" hidden="false" customHeight="false" outlineLevel="0" collapsed="false">
      <c r="A1247" s="0" t="n">
        <v>0.470960252434734</v>
      </c>
      <c r="B1247" s="0" t="n">
        <v>0.661913632637012</v>
      </c>
      <c r="C1247" s="0" t="n">
        <v>0.751177136954043</v>
      </c>
      <c r="D1247" s="0" t="n">
        <f aca="false">A1247/SUM($A1247:$C1247)</f>
        <v>0.249972132882231</v>
      </c>
      <c r="E1247" s="0" t="n">
        <f aca="false">B1247/SUM($A1247:$C1247)</f>
        <v>0.35132468542455</v>
      </c>
      <c r="F1247" s="0" t="n">
        <f aca="false">C1247/SUM($A1247:$C1247)</f>
        <v>0.398703181693219</v>
      </c>
      <c r="G1247" s="0" t="n">
        <f aca="false">SUMPRODUCT(D1247:F1247,Stats!$B$6:$D$6)</f>
        <v>0.365704385259129</v>
      </c>
      <c r="H1247" s="0" t="n">
        <f aca="false">SQRT(SUMPRODUCT(MMULT(D1247:F1247,Stats!$B$12:$D$14),D1247:F1247))</f>
        <v>0.229342815237188</v>
      </c>
      <c r="I1247" s="0" t="n">
        <f aca="false">(G1247-Stats!$B$2)/H1247</f>
        <v>1.41144332306356</v>
      </c>
    </row>
    <row r="1248" customFormat="false" ht="15" hidden="false" customHeight="false" outlineLevel="0" collapsed="false">
      <c r="A1248" s="0" t="n">
        <v>0.753868082709913</v>
      </c>
      <c r="B1248" s="0" t="n">
        <v>0.577891112694088</v>
      </c>
      <c r="C1248" s="0" t="n">
        <v>0.904359774993857</v>
      </c>
      <c r="D1248" s="0" t="n">
        <f aca="false">A1248/SUM($A1248:$C1248)</f>
        <v>0.337132367593028</v>
      </c>
      <c r="E1248" s="0" t="n">
        <f aca="false">B1248/SUM($A1248:$C1248)</f>
        <v>0.258434868781274</v>
      </c>
      <c r="F1248" s="0" t="n">
        <f aca="false">C1248/SUM($A1248:$C1248)</f>
        <v>0.404432763625698</v>
      </c>
      <c r="G1248" s="0" t="n">
        <f aca="false">SUMPRODUCT(D1248:F1248,Stats!$B$6:$D$6)</f>
        <v>0.360201634416337</v>
      </c>
      <c r="H1248" s="0" t="n">
        <f aca="false">SQRT(SUMPRODUCT(MMULT(D1248:F1248,Stats!$B$12:$D$14),D1248:F1248))</f>
        <v>0.226056763047829</v>
      </c>
      <c r="I1248" s="0" t="n">
        <f aca="false">(G1248-Stats!$B$2)/H1248</f>
        <v>1.40761829076094</v>
      </c>
    </row>
    <row r="1249" customFormat="false" ht="15" hidden="false" customHeight="false" outlineLevel="0" collapsed="false">
      <c r="A1249" s="0" t="n">
        <v>0.817407847306109</v>
      </c>
      <c r="B1249" s="0" t="n">
        <v>0.757048114698625</v>
      </c>
      <c r="C1249" s="0" t="n">
        <v>0.0556055216804606</v>
      </c>
      <c r="D1249" s="0" t="n">
        <f aca="false">A1249/SUM($A1249:$C1249)</f>
        <v>0.501458291903283</v>
      </c>
      <c r="E1249" s="0" t="n">
        <f aca="false">B1249/SUM($A1249:$C1249)</f>
        <v>0.464429177841264</v>
      </c>
      <c r="F1249" s="0" t="n">
        <f aca="false">C1249/SUM($A1249:$C1249)</f>
        <v>0.0341125302554535</v>
      </c>
      <c r="G1249" s="0" t="n">
        <f aca="false">SUMPRODUCT(D1249:F1249,Stats!$B$6:$D$6)</f>
        <v>0.382265718348966</v>
      </c>
      <c r="H1249" s="0" t="n">
        <f aca="false">SQRT(SUMPRODUCT(MMULT(D1249:F1249,Stats!$B$12:$D$14),D1249:F1249))</f>
        <v>0.228266902590105</v>
      </c>
      <c r="I1249" s="0" t="n">
        <f aca="false">(G1249-Stats!$B$2)/H1249</f>
        <v>1.49064851052881</v>
      </c>
    </row>
    <row r="1250" customFormat="false" ht="15" hidden="false" customHeight="false" outlineLevel="0" collapsed="false">
      <c r="A1250" s="0" t="n">
        <v>0.00687796221964931</v>
      </c>
      <c r="B1250" s="0" t="n">
        <v>0.212447277195473</v>
      </c>
      <c r="C1250" s="0" t="n">
        <v>0.663523593913452</v>
      </c>
      <c r="D1250" s="0" t="n">
        <f aca="false">A1250/SUM($A1250:$C1250)</f>
        <v>0.00779064541968931</v>
      </c>
      <c r="E1250" s="0" t="n">
        <f aca="false">B1250/SUM($A1250:$C1250)</f>
        <v>0.24063833940233</v>
      </c>
      <c r="F1250" s="0" t="n">
        <f aca="false">C1250/SUM($A1250:$C1250)</f>
        <v>0.75157101517798</v>
      </c>
      <c r="G1250" s="0" t="n">
        <f aca="false">SUMPRODUCT(D1250:F1250,Stats!$B$6:$D$6)</f>
        <v>0.349605441379307</v>
      </c>
      <c r="H1250" s="0" t="n">
        <f aca="false">SQRT(SUMPRODUCT(MMULT(D1250:F1250,Stats!$B$12:$D$14),D1250:F1250))</f>
        <v>0.247859112579994</v>
      </c>
      <c r="I1250" s="0" t="n">
        <f aca="false">(G1250-Stats!$B$2)/H1250</f>
        <v>1.24104955503716</v>
      </c>
    </row>
    <row r="1251" customFormat="false" ht="15" hidden="false" customHeight="false" outlineLevel="0" collapsed="false">
      <c r="A1251" s="0" t="n">
        <v>0.411197488882546</v>
      </c>
      <c r="B1251" s="0" t="n">
        <v>0.402406259299312</v>
      </c>
      <c r="C1251" s="0" t="n">
        <v>0.884586888229614</v>
      </c>
      <c r="D1251" s="0" t="n">
        <f aca="false">A1251/SUM($A1251:$C1251)</f>
        <v>0.242138591549101</v>
      </c>
      <c r="E1251" s="0" t="n">
        <f aca="false">B1251/SUM($A1251:$C1251)</f>
        <v>0.236961770175377</v>
      </c>
      <c r="F1251" s="0" t="n">
        <f aca="false">C1251/SUM($A1251:$C1251)</f>
        <v>0.520899638275522</v>
      </c>
      <c r="G1251" s="0" t="n">
        <f aca="false">SUMPRODUCT(D1251:F1251,Stats!$B$6:$D$6)</f>
        <v>0.355754570841687</v>
      </c>
      <c r="H1251" s="0" t="n">
        <f aca="false">SQRT(SUMPRODUCT(MMULT(D1251:F1251,Stats!$B$12:$D$14),D1251:F1251))</f>
        <v>0.230531036121968</v>
      </c>
      <c r="I1251" s="0" t="n">
        <f aca="false">(G1251-Stats!$B$2)/H1251</f>
        <v>1.36100794114198</v>
      </c>
    </row>
    <row r="1252" customFormat="false" ht="15" hidden="false" customHeight="false" outlineLevel="0" collapsed="false">
      <c r="A1252" s="0" t="n">
        <v>0.895562848131839</v>
      </c>
      <c r="B1252" s="0" t="n">
        <v>0.909175264053586</v>
      </c>
      <c r="C1252" s="0" t="n">
        <v>0.313878076515027</v>
      </c>
      <c r="D1252" s="0" t="n">
        <f aca="false">A1252/SUM($A1252:$C1252)</f>
        <v>0.422711226747102</v>
      </c>
      <c r="E1252" s="0" t="n">
        <f aca="false">B1252/SUM($A1252:$C1252)</f>
        <v>0.42913637161022</v>
      </c>
      <c r="F1252" s="0" t="n">
        <f aca="false">C1252/SUM($A1252:$C1252)</f>
        <v>0.148152401642677</v>
      </c>
      <c r="G1252" s="0" t="n">
        <f aca="false">SUMPRODUCT(D1252:F1252,Stats!$B$6:$D$6)</f>
        <v>0.377090410365554</v>
      </c>
      <c r="H1252" s="0" t="n">
        <f aca="false">SQRT(SUMPRODUCT(MMULT(D1252:F1252,Stats!$B$12:$D$14),D1252:F1252))</f>
        <v>0.226524656229628</v>
      </c>
      <c r="I1252" s="0" t="n">
        <f aca="false">(G1252-Stats!$B$2)/H1252</f>
        <v>1.47926683100613</v>
      </c>
    </row>
    <row r="1253" customFormat="false" ht="15" hidden="false" customHeight="false" outlineLevel="0" collapsed="false">
      <c r="A1253" s="0" t="n">
        <v>0.691055812739262</v>
      </c>
      <c r="B1253" s="0" t="n">
        <v>0.27163318127437</v>
      </c>
      <c r="C1253" s="0" t="n">
        <v>0.19060983307445</v>
      </c>
      <c r="D1253" s="0" t="n">
        <f aca="false">A1253/SUM($A1253:$C1253)</f>
        <v>0.599199267794351</v>
      </c>
      <c r="E1253" s="0" t="n">
        <f aca="false">B1253/SUM($A1253:$C1253)</f>
        <v>0.235527146039163</v>
      </c>
      <c r="F1253" s="0" t="n">
        <f aca="false">C1253/SUM($A1253:$C1253)</f>
        <v>0.165273586166487</v>
      </c>
      <c r="G1253" s="0" t="n">
        <f aca="false">SUMPRODUCT(D1253:F1253,Stats!$B$6:$D$6)</f>
        <v>0.365478276031623</v>
      </c>
      <c r="H1253" s="0" t="n">
        <f aca="false">SQRT(SUMPRODUCT(MMULT(D1253:F1253,Stats!$B$12:$D$14),D1253:F1253))</f>
        <v>0.222996941572523</v>
      </c>
      <c r="I1253" s="0" t="n">
        <f aca="false">(G1253-Stats!$B$2)/H1253</f>
        <v>1.45059512363949</v>
      </c>
    </row>
    <row r="1254" customFormat="false" ht="15" hidden="false" customHeight="false" outlineLevel="0" collapsed="false">
      <c r="A1254" s="0" t="n">
        <v>0.184632457347369</v>
      </c>
      <c r="B1254" s="0" t="n">
        <v>0.342107620863594</v>
      </c>
      <c r="C1254" s="0" t="n">
        <v>0.429957619779822</v>
      </c>
      <c r="D1254" s="0" t="n">
        <f aca="false">A1254/SUM($A1254:$C1254)</f>
        <v>0.192989340034084</v>
      </c>
      <c r="E1254" s="0" t="n">
        <f aca="false">B1254/SUM($A1254:$C1254)</f>
        <v>0.357592185684228</v>
      </c>
      <c r="F1254" s="0" t="n">
        <f aca="false">C1254/SUM($A1254:$C1254)</f>
        <v>0.449418474281688</v>
      </c>
      <c r="G1254" s="0" t="n">
        <f aca="false">SUMPRODUCT(D1254:F1254,Stats!$B$6:$D$6)</f>
        <v>0.364666554425204</v>
      </c>
      <c r="H1254" s="0" t="n">
        <f aca="false">SQRT(SUMPRODUCT(MMULT(D1254:F1254,Stats!$B$12:$D$14),D1254:F1254))</f>
        <v>0.232035797726507</v>
      </c>
      <c r="I1254" s="0" t="n">
        <f aca="false">(G1254-Stats!$B$2)/H1254</f>
        <v>1.39058954517665</v>
      </c>
    </row>
    <row r="1255" customFormat="false" ht="15" hidden="false" customHeight="false" outlineLevel="0" collapsed="false">
      <c r="A1255" s="0" t="n">
        <v>0.830949171055068</v>
      </c>
      <c r="B1255" s="0" t="n">
        <v>0.119891093472712</v>
      </c>
      <c r="C1255" s="0" t="n">
        <v>0.734925847394894</v>
      </c>
      <c r="D1255" s="0" t="n">
        <f aca="false">A1255/SUM($A1255:$C1255)</f>
        <v>0.49292079439617</v>
      </c>
      <c r="E1255" s="0" t="n">
        <f aca="false">B1255/SUM($A1255:$C1255)</f>
        <v>0.0711196485827872</v>
      </c>
      <c r="F1255" s="0" t="n">
        <f aca="false">C1255/SUM($A1255:$C1255)</f>
        <v>0.435959557021042</v>
      </c>
      <c r="G1255" s="0" t="n">
        <f aca="false">SUMPRODUCT(D1255:F1255,Stats!$B$6:$D$6)</f>
        <v>0.348554419881427</v>
      </c>
      <c r="H1255" s="0" t="n">
        <f aca="false">SQRT(SUMPRODUCT(MMULT(D1255:F1255,Stats!$B$12:$D$14),D1255:F1255))</f>
        <v>0.222698057682974</v>
      </c>
      <c r="I1255" s="0" t="n">
        <f aca="false">(G1255-Stats!$B$2)/H1255</f>
        <v>1.37654734428725</v>
      </c>
    </row>
    <row r="1256" customFormat="false" ht="15" hidden="false" customHeight="false" outlineLevel="0" collapsed="false">
      <c r="A1256" s="0" t="n">
        <v>0.531454914189305</v>
      </c>
      <c r="B1256" s="0" t="n">
        <v>0.287945342675993</v>
      </c>
      <c r="C1256" s="0" t="n">
        <v>0.492819584532825</v>
      </c>
      <c r="D1256" s="0" t="n">
        <f aca="false">A1256/SUM($A1256:$C1256)</f>
        <v>0.405004479754749</v>
      </c>
      <c r="E1256" s="0" t="n">
        <f aca="false">B1256/SUM($A1256:$C1256)</f>
        <v>0.219433766806328</v>
      </c>
      <c r="F1256" s="0" t="n">
        <f aca="false">C1256/SUM($A1256:$C1256)</f>
        <v>0.375561753438923</v>
      </c>
      <c r="G1256" s="0" t="n">
        <f aca="false">SUMPRODUCT(D1256:F1256,Stats!$B$6:$D$6)</f>
        <v>0.358753668488363</v>
      </c>
      <c r="H1256" s="0" t="n">
        <f aca="false">SQRT(SUMPRODUCT(MMULT(D1256:F1256,Stats!$B$12:$D$14),D1256:F1256))</f>
        <v>0.224039452239214</v>
      </c>
      <c r="I1256" s="0" t="n">
        <f aca="false">(G1256-Stats!$B$2)/H1256</f>
        <v>1.41382986488538</v>
      </c>
    </row>
    <row r="1257" customFormat="false" ht="15" hidden="false" customHeight="false" outlineLevel="0" collapsed="false">
      <c r="A1257" s="0" t="n">
        <v>0.299942069777023</v>
      </c>
      <c r="B1257" s="0" t="n">
        <v>0.596081955238306</v>
      </c>
      <c r="C1257" s="0" t="n">
        <v>0.433843922855244</v>
      </c>
      <c r="D1257" s="0" t="n">
        <f aca="false">A1257/SUM($A1257:$C1257)</f>
        <v>0.22554274674963</v>
      </c>
      <c r="E1257" s="0" t="n">
        <f aca="false">B1257/SUM($A1257:$C1257)</f>
        <v>0.448226424430164</v>
      </c>
      <c r="F1257" s="0" t="n">
        <f aca="false">C1257/SUM($A1257:$C1257)</f>
        <v>0.326230828820207</v>
      </c>
      <c r="G1257" s="0" t="n">
        <f aca="false">SUMPRODUCT(D1257:F1257,Stats!$B$6:$D$6)</f>
        <v>0.373278383160186</v>
      </c>
      <c r="H1257" s="0" t="n">
        <f aca="false">SQRT(SUMPRODUCT(MMULT(D1257:F1257,Stats!$B$12:$D$14),D1257:F1257))</f>
        <v>0.230800838793239</v>
      </c>
      <c r="I1257" s="0" t="n">
        <f aca="false">(G1257-Stats!$B$2)/H1257</f>
        <v>1.43534306414267</v>
      </c>
    </row>
    <row r="1258" customFormat="false" ht="15" hidden="false" customHeight="false" outlineLevel="0" collapsed="false">
      <c r="A1258" s="0" t="n">
        <v>0.164405529078879</v>
      </c>
      <c r="B1258" s="0" t="n">
        <v>0.116583074555697</v>
      </c>
      <c r="C1258" s="0" t="n">
        <v>0.54669568207213</v>
      </c>
      <c r="D1258" s="0" t="n">
        <f aca="false">A1258/SUM($A1258:$C1258)</f>
        <v>0.198633140580292</v>
      </c>
      <c r="E1258" s="0" t="n">
        <f aca="false">B1258/SUM($A1258:$C1258)</f>
        <v>0.140854522151709</v>
      </c>
      <c r="F1258" s="0" t="n">
        <f aca="false">C1258/SUM($A1258:$C1258)</f>
        <v>0.660512337267999</v>
      </c>
      <c r="G1258" s="0" t="n">
        <f aca="false">SUMPRODUCT(D1258:F1258,Stats!$B$6:$D$6)</f>
        <v>0.346374917702732</v>
      </c>
      <c r="H1258" s="0" t="n">
        <f aca="false">SQRT(SUMPRODUCT(MMULT(D1258:F1258,Stats!$B$12:$D$14),D1258:F1258))</f>
        <v>0.235382425230825</v>
      </c>
      <c r="I1258" s="0" t="n">
        <f aca="false">(G1258-Stats!$B$2)/H1258</f>
        <v>1.29310808742093</v>
      </c>
    </row>
    <row r="1259" customFormat="false" ht="15" hidden="false" customHeight="false" outlineLevel="0" collapsed="false">
      <c r="A1259" s="0" t="n">
        <v>0.902413033286103</v>
      </c>
      <c r="B1259" s="0" t="n">
        <v>0.343957686557686</v>
      </c>
      <c r="C1259" s="0" t="n">
        <v>0.733000107222623</v>
      </c>
      <c r="D1259" s="0" t="n">
        <f aca="false">A1259/SUM($A1259:$C1259)</f>
        <v>0.455909029751415</v>
      </c>
      <c r="E1259" s="0" t="n">
        <f aca="false">B1259/SUM($A1259:$C1259)</f>
        <v>0.173771221569158</v>
      </c>
      <c r="F1259" s="0" t="n">
        <f aca="false">C1259/SUM($A1259:$C1259)</f>
        <v>0.370319748679427</v>
      </c>
      <c r="G1259" s="0" t="n">
        <f aca="false">SUMPRODUCT(D1259:F1259,Stats!$B$6:$D$6)</f>
        <v>0.356270851000354</v>
      </c>
      <c r="H1259" s="0" t="n">
        <f aca="false">SQRT(SUMPRODUCT(MMULT(D1259:F1259,Stats!$B$12:$D$14),D1259:F1259))</f>
        <v>0.222899683634883</v>
      </c>
      <c r="I1259" s="0" t="n">
        <f aca="false">(G1259-Stats!$B$2)/H1259</f>
        <v>1.40992057895937</v>
      </c>
    </row>
    <row r="1260" customFormat="false" ht="15" hidden="false" customHeight="false" outlineLevel="0" collapsed="false">
      <c r="A1260" s="0" t="n">
        <v>0.658661354939767</v>
      </c>
      <c r="B1260" s="0" t="n">
        <v>0.931554914309481</v>
      </c>
      <c r="C1260" s="0" t="n">
        <v>0.820981017299141</v>
      </c>
      <c r="D1260" s="0" t="n">
        <f aca="false">A1260/SUM($A1260:$C1260)</f>
        <v>0.273167757202745</v>
      </c>
      <c r="E1260" s="0" t="n">
        <f aca="false">B1260/SUM($A1260:$C1260)</f>
        <v>0.386345372693661</v>
      </c>
      <c r="F1260" s="0" t="n">
        <f aca="false">C1260/SUM($A1260:$C1260)</f>
        <v>0.340486870103595</v>
      </c>
      <c r="G1260" s="0" t="n">
        <f aca="false">SUMPRODUCT(D1260:F1260,Stats!$B$6:$D$6)</f>
        <v>0.369324722679118</v>
      </c>
      <c r="H1260" s="0" t="n">
        <f aca="false">SQRT(SUMPRODUCT(MMULT(D1260:F1260,Stats!$B$12:$D$14),D1260:F1260))</f>
        <v>0.228566848089677</v>
      </c>
      <c r="I1260" s="0" t="n">
        <f aca="false">(G1260-Stats!$B$2)/H1260</f>
        <v>1.43207435992946</v>
      </c>
    </row>
    <row r="1261" customFormat="false" ht="15" hidden="false" customHeight="false" outlineLevel="0" collapsed="false">
      <c r="A1261" s="0" t="n">
        <v>0.566605258905463</v>
      </c>
      <c r="B1261" s="0" t="n">
        <v>0.657030498234107</v>
      </c>
      <c r="C1261" s="0" t="n">
        <v>0.898386466584035</v>
      </c>
      <c r="D1261" s="0" t="n">
        <f aca="false">A1261/SUM($A1261:$C1261)</f>
        <v>0.267011934451476</v>
      </c>
      <c r="E1261" s="0" t="n">
        <f aca="false">B1261/SUM($A1261:$C1261)</f>
        <v>0.309624701800336</v>
      </c>
      <c r="F1261" s="0" t="n">
        <f aca="false">C1261/SUM($A1261:$C1261)</f>
        <v>0.423363363748188</v>
      </c>
      <c r="G1261" s="0" t="n">
        <f aca="false">SUMPRODUCT(D1261:F1261,Stats!$B$6:$D$6)</f>
        <v>0.362625027137263</v>
      </c>
      <c r="H1261" s="0" t="n">
        <f aca="false">SQRT(SUMPRODUCT(MMULT(D1261:F1261,Stats!$B$12:$D$14),D1261:F1261))</f>
        <v>0.228670642427652</v>
      </c>
      <c r="I1261" s="0" t="n">
        <f aca="false">(G1261-Stats!$B$2)/H1261</f>
        <v>1.40212588609272</v>
      </c>
    </row>
    <row r="1262" customFormat="false" ht="15" hidden="false" customHeight="false" outlineLevel="0" collapsed="false">
      <c r="A1262" s="0" t="n">
        <v>0.399518784586935</v>
      </c>
      <c r="B1262" s="0" t="n">
        <v>0.326794705857777</v>
      </c>
      <c r="C1262" s="0" t="n">
        <v>0.0108110836351963</v>
      </c>
      <c r="D1262" s="0" t="n">
        <f aca="false">A1262/SUM($A1262:$C1262)</f>
        <v>0.541996290227634</v>
      </c>
      <c r="E1262" s="0" t="n">
        <f aca="false">B1262/SUM($A1262:$C1262)</f>
        <v>0.443337147273496</v>
      </c>
      <c r="F1262" s="0" t="n">
        <f aca="false">C1262/SUM($A1262:$C1262)</f>
        <v>0.0146665624988706</v>
      </c>
      <c r="G1262" s="0" t="n">
        <f aca="false">SUMPRODUCT(D1262:F1262,Stats!$B$6:$D$6)</f>
        <v>0.381588325290553</v>
      </c>
      <c r="H1262" s="0" t="n">
        <f aca="false">SQRT(SUMPRODUCT(MMULT(D1262:F1262,Stats!$B$12:$D$14),D1262:F1262))</f>
        <v>0.228240859525249</v>
      </c>
      <c r="I1262" s="0" t="n">
        <f aca="false">(G1262-Stats!$B$2)/H1262</f>
        <v>1.48785071173019</v>
      </c>
    </row>
    <row r="1263" customFormat="false" ht="15" hidden="false" customHeight="false" outlineLevel="0" collapsed="false">
      <c r="A1263" s="0" t="n">
        <v>0.826551074191464</v>
      </c>
      <c r="B1263" s="0" t="n">
        <v>0.800980700403365</v>
      </c>
      <c r="C1263" s="0" t="n">
        <v>0.104454518100151</v>
      </c>
      <c r="D1263" s="0" t="n">
        <f aca="false">A1263/SUM($A1263:$C1263)</f>
        <v>0.477227260791623</v>
      </c>
      <c r="E1263" s="0" t="n">
        <f aca="false">B1263/SUM($A1263:$C1263)</f>
        <v>0.462463648691488</v>
      </c>
      <c r="F1263" s="0" t="n">
        <f aca="false">C1263/SUM($A1263:$C1263)</f>
        <v>0.0603090905168883</v>
      </c>
      <c r="G1263" s="0" t="n">
        <f aca="false">SUMPRODUCT(D1263:F1263,Stats!$B$6:$D$6)</f>
        <v>0.38143026427214</v>
      </c>
      <c r="H1263" s="0" t="n">
        <f aca="false">SQRT(SUMPRODUCT(MMULT(D1263:F1263,Stats!$B$12:$D$14),D1263:F1263))</f>
        <v>0.227845128357047</v>
      </c>
      <c r="I1263" s="0" t="n">
        <f aca="false">(G1263-Stats!$B$2)/H1263</f>
        <v>1.48974115321102</v>
      </c>
    </row>
    <row r="1264" customFormat="false" ht="15" hidden="false" customHeight="false" outlineLevel="0" collapsed="false">
      <c r="A1264" s="0" t="n">
        <v>0.5768573811327</v>
      </c>
      <c r="B1264" s="0" t="n">
        <v>0.463981698166887</v>
      </c>
      <c r="C1264" s="0" t="n">
        <v>0.118709095509112</v>
      </c>
      <c r="D1264" s="0" t="n">
        <f aca="false">A1264/SUM($A1264:$C1264)</f>
        <v>0.497484618289248</v>
      </c>
      <c r="E1264" s="0" t="n">
        <f aca="false">B1264/SUM($A1264:$C1264)</f>
        <v>0.400140078909127</v>
      </c>
      <c r="F1264" s="0" t="n">
        <f aca="false">C1264/SUM($A1264:$C1264)</f>
        <v>0.102375302801624</v>
      </c>
      <c r="G1264" s="0" t="n">
        <f aca="false">SUMPRODUCT(D1264:F1264,Stats!$B$6:$D$6)</f>
        <v>0.376684287106445</v>
      </c>
      <c r="H1264" s="0" t="n">
        <f aca="false">SQRT(SUMPRODUCT(MMULT(D1264:F1264,Stats!$B$12:$D$14),D1264:F1264))</f>
        <v>0.225995842003148</v>
      </c>
      <c r="I1264" s="0" t="n">
        <f aca="false">(G1264-Stats!$B$2)/H1264</f>
        <v>1.48093117174157</v>
      </c>
    </row>
    <row r="1265" customFormat="false" ht="15" hidden="false" customHeight="false" outlineLevel="0" collapsed="false">
      <c r="A1265" s="0" t="n">
        <v>0.980568227060724</v>
      </c>
      <c r="B1265" s="0" t="n">
        <v>0.214695887463355</v>
      </c>
      <c r="C1265" s="0" t="n">
        <v>0.0672341800905612</v>
      </c>
      <c r="D1265" s="0" t="n">
        <f aca="false">A1265/SUM($A1265:$C1265)</f>
        <v>0.776688753753943</v>
      </c>
      <c r="E1265" s="0" t="n">
        <f aca="false">B1265/SUM($A1265:$C1265)</f>
        <v>0.17005637819803</v>
      </c>
      <c r="F1265" s="0" t="n">
        <f aca="false">C1265/SUM($A1265:$C1265)</f>
        <v>0.0532548680480265</v>
      </c>
      <c r="G1265" s="0" t="n">
        <f aca="false">SUMPRODUCT(D1265:F1265,Stats!$B$6:$D$6)</f>
        <v>0.364800045854653</v>
      </c>
      <c r="H1265" s="0" t="n">
        <f aca="false">SQRT(SUMPRODUCT(MMULT(D1265:F1265,Stats!$B$12:$D$14),D1265:F1265))</f>
        <v>0.226314654084032</v>
      </c>
      <c r="I1265" s="0" t="n">
        <f aca="false">(G1265-Stats!$B$2)/H1265</f>
        <v>1.42633293969022</v>
      </c>
    </row>
    <row r="1266" customFormat="false" ht="15" hidden="false" customHeight="false" outlineLevel="0" collapsed="false">
      <c r="A1266" s="0" t="n">
        <v>0.59484737950191</v>
      </c>
      <c r="B1266" s="0" t="n">
        <v>0.738866677133033</v>
      </c>
      <c r="C1266" s="0" t="n">
        <v>0.032443446047187</v>
      </c>
      <c r="D1266" s="0" t="n">
        <f aca="false">A1266/SUM($A1266:$C1266)</f>
        <v>0.435416398427024</v>
      </c>
      <c r="E1266" s="0" t="n">
        <f aca="false">B1266/SUM($A1266:$C1266)</f>
        <v>0.540835647194735</v>
      </c>
      <c r="F1266" s="0" t="n">
        <f aca="false">C1266/SUM($A1266:$C1266)</f>
        <v>0.0237479543782411</v>
      </c>
      <c r="G1266" s="0" t="n">
        <f aca="false">SUMPRODUCT(D1266:F1266,Stats!$B$6:$D$6)</f>
        <v>0.386947846897995</v>
      </c>
      <c r="H1266" s="0" t="n">
        <f aca="false">SQRT(SUMPRODUCT(MMULT(D1266:F1266,Stats!$B$12:$D$14),D1266:F1266))</f>
        <v>0.230371415920901</v>
      </c>
      <c r="I1266" s="0" t="n">
        <f aca="false">(G1266-Stats!$B$2)/H1266</f>
        <v>1.49735524053225</v>
      </c>
    </row>
    <row r="1267" customFormat="false" ht="15" hidden="false" customHeight="false" outlineLevel="0" collapsed="false">
      <c r="A1267" s="0" t="n">
        <v>0.658717638727022</v>
      </c>
      <c r="B1267" s="0" t="n">
        <v>0.532291875951454</v>
      </c>
      <c r="C1267" s="0" t="n">
        <v>0.103265008875048</v>
      </c>
      <c r="D1267" s="0" t="n">
        <f aca="false">A1267/SUM($A1267:$C1267)</f>
        <v>0.508947388470929</v>
      </c>
      <c r="E1267" s="0" t="n">
        <f aca="false">B1267/SUM($A1267:$C1267)</f>
        <v>0.411266594732938</v>
      </c>
      <c r="F1267" s="0" t="n">
        <f aca="false">C1267/SUM($A1267:$C1267)</f>
        <v>0.0797860167961329</v>
      </c>
      <c r="G1267" s="0" t="n">
        <f aca="false">SUMPRODUCT(D1267:F1267,Stats!$B$6:$D$6)</f>
        <v>0.377947383299485</v>
      </c>
      <c r="H1267" s="0" t="n">
        <f aca="false">SQRT(SUMPRODUCT(MMULT(D1267:F1267,Stats!$B$12:$D$14),D1267:F1267))</f>
        <v>0.226481416483204</v>
      </c>
      <c r="I1267" s="0" t="n">
        <f aca="false">(G1267-Stats!$B$2)/H1267</f>
        <v>1.48333310748433</v>
      </c>
    </row>
    <row r="1268" customFormat="false" ht="15" hidden="false" customHeight="false" outlineLevel="0" collapsed="false">
      <c r="A1268" s="0" t="n">
        <v>0.172523876946362</v>
      </c>
      <c r="B1268" s="0" t="n">
        <v>0.567974297316081</v>
      </c>
      <c r="C1268" s="0" t="n">
        <v>0.296357613513288</v>
      </c>
      <c r="D1268" s="0" t="n">
        <f aca="false">A1268/SUM($A1268:$C1268)</f>
        <v>0.166391391146556</v>
      </c>
      <c r="E1268" s="0" t="n">
        <f aca="false">B1268/SUM($A1268:$C1268)</f>
        <v>0.547785240736807</v>
      </c>
      <c r="F1268" s="0" t="n">
        <f aca="false">C1268/SUM($A1268:$C1268)</f>
        <v>0.285823368116637</v>
      </c>
      <c r="G1268" s="0" t="n">
        <f aca="false">SUMPRODUCT(D1268:F1268,Stats!$B$6:$D$6)</f>
        <v>0.38012108878139</v>
      </c>
      <c r="H1268" s="0" t="n">
        <f aca="false">SQRT(SUMPRODUCT(MMULT(D1268:F1268,Stats!$B$12:$D$14),D1268:F1268))</f>
        <v>0.234324282273258</v>
      </c>
      <c r="I1268" s="0" t="n">
        <f aca="false">(G1268-Stats!$B$2)/H1268</f>
        <v>1.44296222952724</v>
      </c>
    </row>
    <row r="1269" customFormat="false" ht="15" hidden="false" customHeight="false" outlineLevel="0" collapsed="false">
      <c r="A1269" s="0" t="n">
        <v>0.938315728651316</v>
      </c>
      <c r="B1269" s="0" t="n">
        <v>0.818740229484051</v>
      </c>
      <c r="C1269" s="0" t="n">
        <v>0.983567206513663</v>
      </c>
      <c r="D1269" s="0" t="n">
        <f aca="false">A1269/SUM($A1269:$C1269)</f>
        <v>0.342373129131556</v>
      </c>
      <c r="E1269" s="0" t="n">
        <f aca="false">B1269/SUM($A1269:$C1269)</f>
        <v>0.298742359053548</v>
      </c>
      <c r="F1269" s="0" t="n">
        <f aca="false">C1269/SUM($A1269:$C1269)</f>
        <v>0.358884511814896</v>
      </c>
      <c r="G1269" s="0" t="n">
        <f aca="false">SUMPRODUCT(D1269:F1269,Stats!$B$6:$D$6)</f>
        <v>0.363776850762544</v>
      </c>
      <c r="H1269" s="0" t="n">
        <f aca="false">SQRT(SUMPRODUCT(MMULT(D1269:F1269,Stats!$B$12:$D$14),D1269:F1269))</f>
        <v>0.225888585178895</v>
      </c>
      <c r="I1269" s="0" t="n">
        <f aca="false">(G1269-Stats!$B$2)/H1269</f>
        <v>1.42449363037848</v>
      </c>
    </row>
    <row r="1270" customFormat="false" ht="15" hidden="false" customHeight="false" outlineLevel="0" collapsed="false">
      <c r="A1270" s="0" t="n">
        <v>0.259670838950414</v>
      </c>
      <c r="B1270" s="0" t="n">
        <v>0.969723632797977</v>
      </c>
      <c r="C1270" s="0" t="n">
        <v>0.431233869791558</v>
      </c>
      <c r="D1270" s="0" t="n">
        <f aca="false">A1270/SUM($A1270:$C1270)</f>
        <v>0.156369027587241</v>
      </c>
      <c r="E1270" s="0" t="n">
        <f aca="false">B1270/SUM($A1270:$C1270)</f>
        <v>0.583949827026753</v>
      </c>
      <c r="F1270" s="0" t="n">
        <f aca="false">C1270/SUM($A1270:$C1270)</f>
        <v>0.259681145386006</v>
      </c>
      <c r="G1270" s="0" t="n">
        <f aca="false">SUMPRODUCT(D1270:F1270,Stats!$B$6:$D$6)</f>
        <v>0.382922814006575</v>
      </c>
      <c r="H1270" s="0" t="n">
        <f aca="false">SQRT(SUMPRODUCT(MMULT(D1270:F1270,Stats!$B$12:$D$14),D1270:F1270))</f>
        <v>0.23533100953378</v>
      </c>
      <c r="I1270" s="0" t="n">
        <f aca="false">(G1270-Stats!$B$2)/H1270</f>
        <v>1.4486948179162</v>
      </c>
    </row>
    <row r="1271" customFormat="false" ht="15" hidden="false" customHeight="false" outlineLevel="0" collapsed="false">
      <c r="A1271" s="0" t="n">
        <v>0.347518795313755</v>
      </c>
      <c r="B1271" s="0" t="n">
        <v>0.0503495269693532</v>
      </c>
      <c r="C1271" s="0" t="n">
        <v>0.0527652578596026</v>
      </c>
      <c r="D1271" s="0" t="n">
        <f aca="false">A1271/SUM($A1271:$C1271)</f>
        <v>0.771178204703918</v>
      </c>
      <c r="E1271" s="0" t="n">
        <f aca="false">B1271/SUM($A1271:$C1271)</f>
        <v>0.11173052605935</v>
      </c>
      <c r="F1271" s="0" t="n">
        <f aca="false">C1271/SUM($A1271:$C1271)</f>
        <v>0.117091269236732</v>
      </c>
      <c r="G1271" s="0" t="n">
        <f aca="false">SUMPRODUCT(D1271:F1271,Stats!$B$6:$D$6)</f>
        <v>0.359683787602259</v>
      </c>
      <c r="H1271" s="0" t="n">
        <f aca="false">SQRT(SUMPRODUCT(MMULT(D1271:F1271,Stats!$B$12:$D$14),D1271:F1271))</f>
        <v>0.224599542076036</v>
      </c>
      <c r="I1271" s="0" t="n">
        <f aca="false">(G1271-Stats!$B$2)/H1271</f>
        <v>1.41444539319101</v>
      </c>
    </row>
    <row r="1272" customFormat="false" ht="15" hidden="false" customHeight="false" outlineLevel="0" collapsed="false">
      <c r="A1272" s="0" t="n">
        <v>0.692011255946655</v>
      </c>
      <c r="B1272" s="0" t="n">
        <v>0.457928994434028</v>
      </c>
      <c r="C1272" s="0" t="n">
        <v>0.226521626036106</v>
      </c>
      <c r="D1272" s="0" t="n">
        <f aca="false">A1272/SUM($A1272:$C1272)</f>
        <v>0.502746402063893</v>
      </c>
      <c r="E1272" s="0" t="n">
        <f aca="false">B1272/SUM($A1272:$C1272)</f>
        <v>0.332685563094643</v>
      </c>
      <c r="F1272" s="0" t="n">
        <f aca="false">C1272/SUM($A1272:$C1272)</f>
        <v>0.164568034841465</v>
      </c>
      <c r="G1272" s="0" t="n">
        <f aca="false">SUMPRODUCT(D1272:F1272,Stats!$B$6:$D$6)</f>
        <v>0.371088100905735</v>
      </c>
      <c r="H1272" s="0" t="n">
        <f aca="false">SQRT(SUMPRODUCT(MMULT(D1272:F1272,Stats!$B$12:$D$14),D1272:F1272))</f>
        <v>0.224230380862963</v>
      </c>
      <c r="I1272" s="0" t="n">
        <f aca="false">(G1272-Stats!$B$2)/H1272</f>
        <v>1.46763386673662</v>
      </c>
    </row>
    <row r="1273" customFormat="false" ht="15" hidden="false" customHeight="false" outlineLevel="0" collapsed="false">
      <c r="A1273" s="0" t="n">
        <v>0.613970306325233</v>
      </c>
      <c r="B1273" s="0" t="n">
        <v>0.252858118250111</v>
      </c>
      <c r="C1273" s="0" t="n">
        <v>0.577631754344423</v>
      </c>
      <c r="D1273" s="0" t="n">
        <f aca="false">A1273/SUM($A1273:$C1273)</f>
        <v>0.425051735787128</v>
      </c>
      <c r="E1273" s="0" t="n">
        <f aca="false">B1273/SUM($A1273:$C1273)</f>
        <v>0.175053713449692</v>
      </c>
      <c r="F1273" s="0" t="n">
        <f aca="false">C1273/SUM($A1273:$C1273)</f>
        <v>0.39989455076318</v>
      </c>
      <c r="G1273" s="0" t="n">
        <f aca="false">SUMPRODUCT(D1273:F1273,Stats!$B$6:$D$6)</f>
        <v>0.35552913013087</v>
      </c>
      <c r="H1273" s="0" t="n">
        <f aca="false">SQRT(SUMPRODUCT(MMULT(D1273:F1273,Stats!$B$12:$D$14),D1273:F1273))</f>
        <v>0.223625368795028</v>
      </c>
      <c r="I1273" s="0" t="n">
        <f aca="false">(G1273-Stats!$B$2)/H1273</f>
        <v>1.40202845419675</v>
      </c>
    </row>
    <row r="1274" customFormat="false" ht="15" hidden="false" customHeight="false" outlineLevel="0" collapsed="false">
      <c r="A1274" s="0" t="n">
        <v>0.35920874698269</v>
      </c>
      <c r="B1274" s="0" t="n">
        <v>0.823552226611819</v>
      </c>
      <c r="C1274" s="0" t="n">
        <v>0.820696160766779</v>
      </c>
      <c r="D1274" s="0" t="n">
        <f aca="false">A1274/SUM($A1274:$C1274)</f>
        <v>0.179294450987696</v>
      </c>
      <c r="E1274" s="0" t="n">
        <f aca="false">B1274/SUM($A1274:$C1274)</f>
        <v>0.411065558871751</v>
      </c>
      <c r="F1274" s="0" t="n">
        <f aca="false">C1274/SUM($A1274:$C1274)</f>
        <v>0.409639990140553</v>
      </c>
      <c r="G1274" s="0" t="n">
        <f aca="false">SUMPRODUCT(D1274:F1274,Stats!$B$6:$D$6)</f>
        <v>0.368840219509764</v>
      </c>
      <c r="H1274" s="0" t="n">
        <f aca="false">SQRT(SUMPRODUCT(MMULT(D1274:F1274,Stats!$B$12:$D$14),D1274:F1274))</f>
        <v>0.232633444835493</v>
      </c>
      <c r="I1274" s="0" t="n">
        <f aca="false">(G1274-Stats!$B$2)/H1274</f>
        <v>1.40495800051832</v>
      </c>
    </row>
    <row r="1275" customFormat="false" ht="15" hidden="false" customHeight="false" outlineLevel="0" collapsed="false">
      <c r="A1275" s="0" t="n">
        <v>0.477350398122401</v>
      </c>
      <c r="B1275" s="0" t="n">
        <v>0.350819109335016</v>
      </c>
      <c r="C1275" s="0" t="n">
        <v>0.362559796559095</v>
      </c>
      <c r="D1275" s="0" t="n">
        <f aca="false">A1275/SUM($A1275:$C1275)</f>
        <v>0.400889099237103</v>
      </c>
      <c r="E1275" s="0" t="n">
        <f aca="false">B1275/SUM($A1275:$C1275)</f>
        <v>0.294625409949725</v>
      </c>
      <c r="F1275" s="0" t="n">
        <f aca="false">C1275/SUM($A1275:$C1275)</f>
        <v>0.304485490813172</v>
      </c>
      <c r="G1275" s="0" t="n">
        <f aca="false">SUMPRODUCT(D1275:F1275,Stats!$B$6:$D$6)</f>
        <v>0.365039998920732</v>
      </c>
      <c r="H1275" s="0" t="n">
        <f aca="false">SQRT(SUMPRODUCT(MMULT(D1275:F1275,Stats!$B$12:$D$14),D1275:F1275))</f>
        <v>0.224408566266043</v>
      </c>
      <c r="I1275" s="0" t="n">
        <f aca="false">(G1275-Stats!$B$2)/H1275</f>
        <v>1.43951723544171</v>
      </c>
    </row>
    <row r="1276" customFormat="false" ht="15" hidden="false" customHeight="false" outlineLevel="0" collapsed="false">
      <c r="A1276" s="0" t="n">
        <v>0.805714525668218</v>
      </c>
      <c r="B1276" s="0" t="n">
        <v>0.328179482797612</v>
      </c>
      <c r="C1276" s="0" t="n">
        <v>0.209059373706846</v>
      </c>
      <c r="D1276" s="0" t="n">
        <f aca="false">A1276/SUM($A1276:$C1276)</f>
        <v>0.599957181212579</v>
      </c>
      <c r="E1276" s="0" t="n">
        <f aca="false">B1276/SUM($A1276:$C1276)</f>
        <v>0.244371463041161</v>
      </c>
      <c r="F1276" s="0" t="n">
        <f aca="false">C1276/SUM($A1276:$C1276)</f>
        <v>0.15567135574626</v>
      </c>
      <c r="G1276" s="0" t="n">
        <f aca="false">SUMPRODUCT(D1276:F1276,Stats!$B$6:$D$6)</f>
        <v>0.366251944395568</v>
      </c>
      <c r="H1276" s="0" t="n">
        <f aca="false">SQRT(SUMPRODUCT(MMULT(D1276:F1276,Stats!$B$12:$D$14),D1276:F1276))</f>
        <v>0.223194197647728</v>
      </c>
      <c r="I1276" s="0" t="n">
        <f aca="false">(G1276-Stats!$B$2)/H1276</f>
        <v>1.4527794531081</v>
      </c>
    </row>
    <row r="1277" customFormat="false" ht="15" hidden="false" customHeight="false" outlineLevel="0" collapsed="false">
      <c r="A1277" s="0" t="n">
        <v>0.0846883418753068</v>
      </c>
      <c r="B1277" s="0" t="n">
        <v>0.466693120884408</v>
      </c>
      <c r="C1277" s="0" t="n">
        <v>0.482132098919842</v>
      </c>
      <c r="D1277" s="0" t="n">
        <f aca="false">A1277/SUM($A1277:$C1277)</f>
        <v>0.0819421679747291</v>
      </c>
      <c r="E1277" s="0" t="n">
        <f aca="false">B1277/SUM($A1277:$C1277)</f>
        <v>0.451559745501538</v>
      </c>
      <c r="F1277" s="0" t="n">
        <f aca="false">C1277/SUM($A1277:$C1277)</f>
        <v>0.466498086523733</v>
      </c>
      <c r="G1277" s="0" t="n">
        <f aca="false">SUMPRODUCT(D1277:F1277,Stats!$B$6:$D$6)</f>
        <v>0.369602362458849</v>
      </c>
      <c r="H1277" s="0" t="n">
        <f aca="false">SQRT(SUMPRODUCT(MMULT(D1277:F1277,Stats!$B$12:$D$14),D1277:F1277))</f>
        <v>0.238057996490643</v>
      </c>
      <c r="I1277" s="0" t="n">
        <f aca="false">(G1277-Stats!$B$2)/H1277</f>
        <v>1.37614517171544</v>
      </c>
    </row>
    <row r="1278" customFormat="false" ht="15" hidden="false" customHeight="false" outlineLevel="0" collapsed="false">
      <c r="A1278" s="0" t="n">
        <v>0.840908710402907</v>
      </c>
      <c r="B1278" s="0" t="n">
        <v>0.221238696446064</v>
      </c>
      <c r="C1278" s="0" t="n">
        <v>0.3809912736684</v>
      </c>
      <c r="D1278" s="0" t="n">
        <f aca="false">A1278/SUM($A1278:$C1278)</f>
        <v>0.582694318817259</v>
      </c>
      <c r="E1278" s="0" t="n">
        <f aca="false">B1278/SUM($A1278:$C1278)</f>
        <v>0.153303836583986</v>
      </c>
      <c r="F1278" s="0" t="n">
        <f aca="false">C1278/SUM($A1278:$C1278)</f>
        <v>0.264001844598755</v>
      </c>
      <c r="G1278" s="0" t="n">
        <f aca="false">SUMPRODUCT(D1278:F1278,Stats!$B$6:$D$6)</f>
        <v>0.358024859471734</v>
      </c>
      <c r="H1278" s="0" t="n">
        <f aca="false">SQRT(SUMPRODUCT(MMULT(D1278:F1278,Stats!$B$12:$D$14),D1278:F1278))</f>
        <v>0.22166318834079</v>
      </c>
      <c r="I1278" s="0" t="n">
        <f aca="false">(G1278-Stats!$B$2)/H1278</f>
        <v>1.42569842939311</v>
      </c>
    </row>
    <row r="1279" customFormat="false" ht="15" hidden="false" customHeight="false" outlineLevel="0" collapsed="false">
      <c r="A1279" s="0" t="n">
        <v>0.808405738893691</v>
      </c>
      <c r="B1279" s="0" t="n">
        <v>0.823623610748974</v>
      </c>
      <c r="C1279" s="0" t="n">
        <v>0.384611075978768</v>
      </c>
      <c r="D1279" s="0" t="n">
        <f aca="false">A1279/SUM($A1279:$C1279)</f>
        <v>0.400867565988904</v>
      </c>
      <c r="E1279" s="0" t="n">
        <f aca="false">B1279/SUM($A1279:$C1279)</f>
        <v>0.408413716339725</v>
      </c>
      <c r="F1279" s="0" t="n">
        <f aca="false">C1279/SUM($A1279:$C1279)</f>
        <v>0.190718717671371</v>
      </c>
      <c r="G1279" s="0" t="n">
        <f aca="false">SUMPRODUCT(D1279:F1279,Stats!$B$6:$D$6)</f>
        <v>0.374724305809473</v>
      </c>
      <c r="H1279" s="0" t="n">
        <f aca="false">SQRT(SUMPRODUCT(MMULT(D1279:F1279,Stats!$B$12:$D$14),D1279:F1279))</f>
        <v>0.226128606242142</v>
      </c>
      <c r="I1279" s="0" t="n">
        <f aca="false">(G1279-Stats!$B$2)/H1279</f>
        <v>1.47139413866632</v>
      </c>
    </row>
    <row r="1280" customFormat="false" ht="15" hidden="false" customHeight="false" outlineLevel="0" collapsed="false">
      <c r="A1280" s="0" t="n">
        <v>0.459124023286681</v>
      </c>
      <c r="B1280" s="0" t="n">
        <v>0.303285890849283</v>
      </c>
      <c r="C1280" s="0" t="n">
        <v>0.932554878419312</v>
      </c>
      <c r="D1280" s="0" t="n">
        <f aca="false">A1280/SUM($A1280:$C1280)</f>
        <v>0.270875256703427</v>
      </c>
      <c r="E1280" s="0" t="n">
        <f aca="false">B1280/SUM($A1280:$C1280)</f>
        <v>0.178933445804534</v>
      </c>
      <c r="F1280" s="0" t="n">
        <f aca="false">C1280/SUM($A1280:$C1280)</f>
        <v>0.550191297492039</v>
      </c>
      <c r="G1280" s="0" t="n">
        <f aca="false">SUMPRODUCT(D1280:F1280,Stats!$B$6:$D$6)</f>
        <v>0.351607989925249</v>
      </c>
      <c r="H1280" s="0" t="n">
        <f aca="false">SQRT(SUMPRODUCT(MMULT(D1280:F1280,Stats!$B$12:$D$14),D1280:F1280))</f>
        <v>0.229906193571629</v>
      </c>
      <c r="I1280" s="0" t="n">
        <f aca="false">(G1280-Stats!$B$2)/H1280</f>
        <v>1.34667094050595</v>
      </c>
    </row>
    <row r="1281" customFormat="false" ht="15" hidden="false" customHeight="false" outlineLevel="0" collapsed="false">
      <c r="A1281" s="0" t="n">
        <v>0.11864376574158</v>
      </c>
      <c r="B1281" s="0" t="n">
        <v>0.93374942300147</v>
      </c>
      <c r="C1281" s="0" t="n">
        <v>0.683866451835343</v>
      </c>
      <c r="D1281" s="0" t="n">
        <f aca="false">A1281/SUM($A1281:$C1281)</f>
        <v>0.0683329629790029</v>
      </c>
      <c r="E1281" s="0" t="n">
        <f aca="false">B1281/SUM($A1281:$C1281)</f>
        <v>0.537793657802478</v>
      </c>
      <c r="F1281" s="0" t="n">
        <f aca="false">C1281/SUM($A1281:$C1281)</f>
        <v>0.393873379218519</v>
      </c>
      <c r="G1281" s="0" t="n">
        <f aca="false">SUMPRODUCT(D1281:F1281,Stats!$B$6:$D$6)</f>
        <v>0.376566748533286</v>
      </c>
      <c r="H1281" s="0" t="n">
        <f aca="false">SQRT(SUMPRODUCT(MMULT(D1281:F1281,Stats!$B$12:$D$14),D1281:F1281))</f>
        <v>0.238936786464053</v>
      </c>
      <c r="I1281" s="0" t="n">
        <f aca="false">(G1281-Stats!$B$2)/H1281</f>
        <v>1.40023122217567</v>
      </c>
    </row>
    <row r="1282" customFormat="false" ht="15" hidden="false" customHeight="false" outlineLevel="0" collapsed="false">
      <c r="A1282" s="0" t="n">
        <v>0.531572152686731</v>
      </c>
      <c r="B1282" s="0" t="n">
        <v>0.0326590607844959</v>
      </c>
      <c r="C1282" s="0" t="n">
        <v>0.475596191822008</v>
      </c>
      <c r="D1282" s="0" t="n">
        <f aca="false">A1282/SUM($A1282:$C1282)</f>
        <v>0.511211908804063</v>
      </c>
      <c r="E1282" s="0" t="n">
        <f aca="false">B1282/SUM($A1282:$C1282)</f>
        <v>0.0314081554479571</v>
      </c>
      <c r="F1282" s="0" t="n">
        <f aca="false">C1282/SUM($A1282:$C1282)</f>
        <v>0.45737993574798</v>
      </c>
      <c r="G1282" s="0" t="n">
        <f aca="false">SUMPRODUCT(D1282:F1282,Stats!$B$6:$D$6)</f>
        <v>0.345678813259344</v>
      </c>
      <c r="H1282" s="0" t="n">
        <f aca="false">SQRT(SUMPRODUCT(MMULT(D1282:F1282,Stats!$B$12:$D$14),D1282:F1282))</f>
        <v>0.222746743315945</v>
      </c>
      <c r="I1282" s="0" t="n">
        <f aca="false">(G1282-Stats!$B$2)/H1282</f>
        <v>1.36333671477569</v>
      </c>
    </row>
    <row r="1283" customFormat="false" ht="15" hidden="false" customHeight="false" outlineLevel="0" collapsed="false">
      <c r="A1283" s="0" t="n">
        <v>0.407748105002732</v>
      </c>
      <c r="B1283" s="0" t="n">
        <v>0.161218811975123</v>
      </c>
      <c r="C1283" s="0" t="n">
        <v>0.656409603500657</v>
      </c>
      <c r="D1283" s="0" t="n">
        <f aca="false">A1283/SUM($A1283:$C1283)</f>
        <v>0.33275331964375</v>
      </c>
      <c r="E1283" s="0" t="n">
        <f aca="false">B1283/SUM($A1283:$C1283)</f>
        <v>0.131566754610384</v>
      </c>
      <c r="F1283" s="0" t="n">
        <f aca="false">C1283/SUM($A1283:$C1283)</f>
        <v>0.535679925745866</v>
      </c>
      <c r="G1283" s="0" t="n">
        <f aca="false">SUMPRODUCT(D1283:F1283,Stats!$B$6:$D$6)</f>
        <v>0.34928271731398</v>
      </c>
      <c r="H1283" s="0" t="n">
        <f aca="false">SQRT(SUMPRODUCT(MMULT(D1283:F1283,Stats!$B$12:$D$14),D1283:F1283))</f>
        <v>0.227588264783258</v>
      </c>
      <c r="I1283" s="0" t="n">
        <f aca="false">(G1283-Stats!$B$2)/H1283</f>
        <v>1.35016942814085</v>
      </c>
    </row>
    <row r="1284" customFormat="false" ht="15" hidden="false" customHeight="false" outlineLevel="0" collapsed="false">
      <c r="A1284" s="0" t="n">
        <v>0.971150907368286</v>
      </c>
      <c r="B1284" s="0" t="n">
        <v>0.562188811064525</v>
      </c>
      <c r="C1284" s="0" t="n">
        <v>0.714753276443946</v>
      </c>
      <c r="D1284" s="0" t="n">
        <f aca="false">A1284/SUM($A1284:$C1284)</f>
        <v>0.431988760954938</v>
      </c>
      <c r="E1284" s="0" t="n">
        <f aca="false">B1284/SUM($A1284:$C1284)</f>
        <v>0.25007364568357</v>
      </c>
      <c r="F1284" s="0" t="n">
        <f aca="false">C1284/SUM($A1284:$C1284)</f>
        <v>0.317937593361492</v>
      </c>
      <c r="G1284" s="0" t="n">
        <f aca="false">SUMPRODUCT(D1284:F1284,Stats!$B$6:$D$6)</f>
        <v>0.362105611513258</v>
      </c>
      <c r="H1284" s="0" t="n">
        <f aca="false">SQRT(SUMPRODUCT(MMULT(D1284:F1284,Stats!$B$12:$D$14),D1284:F1284))</f>
        <v>0.223522006966813</v>
      </c>
      <c r="I1284" s="0" t="n">
        <f aca="false">(G1284-Stats!$B$2)/H1284</f>
        <v>1.43209886067632</v>
      </c>
    </row>
    <row r="1285" customFormat="false" ht="15" hidden="false" customHeight="false" outlineLevel="0" collapsed="false">
      <c r="A1285" s="0" t="n">
        <v>0.0684504525660168</v>
      </c>
      <c r="B1285" s="0" t="n">
        <v>0.417666995816995</v>
      </c>
      <c r="C1285" s="0" t="n">
        <v>0.116358485164496</v>
      </c>
      <c r="D1285" s="0" t="n">
        <f aca="false">A1285/SUM($A1285:$C1285)</f>
        <v>0.113615247936902</v>
      </c>
      <c r="E1285" s="0" t="n">
        <f aca="false">B1285/SUM($A1285:$C1285)</f>
        <v>0.693250921008051</v>
      </c>
      <c r="F1285" s="0" t="n">
        <f aca="false">C1285/SUM($A1285:$C1285)</f>
        <v>0.193133831055047</v>
      </c>
      <c r="G1285" s="0" t="n">
        <f aca="false">SUMPRODUCT(D1285:F1285,Stats!$B$6:$D$6)</f>
        <v>0.391046874085855</v>
      </c>
      <c r="H1285" s="0" t="n">
        <f aca="false">SQRT(SUMPRODUCT(MMULT(D1285:F1285,Stats!$B$12:$D$14),D1285:F1285))</f>
        <v>0.239392159895975</v>
      </c>
      <c r="I1285" s="0" t="n">
        <f aca="false">(G1285-Stats!$B$2)/H1285</f>
        <v>1.45805474263455</v>
      </c>
    </row>
    <row r="1286" customFormat="false" ht="15" hidden="false" customHeight="false" outlineLevel="0" collapsed="false">
      <c r="A1286" s="0" t="n">
        <v>0.61279583553651</v>
      </c>
      <c r="B1286" s="0" t="n">
        <v>0.938482158214155</v>
      </c>
      <c r="C1286" s="0" t="n">
        <v>0.661777732471639</v>
      </c>
      <c r="D1286" s="0" t="n">
        <f aca="false">A1286/SUM($A1286:$C1286)</f>
        <v>0.27690031853945</v>
      </c>
      <c r="E1286" s="0" t="n">
        <f aca="false">B1286/SUM($A1286:$C1286)</f>
        <v>0.424066211751544</v>
      </c>
      <c r="F1286" s="0" t="n">
        <f aca="false">C1286/SUM($A1286:$C1286)</f>
        <v>0.299033469709006</v>
      </c>
      <c r="G1286" s="0" t="n">
        <f aca="false">SUMPRODUCT(D1286:F1286,Stats!$B$6:$D$6)</f>
        <v>0.372638192509447</v>
      </c>
      <c r="H1286" s="0" t="n">
        <f aca="false">SQRT(SUMPRODUCT(MMULT(D1286:F1286,Stats!$B$12:$D$14),D1286:F1286))</f>
        <v>0.228793122169203</v>
      </c>
      <c r="I1286" s="0" t="n">
        <f aca="false">(G1286-Stats!$B$2)/H1286</f>
        <v>1.44514043680441</v>
      </c>
    </row>
    <row r="1287" customFormat="false" ht="15" hidden="false" customHeight="false" outlineLevel="0" collapsed="false">
      <c r="A1287" s="0" t="n">
        <v>0.0768030483144215</v>
      </c>
      <c r="B1287" s="0" t="n">
        <v>0.354666204985083</v>
      </c>
      <c r="C1287" s="0" t="n">
        <v>0.550663379440852</v>
      </c>
      <c r="D1287" s="0" t="n">
        <f aca="false">A1287/SUM($A1287:$C1287)</f>
        <v>0.0782002814631308</v>
      </c>
      <c r="E1287" s="0" t="n">
        <f aca="false">B1287/SUM($A1287:$C1287)</f>
        <v>0.361118440790924</v>
      </c>
      <c r="F1287" s="0" t="n">
        <f aca="false">C1287/SUM($A1287:$C1287)</f>
        <v>0.560681277745945</v>
      </c>
      <c r="G1287" s="0" t="n">
        <f aca="false">SUMPRODUCT(D1287:F1287,Stats!$B$6:$D$6)</f>
        <v>0.361801421568498</v>
      </c>
      <c r="H1287" s="0" t="n">
        <f aca="false">SQRT(SUMPRODUCT(MMULT(D1287:F1287,Stats!$B$12:$D$14),D1287:F1287))</f>
        <v>0.239134669129771</v>
      </c>
      <c r="I1287" s="0" t="n">
        <f aca="false">(G1287-Stats!$B$2)/H1287</f>
        <v>1.33732771886351</v>
      </c>
    </row>
    <row r="1288" customFormat="false" ht="15" hidden="false" customHeight="false" outlineLevel="0" collapsed="false">
      <c r="A1288" s="0" t="n">
        <v>0.403207756133252</v>
      </c>
      <c r="B1288" s="0" t="n">
        <v>0.833644010475172</v>
      </c>
      <c r="C1288" s="0" t="n">
        <v>0.814671004709989</v>
      </c>
      <c r="D1288" s="0" t="n">
        <f aca="false">A1288/SUM($A1288:$C1288)</f>
        <v>0.196540716861812</v>
      </c>
      <c r="E1288" s="0" t="n">
        <f aca="false">B1288/SUM($A1288:$C1288)</f>
        <v>0.406353769078288</v>
      </c>
      <c r="F1288" s="0" t="n">
        <f aca="false">C1288/SUM($A1288:$C1288)</f>
        <v>0.3971055140599</v>
      </c>
      <c r="G1288" s="0" t="n">
        <f aca="false">SUMPRODUCT(D1288:F1288,Stats!$B$6:$D$6)</f>
        <v>0.368914742580309</v>
      </c>
      <c r="H1288" s="0" t="n">
        <f aca="false">SQRT(SUMPRODUCT(MMULT(D1288:F1288,Stats!$B$12:$D$14),D1288:F1288))</f>
        <v>0.231793332826519</v>
      </c>
      <c r="I1288" s="0" t="n">
        <f aca="false">(G1288-Stats!$B$2)/H1288</f>
        <v>1.41037163836365</v>
      </c>
    </row>
    <row r="1289" customFormat="false" ht="15" hidden="false" customHeight="false" outlineLevel="0" collapsed="false">
      <c r="A1289" s="0" t="n">
        <v>0.611831020103221</v>
      </c>
      <c r="B1289" s="0" t="n">
        <v>0.373457945132705</v>
      </c>
      <c r="C1289" s="0" t="n">
        <v>0.255336373763244</v>
      </c>
      <c r="D1289" s="0" t="n">
        <f aca="false">A1289/SUM($A1289:$C1289)</f>
        <v>0.49316340789621</v>
      </c>
      <c r="E1289" s="0" t="n">
        <f aca="false">B1289/SUM($A1289:$C1289)</f>
        <v>0.301023954124602</v>
      </c>
      <c r="F1289" s="0" t="n">
        <f aca="false">C1289/SUM($A1289:$C1289)</f>
        <v>0.205812637979188</v>
      </c>
      <c r="G1289" s="0" t="n">
        <f aca="false">SUMPRODUCT(D1289:F1289,Stats!$B$6:$D$6)</f>
        <v>0.368129028836403</v>
      </c>
      <c r="H1289" s="0" t="n">
        <f aca="false">SQRT(SUMPRODUCT(MMULT(D1289:F1289,Stats!$B$12:$D$14),D1289:F1289))</f>
        <v>0.223563479639905</v>
      </c>
      <c r="I1289" s="0" t="n">
        <f aca="false">(G1289-Stats!$B$2)/H1289</f>
        <v>1.45877595643842</v>
      </c>
    </row>
    <row r="1290" customFormat="false" ht="15" hidden="false" customHeight="false" outlineLevel="0" collapsed="false">
      <c r="A1290" s="0" t="n">
        <v>0.105874318213129</v>
      </c>
      <c r="B1290" s="0" t="n">
        <v>0.354897683486554</v>
      </c>
      <c r="C1290" s="0" t="n">
        <v>0.41317251720772</v>
      </c>
      <c r="D1290" s="0" t="n">
        <f aca="false">A1290/SUM($A1290:$C1290)</f>
        <v>0.121145354107252</v>
      </c>
      <c r="E1290" s="0" t="n">
        <f aca="false">B1290/SUM($A1290:$C1290)</f>
        <v>0.406087200970427</v>
      </c>
      <c r="F1290" s="0" t="n">
        <f aca="false">C1290/SUM($A1290:$C1290)</f>
        <v>0.472767444922321</v>
      </c>
      <c r="G1290" s="0" t="n">
        <f aca="false">SUMPRODUCT(D1290:F1290,Stats!$B$6:$D$6)</f>
        <v>0.366813055953972</v>
      </c>
      <c r="H1290" s="0" t="n">
        <f aca="false">SQRT(SUMPRODUCT(MMULT(D1290:F1290,Stats!$B$12:$D$14),D1290:F1290))</f>
        <v>0.23584835708629</v>
      </c>
      <c r="I1290" s="0" t="n">
        <f aca="false">(G1290-Stats!$B$2)/H1290</f>
        <v>1.3772114419908</v>
      </c>
    </row>
    <row r="1291" customFormat="false" ht="15" hidden="false" customHeight="false" outlineLevel="0" collapsed="false">
      <c r="A1291" s="0" t="n">
        <v>0.675822925104074</v>
      </c>
      <c r="B1291" s="0" t="n">
        <v>0.658159824297574</v>
      </c>
      <c r="C1291" s="0" t="n">
        <v>0.070108139641257</v>
      </c>
      <c r="D1291" s="0" t="n">
        <f aca="false">A1291/SUM($A1291:$C1291)</f>
        <v>0.481324200860492</v>
      </c>
      <c r="E1291" s="0" t="n">
        <f aca="false">B1291/SUM($A1291:$C1291)</f>
        <v>0.468744459089972</v>
      </c>
      <c r="F1291" s="0" t="n">
        <f aca="false">C1291/SUM($A1291:$C1291)</f>
        <v>0.0499313400495363</v>
      </c>
      <c r="G1291" s="0" t="n">
        <f aca="false">SUMPRODUCT(D1291:F1291,Stats!$B$6:$D$6)</f>
        <v>0.382077816451019</v>
      </c>
      <c r="H1291" s="0" t="n">
        <f aca="false">SQRT(SUMPRODUCT(MMULT(D1291:F1291,Stats!$B$12:$D$14),D1291:F1291))</f>
        <v>0.228126062349929</v>
      </c>
      <c r="I1291" s="0" t="n">
        <f aca="false">(G1291-Stats!$B$2)/H1291</f>
        <v>1.49074512989824</v>
      </c>
    </row>
    <row r="1292" customFormat="false" ht="15" hidden="false" customHeight="false" outlineLevel="0" collapsed="false">
      <c r="A1292" s="0" t="n">
        <v>0.395259315431158</v>
      </c>
      <c r="B1292" s="0" t="n">
        <v>0.181778867217362</v>
      </c>
      <c r="C1292" s="0" t="n">
        <v>0.156812705316806</v>
      </c>
      <c r="D1292" s="0" t="n">
        <f aca="false">A1292/SUM($A1292:$C1292)</f>
        <v>0.538609848285465</v>
      </c>
      <c r="E1292" s="0" t="n">
        <f aca="false">B1292/SUM($A1292:$C1292)</f>
        <v>0.247705453789614</v>
      </c>
      <c r="F1292" s="0" t="n">
        <f aca="false">C1292/SUM($A1292:$C1292)</f>
        <v>0.213684697924921</v>
      </c>
      <c r="G1292" s="0" t="n">
        <f aca="false">SUMPRODUCT(D1292:F1292,Stats!$B$6:$D$6)</f>
        <v>0.364844082310662</v>
      </c>
      <c r="H1292" s="0" t="n">
        <f aca="false">SQRT(SUMPRODUCT(MMULT(D1292:F1292,Stats!$B$12:$D$14),D1292:F1292))</f>
        <v>0.222708162816724</v>
      </c>
      <c r="I1292" s="0" t="n">
        <f aca="false">(G1292-Stats!$B$2)/H1292</f>
        <v>1.44962842056375</v>
      </c>
    </row>
    <row r="1293" customFormat="false" ht="15" hidden="false" customHeight="false" outlineLevel="0" collapsed="false">
      <c r="A1293" s="0" t="n">
        <v>0.827302149737246</v>
      </c>
      <c r="B1293" s="0" t="n">
        <v>0.0419152167162575</v>
      </c>
      <c r="C1293" s="0" t="n">
        <v>0.419182875902121</v>
      </c>
      <c r="D1293" s="0" t="n">
        <f aca="false">A1293/SUM($A1293:$C1293)</f>
        <v>0.642115797979564</v>
      </c>
      <c r="E1293" s="0" t="n">
        <f aca="false">B1293/SUM($A1293:$C1293)</f>
        <v>0.0325327606579944</v>
      </c>
      <c r="F1293" s="0" t="n">
        <f aca="false">C1293/SUM($A1293:$C1293)</f>
        <v>0.325351441362441</v>
      </c>
      <c r="G1293" s="0" t="n">
        <f aca="false">SUMPRODUCT(D1293:F1293,Stats!$B$6:$D$6)</f>
        <v>0.349384156539434</v>
      </c>
      <c r="H1293" s="0" t="n">
        <f aca="false">SQRT(SUMPRODUCT(MMULT(D1293:F1293,Stats!$B$12:$D$14),D1293:F1293))</f>
        <v>0.221311010822655</v>
      </c>
      <c r="I1293" s="0" t="n">
        <f aca="false">(G1293-Stats!$B$2)/H1293</f>
        <v>1.3889239193153</v>
      </c>
    </row>
    <row r="1294" customFormat="false" ht="15" hidden="false" customHeight="false" outlineLevel="0" collapsed="false">
      <c r="A1294" s="0" t="n">
        <v>0.168203655766518</v>
      </c>
      <c r="B1294" s="0" t="n">
        <v>0.879330215678474</v>
      </c>
      <c r="C1294" s="0" t="n">
        <v>0.557040513275035</v>
      </c>
      <c r="D1294" s="0" t="n">
        <f aca="false">A1294/SUM($A1294:$C1294)</f>
        <v>0.104827583793111</v>
      </c>
      <c r="E1294" s="0" t="n">
        <f aca="false">B1294/SUM($A1294:$C1294)</f>
        <v>0.548014616244733</v>
      </c>
      <c r="F1294" s="0" t="n">
        <f aca="false">C1294/SUM($A1294:$C1294)</f>
        <v>0.347157799962156</v>
      </c>
      <c r="G1294" s="0" t="n">
        <f aca="false">SUMPRODUCT(D1294:F1294,Stats!$B$6:$D$6)</f>
        <v>0.378443013383564</v>
      </c>
      <c r="H1294" s="0" t="n">
        <f aca="false">SQRT(SUMPRODUCT(MMULT(D1294:F1294,Stats!$B$12:$D$14),D1294:F1294))</f>
        <v>0.237059735016163</v>
      </c>
      <c r="I1294" s="0" t="n">
        <f aca="false">(G1294-Stats!$B$2)/H1294</f>
        <v>1.41923306107055</v>
      </c>
    </row>
    <row r="1295" customFormat="false" ht="15" hidden="false" customHeight="false" outlineLevel="0" collapsed="false">
      <c r="A1295" s="0" t="n">
        <v>0.231380636376848</v>
      </c>
      <c r="B1295" s="0" t="n">
        <v>0.502427287166376</v>
      </c>
      <c r="C1295" s="0" t="n">
        <v>0.731486359703116</v>
      </c>
      <c r="D1295" s="0" t="n">
        <f aca="false">A1295/SUM($A1295:$C1295)</f>
        <v>0.157907281166912</v>
      </c>
      <c r="E1295" s="0" t="n">
        <f aca="false">B1295/SUM($A1295:$C1295)</f>
        <v>0.342884902310037</v>
      </c>
      <c r="F1295" s="0" t="n">
        <f aca="false">C1295/SUM($A1295:$C1295)</f>
        <v>0.499207816523052</v>
      </c>
      <c r="G1295" s="0" t="n">
        <f aca="false">SUMPRODUCT(D1295:F1295,Stats!$B$6:$D$6)</f>
        <v>0.362447394412799</v>
      </c>
      <c r="H1295" s="0" t="n">
        <f aca="false">SQRT(SUMPRODUCT(MMULT(D1295:F1295,Stats!$B$12:$D$14),D1295:F1295))</f>
        <v>0.234107314395398</v>
      </c>
      <c r="I1295" s="0" t="n">
        <f aca="false">(G1295-Stats!$B$2)/H1295</f>
        <v>1.36880556355269</v>
      </c>
    </row>
    <row r="1296" customFormat="false" ht="15" hidden="false" customHeight="false" outlineLevel="0" collapsed="false">
      <c r="A1296" s="0" t="n">
        <v>0.958118008919434</v>
      </c>
      <c r="B1296" s="0" t="n">
        <v>0.220446004245419</v>
      </c>
      <c r="C1296" s="0" t="n">
        <v>0.886181772129345</v>
      </c>
      <c r="D1296" s="0" t="n">
        <f aca="false">A1296/SUM($A1296:$C1296)</f>
        <v>0.464036791232832</v>
      </c>
      <c r="E1296" s="0" t="n">
        <f aca="false">B1296/SUM($A1296:$C1296)</f>
        <v>0.106766656609985</v>
      </c>
      <c r="F1296" s="0" t="n">
        <f aca="false">C1296/SUM($A1296:$C1296)</f>
        <v>0.429196552157183</v>
      </c>
      <c r="G1296" s="0" t="n">
        <f aca="false">SUMPRODUCT(D1296:F1296,Stats!$B$6:$D$6)</f>
        <v>0.350791989844225</v>
      </c>
      <c r="H1296" s="0" t="n">
        <f aca="false">SQRT(SUMPRODUCT(MMULT(D1296:F1296,Stats!$B$12:$D$14),D1296:F1296))</f>
        <v>0.223060938646823</v>
      </c>
      <c r="I1296" s="0" t="n">
        <f aca="false">(G1296-Stats!$B$2)/H1296</f>
        <v>1.38433914838465</v>
      </c>
    </row>
    <row r="1297" customFormat="false" ht="15" hidden="false" customHeight="false" outlineLevel="0" collapsed="false">
      <c r="A1297" s="0" t="n">
        <v>0.93430411416749</v>
      </c>
      <c r="B1297" s="0" t="n">
        <v>0.916420544532066</v>
      </c>
      <c r="C1297" s="0" t="n">
        <v>0.63541435686191</v>
      </c>
      <c r="D1297" s="0" t="n">
        <f aca="false">A1297/SUM($A1297:$C1297)</f>
        <v>0.37580525800022</v>
      </c>
      <c r="E1297" s="0" t="n">
        <f aca="false">B1297/SUM($A1297:$C1297)</f>
        <v>0.368611947600647</v>
      </c>
      <c r="F1297" s="0" t="n">
        <f aca="false">C1297/SUM($A1297:$C1297)</f>
        <v>0.255582794399133</v>
      </c>
      <c r="G1297" s="0" t="n">
        <f aca="false">SUMPRODUCT(D1297:F1297,Stats!$B$6:$D$6)</f>
        <v>0.370645561582915</v>
      </c>
      <c r="H1297" s="0" t="n">
        <f aca="false">SQRT(SUMPRODUCT(MMULT(D1297:F1297,Stats!$B$12:$D$14),D1297:F1297))</f>
        <v>0.225711064561228</v>
      </c>
      <c r="I1297" s="0" t="n">
        <f aca="false">(G1297-Stats!$B$2)/H1297</f>
        <v>1.4560454190484</v>
      </c>
    </row>
    <row r="1298" customFormat="false" ht="15" hidden="false" customHeight="false" outlineLevel="0" collapsed="false">
      <c r="A1298" s="0" t="n">
        <v>0.629820654434708</v>
      </c>
      <c r="B1298" s="0" t="n">
        <v>0.403210633183823</v>
      </c>
      <c r="C1298" s="0" t="n">
        <v>0.752397882303788</v>
      </c>
      <c r="D1298" s="0" t="n">
        <f aca="false">A1298/SUM($A1298:$C1298)</f>
        <v>0.352755889197279</v>
      </c>
      <c r="E1298" s="0" t="n">
        <f aca="false">B1298/SUM($A1298:$C1298)</f>
        <v>0.225834012335178</v>
      </c>
      <c r="F1298" s="0" t="n">
        <f aca="false">C1298/SUM($A1298:$C1298)</f>
        <v>0.421410098467543</v>
      </c>
      <c r="G1298" s="0" t="n">
        <f aca="false">SUMPRODUCT(D1298:F1298,Stats!$B$6:$D$6)</f>
        <v>0.357857679852453</v>
      </c>
      <c r="H1298" s="0" t="n">
        <f aca="false">SQRT(SUMPRODUCT(MMULT(D1298:F1298,Stats!$B$12:$D$14),D1298:F1298))</f>
        <v>0.225630459041259</v>
      </c>
      <c r="I1298" s="0" t="n">
        <f aca="false">(G1298-Stats!$B$2)/H1298</f>
        <v>1.39988936420457</v>
      </c>
    </row>
    <row r="1299" customFormat="false" ht="15" hidden="false" customHeight="false" outlineLevel="0" collapsed="false">
      <c r="A1299" s="0" t="n">
        <v>0.531294018350932</v>
      </c>
      <c r="B1299" s="0" t="n">
        <v>0.677438071228295</v>
      </c>
      <c r="C1299" s="0" t="n">
        <v>0.428457903848796</v>
      </c>
      <c r="D1299" s="0" t="n">
        <f aca="false">A1299/SUM($A1299:$C1299)</f>
        <v>0.324515798706102</v>
      </c>
      <c r="E1299" s="0" t="n">
        <f aca="false">B1299/SUM($A1299:$C1299)</f>
        <v>0.413780974686905</v>
      </c>
      <c r="F1299" s="0" t="n">
        <f aca="false">C1299/SUM($A1299:$C1299)</f>
        <v>0.261703226606993</v>
      </c>
      <c r="G1299" s="0" t="n">
        <f aca="false">SUMPRODUCT(D1299:F1299,Stats!$B$6:$D$6)</f>
        <v>0.373075760376241</v>
      </c>
      <c r="H1299" s="0" t="n">
        <f aca="false">SQRT(SUMPRODUCT(MMULT(D1299:F1299,Stats!$B$12:$D$14),D1299:F1299))</f>
        <v>0.227396145415769</v>
      </c>
      <c r="I1299" s="0" t="n">
        <f aca="false">(G1299-Stats!$B$2)/H1299</f>
        <v>1.45594271077421</v>
      </c>
    </row>
    <row r="1300" customFormat="false" ht="15" hidden="false" customHeight="false" outlineLevel="0" collapsed="false">
      <c r="A1300" s="0" t="n">
        <v>0.731496464043139</v>
      </c>
      <c r="B1300" s="0" t="n">
        <v>0.824471517604549</v>
      </c>
      <c r="C1300" s="0" t="n">
        <v>0.146436256602816</v>
      </c>
      <c r="D1300" s="0" t="n">
        <f aca="false">A1300/SUM($A1300:$C1300)</f>
        <v>0.429684353226746</v>
      </c>
      <c r="E1300" s="0" t="n">
        <f aca="false">B1300/SUM($A1300:$C1300)</f>
        <v>0.48429832297165</v>
      </c>
      <c r="F1300" s="0" t="n">
        <f aca="false">C1300/SUM($A1300:$C1300)</f>
        <v>0.0860173238016037</v>
      </c>
      <c r="G1300" s="0" t="n">
        <f aca="false">SUMPRODUCT(D1300:F1300,Stats!$B$6:$D$6)</f>
        <v>0.381977708525235</v>
      </c>
      <c r="H1300" s="0" t="n">
        <f aca="false">SQRT(SUMPRODUCT(MMULT(D1300:F1300,Stats!$B$12:$D$14),D1300:F1300))</f>
        <v>0.228207456388145</v>
      </c>
      <c r="I1300" s="0" t="n">
        <f aca="false">(G1300-Stats!$B$2)/H1300</f>
        <v>1.48977475980008</v>
      </c>
    </row>
    <row r="1301" customFormat="false" ht="15" hidden="false" customHeight="false" outlineLevel="0" collapsed="false">
      <c r="A1301" s="0" t="n">
        <v>0.832929715574228</v>
      </c>
      <c r="B1301" s="0" t="n">
        <v>0.540296531790307</v>
      </c>
      <c r="C1301" s="0" t="n">
        <v>0.844665909090224</v>
      </c>
      <c r="D1301" s="0" t="n">
        <f aca="false">A1301/SUM($A1301:$C1301)</f>
        <v>0.375550142575752</v>
      </c>
      <c r="E1301" s="0" t="n">
        <f aca="false">B1301/SUM($A1301:$C1301)</f>
        <v>0.243608116931148</v>
      </c>
      <c r="F1301" s="0" t="n">
        <f aca="false">C1301/SUM($A1301:$C1301)</f>
        <v>0.380841740493099</v>
      </c>
      <c r="G1301" s="0" t="n">
        <f aca="false">SUMPRODUCT(D1301:F1301,Stats!$B$6:$D$6)</f>
        <v>0.359999035694067</v>
      </c>
      <c r="H1301" s="0" t="n">
        <f aca="false">SQRT(SUMPRODUCT(MMULT(D1301:F1301,Stats!$B$12:$D$14),D1301:F1301))</f>
        <v>0.224838627605546</v>
      </c>
      <c r="I1301" s="0" t="n">
        <f aca="false">(G1301-Stats!$B$2)/H1301</f>
        <v>1.41434342968842</v>
      </c>
    </row>
    <row r="1302" customFormat="false" ht="15" hidden="false" customHeight="false" outlineLevel="0" collapsed="false">
      <c r="A1302" s="0" t="n">
        <v>0.431301706341015</v>
      </c>
      <c r="B1302" s="0" t="n">
        <v>0.379040485383035</v>
      </c>
      <c r="C1302" s="0" t="n">
        <v>0.915060732517222</v>
      </c>
      <c r="D1302" s="0" t="n">
        <f aca="false">A1302/SUM($A1302:$C1302)</f>
        <v>0.24997158650967</v>
      </c>
      <c r="E1302" s="0" t="n">
        <f aca="false">B1302/SUM($A1302:$C1302)</f>
        <v>0.219682301483124</v>
      </c>
      <c r="F1302" s="0" t="n">
        <f aca="false">C1302/SUM($A1302:$C1302)</f>
        <v>0.530346112007206</v>
      </c>
      <c r="G1302" s="0" t="n">
        <f aca="false">SUMPRODUCT(D1302:F1302,Stats!$B$6:$D$6)</f>
        <v>0.354499849697667</v>
      </c>
      <c r="H1302" s="0" t="n">
        <f aca="false">SQRT(SUMPRODUCT(MMULT(D1302:F1302,Stats!$B$12:$D$14),D1302:F1302))</f>
        <v>0.230359433116561</v>
      </c>
      <c r="I1302" s="0" t="n">
        <f aca="false">(G1302-Stats!$B$2)/H1302</f>
        <v>1.35657500745604</v>
      </c>
    </row>
    <row r="1303" customFormat="false" ht="15" hidden="false" customHeight="false" outlineLevel="0" collapsed="false">
      <c r="A1303" s="0" t="n">
        <v>0.251169267548401</v>
      </c>
      <c r="B1303" s="0" t="n">
        <v>0.844212325286143</v>
      </c>
      <c r="C1303" s="0" t="n">
        <v>0.484020572509404</v>
      </c>
      <c r="D1303" s="0" t="n">
        <f aca="false">A1303/SUM($A1303:$C1303)</f>
        <v>0.159028063313883</v>
      </c>
      <c r="E1303" s="0" t="n">
        <f aca="false">B1303/SUM($A1303:$C1303)</f>
        <v>0.534513845688123</v>
      </c>
      <c r="F1303" s="0" t="n">
        <f aca="false">C1303/SUM($A1303:$C1303)</f>
        <v>0.306458090997994</v>
      </c>
      <c r="G1303" s="0" t="n">
        <f aca="false">SUMPRODUCT(D1303:F1303,Stats!$B$6:$D$6)</f>
        <v>0.378788475340198</v>
      </c>
      <c r="H1303" s="0" t="n">
        <f aca="false">SQRT(SUMPRODUCT(MMULT(D1303:F1303,Stats!$B$12:$D$14),D1303:F1303))</f>
        <v>0.234427248873647</v>
      </c>
      <c r="I1303" s="0" t="n">
        <f aca="false">(G1303-Stats!$B$2)/H1303</f>
        <v>1.43664389254392</v>
      </c>
    </row>
    <row r="1304" customFormat="false" ht="15" hidden="false" customHeight="false" outlineLevel="0" collapsed="false">
      <c r="A1304" s="0" t="n">
        <v>0.51409544255126</v>
      </c>
      <c r="B1304" s="0" t="n">
        <v>0.308468281489484</v>
      </c>
      <c r="C1304" s="0" t="n">
        <v>0.573042200619016</v>
      </c>
      <c r="D1304" s="0" t="n">
        <f aca="false">A1304/SUM($A1304:$C1304)</f>
        <v>0.368367196976892</v>
      </c>
      <c r="E1304" s="0" t="n">
        <f aca="false">B1304/SUM($A1304:$C1304)</f>
        <v>0.221028211502245</v>
      </c>
      <c r="F1304" s="0" t="n">
        <f aca="false">C1304/SUM($A1304:$C1304)</f>
        <v>0.410604591520862</v>
      </c>
      <c r="G1304" s="0" t="n">
        <f aca="false">SUMPRODUCT(D1304:F1304,Stats!$B$6:$D$6)</f>
        <v>0.357879117990591</v>
      </c>
      <c r="H1304" s="0" t="n">
        <f aca="false">SQRT(SUMPRODUCT(MMULT(D1304:F1304,Stats!$B$12:$D$14),D1304:F1304))</f>
        <v>0.225118200422135</v>
      </c>
      <c r="I1304" s="0" t="n">
        <f aca="false">(G1304-Stats!$B$2)/H1304</f>
        <v>1.40317005643375</v>
      </c>
    </row>
    <row r="1305" customFormat="false" ht="15" hidden="false" customHeight="false" outlineLevel="0" collapsed="false">
      <c r="A1305" s="0" t="n">
        <v>0.325211196276211</v>
      </c>
      <c r="B1305" s="0" t="n">
        <v>0.0392694142416523</v>
      </c>
      <c r="C1305" s="0" t="n">
        <v>0.271998605344356</v>
      </c>
      <c r="D1305" s="0" t="n">
        <f aca="false">A1305/SUM($A1305:$C1305)</f>
        <v>0.510953363709854</v>
      </c>
      <c r="E1305" s="0" t="n">
        <f aca="false">B1305/SUM($A1305:$C1305)</f>
        <v>0.061697873650839</v>
      </c>
      <c r="F1305" s="0" t="n">
        <f aca="false">C1305/SUM($A1305:$C1305)</f>
        <v>0.427348762639307</v>
      </c>
      <c r="G1305" s="0" t="n">
        <f aca="false">SUMPRODUCT(D1305:F1305,Stats!$B$6:$D$6)</f>
        <v>0.348249742489398</v>
      </c>
      <c r="H1305" s="0" t="n">
        <f aca="false">SQRT(SUMPRODUCT(MMULT(D1305:F1305,Stats!$B$12:$D$14),D1305:F1305))</f>
        <v>0.222393325862377</v>
      </c>
      <c r="I1305" s="0" t="n">
        <f aca="false">(G1305-Stats!$B$2)/H1305</f>
        <v>1.37706354856581</v>
      </c>
    </row>
    <row r="1306" customFormat="false" ht="15" hidden="false" customHeight="false" outlineLevel="0" collapsed="false">
      <c r="A1306" s="0" t="n">
        <v>0.00637904340659068</v>
      </c>
      <c r="B1306" s="0" t="n">
        <v>0.978354787056857</v>
      </c>
      <c r="C1306" s="0" t="n">
        <v>0.965747209819748</v>
      </c>
      <c r="D1306" s="0" t="n">
        <f aca="false">A1306/SUM($A1306:$C1306)</f>
        <v>0.00327049752078825</v>
      </c>
      <c r="E1306" s="0" t="n">
        <f aca="false">B1306/SUM($A1306:$C1306)</f>
        <v>0.50159666607926</v>
      </c>
      <c r="F1306" s="0" t="n">
        <f aca="false">C1306/SUM($A1306:$C1306)</f>
        <v>0.495132836399952</v>
      </c>
      <c r="G1306" s="0" t="n">
        <f aca="false">SUMPRODUCT(D1306:F1306,Stats!$B$6:$D$6)</f>
        <v>0.371691829893039</v>
      </c>
      <c r="H1306" s="0" t="n">
        <f aca="false">SQRT(SUMPRODUCT(MMULT(D1306:F1306,Stats!$B$12:$D$14),D1306:F1306))</f>
        <v>0.243119020201097</v>
      </c>
      <c r="I1306" s="0" t="n">
        <f aca="false">(G1306-Stats!$B$2)/H1306</f>
        <v>1.35609229430232</v>
      </c>
    </row>
    <row r="1307" customFormat="false" ht="15" hidden="false" customHeight="false" outlineLevel="0" collapsed="false">
      <c r="A1307" s="0" t="n">
        <v>0.395155297472305</v>
      </c>
      <c r="B1307" s="0" t="n">
        <v>0.728370854339646</v>
      </c>
      <c r="C1307" s="0" t="n">
        <v>0.345806098410425</v>
      </c>
      <c r="D1307" s="0" t="n">
        <f aca="false">A1307/SUM($A1307:$C1307)</f>
        <v>0.268935291805172</v>
      </c>
      <c r="E1307" s="0" t="n">
        <f aca="false">B1307/SUM($A1307:$C1307)</f>
        <v>0.495715556661477</v>
      </c>
      <c r="F1307" s="0" t="n">
        <f aca="false">C1307/SUM($A1307:$C1307)</f>
        <v>0.235349151533351</v>
      </c>
      <c r="G1307" s="0" t="n">
        <f aca="false">SUMPRODUCT(D1307:F1307,Stats!$B$6:$D$6)</f>
        <v>0.378516873661049</v>
      </c>
      <c r="H1307" s="0" t="n">
        <f aca="false">SQRT(SUMPRODUCT(MMULT(D1307:F1307,Stats!$B$12:$D$14),D1307:F1307))</f>
        <v>0.230133075004093</v>
      </c>
      <c r="I1307" s="0" t="n">
        <f aca="false">(G1307-Stats!$B$2)/H1307</f>
        <v>1.46227079117186</v>
      </c>
    </row>
    <row r="1308" customFormat="false" ht="15" hidden="false" customHeight="false" outlineLevel="0" collapsed="false">
      <c r="A1308" s="0" t="n">
        <v>0.671093157085976</v>
      </c>
      <c r="B1308" s="0" t="n">
        <v>0.805430043045979</v>
      </c>
      <c r="C1308" s="0" t="n">
        <v>0.946756244692241</v>
      </c>
      <c r="D1308" s="0" t="n">
        <f aca="false">A1308/SUM($A1308:$C1308)</f>
        <v>0.27693593428498</v>
      </c>
      <c r="E1308" s="0" t="n">
        <f aca="false">B1308/SUM($A1308:$C1308)</f>
        <v>0.332371920525415</v>
      </c>
      <c r="F1308" s="0" t="n">
        <f aca="false">C1308/SUM($A1308:$C1308)</f>
        <v>0.390692145189605</v>
      </c>
      <c r="G1308" s="0" t="n">
        <f aca="false">SUMPRODUCT(D1308:F1308,Stats!$B$6:$D$6)</f>
        <v>0.364834768947297</v>
      </c>
      <c r="H1308" s="0" t="n">
        <f aca="false">SQRT(SUMPRODUCT(MMULT(D1308:F1308,Stats!$B$12:$D$14),D1308:F1308))</f>
        <v>0.228229460849819</v>
      </c>
      <c r="I1308" s="0" t="n">
        <f aca="false">(G1308-Stats!$B$2)/H1308</f>
        <v>1.41451838752636</v>
      </c>
    </row>
    <row r="1309" customFormat="false" ht="15" hidden="false" customHeight="false" outlineLevel="0" collapsed="false">
      <c r="A1309" s="0" t="n">
        <v>0.400212275849672</v>
      </c>
      <c r="B1309" s="0" t="n">
        <v>0.783297982956048</v>
      </c>
      <c r="C1309" s="0" t="n">
        <v>0.265928450632119</v>
      </c>
      <c r="D1309" s="0" t="n">
        <f aca="false">A1309/SUM($A1309:$C1309)</f>
        <v>0.276115349509945</v>
      </c>
      <c r="E1309" s="0" t="n">
        <f aca="false">B1309/SUM($A1309:$C1309)</f>
        <v>0.540414698362684</v>
      </c>
      <c r="F1309" s="0" t="n">
        <f aca="false">C1309/SUM($A1309:$C1309)</f>
        <v>0.183469952127371</v>
      </c>
      <c r="G1309" s="0" t="n">
        <f aca="false">SUMPRODUCT(D1309:F1309,Stats!$B$6:$D$6)</f>
        <v>0.3825193533914</v>
      </c>
      <c r="H1309" s="0" t="n">
        <f aca="false">SQRT(SUMPRODUCT(MMULT(D1309:F1309,Stats!$B$12:$D$14),D1309:F1309))</f>
        <v>0.230982156439038</v>
      </c>
      <c r="I1309" s="0" t="n">
        <f aca="false">(G1309-Stats!$B$2)/H1309</f>
        <v>1.47422363112828</v>
      </c>
    </row>
    <row r="1310" customFormat="false" ht="15" hidden="false" customHeight="false" outlineLevel="0" collapsed="false">
      <c r="A1310" s="0" t="n">
        <v>0.990332303793648</v>
      </c>
      <c r="B1310" s="0" t="n">
        <v>0.0257695987643511</v>
      </c>
      <c r="C1310" s="0" t="n">
        <v>0.603528806501121</v>
      </c>
      <c r="D1310" s="0" t="n">
        <f aca="false">A1310/SUM($A1310:$C1310)</f>
        <v>0.611455622725846</v>
      </c>
      <c r="E1310" s="0" t="n">
        <f aca="false">B1310/SUM($A1310:$C1310)</f>
        <v>0.015910786712189</v>
      </c>
      <c r="F1310" s="0" t="n">
        <f aca="false">C1310/SUM($A1310:$C1310)</f>
        <v>0.372633590561965</v>
      </c>
      <c r="G1310" s="0" t="n">
        <f aca="false">SUMPRODUCT(D1310:F1310,Stats!$B$6:$D$6)</f>
        <v>0.347123962593486</v>
      </c>
      <c r="H1310" s="0" t="n">
        <f aca="false">SQRT(SUMPRODUCT(MMULT(D1310:F1310,Stats!$B$12:$D$14),D1310:F1310))</f>
        <v>0.221416150123256</v>
      </c>
      <c r="I1310" s="0" t="n">
        <f aca="false">(G1310-Stats!$B$2)/H1310</f>
        <v>1.37805648966271</v>
      </c>
    </row>
    <row r="1311" customFormat="false" ht="15" hidden="false" customHeight="false" outlineLevel="0" collapsed="false">
      <c r="A1311" s="0" t="n">
        <v>0.659505981651327</v>
      </c>
      <c r="B1311" s="0" t="n">
        <v>0.688045557074129</v>
      </c>
      <c r="C1311" s="0" t="n">
        <v>0.120387578789089</v>
      </c>
      <c r="D1311" s="0" t="n">
        <f aca="false">A1311/SUM($A1311:$C1311)</f>
        <v>0.449273388645693</v>
      </c>
      <c r="E1311" s="0" t="n">
        <f aca="false">B1311/SUM($A1311:$C1311)</f>
        <v>0.468715322634838</v>
      </c>
      <c r="F1311" s="0" t="n">
        <f aca="false">C1311/SUM($A1311:$C1311)</f>
        <v>0.0820112887194698</v>
      </c>
      <c r="G1311" s="0" t="n">
        <f aca="false">SUMPRODUCT(D1311:F1311,Stats!$B$6:$D$6)</f>
        <v>0.381191547731125</v>
      </c>
      <c r="H1311" s="0" t="n">
        <f aca="false">SQRT(SUMPRODUCT(MMULT(D1311:F1311,Stats!$B$12:$D$14),D1311:F1311))</f>
        <v>0.227796365301704</v>
      </c>
      <c r="I1311" s="0" t="n">
        <f aca="false">(G1311-Stats!$B$2)/H1311</f>
        <v>1.48901211519281</v>
      </c>
    </row>
    <row r="1312" customFormat="false" ht="15" hidden="false" customHeight="false" outlineLevel="0" collapsed="false">
      <c r="A1312" s="0" t="n">
        <v>0.93852978347313</v>
      </c>
      <c r="B1312" s="0" t="n">
        <v>0.181183279050083</v>
      </c>
      <c r="C1312" s="0" t="n">
        <v>0.622753403239841</v>
      </c>
      <c r="D1312" s="0" t="n">
        <f aca="false">A1312/SUM($A1312:$C1312)</f>
        <v>0.538621432270797</v>
      </c>
      <c r="E1312" s="0" t="n">
        <f aca="false">B1312/SUM($A1312:$C1312)</f>
        <v>0.103980927386594</v>
      </c>
      <c r="F1312" s="0" t="n">
        <f aca="false">C1312/SUM($A1312:$C1312)</f>
        <v>0.357397640342609</v>
      </c>
      <c r="G1312" s="0" t="n">
        <f aca="false">SUMPRODUCT(D1312:F1312,Stats!$B$6:$D$6)</f>
        <v>0.352611529968183</v>
      </c>
      <c r="H1312" s="0" t="n">
        <f aca="false">SQRT(SUMPRODUCT(MMULT(D1312:F1312,Stats!$B$12:$D$14),D1312:F1312))</f>
        <v>0.221694099411111</v>
      </c>
      <c r="I1312" s="0" t="n">
        <f aca="false">(G1312-Stats!$B$2)/H1312</f>
        <v>1.40108162911536</v>
      </c>
    </row>
    <row r="1313" customFormat="false" ht="15" hidden="false" customHeight="false" outlineLevel="0" collapsed="false">
      <c r="A1313" s="0" t="n">
        <v>0.222676079123085</v>
      </c>
      <c r="B1313" s="0" t="n">
        <v>0.307216417021271</v>
      </c>
      <c r="C1313" s="0" t="n">
        <v>0.546458541728124</v>
      </c>
      <c r="D1313" s="0" t="n">
        <f aca="false">A1313/SUM($A1313:$C1313)</f>
        <v>0.206880535520482</v>
      </c>
      <c r="E1313" s="0" t="n">
        <f aca="false">B1313/SUM($A1313:$C1313)</f>
        <v>0.285423998501935</v>
      </c>
      <c r="F1313" s="0" t="n">
        <f aca="false">C1313/SUM($A1313:$C1313)</f>
        <v>0.507695465977583</v>
      </c>
      <c r="G1313" s="0" t="n">
        <f aca="false">SUMPRODUCT(D1313:F1313,Stats!$B$6:$D$6)</f>
        <v>0.358907124708687</v>
      </c>
      <c r="H1313" s="0" t="n">
        <f aca="false">SQRT(SUMPRODUCT(MMULT(D1313:F1313,Stats!$B$12:$D$14),D1313:F1313))</f>
        <v>0.231864427410304</v>
      </c>
      <c r="I1313" s="0" t="n">
        <f aca="false">(G1313-Stats!$B$2)/H1313</f>
        <v>1.36677768232163</v>
      </c>
    </row>
    <row r="1314" customFormat="false" ht="15" hidden="false" customHeight="false" outlineLevel="0" collapsed="false">
      <c r="A1314" s="0" t="n">
        <v>0.417193418564577</v>
      </c>
      <c r="B1314" s="0" t="n">
        <v>0.160225600976506</v>
      </c>
      <c r="C1314" s="0" t="n">
        <v>0.170936402420848</v>
      </c>
      <c r="D1314" s="0" t="n">
        <f aca="false">A1314/SUM($A1314:$C1314)</f>
        <v>0.557480317936147</v>
      </c>
      <c r="E1314" s="0" t="n">
        <f aca="false">B1314/SUM($A1314:$C1314)</f>
        <v>0.214103614772309</v>
      </c>
      <c r="F1314" s="0" t="n">
        <f aca="false">C1314/SUM($A1314:$C1314)</f>
        <v>0.228416067291544</v>
      </c>
      <c r="G1314" s="0" t="n">
        <f aca="false">SUMPRODUCT(D1314:F1314,Stats!$B$6:$D$6)</f>
        <v>0.362504464139314</v>
      </c>
      <c r="H1314" s="0" t="n">
        <f aca="false">SQRT(SUMPRODUCT(MMULT(D1314:F1314,Stats!$B$12:$D$14),D1314:F1314))</f>
        <v>0.222269707626019</v>
      </c>
      <c r="I1314" s="0" t="n">
        <f aca="false">(G1314-Stats!$B$2)/H1314</f>
        <v>1.44196196396938</v>
      </c>
    </row>
    <row r="1315" customFormat="false" ht="15" hidden="false" customHeight="false" outlineLevel="0" collapsed="false">
      <c r="A1315" s="0" t="n">
        <v>0.4181447881628</v>
      </c>
      <c r="B1315" s="0" t="n">
        <v>0.757282978275501</v>
      </c>
      <c r="C1315" s="0" t="n">
        <v>0.897964646847789</v>
      </c>
      <c r="D1315" s="0" t="n">
        <f aca="false">A1315/SUM($A1315:$C1315)</f>
        <v>0.201671803891714</v>
      </c>
      <c r="E1315" s="0" t="n">
        <f aca="false">B1315/SUM($A1315:$C1315)</f>
        <v>0.365238617361049</v>
      </c>
      <c r="F1315" s="0" t="n">
        <f aca="false">C1315/SUM($A1315:$C1315)</f>
        <v>0.433089578747237</v>
      </c>
      <c r="G1315" s="0" t="n">
        <f aca="false">SUMPRODUCT(D1315:F1315,Stats!$B$6:$D$6)</f>
        <v>0.365556783221244</v>
      </c>
      <c r="H1315" s="0" t="n">
        <f aca="false">SQRT(SUMPRODUCT(MMULT(D1315:F1315,Stats!$B$12:$D$14),D1315:F1315))</f>
        <v>0.231563925441922</v>
      </c>
      <c r="I1315" s="0" t="n">
        <f aca="false">(G1315-Stats!$B$2)/H1315</f>
        <v>1.39726765558911</v>
      </c>
    </row>
    <row r="1316" customFormat="false" ht="15" hidden="false" customHeight="false" outlineLevel="0" collapsed="false">
      <c r="A1316" s="0" t="n">
        <v>0.0841276622593828</v>
      </c>
      <c r="B1316" s="0" t="n">
        <v>0.393103907559401</v>
      </c>
      <c r="C1316" s="0" t="n">
        <v>0.100245563722877</v>
      </c>
      <c r="D1316" s="0" t="n">
        <f aca="false">A1316/SUM($A1316:$C1316)</f>
        <v>0.145681373985198</v>
      </c>
      <c r="E1316" s="0" t="n">
        <f aca="false">B1316/SUM($A1316:$C1316)</f>
        <v>0.680726360797179</v>
      </c>
      <c r="F1316" s="0" t="n">
        <f aca="false">C1316/SUM($A1316:$C1316)</f>
        <v>0.173592265217623</v>
      </c>
      <c r="G1316" s="0" t="n">
        <f aca="false">SUMPRODUCT(D1316:F1316,Stats!$B$6:$D$6)</f>
        <v>0.390865078263428</v>
      </c>
      <c r="H1316" s="0" t="n">
        <f aca="false">SQRT(SUMPRODUCT(MMULT(D1316:F1316,Stats!$B$12:$D$14),D1316:F1316))</f>
        <v>0.238012231120853</v>
      </c>
      <c r="I1316" s="0" t="n">
        <f aca="false">(G1316-Stats!$B$2)/H1316</f>
        <v>1.46574433011507</v>
      </c>
    </row>
    <row r="1317" customFormat="false" ht="15" hidden="false" customHeight="false" outlineLevel="0" collapsed="false">
      <c r="A1317" s="0" t="n">
        <v>0.0165924806325979</v>
      </c>
      <c r="B1317" s="0" t="n">
        <v>0.661718682643957</v>
      </c>
      <c r="C1317" s="0" t="n">
        <v>0.602449441966588</v>
      </c>
      <c r="D1317" s="0" t="n">
        <f aca="false">A1317/SUM($A1317:$C1317)</f>
        <v>0.0129551772319292</v>
      </c>
      <c r="E1317" s="0" t="n">
        <f aca="false">B1317/SUM($A1317:$C1317)</f>
        <v>0.516660709218437</v>
      </c>
      <c r="F1317" s="0" t="n">
        <f aca="false">C1317/SUM($A1317:$C1317)</f>
        <v>0.470384113549634</v>
      </c>
      <c r="G1317" s="0" t="n">
        <f aca="false">SUMPRODUCT(D1317:F1317,Stats!$B$6:$D$6)</f>
        <v>0.373241031951996</v>
      </c>
      <c r="H1317" s="0" t="n">
        <f aca="false">SQRT(SUMPRODUCT(MMULT(D1317:F1317,Stats!$B$12:$D$14),D1317:F1317))</f>
        <v>0.242386384336531</v>
      </c>
      <c r="I1317" s="0" t="n">
        <f aca="false">(G1317-Stats!$B$2)/H1317</f>
        <v>1.36658266865394</v>
      </c>
    </row>
    <row r="1318" customFormat="false" ht="15" hidden="false" customHeight="false" outlineLevel="0" collapsed="false">
      <c r="A1318" s="0" t="n">
        <v>0.163019113814886</v>
      </c>
      <c r="B1318" s="0" t="n">
        <v>0.233812833093064</v>
      </c>
      <c r="C1318" s="0" t="n">
        <v>0.0237077536445184</v>
      </c>
      <c r="D1318" s="0" t="n">
        <f aca="false">A1318/SUM($A1318:$C1318)</f>
        <v>0.387642625894121</v>
      </c>
      <c r="E1318" s="0" t="n">
        <f aca="false">B1318/SUM($A1318:$C1318)</f>
        <v>0.555982783042602</v>
      </c>
      <c r="F1318" s="0" t="n">
        <f aca="false">C1318/SUM($A1318:$C1318)</f>
        <v>0.056374591063277</v>
      </c>
      <c r="G1318" s="0" t="n">
        <f aca="false">SUMPRODUCT(D1318:F1318,Stats!$B$6:$D$6)</f>
        <v>0.386919726532401</v>
      </c>
      <c r="H1318" s="0" t="n">
        <f aca="false">SQRT(SUMPRODUCT(MMULT(D1318:F1318,Stats!$B$12:$D$14),D1318:F1318))</f>
        <v>0.230612257316366</v>
      </c>
      <c r="I1318" s="0" t="n">
        <f aca="false">(G1318-Stats!$B$2)/H1318</f>
        <v>1.49566953008583</v>
      </c>
    </row>
    <row r="1319" customFormat="false" ht="15" hidden="false" customHeight="false" outlineLevel="0" collapsed="false">
      <c r="A1319" s="0" t="n">
        <v>0.834947205694404</v>
      </c>
      <c r="B1319" s="0" t="n">
        <v>0.974690596048552</v>
      </c>
      <c r="C1319" s="0" t="n">
        <v>0.135459536794691</v>
      </c>
      <c r="D1319" s="0" t="n">
        <f aca="false">A1319/SUM($A1319:$C1319)</f>
        <v>0.429257286590156</v>
      </c>
      <c r="E1319" s="0" t="n">
        <f aca="false">B1319/SUM($A1319:$C1319)</f>
        <v>0.501101192591903</v>
      </c>
      <c r="F1319" s="0" t="n">
        <f aca="false">C1319/SUM($A1319:$C1319)</f>
        <v>0.0696415208179408</v>
      </c>
      <c r="G1319" s="0" t="n">
        <f aca="false">SUMPRODUCT(D1319:F1319,Stats!$B$6:$D$6)</f>
        <v>0.383396080364465</v>
      </c>
      <c r="H1319" s="0" t="n">
        <f aca="false">SQRT(SUMPRODUCT(MMULT(D1319:F1319,Stats!$B$12:$D$14),D1319:F1319))</f>
        <v>0.228790846921791</v>
      </c>
      <c r="I1319" s="0" t="n">
        <f aca="false">(G1319-Stats!$B$2)/H1319</f>
        <v>1.49217542990768</v>
      </c>
    </row>
    <row r="1320" customFormat="false" ht="15" hidden="false" customHeight="false" outlineLevel="0" collapsed="false">
      <c r="A1320" s="0" t="n">
        <v>0.231475213765298</v>
      </c>
      <c r="B1320" s="0" t="n">
        <v>0.868409523946934</v>
      </c>
      <c r="C1320" s="0" t="n">
        <v>0.926463797956185</v>
      </c>
      <c r="D1320" s="0" t="n">
        <f aca="false">A1320/SUM($A1320:$C1320)</f>
        <v>0.114232675026433</v>
      </c>
      <c r="E1320" s="0" t="n">
        <f aca="false">B1320/SUM($A1320:$C1320)</f>
        <v>0.428558813383246</v>
      </c>
      <c r="F1320" s="0" t="n">
        <f aca="false">C1320/SUM($A1320:$C1320)</f>
        <v>0.457208511590322</v>
      </c>
      <c r="G1320" s="0" t="n">
        <f aca="false">SUMPRODUCT(D1320:F1320,Stats!$B$6:$D$6)</f>
        <v>0.368535075050117</v>
      </c>
      <c r="H1320" s="0" t="n">
        <f aca="false">SQRT(SUMPRODUCT(MMULT(D1320:F1320,Stats!$B$12:$D$14),D1320:F1320))</f>
        <v>0.236163872492445</v>
      </c>
      <c r="I1320" s="0" t="n">
        <f aca="false">(G1320-Stats!$B$2)/H1320</f>
        <v>1.38266311271027</v>
      </c>
    </row>
    <row r="1321" customFormat="false" ht="15" hidden="false" customHeight="false" outlineLevel="0" collapsed="false">
      <c r="A1321" s="0" t="n">
        <v>0.41962738280681</v>
      </c>
      <c r="B1321" s="0" t="n">
        <v>0.0506224722690741</v>
      </c>
      <c r="C1321" s="0" t="n">
        <v>0.0393918336928194</v>
      </c>
      <c r="D1321" s="0" t="n">
        <f aca="false">A1321/SUM($A1321:$C1321)</f>
        <v>0.823377270844211</v>
      </c>
      <c r="E1321" s="0" t="n">
        <f aca="false">B1321/SUM($A1321:$C1321)</f>
        <v>0.0993295356025097</v>
      </c>
      <c r="F1321" s="0" t="n">
        <f aca="false">C1321/SUM($A1321:$C1321)</f>
        <v>0.077293193553279</v>
      </c>
      <c r="G1321" s="0" t="n">
        <f aca="false">SUMPRODUCT(D1321:F1321,Stats!$B$6:$D$6)</f>
        <v>0.360067667291487</v>
      </c>
      <c r="H1321" s="0" t="n">
        <f aca="false">SQRT(SUMPRODUCT(MMULT(D1321:F1321,Stats!$B$12:$D$14),D1321:F1321))</f>
        <v>0.226376736531608</v>
      </c>
      <c r="I1321" s="0" t="n">
        <f aca="false">(G1321-Stats!$B$2)/H1321</f>
        <v>1.40503689630262</v>
      </c>
    </row>
    <row r="1322" customFormat="false" ht="15" hidden="false" customHeight="false" outlineLevel="0" collapsed="false">
      <c r="A1322" s="0" t="n">
        <v>0.57394986606901</v>
      </c>
      <c r="B1322" s="0" t="n">
        <v>0.392895108893179</v>
      </c>
      <c r="C1322" s="0" t="n">
        <v>0.0286524275776545</v>
      </c>
      <c r="D1322" s="0" t="n">
        <f aca="false">A1322/SUM($A1322:$C1322)</f>
        <v>0.576545819812964</v>
      </c>
      <c r="E1322" s="0" t="n">
        <f aca="false">B1322/SUM($A1322:$C1322)</f>
        <v>0.394672158752774</v>
      </c>
      <c r="F1322" s="0" t="n">
        <f aca="false">C1322/SUM($A1322:$C1322)</f>
        <v>0.0287820214342626</v>
      </c>
      <c r="G1322" s="0" t="n">
        <f aca="false">SUMPRODUCT(D1322:F1322,Stats!$B$6:$D$6)</f>
        <v>0.37839897648588</v>
      </c>
      <c r="H1322" s="0" t="n">
        <f aca="false">SQRT(SUMPRODUCT(MMULT(D1322:F1322,Stats!$B$12:$D$14),D1322:F1322))</f>
        <v>0.227179021876039</v>
      </c>
      <c r="I1322" s="0" t="n">
        <f aca="false">(G1322-Stats!$B$2)/H1322</f>
        <v>1.48076602191481</v>
      </c>
    </row>
    <row r="1323" customFormat="false" ht="15" hidden="false" customHeight="false" outlineLevel="0" collapsed="false">
      <c r="A1323" s="0" t="n">
        <v>0.583252392312557</v>
      </c>
      <c r="B1323" s="0" t="n">
        <v>0.0113025365890225</v>
      </c>
      <c r="C1323" s="0" t="n">
        <v>0.787371958149273</v>
      </c>
      <c r="D1323" s="0" t="n">
        <f aca="false">A1323/SUM($A1323:$C1323)</f>
        <v>0.422057344551177</v>
      </c>
      <c r="E1323" s="0" t="n">
        <f aca="false">B1323/SUM($A1323:$C1323)</f>
        <v>0.00817882385452607</v>
      </c>
      <c r="F1323" s="0" t="n">
        <f aca="false">C1323/SUM($A1323:$C1323)</f>
        <v>0.569763831594297</v>
      </c>
      <c r="G1323" s="0" t="n">
        <f aca="false">SUMPRODUCT(D1323:F1323,Stats!$B$6:$D$6)</f>
        <v>0.34124328488175</v>
      </c>
      <c r="H1323" s="0" t="n">
        <f aca="false">SQRT(SUMPRODUCT(MMULT(D1323:F1323,Stats!$B$12:$D$14),D1323:F1323))</f>
        <v>0.226196700388267</v>
      </c>
      <c r="I1323" s="0" t="n">
        <f aca="false">(G1323-Stats!$B$2)/H1323</f>
        <v>1.322933908267</v>
      </c>
    </row>
    <row r="1324" customFormat="false" ht="15" hidden="false" customHeight="false" outlineLevel="0" collapsed="false">
      <c r="A1324" s="0" t="n">
        <v>0.306432822703372</v>
      </c>
      <c r="B1324" s="0" t="n">
        <v>0.0402580030092321</v>
      </c>
      <c r="C1324" s="0" t="n">
        <v>0.588352220983153</v>
      </c>
      <c r="D1324" s="0" t="n">
        <f aca="false">A1324/SUM($A1324:$C1324)</f>
        <v>0.327720551247603</v>
      </c>
      <c r="E1324" s="0" t="n">
        <f aca="false">B1324/SUM($A1324:$C1324)</f>
        <v>0.0430547055041961</v>
      </c>
      <c r="F1324" s="0" t="n">
        <f aca="false">C1324/SUM($A1324:$C1324)</f>
        <v>0.629224743248201</v>
      </c>
      <c r="G1324" s="0" t="n">
        <f aca="false">SUMPRODUCT(D1324:F1324,Stats!$B$6:$D$6)</f>
        <v>0.341610386203915</v>
      </c>
      <c r="H1324" s="0" t="n">
        <f aca="false">SQRT(SUMPRODUCT(MMULT(D1324:F1324,Stats!$B$12:$D$14),D1324:F1324))</f>
        <v>0.229986100120375</v>
      </c>
      <c r="I1324" s="0" t="n">
        <f aca="false">(G1324-Stats!$B$2)/H1324</f>
        <v>1.30273258273912</v>
      </c>
    </row>
    <row r="1325" customFormat="false" ht="15" hidden="false" customHeight="false" outlineLevel="0" collapsed="false">
      <c r="A1325" s="0" t="n">
        <v>0.397684414433055</v>
      </c>
      <c r="B1325" s="0" t="n">
        <v>0.97380041335715</v>
      </c>
      <c r="C1325" s="0" t="n">
        <v>0.544198662503702</v>
      </c>
      <c r="D1325" s="0" t="n">
        <f aca="false">A1325/SUM($A1325:$C1325)</f>
        <v>0.207594008325478</v>
      </c>
      <c r="E1325" s="0" t="n">
        <f aca="false">B1325/SUM($A1325:$C1325)</f>
        <v>0.508330534919288</v>
      </c>
      <c r="F1325" s="0" t="n">
        <f aca="false">C1325/SUM($A1325:$C1325)</f>
        <v>0.284075456755234</v>
      </c>
      <c r="G1325" s="0" t="n">
        <f aca="false">SUMPRODUCT(D1325:F1325,Stats!$B$6:$D$6)</f>
        <v>0.377899114057385</v>
      </c>
      <c r="H1325" s="0" t="n">
        <f aca="false">SQRT(SUMPRODUCT(MMULT(D1325:F1325,Stats!$B$12:$D$14),D1325:F1325))</f>
        <v>0.232194079978813</v>
      </c>
      <c r="I1325" s="0" t="n">
        <f aca="false">(G1325-Stats!$B$2)/H1325</f>
        <v>1.44663082748722</v>
      </c>
    </row>
    <row r="1326" customFormat="false" ht="15" hidden="false" customHeight="false" outlineLevel="0" collapsed="false">
      <c r="A1326" s="0" t="n">
        <v>0.275239181037008</v>
      </c>
      <c r="B1326" s="0" t="n">
        <v>0.709438864633975</v>
      </c>
      <c r="C1326" s="0" t="n">
        <v>0.271492002542711</v>
      </c>
      <c r="D1326" s="0" t="n">
        <f aca="false">A1326/SUM($A1326:$C1326)</f>
        <v>0.219109810354422</v>
      </c>
      <c r="E1326" s="0" t="n">
        <f aca="false">B1326/SUM($A1326:$C1326)</f>
        <v>0.564763397792214</v>
      </c>
      <c r="F1326" s="0" t="n">
        <f aca="false">C1326/SUM($A1326:$C1326)</f>
        <v>0.216126791853364</v>
      </c>
      <c r="G1326" s="0" t="n">
        <f aca="false">SUMPRODUCT(D1326:F1326,Stats!$B$6:$D$6)</f>
        <v>0.383019846247707</v>
      </c>
      <c r="H1326" s="0" t="n">
        <f aca="false">SQRT(SUMPRODUCT(MMULT(D1326:F1326,Stats!$B$12:$D$14),D1326:F1326))</f>
        <v>0.232900981511511</v>
      </c>
      <c r="I1326" s="0" t="n">
        <f aca="false">(G1326-Stats!$B$2)/H1326</f>
        <v>1.4642267457806</v>
      </c>
    </row>
    <row r="1327" customFormat="false" ht="15" hidden="false" customHeight="false" outlineLevel="0" collapsed="false">
      <c r="A1327" s="0" t="n">
        <v>0.904243291407565</v>
      </c>
      <c r="B1327" s="0" t="n">
        <v>0.374721970507376</v>
      </c>
      <c r="C1327" s="0" t="n">
        <v>0.549868562776205</v>
      </c>
      <c r="D1327" s="0" t="n">
        <f aca="false">A1327/SUM($A1327:$C1327)</f>
        <v>0.494437099313971</v>
      </c>
      <c r="E1327" s="0" t="n">
        <f aca="false">B1327/SUM($A1327:$C1327)</f>
        <v>0.204896675383101</v>
      </c>
      <c r="F1327" s="0" t="n">
        <f aca="false">C1327/SUM($A1327:$C1327)</f>
        <v>0.300666225302929</v>
      </c>
      <c r="G1327" s="0" t="n">
        <f aca="false">SUMPRODUCT(D1327:F1327,Stats!$B$6:$D$6)</f>
        <v>0.359982438444875</v>
      </c>
      <c r="H1327" s="0" t="n">
        <f aca="false">SQRT(SUMPRODUCT(MMULT(D1327:F1327,Stats!$B$12:$D$14),D1327:F1327))</f>
        <v>0.22238379998596</v>
      </c>
      <c r="I1327" s="0" t="n">
        <f aca="false">(G1327-Stats!$B$2)/H1327</f>
        <v>1.4298813063944</v>
      </c>
    </row>
    <row r="1328" customFormat="false" ht="15" hidden="false" customHeight="false" outlineLevel="0" collapsed="false">
      <c r="A1328" s="0" t="n">
        <v>0.0505731038242289</v>
      </c>
      <c r="B1328" s="0" t="n">
        <v>0.426121237952231</v>
      </c>
      <c r="C1328" s="0" t="n">
        <v>0.832363539660995</v>
      </c>
      <c r="D1328" s="0" t="n">
        <f aca="false">A1328/SUM($A1328:$C1328)</f>
        <v>0.0386332067828012</v>
      </c>
      <c r="E1328" s="0" t="n">
        <f aca="false">B1328/SUM($A1328:$C1328)</f>
        <v>0.325517491621008</v>
      </c>
      <c r="F1328" s="0" t="n">
        <f aca="false">C1328/SUM($A1328:$C1328)</f>
        <v>0.635849301596191</v>
      </c>
      <c r="G1328" s="0" t="n">
        <f aca="false">SUMPRODUCT(D1328:F1328,Stats!$B$6:$D$6)</f>
        <v>0.357680259684139</v>
      </c>
      <c r="H1328" s="0" t="n">
        <f aca="false">SQRT(SUMPRODUCT(MMULT(D1328:F1328,Stats!$B$12:$D$14),D1328:F1328))</f>
        <v>0.242807455763444</v>
      </c>
      <c r="I1328" s="0" t="n">
        <f aca="false">(G1328-Stats!$B$2)/H1328</f>
        <v>1.30012589066331</v>
      </c>
    </row>
    <row r="1329" customFormat="false" ht="15" hidden="false" customHeight="false" outlineLevel="0" collapsed="false">
      <c r="A1329" s="0" t="n">
        <v>0.805648805363342</v>
      </c>
      <c r="B1329" s="0" t="n">
        <v>0.224318558853526</v>
      </c>
      <c r="C1329" s="0" t="n">
        <v>0.226079071010563</v>
      </c>
      <c r="D1329" s="0" t="n">
        <f aca="false">A1329/SUM($A1329:$C1329)</f>
        <v>0.641416418030329</v>
      </c>
      <c r="E1329" s="0" t="n">
        <f aca="false">B1329/SUM($A1329:$C1329)</f>
        <v>0.178590976067624</v>
      </c>
      <c r="F1329" s="0" t="n">
        <f aca="false">C1329/SUM($A1329:$C1329)</f>
        <v>0.179992605902048</v>
      </c>
      <c r="G1329" s="0" t="n">
        <f aca="false">SUMPRODUCT(D1329:F1329,Stats!$B$6:$D$6)</f>
        <v>0.361796371194528</v>
      </c>
      <c r="H1329" s="0" t="n">
        <f aca="false">SQRT(SUMPRODUCT(MMULT(D1329:F1329,Stats!$B$12:$D$14),D1329:F1329))</f>
        <v>0.222552983780716</v>
      </c>
      <c r="I1329" s="0" t="n">
        <f aca="false">(G1329-Stats!$B$2)/H1329</f>
        <v>1.43694488279531</v>
      </c>
    </row>
    <row r="1330" customFormat="false" ht="15" hidden="false" customHeight="false" outlineLevel="0" collapsed="false">
      <c r="A1330" s="0" t="n">
        <v>0.817305312213237</v>
      </c>
      <c r="B1330" s="0" t="n">
        <v>0.930398420169326</v>
      </c>
      <c r="C1330" s="0" t="n">
        <v>0.0953609212730036</v>
      </c>
      <c r="D1330" s="0" t="n">
        <f aca="false">A1330/SUM($A1330:$C1330)</f>
        <v>0.443449073038311</v>
      </c>
      <c r="E1330" s="0" t="n">
        <f aca="false">B1330/SUM($A1330:$C1330)</f>
        <v>0.504810516724933</v>
      </c>
      <c r="F1330" s="0" t="n">
        <f aca="false">C1330/SUM($A1330:$C1330)</f>
        <v>0.051740410236756</v>
      </c>
      <c r="G1330" s="0" t="n">
        <f aca="false">SUMPRODUCT(D1330:F1330,Stats!$B$6:$D$6)</f>
        <v>0.384103126313342</v>
      </c>
      <c r="H1330" s="0" t="n">
        <f aca="false">SQRT(SUMPRODUCT(MMULT(D1330:F1330,Stats!$B$12:$D$14),D1330:F1330))</f>
        <v>0.229039737768041</v>
      </c>
      <c r="I1330" s="0" t="n">
        <f aca="false">(G1330-Stats!$B$2)/H1330</f>
        <v>1.49364092732155</v>
      </c>
    </row>
    <row r="1331" customFormat="false" ht="15" hidden="false" customHeight="false" outlineLevel="0" collapsed="false">
      <c r="A1331" s="0" t="n">
        <v>0.450058639426225</v>
      </c>
      <c r="B1331" s="0" t="n">
        <v>0.337454278964229</v>
      </c>
      <c r="C1331" s="0" t="n">
        <v>0.870688455457439</v>
      </c>
      <c r="D1331" s="0" t="n">
        <f aca="false">A1331/SUM($A1331:$C1331)</f>
        <v>0.271413741735031</v>
      </c>
      <c r="E1331" s="0" t="n">
        <f aca="false">B1331/SUM($A1331:$C1331)</f>
        <v>0.203506211179381</v>
      </c>
      <c r="F1331" s="0" t="n">
        <f aca="false">C1331/SUM($A1331:$C1331)</f>
        <v>0.525080047085588</v>
      </c>
      <c r="G1331" s="0" t="n">
        <f aca="false">SUMPRODUCT(D1331:F1331,Stats!$B$6:$D$6)</f>
        <v>0.353714308112673</v>
      </c>
      <c r="H1331" s="0" t="n">
        <f aca="false">SQRT(SUMPRODUCT(MMULT(D1331:F1331,Stats!$B$12:$D$14),D1331:F1331))</f>
        <v>0.22945678613155</v>
      </c>
      <c r="I1331" s="0" t="n">
        <f aca="false">(G1331-Stats!$B$2)/H1331</f>
        <v>1.35848807685279</v>
      </c>
    </row>
    <row r="1332" customFormat="false" ht="15" hidden="false" customHeight="false" outlineLevel="0" collapsed="false">
      <c r="A1332" s="0" t="n">
        <v>0.0835249146800188</v>
      </c>
      <c r="B1332" s="0" t="n">
        <v>0.211125942558037</v>
      </c>
      <c r="C1332" s="0" t="n">
        <v>0.752468337586494</v>
      </c>
      <c r="D1332" s="0" t="n">
        <f aca="false">A1332/SUM($A1332:$C1332)</f>
        <v>0.0797663867617418</v>
      </c>
      <c r="E1332" s="0" t="n">
        <f aca="false">B1332/SUM($A1332:$C1332)</f>
        <v>0.201625510831565</v>
      </c>
      <c r="F1332" s="0" t="n">
        <f aca="false">C1332/SUM($A1332:$C1332)</f>
        <v>0.718608102406693</v>
      </c>
      <c r="G1332" s="0" t="n">
        <f aca="false">SUMPRODUCT(D1332:F1332,Stats!$B$6:$D$6)</f>
        <v>0.348269633358126</v>
      </c>
      <c r="H1332" s="0" t="n">
        <f aca="false">SQRT(SUMPRODUCT(MMULT(D1332:F1332,Stats!$B$12:$D$14),D1332:F1332))</f>
        <v>0.242770196630412</v>
      </c>
      <c r="I1332" s="0" t="n">
        <f aca="false">(G1332-Stats!$B$2)/H1332</f>
        <v>1.26156191167231</v>
      </c>
    </row>
    <row r="1333" customFormat="false" ht="15" hidden="false" customHeight="false" outlineLevel="0" collapsed="false">
      <c r="A1333" s="0" t="n">
        <v>0.0512938489812156</v>
      </c>
      <c r="B1333" s="0" t="n">
        <v>0.492535380714289</v>
      </c>
      <c r="C1333" s="0" t="n">
        <v>0.44210703467972</v>
      </c>
      <c r="D1333" s="0" t="n">
        <f aca="false">A1333/SUM($A1333:$C1333)</f>
        <v>0.0520255221707661</v>
      </c>
      <c r="E1333" s="0" t="n">
        <f aca="false">B1333/SUM($A1333:$C1333)</f>
        <v>0.499561075610098</v>
      </c>
      <c r="F1333" s="0" t="n">
        <f aca="false">C1333/SUM($A1333:$C1333)</f>
        <v>0.448413402219136</v>
      </c>
      <c r="G1333" s="0" t="n">
        <f aca="false">SUMPRODUCT(D1333:F1333,Stats!$B$6:$D$6)</f>
        <v>0.372862975080353</v>
      </c>
      <c r="H1333" s="0" t="n">
        <f aca="false">SQRT(SUMPRODUCT(MMULT(D1333:F1333,Stats!$B$12:$D$14),D1333:F1333))</f>
        <v>0.239839101723695</v>
      </c>
      <c r="I1333" s="0" t="n">
        <f aca="false">(G1333-Stats!$B$2)/H1333</f>
        <v>1.37952057317794</v>
      </c>
    </row>
    <row r="1334" customFormat="false" ht="15" hidden="false" customHeight="false" outlineLevel="0" collapsed="false">
      <c r="A1334" s="0" t="n">
        <v>0.334401178988749</v>
      </c>
      <c r="B1334" s="0" t="n">
        <v>0.394572315318924</v>
      </c>
      <c r="C1334" s="0" t="n">
        <v>0.529940586930233</v>
      </c>
      <c r="D1334" s="0" t="n">
        <f aca="false">A1334/SUM($A1334:$C1334)</f>
        <v>0.265626688884064</v>
      </c>
      <c r="E1334" s="0" t="n">
        <f aca="false">B1334/SUM($A1334:$C1334)</f>
        <v>0.31342275155977</v>
      </c>
      <c r="F1334" s="0" t="n">
        <f aca="false">C1334/SUM($A1334:$C1334)</f>
        <v>0.420950559556166</v>
      </c>
      <c r="G1334" s="0" t="n">
        <f aca="false">SUMPRODUCT(D1334:F1334,Stats!$B$6:$D$6)</f>
        <v>0.362910094152283</v>
      </c>
      <c r="H1334" s="0" t="n">
        <f aca="false">SQRT(SUMPRODUCT(MMULT(D1334:F1334,Stats!$B$12:$D$14),D1334:F1334))</f>
        <v>0.228719335818563</v>
      </c>
      <c r="I1334" s="0" t="n">
        <f aca="false">(G1334-Stats!$B$2)/H1334</f>
        <v>1.40307374102753</v>
      </c>
    </row>
    <row r="1335" customFormat="false" ht="15" hidden="false" customHeight="false" outlineLevel="0" collapsed="false">
      <c r="A1335" s="0" t="n">
        <v>0.161367358388383</v>
      </c>
      <c r="B1335" s="0" t="n">
        <v>0.571995878283593</v>
      </c>
      <c r="C1335" s="0" t="n">
        <v>0.805432329299986</v>
      </c>
      <c r="D1335" s="0" t="n">
        <f aca="false">A1335/SUM($A1335:$C1335)</f>
        <v>0.104866014665475</v>
      </c>
      <c r="E1335" s="0" t="n">
        <f aca="false">B1335/SUM($A1335:$C1335)</f>
        <v>0.371716614560361</v>
      </c>
      <c r="F1335" s="0" t="n">
        <f aca="false">C1335/SUM($A1335:$C1335)</f>
        <v>0.523417370774164</v>
      </c>
      <c r="G1335" s="0" t="n">
        <f aca="false">SUMPRODUCT(D1335:F1335,Stats!$B$6:$D$6)</f>
        <v>0.363438764672538</v>
      </c>
      <c r="H1335" s="0" t="n">
        <f aca="false">SQRT(SUMPRODUCT(MMULT(D1335:F1335,Stats!$B$12:$D$14),D1335:F1335))</f>
        <v>0.2371603308454</v>
      </c>
      <c r="I1335" s="0" t="n">
        <f aca="false">(G1335-Stats!$B$2)/H1335</f>
        <v>1.35536480121576</v>
      </c>
    </row>
    <row r="1336" customFormat="false" ht="15" hidden="false" customHeight="false" outlineLevel="0" collapsed="false">
      <c r="A1336" s="0" t="n">
        <v>0.760160929790159</v>
      </c>
      <c r="B1336" s="0" t="n">
        <v>0.153899904693774</v>
      </c>
      <c r="C1336" s="0" t="n">
        <v>0.149249469741474</v>
      </c>
      <c r="D1336" s="0" t="n">
        <f aca="false">A1336/SUM($A1336:$C1336)</f>
        <v>0.71490036988207</v>
      </c>
      <c r="E1336" s="0" t="n">
        <f aca="false">B1336/SUM($A1336:$C1336)</f>
        <v>0.144736587318117</v>
      </c>
      <c r="F1336" s="0" t="n">
        <f aca="false">C1336/SUM($A1336:$C1336)</f>
        <v>0.140363042799814</v>
      </c>
      <c r="G1336" s="0" t="n">
        <f aca="false">SUMPRODUCT(D1336:F1336,Stats!$B$6:$D$6)</f>
        <v>0.360941203442972</v>
      </c>
      <c r="H1336" s="0" t="n">
        <f aca="false">SQRT(SUMPRODUCT(MMULT(D1336:F1336,Stats!$B$12:$D$14),D1336:F1336))</f>
        <v>0.223530452913508</v>
      </c>
      <c r="I1336" s="0" t="n">
        <f aca="false">(G1336-Stats!$B$2)/H1336</f>
        <v>1.42683558005576</v>
      </c>
    </row>
    <row r="1337" customFormat="false" ht="15" hidden="false" customHeight="false" outlineLevel="0" collapsed="false">
      <c r="A1337" s="0" t="n">
        <v>0.268174367744913</v>
      </c>
      <c r="B1337" s="0" t="n">
        <v>0.361074726341037</v>
      </c>
      <c r="C1337" s="0" t="n">
        <v>0.408455581408483</v>
      </c>
      <c r="D1337" s="0" t="n">
        <f aca="false">A1337/SUM($A1337:$C1337)</f>
        <v>0.258430335795815</v>
      </c>
      <c r="E1337" s="0" t="n">
        <f aca="false">B1337/SUM($A1337:$C1337)</f>
        <v>0.347955188858522</v>
      </c>
      <c r="F1337" s="0" t="n">
        <f aca="false">C1337/SUM($A1337:$C1337)</f>
        <v>0.393614475345663</v>
      </c>
      <c r="G1337" s="0" t="n">
        <f aca="false">SUMPRODUCT(D1337:F1337,Stats!$B$6:$D$6)</f>
        <v>0.365650827908088</v>
      </c>
      <c r="H1337" s="0" t="n">
        <f aca="false">SQRT(SUMPRODUCT(MMULT(D1337:F1337,Stats!$B$12:$D$14),D1337:F1337))</f>
        <v>0.228986295766947</v>
      </c>
      <c r="I1337" s="0" t="n">
        <f aca="false">(G1337-Stats!$B$2)/H1337</f>
        <v>1.41340697627375</v>
      </c>
    </row>
    <row r="1338" customFormat="false" ht="15" hidden="false" customHeight="false" outlineLevel="0" collapsed="false">
      <c r="A1338" s="0" t="n">
        <v>0.679697216833345</v>
      </c>
      <c r="B1338" s="0" t="n">
        <v>0.0566804321658354</v>
      </c>
      <c r="C1338" s="0" t="n">
        <v>0.0346727042260664</v>
      </c>
      <c r="D1338" s="0" t="n">
        <f aca="false">A1338/SUM($A1338:$C1338)</f>
        <v>0.881521179505621</v>
      </c>
      <c r="E1338" s="0" t="n">
        <f aca="false">B1338/SUM($A1338:$C1338)</f>
        <v>0.0735106753128966</v>
      </c>
      <c r="F1338" s="0" t="n">
        <f aca="false">C1338/SUM($A1338:$C1338)</f>
        <v>0.0449681451814827</v>
      </c>
      <c r="G1338" s="0" t="n">
        <f aca="false">SUMPRODUCT(D1338:F1338,Stats!$B$6:$D$6)</f>
        <v>0.359473434263104</v>
      </c>
      <c r="H1338" s="0" t="n">
        <f aca="false">SQRT(SUMPRODUCT(MMULT(D1338:F1338,Stats!$B$12:$D$14),D1338:F1338))</f>
        <v>0.228493438710094</v>
      </c>
      <c r="I1338" s="0" t="n">
        <f aca="false">(G1338-Stats!$B$2)/H1338</f>
        <v>1.38942035296648</v>
      </c>
    </row>
    <row r="1339" customFormat="false" ht="15" hidden="false" customHeight="false" outlineLevel="0" collapsed="false">
      <c r="A1339" s="0" t="n">
        <v>0.391910562943909</v>
      </c>
      <c r="B1339" s="0" t="n">
        <v>0.697163692137981</v>
      </c>
      <c r="C1339" s="0" t="n">
        <v>0.193435342956483</v>
      </c>
      <c r="D1339" s="0" t="n">
        <f aca="false">A1339/SUM($A1339:$C1339)</f>
        <v>0.305580998023988</v>
      </c>
      <c r="E1339" s="0" t="n">
        <f aca="false">B1339/SUM($A1339:$C1339)</f>
        <v>0.543593352598927</v>
      </c>
      <c r="F1339" s="0" t="n">
        <f aca="false">C1339/SUM($A1339:$C1339)</f>
        <v>0.150825649377086</v>
      </c>
      <c r="G1339" s="0" t="n">
        <f aca="false">SUMPRODUCT(D1339:F1339,Stats!$B$6:$D$6)</f>
        <v>0.383602403134782</v>
      </c>
      <c r="H1339" s="0" t="n">
        <f aca="false">SQRT(SUMPRODUCT(MMULT(D1339:F1339,Stats!$B$12:$D$14),D1339:F1339))</f>
        <v>0.230591023587922</v>
      </c>
      <c r="I1339" s="0" t="n">
        <f aca="false">(G1339-Stats!$B$2)/H1339</f>
        <v>1.48142107970882</v>
      </c>
    </row>
    <row r="1340" customFormat="false" ht="15" hidden="false" customHeight="false" outlineLevel="0" collapsed="false">
      <c r="A1340" s="0" t="n">
        <v>0.641504481256252</v>
      </c>
      <c r="B1340" s="0" t="n">
        <v>0.2598281379403</v>
      </c>
      <c r="C1340" s="0" t="n">
        <v>0.886086108813516</v>
      </c>
      <c r="D1340" s="0" t="n">
        <f aca="false">A1340/SUM($A1340:$C1340)</f>
        <v>0.358899943926647</v>
      </c>
      <c r="E1340" s="0" t="n">
        <f aca="false">B1340/SUM($A1340:$C1340)</f>
        <v>0.145365008136379</v>
      </c>
      <c r="F1340" s="0" t="n">
        <f aca="false">C1340/SUM($A1340:$C1340)</f>
        <v>0.495735047936974</v>
      </c>
      <c r="G1340" s="0" t="n">
        <f aca="false">SUMPRODUCT(D1340:F1340,Stats!$B$6:$D$6)</f>
        <v>0.351178115605108</v>
      </c>
      <c r="H1340" s="0" t="n">
        <f aca="false">SQRT(SUMPRODUCT(MMULT(D1340:F1340,Stats!$B$12:$D$14),D1340:F1340))</f>
        <v>0.226179204354479</v>
      </c>
      <c r="I1340" s="0" t="n">
        <f aca="false">(G1340-Stats!$B$2)/H1340</f>
        <v>1.36696084190194</v>
      </c>
    </row>
    <row r="1341" customFormat="false" ht="15" hidden="false" customHeight="false" outlineLevel="0" collapsed="false">
      <c r="A1341" s="0" t="n">
        <v>0.895689944266617</v>
      </c>
      <c r="B1341" s="0" t="n">
        <v>0.297287204281327</v>
      </c>
      <c r="C1341" s="0" t="n">
        <v>0.229993753963241</v>
      </c>
      <c r="D1341" s="0" t="n">
        <f aca="false">A1341/SUM($A1341:$C1341)</f>
        <v>0.629450639282891</v>
      </c>
      <c r="E1341" s="0" t="n">
        <f aca="false">B1341/SUM($A1341:$C1341)</f>
        <v>0.208920086669861</v>
      </c>
      <c r="F1341" s="0" t="n">
        <f aca="false">C1341/SUM($A1341:$C1341)</f>
        <v>0.161629274047248</v>
      </c>
      <c r="G1341" s="0" t="n">
        <f aca="false">SUMPRODUCT(D1341:F1341,Stats!$B$6:$D$6)</f>
        <v>0.364047830777368</v>
      </c>
      <c r="H1341" s="0" t="n">
        <f aca="false">SQRT(SUMPRODUCT(MMULT(D1341:F1341,Stats!$B$12:$D$14),D1341:F1341))</f>
        <v>0.222924537898588</v>
      </c>
      <c r="I1341" s="0" t="n">
        <f aca="false">(G1341-Stats!$B$2)/H1341</f>
        <v>1.44464953841857</v>
      </c>
    </row>
    <row r="1342" customFormat="false" ht="15" hidden="false" customHeight="false" outlineLevel="0" collapsed="false">
      <c r="A1342" s="0" t="n">
        <v>0.411303972066231</v>
      </c>
      <c r="B1342" s="0" t="n">
        <v>0.240531585180149</v>
      </c>
      <c r="C1342" s="0" t="n">
        <v>0.672383843291704</v>
      </c>
      <c r="D1342" s="0" t="n">
        <f aca="false">A1342/SUM($A1342:$C1342)</f>
        <v>0.310601077056492</v>
      </c>
      <c r="E1342" s="0" t="n">
        <f aca="false">B1342/SUM($A1342:$C1342)</f>
        <v>0.181640281876561</v>
      </c>
      <c r="F1342" s="0" t="n">
        <f aca="false">C1342/SUM($A1342:$C1342)</f>
        <v>0.507758641066946</v>
      </c>
      <c r="G1342" s="0" t="n">
        <f aca="false">SUMPRODUCT(D1342:F1342,Stats!$B$6:$D$6)</f>
        <v>0.352933801949908</v>
      </c>
      <c r="H1342" s="0" t="n">
        <f aca="false">SQRT(SUMPRODUCT(MMULT(D1342:F1342,Stats!$B$12:$D$14),D1342:F1342))</f>
        <v>0.227820493406549</v>
      </c>
      <c r="I1342" s="0" t="n">
        <f aca="false">(G1342-Stats!$B$2)/H1342</f>
        <v>1.36481928074417</v>
      </c>
    </row>
    <row r="1343" customFormat="false" ht="15" hidden="false" customHeight="false" outlineLevel="0" collapsed="false">
      <c r="A1343" s="0" t="n">
        <v>0.826064684548286</v>
      </c>
      <c r="B1343" s="0" t="n">
        <v>0.673092130911217</v>
      </c>
      <c r="C1343" s="0" t="n">
        <v>0.82435044724935</v>
      </c>
      <c r="D1343" s="0" t="n">
        <f aca="false">A1343/SUM($A1343:$C1343)</f>
        <v>0.355524898848485</v>
      </c>
      <c r="E1343" s="0" t="n">
        <f aca="false">B1343/SUM($A1343:$C1343)</f>
        <v>0.289687982350653</v>
      </c>
      <c r="F1343" s="0" t="n">
        <f aca="false">C1343/SUM($A1343:$C1343)</f>
        <v>0.354787118800861</v>
      </c>
      <c r="G1343" s="0" t="n">
        <f aca="false">SUMPRODUCT(D1343:F1343,Stats!$B$6:$D$6)</f>
        <v>0.363368857682331</v>
      </c>
      <c r="H1343" s="0" t="n">
        <f aca="false">SQRT(SUMPRODUCT(MMULT(D1343:F1343,Stats!$B$12:$D$14),D1343:F1343))</f>
        <v>0.225473768538164</v>
      </c>
      <c r="I1343" s="0" t="n">
        <f aca="false">(G1343-Stats!$B$2)/H1343</f>
        <v>1.42530485814777</v>
      </c>
    </row>
    <row r="1344" customFormat="false" ht="15" hidden="false" customHeight="false" outlineLevel="0" collapsed="false">
      <c r="A1344" s="0" t="n">
        <v>0.396992162207474</v>
      </c>
      <c r="B1344" s="0" t="n">
        <v>0.156316970708861</v>
      </c>
      <c r="C1344" s="0" t="n">
        <v>0.737950947397592</v>
      </c>
      <c r="D1344" s="0" t="n">
        <f aca="false">A1344/SUM($A1344:$C1344)</f>
        <v>0.307445547384194</v>
      </c>
      <c r="E1344" s="0" t="n">
        <f aca="false">B1344/SUM($A1344:$C1344)</f>
        <v>0.121057696347941</v>
      </c>
      <c r="F1344" s="0" t="n">
        <f aca="false">C1344/SUM($A1344:$C1344)</f>
        <v>0.571496756267865</v>
      </c>
      <c r="G1344" s="0" t="n">
        <f aca="false">SUMPRODUCT(D1344:F1344,Stats!$B$6:$D$6)</f>
        <v>0.3476904043774</v>
      </c>
      <c r="H1344" s="0" t="n">
        <f aca="false">SQRT(SUMPRODUCT(MMULT(D1344:F1344,Stats!$B$12:$D$14),D1344:F1344))</f>
        <v>0.229094248562716</v>
      </c>
      <c r="I1344" s="0" t="n">
        <f aca="false">(G1344-Stats!$B$2)/H1344</f>
        <v>1.33434342544708</v>
      </c>
    </row>
    <row r="1345" customFormat="false" ht="15" hidden="false" customHeight="false" outlineLevel="0" collapsed="false">
      <c r="A1345" s="0" t="n">
        <v>0.360474505141554</v>
      </c>
      <c r="B1345" s="0" t="n">
        <v>0.671270825229133</v>
      </c>
      <c r="C1345" s="0" t="n">
        <v>0.270643941981766</v>
      </c>
      <c r="D1345" s="0" t="n">
        <f aca="false">A1345/SUM($A1345:$C1345)</f>
        <v>0.276779387540903</v>
      </c>
      <c r="E1345" s="0" t="n">
        <f aca="false">B1345/SUM($A1345:$C1345)</f>
        <v>0.51541489129179</v>
      </c>
      <c r="F1345" s="0" t="n">
        <f aca="false">C1345/SUM($A1345:$C1345)</f>
        <v>0.207805721167307</v>
      </c>
      <c r="G1345" s="0" t="n">
        <f aca="false">SUMPRODUCT(D1345:F1345,Stats!$B$6:$D$6)</f>
        <v>0.38040984737791</v>
      </c>
      <c r="H1345" s="0" t="n">
        <f aca="false">SQRT(SUMPRODUCT(MMULT(D1345:F1345,Stats!$B$12:$D$14),D1345:F1345))</f>
        <v>0.230366490331702</v>
      </c>
      <c r="I1345" s="0" t="n">
        <f aca="false">(G1345-Stats!$B$2)/H1345</f>
        <v>1.46900639450919</v>
      </c>
    </row>
    <row r="1346" customFormat="false" ht="15" hidden="false" customHeight="false" outlineLevel="0" collapsed="false">
      <c r="A1346" s="0" t="n">
        <v>0.0812296348066727</v>
      </c>
      <c r="B1346" s="0" t="n">
        <v>0.992581795487763</v>
      </c>
      <c r="C1346" s="0" t="n">
        <v>0.156201507930599</v>
      </c>
      <c r="D1346" s="0" t="n">
        <f aca="false">A1346/SUM($A1346:$C1346)</f>
        <v>0.0660396588379718</v>
      </c>
      <c r="E1346" s="0" t="n">
        <f aca="false">B1346/SUM($A1346:$C1346)</f>
        <v>0.806968581094849</v>
      </c>
      <c r="F1346" s="0" t="n">
        <f aca="false">C1346/SUM($A1346:$C1346)</f>
        <v>0.126991760067179</v>
      </c>
      <c r="G1346" s="0" t="n">
        <f aca="false">SUMPRODUCT(D1346:F1346,Stats!$B$6:$D$6)</f>
        <v>0.399413883233274</v>
      </c>
      <c r="H1346" s="0" t="n">
        <f aca="false">SQRT(SUMPRODUCT(MMULT(D1346:F1346,Stats!$B$12:$D$14),D1346:F1346))</f>
        <v>0.244539711928882</v>
      </c>
      <c r="I1346" s="0" t="n">
        <f aca="false">(G1346-Stats!$B$2)/H1346</f>
        <v>1.46157808240658</v>
      </c>
    </row>
    <row r="1347" customFormat="false" ht="15" hidden="false" customHeight="false" outlineLevel="0" collapsed="false">
      <c r="A1347" s="0" t="n">
        <v>0.988420993963481</v>
      </c>
      <c r="B1347" s="0" t="n">
        <v>0.977279932566447</v>
      </c>
      <c r="C1347" s="0" t="n">
        <v>0.79381810390804</v>
      </c>
      <c r="D1347" s="0" t="n">
        <f aca="false">A1347/SUM($A1347:$C1347)</f>
        <v>0.358185967576606</v>
      </c>
      <c r="E1347" s="0" t="n">
        <f aca="false">B1347/SUM($A1347:$C1347)</f>
        <v>0.354148647567523</v>
      </c>
      <c r="F1347" s="0" t="n">
        <f aca="false">C1347/SUM($A1347:$C1347)</f>
        <v>0.287665384855872</v>
      </c>
      <c r="G1347" s="0" t="n">
        <f aca="false">SUMPRODUCT(D1347:F1347,Stats!$B$6:$D$6)</f>
        <v>0.36892869692626</v>
      </c>
      <c r="H1347" s="0" t="n">
        <f aca="false">SQRT(SUMPRODUCT(MMULT(D1347:F1347,Stats!$B$12:$D$14),D1347:F1347))</f>
        <v>0.225865229697128</v>
      </c>
      <c r="I1347" s="0" t="n">
        <f aca="false">(G1347-Stats!$B$2)/H1347</f>
        <v>1.44745031080992</v>
      </c>
    </row>
    <row r="1348" customFormat="false" ht="15" hidden="false" customHeight="false" outlineLevel="0" collapsed="false">
      <c r="A1348" s="0" t="n">
        <v>0.659422962081998</v>
      </c>
      <c r="B1348" s="0" t="n">
        <v>0.577807050251085</v>
      </c>
      <c r="C1348" s="0" t="n">
        <v>0.866101545377835</v>
      </c>
      <c r="D1348" s="0" t="n">
        <f aca="false">A1348/SUM($A1348:$C1348)</f>
        <v>0.313513558841696</v>
      </c>
      <c r="E1348" s="0" t="n">
        <f aca="false">B1348/SUM($A1348:$C1348)</f>
        <v>0.274710398430916</v>
      </c>
      <c r="F1348" s="0" t="n">
        <f aca="false">C1348/SUM($A1348:$C1348)</f>
        <v>0.411776042727388</v>
      </c>
      <c r="G1348" s="0" t="n">
        <f aca="false">SUMPRODUCT(D1348:F1348,Stats!$B$6:$D$6)</f>
        <v>0.360935619230516</v>
      </c>
      <c r="H1348" s="0" t="n">
        <f aca="false">SQRT(SUMPRODUCT(MMULT(D1348:F1348,Stats!$B$12:$D$14),D1348:F1348))</f>
        <v>0.226878911219849</v>
      </c>
      <c r="I1348" s="0" t="n">
        <f aca="false">(G1348-Stats!$B$2)/H1348</f>
        <v>1.40575259955061</v>
      </c>
    </row>
    <row r="1349" customFormat="false" ht="15" hidden="false" customHeight="false" outlineLevel="0" collapsed="false">
      <c r="A1349" s="0" t="n">
        <v>0.289439521619488</v>
      </c>
      <c r="B1349" s="0" t="n">
        <v>0.467681212484877</v>
      </c>
      <c r="C1349" s="0" t="n">
        <v>0.619389969366502</v>
      </c>
      <c r="D1349" s="0" t="n">
        <f aca="false">A1349/SUM($A1349:$C1349)</f>
        <v>0.210270447508811</v>
      </c>
      <c r="E1349" s="0" t="n">
        <f aca="false">B1349/SUM($A1349:$C1349)</f>
        <v>0.339758500464704</v>
      </c>
      <c r="F1349" s="0" t="n">
        <f aca="false">C1349/SUM($A1349:$C1349)</f>
        <v>0.449971052026484</v>
      </c>
      <c r="G1349" s="0" t="n">
        <f aca="false">SUMPRODUCT(D1349:F1349,Stats!$B$6:$D$6)</f>
        <v>0.363625190140579</v>
      </c>
      <c r="H1349" s="0" t="n">
        <f aca="false">SQRT(SUMPRODUCT(MMULT(D1349:F1349,Stats!$B$12:$D$14),D1349:F1349))</f>
        <v>0.23122727137598</v>
      </c>
      <c r="I1349" s="0" t="n">
        <f aca="false">(G1349-Stats!$B$2)/H1349</f>
        <v>1.39094834370817</v>
      </c>
    </row>
    <row r="1350" customFormat="false" ht="15" hidden="false" customHeight="false" outlineLevel="0" collapsed="false">
      <c r="A1350" s="0" t="n">
        <v>0.411190475869491</v>
      </c>
      <c r="B1350" s="0" t="n">
        <v>0.427486454090268</v>
      </c>
      <c r="C1350" s="0" t="n">
        <v>0.330284667502084</v>
      </c>
      <c r="D1350" s="0" t="n">
        <f aca="false">A1350/SUM($A1350:$C1350)</f>
        <v>0.351757043826166</v>
      </c>
      <c r="E1350" s="0" t="n">
        <f aca="false">B1350/SUM($A1350:$C1350)</f>
        <v>0.365697602913959</v>
      </c>
      <c r="F1350" s="0" t="n">
        <f aca="false">C1350/SUM($A1350:$C1350)</f>
        <v>0.282545353259875</v>
      </c>
      <c r="G1350" s="0" t="n">
        <f aca="false">SUMPRODUCT(D1350:F1350,Stats!$B$6:$D$6)</f>
        <v>0.369734391771366</v>
      </c>
      <c r="H1350" s="0" t="n">
        <f aca="false">SQRT(SUMPRODUCT(MMULT(D1350:F1350,Stats!$B$12:$D$14),D1350:F1350))</f>
        <v>0.226139787980269</v>
      </c>
      <c r="I1350" s="0" t="n">
        <f aca="false">(G1350-Stats!$B$2)/H1350</f>
        <v>1.44925576652597</v>
      </c>
    </row>
    <row r="1351" customFormat="false" ht="15" hidden="false" customHeight="false" outlineLevel="0" collapsed="false">
      <c r="A1351" s="0" t="n">
        <v>0.564231816684536</v>
      </c>
      <c r="B1351" s="0" t="n">
        <v>0.850574528015116</v>
      </c>
      <c r="C1351" s="0" t="n">
        <v>0.201528378006313</v>
      </c>
      <c r="D1351" s="0" t="n">
        <f aca="false">A1351/SUM($A1351:$C1351)</f>
        <v>0.349081046616344</v>
      </c>
      <c r="E1351" s="0" t="n">
        <f aca="false">B1351/SUM($A1351:$C1351)</f>
        <v>0.526236624175925</v>
      </c>
      <c r="F1351" s="0" t="n">
        <f aca="false">C1351/SUM($A1351:$C1351)</f>
        <v>0.124682329207732</v>
      </c>
      <c r="G1351" s="0" t="n">
        <f aca="false">SUMPRODUCT(D1351:F1351,Stats!$B$6:$D$6)</f>
        <v>0.383324611444117</v>
      </c>
      <c r="H1351" s="0" t="n">
        <f aca="false">SQRT(SUMPRODUCT(MMULT(D1351:F1351,Stats!$B$12:$D$14),D1351:F1351))</f>
        <v>0.229640043238335</v>
      </c>
      <c r="I1351" s="0" t="n">
        <f aca="false">(G1351-Stats!$B$2)/H1351</f>
        <v>1.48634622529603</v>
      </c>
    </row>
    <row r="1352" customFormat="false" ht="15" hidden="false" customHeight="false" outlineLevel="0" collapsed="false">
      <c r="A1352" s="0" t="n">
        <v>0.934433038753441</v>
      </c>
      <c r="B1352" s="0" t="n">
        <v>0.68908765374823</v>
      </c>
      <c r="C1352" s="0" t="n">
        <v>0.82327321268003</v>
      </c>
      <c r="D1352" s="0" t="n">
        <f aca="false">A1352/SUM($A1352:$C1352)</f>
        <v>0.381900999824523</v>
      </c>
      <c r="E1352" s="0" t="n">
        <f aca="false">B1352/SUM($A1352:$C1352)</f>
        <v>0.281628809148541</v>
      </c>
      <c r="F1352" s="0" t="n">
        <f aca="false">C1352/SUM($A1352:$C1352)</f>
        <v>0.336470191026936</v>
      </c>
      <c r="G1352" s="0" t="n">
        <f aca="false">SUMPRODUCT(D1352:F1352,Stats!$B$6:$D$6)</f>
        <v>0.363410225525371</v>
      </c>
      <c r="H1352" s="0" t="n">
        <f aca="false">SQRT(SUMPRODUCT(MMULT(D1352:F1352,Stats!$B$12:$D$14),D1352:F1352))</f>
        <v>0.22474219321734</v>
      </c>
      <c r="I1352" s="0" t="n">
        <f aca="false">(G1352-Stats!$B$2)/H1352</f>
        <v>1.43012854384022</v>
      </c>
    </row>
    <row r="1353" customFormat="false" ht="15" hidden="false" customHeight="false" outlineLevel="0" collapsed="false">
      <c r="A1353" s="0" t="n">
        <v>0.556190692630012</v>
      </c>
      <c r="B1353" s="0" t="n">
        <v>0.779516701424064</v>
      </c>
      <c r="C1353" s="0" t="n">
        <v>0.0162003973394672</v>
      </c>
      <c r="D1353" s="0" t="n">
        <f aca="false">A1353/SUM($A1353:$C1353)</f>
        <v>0.411411707344842</v>
      </c>
      <c r="E1353" s="0" t="n">
        <f aca="false">B1353/SUM($A1353:$C1353)</f>
        <v>0.576604932959622</v>
      </c>
      <c r="F1353" s="0" t="n">
        <f aca="false">C1353/SUM($A1353:$C1353)</f>
        <v>0.0119833596955366</v>
      </c>
      <c r="G1353" s="0" t="n">
        <f aca="false">SUMPRODUCT(D1353:F1353,Stats!$B$6:$D$6)</f>
        <v>0.3893303694791</v>
      </c>
      <c r="H1353" s="0" t="n">
        <f aca="false">SQRT(SUMPRODUCT(MMULT(D1353:F1353,Stats!$B$12:$D$14),D1353:F1353))</f>
        <v>0.231610707988487</v>
      </c>
      <c r="I1353" s="0" t="n">
        <f aca="false">(G1353-Stats!$B$2)/H1353</f>
        <v>1.49963001493163</v>
      </c>
    </row>
    <row r="1354" customFormat="false" ht="15" hidden="false" customHeight="false" outlineLevel="0" collapsed="false">
      <c r="A1354" s="0" t="n">
        <v>0.818380424779535</v>
      </c>
      <c r="B1354" s="0" t="n">
        <v>0.0401388590853665</v>
      </c>
      <c r="C1354" s="0" t="n">
        <v>0.889913376362863</v>
      </c>
      <c r="D1354" s="0" t="n">
        <f aca="false">A1354/SUM($A1354:$C1354)</f>
        <v>0.468065166817993</v>
      </c>
      <c r="E1354" s="0" t="n">
        <f aca="false">B1354/SUM($A1354:$C1354)</f>
        <v>0.0229570517632276</v>
      </c>
      <c r="F1354" s="0" t="n">
        <f aca="false">C1354/SUM($A1354:$C1354)</f>
        <v>0.50897778141878</v>
      </c>
      <c r="G1354" s="0" t="n">
        <f aca="false">SUMPRODUCT(D1354:F1354,Stats!$B$6:$D$6)</f>
        <v>0.343769756942577</v>
      </c>
      <c r="H1354" s="0" t="n">
        <f aca="false">SQRT(SUMPRODUCT(MMULT(D1354:F1354,Stats!$B$12:$D$14),D1354:F1354))</f>
        <v>0.224114832144564</v>
      </c>
      <c r="I1354" s="0" t="n">
        <f aca="false">(G1354-Stats!$B$2)/H1354</f>
        <v>1.34649614242364</v>
      </c>
    </row>
    <row r="1355" customFormat="false" ht="15" hidden="false" customHeight="false" outlineLevel="0" collapsed="false">
      <c r="A1355" s="0" t="n">
        <v>0.991962747238643</v>
      </c>
      <c r="B1355" s="0" t="n">
        <v>0.294067462176778</v>
      </c>
      <c r="C1355" s="0" t="n">
        <v>0.210318556285794</v>
      </c>
      <c r="D1355" s="0" t="n">
        <f aca="false">A1355/SUM($A1355:$C1355)</f>
        <v>0.662922154230396</v>
      </c>
      <c r="E1355" s="0" t="n">
        <f aca="false">B1355/SUM($A1355:$C1355)</f>
        <v>0.196523343298895</v>
      </c>
      <c r="F1355" s="0" t="n">
        <f aca="false">C1355/SUM($A1355:$C1355)</f>
        <v>0.140554502470709</v>
      </c>
      <c r="G1355" s="0" t="n">
        <f aca="false">SUMPRODUCT(D1355:F1355,Stats!$B$6:$D$6)</f>
        <v>0.363915666929033</v>
      </c>
      <c r="H1355" s="0" t="n">
        <f aca="false">SQRT(SUMPRODUCT(MMULT(D1355:F1355,Stats!$B$12:$D$14),D1355:F1355))</f>
        <v>0.223327994910545</v>
      </c>
      <c r="I1355" s="0" t="n">
        <f aca="false">(G1355-Stats!$B$2)/H1355</f>
        <v>1.44144788949535</v>
      </c>
    </row>
    <row r="1356" customFormat="false" ht="15" hidden="false" customHeight="false" outlineLevel="0" collapsed="false">
      <c r="A1356" s="0" t="n">
        <v>0.765363363858041</v>
      </c>
      <c r="B1356" s="0" t="n">
        <v>0.253026340920253</v>
      </c>
      <c r="C1356" s="0" t="n">
        <v>0.865562383172204</v>
      </c>
      <c r="D1356" s="0" t="n">
        <f aca="false">A1356/SUM($A1356:$C1356)</f>
        <v>0.406254155163075</v>
      </c>
      <c r="E1356" s="0" t="n">
        <f aca="false">B1356/SUM($A1356:$C1356)</f>
        <v>0.134306144269048</v>
      </c>
      <c r="F1356" s="0" t="n">
        <f aca="false">C1356/SUM($A1356:$C1356)</f>
        <v>0.459439700567877</v>
      </c>
      <c r="G1356" s="0" t="n">
        <f aca="false">SUMPRODUCT(D1356:F1356,Stats!$B$6:$D$6)</f>
        <v>0.351542633135167</v>
      </c>
      <c r="H1356" s="0" t="n">
        <f aca="false">SQRT(SUMPRODUCT(MMULT(D1356:F1356,Stats!$B$12:$D$14),D1356:F1356))</f>
        <v>0.224514027244627</v>
      </c>
      <c r="I1356" s="0" t="n">
        <f aca="false">(G1356-Stats!$B$2)/H1356</f>
        <v>1.37872291069767</v>
      </c>
    </row>
    <row r="1357" customFormat="false" ht="15" hidden="false" customHeight="false" outlineLevel="0" collapsed="false">
      <c r="A1357" s="0" t="n">
        <v>0.102842592157477</v>
      </c>
      <c r="B1357" s="0" t="n">
        <v>0.125955196379358</v>
      </c>
      <c r="C1357" s="0" t="n">
        <v>0.979151555100616</v>
      </c>
      <c r="D1357" s="0" t="n">
        <f aca="false">A1357/SUM($A1357:$C1357)</f>
        <v>0.085138166347101</v>
      </c>
      <c r="E1357" s="0" t="n">
        <f aca="false">B1357/SUM($A1357:$C1357)</f>
        <v>0.104271919218131</v>
      </c>
      <c r="F1357" s="0" t="n">
        <f aca="false">C1357/SUM($A1357:$C1357)</f>
        <v>0.810589914434768</v>
      </c>
      <c r="G1357" s="0" t="n">
        <f aca="false">SUMPRODUCT(D1357:F1357,Stats!$B$6:$D$6)</f>
        <v>0.340131670610368</v>
      </c>
      <c r="H1357" s="0" t="n">
        <f aca="false">SQRT(SUMPRODUCT(MMULT(D1357:F1357,Stats!$B$12:$D$14),D1357:F1357))</f>
        <v>0.245951237698075</v>
      </c>
      <c r="I1357" s="0" t="n">
        <f aca="false">(G1357-Stats!$B$2)/H1357</f>
        <v>1.21215763498758</v>
      </c>
    </row>
    <row r="1358" customFormat="false" ht="15" hidden="false" customHeight="false" outlineLevel="0" collapsed="false">
      <c r="A1358" s="0" t="n">
        <v>0.673838898270005</v>
      </c>
      <c r="B1358" s="0" t="n">
        <v>0.846887224428953</v>
      </c>
      <c r="C1358" s="0" t="n">
        <v>0.324329377351518</v>
      </c>
      <c r="D1358" s="0" t="n">
        <f aca="false">A1358/SUM($A1358:$C1358)</f>
        <v>0.36521334900309</v>
      </c>
      <c r="E1358" s="0" t="n">
        <f aca="false">B1358/SUM($A1358:$C1358)</f>
        <v>0.459003658375471</v>
      </c>
      <c r="F1358" s="0" t="n">
        <f aca="false">C1358/SUM($A1358:$C1358)</f>
        <v>0.175782992621439</v>
      </c>
      <c r="G1358" s="0" t="n">
        <f aca="false">SUMPRODUCT(D1358:F1358,Stats!$B$6:$D$6)</f>
        <v>0.378047032470599</v>
      </c>
      <c r="H1358" s="0" t="n">
        <f aca="false">SQRT(SUMPRODUCT(MMULT(D1358:F1358,Stats!$B$12:$D$14),D1358:F1358))</f>
        <v>0.227634722053405</v>
      </c>
      <c r="I1358" s="0" t="n">
        <f aca="false">(G1358-Stats!$B$2)/H1358</f>
        <v>1.4762555968582</v>
      </c>
    </row>
    <row r="1359" customFormat="false" ht="15" hidden="false" customHeight="false" outlineLevel="0" collapsed="false">
      <c r="A1359" s="0" t="n">
        <v>0.676483749520604</v>
      </c>
      <c r="B1359" s="0" t="n">
        <v>0.594241827308597</v>
      </c>
      <c r="C1359" s="0" t="n">
        <v>0.603150120122947</v>
      </c>
      <c r="D1359" s="0" t="n">
        <f aca="false">A1359/SUM($A1359:$C1359)</f>
        <v>0.361007803570377</v>
      </c>
      <c r="E1359" s="0" t="n">
        <f aca="false">B1359/SUM($A1359:$C1359)</f>
        <v>0.317119128165827</v>
      </c>
      <c r="F1359" s="0" t="n">
        <f aca="false">C1359/SUM($A1359:$C1359)</f>
        <v>0.321873068263796</v>
      </c>
      <c r="G1359" s="0" t="n">
        <f aca="false">SUMPRODUCT(D1359:F1359,Stats!$B$6:$D$6)</f>
        <v>0.365854802593249</v>
      </c>
      <c r="H1359" s="0" t="n">
        <f aca="false">SQRT(SUMPRODUCT(MMULT(D1359:F1359,Stats!$B$12:$D$14),D1359:F1359))</f>
        <v>0.225463164894341</v>
      </c>
      <c r="I1359" s="0" t="n">
        <f aca="false">(G1359-Stats!$B$2)/H1359</f>
        <v>1.43639783795733</v>
      </c>
    </row>
    <row r="1360" customFormat="false" ht="15" hidden="false" customHeight="false" outlineLevel="0" collapsed="false">
      <c r="A1360" s="0" t="n">
        <v>0.682532459537722</v>
      </c>
      <c r="B1360" s="0" t="n">
        <v>0.575359173129099</v>
      </c>
      <c r="C1360" s="0" t="n">
        <v>0.429062369302666</v>
      </c>
      <c r="D1360" s="0" t="n">
        <f aca="false">A1360/SUM($A1360:$C1360)</f>
        <v>0.404594588080575</v>
      </c>
      <c r="E1360" s="0" t="n">
        <f aca="false">B1360/SUM($A1360:$C1360)</f>
        <v>0.341063936810001</v>
      </c>
      <c r="F1360" s="0" t="n">
        <f aca="false">C1360/SUM($A1360:$C1360)</f>
        <v>0.254341475109424</v>
      </c>
      <c r="G1360" s="0" t="n">
        <f aca="false">SUMPRODUCT(D1360:F1360,Stats!$B$6:$D$6)</f>
        <v>0.369094713598691</v>
      </c>
      <c r="H1360" s="0" t="n">
        <f aca="false">SQRT(SUMPRODUCT(MMULT(D1360:F1360,Stats!$B$12:$D$14),D1360:F1360))</f>
        <v>0.224865106395776</v>
      </c>
      <c r="I1360" s="0" t="n">
        <f aca="false">(G1360-Stats!$B$2)/H1360</f>
        <v>1.45462637063389</v>
      </c>
    </row>
    <row r="1361" customFormat="false" ht="15" hidden="false" customHeight="false" outlineLevel="0" collapsed="false">
      <c r="A1361" s="0" t="n">
        <v>0.275922694380547</v>
      </c>
      <c r="B1361" s="0" t="n">
        <v>0.768581330913202</v>
      </c>
      <c r="C1361" s="0" t="n">
        <v>0.226272430003186</v>
      </c>
      <c r="D1361" s="0" t="n">
        <f aca="false">A1361/SUM($A1361:$C1361)</f>
        <v>0.217129215158518</v>
      </c>
      <c r="E1361" s="0" t="n">
        <f aca="false">B1361/SUM($A1361:$C1361)</f>
        <v>0.604812378848813</v>
      </c>
      <c r="F1361" s="0" t="n">
        <f aca="false">C1361/SUM($A1361:$C1361)</f>
        <v>0.178058405992669</v>
      </c>
      <c r="G1361" s="0" t="n">
        <f aca="false">SUMPRODUCT(D1361:F1361,Stats!$B$6:$D$6)</f>
        <v>0.386373933881559</v>
      </c>
      <c r="H1361" s="0" t="n">
        <f aca="false">SQRT(SUMPRODUCT(MMULT(D1361:F1361,Stats!$B$12:$D$14),D1361:F1361))</f>
        <v>0.233955013382633</v>
      </c>
      <c r="I1361" s="0" t="n">
        <f aca="false">(G1361-Stats!$B$2)/H1361</f>
        <v>1.4719664644174</v>
      </c>
    </row>
    <row r="1362" customFormat="false" ht="15" hidden="false" customHeight="false" outlineLevel="0" collapsed="false">
      <c r="A1362" s="0" t="n">
        <v>0.692354306154414</v>
      </c>
      <c r="B1362" s="0" t="n">
        <v>0.233332822649327</v>
      </c>
      <c r="C1362" s="0" t="n">
        <v>0.625330169954454</v>
      </c>
      <c r="D1362" s="0" t="n">
        <f aca="false">A1362/SUM($A1362:$C1362)</f>
        <v>0.446387223861875</v>
      </c>
      <c r="E1362" s="0" t="n">
        <f aca="false">B1362/SUM($A1362:$C1362)</f>
        <v>0.150438568825855</v>
      </c>
      <c r="F1362" s="0" t="n">
        <f aca="false">C1362/SUM($A1362:$C1362)</f>
        <v>0.40317420731227</v>
      </c>
      <c r="G1362" s="0" t="n">
        <f aca="false">SUMPRODUCT(D1362:F1362,Stats!$B$6:$D$6)</f>
        <v>0.354022371300054</v>
      </c>
      <c r="H1362" s="0" t="n">
        <f aca="false">SQRT(SUMPRODUCT(MMULT(D1362:F1362,Stats!$B$12:$D$14),D1362:F1362))</f>
        <v>0.223195185664755</v>
      </c>
      <c r="I1362" s="0" t="n">
        <f aca="false">(G1362-Stats!$B$2)/H1362</f>
        <v>1.39797984607392</v>
      </c>
    </row>
    <row r="1363" customFormat="false" ht="15" hidden="false" customHeight="false" outlineLevel="0" collapsed="false">
      <c r="A1363" s="0" t="n">
        <v>0.747078267129029</v>
      </c>
      <c r="B1363" s="0" t="n">
        <v>0.218713888906539</v>
      </c>
      <c r="C1363" s="0" t="n">
        <v>0.0599433008613083</v>
      </c>
      <c r="D1363" s="0" t="n">
        <f aca="false">A1363/SUM($A1363:$C1363)</f>
        <v>0.728334252370626</v>
      </c>
      <c r="E1363" s="0" t="n">
        <f aca="false">B1363/SUM($A1363:$C1363)</f>
        <v>0.213226409827157</v>
      </c>
      <c r="F1363" s="0" t="n">
        <f aca="false">C1363/SUM($A1363:$C1363)</f>
        <v>0.0584393378022173</v>
      </c>
      <c r="G1363" s="0" t="n">
        <f aca="false">SUMPRODUCT(D1363:F1363,Stats!$B$6:$D$6)</f>
        <v>0.367141033841294</v>
      </c>
      <c r="H1363" s="0" t="n">
        <f aca="false">SQRT(SUMPRODUCT(MMULT(D1363:F1363,Stats!$B$12:$D$14),D1363:F1363))</f>
        <v>0.22570376171194</v>
      </c>
      <c r="I1363" s="0" t="n">
        <f aca="false">(G1363-Stats!$B$2)/H1363</f>
        <v>1.44056541802907</v>
      </c>
    </row>
    <row r="1364" customFormat="false" ht="15" hidden="false" customHeight="false" outlineLevel="0" collapsed="false">
      <c r="A1364" s="0" t="n">
        <v>0.130973742994174</v>
      </c>
      <c r="B1364" s="0" t="n">
        <v>0.605996967271026</v>
      </c>
      <c r="C1364" s="0" t="n">
        <v>0.849446406225736</v>
      </c>
      <c r="D1364" s="0" t="n">
        <f aca="false">A1364/SUM($A1364:$C1364)</f>
        <v>0.0825594615896988</v>
      </c>
      <c r="E1364" s="0" t="n">
        <f aca="false">B1364/SUM($A1364:$C1364)</f>
        <v>0.381990941078256</v>
      </c>
      <c r="F1364" s="0" t="n">
        <f aca="false">C1364/SUM($A1364:$C1364)</f>
        <v>0.535449597332045</v>
      </c>
      <c r="G1364" s="0" t="n">
        <f aca="false">SUMPRODUCT(D1364:F1364,Stats!$B$6:$D$6)</f>
        <v>0.363698152103081</v>
      </c>
      <c r="H1364" s="0" t="n">
        <f aca="false">SQRT(SUMPRODUCT(MMULT(D1364:F1364,Stats!$B$12:$D$14),D1364:F1364))</f>
        <v>0.238553772761168</v>
      </c>
      <c r="I1364" s="0" t="n">
        <f aca="false">(G1364-Stats!$B$2)/H1364</f>
        <v>1.34853516831677</v>
      </c>
    </row>
    <row r="1365" customFormat="false" ht="15" hidden="false" customHeight="false" outlineLevel="0" collapsed="false">
      <c r="A1365" s="0" t="n">
        <v>0.0449968212354244</v>
      </c>
      <c r="B1365" s="0" t="n">
        <v>0.734151259041646</v>
      </c>
      <c r="C1365" s="0" t="n">
        <v>0.341318645950052</v>
      </c>
      <c r="D1365" s="0" t="n">
        <f aca="false">A1365/SUM($A1365:$C1365)</f>
        <v>0.0401589981943858</v>
      </c>
      <c r="E1365" s="0" t="n">
        <f aca="false">B1365/SUM($A1365:$C1365)</f>
        <v>0.655219152748701</v>
      </c>
      <c r="F1365" s="0" t="n">
        <f aca="false">C1365/SUM($A1365:$C1365)</f>
        <v>0.304621849056913</v>
      </c>
      <c r="G1365" s="0" t="n">
        <f aca="false">SUMPRODUCT(D1365:F1365,Stats!$B$6:$D$6)</f>
        <v>0.385784336147911</v>
      </c>
      <c r="H1365" s="0" t="n">
        <f aca="false">SQRT(SUMPRODUCT(MMULT(D1365:F1365,Stats!$B$12:$D$14),D1365:F1365))</f>
        <v>0.241700463466398</v>
      </c>
      <c r="I1365" s="0" t="n">
        <f aca="false">(G1365-Stats!$B$2)/H1365</f>
        <v>1.42235695876398</v>
      </c>
    </row>
    <row r="1366" customFormat="false" ht="15" hidden="false" customHeight="false" outlineLevel="0" collapsed="false">
      <c r="A1366" s="0" t="n">
        <v>0.478528369919523</v>
      </c>
      <c r="B1366" s="0" t="n">
        <v>0.928859549845566</v>
      </c>
      <c r="C1366" s="0" t="n">
        <v>0.331971504735846</v>
      </c>
      <c r="D1366" s="0" t="n">
        <f aca="false">A1366/SUM($A1366:$C1366)</f>
        <v>0.275117588221781</v>
      </c>
      <c r="E1366" s="0" t="n">
        <f aca="false">B1366/SUM($A1366:$C1366)</f>
        <v>0.534023926717779</v>
      </c>
      <c r="F1366" s="0" t="n">
        <f aca="false">C1366/SUM($A1366:$C1366)</f>
        <v>0.190858485060439</v>
      </c>
      <c r="G1366" s="0" t="n">
        <f aca="false">SUMPRODUCT(D1366:F1366,Stats!$B$6:$D$6)</f>
        <v>0.381947900708516</v>
      </c>
      <c r="H1366" s="0" t="n">
        <f aca="false">SQRT(SUMPRODUCT(MMULT(D1366:F1366,Stats!$B$12:$D$14),D1366:F1366))</f>
        <v>0.230841245727854</v>
      </c>
      <c r="I1366" s="0" t="n">
        <f aca="false">(G1366-Stats!$B$2)/H1366</f>
        <v>1.4726480081003</v>
      </c>
    </row>
    <row r="1367" customFormat="false" ht="15" hidden="false" customHeight="false" outlineLevel="0" collapsed="false">
      <c r="A1367" s="0" t="n">
        <v>0.465336933939486</v>
      </c>
      <c r="B1367" s="0" t="n">
        <v>0.0136824147606811</v>
      </c>
      <c r="C1367" s="0" t="n">
        <v>0.0815987200048384</v>
      </c>
      <c r="D1367" s="0" t="n">
        <f aca="false">A1367/SUM($A1367:$C1367)</f>
        <v>0.830042697365047</v>
      </c>
      <c r="E1367" s="0" t="n">
        <f aca="false">B1367/SUM($A1367:$C1367)</f>
        <v>0.0244059468013342</v>
      </c>
      <c r="F1367" s="0" t="n">
        <f aca="false">C1367/SUM($A1367:$C1367)</f>
        <v>0.145551355833619</v>
      </c>
      <c r="G1367" s="0" t="n">
        <f aca="false">SUMPRODUCT(D1367:F1367,Stats!$B$6:$D$6)</f>
        <v>0.35387446839216</v>
      </c>
      <c r="H1367" s="0" t="n">
        <f aca="false">SQRT(SUMPRODUCT(MMULT(D1367:F1367,Stats!$B$12:$D$14),D1367:F1367))</f>
        <v>0.225064698891106</v>
      </c>
      <c r="I1367" s="0" t="n">
        <f aca="false">(G1367-Stats!$B$2)/H1367</f>
        <v>1.38571028654767</v>
      </c>
    </row>
    <row r="1368" customFormat="false" ht="15" hidden="false" customHeight="false" outlineLevel="0" collapsed="false">
      <c r="A1368" s="0" t="n">
        <v>0.258591591134784</v>
      </c>
      <c r="B1368" s="0" t="n">
        <v>0.0278522408210744</v>
      </c>
      <c r="C1368" s="0" t="n">
        <v>0.631375326048251</v>
      </c>
      <c r="D1368" s="0" t="n">
        <f aca="false">A1368/SUM($A1368:$C1368)</f>
        <v>0.281745689093173</v>
      </c>
      <c r="E1368" s="0" t="n">
        <f aca="false">B1368/SUM($A1368:$C1368)</f>
        <v>0.0303461096646118</v>
      </c>
      <c r="F1368" s="0" t="n">
        <f aca="false">C1368/SUM($A1368:$C1368)</f>
        <v>0.687908201242215</v>
      </c>
      <c r="G1368" s="0" t="n">
        <f aca="false">SUMPRODUCT(D1368:F1368,Stats!$B$6:$D$6)</f>
        <v>0.339260976264378</v>
      </c>
      <c r="H1368" s="0" t="n">
        <f aca="false">SQRT(SUMPRODUCT(MMULT(D1368:F1368,Stats!$B$12:$D$14),D1368:F1368))</f>
        <v>0.233239259324929</v>
      </c>
      <c r="I1368" s="0" t="n">
        <f aca="false">(G1368-Stats!$B$2)/H1368</f>
        <v>1.27448945398279</v>
      </c>
    </row>
    <row r="1369" customFormat="false" ht="15" hidden="false" customHeight="false" outlineLevel="0" collapsed="false">
      <c r="A1369" s="0" t="n">
        <v>0.426398356801623</v>
      </c>
      <c r="B1369" s="0" t="n">
        <v>0.548145202728022</v>
      </c>
      <c r="C1369" s="0" t="n">
        <v>0.17464718589633</v>
      </c>
      <c r="D1369" s="0" t="n">
        <f aca="false">A1369/SUM($A1369:$C1369)</f>
        <v>0.371042282144004</v>
      </c>
      <c r="E1369" s="0" t="n">
        <f aca="false">B1369/SUM($A1369:$C1369)</f>
        <v>0.476983655593954</v>
      </c>
      <c r="F1369" s="0" t="n">
        <f aca="false">C1369/SUM($A1369:$C1369)</f>
        <v>0.151974062262042</v>
      </c>
      <c r="G1369" s="0" t="n">
        <f aca="false">SUMPRODUCT(D1369:F1369,Stats!$B$6:$D$6)</f>
        <v>0.37973810033676</v>
      </c>
      <c r="H1369" s="0" t="n">
        <f aca="false">SQRT(SUMPRODUCT(MMULT(D1369:F1369,Stats!$B$12:$D$14),D1369:F1369))</f>
        <v>0.228051539384038</v>
      </c>
      <c r="I1369" s="0" t="n">
        <f aca="false">(G1369-Stats!$B$2)/H1369</f>
        <v>1.48097268384586</v>
      </c>
    </row>
    <row r="1370" customFormat="false" ht="15" hidden="false" customHeight="false" outlineLevel="0" collapsed="false">
      <c r="A1370" s="0" t="n">
        <v>0.295932029436616</v>
      </c>
      <c r="B1370" s="0" t="n">
        <v>0.663824474852725</v>
      </c>
      <c r="C1370" s="0" t="n">
        <v>0.9653027236304</v>
      </c>
      <c r="D1370" s="0" t="n">
        <f aca="false">A1370/SUM($A1370:$C1370)</f>
        <v>0.153726194573456</v>
      </c>
      <c r="E1370" s="0" t="n">
        <f aca="false">B1370/SUM($A1370:$C1370)</f>
        <v>0.344833273296255</v>
      </c>
      <c r="F1370" s="0" t="n">
        <f aca="false">C1370/SUM($A1370:$C1370)</f>
        <v>0.50144053213029</v>
      </c>
      <c r="G1370" s="0" t="n">
        <f aca="false">SUMPRODUCT(D1370:F1370,Stats!$B$6:$D$6)</f>
        <v>0.362497934883497</v>
      </c>
      <c r="H1370" s="0" t="n">
        <f aca="false">SQRT(SUMPRODUCT(MMULT(D1370:F1370,Stats!$B$12:$D$14),D1370:F1370))</f>
        <v>0.234340208780143</v>
      </c>
      <c r="I1370" s="0" t="n">
        <f aca="false">(G1370-Stats!$B$2)/H1370</f>
        <v>1.36766087455434</v>
      </c>
    </row>
    <row r="1371" customFormat="false" ht="15" hidden="false" customHeight="false" outlineLevel="0" collapsed="false">
      <c r="A1371" s="0" t="n">
        <v>0.0504167736022092</v>
      </c>
      <c r="B1371" s="0" t="n">
        <v>0.890384320855266</v>
      </c>
      <c r="C1371" s="0" t="n">
        <v>0.576881201311209</v>
      </c>
      <c r="D1371" s="0" t="n">
        <f aca="false">A1371/SUM($A1371:$C1371)</f>
        <v>0.0332195834021203</v>
      </c>
      <c r="E1371" s="0" t="n">
        <f aca="false">B1371/SUM($A1371:$C1371)</f>
        <v>0.586673721725336</v>
      </c>
      <c r="F1371" s="0" t="n">
        <f aca="false">C1371/SUM($A1371:$C1371)</f>
        <v>0.380106694872544</v>
      </c>
      <c r="G1371" s="0" t="n">
        <f aca="false">SUMPRODUCT(D1371:F1371,Stats!$B$6:$D$6)</f>
        <v>0.379758855173074</v>
      </c>
      <c r="H1371" s="0" t="n">
        <f aca="false">SQRT(SUMPRODUCT(MMULT(D1371:F1371,Stats!$B$12:$D$14),D1371:F1371))</f>
        <v>0.241275692435107</v>
      </c>
      <c r="I1371" s="0" t="n">
        <f aca="false">(G1371-Stats!$B$2)/H1371</f>
        <v>1.39988762135214</v>
      </c>
    </row>
    <row r="1372" customFormat="false" ht="15" hidden="false" customHeight="false" outlineLevel="0" collapsed="false">
      <c r="A1372" s="0" t="n">
        <v>0.563919566755624</v>
      </c>
      <c r="B1372" s="0" t="n">
        <v>0.50027853520776</v>
      </c>
      <c r="C1372" s="0" t="n">
        <v>0.0693940859041834</v>
      </c>
      <c r="D1372" s="0" t="n">
        <f aca="false">A1372/SUM($A1372:$C1372)</f>
        <v>0.497462467359121</v>
      </c>
      <c r="E1372" s="0" t="n">
        <f aca="false">B1372/SUM($A1372:$C1372)</f>
        <v>0.441321438663801</v>
      </c>
      <c r="F1372" s="0" t="n">
        <f aca="false">C1372/SUM($A1372:$C1372)</f>
        <v>0.0612160939770788</v>
      </c>
      <c r="G1372" s="0" t="n">
        <f aca="false">SUMPRODUCT(D1372:F1372,Stats!$B$6:$D$6)</f>
        <v>0.380188758599411</v>
      </c>
      <c r="H1372" s="0" t="n">
        <f aca="false">SQRT(SUMPRODUCT(MMULT(D1372:F1372,Stats!$B$12:$D$14),D1372:F1372))</f>
        <v>0.227352707869283</v>
      </c>
      <c r="I1372" s="0" t="n">
        <f aca="false">(G1372-Stats!$B$2)/H1372</f>
        <v>1.48750706234761</v>
      </c>
    </row>
    <row r="1373" customFormat="false" ht="15" hidden="false" customHeight="false" outlineLevel="0" collapsed="false">
      <c r="A1373" s="0" t="n">
        <v>0.0898768517361607</v>
      </c>
      <c r="B1373" s="0" t="n">
        <v>0.600912005659086</v>
      </c>
      <c r="C1373" s="0" t="n">
        <v>0.340958571435558</v>
      </c>
      <c r="D1373" s="0" t="n">
        <f aca="false">A1373/SUM($A1373:$C1373)</f>
        <v>0.0871112921870915</v>
      </c>
      <c r="E1373" s="0" t="n">
        <f aca="false">B1373/SUM($A1373:$C1373)</f>
        <v>0.582421616829276</v>
      </c>
      <c r="F1373" s="0" t="n">
        <f aca="false">C1373/SUM($A1373:$C1373)</f>
        <v>0.330467090983632</v>
      </c>
      <c r="G1373" s="0" t="n">
        <f aca="false">SUMPRODUCT(D1373:F1373,Stats!$B$6:$D$6)</f>
        <v>0.380882987545588</v>
      </c>
      <c r="H1373" s="0" t="n">
        <f aca="false">SQRT(SUMPRODUCT(MMULT(D1373:F1373,Stats!$B$12:$D$14),D1373:F1373))</f>
        <v>0.238317141774183</v>
      </c>
      <c r="I1373" s="0" t="n">
        <f aca="false">(G1373-Stats!$B$2)/H1373</f>
        <v>1.42198326575558</v>
      </c>
    </row>
    <row r="1374" customFormat="false" ht="15" hidden="false" customHeight="false" outlineLevel="0" collapsed="false">
      <c r="A1374" s="0" t="n">
        <v>0.917268066577681</v>
      </c>
      <c r="B1374" s="0" t="n">
        <v>0.406590537359472</v>
      </c>
      <c r="C1374" s="0" t="n">
        <v>0.143281458702641</v>
      </c>
      <c r="D1374" s="0" t="n">
        <f aca="false">A1374/SUM($A1374:$C1374)</f>
        <v>0.625208246939464</v>
      </c>
      <c r="E1374" s="0" t="n">
        <f aca="false">B1374/SUM($A1374:$C1374)</f>
        <v>0.277131371239296</v>
      </c>
      <c r="F1374" s="0" t="n">
        <f aca="false">C1374/SUM($A1374:$C1374)</f>
        <v>0.0976603818212406</v>
      </c>
      <c r="G1374" s="0" t="n">
        <f aca="false">SUMPRODUCT(D1374:F1374,Stats!$B$6:$D$6)</f>
        <v>0.369736537406758</v>
      </c>
      <c r="H1374" s="0" t="n">
        <f aca="false">SQRT(SUMPRODUCT(MMULT(D1374:F1374,Stats!$B$12:$D$14),D1374:F1374))</f>
        <v>0.224486569248367</v>
      </c>
      <c r="I1374" s="0" t="n">
        <f aca="false">(G1374-Stats!$B$2)/H1374</f>
        <v>1.45993828719507</v>
      </c>
    </row>
    <row r="1375" customFormat="false" ht="15" hidden="false" customHeight="false" outlineLevel="0" collapsed="false">
      <c r="A1375" s="0" t="n">
        <v>0.714718833502036</v>
      </c>
      <c r="B1375" s="0" t="n">
        <v>0.29335342144101</v>
      </c>
      <c r="C1375" s="0" t="n">
        <v>0.525470307355893</v>
      </c>
      <c r="D1375" s="0" t="n">
        <f aca="false">A1375/SUM($A1375:$C1375)</f>
        <v>0.466057383129033</v>
      </c>
      <c r="E1375" s="0" t="n">
        <f aca="false">B1375/SUM($A1375:$C1375)</f>
        <v>0.19129134635901</v>
      </c>
      <c r="F1375" s="0" t="n">
        <f aca="false">C1375/SUM($A1375:$C1375)</f>
        <v>0.342651270511957</v>
      </c>
      <c r="G1375" s="0" t="n">
        <f aca="false">SUMPRODUCT(D1375:F1375,Stats!$B$6:$D$6)</f>
        <v>0.35804188394852</v>
      </c>
      <c r="H1375" s="0" t="n">
        <f aca="false">SQRT(SUMPRODUCT(MMULT(D1375:F1375,Stats!$B$12:$D$14),D1375:F1375))</f>
        <v>0.222711403010556</v>
      </c>
      <c r="I1375" s="0" t="n">
        <f aca="false">(G1375-Stats!$B$2)/H1375</f>
        <v>1.41906467148223</v>
      </c>
    </row>
    <row r="1376" customFormat="false" ht="15" hidden="false" customHeight="false" outlineLevel="0" collapsed="false">
      <c r="A1376" s="0" t="n">
        <v>0.69783278550517</v>
      </c>
      <c r="B1376" s="0" t="n">
        <v>0.90026411120207</v>
      </c>
      <c r="C1376" s="0" t="n">
        <v>0.792191194801676</v>
      </c>
      <c r="D1376" s="0" t="n">
        <f aca="false">A1376/SUM($A1376:$C1376)</f>
        <v>0.291945053813429</v>
      </c>
      <c r="E1376" s="0" t="n">
        <f aca="false">B1376/SUM($A1376:$C1376)</f>
        <v>0.376634144812963</v>
      </c>
      <c r="F1376" s="0" t="n">
        <f aca="false">C1376/SUM($A1376:$C1376)</f>
        <v>0.331420801373608</v>
      </c>
      <c r="G1376" s="0" t="n">
        <f aca="false">SUMPRODUCT(D1376:F1376,Stats!$B$6:$D$6)</f>
        <v>0.369015944554095</v>
      </c>
      <c r="H1376" s="0" t="n">
        <f aca="false">SQRT(SUMPRODUCT(MMULT(D1376:F1376,Stats!$B$12:$D$14),D1376:F1376))</f>
        <v>0.227867669020311</v>
      </c>
      <c r="I1376" s="0" t="n">
        <f aca="false">(G1376-Stats!$B$2)/H1376</f>
        <v>1.43511339699949</v>
      </c>
    </row>
    <row r="1377" customFormat="false" ht="15" hidden="false" customHeight="false" outlineLevel="0" collapsed="false">
      <c r="A1377" s="0" t="n">
        <v>0.676361067872724</v>
      </c>
      <c r="B1377" s="0" t="n">
        <v>0.679633182395144</v>
      </c>
      <c r="C1377" s="0" t="n">
        <v>0.945924644032087</v>
      </c>
      <c r="D1377" s="0" t="n">
        <f aca="false">A1377/SUM($A1377:$C1377)</f>
        <v>0.293824890854122</v>
      </c>
      <c r="E1377" s="0" t="n">
        <f aca="false">B1377/SUM($A1377:$C1377)</f>
        <v>0.295246363404923</v>
      </c>
      <c r="F1377" s="0" t="n">
        <f aca="false">C1377/SUM($A1377:$C1377)</f>
        <v>0.410928745740955</v>
      </c>
      <c r="G1377" s="0" t="n">
        <f aca="false">SUMPRODUCT(D1377:F1377,Stats!$B$6:$D$6)</f>
        <v>0.362140595964454</v>
      </c>
      <c r="H1377" s="0" t="n">
        <f aca="false">SQRT(SUMPRODUCT(MMULT(D1377:F1377,Stats!$B$12:$D$14),D1377:F1377))</f>
        <v>0.227592961002108</v>
      </c>
      <c r="I1377" s="0" t="n">
        <f aca="false">(G1377-Stats!$B$2)/H1377</f>
        <v>1.40663663126861</v>
      </c>
    </row>
    <row r="1378" customFormat="false" ht="15" hidden="false" customHeight="false" outlineLevel="0" collapsed="false">
      <c r="A1378" s="0" t="n">
        <v>0.295824097496536</v>
      </c>
      <c r="B1378" s="0" t="n">
        <v>0.00111209419618741</v>
      </c>
      <c r="C1378" s="0" t="n">
        <v>0.271954559398199</v>
      </c>
      <c r="D1378" s="0" t="n">
        <f aca="false">A1378/SUM($A1378:$C1378)</f>
        <v>0.520001594206365</v>
      </c>
      <c r="E1378" s="0" t="n">
        <f aca="false">B1378/SUM($A1378:$C1378)</f>
        <v>0.00195484668023662</v>
      </c>
      <c r="F1378" s="0" t="n">
        <f aca="false">C1378/SUM($A1378:$C1378)</f>
        <v>0.478043559113398</v>
      </c>
      <c r="G1378" s="0" t="n">
        <f aca="false">SUMPRODUCT(D1378:F1378,Stats!$B$6:$D$6)</f>
        <v>0.343414316526867</v>
      </c>
      <c r="H1378" s="0" t="n">
        <f aca="false">SQRT(SUMPRODUCT(MMULT(D1378:F1378,Stats!$B$12:$D$14),D1378:F1378))</f>
        <v>0.222977027258931</v>
      </c>
      <c r="I1378" s="0" t="n">
        <f aca="false">(G1378-Stats!$B$2)/H1378</f>
        <v>1.35177296169103</v>
      </c>
    </row>
    <row r="1379" customFormat="false" ht="15" hidden="false" customHeight="false" outlineLevel="0" collapsed="false">
      <c r="A1379" s="0" t="n">
        <v>0.217891379626744</v>
      </c>
      <c r="B1379" s="0" t="n">
        <v>0.661834585113998</v>
      </c>
      <c r="C1379" s="0" t="n">
        <v>0.633711599765529</v>
      </c>
      <c r="D1379" s="0" t="n">
        <f aca="false">A1379/SUM($A1379:$C1379)</f>
        <v>0.143971171812315</v>
      </c>
      <c r="E1379" s="0" t="n">
        <f aca="false">B1379/SUM($A1379:$C1379)</f>
        <v>0.437305509414859</v>
      </c>
      <c r="F1379" s="0" t="n">
        <f aca="false">C1379/SUM($A1379:$C1379)</f>
        <v>0.418723318772826</v>
      </c>
      <c r="G1379" s="0" t="n">
        <f aca="false">SUMPRODUCT(D1379:F1379,Stats!$B$6:$D$6)</f>
        <v>0.370099563008908</v>
      </c>
      <c r="H1379" s="0" t="n">
        <f aca="false">SQRT(SUMPRODUCT(MMULT(D1379:F1379,Stats!$B$12:$D$14),D1379:F1379))</f>
        <v>0.23447064560437</v>
      </c>
      <c r="I1379" s="0" t="n">
        <f aca="false">(G1379-Stats!$B$2)/H1379</f>
        <v>1.39932042308836</v>
      </c>
    </row>
    <row r="1380" customFormat="false" ht="15" hidden="false" customHeight="false" outlineLevel="0" collapsed="false">
      <c r="A1380" s="0" t="n">
        <v>0.593461382704724</v>
      </c>
      <c r="B1380" s="0" t="n">
        <v>0.0162434432094537</v>
      </c>
      <c r="C1380" s="0" t="n">
        <v>0.728778054450648</v>
      </c>
      <c r="D1380" s="0" t="n">
        <f aca="false">A1380/SUM($A1380:$C1380)</f>
        <v>0.443383618431464</v>
      </c>
      <c r="E1380" s="0" t="n">
        <f aca="false">B1380/SUM($A1380:$C1380)</f>
        <v>0.0121357123409948</v>
      </c>
      <c r="F1380" s="0" t="n">
        <f aca="false">C1380/SUM($A1380:$C1380)</f>
        <v>0.544480669227542</v>
      </c>
      <c r="G1380" s="0" t="n">
        <f aca="false">SUMPRODUCT(D1380:F1380,Stats!$B$6:$D$6)</f>
        <v>0.342168132601809</v>
      </c>
      <c r="H1380" s="0" t="n">
        <f aca="false">SQRT(SUMPRODUCT(MMULT(D1380:F1380,Stats!$B$12:$D$14),D1380:F1380))</f>
        <v>0.225227468396121</v>
      </c>
      <c r="I1380" s="0" t="n">
        <f aca="false">(G1380-Stats!$B$2)/H1380</f>
        <v>1.33273323515712</v>
      </c>
    </row>
    <row r="1381" customFormat="false" ht="15" hidden="false" customHeight="false" outlineLevel="0" collapsed="false">
      <c r="A1381" s="0" t="n">
        <v>0.323530412485492</v>
      </c>
      <c r="B1381" s="0" t="n">
        <v>0.665055989006631</v>
      </c>
      <c r="C1381" s="0" t="n">
        <v>0.556578428502153</v>
      </c>
      <c r="D1381" s="0" t="n">
        <f aca="false">A1381/SUM($A1381:$C1381)</f>
        <v>0.209382459531317</v>
      </c>
      <c r="E1381" s="0" t="n">
        <f aca="false">B1381/SUM($A1381:$C1381)</f>
        <v>0.430411031947378</v>
      </c>
      <c r="F1381" s="0" t="n">
        <f aca="false">C1381/SUM($A1381:$C1381)</f>
        <v>0.360206508521305</v>
      </c>
      <c r="G1381" s="0" t="n">
        <f aca="false">SUMPRODUCT(D1381:F1381,Stats!$B$6:$D$6)</f>
        <v>0.371316442234713</v>
      </c>
      <c r="H1381" s="0" t="n">
        <f aca="false">SQRT(SUMPRODUCT(MMULT(D1381:F1381,Stats!$B$12:$D$14),D1381:F1381))</f>
        <v>0.231310437658092</v>
      </c>
      <c r="I1381" s="0" t="n">
        <f aca="false">(G1381-Stats!$B$2)/H1381</f>
        <v>1.42369901492075</v>
      </c>
    </row>
    <row r="1382" customFormat="false" ht="15" hidden="false" customHeight="false" outlineLevel="0" collapsed="false">
      <c r="A1382" s="0" t="n">
        <v>0.342730925427907</v>
      </c>
      <c r="B1382" s="0" t="n">
        <v>0.134576267104108</v>
      </c>
      <c r="C1382" s="0" t="n">
        <v>0.094418897660481</v>
      </c>
      <c r="D1382" s="0" t="n">
        <f aca="false">A1382/SUM($A1382:$C1382)</f>
        <v>0.599467002306143</v>
      </c>
      <c r="E1382" s="0" t="n">
        <f aca="false">B1382/SUM($A1382:$C1382)</f>
        <v>0.235385911912463</v>
      </c>
      <c r="F1382" s="0" t="n">
        <f aca="false">C1382/SUM($A1382:$C1382)</f>
        <v>0.165147085781394</v>
      </c>
      <c r="G1382" s="0" t="n">
        <f aca="false">SUMPRODUCT(D1382:F1382,Stats!$B$6:$D$6)</f>
        <v>0.365473637802233</v>
      </c>
      <c r="H1382" s="0" t="n">
        <f aca="false">SQRT(SUMPRODUCT(MMULT(D1382:F1382,Stats!$B$12:$D$14),D1382:F1382))</f>
        <v>0.222997752206098</v>
      </c>
      <c r="I1382" s="0" t="n">
        <f aca="false">(G1382-Stats!$B$2)/H1382</f>
        <v>1.4505690510426</v>
      </c>
    </row>
    <row r="1383" customFormat="false" ht="15" hidden="false" customHeight="false" outlineLevel="0" collapsed="false">
      <c r="A1383" s="0" t="n">
        <v>0.831518333112224</v>
      </c>
      <c r="B1383" s="0" t="n">
        <v>0.918397542081558</v>
      </c>
      <c r="C1383" s="0" t="n">
        <v>0.6497880467643</v>
      </c>
      <c r="D1383" s="0" t="n">
        <f aca="false">A1383/SUM($A1383:$C1383)</f>
        <v>0.34650871947308</v>
      </c>
      <c r="E1383" s="0" t="n">
        <f aca="false">B1383/SUM($A1383:$C1383)</f>
        <v>0.382712856231103</v>
      </c>
      <c r="F1383" s="0" t="n">
        <f aca="false">C1383/SUM($A1383:$C1383)</f>
        <v>0.270778424295816</v>
      </c>
      <c r="G1383" s="0" t="n">
        <f aca="false">SUMPRODUCT(D1383:F1383,Stats!$B$6:$D$6)</f>
        <v>0.371037895965208</v>
      </c>
      <c r="H1383" s="0" t="n">
        <f aca="false">SQRT(SUMPRODUCT(MMULT(D1383:F1383,Stats!$B$12:$D$14),D1383:F1383))</f>
        <v>0.226470310405314</v>
      </c>
      <c r="I1383" s="0" t="n">
        <f aca="false">(G1383-Stats!$B$2)/H1383</f>
        <v>1.45289638794741</v>
      </c>
    </row>
    <row r="1384" customFormat="false" ht="15" hidden="false" customHeight="false" outlineLevel="0" collapsed="false">
      <c r="A1384" s="0" t="n">
        <v>0.103434114860483</v>
      </c>
      <c r="B1384" s="0" t="n">
        <v>0.402027216888241</v>
      </c>
      <c r="C1384" s="0" t="n">
        <v>0.728939200105157</v>
      </c>
      <c r="D1384" s="0" t="n">
        <f aca="false">A1384/SUM($A1384:$C1384)</f>
        <v>0.0837929927858514</v>
      </c>
      <c r="E1384" s="0" t="n">
        <f aca="false">B1384/SUM($A1384:$C1384)</f>
        <v>0.325686198696348</v>
      </c>
      <c r="F1384" s="0" t="n">
        <f aca="false">C1384/SUM($A1384:$C1384)</f>
        <v>0.590520808517801</v>
      </c>
      <c r="G1384" s="0" t="n">
        <f aca="false">SUMPRODUCT(D1384:F1384,Stats!$B$6:$D$6)</f>
        <v>0.358939882633282</v>
      </c>
      <c r="H1384" s="0" t="n">
        <f aca="false">SQRT(SUMPRODUCT(MMULT(D1384:F1384,Stats!$B$12:$D$14),D1384:F1384))</f>
        <v>0.239306529015135</v>
      </c>
      <c r="I1384" s="0" t="n">
        <f aca="false">(G1384-Stats!$B$2)/H1384</f>
        <v>1.32440967631618</v>
      </c>
    </row>
    <row r="1385" customFormat="false" ht="15" hidden="false" customHeight="false" outlineLevel="0" collapsed="false">
      <c r="A1385" s="0" t="n">
        <v>0.779820884010068</v>
      </c>
      <c r="B1385" s="0" t="n">
        <v>0.118218622291089</v>
      </c>
      <c r="C1385" s="0" t="n">
        <v>3.07188453824159E-005</v>
      </c>
      <c r="D1385" s="0" t="n">
        <f aca="false">A1385/SUM($A1385:$C1385)</f>
        <v>0.868329516083026</v>
      </c>
      <c r="E1385" s="0" t="n">
        <f aca="false">B1385/SUM($A1385:$C1385)</f>
        <v>0.131636278523541</v>
      </c>
      <c r="F1385" s="0" t="n">
        <f aca="false">C1385/SUM($A1385:$C1385)</f>
        <v>3.42053934339082E-005</v>
      </c>
      <c r="G1385" s="0" t="n">
        <f aca="false">SUMPRODUCT(D1385:F1385,Stats!$B$6:$D$6)</f>
        <v>0.364056942348502</v>
      </c>
      <c r="H1385" s="0" t="n">
        <f aca="false">SQRT(SUMPRODUCT(MMULT(D1385:F1385,Stats!$B$12:$D$14),D1385:F1385))</f>
        <v>0.229555698860184</v>
      </c>
      <c r="I1385" s="0" t="n">
        <f aca="false">(G1385-Stats!$B$2)/H1385</f>
        <v>1.40295773072773</v>
      </c>
    </row>
    <row r="1386" customFormat="false" ht="15" hidden="false" customHeight="false" outlineLevel="0" collapsed="false">
      <c r="A1386" s="0" t="n">
        <v>0.712137045880605</v>
      </c>
      <c r="B1386" s="0" t="n">
        <v>0.356596175986206</v>
      </c>
      <c r="C1386" s="0" t="n">
        <v>0.25448133161826</v>
      </c>
      <c r="D1386" s="0" t="n">
        <f aca="false">A1386/SUM($A1386:$C1386)</f>
        <v>0.538187132241695</v>
      </c>
      <c r="E1386" s="0" t="n">
        <f aca="false">B1386/SUM($A1386:$C1386)</f>
        <v>0.269492332174707</v>
      </c>
      <c r="F1386" s="0" t="n">
        <f aca="false">C1386/SUM($A1386:$C1386)</f>
        <v>0.192320535583598</v>
      </c>
      <c r="G1386" s="0" t="n">
        <f aca="false">SUMPRODUCT(D1386:F1386,Stats!$B$6:$D$6)</f>
        <v>0.366686779654209</v>
      </c>
      <c r="H1386" s="0" t="n">
        <f aca="false">SQRT(SUMPRODUCT(MMULT(D1386:F1386,Stats!$B$12:$D$14),D1386:F1386))</f>
        <v>0.223084264951825</v>
      </c>
      <c r="I1386" s="0" t="n">
        <f aca="false">(G1386-Stats!$B$2)/H1386</f>
        <v>1.45544455914147</v>
      </c>
    </row>
    <row r="1387" customFormat="false" ht="15" hidden="false" customHeight="false" outlineLevel="0" collapsed="false">
      <c r="A1387" s="0" t="n">
        <v>0.0128974697895254</v>
      </c>
      <c r="B1387" s="0" t="n">
        <v>0.5402994067615</v>
      </c>
      <c r="C1387" s="0" t="n">
        <v>0.851150735425982</v>
      </c>
      <c r="D1387" s="0" t="n">
        <f aca="false">A1387/SUM($A1387:$C1387)</f>
        <v>0.00918395821627716</v>
      </c>
      <c r="E1387" s="0" t="n">
        <f aca="false">B1387/SUM($A1387:$C1387)</f>
        <v>0.384733382357434</v>
      </c>
      <c r="F1387" s="0" t="n">
        <f aca="false">C1387/SUM($A1387:$C1387)</f>
        <v>0.606082659426289</v>
      </c>
      <c r="G1387" s="0" t="n">
        <f aca="false">SUMPRODUCT(D1387:F1387,Stats!$B$6:$D$6)</f>
        <v>0.361908269104468</v>
      </c>
      <c r="H1387" s="0" t="n">
        <f aca="false">SQRT(SUMPRODUCT(MMULT(D1387:F1387,Stats!$B$12:$D$14),D1387:F1387))</f>
        <v>0.244007520325439</v>
      </c>
      <c r="I1387" s="0" t="n">
        <f aca="false">(G1387-Stats!$B$2)/H1387</f>
        <v>1.31105905538402</v>
      </c>
    </row>
    <row r="1388" customFormat="false" ht="15" hidden="false" customHeight="false" outlineLevel="0" collapsed="false">
      <c r="A1388" s="0" t="n">
        <v>0.957631646272588</v>
      </c>
      <c r="B1388" s="0" t="n">
        <v>0.565744950613289</v>
      </c>
      <c r="C1388" s="0" t="n">
        <v>0.514461327739894</v>
      </c>
      <c r="D1388" s="0" t="n">
        <f aca="false">A1388/SUM($A1388:$C1388)</f>
        <v>0.469925323648321</v>
      </c>
      <c r="E1388" s="0" t="n">
        <f aca="false">B1388/SUM($A1388:$C1388)</f>
        <v>0.277620189405977</v>
      </c>
      <c r="F1388" s="0" t="n">
        <f aca="false">C1388/SUM($A1388:$C1388)</f>
        <v>0.252454486945703</v>
      </c>
      <c r="G1388" s="0" t="n">
        <f aca="false">SUMPRODUCT(D1388:F1388,Stats!$B$6:$D$6)</f>
        <v>0.36549627545954</v>
      </c>
      <c r="H1388" s="0" t="n">
        <f aca="false">SQRT(SUMPRODUCT(MMULT(D1388:F1388,Stats!$B$12:$D$14),D1388:F1388))</f>
        <v>0.223296585033316</v>
      </c>
      <c r="I1388" s="0" t="n">
        <f aca="false">(G1388-Stats!$B$2)/H1388</f>
        <v>1.44872916623993</v>
      </c>
    </row>
    <row r="1389" customFormat="false" ht="15" hidden="false" customHeight="false" outlineLevel="0" collapsed="false">
      <c r="A1389" s="0" t="n">
        <v>0.0850563854892411</v>
      </c>
      <c r="B1389" s="0" t="n">
        <v>0.5488728015426</v>
      </c>
      <c r="C1389" s="0" t="n">
        <v>0.379979078965395</v>
      </c>
      <c r="D1389" s="0" t="n">
        <f aca="false">A1389/SUM($A1389:$C1389)</f>
        <v>0.083889626252907</v>
      </c>
      <c r="E1389" s="0" t="n">
        <f aca="false">B1389/SUM($A1389:$C1389)</f>
        <v>0.541343650061628</v>
      </c>
      <c r="F1389" s="0" t="n">
        <f aca="false">C1389/SUM($A1389:$C1389)</f>
        <v>0.374766723685465</v>
      </c>
      <c r="G1389" s="0" t="n">
        <f aca="false">SUMPRODUCT(D1389:F1389,Stats!$B$6:$D$6)</f>
        <v>0.377297869170731</v>
      </c>
      <c r="H1389" s="0" t="n">
        <f aca="false">SQRT(SUMPRODUCT(MMULT(D1389:F1389,Stats!$B$12:$D$14),D1389:F1389))</f>
        <v>0.238092611409103</v>
      </c>
      <c r="I1389" s="0" t="n">
        <f aca="false">(G1389-Stats!$B$2)/H1389</f>
        <v>1.4082665866292</v>
      </c>
    </row>
    <row r="1390" customFormat="false" ht="15" hidden="false" customHeight="false" outlineLevel="0" collapsed="false">
      <c r="A1390" s="0" t="n">
        <v>0.607135280883577</v>
      </c>
      <c r="B1390" s="0" t="n">
        <v>0.388726347876547</v>
      </c>
      <c r="C1390" s="0" t="n">
        <v>0.240299123450367</v>
      </c>
      <c r="D1390" s="0" t="n">
        <f aca="false">A1390/SUM($A1390:$C1390)</f>
        <v>0.491145896517022</v>
      </c>
      <c r="E1390" s="0" t="n">
        <f aca="false">B1390/SUM($A1390:$C1390)</f>
        <v>0.314462619187213</v>
      </c>
      <c r="F1390" s="0" t="n">
        <f aca="false">C1390/SUM($A1390:$C1390)</f>
        <v>0.194391484295765</v>
      </c>
      <c r="G1390" s="0" t="n">
        <f aca="false">SUMPRODUCT(D1390:F1390,Stats!$B$6:$D$6)</f>
        <v>0.369217206150795</v>
      </c>
      <c r="H1390" s="0" t="n">
        <f aca="false">SQRT(SUMPRODUCT(MMULT(D1390:F1390,Stats!$B$12:$D$14),D1390:F1390))</f>
        <v>0.223816701041465</v>
      </c>
      <c r="I1390" s="0" t="n">
        <f aca="false">(G1390-Stats!$B$2)/H1390</f>
        <v>1.46198744163499</v>
      </c>
    </row>
    <row r="1391" customFormat="false" ht="15" hidden="false" customHeight="false" outlineLevel="0" collapsed="false">
      <c r="A1391" s="0" t="n">
        <v>0.0949652752283765</v>
      </c>
      <c r="B1391" s="0" t="n">
        <v>0.314918444588896</v>
      </c>
      <c r="C1391" s="0" t="n">
        <v>0.0966448342877523</v>
      </c>
      <c r="D1391" s="0" t="n">
        <f aca="false">A1391/SUM($A1391:$C1391)</f>
        <v>0.187482570249507</v>
      </c>
      <c r="E1391" s="0" t="n">
        <f aca="false">B1391/SUM($A1391:$C1391)</f>
        <v>0.621719036442712</v>
      </c>
      <c r="F1391" s="0" t="n">
        <f aca="false">C1391/SUM($A1391:$C1391)</f>
        <v>0.190798393307781</v>
      </c>
      <c r="G1391" s="0" t="n">
        <f aca="false">SUMPRODUCT(D1391:F1391,Stats!$B$6:$D$6)</f>
        <v>0.386995420827496</v>
      </c>
      <c r="H1391" s="0" t="n">
        <f aca="false">SQRT(SUMPRODUCT(MMULT(D1391:F1391,Stats!$B$12:$D$14),D1391:F1391))</f>
        <v>0.235175387862245</v>
      </c>
      <c r="I1391" s="0" t="n">
        <f aca="false">(G1391-Stats!$B$2)/H1391</f>
        <v>1.46697077429539</v>
      </c>
    </row>
    <row r="1392" customFormat="false" ht="15" hidden="false" customHeight="false" outlineLevel="0" collapsed="false">
      <c r="A1392" s="0" t="n">
        <v>0.176896950823984</v>
      </c>
      <c r="B1392" s="0" t="n">
        <v>0.987336158579546</v>
      </c>
      <c r="C1392" s="0" t="n">
        <v>0.444103556906619</v>
      </c>
      <c r="D1392" s="0" t="n">
        <f aca="false">A1392/SUM($A1392:$C1392)</f>
        <v>0.109987513515949</v>
      </c>
      <c r="E1392" s="0" t="n">
        <f aca="false">B1392/SUM($A1392:$C1392)</f>
        <v>0.613886494824927</v>
      </c>
      <c r="F1392" s="0" t="n">
        <f aca="false">C1392/SUM($A1392:$C1392)</f>
        <v>0.276125991659124</v>
      </c>
      <c r="G1392" s="0" t="n">
        <f aca="false">SUMPRODUCT(D1392:F1392,Stats!$B$6:$D$6)</f>
        <v>0.38419187081445</v>
      </c>
      <c r="H1392" s="0" t="n">
        <f aca="false">SQRT(SUMPRODUCT(MMULT(D1392:F1392,Stats!$B$12:$D$14),D1392:F1392))</f>
        <v>0.237733403172639</v>
      </c>
      <c r="I1392" s="0" t="n">
        <f aca="false">(G1392-Stats!$B$2)/H1392</f>
        <v>1.43939331304636</v>
      </c>
    </row>
    <row r="1393" customFormat="false" ht="15" hidden="false" customHeight="false" outlineLevel="0" collapsed="false">
      <c r="A1393" s="0" t="n">
        <v>0.531871766505017</v>
      </c>
      <c r="B1393" s="0" t="n">
        <v>0.873618528737215</v>
      </c>
      <c r="C1393" s="0" t="n">
        <v>0.995568900490688</v>
      </c>
      <c r="D1393" s="0" t="n">
        <f aca="false">A1393/SUM($A1393:$C1393)</f>
        <v>0.221515474274954</v>
      </c>
      <c r="E1393" s="0" t="n">
        <f aca="false">B1393/SUM($A1393:$C1393)</f>
        <v>0.363847143081595</v>
      </c>
      <c r="F1393" s="0" t="n">
        <f aca="false">C1393/SUM($A1393:$C1393)</f>
        <v>0.414637382643451</v>
      </c>
      <c r="G1393" s="0" t="n">
        <f aca="false">SUMPRODUCT(D1393:F1393,Stats!$B$6:$D$6)</f>
        <v>0.365985531802629</v>
      </c>
      <c r="H1393" s="0" t="n">
        <f aca="false">SQRT(SUMPRODUCT(MMULT(D1393:F1393,Stats!$B$12:$D$14),D1393:F1393))</f>
        <v>0.230607396933886</v>
      </c>
      <c r="I1393" s="0" t="n">
        <f aca="false">(G1393-Stats!$B$2)/H1393</f>
        <v>1.40492254849706</v>
      </c>
    </row>
    <row r="1394" customFormat="false" ht="15" hidden="false" customHeight="false" outlineLevel="0" collapsed="false">
      <c r="A1394" s="0" t="n">
        <v>0.582714449344682</v>
      </c>
      <c r="B1394" s="0" t="n">
        <v>0.812473821044172</v>
      </c>
      <c r="C1394" s="0" t="n">
        <v>0.326941024336675</v>
      </c>
      <c r="D1394" s="0" t="n">
        <f aca="false">A1394/SUM($A1394:$C1394)</f>
        <v>0.338368583084555</v>
      </c>
      <c r="E1394" s="0" t="n">
        <f aca="false">B1394/SUM($A1394:$C1394)</f>
        <v>0.471784449363114</v>
      </c>
      <c r="F1394" s="0" t="n">
        <f aca="false">C1394/SUM($A1394:$C1394)</f>
        <v>0.189846967552331</v>
      </c>
      <c r="G1394" s="0" t="n">
        <f aca="false">SUMPRODUCT(D1394:F1394,Stats!$B$6:$D$6)</f>
        <v>0.378394613942744</v>
      </c>
      <c r="H1394" s="0" t="n">
        <f aca="false">SQRT(SUMPRODUCT(MMULT(D1394:F1394,Stats!$B$12:$D$14),D1394:F1394))</f>
        <v>0.228265747076672</v>
      </c>
      <c r="I1394" s="0" t="n">
        <f aca="false">(G1394-Stats!$B$2)/H1394</f>
        <v>1.47369729471392</v>
      </c>
    </row>
    <row r="1395" customFormat="false" ht="15" hidden="false" customHeight="false" outlineLevel="0" collapsed="false">
      <c r="A1395" s="0" t="n">
        <v>0.305743957447291</v>
      </c>
      <c r="B1395" s="0" t="n">
        <v>0.40270372099456</v>
      </c>
      <c r="C1395" s="0" t="n">
        <v>0.672507262673649</v>
      </c>
      <c r="D1395" s="0" t="n">
        <f aca="false">A1395/SUM($A1395:$C1395)</f>
        <v>0.221400386315515</v>
      </c>
      <c r="E1395" s="0" t="n">
        <f aca="false">B1395/SUM($A1395:$C1395)</f>
        <v>0.291612498717204</v>
      </c>
      <c r="F1395" s="0" t="n">
        <f aca="false">C1395/SUM($A1395:$C1395)</f>
        <v>0.486987114967281</v>
      </c>
      <c r="G1395" s="0" t="n">
        <f aca="false">SUMPRODUCT(D1395:F1395,Stats!$B$6:$D$6)</f>
        <v>0.359834227815713</v>
      </c>
      <c r="H1395" s="0" t="n">
        <f aca="false">SQRT(SUMPRODUCT(MMULT(D1395:F1395,Stats!$B$12:$D$14),D1395:F1395))</f>
        <v>0.230998648663519</v>
      </c>
      <c r="I1395" s="0" t="n">
        <f aca="false">(G1395-Stats!$B$2)/H1395</f>
        <v>1.37591379713516</v>
      </c>
    </row>
    <row r="1396" customFormat="false" ht="15" hidden="false" customHeight="false" outlineLevel="0" collapsed="false">
      <c r="A1396" s="0" t="n">
        <v>0.682191689255099</v>
      </c>
      <c r="B1396" s="0" t="n">
        <v>0.315239434649451</v>
      </c>
      <c r="C1396" s="0" t="n">
        <v>0.133209924136629</v>
      </c>
      <c r="D1396" s="0" t="n">
        <f aca="false">A1396/SUM($A1396:$C1396)</f>
        <v>0.603367169834305</v>
      </c>
      <c r="E1396" s="0" t="n">
        <f aca="false">B1396/SUM($A1396:$C1396)</f>
        <v>0.278814779629308</v>
      </c>
      <c r="F1396" s="0" t="n">
        <f aca="false">C1396/SUM($A1396:$C1396)</f>
        <v>0.117818050536387</v>
      </c>
      <c r="G1396" s="0" t="n">
        <f aca="false">SUMPRODUCT(D1396:F1396,Stats!$B$6:$D$6)</f>
        <v>0.369277558584953</v>
      </c>
      <c r="H1396" s="0" t="n">
        <f aca="false">SQRT(SUMPRODUCT(MMULT(D1396:F1396,Stats!$B$12:$D$14),D1396:F1396))</f>
        <v>0.22407566496515</v>
      </c>
      <c r="I1396" s="0" t="n">
        <f aca="false">(G1396-Stats!$B$2)/H1396</f>
        <v>1.46056716438108</v>
      </c>
    </row>
    <row r="1397" customFormat="false" ht="15" hidden="false" customHeight="false" outlineLevel="0" collapsed="false">
      <c r="A1397" s="0" t="n">
        <v>0.632396256465509</v>
      </c>
      <c r="B1397" s="0" t="n">
        <v>0.128325862188765</v>
      </c>
      <c r="C1397" s="0" t="n">
        <v>0.57849250822933</v>
      </c>
      <c r="D1397" s="0" t="n">
        <f aca="false">A1397/SUM($A1397:$C1397)</f>
        <v>0.472214269296861</v>
      </c>
      <c r="E1397" s="0" t="n">
        <f aca="false">B1397/SUM($A1397:$C1397)</f>
        <v>0.0958217298502653</v>
      </c>
      <c r="F1397" s="0" t="n">
        <f aca="false">C1397/SUM($A1397:$C1397)</f>
        <v>0.431964000852874</v>
      </c>
      <c r="G1397" s="0" t="n">
        <f aca="false">SUMPRODUCT(D1397:F1397,Stats!$B$6:$D$6)</f>
        <v>0.350085921590845</v>
      </c>
      <c r="H1397" s="0" t="n">
        <f aca="false">SQRT(SUMPRODUCT(MMULT(D1397:F1397,Stats!$B$12:$D$14),D1397:F1397))</f>
        <v>0.222954269930995</v>
      </c>
      <c r="I1397" s="0" t="n">
        <f aca="false">(G1397-Stats!$B$2)/H1397</f>
        <v>1.38183458736268</v>
      </c>
    </row>
    <row r="1398" customFormat="false" ht="15" hidden="false" customHeight="false" outlineLevel="0" collapsed="false">
      <c r="A1398" s="0" t="n">
        <v>0.693422128056309</v>
      </c>
      <c r="B1398" s="0" t="n">
        <v>0.700611496394452</v>
      </c>
      <c r="C1398" s="0" t="n">
        <v>0.753472110659597</v>
      </c>
      <c r="D1398" s="0" t="n">
        <f aca="false">A1398/SUM($A1398:$C1398)</f>
        <v>0.322896519771425</v>
      </c>
      <c r="E1398" s="0" t="n">
        <f aca="false">B1398/SUM($A1398:$C1398)</f>
        <v>0.326244295854441</v>
      </c>
      <c r="F1398" s="0" t="n">
        <f aca="false">C1398/SUM($A1398:$C1398)</f>
        <v>0.350859184374135</v>
      </c>
      <c r="G1398" s="0" t="n">
        <f aca="false">SUMPRODUCT(D1398:F1398,Stats!$B$6:$D$6)</f>
        <v>0.365580571928483</v>
      </c>
      <c r="H1398" s="0" t="n">
        <f aca="false">SQRT(SUMPRODUCT(MMULT(D1398:F1398,Stats!$B$12:$D$14),D1398:F1398))</f>
        <v>0.226587516009017</v>
      </c>
      <c r="I1398" s="0" t="n">
        <f aca="false">(G1398-Stats!$B$2)/H1398</f>
        <v>1.42806001684403</v>
      </c>
    </row>
    <row r="1399" customFormat="false" ht="15" hidden="false" customHeight="false" outlineLevel="0" collapsed="false">
      <c r="A1399" s="0" t="n">
        <v>0.872859421565665</v>
      </c>
      <c r="B1399" s="0" t="n">
        <v>0.499958991964788</v>
      </c>
      <c r="C1399" s="0" t="n">
        <v>0.730249189529571</v>
      </c>
      <c r="D1399" s="0" t="n">
        <f aca="false">A1399/SUM($A1399:$C1399)</f>
        <v>0.415041066818598</v>
      </c>
      <c r="E1399" s="0" t="n">
        <f aca="false">B1399/SUM($A1399:$C1399)</f>
        <v>0.237728445456215</v>
      </c>
      <c r="F1399" s="0" t="n">
        <f aca="false">C1399/SUM($A1399:$C1399)</f>
        <v>0.347230487725187</v>
      </c>
      <c r="G1399" s="0" t="n">
        <f aca="false">SUMPRODUCT(D1399:F1399,Stats!$B$6:$D$6)</f>
        <v>0.360587544374817</v>
      </c>
      <c r="H1399" s="0" t="n">
        <f aca="false">SQRT(SUMPRODUCT(MMULT(D1399:F1399,Stats!$B$12:$D$14),D1399:F1399))</f>
        <v>0.223811677231417</v>
      </c>
      <c r="I1399" s="0" t="n">
        <f aca="false">(G1399-Stats!$B$2)/H1399</f>
        <v>1.42346256600992</v>
      </c>
    </row>
    <row r="1400" customFormat="false" ht="15" hidden="false" customHeight="false" outlineLevel="0" collapsed="false">
      <c r="A1400" s="0" t="n">
        <v>0.619172735365837</v>
      </c>
      <c r="B1400" s="0" t="n">
        <v>0.186639939797683</v>
      </c>
      <c r="C1400" s="0" t="n">
        <v>0.0256896448694082</v>
      </c>
      <c r="D1400" s="0" t="n">
        <f aca="false">A1400/SUM($A1400:$C1400)</f>
        <v>0.744643424856972</v>
      </c>
      <c r="E1400" s="0" t="n">
        <f aca="false">B1400/SUM($A1400:$C1400)</f>
        <v>0.224461117306674</v>
      </c>
      <c r="F1400" s="0" t="n">
        <f aca="false">C1400/SUM($A1400:$C1400)</f>
        <v>0.0308954578363544</v>
      </c>
      <c r="G1400" s="0" t="n">
        <f aca="false">SUMPRODUCT(D1400:F1400,Stats!$B$6:$D$6)</f>
        <v>0.368546976264994</v>
      </c>
      <c r="H1400" s="0" t="n">
        <f aca="false">SQRT(SUMPRODUCT(MMULT(D1400:F1400,Stats!$B$12:$D$14),D1400:F1400))</f>
        <v>0.226691279267752</v>
      </c>
      <c r="I1400" s="0" t="n">
        <f aca="false">(G1400-Stats!$B$2)/H1400</f>
        <v>1.44049200886682</v>
      </c>
    </row>
    <row r="1401" customFormat="false" ht="15" hidden="false" customHeight="false" outlineLevel="0" collapsed="false">
      <c r="A1401" s="0" t="n">
        <v>0.284541385676934</v>
      </c>
      <c r="B1401" s="0" t="n">
        <v>0.443033706337619</v>
      </c>
      <c r="C1401" s="0" t="n">
        <v>0.617105944428656</v>
      </c>
      <c r="D1401" s="0" t="n">
        <f aca="false">A1401/SUM($A1401:$C1401)</f>
        <v>0.211605115239499</v>
      </c>
      <c r="E1401" s="0" t="n">
        <f aca="false">B1401/SUM($A1401:$C1401)</f>
        <v>0.329471223532295</v>
      </c>
      <c r="F1401" s="0" t="n">
        <f aca="false">C1401/SUM($A1401:$C1401)</f>
        <v>0.458923661228206</v>
      </c>
      <c r="G1401" s="0" t="n">
        <f aca="false">SUMPRODUCT(D1401:F1401,Stats!$B$6:$D$6)</f>
        <v>0.362786408785068</v>
      </c>
      <c r="H1401" s="0" t="n">
        <f aca="false">SQRT(SUMPRODUCT(MMULT(D1401:F1401,Stats!$B$12:$D$14),D1401:F1401))</f>
        <v>0.231215453143555</v>
      </c>
      <c r="I1401" s="0" t="n">
        <f aca="false">(G1401-Stats!$B$2)/H1401</f>
        <v>1.38739173538674</v>
      </c>
    </row>
    <row r="1402" customFormat="false" ht="15" hidden="false" customHeight="false" outlineLevel="0" collapsed="false">
      <c r="A1402" s="0" t="n">
        <v>0.849959330503205</v>
      </c>
      <c r="B1402" s="0" t="n">
        <v>0.196245716706166</v>
      </c>
      <c r="C1402" s="0" t="n">
        <v>0.125549789898477</v>
      </c>
      <c r="D1402" s="0" t="n">
        <f aca="false">A1402/SUM($A1402:$C1402)</f>
        <v>0.725373007719853</v>
      </c>
      <c r="E1402" s="0" t="n">
        <f aca="false">B1402/SUM($A1402:$C1402)</f>
        <v>0.167480184840153</v>
      </c>
      <c r="F1402" s="0" t="n">
        <f aca="false">C1402/SUM($A1402:$C1402)</f>
        <v>0.107146807439995</v>
      </c>
      <c r="G1402" s="0" t="n">
        <f aca="false">SUMPRODUCT(D1402:F1402,Stats!$B$6:$D$6)</f>
        <v>0.363165765522339</v>
      </c>
      <c r="H1402" s="0" t="n">
        <f aca="false">SQRT(SUMPRODUCT(MMULT(D1402:F1402,Stats!$B$12:$D$14),D1402:F1402))</f>
        <v>0.224353782986643</v>
      </c>
      <c r="I1402" s="0" t="n">
        <f aca="false">(G1402-Stats!$B$2)/H1402</f>
        <v>1.43151482113168</v>
      </c>
    </row>
    <row r="1403" customFormat="false" ht="15" hidden="false" customHeight="false" outlineLevel="0" collapsed="false">
      <c r="A1403" s="0" t="n">
        <v>0.963479947474328</v>
      </c>
      <c r="B1403" s="0" t="n">
        <v>0.108044559376407</v>
      </c>
      <c r="C1403" s="0" t="n">
        <v>0.478491070107189</v>
      </c>
      <c r="D1403" s="0" t="n">
        <f aca="false">A1403/SUM($A1403:$C1403)</f>
        <v>0.621593719312978</v>
      </c>
      <c r="E1403" s="0" t="n">
        <f aca="false">B1403/SUM($A1403:$C1403)</f>
        <v>0.0697054668240538</v>
      </c>
      <c r="F1403" s="0" t="n">
        <f aca="false">C1403/SUM($A1403:$C1403)</f>
        <v>0.308700813862968</v>
      </c>
      <c r="G1403" s="0" t="n">
        <f aca="false">SUMPRODUCT(D1403:F1403,Stats!$B$6:$D$6)</f>
        <v>0.351982160589667</v>
      </c>
      <c r="H1403" s="0" t="n">
        <f aca="false">SQRT(SUMPRODUCT(MMULT(D1403:F1403,Stats!$B$12:$D$14),D1403:F1403))</f>
        <v>0.221297657279868</v>
      </c>
      <c r="I1403" s="0" t="n">
        <f aca="false">(G1403-Stats!$B$2)/H1403</f>
        <v>1.40074759217917</v>
      </c>
    </row>
    <row r="1404" customFormat="false" ht="15" hidden="false" customHeight="false" outlineLevel="0" collapsed="false">
      <c r="A1404" s="0" t="n">
        <v>0.585563728793302</v>
      </c>
      <c r="B1404" s="0" t="n">
        <v>0.541374420907438</v>
      </c>
      <c r="C1404" s="0" t="n">
        <v>0.0860321570329432</v>
      </c>
      <c r="D1404" s="0" t="n">
        <f aca="false">A1404/SUM($A1404:$C1404)</f>
        <v>0.482751907068626</v>
      </c>
      <c r="E1404" s="0" t="n">
        <f aca="false">B1404/SUM($A1404:$C1404)</f>
        <v>0.446321247850877</v>
      </c>
      <c r="F1404" s="0" t="n">
        <f aca="false">C1404/SUM($A1404:$C1404)</f>
        <v>0.0709268450804973</v>
      </c>
      <c r="G1404" s="0" t="n">
        <f aca="false">SUMPRODUCT(D1404:F1404,Stats!$B$6:$D$6)</f>
        <v>0.380208670922183</v>
      </c>
      <c r="H1404" s="0" t="n">
        <f aca="false">SQRT(SUMPRODUCT(MMULT(D1404:F1404,Stats!$B$12:$D$14),D1404:F1404))</f>
        <v>0.227341119268899</v>
      </c>
      <c r="I1404" s="0" t="n">
        <f aca="false">(G1404-Stats!$B$2)/H1404</f>
        <v>1.48767047514247</v>
      </c>
    </row>
    <row r="1405" customFormat="false" ht="15" hidden="false" customHeight="false" outlineLevel="0" collapsed="false">
      <c r="A1405" s="0" t="n">
        <v>0.0570269140036194</v>
      </c>
      <c r="B1405" s="0" t="n">
        <v>0.105483427461036</v>
      </c>
      <c r="C1405" s="0" t="n">
        <v>0.585587683872613</v>
      </c>
      <c r="D1405" s="0" t="n">
        <f aca="false">A1405/SUM($A1405:$C1405)</f>
        <v>0.0762292000141422</v>
      </c>
      <c r="E1405" s="0" t="n">
        <f aca="false">B1405/SUM($A1405:$C1405)</f>
        <v>0.141002146628418</v>
      </c>
      <c r="F1405" s="0" t="n">
        <f aca="false">C1405/SUM($A1405:$C1405)</f>
        <v>0.782768653357439</v>
      </c>
      <c r="G1405" s="0" t="n">
        <f aca="false">SUMPRODUCT(D1405:F1405,Stats!$B$6:$D$6)</f>
        <v>0.343012240930141</v>
      </c>
      <c r="H1405" s="0" t="n">
        <f aca="false">SQRT(SUMPRODUCT(MMULT(D1405:F1405,Stats!$B$12:$D$14),D1405:F1405))</f>
        <v>0.245256396363311</v>
      </c>
      <c r="I1405" s="0" t="n">
        <f aca="false">(G1405-Stats!$B$2)/H1405</f>
        <v>1.2273369640653</v>
      </c>
    </row>
    <row r="1406" customFormat="false" ht="15" hidden="false" customHeight="false" outlineLevel="0" collapsed="false">
      <c r="A1406" s="0" t="n">
        <v>0.544344887634321</v>
      </c>
      <c r="B1406" s="0" t="n">
        <v>0.233740792036744</v>
      </c>
      <c r="C1406" s="0" t="n">
        <v>0.637774141845592</v>
      </c>
      <c r="D1406" s="0" t="n">
        <f aca="false">A1406/SUM($A1406:$C1406)</f>
        <v>0.384462415955291</v>
      </c>
      <c r="E1406" s="0" t="n">
        <f aca="false">B1406/SUM($A1406:$C1406)</f>
        <v>0.165087523838598</v>
      </c>
      <c r="F1406" s="0" t="n">
        <f aca="false">C1406/SUM($A1406:$C1406)</f>
        <v>0.450450060206111</v>
      </c>
      <c r="G1406" s="0" t="n">
        <f aca="false">SUMPRODUCT(D1406:F1406,Stats!$B$6:$D$6)</f>
        <v>0.353561639751417</v>
      </c>
      <c r="H1406" s="0" t="n">
        <f aca="false">SQRT(SUMPRODUCT(MMULT(D1406:F1406,Stats!$B$12:$D$14),D1406:F1406))</f>
        <v>0.224952414095199</v>
      </c>
      <c r="I1406" s="0" t="n">
        <f aca="false">(G1406-Stats!$B$2)/H1406</f>
        <v>1.38501131896973</v>
      </c>
    </row>
    <row r="1407" customFormat="false" ht="15" hidden="false" customHeight="false" outlineLevel="0" collapsed="false">
      <c r="A1407" s="0" t="n">
        <v>0.820067502055649</v>
      </c>
      <c r="B1407" s="0" t="n">
        <v>0.0415789598465938</v>
      </c>
      <c r="C1407" s="0" t="n">
        <v>0.498129943548042</v>
      </c>
      <c r="D1407" s="0" t="n">
        <f aca="false">A1407/SUM($A1407:$C1407)</f>
        <v>0.603089963003209</v>
      </c>
      <c r="E1407" s="0" t="n">
        <f aca="false">B1407/SUM($A1407:$C1407)</f>
        <v>0.0305777918192551</v>
      </c>
      <c r="F1407" s="0" t="n">
        <f aca="false">C1407/SUM($A1407:$C1407)</f>
        <v>0.366332245177536</v>
      </c>
      <c r="G1407" s="0" t="n">
        <f aca="false">SUMPRODUCT(D1407:F1407,Stats!$B$6:$D$6)</f>
        <v>0.348141640259564</v>
      </c>
      <c r="H1407" s="0" t="n">
        <f aca="false">SQRT(SUMPRODUCT(MMULT(D1407:F1407,Stats!$B$12:$D$14),D1407:F1407))</f>
        <v>0.221387229543355</v>
      </c>
      <c r="I1407" s="0" t="n">
        <f aca="false">(G1407-Stats!$B$2)/H1407</f>
        <v>1.3828333318549</v>
      </c>
    </row>
    <row r="1408" customFormat="false" ht="15" hidden="false" customHeight="false" outlineLevel="0" collapsed="false">
      <c r="A1408" s="0" t="n">
        <v>0.68931041210269</v>
      </c>
      <c r="B1408" s="0" t="n">
        <v>0.252311927069687</v>
      </c>
      <c r="C1408" s="0" t="n">
        <v>0.307770905293149</v>
      </c>
      <c r="D1408" s="0" t="n">
        <f aca="false">A1408/SUM($A1408:$C1408)</f>
        <v>0.551716135136914</v>
      </c>
      <c r="E1408" s="0" t="n">
        <f aca="false">B1408/SUM($A1408:$C1408)</f>
        <v>0.201947567899347</v>
      </c>
      <c r="F1408" s="0" t="n">
        <f aca="false">C1408/SUM($A1408:$C1408)</f>
        <v>0.246336296963739</v>
      </c>
      <c r="G1408" s="0" t="n">
        <f aca="false">SUMPRODUCT(D1408:F1408,Stats!$B$6:$D$6)</f>
        <v>0.361310877494779</v>
      </c>
      <c r="H1408" s="0" t="n">
        <f aca="false">SQRT(SUMPRODUCT(MMULT(D1408:F1408,Stats!$B$12:$D$14),D1408:F1408))</f>
        <v>0.22210249249873</v>
      </c>
      <c r="I1408" s="0" t="n">
        <f aca="false">(G1408-Stats!$B$2)/H1408</f>
        <v>1.43767354387797</v>
      </c>
    </row>
    <row r="1409" customFormat="false" ht="15" hidden="false" customHeight="false" outlineLevel="0" collapsed="false">
      <c r="A1409" s="0" t="n">
        <v>0.613637902989384</v>
      </c>
      <c r="B1409" s="0" t="n">
        <v>0.897935293443737</v>
      </c>
      <c r="C1409" s="0" t="n">
        <v>0.809924420302899</v>
      </c>
      <c r="D1409" s="0" t="n">
        <f aca="false">A1409/SUM($A1409:$C1409)</f>
        <v>0.264328465627351</v>
      </c>
      <c r="E1409" s="0" t="n">
        <f aca="false">B1409/SUM($A1409:$C1409)</f>
        <v>0.386791391457992</v>
      </c>
      <c r="F1409" s="0" t="n">
        <f aca="false">C1409/SUM($A1409:$C1409)</f>
        <v>0.348880142914657</v>
      </c>
      <c r="G1409" s="0" t="n">
        <f aca="false">SUMPRODUCT(D1409:F1409,Stats!$B$6:$D$6)</f>
        <v>0.369118944752004</v>
      </c>
      <c r="H1409" s="0" t="n">
        <f aca="false">SQRT(SUMPRODUCT(MMULT(D1409:F1409,Stats!$B$12:$D$14),D1409:F1409))</f>
        <v>0.228884962032243</v>
      </c>
      <c r="I1409" s="0" t="n">
        <f aca="false">(G1409-Stats!$B$2)/H1409</f>
        <v>1.42918495757673</v>
      </c>
    </row>
    <row r="1410" customFormat="false" ht="15" hidden="false" customHeight="false" outlineLevel="0" collapsed="false">
      <c r="A1410" s="0" t="n">
        <v>0.583130219099584</v>
      </c>
      <c r="B1410" s="0" t="n">
        <v>0.730221717757249</v>
      </c>
      <c r="C1410" s="0" t="n">
        <v>0.364822470207799</v>
      </c>
      <c r="D1410" s="0" t="n">
        <f aca="false">A1410/SUM($A1410:$C1410)</f>
        <v>0.347478913183739</v>
      </c>
      <c r="E1410" s="0" t="n">
        <f aca="false">B1410/SUM($A1410:$C1410)</f>
        <v>0.435128622319126</v>
      </c>
      <c r="F1410" s="0" t="n">
        <f aca="false">C1410/SUM($A1410:$C1410)</f>
        <v>0.217392464497135</v>
      </c>
      <c r="G1410" s="0" t="n">
        <f aca="false">SUMPRODUCT(D1410:F1410,Stats!$B$6:$D$6)</f>
        <v>0.375525928613643</v>
      </c>
      <c r="H1410" s="0" t="n">
        <f aca="false">SQRT(SUMPRODUCT(MMULT(D1410:F1410,Stats!$B$12:$D$14),D1410:F1410))</f>
        <v>0.227332011893967</v>
      </c>
      <c r="I1410" s="0" t="n">
        <f aca="false">(G1410-Stats!$B$2)/H1410</f>
        <v>1.46713138125574</v>
      </c>
    </row>
    <row r="1411" customFormat="false" ht="15" hidden="false" customHeight="false" outlineLevel="0" collapsed="false">
      <c r="A1411" s="0" t="n">
        <v>0.640965528098758</v>
      </c>
      <c r="B1411" s="0" t="n">
        <v>0.466181591127557</v>
      </c>
      <c r="C1411" s="0" t="n">
        <v>0.189936136457561</v>
      </c>
      <c r="D1411" s="0" t="n">
        <f aca="false">A1411/SUM($A1411:$C1411)</f>
        <v>0.494159126093116</v>
      </c>
      <c r="E1411" s="0" t="n">
        <f aca="false">B1411/SUM($A1411:$C1411)</f>
        <v>0.359407608636322</v>
      </c>
      <c r="F1411" s="0" t="n">
        <f aca="false">C1411/SUM($A1411:$C1411)</f>
        <v>0.146433265270562</v>
      </c>
      <c r="G1411" s="0" t="n">
        <f aca="false">SUMPRODUCT(D1411:F1411,Stats!$B$6:$D$6)</f>
        <v>0.373125712116455</v>
      </c>
      <c r="H1411" s="0" t="n">
        <f aca="false">SQRT(SUMPRODUCT(MMULT(D1411:F1411,Stats!$B$12:$D$14),D1411:F1411))</f>
        <v>0.224833244894051</v>
      </c>
      <c r="I1411" s="0" t="n">
        <f aca="false">(G1411-Stats!$B$2)/H1411</f>
        <v>1.4727613448469</v>
      </c>
    </row>
    <row r="1412" customFormat="false" ht="15" hidden="false" customHeight="false" outlineLevel="0" collapsed="false">
      <c r="A1412" s="0" t="n">
        <v>0.701738273877257</v>
      </c>
      <c r="B1412" s="0" t="n">
        <v>0.556464637348822</v>
      </c>
      <c r="C1412" s="0" t="n">
        <v>0.358621581953591</v>
      </c>
      <c r="D1412" s="0" t="n">
        <f aca="false">A1412/SUM($A1412:$C1412)</f>
        <v>0.434022540379264</v>
      </c>
      <c r="E1412" s="0" t="n">
        <f aca="false">B1412/SUM($A1412:$C1412)</f>
        <v>0.344171330714115</v>
      </c>
      <c r="F1412" s="0" t="n">
        <f aca="false">C1412/SUM($A1412:$C1412)</f>
        <v>0.221806128906621</v>
      </c>
      <c r="G1412" s="0" t="n">
        <f aca="false">SUMPRODUCT(D1412:F1412,Stats!$B$6:$D$6)</f>
        <v>0.370170658679903</v>
      </c>
      <c r="H1412" s="0" t="n">
        <f aca="false">SQRT(SUMPRODUCT(MMULT(D1412:F1412,Stats!$B$12:$D$14),D1412:F1412))</f>
        <v>0.224588865448419</v>
      </c>
      <c r="I1412" s="0" t="n">
        <f aca="false">(G1412-Stats!$B$2)/H1412</f>
        <v>1.46120627140028</v>
      </c>
    </row>
    <row r="1413" customFormat="false" ht="15" hidden="false" customHeight="false" outlineLevel="0" collapsed="false">
      <c r="A1413" s="0" t="n">
        <v>0.911339190078631</v>
      </c>
      <c r="B1413" s="0" t="n">
        <v>0.0209341178267333</v>
      </c>
      <c r="C1413" s="0" t="n">
        <v>0.315773151249496</v>
      </c>
      <c r="D1413" s="0" t="n">
        <f aca="false">A1413/SUM($A1413:$C1413)</f>
        <v>0.730212552099833</v>
      </c>
      <c r="E1413" s="0" t="n">
        <f aca="false">B1413/SUM($A1413:$C1413)</f>
        <v>0.0167735084484829</v>
      </c>
      <c r="F1413" s="0" t="n">
        <f aca="false">C1413/SUM($A1413:$C1413)</f>
        <v>0.253013939451684</v>
      </c>
      <c r="G1413" s="0" t="n">
        <f aca="false">SUMPRODUCT(D1413:F1413,Stats!$B$6:$D$6)</f>
        <v>0.350472068356823</v>
      </c>
      <c r="H1413" s="0" t="n">
        <f aca="false">SQRT(SUMPRODUCT(MMULT(D1413:F1413,Stats!$B$12:$D$14),D1413:F1413))</f>
        <v>0.222160140268627</v>
      </c>
      <c r="I1413" s="0" t="n">
        <f aca="false">(G1413-Stats!$B$2)/H1413</f>
        <v>1.38851221458463</v>
      </c>
    </row>
    <row r="1414" customFormat="false" ht="15" hidden="false" customHeight="false" outlineLevel="0" collapsed="false">
      <c r="A1414" s="0" t="n">
        <v>0.0568813977776466</v>
      </c>
      <c r="B1414" s="0" t="n">
        <v>0.766527316221627</v>
      </c>
      <c r="C1414" s="0" t="n">
        <v>0.702107454113793</v>
      </c>
      <c r="D1414" s="0" t="n">
        <f aca="false">A1414/SUM($A1414:$C1414)</f>
        <v>0.0372866567831949</v>
      </c>
      <c r="E1414" s="0" t="n">
        <f aca="false">B1414/SUM($A1414:$C1414)</f>
        <v>0.502470791358283</v>
      </c>
      <c r="F1414" s="0" t="n">
        <f aca="false">C1414/SUM($A1414:$C1414)</f>
        <v>0.460242551858523</v>
      </c>
      <c r="G1414" s="0" t="n">
        <f aca="false">SUMPRODUCT(D1414:F1414,Stats!$B$6:$D$6)</f>
        <v>0.372704212106957</v>
      </c>
      <c r="H1414" s="0" t="n">
        <f aca="false">SQRT(SUMPRODUCT(MMULT(D1414:F1414,Stats!$B$12:$D$14),D1414:F1414))</f>
        <v>0.240786686452589</v>
      </c>
      <c r="I1414" s="0" t="n">
        <f aca="false">(G1414-Stats!$B$2)/H1414</f>
        <v>1.37343229801899</v>
      </c>
    </row>
    <row r="1415" customFormat="false" ht="15" hidden="false" customHeight="false" outlineLevel="0" collapsed="false">
      <c r="A1415" s="0" t="n">
        <v>0.331352218736317</v>
      </c>
      <c r="B1415" s="0" t="n">
        <v>0.675662902207073</v>
      </c>
      <c r="C1415" s="0" t="n">
        <v>0.39593722619595</v>
      </c>
      <c r="D1415" s="0" t="n">
        <f aca="false">A1415/SUM($A1415:$C1415)</f>
        <v>0.236182090868556</v>
      </c>
      <c r="E1415" s="0" t="n">
        <f aca="false">B1415/SUM($A1415:$C1415)</f>
        <v>0.481600749722376</v>
      </c>
      <c r="F1415" s="0" t="n">
        <f aca="false">C1415/SUM($A1415:$C1415)</f>
        <v>0.282217159409068</v>
      </c>
      <c r="G1415" s="0" t="n">
        <f aca="false">SUMPRODUCT(D1415:F1415,Stats!$B$6:$D$6)</f>
        <v>0.376412358647421</v>
      </c>
      <c r="H1415" s="0" t="n">
        <f aca="false">SQRT(SUMPRODUCT(MMULT(D1415:F1415,Stats!$B$12:$D$14),D1415:F1415))</f>
        <v>0.230831631785634</v>
      </c>
      <c r="I1415" s="0" t="n">
        <f aca="false">(G1415-Stats!$B$2)/H1415</f>
        <v>1.44872847824417</v>
      </c>
    </row>
    <row r="1416" customFormat="false" ht="15" hidden="false" customHeight="false" outlineLevel="0" collapsed="false">
      <c r="A1416" s="0" t="n">
        <v>0.756253791422434</v>
      </c>
      <c r="B1416" s="0" t="n">
        <v>0.454183662736706</v>
      </c>
      <c r="C1416" s="0" t="n">
        <v>0.412279727831666</v>
      </c>
      <c r="D1416" s="0" t="n">
        <f aca="false">A1416/SUM($A1416:$C1416)</f>
        <v>0.466041649041169</v>
      </c>
      <c r="E1416" s="0" t="n">
        <f aca="false">B1416/SUM($A1416:$C1416)</f>
        <v>0.279890832350402</v>
      </c>
      <c r="F1416" s="0" t="n">
        <f aca="false">C1416/SUM($A1416:$C1416)</f>
        <v>0.254067518608428</v>
      </c>
      <c r="G1416" s="0" t="n">
        <f aca="false">SUMPRODUCT(D1416:F1416,Stats!$B$6:$D$6)</f>
        <v>0.365582446588031</v>
      </c>
      <c r="H1416" s="0" t="n">
        <f aca="false">SQRT(SUMPRODUCT(MMULT(D1416:F1416,Stats!$B$12:$D$14),D1416:F1416))</f>
        <v>0.223356198640827</v>
      </c>
      <c r="I1416" s="0" t="n">
        <f aca="false">(G1416-Stats!$B$2)/H1416</f>
        <v>1.44872830285035</v>
      </c>
    </row>
    <row r="1417" customFormat="false" ht="15" hidden="false" customHeight="false" outlineLevel="0" collapsed="false">
      <c r="A1417" s="0" t="n">
        <v>0.934729915488301</v>
      </c>
      <c r="B1417" s="0" t="n">
        <v>0.2508790998907</v>
      </c>
      <c r="C1417" s="0" t="n">
        <v>0.120447339996565</v>
      </c>
      <c r="D1417" s="0" t="n">
        <f aca="false">A1417/SUM($A1417:$C1417)</f>
        <v>0.715688807486039</v>
      </c>
      <c r="E1417" s="0" t="n">
        <f aca="false">B1417/SUM($A1417:$C1417)</f>
        <v>0.192089031118843</v>
      </c>
      <c r="F1417" s="0" t="n">
        <f aca="false">C1417/SUM($A1417:$C1417)</f>
        <v>0.0922221613951183</v>
      </c>
      <c r="G1417" s="0" t="n">
        <f aca="false">SUMPRODUCT(D1417:F1417,Stats!$B$6:$D$6)</f>
        <v>0.364993268060975</v>
      </c>
      <c r="H1417" s="0" t="n">
        <f aca="false">SQRT(SUMPRODUCT(MMULT(D1417:F1417,Stats!$B$12:$D$14),D1417:F1417))</f>
        <v>0.224668629377211</v>
      </c>
      <c r="I1417" s="0" t="n">
        <f aca="false">(G1417-Stats!$B$2)/H1417</f>
        <v>1.43764293642741</v>
      </c>
    </row>
    <row r="1418" customFormat="false" ht="15" hidden="false" customHeight="false" outlineLevel="0" collapsed="false">
      <c r="A1418" s="0" t="n">
        <v>0.584543113259458</v>
      </c>
      <c r="B1418" s="0" t="n">
        <v>0.969321812284179</v>
      </c>
      <c r="C1418" s="0" t="n">
        <v>0.377839213727187</v>
      </c>
      <c r="D1418" s="0" t="n">
        <f aca="false">A1418/SUM($A1418:$C1418)</f>
        <v>0.302604887247439</v>
      </c>
      <c r="E1418" s="0" t="n">
        <f aca="false">B1418/SUM($A1418:$C1418)</f>
        <v>0.50179620811398</v>
      </c>
      <c r="F1418" s="0" t="n">
        <f aca="false">C1418/SUM($A1418:$C1418)</f>
        <v>0.195598904638581</v>
      </c>
      <c r="G1418" s="0" t="n">
        <f aca="false">SUMPRODUCT(D1418:F1418,Stats!$B$6:$D$6)</f>
        <v>0.379962844244967</v>
      </c>
      <c r="H1418" s="0" t="n">
        <f aca="false">SQRT(SUMPRODUCT(MMULT(D1418:F1418,Stats!$B$12:$D$14),D1418:F1418))</f>
        <v>0.229543071370018</v>
      </c>
      <c r="I1418" s="0" t="n">
        <f aca="false">(G1418-Stats!$B$2)/H1418</f>
        <v>1.47232866680685</v>
      </c>
    </row>
    <row r="1419" customFormat="false" ht="15" hidden="false" customHeight="false" outlineLevel="0" collapsed="false">
      <c r="A1419" s="0" t="n">
        <v>0.0620367636287815</v>
      </c>
      <c r="B1419" s="0" t="n">
        <v>0.339305267309567</v>
      </c>
      <c r="C1419" s="0" t="n">
        <v>0.505931654319558</v>
      </c>
      <c r="D1419" s="0" t="n">
        <f aca="false">A1419/SUM($A1419:$C1419)</f>
        <v>0.0683771221813257</v>
      </c>
      <c r="E1419" s="0" t="n">
        <f aca="false">B1419/SUM($A1419:$C1419)</f>
        <v>0.373983366676302</v>
      </c>
      <c r="F1419" s="0" t="n">
        <f aca="false">C1419/SUM($A1419:$C1419)</f>
        <v>0.557639511142373</v>
      </c>
      <c r="G1419" s="0" t="n">
        <f aca="false">SUMPRODUCT(D1419:F1419,Stats!$B$6:$D$6)</f>
        <v>0.362625528297363</v>
      </c>
      <c r="H1419" s="0" t="n">
        <f aca="false">SQRT(SUMPRODUCT(MMULT(D1419:F1419,Stats!$B$12:$D$14),D1419:F1419))</f>
        <v>0.23965770162614</v>
      </c>
      <c r="I1419" s="0" t="n">
        <f aca="false">(G1419-Stats!$B$2)/H1419</f>
        <v>1.33784779759564</v>
      </c>
    </row>
    <row r="1420" customFormat="false" ht="15" hidden="false" customHeight="false" outlineLevel="0" collapsed="false">
      <c r="A1420" s="0" t="n">
        <v>0.161923006632214</v>
      </c>
      <c r="B1420" s="0" t="n">
        <v>0.658102218056492</v>
      </c>
      <c r="C1420" s="0" t="n">
        <v>0.997749389010201</v>
      </c>
      <c r="D1420" s="0" t="n">
        <f aca="false">A1420/SUM($A1420:$C1420)</f>
        <v>0.0890776036874693</v>
      </c>
      <c r="E1420" s="0" t="n">
        <f aca="false">B1420/SUM($A1420:$C1420)</f>
        <v>0.362037302698023</v>
      </c>
      <c r="F1420" s="0" t="n">
        <f aca="false">C1420/SUM($A1420:$C1420)</f>
        <v>0.548885093614508</v>
      </c>
      <c r="G1420" s="0" t="n">
        <f aca="false">SUMPRODUCT(D1420:F1420,Stats!$B$6:$D$6)</f>
        <v>0.362179566933746</v>
      </c>
      <c r="H1420" s="0" t="n">
        <f aca="false">SQRT(SUMPRODUCT(MMULT(D1420:F1420,Stats!$B$12:$D$14),D1420:F1420))</f>
        <v>0.238352620907377</v>
      </c>
      <c r="I1420" s="0" t="n">
        <f aca="false">(G1420-Stats!$B$2)/H1420</f>
        <v>1.34330206110117</v>
      </c>
    </row>
    <row r="1421" customFormat="false" ht="15" hidden="false" customHeight="false" outlineLevel="0" collapsed="false">
      <c r="A1421" s="0" t="n">
        <v>0.451739475981444</v>
      </c>
      <c r="B1421" s="0" t="n">
        <v>0.354728556730213</v>
      </c>
      <c r="C1421" s="0" t="n">
        <v>0.400704166834467</v>
      </c>
      <c r="D1421" s="0" t="n">
        <f aca="false">A1421/SUM($A1421:$C1421)</f>
        <v>0.374212954996222</v>
      </c>
      <c r="E1421" s="0" t="n">
        <f aca="false">B1421/SUM($A1421:$C1421)</f>
        <v>0.293850833264372</v>
      </c>
      <c r="F1421" s="0" t="n">
        <f aca="false">C1421/SUM($A1421:$C1421)</f>
        <v>0.331936211739406</v>
      </c>
      <c r="G1421" s="0" t="n">
        <f aca="false">SUMPRODUCT(D1421:F1421,Stats!$B$6:$D$6)</f>
        <v>0.364238487709333</v>
      </c>
      <c r="H1421" s="0" t="n">
        <f aca="false">SQRT(SUMPRODUCT(MMULT(D1421:F1421,Stats!$B$12:$D$14),D1421:F1421))</f>
        <v>0.224992120378565</v>
      </c>
      <c r="I1421" s="0" t="n">
        <f aca="false">(G1421-Stats!$B$2)/H1421</f>
        <v>1.43222121364581</v>
      </c>
    </row>
    <row r="1422" customFormat="false" ht="15" hidden="false" customHeight="false" outlineLevel="0" collapsed="false">
      <c r="A1422" s="0" t="n">
        <v>0.115146178395201</v>
      </c>
      <c r="B1422" s="0" t="n">
        <v>0.883273601426224</v>
      </c>
      <c r="C1422" s="0" t="n">
        <v>0.414825655521352</v>
      </c>
      <c r="D1422" s="0" t="n">
        <f aca="false">A1422/SUM($A1422:$C1422)</f>
        <v>0.0814764198175336</v>
      </c>
      <c r="E1422" s="0" t="n">
        <f aca="false">B1422/SUM($A1422:$C1422)</f>
        <v>0.624996606631168</v>
      </c>
      <c r="F1422" s="0" t="n">
        <f aca="false">C1422/SUM($A1422:$C1422)</f>
        <v>0.293526973551298</v>
      </c>
      <c r="G1422" s="0" t="n">
        <f aca="false">SUMPRODUCT(D1422:F1422,Stats!$B$6:$D$6)</f>
        <v>0.384351306885338</v>
      </c>
      <c r="H1422" s="0" t="n">
        <f aca="false">SQRT(SUMPRODUCT(MMULT(D1422:F1422,Stats!$B$12:$D$14),D1422:F1422))</f>
        <v>0.239196157633391</v>
      </c>
      <c r="I1422" s="0" t="n">
        <f aca="false">(G1422-Stats!$B$2)/H1422</f>
        <v>1.43125755142794</v>
      </c>
    </row>
    <row r="1423" customFormat="false" ht="15" hidden="false" customHeight="false" outlineLevel="0" collapsed="false">
      <c r="A1423" s="0" t="n">
        <v>0.387274411424841</v>
      </c>
      <c r="B1423" s="0" t="n">
        <v>0.659690272930474</v>
      </c>
      <c r="C1423" s="0" t="n">
        <v>0.442033420931124</v>
      </c>
      <c r="D1423" s="0" t="n">
        <f aca="false">A1423/SUM($A1423:$C1423)</f>
        <v>0.260090600552068</v>
      </c>
      <c r="E1423" s="0" t="n">
        <f aca="false">B1423/SUM($A1423:$C1423)</f>
        <v>0.443043057333891</v>
      </c>
      <c r="F1423" s="0" t="n">
        <f aca="false">C1423/SUM($A1423:$C1423)</f>
        <v>0.296866342114041</v>
      </c>
      <c r="G1423" s="0" t="n">
        <f aca="false">SUMPRODUCT(D1423:F1423,Stats!$B$6:$D$6)</f>
        <v>0.373789853352914</v>
      </c>
      <c r="H1423" s="0" t="n">
        <f aca="false">SQRT(SUMPRODUCT(MMULT(D1423:F1423,Stats!$B$12:$D$14),D1423:F1423))</f>
        <v>0.229544115337193</v>
      </c>
      <c r="I1423" s="0" t="n">
        <f aca="false">(G1423-Stats!$B$2)/H1423</f>
        <v>1.44542957620815</v>
      </c>
    </row>
    <row r="1424" customFormat="false" ht="15" hidden="false" customHeight="false" outlineLevel="0" collapsed="false">
      <c r="A1424" s="0" t="n">
        <v>0.648233468807846</v>
      </c>
      <c r="B1424" s="0" t="n">
        <v>0.0614462901307875</v>
      </c>
      <c r="C1424" s="0" t="n">
        <v>0.813723343722227</v>
      </c>
      <c r="D1424" s="0" t="n">
        <f aca="false">A1424/SUM($A1424:$C1424)</f>
        <v>0.425516705116069</v>
      </c>
      <c r="E1424" s="0" t="n">
        <f aca="false">B1424/SUM($A1424:$C1424)</f>
        <v>0.040334885772165</v>
      </c>
      <c r="F1424" s="0" t="n">
        <f aca="false">C1424/SUM($A1424:$C1424)</f>
        <v>0.534148409111766</v>
      </c>
      <c r="G1424" s="0" t="n">
        <f aca="false">SUMPRODUCT(D1424:F1424,Stats!$B$6:$D$6)</f>
        <v>0.344075584642259</v>
      </c>
      <c r="H1424" s="0" t="n">
        <f aca="false">SQRT(SUMPRODUCT(MMULT(D1424:F1424,Stats!$B$12:$D$14),D1424:F1424))</f>
        <v>0.225313804298631</v>
      </c>
      <c r="I1424" s="0" t="n">
        <f aca="false">(G1424-Stats!$B$2)/H1424</f>
        <v>1.34068831504832</v>
      </c>
    </row>
    <row r="1425" customFormat="false" ht="15" hidden="false" customHeight="false" outlineLevel="0" collapsed="false">
      <c r="A1425" s="0" t="n">
        <v>0.940503952879403</v>
      </c>
      <c r="B1425" s="0" t="n">
        <v>0.648765386159386</v>
      </c>
      <c r="C1425" s="0" t="n">
        <v>0.954565928858811</v>
      </c>
      <c r="D1425" s="0" t="n">
        <f aca="false">A1425/SUM($A1425:$C1425)</f>
        <v>0.369718890506892</v>
      </c>
      <c r="E1425" s="0" t="n">
        <f aca="false">B1425/SUM($A1425:$C1425)</f>
        <v>0.255034354758188</v>
      </c>
      <c r="F1425" s="0" t="n">
        <f aca="false">C1425/SUM($A1425:$C1425)</f>
        <v>0.37524675473492</v>
      </c>
      <c r="G1425" s="0" t="n">
        <f aca="false">SUMPRODUCT(D1425:F1425,Stats!$B$6:$D$6)</f>
        <v>0.360810766210281</v>
      </c>
      <c r="H1425" s="0" t="n">
        <f aca="false">SQRT(SUMPRODUCT(MMULT(D1425:F1425,Stats!$B$12:$D$14),D1425:F1425))</f>
        <v>0.225006788466121</v>
      </c>
      <c r="I1425" s="0" t="n">
        <f aca="false">(G1425-Stats!$B$2)/H1425</f>
        <v>1.41689398965972</v>
      </c>
    </row>
    <row r="1426" customFormat="false" ht="15" hidden="false" customHeight="false" outlineLevel="0" collapsed="false">
      <c r="A1426" s="0" t="n">
        <v>0.151432314369963</v>
      </c>
      <c r="B1426" s="0" t="n">
        <v>0.477416189480354</v>
      </c>
      <c r="C1426" s="0" t="n">
        <v>0.601806733945447</v>
      </c>
      <c r="D1426" s="0" t="n">
        <f aca="false">A1426/SUM($A1426:$C1426)</f>
        <v>0.123050152243446</v>
      </c>
      <c r="E1426" s="0" t="n">
        <f aca="false">B1426/SUM($A1426:$C1426)</f>
        <v>0.387936584364161</v>
      </c>
      <c r="F1426" s="0" t="n">
        <f aca="false">C1426/SUM($A1426:$C1426)</f>
        <v>0.489013263392392</v>
      </c>
      <c r="G1426" s="0" t="n">
        <f aca="false">SUMPRODUCT(D1426:F1426,Stats!$B$6:$D$6)</f>
        <v>0.365320720770489</v>
      </c>
      <c r="H1426" s="0" t="n">
        <f aca="false">SQRT(SUMPRODUCT(MMULT(D1426:F1426,Stats!$B$12:$D$14),D1426:F1426))</f>
        <v>0.23584787917534</v>
      </c>
      <c r="I1426" s="0" t="n">
        <f aca="false">(G1426-Stats!$B$2)/H1426</f>
        <v>1.37088669993983</v>
      </c>
    </row>
    <row r="1427" customFormat="false" ht="15" hidden="false" customHeight="false" outlineLevel="0" collapsed="false">
      <c r="A1427" s="0" t="n">
        <v>0.581736647421187</v>
      </c>
      <c r="B1427" s="0" t="n">
        <v>0.401461779089043</v>
      </c>
      <c r="C1427" s="0" t="n">
        <v>0.338084409366261</v>
      </c>
      <c r="D1427" s="0" t="n">
        <f aca="false">A1427/SUM($A1427:$C1427)</f>
        <v>0.44028169565624</v>
      </c>
      <c r="E1427" s="0" t="n">
        <f aca="false">B1427/SUM($A1427:$C1427)</f>
        <v>0.303842423581268</v>
      </c>
      <c r="F1427" s="0" t="n">
        <f aca="false">C1427/SUM($A1427:$C1427)</f>
        <v>0.255875880762493</v>
      </c>
      <c r="G1427" s="0" t="n">
        <f aca="false">SUMPRODUCT(D1427:F1427,Stats!$B$6:$D$6)</f>
        <v>0.366910725256652</v>
      </c>
      <c r="H1427" s="0" t="n">
        <f aca="false">SQRT(SUMPRODUCT(MMULT(D1427:F1427,Stats!$B$12:$D$14),D1427:F1427))</f>
        <v>0.223910838953506</v>
      </c>
      <c r="I1427" s="0" t="n">
        <f aca="false">(G1427-Stats!$B$2)/H1427</f>
        <v>1.45107189439864</v>
      </c>
    </row>
    <row r="1428" customFormat="false" ht="15" hidden="false" customHeight="false" outlineLevel="0" collapsed="false">
      <c r="A1428" s="0" t="n">
        <v>0.126824022550419</v>
      </c>
      <c r="B1428" s="0" t="n">
        <v>0.391742450562278</v>
      </c>
      <c r="C1428" s="0" t="n">
        <v>0.162660815105485</v>
      </c>
      <c r="D1428" s="0" t="n">
        <f aca="false">A1428/SUM($A1428:$C1428)</f>
        <v>0.186169909432342</v>
      </c>
      <c r="E1428" s="0" t="n">
        <f aca="false">B1428/SUM($A1428:$C1428)</f>
        <v>0.575053961192482</v>
      </c>
      <c r="F1428" s="0" t="n">
        <f aca="false">C1428/SUM($A1428:$C1428)</f>
        <v>0.238776129375176</v>
      </c>
      <c r="G1428" s="0" t="n">
        <f aca="false">SUMPRODUCT(D1428:F1428,Stats!$B$6:$D$6)</f>
        <v>0.382987405176172</v>
      </c>
      <c r="H1428" s="0" t="n">
        <f aca="false">SQRT(SUMPRODUCT(MMULT(D1428:F1428,Stats!$B$12:$D$14),D1428:F1428))</f>
        <v>0.234114863297203</v>
      </c>
      <c r="I1428" s="0" t="n">
        <f aca="false">(G1428-Stats!$B$2)/H1428</f>
        <v>1.45649618470954</v>
      </c>
    </row>
    <row r="1429" customFormat="false" ht="15" hidden="false" customHeight="false" outlineLevel="0" collapsed="false">
      <c r="A1429" s="0" t="n">
        <v>0.734365676492218</v>
      </c>
      <c r="B1429" s="0" t="n">
        <v>0.20883093549459</v>
      </c>
      <c r="C1429" s="0" t="n">
        <v>0.0585653052845339</v>
      </c>
      <c r="D1429" s="0" t="n">
        <f aca="false">A1429/SUM($A1429:$C1429)</f>
        <v>0.733074060643598</v>
      </c>
      <c r="E1429" s="0" t="n">
        <f aca="false">B1429/SUM($A1429:$C1429)</f>
        <v>0.208463639807167</v>
      </c>
      <c r="F1429" s="0" t="n">
        <f aca="false">C1429/SUM($A1429:$C1429)</f>
        <v>0.0584622995492357</v>
      </c>
      <c r="G1429" s="0" t="n">
        <f aca="false">SUMPRODUCT(D1429:F1429,Stats!$B$6:$D$6)</f>
        <v>0.366866357057335</v>
      </c>
      <c r="H1429" s="0" t="n">
        <f aca="false">SQRT(SUMPRODUCT(MMULT(D1429:F1429,Stats!$B$12:$D$14),D1429:F1429))</f>
        <v>0.225735484621925</v>
      </c>
      <c r="I1429" s="0" t="n">
        <f aca="false">(G1429-Stats!$B$2)/H1429</f>
        <v>1.43914616526259</v>
      </c>
    </row>
    <row r="1430" customFormat="false" ht="15" hidden="false" customHeight="false" outlineLevel="0" collapsed="false">
      <c r="A1430" s="0" t="n">
        <v>0.552366137817234</v>
      </c>
      <c r="B1430" s="0" t="n">
        <v>0.595229732719402</v>
      </c>
      <c r="C1430" s="0" t="n">
        <v>0.871913061280506</v>
      </c>
      <c r="D1430" s="0" t="n">
        <f aca="false">A1430/SUM($A1430:$C1430)</f>
        <v>0.273515075429856</v>
      </c>
      <c r="E1430" s="0" t="n">
        <f aca="false">B1430/SUM($A1430:$C1430)</f>
        <v>0.294739836670996</v>
      </c>
      <c r="F1430" s="0" t="n">
        <f aca="false">C1430/SUM($A1430:$C1430)</f>
        <v>0.431745087899148</v>
      </c>
      <c r="G1430" s="0" t="n">
        <f aca="false">SUMPRODUCT(D1430:F1430,Stats!$B$6:$D$6)</f>
        <v>0.361537448443143</v>
      </c>
      <c r="H1430" s="0" t="n">
        <f aca="false">SQRT(SUMPRODUCT(MMULT(D1430:F1430,Stats!$B$12:$D$14),D1430:F1430))</f>
        <v>0.22844333496078</v>
      </c>
      <c r="I1430" s="0" t="n">
        <f aca="false">(G1430-Stats!$B$2)/H1430</f>
        <v>1.39876021551691</v>
      </c>
    </row>
    <row r="1431" customFormat="false" ht="15" hidden="false" customHeight="false" outlineLevel="0" collapsed="false">
      <c r="A1431" s="0" t="n">
        <v>0.576981612417682</v>
      </c>
      <c r="B1431" s="0" t="n">
        <v>0.345480853723446</v>
      </c>
      <c r="C1431" s="0" t="n">
        <v>0.803011881526321</v>
      </c>
      <c r="D1431" s="0" t="n">
        <f aca="false">A1431/SUM($A1431:$C1431)</f>
        <v>0.33439014216448</v>
      </c>
      <c r="E1431" s="0" t="n">
        <f aca="false">B1431/SUM($A1431:$C1431)</f>
        <v>0.200223697437448</v>
      </c>
      <c r="F1431" s="0" t="n">
        <f aca="false">C1431/SUM($A1431:$C1431)</f>
        <v>0.465386160398071</v>
      </c>
      <c r="G1431" s="0" t="n">
        <f aca="false">SUMPRODUCT(D1431:F1431,Stats!$B$6:$D$6)</f>
        <v>0.355171472486369</v>
      </c>
      <c r="H1431" s="0" t="n">
        <f aca="false">SQRT(SUMPRODUCT(MMULT(D1431:F1431,Stats!$B$12:$D$14),D1431:F1431))</f>
        <v>0.226531796187215</v>
      </c>
      <c r="I1431" s="0" t="n">
        <f aca="false">(G1431-Stats!$B$2)/H1431</f>
        <v>1.38246143701413</v>
      </c>
    </row>
    <row r="1432" customFormat="false" ht="15" hidden="false" customHeight="false" outlineLevel="0" collapsed="false">
      <c r="A1432" s="0" t="n">
        <v>0.540278893187421</v>
      </c>
      <c r="B1432" s="0" t="n">
        <v>0.0792802846311917</v>
      </c>
      <c r="C1432" s="0" t="n">
        <v>0.565850560313247</v>
      </c>
      <c r="D1432" s="0" t="n">
        <f aca="false">A1432/SUM($A1432:$C1432)</f>
        <v>0.455773962207254</v>
      </c>
      <c r="E1432" s="0" t="n">
        <f aca="false">B1432/SUM($A1432:$C1432)</f>
        <v>0.0668800686217857</v>
      </c>
      <c r="F1432" s="0" t="n">
        <f aca="false">C1432/SUM($A1432:$C1432)</f>
        <v>0.47734596917096</v>
      </c>
      <c r="G1432" s="0" t="n">
        <f aca="false">SUMPRODUCT(D1432:F1432,Stats!$B$6:$D$6)</f>
        <v>0.347169265540669</v>
      </c>
      <c r="H1432" s="0" t="n">
        <f aca="false">SQRT(SUMPRODUCT(MMULT(D1432:F1432,Stats!$B$12:$D$14),D1432:F1432))</f>
        <v>0.223769758121404</v>
      </c>
      <c r="I1432" s="0" t="n">
        <f aca="false">(G1432-Stats!$B$2)/H1432</f>
        <v>1.36376455917292</v>
      </c>
    </row>
    <row r="1433" customFormat="false" ht="15" hidden="false" customHeight="false" outlineLevel="0" collapsed="false">
      <c r="A1433" s="0" t="n">
        <v>0.908018545421662</v>
      </c>
      <c r="B1433" s="0" t="n">
        <v>0.396312625498221</v>
      </c>
      <c r="C1433" s="0" t="n">
        <v>0.2963258018998</v>
      </c>
      <c r="D1433" s="0" t="n">
        <f aca="false">A1433/SUM($A1433:$C1433)</f>
        <v>0.567278661724827</v>
      </c>
      <c r="E1433" s="0" t="n">
        <f aca="false">B1433/SUM($A1433:$C1433)</f>
        <v>0.247593726968299</v>
      </c>
      <c r="F1433" s="0" t="n">
        <f aca="false">C1433/SUM($A1433:$C1433)</f>
        <v>0.185127611306874</v>
      </c>
      <c r="G1433" s="0" t="n">
        <f aca="false">SUMPRODUCT(D1433:F1433,Stats!$B$6:$D$6)</f>
        <v>0.365625104373829</v>
      </c>
      <c r="H1433" s="0" t="n">
        <f aca="false">SQRT(SUMPRODUCT(MMULT(D1433:F1433,Stats!$B$12:$D$14),D1433:F1433))</f>
        <v>0.222874670061251</v>
      </c>
      <c r="I1433" s="0" t="n">
        <f aca="false">(G1433-Stats!$B$2)/H1433</f>
        <v>1.45204972949546</v>
      </c>
    </row>
    <row r="1434" customFormat="false" ht="15" hidden="false" customHeight="false" outlineLevel="0" collapsed="false">
      <c r="A1434" s="0" t="n">
        <v>0.14346945701802</v>
      </c>
      <c r="B1434" s="0" t="n">
        <v>0.151445521935357</v>
      </c>
      <c r="C1434" s="0" t="n">
        <v>0.432771484341819</v>
      </c>
      <c r="D1434" s="0" t="n">
        <f aca="false">A1434/SUM($A1434:$C1434)</f>
        <v>0.197158342575654</v>
      </c>
      <c r="E1434" s="0" t="n">
        <f aca="false">B1434/SUM($A1434:$C1434)</f>
        <v>0.208119196349433</v>
      </c>
      <c r="F1434" s="0" t="n">
        <f aca="false">C1434/SUM($A1434:$C1434)</f>
        <v>0.594722461074914</v>
      </c>
      <c r="G1434" s="0" t="n">
        <f aca="false">SUMPRODUCT(D1434:F1434,Stats!$B$6:$D$6)</f>
        <v>0.352059370529013</v>
      </c>
      <c r="H1434" s="0" t="n">
        <f aca="false">SQRT(SUMPRODUCT(MMULT(D1434:F1434,Stats!$B$12:$D$14),D1434:F1434))</f>
        <v>0.233757367400946</v>
      </c>
      <c r="I1434" s="0" t="n">
        <f aca="false">(G1434-Stats!$B$2)/H1434</f>
        <v>1.32641539377534</v>
      </c>
    </row>
    <row r="1435" customFormat="false" ht="15" hidden="false" customHeight="false" outlineLevel="0" collapsed="false">
      <c r="A1435" s="0" t="n">
        <v>0.59567982416153</v>
      </c>
      <c r="B1435" s="0" t="n">
        <v>0.0806154051696018</v>
      </c>
      <c r="C1435" s="0" t="n">
        <v>0.939568589025166</v>
      </c>
      <c r="D1435" s="0" t="n">
        <f aca="false">A1435/SUM($A1435:$C1435)</f>
        <v>0.368644818576031</v>
      </c>
      <c r="E1435" s="0" t="n">
        <f aca="false">B1435/SUM($A1435:$C1435)</f>
        <v>0.0498899747947856</v>
      </c>
      <c r="F1435" s="0" t="n">
        <f aca="false">C1435/SUM($A1435:$C1435)</f>
        <v>0.581465206629184</v>
      </c>
      <c r="G1435" s="0" t="n">
        <f aca="false">SUMPRODUCT(D1435:F1435,Stats!$B$6:$D$6)</f>
        <v>0.343320629605165</v>
      </c>
      <c r="H1435" s="0" t="n">
        <f aca="false">SQRT(SUMPRODUCT(MMULT(D1435:F1435,Stats!$B$12:$D$14),D1435:F1435))</f>
        <v>0.227619846739371</v>
      </c>
      <c r="I1435" s="0" t="n">
        <f aca="false">(G1435-Stats!$B$2)/H1435</f>
        <v>1.32378891349568</v>
      </c>
    </row>
    <row r="1436" customFormat="false" ht="15" hidden="false" customHeight="false" outlineLevel="0" collapsed="false">
      <c r="A1436" s="0" t="n">
        <v>0.755133617445196</v>
      </c>
      <c r="B1436" s="0" t="n">
        <v>0.586623918283663</v>
      </c>
      <c r="C1436" s="0" t="n">
        <v>0.828438670938991</v>
      </c>
      <c r="D1436" s="0" t="n">
        <f aca="false">A1436/SUM($A1436:$C1436)</f>
        <v>0.347956380683495</v>
      </c>
      <c r="E1436" s="0" t="n">
        <f aca="false">B1436/SUM($A1436:$C1436)</f>
        <v>0.270309162130724</v>
      </c>
      <c r="F1436" s="0" t="n">
        <f aca="false">C1436/SUM($A1436:$C1436)</f>
        <v>0.38173445718578</v>
      </c>
      <c r="G1436" s="0" t="n">
        <f aca="false">SUMPRODUCT(D1436:F1436,Stats!$B$6:$D$6)</f>
        <v>0.36151076295692</v>
      </c>
      <c r="H1436" s="0" t="n">
        <f aca="false">SQRT(SUMPRODUCT(MMULT(D1436:F1436,Stats!$B$12:$D$14),D1436:F1436))</f>
        <v>0.225675767732824</v>
      </c>
      <c r="I1436" s="0" t="n">
        <f aca="false">(G1436-Stats!$B$2)/H1436</f>
        <v>1.41579561761007</v>
      </c>
    </row>
    <row r="1437" customFormat="false" ht="15" hidden="false" customHeight="false" outlineLevel="0" collapsed="false">
      <c r="A1437" s="0" t="n">
        <v>0.0801867568121133</v>
      </c>
      <c r="B1437" s="0" t="n">
        <v>0.476838877733124</v>
      </c>
      <c r="C1437" s="0" t="n">
        <v>0.630093126861663</v>
      </c>
      <c r="D1437" s="0" t="n">
        <f aca="false">A1437/SUM($A1437:$C1437)</f>
        <v>0.0675473755608755</v>
      </c>
      <c r="E1437" s="0" t="n">
        <f aca="false">B1437/SUM($A1437:$C1437)</f>
        <v>0.401677484372334</v>
      </c>
      <c r="F1437" s="0" t="n">
        <f aca="false">C1437/SUM($A1437:$C1437)</f>
        <v>0.530775140066791</v>
      </c>
      <c r="G1437" s="0" t="n">
        <f aca="false">SUMPRODUCT(D1437:F1437,Stats!$B$6:$D$6)</f>
        <v>0.364959786685626</v>
      </c>
      <c r="H1437" s="0" t="n">
        <f aca="false">SQRT(SUMPRODUCT(MMULT(D1437:F1437,Stats!$B$12:$D$14),D1437:F1437))</f>
        <v>0.23937436167281</v>
      </c>
      <c r="I1437" s="0" t="n">
        <f aca="false">(G1437-Stats!$B$2)/H1437</f>
        <v>1.34918286331376</v>
      </c>
    </row>
    <row r="1438" customFormat="false" ht="15" hidden="false" customHeight="false" outlineLevel="0" collapsed="false">
      <c r="A1438" s="0" t="n">
        <v>0.828652906118289</v>
      </c>
      <c r="B1438" s="0" t="n">
        <v>0.783469560049268</v>
      </c>
      <c r="C1438" s="0" t="n">
        <v>0.2770692497134</v>
      </c>
      <c r="D1438" s="0" t="n">
        <f aca="false">A1438/SUM($A1438:$C1438)</f>
        <v>0.438628276395907</v>
      </c>
      <c r="E1438" s="0" t="n">
        <f aca="false">B1438/SUM($A1438:$C1438)</f>
        <v>0.414711515757375</v>
      </c>
      <c r="F1438" s="0" t="n">
        <f aca="false">C1438/SUM($A1438:$C1438)</f>
        <v>0.146660207846718</v>
      </c>
      <c r="G1438" s="0" t="n">
        <f aca="false">SUMPRODUCT(D1438:F1438,Stats!$B$6:$D$6)</f>
        <v>0.376301569499503</v>
      </c>
      <c r="H1438" s="0" t="n">
        <f aca="false">SQRT(SUMPRODUCT(MMULT(D1438:F1438,Stats!$B$12:$D$14),D1438:F1438))</f>
        <v>0.226124733810288</v>
      </c>
      <c r="I1438" s="0" t="n">
        <f aca="false">(G1438-Stats!$B$2)/H1438</f>
        <v>1.47839452971992</v>
      </c>
    </row>
    <row r="1439" customFormat="false" ht="15" hidden="false" customHeight="false" outlineLevel="0" collapsed="false">
      <c r="A1439" s="0" t="n">
        <v>0.940880169559204</v>
      </c>
      <c r="B1439" s="0" t="n">
        <v>0.12434584143087</v>
      </c>
      <c r="C1439" s="0" t="n">
        <v>0.875133618621152</v>
      </c>
      <c r="D1439" s="0" t="n">
        <f aca="false">A1439/SUM($A1439:$C1439)</f>
        <v>0.484899889278628</v>
      </c>
      <c r="E1439" s="0" t="n">
        <f aca="false">B1439/SUM($A1439:$C1439)</f>
        <v>0.0640839149265255</v>
      </c>
      <c r="F1439" s="0" t="n">
        <f aca="false">C1439/SUM($A1439:$C1439)</f>
        <v>0.451016195794846</v>
      </c>
      <c r="G1439" s="0" t="n">
        <f aca="false">SUMPRODUCT(D1439:F1439,Stats!$B$6:$D$6)</f>
        <v>0.347734411849918</v>
      </c>
      <c r="H1439" s="0" t="n">
        <f aca="false">SQRT(SUMPRODUCT(MMULT(D1439:F1439,Stats!$B$12:$D$14),D1439:F1439))</f>
        <v>0.222976587539729</v>
      </c>
      <c r="I1439" s="0" t="n">
        <f aca="false">(G1439-Stats!$B$2)/H1439</f>
        <v>1.3711502863297</v>
      </c>
    </row>
    <row r="1440" customFormat="false" ht="15" hidden="false" customHeight="false" outlineLevel="0" collapsed="false">
      <c r="A1440" s="0" t="n">
        <v>0.970940249604619</v>
      </c>
      <c r="B1440" s="0" t="n">
        <v>0.177153523222626</v>
      </c>
      <c r="C1440" s="0" t="n">
        <v>0.722066064203785</v>
      </c>
      <c r="D1440" s="0" t="n">
        <f aca="false">A1440/SUM($A1440:$C1440)</f>
        <v>0.519175008669865</v>
      </c>
      <c r="E1440" s="0" t="n">
        <f aca="false">B1440/SUM($A1440:$C1440)</f>
        <v>0.0947264077191742</v>
      </c>
      <c r="F1440" s="0" t="n">
        <f aca="false">C1440/SUM($A1440:$C1440)</f>
        <v>0.386098583610961</v>
      </c>
      <c r="G1440" s="0" t="n">
        <f aca="false">SUMPRODUCT(D1440:F1440,Stats!$B$6:$D$6)</f>
        <v>0.351287619412748</v>
      </c>
      <c r="H1440" s="0" t="n">
        <f aca="false">SQRT(SUMPRODUCT(MMULT(D1440:F1440,Stats!$B$12:$D$14),D1440:F1440))</f>
        <v>0.22199270415597</v>
      </c>
      <c r="I1440" s="0" t="n">
        <f aca="false">(G1440-Stats!$B$2)/H1440</f>
        <v>1.39323326227625</v>
      </c>
    </row>
    <row r="1441" customFormat="false" ht="15" hidden="false" customHeight="false" outlineLevel="0" collapsed="false">
      <c r="A1441" s="0" t="n">
        <v>0.0402855187779985</v>
      </c>
      <c r="B1441" s="0" t="n">
        <v>0.405422825139155</v>
      </c>
      <c r="C1441" s="0" t="n">
        <v>0.516283299197674</v>
      </c>
      <c r="D1441" s="0" t="n">
        <f aca="false">A1441/SUM($A1441:$C1441)</f>
        <v>0.0418772024334413</v>
      </c>
      <c r="E1441" s="0" t="n">
        <f aca="false">B1441/SUM($A1441:$C1441)</f>
        <v>0.421441109224648</v>
      </c>
      <c r="F1441" s="0" t="n">
        <f aca="false">C1441/SUM($A1441:$C1441)</f>
        <v>0.53668168834191</v>
      </c>
      <c r="G1441" s="0" t="n">
        <f aca="false">SUMPRODUCT(D1441:F1441,Stats!$B$6:$D$6)</f>
        <v>0.365934089283161</v>
      </c>
      <c r="H1441" s="0" t="n">
        <f aca="false">SQRT(SUMPRODUCT(MMULT(D1441:F1441,Stats!$B$12:$D$14),D1441:F1441))</f>
        <v>0.240983535360776</v>
      </c>
      <c r="I1441" s="0" t="n">
        <f aca="false">(G1441-Stats!$B$2)/H1441</f>
        <v>1.34421668599973</v>
      </c>
    </row>
    <row r="1442" customFormat="false" ht="15" hidden="false" customHeight="false" outlineLevel="0" collapsed="false">
      <c r="A1442" s="0" t="n">
        <v>0.580645225909634</v>
      </c>
      <c r="B1442" s="0" t="n">
        <v>0.93593724824856</v>
      </c>
      <c r="C1442" s="0" t="n">
        <v>0.672250687294195</v>
      </c>
      <c r="D1442" s="0" t="n">
        <f aca="false">A1442/SUM($A1442:$C1442)</f>
        <v>0.265276146275283</v>
      </c>
      <c r="E1442" s="0" t="n">
        <f aca="false">B1442/SUM($A1442:$C1442)</f>
        <v>0.427596431163133</v>
      </c>
      <c r="F1442" s="0" t="n">
        <f aca="false">C1442/SUM($A1442:$C1442)</f>
        <v>0.307127422561584</v>
      </c>
      <c r="G1442" s="0" t="n">
        <f aca="false">SUMPRODUCT(D1442:F1442,Stats!$B$6:$D$6)</f>
        <v>0.372618129128504</v>
      </c>
      <c r="H1442" s="0" t="n">
        <f aca="false">SQRT(SUMPRODUCT(MMULT(D1442:F1442,Stats!$B$12:$D$14),D1442:F1442))</f>
        <v>0.229197892954126</v>
      </c>
      <c r="I1442" s="0" t="n">
        <f aca="false">(G1442-Stats!$B$2)/H1442</f>
        <v>1.44250073535658</v>
      </c>
    </row>
    <row r="1443" customFormat="false" ht="15" hidden="false" customHeight="false" outlineLevel="0" collapsed="false">
      <c r="A1443" s="0" t="n">
        <v>0.481277951219237</v>
      </c>
      <c r="B1443" s="0" t="n">
        <v>0.809675036265889</v>
      </c>
      <c r="C1443" s="0" t="n">
        <v>0.950532820954409</v>
      </c>
      <c r="D1443" s="0" t="n">
        <f aca="false">A1443/SUM($A1443:$C1443)</f>
        <v>0.214713806978903</v>
      </c>
      <c r="E1443" s="0" t="n">
        <f aca="false">B1443/SUM($A1443:$C1443)</f>
        <v>0.361222468247329</v>
      </c>
      <c r="F1443" s="0" t="n">
        <f aca="false">C1443/SUM($A1443:$C1443)</f>
        <v>0.424063724773768</v>
      </c>
      <c r="G1443" s="0" t="n">
        <f aca="false">SUMPRODUCT(D1443:F1443,Stats!$B$6:$D$6)</f>
        <v>0.365574583651033</v>
      </c>
      <c r="H1443" s="0" t="n">
        <f aca="false">SQRT(SUMPRODUCT(MMULT(D1443:F1443,Stats!$B$12:$D$14),D1443:F1443))</f>
        <v>0.230933251870342</v>
      </c>
      <c r="I1443" s="0" t="n">
        <f aca="false">(G1443-Stats!$B$2)/H1443</f>
        <v>1.40116064287141</v>
      </c>
    </row>
    <row r="1444" customFormat="false" ht="15" hidden="false" customHeight="false" outlineLevel="0" collapsed="false">
      <c r="A1444" s="0" t="n">
        <v>0.0220661486822908</v>
      </c>
      <c r="B1444" s="0" t="n">
        <v>0.982521272256039</v>
      </c>
      <c r="C1444" s="0" t="n">
        <v>0.0861321390636803</v>
      </c>
      <c r="D1444" s="0" t="n">
        <f aca="false">A1444/SUM($A1444:$C1444)</f>
        <v>0.0202308177935767</v>
      </c>
      <c r="E1444" s="0" t="n">
        <f aca="false">B1444/SUM($A1444:$C1444)</f>
        <v>0.900801001729747</v>
      </c>
      <c r="F1444" s="0" t="n">
        <f aca="false">C1444/SUM($A1444:$C1444)</f>
        <v>0.0789681804766769</v>
      </c>
      <c r="G1444" s="0" t="n">
        <f aca="false">SUMPRODUCT(D1444:F1444,Stats!$B$6:$D$6)</f>
        <v>0.406137111008049</v>
      </c>
      <c r="H1444" s="0" t="n">
        <f aca="false">SQRT(SUMPRODUCT(MMULT(D1444:F1444,Stats!$B$12:$D$14),D1444:F1444))</f>
        <v>0.249571630024751</v>
      </c>
      <c r="I1444" s="0" t="n">
        <f aca="false">(G1444-Stats!$B$2)/H1444</f>
        <v>1.45904849430176</v>
      </c>
    </row>
    <row r="1445" customFormat="false" ht="15" hidden="false" customHeight="false" outlineLevel="0" collapsed="false">
      <c r="A1445" s="0" t="n">
        <v>0.814386779268761</v>
      </c>
      <c r="B1445" s="0" t="n">
        <v>0.280334752551413</v>
      </c>
      <c r="C1445" s="0" t="n">
        <v>0.132179657753872</v>
      </c>
      <c r="D1445" s="0" t="n">
        <f aca="false">A1445/SUM($A1445:$C1445)</f>
        <v>0.663775360387008</v>
      </c>
      <c r="E1445" s="0" t="n">
        <f aca="false">B1445/SUM($A1445:$C1445)</f>
        <v>0.228490081298836</v>
      </c>
      <c r="F1445" s="0" t="n">
        <f aca="false">C1445/SUM($A1445:$C1445)</f>
        <v>0.107734558314155</v>
      </c>
      <c r="G1445" s="0" t="n">
        <f aca="false">SUMPRODUCT(D1445:F1445,Stats!$B$6:$D$6)</f>
        <v>0.366659988996713</v>
      </c>
      <c r="H1445" s="0" t="n">
        <f aca="false">SQRT(SUMPRODUCT(MMULT(D1445:F1445,Stats!$B$12:$D$14),D1445:F1445))</f>
        <v>0.224113165317877</v>
      </c>
      <c r="I1445" s="0" t="n">
        <f aca="false">(G1445-Stats!$B$2)/H1445</f>
        <v>1.44864309303839</v>
      </c>
    </row>
    <row r="1446" customFormat="false" ht="15" hidden="false" customHeight="false" outlineLevel="0" collapsed="false">
      <c r="A1446" s="0" t="n">
        <v>0.439855639713835</v>
      </c>
      <c r="B1446" s="0" t="n">
        <v>0.643956579447614</v>
      </c>
      <c r="C1446" s="0" t="n">
        <v>0.380951845023475</v>
      </c>
      <c r="D1446" s="0" t="n">
        <f aca="false">A1446/SUM($A1446:$C1446)</f>
        <v>0.300291118869437</v>
      </c>
      <c r="E1446" s="0" t="n">
        <f aca="false">B1446/SUM($A1446:$C1446)</f>
        <v>0.439631607023311</v>
      </c>
      <c r="F1446" s="0" t="n">
        <f aca="false">C1446/SUM($A1446:$C1446)</f>
        <v>0.260077274107252</v>
      </c>
      <c r="G1446" s="0" t="n">
        <f aca="false">SUMPRODUCT(D1446:F1446,Stats!$B$6:$D$6)</f>
        <v>0.374608007317865</v>
      </c>
      <c r="H1446" s="0" t="n">
        <f aca="false">SQRT(SUMPRODUCT(MMULT(D1446:F1446,Stats!$B$12:$D$14),D1446:F1446))</f>
        <v>0.228365243626104</v>
      </c>
      <c r="I1446" s="0" t="n">
        <f aca="false">(G1446-Stats!$B$2)/H1446</f>
        <v>1.45647385756492</v>
      </c>
    </row>
    <row r="1447" customFormat="false" ht="15" hidden="false" customHeight="false" outlineLevel="0" collapsed="false">
      <c r="A1447" s="0" t="n">
        <v>0.054565408282699</v>
      </c>
      <c r="B1447" s="0" t="n">
        <v>0.599461139658717</v>
      </c>
      <c r="C1447" s="0" t="n">
        <v>0.902403276110675</v>
      </c>
      <c r="D1447" s="0" t="n">
        <f aca="false">A1447/SUM($A1447:$C1447)</f>
        <v>0.0350580587955071</v>
      </c>
      <c r="E1447" s="0" t="n">
        <f aca="false">B1447/SUM($A1447:$C1447)</f>
        <v>0.385151408945665</v>
      </c>
      <c r="F1447" s="0" t="n">
        <f aca="false">C1447/SUM($A1447:$C1447)</f>
        <v>0.579790532258828</v>
      </c>
      <c r="G1447" s="0" t="n">
        <f aca="false">SUMPRODUCT(D1447:F1447,Stats!$B$6:$D$6)</f>
        <v>0.362657317107472</v>
      </c>
      <c r="H1447" s="0" t="n">
        <f aca="false">SQRT(SUMPRODUCT(MMULT(D1447:F1447,Stats!$B$12:$D$14),D1447:F1447))</f>
        <v>0.241968798145822</v>
      </c>
      <c r="I1447" s="0" t="n">
        <f aca="false">(G1447-Stats!$B$2)/H1447</f>
        <v>1.32520109850787</v>
      </c>
    </row>
    <row r="1448" customFormat="false" ht="15" hidden="false" customHeight="false" outlineLevel="0" collapsed="false">
      <c r="A1448" s="0" t="n">
        <v>0.383215365947252</v>
      </c>
      <c r="B1448" s="0" t="n">
        <v>0.216332777630827</v>
      </c>
      <c r="C1448" s="0" t="n">
        <v>0.442577345932815</v>
      </c>
      <c r="D1448" s="0" t="n">
        <f aca="false">A1448/SUM($A1448:$C1448)</f>
        <v>0.367724779601263</v>
      </c>
      <c r="E1448" s="0" t="n">
        <f aca="false">B1448/SUM($A1448:$C1448)</f>
        <v>0.20758803024035</v>
      </c>
      <c r="F1448" s="0" t="n">
        <f aca="false">C1448/SUM($A1448:$C1448)</f>
        <v>0.424687190158387</v>
      </c>
      <c r="G1448" s="0" t="n">
        <f aca="false">SUMPRODUCT(D1448:F1448,Stats!$B$6:$D$6)</f>
        <v>0.35671746511509</v>
      </c>
      <c r="H1448" s="0" t="n">
        <f aca="false">SQRT(SUMPRODUCT(MMULT(D1448:F1448,Stats!$B$12:$D$14),D1448:F1448))</f>
        <v>0.225207930948197</v>
      </c>
      <c r="I1448" s="0" t="n">
        <f aca="false">(G1448-Stats!$B$2)/H1448</f>
        <v>1.3974528507501</v>
      </c>
    </row>
    <row r="1449" customFormat="false" ht="15" hidden="false" customHeight="false" outlineLevel="0" collapsed="false">
      <c r="A1449" s="0" t="n">
        <v>0.0483627110487809</v>
      </c>
      <c r="B1449" s="0" t="n">
        <v>0.820487584480275</v>
      </c>
      <c r="C1449" s="0" t="n">
        <v>0.826340810950187</v>
      </c>
      <c r="D1449" s="0" t="n">
        <f aca="false">A1449/SUM($A1449:$C1449)</f>
        <v>0.0285293562855139</v>
      </c>
      <c r="E1449" s="0" t="n">
        <f aca="false">B1449/SUM($A1449:$C1449)</f>
        <v>0.484008901028482</v>
      </c>
      <c r="F1449" s="0" t="n">
        <f aca="false">C1449/SUM($A1449:$C1449)</f>
        <v>0.487461742686004</v>
      </c>
      <c r="G1449" s="0" t="n">
        <f aca="false">SUMPRODUCT(D1449:F1449,Stats!$B$6:$D$6)</f>
        <v>0.37089138011412</v>
      </c>
      <c r="H1449" s="0" t="n">
        <f aca="false">SQRT(SUMPRODUCT(MMULT(D1449:F1449,Stats!$B$12:$D$14),D1449:F1449))</f>
        <v>0.241436778634002</v>
      </c>
      <c r="I1449" s="0" t="n">
        <f aca="false">(G1449-Stats!$B$2)/H1449</f>
        <v>1.36222568067267</v>
      </c>
    </row>
    <row r="1450" customFormat="false" ht="15" hidden="false" customHeight="false" outlineLevel="0" collapsed="false">
      <c r="A1450" s="0" t="n">
        <v>0.588000463429628</v>
      </c>
      <c r="B1450" s="0" t="n">
        <v>0.35310288893839</v>
      </c>
      <c r="C1450" s="0" t="n">
        <v>0.799783364445783</v>
      </c>
      <c r="D1450" s="0" t="n">
        <f aca="false">A1450/SUM($A1450:$C1450)</f>
        <v>0.33775917625806</v>
      </c>
      <c r="E1450" s="0" t="n">
        <f aca="false">B1450/SUM($A1450:$C1450)</f>
        <v>0.202829331471174</v>
      </c>
      <c r="F1450" s="0" t="n">
        <f aca="false">C1450/SUM($A1450:$C1450)</f>
        <v>0.459411492270766</v>
      </c>
      <c r="G1450" s="0" t="n">
        <f aca="false">SUMPRODUCT(D1450:F1450,Stats!$B$6:$D$6)</f>
        <v>0.355486146471895</v>
      </c>
      <c r="H1450" s="0" t="n">
        <f aca="false">SQRT(SUMPRODUCT(MMULT(D1450:F1450,Stats!$B$12:$D$14),D1450:F1450))</f>
        <v>0.226368289693012</v>
      </c>
      <c r="I1450" s="0" t="n">
        <f aca="false">(G1450-Stats!$B$2)/H1450</f>
        <v>1.38485009051854</v>
      </c>
    </row>
    <row r="1451" customFormat="false" ht="15" hidden="false" customHeight="false" outlineLevel="0" collapsed="false">
      <c r="A1451" s="0" t="n">
        <v>0.554687024788367</v>
      </c>
      <c r="B1451" s="0" t="n">
        <v>0.825932308550016</v>
      </c>
      <c r="C1451" s="0" t="n">
        <v>0.631458792583021</v>
      </c>
      <c r="D1451" s="0" t="n">
        <f aca="false">A1451/SUM($A1451:$C1451)</f>
        <v>0.275678671539832</v>
      </c>
      <c r="E1451" s="0" t="n">
        <f aca="false">B1451/SUM($A1451:$C1451)</f>
        <v>0.410487196252279</v>
      </c>
      <c r="F1451" s="0" t="n">
        <f aca="false">C1451/SUM($A1451:$C1451)</f>
        <v>0.31383413220789</v>
      </c>
      <c r="G1451" s="0" t="n">
        <f aca="false">SUMPRODUCT(D1451:F1451,Stats!$B$6:$D$6)</f>
        <v>0.371448750956822</v>
      </c>
      <c r="H1451" s="0" t="n">
        <f aca="false">SQRT(SUMPRODUCT(MMULT(D1451:F1451,Stats!$B$12:$D$14),D1451:F1451))</f>
        <v>0.228684390270654</v>
      </c>
      <c r="I1451" s="0" t="n">
        <f aca="false">(G1451-Stats!$B$2)/H1451</f>
        <v>1.44062631720036</v>
      </c>
    </row>
    <row r="1452" customFormat="false" ht="15" hidden="false" customHeight="false" outlineLevel="0" collapsed="false">
      <c r="A1452" s="0" t="n">
        <v>0.784405473212797</v>
      </c>
      <c r="B1452" s="0" t="n">
        <v>0.59856299321776</v>
      </c>
      <c r="C1452" s="0" t="n">
        <v>0.414141068215666</v>
      </c>
      <c r="D1452" s="0" t="n">
        <f aca="false">A1452/SUM($A1452:$C1452)</f>
        <v>0.436481726956735</v>
      </c>
      <c r="E1452" s="0" t="n">
        <f aca="false">B1452/SUM($A1452:$C1452)</f>
        <v>0.333069844479787</v>
      </c>
      <c r="F1452" s="0" t="n">
        <f aca="false">C1452/SUM($A1452:$C1452)</f>
        <v>0.230448428563478</v>
      </c>
      <c r="G1452" s="0" t="n">
        <f aca="false">SUMPRODUCT(D1452:F1452,Stats!$B$6:$D$6)</f>
        <v>0.369293585441317</v>
      </c>
      <c r="H1452" s="0" t="n">
        <f aca="false">SQRT(SUMPRODUCT(MMULT(D1452:F1452,Stats!$B$12:$D$14),D1452:F1452))</f>
        <v>0.224380096571001</v>
      </c>
      <c r="I1452" s="0" t="n">
        <f aca="false">(G1452-Stats!$B$2)/H1452</f>
        <v>1.45865694169425</v>
      </c>
    </row>
    <row r="1453" customFormat="false" ht="15" hidden="false" customHeight="false" outlineLevel="0" collapsed="false">
      <c r="A1453" s="0" t="n">
        <v>0.957945859926138</v>
      </c>
      <c r="B1453" s="0" t="n">
        <v>0.541113824878845</v>
      </c>
      <c r="C1453" s="0" t="n">
        <v>0.605089518540538</v>
      </c>
      <c r="D1453" s="0" t="n">
        <f aca="false">A1453/SUM($A1453:$C1453)</f>
        <v>0.455265177204658</v>
      </c>
      <c r="E1453" s="0" t="n">
        <f aca="false">B1453/SUM($A1453:$C1453)</f>
        <v>0.257165140199418</v>
      </c>
      <c r="F1453" s="0" t="n">
        <f aca="false">C1453/SUM($A1453:$C1453)</f>
        <v>0.287569682595924</v>
      </c>
      <c r="G1453" s="0" t="n">
        <f aca="false">SUMPRODUCT(D1453:F1453,Stats!$B$6:$D$6)</f>
        <v>0.363351030388606</v>
      </c>
      <c r="H1453" s="0" t="n">
        <f aca="false">SQRT(SUMPRODUCT(MMULT(D1453:F1453,Stats!$B$12:$D$14),D1453:F1453))</f>
        <v>0.22322105133149</v>
      </c>
      <c r="I1453" s="0" t="n">
        <f aca="false">(G1453-Stats!$B$2)/H1453</f>
        <v>1.439608981643</v>
      </c>
    </row>
    <row r="1454" customFormat="false" ht="15" hidden="false" customHeight="false" outlineLevel="0" collapsed="false">
      <c r="A1454" s="0" t="n">
        <v>0.220487639414749</v>
      </c>
      <c r="B1454" s="0" t="n">
        <v>0.625650789427277</v>
      </c>
      <c r="C1454" s="0" t="n">
        <v>0.571607649482944</v>
      </c>
      <c r="D1454" s="0" t="n">
        <f aca="false">A1454/SUM($A1454:$C1454)</f>
        <v>0.155519837286554</v>
      </c>
      <c r="E1454" s="0" t="n">
        <f aca="false">B1454/SUM($A1454:$C1454)</f>
        <v>0.441299608577628</v>
      </c>
      <c r="F1454" s="0" t="n">
        <f aca="false">C1454/SUM($A1454:$C1454)</f>
        <v>0.403180554135818</v>
      </c>
      <c r="G1454" s="0" t="n">
        <f aca="false">SUMPRODUCT(D1454:F1454,Stats!$B$6:$D$6)</f>
        <v>0.370757964062076</v>
      </c>
      <c r="H1454" s="0" t="n">
        <f aca="false">SQRT(SUMPRODUCT(MMULT(D1454:F1454,Stats!$B$12:$D$14),D1454:F1454))</f>
        <v>0.233871705523721</v>
      </c>
      <c r="I1454" s="0" t="n">
        <f aca="false">(G1454-Stats!$B$2)/H1454</f>
        <v>1.40571927384662</v>
      </c>
    </row>
    <row r="1455" customFormat="false" ht="15" hidden="false" customHeight="false" outlineLevel="0" collapsed="false">
      <c r="A1455" s="0" t="n">
        <v>0.184838397947025</v>
      </c>
      <c r="B1455" s="0" t="n">
        <v>0.0595870973531437</v>
      </c>
      <c r="C1455" s="0" t="n">
        <v>0.604359319714771</v>
      </c>
      <c r="D1455" s="0" t="n">
        <f aca="false">A1455/SUM($A1455:$C1455)</f>
        <v>0.217768266676368</v>
      </c>
      <c r="E1455" s="0" t="n">
        <f aca="false">B1455/SUM($A1455:$C1455)</f>
        <v>0.0702028315057626</v>
      </c>
      <c r="F1455" s="0" t="n">
        <f aca="false">C1455/SUM($A1455:$C1455)</f>
        <v>0.71202890181787</v>
      </c>
      <c r="G1455" s="0" t="n">
        <f aca="false">SUMPRODUCT(D1455:F1455,Stats!$B$6:$D$6)</f>
        <v>0.340889161412508</v>
      </c>
      <c r="H1455" s="0" t="n">
        <f aca="false">SQRT(SUMPRODUCT(MMULT(D1455:F1455,Stats!$B$12:$D$14),D1455:F1455))</f>
        <v>0.236307612334586</v>
      </c>
      <c r="I1455" s="0" t="n">
        <f aca="false">(G1455-Stats!$B$2)/H1455</f>
        <v>1.26483086371891</v>
      </c>
    </row>
    <row r="1456" customFormat="false" ht="15" hidden="false" customHeight="false" outlineLevel="0" collapsed="false">
      <c r="A1456" s="0" t="n">
        <v>0.763692269350321</v>
      </c>
      <c r="B1456" s="0" t="n">
        <v>0.523401370922008</v>
      </c>
      <c r="C1456" s="0" t="n">
        <v>0.226772625319646</v>
      </c>
      <c r="D1456" s="0" t="n">
        <f aca="false">A1456/SUM($A1456:$C1456)</f>
        <v>0.504464817472956</v>
      </c>
      <c r="E1456" s="0" t="n">
        <f aca="false">B1456/SUM($A1456:$C1456)</f>
        <v>0.345738182307233</v>
      </c>
      <c r="F1456" s="0" t="n">
        <f aca="false">C1456/SUM($A1456:$C1456)</f>
        <v>0.149797000219811</v>
      </c>
      <c r="G1456" s="0" t="n">
        <f aca="false">SUMPRODUCT(D1456:F1456,Stats!$B$6:$D$6)</f>
        <v>0.372246437320006</v>
      </c>
      <c r="H1456" s="0" t="n">
        <f aca="false">SQRT(SUMPRODUCT(MMULT(D1456:F1456,Stats!$B$12:$D$14),D1456:F1456))</f>
        <v>0.224549751216367</v>
      </c>
      <c r="I1456" s="0" t="n">
        <f aca="false">(G1456-Stats!$B$2)/H1456</f>
        <v>1.47070497976991</v>
      </c>
    </row>
    <row r="1457" customFormat="false" ht="15" hidden="false" customHeight="false" outlineLevel="0" collapsed="false">
      <c r="A1457" s="0" t="n">
        <v>0.666521976693035</v>
      </c>
      <c r="B1457" s="0" t="n">
        <v>0.0801057266096023</v>
      </c>
      <c r="C1457" s="0" t="n">
        <v>0.441833704801955</v>
      </c>
      <c r="D1457" s="0" t="n">
        <f aca="false">A1457/SUM($A1457:$C1457)</f>
        <v>0.560827614719129</v>
      </c>
      <c r="E1457" s="0" t="n">
        <f aca="false">B1457/SUM($A1457:$C1457)</f>
        <v>0.0674028841520048</v>
      </c>
      <c r="F1457" s="0" t="n">
        <f aca="false">C1457/SUM($A1457:$C1457)</f>
        <v>0.371769501128867</v>
      </c>
      <c r="G1457" s="0" t="n">
        <f aca="false">SUMPRODUCT(D1457:F1457,Stats!$B$6:$D$6)</f>
        <v>0.350110578169027</v>
      </c>
      <c r="H1457" s="0" t="n">
        <f aca="false">SQRT(SUMPRODUCT(MMULT(D1457:F1457,Stats!$B$12:$D$14),D1457:F1457))</f>
        <v>0.221566202069145</v>
      </c>
      <c r="I1457" s="0" t="n">
        <f aca="false">(G1457-Stats!$B$2)/H1457</f>
        <v>1.3906027873009</v>
      </c>
    </row>
    <row r="1458" customFormat="false" ht="15" hidden="false" customHeight="false" outlineLevel="0" collapsed="false">
      <c r="A1458" s="0" t="n">
        <v>0.16336675839842</v>
      </c>
      <c r="B1458" s="0" t="n">
        <v>0.184459051059883</v>
      </c>
      <c r="C1458" s="0" t="n">
        <v>0.202293949158204</v>
      </c>
      <c r="D1458" s="0" t="n">
        <f aca="false">A1458/SUM($A1458:$C1458)</f>
        <v>0.296965807607548</v>
      </c>
      <c r="E1458" s="0" t="n">
        <f aca="false">B1458/SUM($A1458:$C1458)</f>
        <v>0.335307082086596</v>
      </c>
      <c r="F1458" s="0" t="n">
        <f aca="false">C1458/SUM($A1458:$C1458)</f>
        <v>0.367727110305857</v>
      </c>
      <c r="G1458" s="0" t="n">
        <f aca="false">SUMPRODUCT(D1458:F1458,Stats!$B$6:$D$6)</f>
        <v>0.365636906348724</v>
      </c>
      <c r="H1458" s="0" t="n">
        <f aca="false">SQRT(SUMPRODUCT(MMULT(D1458:F1458,Stats!$B$12:$D$14),D1458:F1458))</f>
        <v>0.227485276709123</v>
      </c>
      <c r="I1458" s="0" t="n">
        <f aca="false">(G1458-Stats!$B$2)/H1458</f>
        <v>1.42267188026655</v>
      </c>
    </row>
    <row r="1459" customFormat="false" ht="15" hidden="false" customHeight="false" outlineLevel="0" collapsed="false">
      <c r="A1459" s="0" t="n">
        <v>0.386707057043978</v>
      </c>
      <c r="B1459" s="0" t="n">
        <v>0.0511502056203976</v>
      </c>
      <c r="C1459" s="0" t="n">
        <v>0.397793440929098</v>
      </c>
      <c r="D1459" s="0" t="n">
        <f aca="false">A1459/SUM($A1459:$C1459)</f>
        <v>0.462761600488166</v>
      </c>
      <c r="E1459" s="0" t="n">
        <f aca="false">B1459/SUM($A1459:$C1459)</f>
        <v>0.0612100311774298</v>
      </c>
      <c r="F1459" s="0" t="n">
        <f aca="false">C1459/SUM($A1459:$C1459)</f>
        <v>0.476028368334404</v>
      </c>
      <c r="G1459" s="0" t="n">
        <f aca="false">SUMPRODUCT(D1459:F1459,Stats!$B$6:$D$6)</f>
        <v>0.346879351260999</v>
      </c>
      <c r="H1459" s="0" t="n">
        <f aca="false">SQRT(SUMPRODUCT(MMULT(D1459:F1459,Stats!$B$12:$D$14),D1459:F1459))</f>
        <v>0.223638108363355</v>
      </c>
      <c r="I1459" s="0" t="n">
        <f aca="false">(G1459-Stats!$B$2)/H1459</f>
        <v>1.36327101625116</v>
      </c>
    </row>
    <row r="1460" customFormat="false" ht="15" hidden="false" customHeight="false" outlineLevel="0" collapsed="false">
      <c r="A1460" s="0" t="n">
        <v>0.511707447114701</v>
      </c>
      <c r="B1460" s="0" t="n">
        <v>0.483294284966325</v>
      </c>
      <c r="C1460" s="0" t="n">
        <v>0.382784100403041</v>
      </c>
      <c r="D1460" s="0" t="n">
        <f aca="false">A1460/SUM($A1460:$C1460)</f>
        <v>0.371398395200597</v>
      </c>
      <c r="E1460" s="0" t="n">
        <f aca="false">B1460/SUM($A1460:$C1460)</f>
        <v>0.350776059364012</v>
      </c>
      <c r="F1460" s="0" t="n">
        <f aca="false">C1460/SUM($A1460:$C1460)</f>
        <v>0.277825545435391</v>
      </c>
      <c r="G1460" s="0" t="n">
        <f aca="false">SUMPRODUCT(D1460:F1460,Stats!$B$6:$D$6)</f>
        <v>0.369005972353504</v>
      </c>
      <c r="H1460" s="0" t="n">
        <f aca="false">SQRT(SUMPRODUCT(MMULT(D1460:F1460,Stats!$B$12:$D$14),D1460:F1460))</f>
        <v>0.225552288796849</v>
      </c>
      <c r="I1460" s="0" t="n">
        <f aca="false">(G1460-Stats!$B$2)/H1460</f>
        <v>1.44980117070784</v>
      </c>
    </row>
    <row r="1461" customFormat="false" ht="15" hidden="false" customHeight="false" outlineLevel="0" collapsed="false">
      <c r="A1461" s="0" t="n">
        <v>0.839146608070753</v>
      </c>
      <c r="B1461" s="0" t="n">
        <v>0.145326692420504</v>
      </c>
      <c r="C1461" s="0" t="n">
        <v>0.505696743781374</v>
      </c>
      <c r="D1461" s="0" t="n">
        <f aca="false">A1461/SUM($A1461:$C1461)</f>
        <v>0.56312137752061</v>
      </c>
      <c r="E1461" s="0" t="n">
        <f aca="false">B1461/SUM($A1461:$C1461)</f>
        <v>0.0975235631524453</v>
      </c>
      <c r="F1461" s="0" t="n">
        <f aca="false">C1461/SUM($A1461:$C1461)</f>
        <v>0.339355059326945</v>
      </c>
      <c r="G1461" s="0" t="n">
        <f aca="false">SUMPRODUCT(D1461:F1461,Stats!$B$6:$D$6)</f>
        <v>0.352737498819719</v>
      </c>
      <c r="H1461" s="0" t="n">
        <f aca="false">SQRT(SUMPRODUCT(MMULT(D1461:F1461,Stats!$B$12:$D$14),D1461:F1461))</f>
        <v>0.221476233612755</v>
      </c>
      <c r="I1461" s="0" t="n">
        <f aca="false">(G1461-Stats!$B$2)/H1461</f>
        <v>1.40302863991734</v>
      </c>
    </row>
    <row r="1462" customFormat="false" ht="15" hidden="false" customHeight="false" outlineLevel="0" collapsed="false">
      <c r="A1462" s="0" t="n">
        <v>0.0620414169565543</v>
      </c>
      <c r="B1462" s="0" t="n">
        <v>0.0711556788779097</v>
      </c>
      <c r="C1462" s="0" t="n">
        <v>0.573865849677096</v>
      </c>
      <c r="D1462" s="0" t="n">
        <f aca="false">A1462/SUM($A1462:$C1462)</f>
        <v>0.0877452528807988</v>
      </c>
      <c r="E1462" s="0" t="n">
        <f aca="false">B1462/SUM($A1462:$C1462)</f>
        <v>0.100635564810186</v>
      </c>
      <c r="F1462" s="0" t="n">
        <f aca="false">C1462/SUM($A1462:$C1462)</f>
        <v>0.811619182309015</v>
      </c>
      <c r="G1462" s="0" t="n">
        <f aca="false">SUMPRODUCT(D1462:F1462,Stats!$B$6:$D$6)</f>
        <v>0.339894057818421</v>
      </c>
      <c r="H1462" s="0" t="n">
        <f aca="false">SQRT(SUMPRODUCT(MMULT(D1462:F1462,Stats!$B$12:$D$14),D1462:F1462))</f>
        <v>0.245867836887806</v>
      </c>
      <c r="I1462" s="0" t="n">
        <f aca="false">(G1462-Stats!$B$2)/H1462</f>
        <v>1.21160238601829</v>
      </c>
    </row>
    <row r="1463" customFormat="false" ht="15" hidden="false" customHeight="false" outlineLevel="0" collapsed="false">
      <c r="A1463" s="0" t="n">
        <v>0.566018424887821</v>
      </c>
      <c r="B1463" s="0" t="n">
        <v>0.878033512844457</v>
      </c>
      <c r="C1463" s="0" t="n">
        <v>0.557873675660073</v>
      </c>
      <c r="D1463" s="0" t="n">
        <f aca="false">A1463/SUM($A1463:$C1463)</f>
        <v>0.282736991375358</v>
      </c>
      <c r="E1463" s="0" t="n">
        <f aca="false">B1463/SUM($A1463:$C1463)</f>
        <v>0.438594474725058</v>
      </c>
      <c r="F1463" s="0" t="n">
        <f aca="false">C1463/SUM($A1463:$C1463)</f>
        <v>0.278668533899585</v>
      </c>
      <c r="G1463" s="0" t="n">
        <f aca="false">SUMPRODUCT(D1463:F1463,Stats!$B$6:$D$6)</f>
        <v>0.374035685229558</v>
      </c>
      <c r="H1463" s="0" t="n">
        <f aca="false">SQRT(SUMPRODUCT(MMULT(D1463:F1463,Stats!$B$12:$D$14),D1463:F1463))</f>
        <v>0.228809678350878</v>
      </c>
      <c r="I1463" s="0" t="n">
        <f aca="false">(G1463-Stats!$B$2)/H1463</f>
        <v>1.45114353388664</v>
      </c>
    </row>
    <row r="1464" customFormat="false" ht="15" hidden="false" customHeight="false" outlineLevel="0" collapsed="false">
      <c r="A1464" s="0" t="n">
        <v>0.95979102040485</v>
      </c>
      <c r="B1464" s="0" t="n">
        <v>0.0486948483999298</v>
      </c>
      <c r="C1464" s="0" t="n">
        <v>0.0980076847807411</v>
      </c>
      <c r="D1464" s="0" t="n">
        <f aca="false">A1464/SUM($A1464:$C1464)</f>
        <v>0.867416730350312</v>
      </c>
      <c r="E1464" s="0" t="n">
        <f aca="false">B1464/SUM($A1464:$C1464)</f>
        <v>0.0440082531363488</v>
      </c>
      <c r="F1464" s="0" t="n">
        <f aca="false">C1464/SUM($A1464:$C1464)</f>
        <v>0.0885750165133394</v>
      </c>
      <c r="G1464" s="0" t="n">
        <f aca="false">SUMPRODUCT(D1464:F1464,Stats!$B$6:$D$6)</f>
        <v>0.356573460370412</v>
      </c>
      <c r="H1464" s="0" t="n">
        <f aca="false">SQRT(SUMPRODUCT(MMULT(D1464:F1464,Stats!$B$12:$D$14),D1464:F1464))</f>
        <v>0.227047909616323</v>
      </c>
      <c r="I1464" s="0" t="n">
        <f aca="false">(G1464-Stats!$B$2)/H1464</f>
        <v>1.38549375284711</v>
      </c>
    </row>
    <row r="1465" customFormat="false" ht="15" hidden="false" customHeight="false" outlineLevel="0" collapsed="false">
      <c r="A1465" s="0" t="n">
        <v>0.0440658615703814</v>
      </c>
      <c r="B1465" s="0" t="n">
        <v>0.18527685033354</v>
      </c>
      <c r="C1465" s="0" t="n">
        <v>0.541270110941678</v>
      </c>
      <c r="D1465" s="0" t="n">
        <f aca="false">A1465/SUM($A1465:$C1465)</f>
        <v>0.0571828812913621</v>
      </c>
      <c r="E1465" s="0" t="n">
        <f aca="false">B1465/SUM($A1465:$C1465)</f>
        <v>0.240427935846406</v>
      </c>
      <c r="F1465" s="0" t="n">
        <f aca="false">C1465/SUM($A1465:$C1465)</f>
        <v>0.702389182862231</v>
      </c>
      <c r="G1465" s="0" t="n">
        <f aca="false">SUMPRODUCT(D1465:F1465,Stats!$B$6:$D$6)</f>
        <v>0.350949505140798</v>
      </c>
      <c r="H1465" s="0" t="n">
        <f aca="false">SQRT(SUMPRODUCT(MMULT(D1465:F1465,Stats!$B$12:$D$14),D1465:F1465))</f>
        <v>0.243478514526639</v>
      </c>
      <c r="I1465" s="0" t="n">
        <f aca="false">(G1465-Stats!$B$2)/H1465</f>
        <v>1.26889843131106</v>
      </c>
    </row>
    <row r="1466" customFormat="false" ht="15" hidden="false" customHeight="false" outlineLevel="0" collapsed="false">
      <c r="A1466" s="0" t="n">
        <v>0.645572181427428</v>
      </c>
      <c r="B1466" s="0" t="n">
        <v>0.0455851579486688</v>
      </c>
      <c r="C1466" s="0" t="n">
        <v>0.945970889845599</v>
      </c>
      <c r="D1466" s="0" t="n">
        <f aca="false">A1466/SUM($A1466:$C1466)</f>
        <v>0.394332080960047</v>
      </c>
      <c r="E1466" s="0" t="n">
        <f aca="false">B1466/SUM($A1466:$C1466)</f>
        <v>0.0278445861081635</v>
      </c>
      <c r="F1466" s="0" t="n">
        <f aca="false">C1466/SUM($A1466:$C1466)</f>
        <v>0.57782333293179</v>
      </c>
      <c r="G1466" s="0" t="n">
        <f aca="false">SUMPRODUCT(D1466:F1466,Stats!$B$6:$D$6)</f>
        <v>0.342152589739393</v>
      </c>
      <c r="H1466" s="0" t="n">
        <f aca="false">SQRT(SUMPRODUCT(MMULT(D1466:F1466,Stats!$B$12:$D$14),D1466:F1466))</f>
        <v>0.226944973131594</v>
      </c>
      <c r="I1466" s="0" t="n">
        <f aca="false">(G1466-Stats!$B$2)/H1466</f>
        <v>1.32257870970929</v>
      </c>
    </row>
    <row r="1467" customFormat="false" ht="15" hidden="false" customHeight="false" outlineLevel="0" collapsed="false">
      <c r="A1467" s="0" t="n">
        <v>0.842165376650381</v>
      </c>
      <c r="B1467" s="0" t="n">
        <v>0.296612482157093</v>
      </c>
      <c r="C1467" s="0" t="n">
        <v>0.077187530226468</v>
      </c>
      <c r="D1467" s="0" t="n">
        <f aca="false">A1467/SUM($A1467:$C1467)</f>
        <v>0.692589924224293</v>
      </c>
      <c r="E1467" s="0" t="n">
        <f aca="false">B1467/SUM($A1467:$C1467)</f>
        <v>0.243931681635071</v>
      </c>
      <c r="F1467" s="0" t="n">
        <f aca="false">C1467/SUM($A1467:$C1467)</f>
        <v>0.0634783941406357</v>
      </c>
      <c r="G1467" s="0" t="n">
        <f aca="false">SUMPRODUCT(D1467:F1467,Stats!$B$6:$D$6)</f>
        <v>0.368768825399657</v>
      </c>
      <c r="H1467" s="0" t="n">
        <f aca="false">SQRT(SUMPRODUCT(MMULT(D1467:F1467,Stats!$B$12:$D$14),D1467:F1467))</f>
        <v>0.225392759733549</v>
      </c>
      <c r="I1467" s="0" t="n">
        <f aca="false">(G1467-Stats!$B$2)/H1467</f>
        <v>1.44977516485424</v>
      </c>
    </row>
    <row r="1468" customFormat="false" ht="15" hidden="false" customHeight="false" outlineLevel="0" collapsed="false">
      <c r="A1468" s="0" t="n">
        <v>0.169887073219057</v>
      </c>
      <c r="B1468" s="0" t="n">
        <v>0.126944413754973</v>
      </c>
      <c r="C1468" s="0" t="n">
        <v>0.123283779298947</v>
      </c>
      <c r="D1468" s="0" t="n">
        <f aca="false">A1468/SUM($A1468:$C1468)</f>
        <v>0.404382051445544</v>
      </c>
      <c r="E1468" s="0" t="n">
        <f aca="false">B1468/SUM($A1468:$C1468)</f>
        <v>0.302165676770452</v>
      </c>
      <c r="F1468" s="0" t="n">
        <f aca="false">C1468/SUM($A1468:$C1468)</f>
        <v>0.293452271784004</v>
      </c>
      <c r="G1468" s="0" t="n">
        <f aca="false">SUMPRODUCT(D1468:F1468,Stats!$B$6:$D$6)</f>
        <v>0.36577809288555</v>
      </c>
      <c r="H1468" s="0" t="n">
        <f aca="false">SQRT(SUMPRODUCT(MMULT(D1468:F1468,Stats!$B$12:$D$14),D1468:F1468))</f>
        <v>0.224409208426602</v>
      </c>
      <c r="I1468" s="0" t="n">
        <f aca="false">(G1468-Stats!$B$2)/H1468</f>
        <v>1.44280216999851</v>
      </c>
    </row>
    <row r="1469" customFormat="false" ht="15" hidden="false" customHeight="false" outlineLevel="0" collapsed="false">
      <c r="A1469" s="0" t="n">
        <v>0.518561688665734</v>
      </c>
      <c r="B1469" s="0" t="n">
        <v>0.2458474424934</v>
      </c>
      <c r="C1469" s="0" t="n">
        <v>0.358139716529144</v>
      </c>
      <c r="D1469" s="0" t="n">
        <f aca="false">A1469/SUM($A1469:$C1469)</f>
        <v>0.461950221349952</v>
      </c>
      <c r="E1469" s="0" t="n">
        <f aca="false">B1469/SUM($A1469:$C1469)</f>
        <v>0.219008235587864</v>
      </c>
      <c r="F1469" s="0" t="n">
        <f aca="false">C1469/SUM($A1469:$C1469)</f>
        <v>0.319041543062184</v>
      </c>
      <c r="G1469" s="0" t="n">
        <f aca="false">SUMPRODUCT(D1469:F1469,Stats!$B$6:$D$6)</f>
        <v>0.360287707035129</v>
      </c>
      <c r="H1469" s="0" t="n">
        <f aca="false">SQRT(SUMPRODUCT(MMULT(D1469:F1469,Stats!$B$12:$D$14),D1469:F1469))</f>
        <v>0.222867861621094</v>
      </c>
      <c r="I1469" s="0" t="n">
        <f aca="false">(G1469-Stats!$B$2)/H1469</f>
        <v>1.42814538049574</v>
      </c>
    </row>
    <row r="1470" customFormat="false" ht="15" hidden="false" customHeight="false" outlineLevel="0" collapsed="false">
      <c r="A1470" s="0" t="n">
        <v>0.989505333384322</v>
      </c>
      <c r="B1470" s="0" t="n">
        <v>0.684314248925345</v>
      </c>
      <c r="C1470" s="0" t="n">
        <v>0.948980667047001</v>
      </c>
      <c r="D1470" s="0" t="n">
        <f aca="false">A1470/SUM($A1470:$C1470)</f>
        <v>0.377270565544224</v>
      </c>
      <c r="E1470" s="0" t="n">
        <f aca="false">B1470/SUM($A1470:$C1470)</f>
        <v>0.26090978491145</v>
      </c>
      <c r="F1470" s="0" t="n">
        <f aca="false">C1470/SUM($A1470:$C1470)</f>
        <v>0.361819649544326</v>
      </c>
      <c r="G1470" s="0" t="n">
        <f aca="false">SUMPRODUCT(D1470:F1470,Stats!$B$6:$D$6)</f>
        <v>0.361519078118174</v>
      </c>
      <c r="H1470" s="0" t="n">
        <f aca="false">SQRT(SUMPRODUCT(MMULT(D1470:F1470,Stats!$B$12:$D$14),D1470:F1470))</f>
        <v>0.22479755358873</v>
      </c>
      <c r="I1470" s="0" t="n">
        <f aca="false">(G1470-Stats!$B$2)/H1470</f>
        <v>1.42136368041949</v>
      </c>
    </row>
    <row r="1471" customFormat="false" ht="15" hidden="false" customHeight="false" outlineLevel="0" collapsed="false">
      <c r="A1471" s="0" t="n">
        <v>0.142556555033116</v>
      </c>
      <c r="B1471" s="0" t="n">
        <v>0.382139474832569</v>
      </c>
      <c r="C1471" s="0" t="n">
        <v>0.554731803282354</v>
      </c>
      <c r="D1471" s="0" t="n">
        <f aca="false">A1471/SUM($A1471:$C1471)</f>
        <v>0.132066777097422</v>
      </c>
      <c r="E1471" s="0" t="n">
        <f aca="false">B1471/SUM($A1471:$C1471)</f>
        <v>0.354020401454815</v>
      </c>
      <c r="F1471" s="0" t="n">
        <f aca="false">C1471/SUM($A1471:$C1471)</f>
        <v>0.513912821447763</v>
      </c>
      <c r="G1471" s="0" t="n">
        <f aca="false">SUMPRODUCT(D1471:F1471,Stats!$B$6:$D$6)</f>
        <v>0.362682631766239</v>
      </c>
      <c r="H1471" s="0" t="n">
        <f aca="false">SQRT(SUMPRODUCT(MMULT(D1471:F1471,Stats!$B$12:$D$14),D1471:F1471))</f>
        <v>0.235587574628943</v>
      </c>
      <c r="I1471" s="0" t="n">
        <f aca="false">(G1471-Stats!$B$2)/H1471</f>
        <v>1.36120350265213</v>
      </c>
    </row>
    <row r="1472" customFormat="false" ht="15" hidden="false" customHeight="false" outlineLevel="0" collapsed="false">
      <c r="A1472" s="0" t="n">
        <v>0.076758061888738</v>
      </c>
      <c r="B1472" s="0" t="n">
        <v>0.00418744362795787</v>
      </c>
      <c r="C1472" s="0" t="n">
        <v>0.670434333796918</v>
      </c>
      <c r="D1472" s="0" t="n">
        <f aca="false">A1472/SUM($A1472:$C1472)</f>
        <v>0.10215613711283</v>
      </c>
      <c r="E1472" s="0" t="n">
        <f aca="false">B1472/SUM($A1472:$C1472)</f>
        <v>0.00557300503535349</v>
      </c>
      <c r="F1472" s="0" t="n">
        <f aca="false">C1472/SUM($A1472:$C1472)</f>
        <v>0.892270857851816</v>
      </c>
      <c r="G1472" s="0" t="n">
        <f aca="false">SUMPRODUCT(D1472:F1472,Stats!$B$6:$D$6)</f>
        <v>0.332200342233213</v>
      </c>
      <c r="H1472" s="0" t="n">
        <f aca="false">SQRT(SUMPRODUCT(MMULT(D1472:F1472,Stats!$B$12:$D$14),D1472:F1472))</f>
        <v>0.249001194742796</v>
      </c>
      <c r="I1472" s="0" t="n">
        <f aca="false">(G1472-Stats!$B$2)/H1472</f>
        <v>1.16545762976348</v>
      </c>
    </row>
    <row r="1473" customFormat="false" ht="15" hidden="false" customHeight="false" outlineLevel="0" collapsed="false">
      <c r="A1473" s="0" t="n">
        <v>0.641819516801435</v>
      </c>
      <c r="B1473" s="0" t="n">
        <v>0.410788809999612</v>
      </c>
      <c r="C1473" s="0" t="n">
        <v>0.489644076032033</v>
      </c>
      <c r="D1473" s="0" t="n">
        <f aca="false">A1473/SUM($A1473:$C1473)</f>
        <v>0.416157248724287</v>
      </c>
      <c r="E1473" s="0" t="n">
        <f aca="false">B1473/SUM($A1473:$C1473)</f>
        <v>0.266356407838952</v>
      </c>
      <c r="F1473" s="0" t="n">
        <f aca="false">C1473/SUM($A1473:$C1473)</f>
        <v>0.317486343436761</v>
      </c>
      <c r="G1473" s="0" t="n">
        <f aca="false">SUMPRODUCT(D1473:F1473,Stats!$B$6:$D$6)</f>
        <v>0.363054943616427</v>
      </c>
      <c r="H1473" s="0" t="n">
        <f aca="false">SQRT(SUMPRODUCT(MMULT(D1473:F1473,Stats!$B$12:$D$14),D1473:F1473))</f>
        <v>0.223911594678308</v>
      </c>
      <c r="I1473" s="0" t="n">
        <f aca="false">(G1473-Stats!$B$2)/H1473</f>
        <v>1.4338468897856</v>
      </c>
    </row>
    <row r="1474" customFormat="false" ht="15" hidden="false" customHeight="false" outlineLevel="0" collapsed="false">
      <c r="A1474" s="0" t="n">
        <v>0.41544300059209</v>
      </c>
      <c r="B1474" s="0" t="n">
        <v>0.0240050448448889</v>
      </c>
      <c r="C1474" s="0" t="n">
        <v>0.335371606217462</v>
      </c>
      <c r="D1474" s="0" t="n">
        <f aca="false">A1474/SUM($A1474:$C1474)</f>
        <v>0.536180257825174</v>
      </c>
      <c r="E1474" s="0" t="n">
        <f aca="false">B1474/SUM($A1474:$C1474)</f>
        <v>0.0309814610324246</v>
      </c>
      <c r="F1474" s="0" t="n">
        <f aca="false">C1474/SUM($A1474:$C1474)</f>
        <v>0.432838281142401</v>
      </c>
      <c r="G1474" s="0" t="n">
        <f aca="false">SUMPRODUCT(D1474:F1474,Stats!$B$6:$D$6)</f>
        <v>0.346330988501466</v>
      </c>
      <c r="H1474" s="0" t="n">
        <f aca="false">SQRT(SUMPRODUCT(MMULT(D1474:F1474,Stats!$B$12:$D$14),D1474:F1474))</f>
        <v>0.222216016269611</v>
      </c>
      <c r="I1474" s="0" t="n">
        <f aca="false">(G1474-Stats!$B$2)/H1474</f>
        <v>1.36952769476448</v>
      </c>
    </row>
    <row r="1475" customFormat="false" ht="15" hidden="false" customHeight="false" outlineLevel="0" collapsed="false">
      <c r="A1475" s="0" t="n">
        <v>0.17708225539729</v>
      </c>
      <c r="B1475" s="0" t="n">
        <v>0.0984241891013687</v>
      </c>
      <c r="C1475" s="0" t="n">
        <v>0.95672043388935</v>
      </c>
      <c r="D1475" s="0" t="n">
        <f aca="false">A1475/SUM($A1475:$C1475)</f>
        <v>0.143709132224861</v>
      </c>
      <c r="E1475" s="0" t="n">
        <f aca="false">B1475/SUM($A1475:$C1475)</f>
        <v>0.0798750545273989</v>
      </c>
      <c r="F1475" s="0" t="n">
        <f aca="false">C1475/SUM($A1475:$C1475)</f>
        <v>0.77641581324774</v>
      </c>
      <c r="G1475" s="0" t="n">
        <f aca="false">SUMPRODUCT(D1475:F1475,Stats!$B$6:$D$6)</f>
        <v>0.339670244288489</v>
      </c>
      <c r="H1475" s="0" t="n">
        <f aca="false">SQRT(SUMPRODUCT(MMULT(D1475:F1475,Stats!$B$12:$D$14),D1475:F1475))</f>
        <v>0.241805555924017</v>
      </c>
      <c r="I1475" s="0" t="n">
        <f aca="false">(G1475-Stats!$B$2)/H1475</f>
        <v>1.23103145066703</v>
      </c>
    </row>
    <row r="1476" customFormat="false" ht="15" hidden="false" customHeight="false" outlineLevel="0" collapsed="false">
      <c r="A1476" s="0" t="n">
        <v>0.599359725042166</v>
      </c>
      <c r="B1476" s="0" t="n">
        <v>0.728656284236603</v>
      </c>
      <c r="C1476" s="0" t="n">
        <v>0.315363743266118</v>
      </c>
      <c r="D1476" s="0" t="n">
        <f aca="false">A1476/SUM($A1476:$C1476)</f>
        <v>0.364711640212201</v>
      </c>
      <c r="E1476" s="0" t="n">
        <f aca="false">B1476/SUM($A1476:$C1476)</f>
        <v>0.443388865603479</v>
      </c>
      <c r="F1476" s="0" t="n">
        <f aca="false">C1476/SUM($A1476:$C1476)</f>
        <v>0.191899494184321</v>
      </c>
      <c r="G1476" s="0" t="n">
        <f aca="false">SUMPRODUCT(D1476:F1476,Stats!$B$6:$D$6)</f>
        <v>0.376704171172465</v>
      </c>
      <c r="H1476" s="0" t="n">
        <f aca="false">SQRT(SUMPRODUCT(MMULT(D1476:F1476,Stats!$B$12:$D$14),D1476:F1476))</f>
        <v>0.227270685747596</v>
      </c>
      <c r="I1476" s="0" t="n">
        <f aca="false">(G1476-Stats!$B$2)/H1476</f>
        <v>1.47271158210076</v>
      </c>
    </row>
    <row r="1477" customFormat="false" ht="15" hidden="false" customHeight="false" outlineLevel="0" collapsed="false">
      <c r="A1477" s="0" t="n">
        <v>0.393147129494015</v>
      </c>
      <c r="B1477" s="0" t="n">
        <v>0.236923993896724</v>
      </c>
      <c r="C1477" s="0" t="n">
        <v>0.0969656709654247</v>
      </c>
      <c r="D1477" s="0" t="n">
        <f aca="false">A1477/SUM($A1477:$C1477)</f>
        <v>0.540752727435441</v>
      </c>
      <c r="E1477" s="0" t="n">
        <f aca="false">B1477/SUM($A1477:$C1477)</f>
        <v>0.325876208378882</v>
      </c>
      <c r="F1477" s="0" t="n">
        <f aca="false">C1477/SUM($A1477:$C1477)</f>
        <v>0.133371064185677</v>
      </c>
      <c r="G1477" s="0" t="n">
        <f aca="false">SUMPRODUCT(D1477:F1477,Stats!$B$6:$D$6)</f>
        <v>0.371556543915413</v>
      </c>
      <c r="H1477" s="0" t="n">
        <f aca="false">SQRT(SUMPRODUCT(MMULT(D1477:F1477,Stats!$B$12:$D$14),D1477:F1477))</f>
        <v>0.224359426629448</v>
      </c>
      <c r="I1477" s="0" t="n">
        <f aca="false">(G1477-Stats!$B$2)/H1477</f>
        <v>1.46887763472363</v>
      </c>
    </row>
    <row r="1478" customFormat="false" ht="15" hidden="false" customHeight="false" outlineLevel="0" collapsed="false">
      <c r="A1478" s="0" t="n">
        <v>0.179031637441584</v>
      </c>
      <c r="B1478" s="0" t="n">
        <v>0.797514045296486</v>
      </c>
      <c r="C1478" s="0" t="n">
        <v>0.677545805183776</v>
      </c>
      <c r="D1478" s="0" t="n">
        <f aca="false">A1478/SUM($A1478:$C1478)</f>
        <v>0.108235631915689</v>
      </c>
      <c r="E1478" s="0" t="n">
        <f aca="false">B1478/SUM($A1478:$C1478)</f>
        <v>0.482146272512689</v>
      </c>
      <c r="F1478" s="0" t="n">
        <f aca="false">C1478/SUM($A1478:$C1478)</f>
        <v>0.409618095571621</v>
      </c>
      <c r="G1478" s="0" t="n">
        <f aca="false">SUMPRODUCT(D1478:F1478,Stats!$B$6:$D$6)</f>
        <v>0.372930715509013</v>
      </c>
      <c r="H1478" s="0" t="n">
        <f aca="false">SQRT(SUMPRODUCT(MMULT(D1478:F1478,Stats!$B$12:$D$14),D1478:F1478))</f>
        <v>0.236480920819594</v>
      </c>
      <c r="I1478" s="0" t="n">
        <f aca="false">(G1478-Stats!$B$2)/H1478</f>
        <v>1.39939710299704</v>
      </c>
    </row>
    <row r="1479" customFormat="false" ht="15" hidden="false" customHeight="false" outlineLevel="0" collapsed="false">
      <c r="A1479" s="0" t="n">
        <v>0.546928875985477</v>
      </c>
      <c r="B1479" s="0" t="n">
        <v>0.475089872866768</v>
      </c>
      <c r="C1479" s="0" t="n">
        <v>0.922434283656125</v>
      </c>
      <c r="D1479" s="0" t="n">
        <f aca="false">A1479/SUM($A1479:$C1479)</f>
        <v>0.28127646533068</v>
      </c>
      <c r="E1479" s="0" t="n">
        <f aca="false">B1479/SUM($A1479:$C1479)</f>
        <v>0.244330855476564</v>
      </c>
      <c r="F1479" s="0" t="n">
        <f aca="false">C1479/SUM($A1479:$C1479)</f>
        <v>0.474392679192756</v>
      </c>
      <c r="G1479" s="0" t="n">
        <f aca="false">SUMPRODUCT(D1479:F1479,Stats!$B$6:$D$6)</f>
        <v>0.357460989981487</v>
      </c>
      <c r="H1479" s="0" t="n">
        <f aca="false">SQRT(SUMPRODUCT(MMULT(D1479:F1479,Stats!$B$12:$D$14),D1479:F1479))</f>
        <v>0.228446716179322</v>
      </c>
      <c r="I1479" s="0" t="n">
        <f aca="false">(G1479-Stats!$B$2)/H1479</f>
        <v>1.38089527071102</v>
      </c>
    </row>
    <row r="1480" customFormat="false" ht="15" hidden="false" customHeight="false" outlineLevel="0" collapsed="false">
      <c r="A1480" s="0" t="n">
        <v>0.0727349477786684</v>
      </c>
      <c r="B1480" s="0" t="n">
        <v>0.280600813237916</v>
      </c>
      <c r="C1480" s="0" t="n">
        <v>0.349937853570714</v>
      </c>
      <c r="D1480" s="0" t="n">
        <f aca="false">A1480/SUM($A1480:$C1480)</f>
        <v>0.10342339918632</v>
      </c>
      <c r="E1480" s="0" t="n">
        <f aca="false">B1480/SUM($A1480:$C1480)</f>
        <v>0.398992379946716</v>
      </c>
      <c r="F1480" s="0" t="n">
        <f aca="false">C1480/SUM($A1480:$C1480)</f>
        <v>0.497584220866963</v>
      </c>
      <c r="G1480" s="0" t="n">
        <f aca="false">SUMPRODUCT(D1480:F1480,Stats!$B$6:$D$6)</f>
        <v>0.365720516083276</v>
      </c>
      <c r="H1480" s="0" t="n">
        <f aca="false">SQRT(SUMPRODUCT(MMULT(D1480:F1480,Stats!$B$12:$D$14),D1480:F1480))</f>
        <v>0.236998130064963</v>
      </c>
      <c r="I1480" s="0" t="n">
        <f aca="false">(G1480-Stats!$B$2)/H1480</f>
        <v>1.36592012770118</v>
      </c>
    </row>
    <row r="1481" customFormat="false" ht="15" hidden="false" customHeight="false" outlineLevel="0" collapsed="false">
      <c r="A1481" s="0" t="n">
        <v>0.782425812212788</v>
      </c>
      <c r="B1481" s="0" t="n">
        <v>0.992514620161971</v>
      </c>
      <c r="C1481" s="0" t="n">
        <v>0.240670514757153</v>
      </c>
      <c r="D1481" s="0" t="n">
        <f aca="false">A1481/SUM($A1481:$C1481)</f>
        <v>0.388182954317712</v>
      </c>
      <c r="E1481" s="0" t="n">
        <f aca="false">B1481/SUM($A1481:$C1481)</f>
        <v>0.492413787280853</v>
      </c>
      <c r="F1481" s="0" t="n">
        <f aca="false">C1481/SUM($A1481:$C1481)</f>
        <v>0.119403258401435</v>
      </c>
      <c r="G1481" s="0" t="n">
        <f aca="false">SUMPRODUCT(D1481:F1481,Stats!$B$6:$D$6)</f>
        <v>0.381524057532262</v>
      </c>
      <c r="H1481" s="0" t="n">
        <f aca="false">SQRT(SUMPRODUCT(MMULT(D1481:F1481,Stats!$B$12:$D$14),D1481:F1481))</f>
        <v>0.228418457257679</v>
      </c>
      <c r="I1481" s="0" t="n">
        <f aca="false">(G1481-Stats!$B$2)/H1481</f>
        <v>1.48641253254436</v>
      </c>
    </row>
    <row r="1482" customFormat="false" ht="15" hidden="false" customHeight="false" outlineLevel="0" collapsed="false">
      <c r="A1482" s="0" t="n">
        <v>0.874307334137081</v>
      </c>
      <c r="B1482" s="0" t="n">
        <v>0.830622760431791</v>
      </c>
      <c r="C1482" s="0" t="n">
        <v>0.224657397641767</v>
      </c>
      <c r="D1482" s="0" t="n">
        <f aca="false">A1482/SUM($A1482:$C1482)</f>
        <v>0.453105825813282</v>
      </c>
      <c r="E1482" s="0" t="n">
        <f aca="false">B1482/SUM($A1482:$C1482)</f>
        <v>0.430466492856556</v>
      </c>
      <c r="F1482" s="0" t="n">
        <f aca="false">C1482/SUM($A1482:$C1482)</f>
        <v>0.116427681330162</v>
      </c>
      <c r="G1482" s="0" t="n">
        <f aca="false">SUMPRODUCT(D1482:F1482,Stats!$B$6:$D$6)</f>
        <v>0.378041740781175</v>
      </c>
      <c r="H1482" s="0" t="n">
        <f aca="false">SQRT(SUMPRODUCT(MMULT(D1482:F1482,Stats!$B$12:$D$14),D1482:F1482))</f>
        <v>0.226597969789719</v>
      </c>
      <c r="I1482" s="0" t="n">
        <f aca="false">(G1482-Stats!$B$2)/H1482</f>
        <v>1.48298654702431</v>
      </c>
    </row>
    <row r="1483" customFormat="false" ht="15" hidden="false" customHeight="false" outlineLevel="0" collapsed="false">
      <c r="A1483" s="0" t="n">
        <v>0.399332580199223</v>
      </c>
      <c r="B1483" s="0" t="n">
        <v>0.409672869292519</v>
      </c>
      <c r="C1483" s="0" t="n">
        <v>0.978220668526558</v>
      </c>
      <c r="D1483" s="0" t="n">
        <f aca="false">A1483/SUM($A1483:$C1483)</f>
        <v>0.223437077252434</v>
      </c>
      <c r="E1483" s="0" t="n">
        <f aca="false">B1483/SUM($A1483:$C1483)</f>
        <v>0.229222740850928</v>
      </c>
      <c r="F1483" s="0" t="n">
        <f aca="false">C1483/SUM($A1483:$C1483)</f>
        <v>0.547340181896638</v>
      </c>
      <c r="G1483" s="0" t="n">
        <f aca="false">SUMPRODUCT(D1483:F1483,Stats!$B$6:$D$6)</f>
        <v>0.354580189290004</v>
      </c>
      <c r="H1483" s="0" t="n">
        <f aca="false">SQRT(SUMPRODUCT(MMULT(D1483:F1483,Stats!$B$12:$D$14),D1483:F1483))</f>
        <v>0.231715701623275</v>
      </c>
      <c r="I1483" s="0" t="n">
        <f aca="false">(G1483-Stats!$B$2)/H1483</f>
        <v>1.3489814764396</v>
      </c>
    </row>
    <row r="1484" customFormat="false" ht="15" hidden="false" customHeight="false" outlineLevel="0" collapsed="false">
      <c r="A1484" s="0" t="n">
        <v>0.180891901378898</v>
      </c>
      <c r="B1484" s="0" t="n">
        <v>0.799157971104782</v>
      </c>
      <c r="C1484" s="0" t="n">
        <v>0.33419271417311</v>
      </c>
      <c r="D1484" s="0" t="n">
        <f aca="false">A1484/SUM($A1484:$C1484)</f>
        <v>0.137639658930134</v>
      </c>
      <c r="E1484" s="0" t="n">
        <f aca="false">B1484/SUM($A1484:$C1484)</f>
        <v>0.608074931689517</v>
      </c>
      <c r="F1484" s="0" t="n">
        <f aca="false">C1484/SUM($A1484:$C1484)</f>
        <v>0.254285409380348</v>
      </c>
      <c r="G1484" s="0" t="n">
        <f aca="false">SUMPRODUCT(D1484:F1484,Stats!$B$6:$D$6)</f>
        <v>0.384459726649405</v>
      </c>
      <c r="H1484" s="0" t="n">
        <f aca="false">SQRT(SUMPRODUCT(MMULT(D1484:F1484,Stats!$B$12:$D$14),D1484:F1484))</f>
        <v>0.236505711876659</v>
      </c>
      <c r="I1484" s="0" t="n">
        <f aca="false">(G1484-Stats!$B$2)/H1484</f>
        <v>1.44799769921837</v>
      </c>
    </row>
    <row r="1485" customFormat="false" ht="15" hidden="false" customHeight="false" outlineLevel="0" collapsed="false">
      <c r="A1485" s="0" t="n">
        <v>0.73087034577616</v>
      </c>
      <c r="B1485" s="0" t="n">
        <v>0.420011004295663</v>
      </c>
      <c r="C1485" s="0" t="n">
        <v>0.57835976311654</v>
      </c>
      <c r="D1485" s="0" t="n">
        <f aca="false">A1485/SUM($A1485:$C1485)</f>
        <v>0.422653810508002</v>
      </c>
      <c r="E1485" s="0" t="n">
        <f aca="false">B1485/SUM($A1485:$C1485)</f>
        <v>0.242887473061087</v>
      </c>
      <c r="F1485" s="0" t="n">
        <f aca="false">C1485/SUM($A1485:$C1485)</f>
        <v>0.334458716430911</v>
      </c>
      <c r="G1485" s="0" t="n">
        <f aca="false">SUMPRODUCT(D1485:F1485,Stats!$B$6:$D$6)</f>
        <v>0.36123656482716</v>
      </c>
      <c r="H1485" s="0" t="n">
        <f aca="false">SQRT(SUMPRODUCT(MMULT(D1485:F1485,Stats!$B$12:$D$14),D1485:F1485))</f>
        <v>0.223665620326942</v>
      </c>
      <c r="I1485" s="0" t="n">
        <f aca="false">(G1485-Stats!$B$2)/H1485</f>
        <v>1.42729385213748</v>
      </c>
    </row>
    <row r="1486" customFormat="false" ht="15" hidden="false" customHeight="false" outlineLevel="0" collapsed="false">
      <c r="A1486" s="0" t="n">
        <v>0.832611773326131</v>
      </c>
      <c r="B1486" s="0" t="n">
        <v>0.804165564983884</v>
      </c>
      <c r="C1486" s="0" t="n">
        <v>0.8664231835397</v>
      </c>
      <c r="D1486" s="0" t="n">
        <f aca="false">A1486/SUM($A1486:$C1486)</f>
        <v>0.332618887723338</v>
      </c>
      <c r="E1486" s="0" t="n">
        <f aca="false">B1486/SUM($A1486:$C1486)</f>
        <v>0.321254952595509</v>
      </c>
      <c r="F1486" s="0" t="n">
        <f aca="false">C1486/SUM($A1486:$C1486)</f>
        <v>0.346126159681153</v>
      </c>
      <c r="G1486" s="0" t="n">
        <f aca="false">SUMPRODUCT(D1486:F1486,Stats!$B$6:$D$6)</f>
        <v>0.365424002910436</v>
      </c>
      <c r="H1486" s="0" t="n">
        <f aca="false">SQRT(SUMPRODUCT(MMULT(D1486:F1486,Stats!$B$12:$D$14),D1486:F1486))</f>
        <v>0.226267005081606</v>
      </c>
      <c r="I1486" s="0" t="n">
        <f aca="false">(G1486-Stats!$B$2)/H1486</f>
        <v>1.42939092155212</v>
      </c>
    </row>
    <row r="1487" customFormat="false" ht="15" hidden="false" customHeight="false" outlineLevel="0" collapsed="false">
      <c r="A1487" s="0" t="n">
        <v>0.059617325344659</v>
      </c>
      <c r="B1487" s="0" t="n">
        <v>0.692050553039745</v>
      </c>
      <c r="C1487" s="0" t="n">
        <v>0.139987376721763</v>
      </c>
      <c r="D1487" s="0" t="n">
        <f aca="false">A1487/SUM($A1487:$C1487)</f>
        <v>0.0668614074814829</v>
      </c>
      <c r="E1487" s="0" t="n">
        <f aca="false">B1487/SUM($A1487:$C1487)</f>
        <v>0.77614139441969</v>
      </c>
      <c r="F1487" s="0" t="n">
        <f aca="false">C1487/SUM($A1487:$C1487)</f>
        <v>0.156997198098827</v>
      </c>
      <c r="G1487" s="0" t="n">
        <f aca="false">SUMPRODUCT(D1487:F1487,Stats!$B$6:$D$6)</f>
        <v>0.396812738397808</v>
      </c>
      <c r="H1487" s="0" t="n">
        <f aca="false">SQRT(SUMPRODUCT(MMULT(D1487:F1487,Stats!$B$12:$D$14),D1487:F1487))</f>
        <v>0.243471347463702</v>
      </c>
      <c r="I1487" s="0" t="n">
        <f aca="false">(G1487-Stats!$B$2)/H1487</f>
        <v>1.45730798344025</v>
      </c>
    </row>
    <row r="1488" customFormat="false" ht="15" hidden="false" customHeight="false" outlineLevel="0" collapsed="false">
      <c r="A1488" s="0" t="n">
        <v>0.415818568018411</v>
      </c>
      <c r="B1488" s="0" t="n">
        <v>0.548588415054689</v>
      </c>
      <c r="C1488" s="0" t="n">
        <v>0.402739484746831</v>
      </c>
      <c r="D1488" s="0" t="n">
        <f aca="false">A1488/SUM($A1488:$C1488)</f>
        <v>0.304150709383378</v>
      </c>
      <c r="E1488" s="0" t="n">
        <f aca="false">B1488/SUM($A1488:$C1488)</f>
        <v>0.401265283543083</v>
      </c>
      <c r="F1488" s="0" t="n">
        <f aca="false">C1488/SUM($A1488:$C1488)</f>
        <v>0.294584007073539</v>
      </c>
      <c r="G1488" s="0" t="n">
        <f aca="false">SUMPRODUCT(D1488:F1488,Stats!$B$6:$D$6)</f>
        <v>0.371448948831815</v>
      </c>
      <c r="H1488" s="0" t="n">
        <f aca="false">SQRT(SUMPRODUCT(MMULT(D1488:F1488,Stats!$B$12:$D$14),D1488:F1488))</f>
        <v>0.227737112047277</v>
      </c>
      <c r="I1488" s="0" t="n">
        <f aca="false">(G1488-Stats!$B$2)/H1488</f>
        <v>1.44661950733539</v>
      </c>
    </row>
    <row r="1489" customFormat="false" ht="15" hidden="false" customHeight="false" outlineLevel="0" collapsed="false">
      <c r="A1489" s="0" t="n">
        <v>0.519611675803008</v>
      </c>
      <c r="B1489" s="0" t="n">
        <v>0.996526308798619</v>
      </c>
      <c r="C1489" s="0" t="n">
        <v>0.135217313712855</v>
      </c>
      <c r="D1489" s="0" t="n">
        <f aca="false">A1489/SUM($A1489:$C1489)</f>
        <v>0.31465770953917</v>
      </c>
      <c r="E1489" s="0" t="n">
        <f aca="false">B1489/SUM($A1489:$C1489)</f>
        <v>0.603459661173923</v>
      </c>
      <c r="F1489" s="0" t="n">
        <f aca="false">C1489/SUM($A1489:$C1489)</f>
        <v>0.0818826292869072</v>
      </c>
      <c r="G1489" s="0" t="n">
        <f aca="false">SUMPRODUCT(D1489:F1489,Stats!$B$6:$D$6)</f>
        <v>0.388948110308847</v>
      </c>
      <c r="H1489" s="0" t="n">
        <f aca="false">SQRT(SUMPRODUCT(MMULT(D1489:F1489,Stats!$B$12:$D$14),D1489:F1489))</f>
        <v>0.232462849703799</v>
      </c>
      <c r="I1489" s="0" t="n">
        <f aca="false">(G1489-Stats!$B$2)/H1489</f>
        <v>1.49248841589494</v>
      </c>
    </row>
    <row r="1490" customFormat="false" ht="15" hidden="false" customHeight="false" outlineLevel="0" collapsed="false">
      <c r="A1490" s="0" t="n">
        <v>0.675456045336426</v>
      </c>
      <c r="B1490" s="0" t="n">
        <v>0.396000966385615</v>
      </c>
      <c r="C1490" s="0" t="n">
        <v>0.133009798907329</v>
      </c>
      <c r="D1490" s="0" t="n">
        <f aca="false">A1490/SUM($A1490:$C1490)</f>
        <v>0.560792575914549</v>
      </c>
      <c r="E1490" s="0" t="n">
        <f aca="false">B1490/SUM($A1490:$C1490)</f>
        <v>0.328776984879054</v>
      </c>
      <c r="F1490" s="0" t="n">
        <f aca="false">C1490/SUM($A1490:$C1490)</f>
        <v>0.110430439206396</v>
      </c>
      <c r="G1490" s="0" t="n">
        <f aca="false">SUMPRODUCT(D1490:F1490,Stats!$B$6:$D$6)</f>
        <v>0.372356029751207</v>
      </c>
      <c r="H1490" s="0" t="n">
        <f aca="false">SQRT(SUMPRODUCT(MMULT(D1490:F1490,Stats!$B$12:$D$14),D1490:F1490))</f>
        <v>0.224703420996991</v>
      </c>
      <c r="I1490" s="0" t="n">
        <f aca="false">(G1490-Stats!$B$2)/H1490</f>
        <v>1.47018691698348</v>
      </c>
    </row>
    <row r="1491" customFormat="false" ht="15" hidden="false" customHeight="false" outlineLevel="0" collapsed="false">
      <c r="A1491" s="0" t="n">
        <v>0.15873676337431</v>
      </c>
      <c r="B1491" s="0" t="n">
        <v>0.949273106245617</v>
      </c>
      <c r="C1491" s="0" t="n">
        <v>0.879601496711762</v>
      </c>
      <c r="D1491" s="0" t="n">
        <f aca="false">A1491/SUM($A1491:$C1491)</f>
        <v>0.0798630789012201</v>
      </c>
      <c r="E1491" s="0" t="n">
        <f aca="false">B1491/SUM($A1491:$C1491)</f>
        <v>0.477594927421644</v>
      </c>
      <c r="F1491" s="0" t="n">
        <f aca="false">C1491/SUM($A1491:$C1491)</f>
        <v>0.442541993677136</v>
      </c>
      <c r="G1491" s="0" t="n">
        <f aca="false">SUMPRODUCT(D1491:F1491,Stats!$B$6:$D$6)</f>
        <v>0.371760973176102</v>
      </c>
      <c r="H1491" s="0" t="n">
        <f aca="false">SQRT(SUMPRODUCT(MMULT(D1491:F1491,Stats!$B$12:$D$14),D1491:F1491))</f>
        <v>0.238127765743731</v>
      </c>
      <c r="I1491" s="0" t="n">
        <f aca="false">(G1491-Stats!$B$2)/H1491</f>
        <v>1.38480690038886</v>
      </c>
    </row>
    <row r="1492" customFormat="false" ht="15" hidden="false" customHeight="false" outlineLevel="0" collapsed="false">
      <c r="A1492" s="0" t="n">
        <v>0.907041960415022</v>
      </c>
      <c r="B1492" s="0" t="n">
        <v>0.991532775827387</v>
      </c>
      <c r="C1492" s="0" t="n">
        <v>0.208315390008518</v>
      </c>
      <c r="D1492" s="0" t="n">
        <f aca="false">A1492/SUM($A1492:$C1492)</f>
        <v>0.430512227056208</v>
      </c>
      <c r="E1492" s="0" t="n">
        <f aca="false">B1492/SUM($A1492:$C1492)</f>
        <v>0.47061437303888</v>
      </c>
      <c r="F1492" s="0" t="n">
        <f aca="false">C1492/SUM($A1492:$C1492)</f>
        <v>0.0988733999049118</v>
      </c>
      <c r="G1492" s="0" t="n">
        <f aca="false">SUMPRODUCT(D1492:F1492,Stats!$B$6:$D$6)</f>
        <v>0.380835850403051</v>
      </c>
      <c r="H1492" s="0" t="n">
        <f aca="false">SQRT(SUMPRODUCT(MMULT(D1492:F1492,Stats!$B$12:$D$14),D1492:F1492))</f>
        <v>0.227757484656474</v>
      </c>
      <c r="I1492" s="0" t="n">
        <f aca="false">(G1492-Stats!$B$2)/H1492</f>
        <v>1.48770456836629</v>
      </c>
    </row>
    <row r="1493" customFormat="false" ht="15" hidden="false" customHeight="false" outlineLevel="0" collapsed="false">
      <c r="A1493" s="0" t="n">
        <v>0.355439337364062</v>
      </c>
      <c r="B1493" s="0" t="n">
        <v>0.669219029924867</v>
      </c>
      <c r="C1493" s="0" t="n">
        <v>0.483802539860647</v>
      </c>
      <c r="D1493" s="0" t="n">
        <f aca="false">A1493/SUM($A1493:$C1493)</f>
        <v>0.235630459947224</v>
      </c>
      <c r="E1493" s="0" t="n">
        <f aca="false">B1493/SUM($A1493:$C1493)</f>
        <v>0.443643601735387</v>
      </c>
      <c r="F1493" s="0" t="n">
        <f aca="false">C1493/SUM($A1493:$C1493)</f>
        <v>0.320725938317389</v>
      </c>
      <c r="G1493" s="0" t="n">
        <f aca="false">SUMPRODUCT(D1493:F1493,Stats!$B$6:$D$6)</f>
        <v>0.373166488712083</v>
      </c>
      <c r="H1493" s="0" t="n">
        <f aca="false">SQRT(SUMPRODUCT(MMULT(D1493:F1493,Stats!$B$12:$D$14),D1493:F1493))</f>
        <v>0.230382876131157</v>
      </c>
      <c r="I1493" s="0" t="n">
        <f aca="false">(G1493-Stats!$B$2)/H1493</f>
        <v>1.43746138720636</v>
      </c>
    </row>
    <row r="1494" customFormat="false" ht="15" hidden="false" customHeight="false" outlineLevel="0" collapsed="false">
      <c r="A1494" s="0" t="n">
        <v>0.418389533378334</v>
      </c>
      <c r="B1494" s="0" t="n">
        <v>0.357811249335593</v>
      </c>
      <c r="C1494" s="0" t="n">
        <v>0.593780631943452</v>
      </c>
      <c r="D1494" s="0" t="n">
        <f aca="false">A1494/SUM($A1494:$C1494)</f>
        <v>0.305397962995702</v>
      </c>
      <c r="E1494" s="0" t="n">
        <f aca="false">B1494/SUM($A1494:$C1494)</f>
        <v>0.261179637553754</v>
      </c>
      <c r="F1494" s="0" t="n">
        <f aca="false">C1494/SUM($A1494:$C1494)</f>
        <v>0.433422399450544</v>
      </c>
      <c r="G1494" s="0" t="n">
        <f aca="false">SUMPRODUCT(D1494:F1494,Stats!$B$6:$D$6)</f>
        <v>0.359560186801151</v>
      </c>
      <c r="H1494" s="0" t="n">
        <f aca="false">SQRT(SUMPRODUCT(MMULT(D1494:F1494,Stats!$B$12:$D$14),D1494:F1494))</f>
        <v>0.2272565516234</v>
      </c>
      <c r="I1494" s="0" t="n">
        <f aca="false">(G1494-Stats!$B$2)/H1494</f>
        <v>1.39736427633293</v>
      </c>
    </row>
    <row r="1495" customFormat="false" ht="15" hidden="false" customHeight="false" outlineLevel="0" collapsed="false">
      <c r="A1495" s="0" t="n">
        <v>0.575593428640082</v>
      </c>
      <c r="B1495" s="0" t="n">
        <v>0.16145783406424</v>
      </c>
      <c r="C1495" s="0" t="n">
        <v>0.471739837518439</v>
      </c>
      <c r="D1495" s="0" t="n">
        <f aca="false">A1495/SUM($A1495:$C1495)</f>
        <v>0.47617278827914</v>
      </c>
      <c r="E1495" s="0" t="n">
        <f aca="false">B1495/SUM($A1495:$C1495)</f>
        <v>0.133569674722527</v>
      </c>
      <c r="F1495" s="0" t="n">
        <f aca="false">C1495/SUM($A1495:$C1495)</f>
        <v>0.390257536998332</v>
      </c>
      <c r="G1495" s="0" t="n">
        <f aca="false">SUMPRODUCT(D1495:F1495,Stats!$B$6:$D$6)</f>
        <v>0.353407929182225</v>
      </c>
      <c r="H1495" s="0" t="n">
        <f aca="false">SQRT(SUMPRODUCT(MMULT(D1495:F1495,Stats!$B$12:$D$14),D1495:F1495))</f>
        <v>0.222598982773788</v>
      </c>
      <c r="I1495" s="0" t="n">
        <f aca="false">(G1495-Stats!$B$2)/H1495</f>
        <v>1.39896384656298</v>
      </c>
    </row>
    <row r="1496" customFormat="false" ht="15" hidden="false" customHeight="false" outlineLevel="0" collapsed="false">
      <c r="A1496" s="0" t="n">
        <v>0.55347177620985</v>
      </c>
      <c r="B1496" s="0" t="n">
        <v>0.570286938731391</v>
      </c>
      <c r="C1496" s="0" t="n">
        <v>0.210107192912352</v>
      </c>
      <c r="D1496" s="0" t="n">
        <f aca="false">A1496/SUM($A1496:$C1496)</f>
        <v>0.414938093065499</v>
      </c>
      <c r="E1496" s="0" t="n">
        <f aca="false">B1496/SUM($A1496:$C1496)</f>
        <v>0.427544429596432</v>
      </c>
      <c r="F1496" s="0" t="n">
        <f aca="false">C1496/SUM($A1496:$C1496)</f>
        <v>0.15751747733807</v>
      </c>
      <c r="G1496" s="0" t="n">
        <f aca="false">SUMPRODUCT(D1496:F1496,Stats!$B$6:$D$6)</f>
        <v>0.376740573722188</v>
      </c>
      <c r="H1496" s="0" t="n">
        <f aca="false">SQRT(SUMPRODUCT(MMULT(D1496:F1496,Stats!$B$12:$D$14),D1496:F1496))</f>
        <v>0.226503792948121</v>
      </c>
      <c r="I1496" s="0" t="n">
        <f aca="false">(G1496-Stats!$B$2)/H1496</f>
        <v>1.47785857960824</v>
      </c>
    </row>
    <row r="1497" customFormat="false" ht="15" hidden="false" customHeight="false" outlineLevel="0" collapsed="false">
      <c r="A1497" s="0" t="n">
        <v>0.742271392252287</v>
      </c>
      <c r="B1497" s="0" t="n">
        <v>0.0251990948210696</v>
      </c>
      <c r="C1497" s="0" t="n">
        <v>0.354831855543163</v>
      </c>
      <c r="D1497" s="0" t="n">
        <f aca="false">A1497/SUM($A1497:$C1497)</f>
        <v>0.661382734461523</v>
      </c>
      <c r="E1497" s="0" t="n">
        <f aca="false">B1497/SUM($A1497:$C1497)</f>
        <v>0.0224530359281981</v>
      </c>
      <c r="F1497" s="0" t="n">
        <f aca="false">C1497/SUM($A1497:$C1497)</f>
        <v>0.316164229610279</v>
      </c>
      <c r="G1497" s="0" t="n">
        <f aca="false">SUMPRODUCT(D1497:F1497,Stats!$B$6:$D$6)</f>
        <v>0.349057516054892</v>
      </c>
      <c r="H1497" s="0" t="n">
        <f aca="false">SQRT(SUMPRODUCT(MMULT(D1497:F1497,Stats!$B$12:$D$14),D1497:F1497))</f>
        <v>0.221382546590666</v>
      </c>
      <c r="I1497" s="0" t="n">
        <f aca="false">(G1497-Stats!$B$2)/H1497</f>
        <v>1.38699965640308</v>
      </c>
    </row>
    <row r="1498" customFormat="false" ht="15" hidden="false" customHeight="false" outlineLevel="0" collapsed="false">
      <c r="A1498" s="0" t="n">
        <v>0.780212648535634</v>
      </c>
      <c r="B1498" s="0" t="n">
        <v>0.563892921055402</v>
      </c>
      <c r="C1498" s="0" t="n">
        <v>0.26116243251086</v>
      </c>
      <c r="D1498" s="0" t="n">
        <f aca="false">A1498/SUM($A1498:$C1498)</f>
        <v>0.486032642221762</v>
      </c>
      <c r="E1498" s="0" t="n">
        <f aca="false">B1498/SUM($A1498:$C1498)</f>
        <v>0.351276497330698</v>
      </c>
      <c r="F1498" s="0" t="n">
        <f aca="false">C1498/SUM($A1498:$C1498)</f>
        <v>0.16269086044754</v>
      </c>
      <c r="G1498" s="0" t="n">
        <f aca="false">SUMPRODUCT(D1498:F1498,Stats!$B$6:$D$6)</f>
        <v>0.372209561561815</v>
      </c>
      <c r="H1498" s="0" t="n">
        <f aca="false">SQRT(SUMPRODUCT(MMULT(D1498:F1498,Stats!$B$12:$D$14),D1498:F1498))</f>
        <v>0.224601408534933</v>
      </c>
      <c r="I1498" s="0" t="n">
        <f aca="false">(G1498-Stats!$B$2)/H1498</f>
        <v>1.47020254109607</v>
      </c>
    </row>
    <row r="1499" customFormat="false" ht="15" hidden="false" customHeight="false" outlineLevel="0" collapsed="false">
      <c r="A1499" s="0" t="n">
        <v>0.694953119343048</v>
      </c>
      <c r="B1499" s="0" t="n">
        <v>0.567390944156073</v>
      </c>
      <c r="C1499" s="0" t="n">
        <v>0.796243609456387</v>
      </c>
      <c r="D1499" s="0" t="n">
        <f aca="false">A1499/SUM($A1499:$C1499)</f>
        <v>0.337587331583165</v>
      </c>
      <c r="E1499" s="0" t="n">
        <f aca="false">B1499/SUM($A1499:$C1499)</f>
        <v>0.275621462039298</v>
      </c>
      <c r="F1499" s="0" t="n">
        <f aca="false">C1499/SUM($A1499:$C1499)</f>
        <v>0.386791206377537</v>
      </c>
      <c r="G1499" s="0" t="n">
        <f aca="false">SUMPRODUCT(D1499:F1499,Stats!$B$6:$D$6)</f>
        <v>0.361676987904049</v>
      </c>
      <c r="H1499" s="0" t="n">
        <f aca="false">SQRT(SUMPRODUCT(MMULT(D1499:F1499,Stats!$B$12:$D$14),D1499:F1499))</f>
        <v>0.226014246082041</v>
      </c>
      <c r="I1499" s="0" t="n">
        <f aca="false">(G1499-Stats!$B$2)/H1499</f>
        <v>1.41441078801736</v>
      </c>
    </row>
    <row r="1500" customFormat="false" ht="15" hidden="false" customHeight="false" outlineLevel="0" collapsed="false">
      <c r="A1500" s="0" t="n">
        <v>0.735025186189823</v>
      </c>
      <c r="B1500" s="0" t="n">
        <v>0.610107922036235</v>
      </c>
      <c r="C1500" s="0" t="n">
        <v>0.488177675310814</v>
      </c>
      <c r="D1500" s="0" t="n">
        <f aca="false">A1500/SUM($A1500:$C1500)</f>
        <v>0.400927760197752</v>
      </c>
      <c r="E1500" s="0" t="n">
        <f aca="false">B1500/SUM($A1500:$C1500)</f>
        <v>0.332790232575406</v>
      </c>
      <c r="F1500" s="0" t="n">
        <f aca="false">C1500/SUM($A1500:$C1500)</f>
        <v>0.266282007226843</v>
      </c>
      <c r="G1500" s="0" t="n">
        <f aca="false">SUMPRODUCT(D1500:F1500,Stats!$B$6:$D$6)</f>
        <v>0.368289399784911</v>
      </c>
      <c r="H1500" s="0" t="n">
        <f aca="false">SQRT(SUMPRODUCT(MMULT(D1500:F1500,Stats!$B$12:$D$14),D1500:F1500))</f>
        <v>0.224807738723665</v>
      </c>
      <c r="I1500" s="0" t="n">
        <f aca="false">(G1500-Stats!$B$2)/H1500</f>
        <v>1.4514153366668</v>
      </c>
    </row>
    <row r="1501" customFormat="false" ht="15" hidden="false" customHeight="false" outlineLevel="0" collapsed="false">
      <c r="A1501" s="0" t="n">
        <v>0.133182125667523</v>
      </c>
      <c r="B1501" s="0" t="n">
        <v>0.261333017885384</v>
      </c>
      <c r="C1501" s="0" t="n">
        <v>0.419099472917085</v>
      </c>
      <c r="D1501" s="0" t="n">
        <f aca="false">A1501/SUM($A1501:$C1501)</f>
        <v>0.163691903969667</v>
      </c>
      <c r="E1501" s="0" t="n">
        <f aca="false">B1501/SUM($A1501:$C1501)</f>
        <v>0.321200003779704</v>
      </c>
      <c r="F1501" s="0" t="n">
        <f aca="false">C1501/SUM($A1501:$C1501)</f>
        <v>0.515108092250629</v>
      </c>
      <c r="G1501" s="0" t="n">
        <f aca="false">SUMPRODUCT(D1501:F1501,Stats!$B$6:$D$6)</f>
        <v>0.360761229429959</v>
      </c>
      <c r="H1501" s="0" t="n">
        <f aca="false">SQRT(SUMPRODUCT(MMULT(D1501:F1501,Stats!$B$12:$D$14),D1501:F1501))</f>
        <v>0.233985555486198</v>
      </c>
      <c r="I1501" s="0" t="n">
        <f aca="false">(G1501-Stats!$B$2)/H1501</f>
        <v>1.36231156990698</v>
      </c>
    </row>
    <row r="1502" customFormat="false" ht="15" hidden="false" customHeight="false" outlineLevel="0" collapsed="false">
      <c r="A1502" s="0" t="n">
        <v>0.599299287006389</v>
      </c>
      <c r="B1502" s="0" t="n">
        <v>0.513707855215305</v>
      </c>
      <c r="C1502" s="0" t="n">
        <v>0.28818452595953</v>
      </c>
      <c r="D1502" s="0" t="n">
        <f aca="false">A1502/SUM($A1502:$C1502)</f>
        <v>0.427706858822742</v>
      </c>
      <c r="E1502" s="0" t="n">
        <f aca="false">B1502/SUM($A1502:$C1502)</f>
        <v>0.366622116645975</v>
      </c>
      <c r="F1502" s="0" t="n">
        <f aca="false">C1502/SUM($A1502:$C1502)</f>
        <v>0.205671024531283</v>
      </c>
      <c r="G1502" s="0" t="n">
        <f aca="false">SUMPRODUCT(D1502:F1502,Stats!$B$6:$D$6)</f>
        <v>0.371907367142201</v>
      </c>
      <c r="H1502" s="0" t="n">
        <f aca="false">SQRT(SUMPRODUCT(MMULT(D1502:F1502,Stats!$B$12:$D$14),D1502:F1502))</f>
        <v>0.225053509805397</v>
      </c>
      <c r="I1502" s="0" t="n">
        <f aca="false">(G1502-Stats!$B$2)/H1502</f>
        <v>1.46590634124067</v>
      </c>
    </row>
    <row r="1503" customFormat="false" ht="15" hidden="false" customHeight="false" outlineLevel="0" collapsed="false">
      <c r="A1503" s="0" t="n">
        <v>0.00646435778971055</v>
      </c>
      <c r="B1503" s="0" t="n">
        <v>0.496239221900814</v>
      </c>
      <c r="C1503" s="0" t="n">
        <v>0.285625988562243</v>
      </c>
      <c r="D1503" s="0" t="n">
        <f aca="false">A1503/SUM($A1503:$C1503)</f>
        <v>0.00820007018642975</v>
      </c>
      <c r="E1503" s="0" t="n">
        <f aca="false">B1503/SUM($A1503:$C1503)</f>
        <v>0.629481934821581</v>
      </c>
      <c r="F1503" s="0" t="n">
        <f aca="false">C1503/SUM($A1503:$C1503)</f>
        <v>0.362317994991989</v>
      </c>
      <c r="G1503" s="0" t="n">
        <f aca="false">SUMPRODUCT(D1503:F1503,Stats!$B$6:$D$6)</f>
        <v>0.382712500906359</v>
      </c>
      <c r="H1503" s="0" t="n">
        <f aca="false">SQRT(SUMPRODUCT(MMULT(D1503:F1503,Stats!$B$12:$D$14),D1503:F1503))</f>
        <v>0.243117613099726</v>
      </c>
      <c r="I1503" s="0" t="n">
        <f aca="false">(G1503-Stats!$B$2)/H1503</f>
        <v>1.4014307583984</v>
      </c>
    </row>
    <row r="1504" customFormat="false" ht="15" hidden="false" customHeight="false" outlineLevel="0" collapsed="false">
      <c r="A1504" s="0" t="n">
        <v>0.734608300710535</v>
      </c>
      <c r="B1504" s="0" t="n">
        <v>0.0239462652704835</v>
      </c>
      <c r="C1504" s="0" t="n">
        <v>0.584827811305791</v>
      </c>
      <c r="D1504" s="0" t="n">
        <f aca="false">A1504/SUM($A1504:$C1504)</f>
        <v>0.546834849951063</v>
      </c>
      <c r="E1504" s="0" t="n">
        <f aca="false">B1504/SUM($A1504:$C1504)</f>
        <v>0.0178253531350077</v>
      </c>
      <c r="F1504" s="0" t="n">
        <f aca="false">C1504/SUM($A1504:$C1504)</f>
        <v>0.435339796913929</v>
      </c>
      <c r="G1504" s="0" t="n">
        <f aca="false">SUMPRODUCT(D1504:F1504,Stats!$B$6:$D$6)</f>
        <v>0.3455050247454</v>
      </c>
      <c r="H1504" s="0" t="n">
        <f aca="false">SQRT(SUMPRODUCT(MMULT(D1504:F1504,Stats!$B$12:$D$14),D1504:F1504))</f>
        <v>0.22217032429647</v>
      </c>
      <c r="I1504" s="0" t="n">
        <f aca="false">(G1504-Stats!$B$2)/H1504</f>
        <v>1.36609164930774</v>
      </c>
    </row>
    <row r="1505" customFormat="false" ht="15" hidden="false" customHeight="false" outlineLevel="0" collapsed="false">
      <c r="A1505" s="0" t="n">
        <v>0.941474237506065</v>
      </c>
      <c r="B1505" s="0" t="n">
        <v>0.1744092671115</v>
      </c>
      <c r="C1505" s="0" t="n">
        <v>0.471649490750595</v>
      </c>
      <c r="D1505" s="0" t="n">
        <f aca="false">A1505/SUM($A1505:$C1505)</f>
        <v>0.593042311720728</v>
      </c>
      <c r="E1505" s="0" t="n">
        <f aca="false">B1505/SUM($A1505:$C1505)</f>
        <v>0.109861821845821</v>
      </c>
      <c r="F1505" s="0" t="n">
        <f aca="false">C1505/SUM($A1505:$C1505)</f>
        <v>0.297095866433451</v>
      </c>
      <c r="G1505" s="0" t="n">
        <f aca="false">SUMPRODUCT(D1505:F1505,Stats!$B$6:$D$6)</f>
        <v>0.354612707246137</v>
      </c>
      <c r="H1505" s="0" t="n">
        <f aca="false">SQRT(SUMPRODUCT(MMULT(D1505:F1505,Stats!$B$12:$D$14),D1505:F1505))</f>
        <v>0.221396373594094</v>
      </c>
      <c r="I1505" s="0" t="n">
        <f aca="false">(G1505-Stats!$B$2)/H1505</f>
        <v>1.41200464204205</v>
      </c>
    </row>
    <row r="1506" customFormat="false" ht="15" hidden="false" customHeight="false" outlineLevel="0" collapsed="false">
      <c r="A1506" s="0" t="n">
        <v>0.0914219918171382</v>
      </c>
      <c r="B1506" s="0" t="n">
        <v>0.625681912261353</v>
      </c>
      <c r="C1506" s="0" t="n">
        <v>0.550531680596226</v>
      </c>
      <c r="D1506" s="0" t="n">
        <f aca="false">A1506/SUM($A1506:$C1506)</f>
        <v>0.0721200894976435</v>
      </c>
      <c r="E1506" s="0" t="n">
        <f aca="false">B1506/SUM($A1506:$C1506)</f>
        <v>0.493581846254266</v>
      </c>
      <c r="F1506" s="0" t="n">
        <f aca="false">C1506/SUM($A1506:$C1506)</f>
        <v>0.43429806424809</v>
      </c>
      <c r="G1506" s="0" t="n">
        <f aca="false">SUMPRODUCT(D1506:F1506,Stats!$B$6:$D$6)</f>
        <v>0.372908162977491</v>
      </c>
      <c r="H1506" s="0" t="n">
        <f aca="false">SQRT(SUMPRODUCT(MMULT(D1506:F1506,Stats!$B$12:$D$14),D1506:F1506))</f>
        <v>0.238593773272535</v>
      </c>
      <c r="I1506" s="0" t="n">
        <f aca="false">(G1506-Stats!$B$2)/H1506</f>
        <v>1.38691030549028</v>
      </c>
    </row>
    <row r="1507" customFormat="false" ht="15" hidden="false" customHeight="false" outlineLevel="0" collapsed="false">
      <c r="A1507" s="0" t="n">
        <v>0.407365524212832</v>
      </c>
      <c r="B1507" s="0" t="n">
        <v>0.521377021473741</v>
      </c>
      <c r="C1507" s="0" t="n">
        <v>0.89657465846901</v>
      </c>
      <c r="D1507" s="0" t="n">
        <f aca="false">A1507/SUM($A1507:$C1507)</f>
        <v>0.223175195678542</v>
      </c>
      <c r="E1507" s="0" t="n">
        <f aca="false">B1507/SUM($A1507:$C1507)</f>
        <v>0.285636392560567</v>
      </c>
      <c r="F1507" s="0" t="n">
        <f aca="false">C1507/SUM($A1507:$C1507)</f>
        <v>0.49118841176089</v>
      </c>
      <c r="G1507" s="0" t="n">
        <f aca="false">SUMPRODUCT(D1507:F1507,Stats!$B$6:$D$6)</f>
        <v>0.359374521259003</v>
      </c>
      <c r="H1507" s="0" t="n">
        <f aca="false">SQRT(SUMPRODUCT(MMULT(D1507:F1507,Stats!$B$12:$D$14),D1507:F1507))</f>
        <v>0.230963077599452</v>
      </c>
      <c r="I1507" s="0" t="n">
        <f aca="false">(G1507-Stats!$B$2)/H1507</f>
        <v>1.37413531443069</v>
      </c>
    </row>
    <row r="1508" customFormat="false" ht="15" hidden="false" customHeight="false" outlineLevel="0" collapsed="false">
      <c r="A1508" s="0" t="n">
        <v>0.196294302311067</v>
      </c>
      <c r="B1508" s="0" t="n">
        <v>0.0225645117053472</v>
      </c>
      <c r="C1508" s="0" t="n">
        <v>0.861664884699101</v>
      </c>
      <c r="D1508" s="0" t="n">
        <f aca="false">A1508/SUM($A1508:$C1508)</f>
        <v>0.181665892700377</v>
      </c>
      <c r="E1508" s="0" t="n">
        <f aca="false">B1508/SUM($A1508:$C1508)</f>
        <v>0.0208829401263212</v>
      </c>
      <c r="F1508" s="0" t="n">
        <f aca="false">C1508/SUM($A1508:$C1508)</f>
        <v>0.797451167173302</v>
      </c>
      <c r="G1508" s="0" t="n">
        <f aca="false">SUMPRODUCT(D1508:F1508,Stats!$B$6:$D$6)</f>
        <v>0.335695872583976</v>
      </c>
      <c r="H1508" s="0" t="n">
        <f aca="false">SQRT(SUMPRODUCT(MMULT(D1508:F1508,Stats!$B$12:$D$14),D1508:F1508))</f>
        <v>0.241120885178627</v>
      </c>
      <c r="I1508" s="0" t="n">
        <f aca="false">(G1508-Stats!$B$2)/H1508</f>
        <v>1.21804410416958</v>
      </c>
    </row>
    <row r="1509" customFormat="false" ht="15" hidden="false" customHeight="false" outlineLevel="0" collapsed="false">
      <c r="A1509" s="0" t="n">
        <v>0.577117082387907</v>
      </c>
      <c r="B1509" s="0" t="n">
        <v>0.890658455461842</v>
      </c>
      <c r="C1509" s="0" t="n">
        <v>0.596945223413173</v>
      </c>
      <c r="D1509" s="0" t="n">
        <f aca="false">A1509/SUM($A1509:$C1509)</f>
        <v>0.279513381768343</v>
      </c>
      <c r="E1509" s="0" t="n">
        <f aca="false">B1509/SUM($A1509:$C1509)</f>
        <v>0.431369932521556</v>
      </c>
      <c r="F1509" s="0" t="n">
        <f aca="false">C1509/SUM($A1509:$C1509)</f>
        <v>0.289116685710101</v>
      </c>
      <c r="G1509" s="0" t="n">
        <f aca="false">SUMPRODUCT(D1509:F1509,Stats!$B$6:$D$6)</f>
        <v>0.373331890654106</v>
      </c>
      <c r="H1509" s="0" t="n">
        <f aca="false">SQRT(SUMPRODUCT(MMULT(D1509:F1509,Stats!$B$12:$D$14),D1509:F1509))</f>
        <v>0.228804745266827</v>
      </c>
      <c r="I1509" s="0" t="n">
        <f aca="false">(G1509-Stats!$B$2)/H1509</f>
        <v>1.44809885943456</v>
      </c>
    </row>
    <row r="1510" customFormat="false" ht="15" hidden="false" customHeight="false" outlineLevel="0" collapsed="false">
      <c r="A1510" s="0" t="n">
        <v>0.810161089959703</v>
      </c>
      <c r="B1510" s="0" t="n">
        <v>0.429673363355148</v>
      </c>
      <c r="C1510" s="0" t="n">
        <v>0.749859931288269</v>
      </c>
      <c r="D1510" s="0" t="n">
        <f aca="false">A1510/SUM($A1510:$C1510)</f>
        <v>0.407178658305006</v>
      </c>
      <c r="E1510" s="0" t="n">
        <f aca="false">B1510/SUM($A1510:$C1510)</f>
        <v>0.215949427550329</v>
      </c>
      <c r="F1510" s="0" t="n">
        <f aca="false">C1510/SUM($A1510:$C1510)</f>
        <v>0.376871914144665</v>
      </c>
      <c r="G1510" s="0" t="n">
        <f aca="false">SUMPRODUCT(D1510:F1510,Stats!$B$6:$D$6)</f>
        <v>0.358517056939718</v>
      </c>
      <c r="H1510" s="0" t="n">
        <f aca="false">SQRT(SUMPRODUCT(MMULT(D1510:F1510,Stats!$B$12:$D$14),D1510:F1510))</f>
        <v>0.223985969454804</v>
      </c>
      <c r="I1510" s="0" t="n">
        <f aca="false">(G1510-Stats!$B$2)/H1510</f>
        <v>1.41311108776206</v>
      </c>
    </row>
    <row r="1511" customFormat="false" ht="15" hidden="false" customHeight="false" outlineLevel="0" collapsed="false">
      <c r="A1511" s="0" t="n">
        <v>0.913041466889856</v>
      </c>
      <c r="B1511" s="0" t="n">
        <v>0.572122963722206</v>
      </c>
      <c r="C1511" s="0" t="n">
        <v>0.18078515056238</v>
      </c>
      <c r="D1511" s="0" t="n">
        <f aca="false">A1511/SUM($A1511:$C1511)</f>
        <v>0.548060683953107</v>
      </c>
      <c r="E1511" s="0" t="n">
        <f aca="false">B1511/SUM($A1511:$C1511)</f>
        <v>0.343421535793945</v>
      </c>
      <c r="F1511" s="0" t="n">
        <f aca="false">C1511/SUM($A1511:$C1511)</f>
        <v>0.108517780252948</v>
      </c>
      <c r="G1511" s="0" t="n">
        <f aca="false">SUMPRODUCT(D1511:F1511,Stats!$B$6:$D$6)</f>
        <v>0.373251399091772</v>
      </c>
      <c r="H1511" s="0" t="n">
        <f aca="false">SQRT(SUMPRODUCT(MMULT(D1511:F1511,Stats!$B$12:$D$14),D1511:F1511))</f>
        <v>0.224930007798843</v>
      </c>
      <c r="I1511" s="0" t="n">
        <f aca="false">(G1511-Stats!$B$2)/H1511</f>
        <v>1.47268655851385</v>
      </c>
    </row>
    <row r="1512" customFormat="false" ht="15" hidden="false" customHeight="false" outlineLevel="0" collapsed="false">
      <c r="A1512" s="0" t="n">
        <v>0.268797615030198</v>
      </c>
      <c r="B1512" s="0" t="n">
        <v>0.198644576897406</v>
      </c>
      <c r="C1512" s="0" t="n">
        <v>0.246857027595733</v>
      </c>
      <c r="D1512" s="0" t="n">
        <f aca="false">A1512/SUM($A1512:$C1512)</f>
        <v>0.376309546032503</v>
      </c>
      <c r="E1512" s="0" t="n">
        <f aca="false">B1512/SUM($A1512:$C1512)</f>
        <v>0.278097149581046</v>
      </c>
      <c r="F1512" s="0" t="n">
        <f aca="false">C1512/SUM($A1512:$C1512)</f>
        <v>0.345593304386451</v>
      </c>
      <c r="G1512" s="0" t="n">
        <f aca="false">SUMPRODUCT(D1512:F1512,Stats!$B$6:$D$6)</f>
        <v>0.36295545206284</v>
      </c>
      <c r="H1512" s="0" t="n">
        <f aca="false">SQRT(SUMPRODUCT(MMULT(D1512:F1512,Stats!$B$12:$D$14),D1512:F1512))</f>
        <v>0.224868151861963</v>
      </c>
      <c r="I1512" s="0" t="n">
        <f aca="false">(G1512-Stats!$B$2)/H1512</f>
        <v>1.4273050647913</v>
      </c>
    </row>
    <row r="1513" customFormat="false" ht="15" hidden="false" customHeight="false" outlineLevel="0" collapsed="false">
      <c r="A1513" s="0" t="n">
        <v>0.306415449351036</v>
      </c>
      <c r="B1513" s="0" t="n">
        <v>0.555133786753189</v>
      </c>
      <c r="C1513" s="0" t="n">
        <v>0.587991629463833</v>
      </c>
      <c r="D1513" s="0" t="n">
        <f aca="false">A1513/SUM($A1513:$C1513)</f>
        <v>0.211387934365656</v>
      </c>
      <c r="E1513" s="0" t="n">
        <f aca="false">B1513/SUM($A1513:$C1513)</f>
        <v>0.382972153417447</v>
      </c>
      <c r="F1513" s="0" t="n">
        <f aca="false">C1513/SUM($A1513:$C1513)</f>
        <v>0.405639912216898</v>
      </c>
      <c r="G1513" s="0" t="n">
        <f aca="false">SUMPRODUCT(D1513:F1513,Stats!$B$6:$D$6)</f>
        <v>0.36733406193074</v>
      </c>
      <c r="H1513" s="0" t="n">
        <f aca="false">SQRT(SUMPRODUCT(MMULT(D1513:F1513,Stats!$B$12:$D$14),D1513:F1513))</f>
        <v>0.23107344642481</v>
      </c>
      <c r="I1513" s="0" t="n">
        <f aca="false">(G1513-Stats!$B$2)/H1513</f>
        <v>1.40792491289821</v>
      </c>
    </row>
    <row r="1514" customFormat="false" ht="15" hidden="false" customHeight="false" outlineLevel="0" collapsed="false">
      <c r="A1514" s="0" t="n">
        <v>0.426499747241861</v>
      </c>
      <c r="B1514" s="0" t="n">
        <v>0.615420779820835</v>
      </c>
      <c r="C1514" s="0" t="n">
        <v>0.0815749256113659</v>
      </c>
      <c r="D1514" s="0" t="n">
        <f aca="false">A1514/SUM($A1514:$C1514)</f>
        <v>0.379618578986446</v>
      </c>
      <c r="E1514" s="0" t="n">
        <f aca="false">B1514/SUM($A1514:$C1514)</f>
        <v>0.547773271672845</v>
      </c>
      <c r="F1514" s="0" t="n">
        <f aca="false">C1514/SUM($A1514:$C1514)</f>
        <v>0.0726081493407091</v>
      </c>
      <c r="G1514" s="0" t="n">
        <f aca="false">SUMPRODUCT(D1514:F1514,Stats!$B$6:$D$6)</f>
        <v>0.385999727747803</v>
      </c>
      <c r="H1514" s="0" t="n">
        <f aca="false">SQRT(SUMPRODUCT(MMULT(D1514:F1514,Stats!$B$12:$D$14),D1514:F1514))</f>
        <v>0.230285981786455</v>
      </c>
      <c r="I1514" s="0" t="n">
        <f aca="false">(G1514-Stats!$B$2)/H1514</f>
        <v>1.4937936086218</v>
      </c>
    </row>
    <row r="1515" customFormat="false" ht="15" hidden="false" customHeight="false" outlineLevel="0" collapsed="false">
      <c r="A1515" s="0" t="n">
        <v>0.08778823705816</v>
      </c>
      <c r="B1515" s="0" t="n">
        <v>0.171829460357658</v>
      </c>
      <c r="C1515" s="0" t="n">
        <v>0.518077498040345</v>
      </c>
      <c r="D1515" s="0" t="n">
        <f aca="false">A1515/SUM($A1515:$C1515)</f>
        <v>0.112882576067179</v>
      </c>
      <c r="E1515" s="0" t="n">
        <f aca="false">B1515/SUM($A1515:$C1515)</f>
        <v>0.220947051443298</v>
      </c>
      <c r="F1515" s="0" t="n">
        <f aca="false">C1515/SUM($A1515:$C1515)</f>
        <v>0.666170372489523</v>
      </c>
      <c r="G1515" s="0" t="n">
        <f aca="false">SUMPRODUCT(D1515:F1515,Stats!$B$6:$D$6)</f>
        <v>0.350827320031399</v>
      </c>
      <c r="H1515" s="0" t="n">
        <f aca="false">SQRT(SUMPRODUCT(MMULT(D1515:F1515,Stats!$B$12:$D$14),D1515:F1515))</f>
        <v>0.239490857731226</v>
      </c>
      <c r="I1515" s="0" t="n">
        <f aca="false">(G1515-Stats!$B$2)/H1515</f>
        <v>1.2895161132956</v>
      </c>
    </row>
    <row r="1516" customFormat="false" ht="15" hidden="false" customHeight="false" outlineLevel="0" collapsed="false">
      <c r="A1516" s="0" t="n">
        <v>0.213994678698314</v>
      </c>
      <c r="B1516" s="0" t="n">
        <v>0.283284403492577</v>
      </c>
      <c r="C1516" s="0" t="n">
        <v>0.400312836172994</v>
      </c>
      <c r="D1516" s="0" t="n">
        <f aca="false">A1516/SUM($A1516:$C1516)</f>
        <v>0.238409765418097</v>
      </c>
      <c r="E1516" s="0" t="n">
        <f aca="false">B1516/SUM($A1516:$C1516)</f>
        <v>0.315604895383799</v>
      </c>
      <c r="F1516" s="0" t="n">
        <f aca="false">C1516/SUM($A1516:$C1516)</f>
        <v>0.445985339198104</v>
      </c>
      <c r="G1516" s="0" t="n">
        <f aca="false">SUMPRODUCT(D1516:F1516,Stats!$B$6:$D$6)</f>
        <v>0.36234532746388</v>
      </c>
      <c r="H1516" s="0" t="n">
        <f aca="false">SQRT(SUMPRODUCT(MMULT(D1516:F1516,Stats!$B$12:$D$14),D1516:F1516))</f>
        <v>0.229955803195582</v>
      </c>
      <c r="I1516" s="0" t="n">
        <f aca="false">(G1516-Stats!$B$2)/H1516</f>
        <v>1.3930734646058</v>
      </c>
    </row>
    <row r="1517" customFormat="false" ht="15" hidden="false" customHeight="false" outlineLevel="0" collapsed="false">
      <c r="A1517" s="0" t="n">
        <v>0.81186612401038</v>
      </c>
      <c r="B1517" s="0" t="n">
        <v>0.0138621359128601</v>
      </c>
      <c r="C1517" s="0" t="n">
        <v>0.649378820236622</v>
      </c>
      <c r="D1517" s="0" t="n">
        <f aca="false">A1517/SUM($A1517:$C1517)</f>
        <v>0.55037775557446</v>
      </c>
      <c r="E1517" s="0" t="n">
        <f aca="false">B1517/SUM($A1517:$C1517)</f>
        <v>0.00939737602734429</v>
      </c>
      <c r="F1517" s="0" t="n">
        <f aca="false">C1517/SUM($A1517:$C1517)</f>
        <v>0.440224868398196</v>
      </c>
      <c r="G1517" s="0" t="n">
        <f aca="false">SUMPRODUCT(D1517:F1517,Stats!$B$6:$D$6)</f>
        <v>0.344885385883461</v>
      </c>
      <c r="H1517" s="0" t="n">
        <f aca="false">SQRT(SUMPRODUCT(MMULT(D1517:F1517,Stats!$B$12:$D$14),D1517:F1517))</f>
        <v>0.222208839675292</v>
      </c>
      <c r="I1517" s="0" t="n">
        <f aca="false">(G1517-Stats!$B$2)/H1517</f>
        <v>1.3630663223212</v>
      </c>
    </row>
    <row r="1518" customFormat="false" ht="15" hidden="false" customHeight="false" outlineLevel="0" collapsed="false">
      <c r="A1518" s="0" t="n">
        <v>0.668876531040685</v>
      </c>
      <c r="B1518" s="0" t="n">
        <v>0.798655780356637</v>
      </c>
      <c r="C1518" s="0" t="n">
        <v>0.932752939060313</v>
      </c>
      <c r="D1518" s="0" t="n">
        <f aca="false">A1518/SUM($A1518:$C1518)</f>
        <v>0.278665433999212</v>
      </c>
      <c r="E1518" s="0" t="n">
        <f aca="false">B1518/SUM($A1518:$C1518)</f>
        <v>0.332733694965782</v>
      </c>
      <c r="F1518" s="0" t="n">
        <f aca="false">C1518/SUM($A1518:$C1518)</f>
        <v>0.388600871035005</v>
      </c>
      <c r="G1518" s="0" t="n">
        <f aca="false">SUMPRODUCT(D1518:F1518,Stats!$B$6:$D$6)</f>
        <v>0.364913251060827</v>
      </c>
      <c r="H1518" s="0" t="n">
        <f aca="false">SQRT(SUMPRODUCT(MMULT(D1518:F1518,Stats!$B$12:$D$14),D1518:F1518))</f>
        <v>0.228161828231405</v>
      </c>
      <c r="I1518" s="0" t="n">
        <f aca="false">(G1518-Stats!$B$2)/H1518</f>
        <v>1.41528166023163</v>
      </c>
    </row>
    <row r="1519" customFormat="false" ht="15" hidden="false" customHeight="false" outlineLevel="0" collapsed="false">
      <c r="A1519" s="0" t="n">
        <v>0.0201378489492898</v>
      </c>
      <c r="B1519" s="0" t="n">
        <v>0.153783705513216</v>
      </c>
      <c r="C1519" s="0" t="n">
        <v>0.886171294055993</v>
      </c>
      <c r="D1519" s="0" t="n">
        <f aca="false">A1519/SUM($A1519:$C1519)</f>
        <v>0.0189963067644809</v>
      </c>
      <c r="E1519" s="0" t="n">
        <f aca="false">B1519/SUM($A1519:$C1519)</f>
        <v>0.145066260684743</v>
      </c>
      <c r="F1519" s="0" t="n">
        <f aca="false">C1519/SUM($A1519:$C1519)</f>
        <v>0.835937432550776</v>
      </c>
      <c r="G1519" s="0" t="n">
        <f aca="false">SUMPRODUCT(D1519:F1519,Stats!$B$6:$D$6)</f>
        <v>0.341779976156393</v>
      </c>
      <c r="H1519" s="0" t="n">
        <f aca="false">SQRT(SUMPRODUCT(MMULT(D1519:F1519,Stats!$B$12:$D$14),D1519:F1519))</f>
        <v>0.250472063979107</v>
      </c>
      <c r="I1519" s="0" t="n">
        <f aca="false">(G1519-Stats!$B$2)/H1519</f>
        <v>1.19685992678768</v>
      </c>
    </row>
    <row r="1520" customFormat="false" ht="15" hidden="false" customHeight="false" outlineLevel="0" collapsed="false">
      <c r="A1520" s="0" t="n">
        <v>0.458518562187015</v>
      </c>
      <c r="B1520" s="0" t="n">
        <v>0.564590638933464</v>
      </c>
      <c r="C1520" s="0" t="n">
        <v>0.663027203723147</v>
      </c>
      <c r="D1520" s="0" t="n">
        <f aca="false">A1520/SUM($A1520:$C1520)</f>
        <v>0.271934441881372</v>
      </c>
      <c r="E1520" s="0" t="n">
        <f aca="false">B1520/SUM($A1520:$C1520)</f>
        <v>0.334842802344822</v>
      </c>
      <c r="F1520" s="0" t="n">
        <f aca="false">C1520/SUM($A1520:$C1520)</f>
        <v>0.393222755773805</v>
      </c>
      <c r="G1520" s="0" t="n">
        <f aca="false">SUMPRODUCT(D1520:F1520,Stats!$B$6:$D$6)</f>
        <v>0.36490715967565</v>
      </c>
      <c r="H1520" s="0" t="n">
        <f aca="false">SQRT(SUMPRODUCT(MMULT(D1520:F1520,Stats!$B$12:$D$14),D1520:F1520))</f>
        <v>0.2284295031006</v>
      </c>
      <c r="I1520" s="0" t="n">
        <f aca="false">(G1520-Stats!$B$2)/H1520</f>
        <v>1.41359655951903</v>
      </c>
    </row>
    <row r="1521" customFormat="false" ht="15" hidden="false" customHeight="false" outlineLevel="0" collapsed="false">
      <c r="A1521" s="0" t="n">
        <v>0.679066604495637</v>
      </c>
      <c r="B1521" s="0" t="n">
        <v>0.931740403316508</v>
      </c>
      <c r="C1521" s="0" t="n">
        <v>0.99694941741167</v>
      </c>
      <c r="D1521" s="0" t="n">
        <f aca="false">A1521/SUM($A1521:$C1521)</f>
        <v>0.260402619633985</v>
      </c>
      <c r="E1521" s="0" t="n">
        <f aca="false">B1521/SUM($A1521:$C1521)</f>
        <v>0.357295794309678</v>
      </c>
      <c r="F1521" s="0" t="n">
        <f aca="false">C1521/SUM($A1521:$C1521)</f>
        <v>0.382301586056338</v>
      </c>
      <c r="G1521" s="0" t="n">
        <f aca="false">SUMPRODUCT(D1521:F1521,Stats!$B$6:$D$6)</f>
        <v>0.366500222827426</v>
      </c>
      <c r="H1521" s="0" t="n">
        <f aca="false">SQRT(SUMPRODUCT(MMULT(D1521:F1521,Stats!$B$12:$D$14),D1521:F1521))</f>
        <v>0.228918305185337</v>
      </c>
      <c r="I1521" s="0" t="n">
        <f aca="false">(G1521-Stats!$B$2)/H1521</f>
        <v>1.41753724135212</v>
      </c>
    </row>
    <row r="1522" customFormat="false" ht="15" hidden="false" customHeight="false" outlineLevel="0" collapsed="false">
      <c r="A1522" s="0" t="n">
        <v>0.72015746093094</v>
      </c>
      <c r="B1522" s="0" t="n">
        <v>0.287221209205151</v>
      </c>
      <c r="C1522" s="0" t="n">
        <v>0.879752402294344</v>
      </c>
      <c r="D1522" s="0" t="n">
        <f aca="false">A1522/SUM($A1522:$C1522)</f>
        <v>0.381614966470479</v>
      </c>
      <c r="E1522" s="0" t="n">
        <f aca="false">B1522/SUM($A1522:$C1522)</f>
        <v>0.152199925803372</v>
      </c>
      <c r="F1522" s="0" t="n">
        <f aca="false">C1522/SUM($A1522:$C1522)</f>
        <v>0.466185107726148</v>
      </c>
      <c r="G1522" s="0" t="n">
        <f aca="false">SUMPRODUCT(D1522:F1522,Stats!$B$6:$D$6)</f>
        <v>0.352386216157215</v>
      </c>
      <c r="H1522" s="0" t="n">
        <f aca="false">SQRT(SUMPRODUCT(MMULT(D1522:F1522,Stats!$B$12:$D$14),D1522:F1522))</f>
        <v>0.22519064465824</v>
      </c>
      <c r="I1522" s="0" t="n">
        <f aca="false">(G1522-Stats!$B$2)/H1522</f>
        <v>1.37832642483115</v>
      </c>
    </row>
    <row r="1523" customFormat="false" ht="15" hidden="false" customHeight="false" outlineLevel="0" collapsed="false">
      <c r="A1523" s="0" t="n">
        <v>0.0492209145407616</v>
      </c>
      <c r="B1523" s="0" t="n">
        <v>0.231080852874496</v>
      </c>
      <c r="C1523" s="0" t="n">
        <v>0.897385717463715</v>
      </c>
      <c r="D1523" s="0" t="n">
        <f aca="false">A1523/SUM($A1523:$C1523)</f>
        <v>0.0417945466626232</v>
      </c>
      <c r="E1523" s="0" t="n">
        <f aca="false">B1523/SUM($A1523:$C1523)</f>
        <v>0.196215766781494</v>
      </c>
      <c r="F1523" s="0" t="n">
        <f aca="false">C1523/SUM($A1523:$C1523)</f>
        <v>0.761989686555883</v>
      </c>
      <c r="G1523" s="0" t="n">
        <f aca="false">SUMPRODUCT(D1523:F1523,Stats!$B$6:$D$6)</f>
        <v>0.3467621331897</v>
      </c>
      <c r="H1523" s="0" t="n">
        <f aca="false">SQRT(SUMPRODUCT(MMULT(D1523:F1523,Stats!$B$12:$D$14),D1523:F1523))</f>
        <v>0.246293248173598</v>
      </c>
      <c r="I1523" s="0" t="n">
        <f aca="false">(G1523-Stats!$B$2)/H1523</f>
        <v>1.23739540344561</v>
      </c>
    </row>
    <row r="1524" customFormat="false" ht="15" hidden="false" customHeight="false" outlineLevel="0" collapsed="false">
      <c r="A1524" s="0" t="n">
        <v>0.256191514439355</v>
      </c>
      <c r="B1524" s="0" t="n">
        <v>0.220651059621749</v>
      </c>
      <c r="C1524" s="0" t="n">
        <v>0.138125293140247</v>
      </c>
      <c r="D1524" s="0" t="n">
        <f aca="false">A1524/SUM($A1524:$C1524)</f>
        <v>0.41659333455137</v>
      </c>
      <c r="E1524" s="0" t="n">
        <f aca="false">B1524/SUM($A1524:$C1524)</f>
        <v>0.35880095756207</v>
      </c>
      <c r="F1524" s="0" t="n">
        <f aca="false">C1524/SUM($A1524:$C1524)</f>
        <v>0.22460570788656</v>
      </c>
      <c r="G1524" s="0" t="n">
        <f aca="false">SUMPRODUCT(D1524:F1524,Stats!$B$6:$D$6)</f>
        <v>0.370935231160381</v>
      </c>
      <c r="H1524" s="0" t="n">
        <f aca="false">SQRT(SUMPRODUCT(MMULT(D1524:F1524,Stats!$B$12:$D$14),D1524:F1524))</f>
        <v>0.225002576218565</v>
      </c>
      <c r="I1524" s="0" t="n">
        <f aca="false">(G1524-Stats!$B$2)/H1524</f>
        <v>1.46191762196028</v>
      </c>
    </row>
    <row r="1525" customFormat="false" ht="15" hidden="false" customHeight="false" outlineLevel="0" collapsed="false">
      <c r="A1525" s="0" t="n">
        <v>0.859111757646917</v>
      </c>
      <c r="B1525" s="0" t="n">
        <v>0.500058259191087</v>
      </c>
      <c r="C1525" s="0" t="n">
        <v>0.674893203054155</v>
      </c>
      <c r="D1525" s="0" t="n">
        <f aca="false">A1525/SUM($A1525:$C1525)</f>
        <v>0.42236236772054</v>
      </c>
      <c r="E1525" s="0" t="n">
        <f aca="false">B1525/SUM($A1525:$C1525)</f>
        <v>0.245842043797242</v>
      </c>
      <c r="F1525" s="0" t="n">
        <f aca="false">C1525/SUM($A1525:$C1525)</f>
        <v>0.331795588482219</v>
      </c>
      <c r="G1525" s="0" t="n">
        <f aca="false">SUMPRODUCT(D1525:F1525,Stats!$B$6:$D$6)</f>
        <v>0.361480001732185</v>
      </c>
      <c r="H1525" s="0" t="n">
        <f aca="false">SQRT(SUMPRODUCT(MMULT(D1525:F1525,Stats!$B$12:$D$14),D1525:F1525))</f>
        <v>0.22368342975747</v>
      </c>
      <c r="I1525" s="0" t="n">
        <f aca="false">(G1525-Stats!$B$2)/H1525</f>
        <v>1.42826852252124</v>
      </c>
    </row>
    <row r="1526" customFormat="false" ht="15" hidden="false" customHeight="false" outlineLevel="0" collapsed="false">
      <c r="A1526" s="0" t="n">
        <v>0.23906638407503</v>
      </c>
      <c r="B1526" s="0" t="n">
        <v>0.758040421011217</v>
      </c>
      <c r="C1526" s="0" t="n">
        <v>0.760005544962099</v>
      </c>
      <c r="D1526" s="0" t="n">
        <f aca="false">A1526/SUM($A1526:$C1526)</f>
        <v>0.136056401896243</v>
      </c>
      <c r="E1526" s="0" t="n">
        <f aca="false">B1526/SUM($A1526:$C1526)</f>
        <v>0.431412607731293</v>
      </c>
      <c r="F1526" s="0" t="n">
        <f aca="false">C1526/SUM($A1526:$C1526)</f>
        <v>0.432530990372464</v>
      </c>
      <c r="G1526" s="0" t="n">
        <f aca="false">SUMPRODUCT(D1526:F1526,Stats!$B$6:$D$6)</f>
        <v>0.369379751839418</v>
      </c>
      <c r="H1526" s="0" t="n">
        <f aca="false">SQRT(SUMPRODUCT(MMULT(D1526:F1526,Stats!$B$12:$D$14),D1526:F1526))</f>
        <v>0.234903447539406</v>
      </c>
      <c r="I1526" s="0" t="n">
        <f aca="false">(G1526-Stats!$B$2)/H1526</f>
        <v>1.3936779356314</v>
      </c>
    </row>
    <row r="1527" customFormat="false" ht="15" hidden="false" customHeight="false" outlineLevel="0" collapsed="false">
      <c r="A1527" s="0" t="n">
        <v>0.3125980249083</v>
      </c>
      <c r="B1527" s="0" t="n">
        <v>0.410682633010283</v>
      </c>
      <c r="C1527" s="0" t="n">
        <v>0.209690277430201</v>
      </c>
      <c r="D1527" s="0" t="n">
        <f aca="false">A1527/SUM($A1527:$C1527)</f>
        <v>0.335056552208068</v>
      </c>
      <c r="E1527" s="0" t="n">
        <f aca="false">B1527/SUM($A1527:$C1527)</f>
        <v>0.440188024567724</v>
      </c>
      <c r="F1527" s="0" t="n">
        <f aca="false">C1527/SUM($A1527:$C1527)</f>
        <v>0.224755423224208</v>
      </c>
      <c r="G1527" s="0" t="n">
        <f aca="false">SUMPRODUCT(D1527:F1527,Stats!$B$6:$D$6)</f>
        <v>0.375614009315815</v>
      </c>
      <c r="H1527" s="0" t="n">
        <f aca="false">SQRT(SUMPRODUCT(MMULT(D1527:F1527,Stats!$B$12:$D$14),D1527:F1527))</f>
        <v>0.22764056519308</v>
      </c>
      <c r="I1527" s="0" t="n">
        <f aca="false">(G1527-Stats!$B$2)/H1527</f>
        <v>1.46552970044179</v>
      </c>
    </row>
    <row r="1528" customFormat="false" ht="15" hidden="false" customHeight="false" outlineLevel="0" collapsed="false">
      <c r="A1528" s="0" t="n">
        <v>0.976561023322904</v>
      </c>
      <c r="B1528" s="0" t="n">
        <v>0.645602577058412</v>
      </c>
      <c r="C1528" s="0" t="n">
        <v>0.934543880715516</v>
      </c>
      <c r="D1528" s="0" t="n">
        <f aca="false">A1528/SUM($A1528:$C1528)</f>
        <v>0.381960404365054</v>
      </c>
      <c r="E1528" s="0" t="n">
        <f aca="false">B1528/SUM($A1528:$C1528)</f>
        <v>0.25251327413547</v>
      </c>
      <c r="F1528" s="0" t="n">
        <f aca="false">C1528/SUM($A1528:$C1528)</f>
        <v>0.365526321499476</v>
      </c>
      <c r="G1528" s="0" t="n">
        <f aca="false">SUMPRODUCT(D1528:F1528,Stats!$B$6:$D$6)</f>
        <v>0.360933743702013</v>
      </c>
      <c r="H1528" s="0" t="n">
        <f aca="false">SQRT(SUMPRODUCT(MMULT(D1528:F1528,Stats!$B$12:$D$14),D1528:F1528))</f>
        <v>0.224658349961565</v>
      </c>
      <c r="I1528" s="0" t="n">
        <f aca="false">(G1528-Stats!$B$2)/H1528</f>
        <v>1.41963894845919</v>
      </c>
    </row>
    <row r="1529" customFormat="false" ht="15" hidden="false" customHeight="false" outlineLevel="0" collapsed="false">
      <c r="A1529" s="0" t="n">
        <v>0.303385543629133</v>
      </c>
      <c r="B1529" s="0" t="n">
        <v>0.78189091299689</v>
      </c>
      <c r="C1529" s="0" t="n">
        <v>0.765858643884742</v>
      </c>
      <c r="D1529" s="0" t="n">
        <f aca="false">A1529/SUM($A1529:$C1529)</f>
        <v>0.163891627113236</v>
      </c>
      <c r="E1529" s="0" t="n">
        <f aca="false">B1529/SUM($A1529:$C1529)</f>
        <v>0.4223845751621</v>
      </c>
      <c r="F1529" s="0" t="n">
        <f aca="false">C1529/SUM($A1529:$C1529)</f>
        <v>0.413723797724664</v>
      </c>
      <c r="G1529" s="0" t="n">
        <f aca="false">SUMPRODUCT(D1529:F1529,Stats!$B$6:$D$6)</f>
        <v>0.369378891633777</v>
      </c>
      <c r="H1529" s="0" t="n">
        <f aca="false">SQRT(SUMPRODUCT(MMULT(D1529:F1529,Stats!$B$12:$D$14),D1529:F1529))</f>
        <v>0.233418800129194</v>
      </c>
      <c r="I1529" s="0" t="n">
        <f aca="false">(G1529-Stats!$B$2)/H1529</f>
        <v>1.40253866206397</v>
      </c>
    </row>
    <row r="1530" customFormat="false" ht="15" hidden="false" customHeight="false" outlineLevel="0" collapsed="false">
      <c r="A1530" s="0" t="n">
        <v>0.691655651866542</v>
      </c>
      <c r="B1530" s="0" t="n">
        <v>0.9656389752668</v>
      </c>
      <c r="C1530" s="0" t="n">
        <v>0.393555336106316</v>
      </c>
      <c r="D1530" s="0" t="n">
        <f aca="false">A1530/SUM($A1530:$C1530)</f>
        <v>0.337253170277731</v>
      </c>
      <c r="E1530" s="0" t="n">
        <f aca="false">B1530/SUM($A1530:$C1530)</f>
        <v>0.470848181278661</v>
      </c>
      <c r="F1530" s="0" t="n">
        <f aca="false">C1530/SUM($A1530:$C1530)</f>
        <v>0.191898648443609</v>
      </c>
      <c r="G1530" s="0" t="n">
        <f aca="false">SUMPRODUCT(D1530:F1530,Stats!$B$6:$D$6)</f>
        <v>0.378284167977493</v>
      </c>
      <c r="H1530" s="0" t="n">
        <f aca="false">SQRT(SUMPRODUCT(MMULT(D1530:F1530,Stats!$B$12:$D$14),D1530:F1530))</f>
        <v>0.228259636331956</v>
      </c>
      <c r="I1530" s="0" t="n">
        <f aca="false">(G1530-Stats!$B$2)/H1530</f>
        <v>1.47325288597428</v>
      </c>
    </row>
    <row r="1531" customFormat="false" ht="15" hidden="false" customHeight="false" outlineLevel="0" collapsed="false">
      <c r="A1531" s="0" t="n">
        <v>0.130717323589757</v>
      </c>
      <c r="B1531" s="0" t="n">
        <v>0.671708859244061</v>
      </c>
      <c r="C1531" s="0" t="n">
        <v>0.729309800477206</v>
      </c>
      <c r="D1531" s="0" t="n">
        <f aca="false">A1531/SUM($A1531:$C1531)</f>
        <v>0.0853393306770771</v>
      </c>
      <c r="E1531" s="0" t="n">
        <f aca="false">B1531/SUM($A1531:$C1531)</f>
        <v>0.438527831534051</v>
      </c>
      <c r="F1531" s="0" t="n">
        <f aca="false">C1531/SUM($A1531:$C1531)</f>
        <v>0.476132837788872</v>
      </c>
      <c r="G1531" s="0" t="n">
        <f aca="false">SUMPRODUCT(D1531:F1531,Stats!$B$6:$D$6)</f>
        <v>0.36858684843562</v>
      </c>
      <c r="H1531" s="0" t="n">
        <f aca="false">SQRT(SUMPRODUCT(MMULT(D1531:F1531,Stats!$B$12:$D$14),D1531:F1531))</f>
        <v>0.237899270339579</v>
      </c>
      <c r="I1531" s="0" t="n">
        <f aca="false">(G1531-Stats!$B$2)/H1531</f>
        <v>1.37279466208302</v>
      </c>
    </row>
    <row r="1532" customFormat="false" ht="15" hidden="false" customHeight="false" outlineLevel="0" collapsed="false">
      <c r="A1532" s="0" t="n">
        <v>0.575060573458815</v>
      </c>
      <c r="B1532" s="0" t="n">
        <v>0.206817893133396</v>
      </c>
      <c r="C1532" s="0" t="n">
        <v>0.504455941669355</v>
      </c>
      <c r="D1532" s="0" t="n">
        <f aca="false">A1532/SUM($A1532:$C1532)</f>
        <v>0.447053713066719</v>
      </c>
      <c r="E1532" s="0" t="n">
        <f aca="false">B1532/SUM($A1532:$C1532)</f>
        <v>0.160780813919845</v>
      </c>
      <c r="F1532" s="0" t="n">
        <f aca="false">C1532/SUM($A1532:$C1532)</f>
        <v>0.392165473013436</v>
      </c>
      <c r="G1532" s="0" t="n">
        <f aca="false">SUMPRODUCT(D1532:F1532,Stats!$B$6:$D$6)</f>
        <v>0.354921012311165</v>
      </c>
      <c r="H1532" s="0" t="n">
        <f aca="false">SQRT(SUMPRODUCT(MMULT(D1532:F1532,Stats!$B$12:$D$14),D1532:F1532))</f>
        <v>0.22313122786058</v>
      </c>
      <c r="I1532" s="0" t="n">
        <f aca="false">(G1532-Stats!$B$2)/H1532</f>
        <v>1.40240797001614</v>
      </c>
    </row>
    <row r="1533" customFormat="false" ht="15" hidden="false" customHeight="false" outlineLevel="0" collapsed="false">
      <c r="A1533" s="0" t="n">
        <v>0.312189736569129</v>
      </c>
      <c r="B1533" s="0" t="n">
        <v>0.427466528166689</v>
      </c>
      <c r="C1533" s="0" t="n">
        <v>0.645218575844664</v>
      </c>
      <c r="D1533" s="0" t="n">
        <f aca="false">A1533/SUM($A1533:$C1533)</f>
        <v>0.225428123481738</v>
      </c>
      <c r="E1533" s="0" t="n">
        <f aca="false">B1533/SUM($A1533:$C1533)</f>
        <v>0.308667986189649</v>
      </c>
      <c r="F1533" s="0" t="n">
        <f aca="false">C1533/SUM($A1533:$C1533)</f>
        <v>0.465903890328613</v>
      </c>
      <c r="G1533" s="0" t="n">
        <f aca="false">SUMPRODUCT(D1533:F1533,Stats!$B$6:$D$6)</f>
        <v>0.361396940300768</v>
      </c>
      <c r="H1533" s="0" t="n">
        <f aca="false">SQRT(SUMPRODUCT(MMULT(D1533:F1533,Stats!$B$12:$D$14),D1533:F1533))</f>
        <v>0.230643433721153</v>
      </c>
      <c r="I1533" s="0" t="n">
        <f aca="false">(G1533-Stats!$B$2)/H1533</f>
        <v>1.3848082954181</v>
      </c>
    </row>
    <row r="1534" customFormat="false" ht="15" hidden="false" customHeight="false" outlineLevel="0" collapsed="false">
      <c r="A1534" s="0" t="n">
        <v>0.745214742690835</v>
      </c>
      <c r="B1534" s="0" t="n">
        <v>0.232224690901343</v>
      </c>
      <c r="C1534" s="0" t="n">
        <v>0.405325360646953</v>
      </c>
      <c r="D1534" s="0" t="n">
        <f aca="false">A1534/SUM($A1534:$C1534)</f>
        <v>0.538930948918822</v>
      </c>
      <c r="E1534" s="0" t="n">
        <f aca="false">B1534/SUM($A1534:$C1534)</f>
        <v>0.167942293489707</v>
      </c>
      <c r="F1534" s="0" t="n">
        <f aca="false">C1534/SUM($A1534:$C1534)</f>
        <v>0.29312675759147</v>
      </c>
      <c r="G1534" s="0" t="n">
        <f aca="false">SUMPRODUCT(D1534:F1534,Stats!$B$6:$D$6)</f>
        <v>0.358064029062161</v>
      </c>
      <c r="H1534" s="0" t="n">
        <f aca="false">SQRT(SUMPRODUCT(MMULT(D1534:F1534,Stats!$B$12:$D$14),D1534:F1534))</f>
        <v>0.22182473533286</v>
      </c>
      <c r="I1534" s="0" t="n">
        <f aca="false">(G1534-Stats!$B$2)/H1534</f>
        <v>1.42483672340639</v>
      </c>
    </row>
    <row r="1535" customFormat="false" ht="15" hidden="false" customHeight="false" outlineLevel="0" collapsed="false">
      <c r="A1535" s="0" t="n">
        <v>0.269161570991629</v>
      </c>
      <c r="B1535" s="0" t="n">
        <v>0.198631613861869</v>
      </c>
      <c r="C1535" s="0" t="n">
        <v>0.783387219995838</v>
      </c>
      <c r="D1535" s="0" t="n">
        <f aca="false">A1535/SUM($A1535:$C1535)</f>
        <v>0.215126108072353</v>
      </c>
      <c r="E1535" s="0" t="n">
        <f aca="false">B1535/SUM($A1535:$C1535)</f>
        <v>0.158755374598268</v>
      </c>
      <c r="F1535" s="0" t="n">
        <f aca="false">C1535/SUM($A1535:$C1535)</f>
        <v>0.626118517329379</v>
      </c>
      <c r="G1535" s="0" t="n">
        <f aca="false">SUMPRODUCT(D1535:F1535,Stats!$B$6:$D$6)</f>
        <v>0.348353305940136</v>
      </c>
      <c r="H1535" s="0" t="n">
        <f aca="false">SQRT(SUMPRODUCT(MMULT(D1535:F1535,Stats!$B$12:$D$14),D1535:F1535))</f>
        <v>0.233751582115921</v>
      </c>
      <c r="I1535" s="0" t="n">
        <f aca="false">(G1535-Stats!$B$2)/H1535</f>
        <v>1.31059350771885</v>
      </c>
    </row>
    <row r="1536" customFormat="false" ht="15" hidden="false" customHeight="false" outlineLevel="0" collapsed="false">
      <c r="A1536" s="0" t="n">
        <v>0.909252694436992</v>
      </c>
      <c r="B1536" s="0" t="n">
        <v>0.370232185684577</v>
      </c>
      <c r="C1536" s="0" t="n">
        <v>0.751278924373767</v>
      </c>
      <c r="D1536" s="0" t="n">
        <f aca="false">A1536/SUM($A1536:$C1536)</f>
        <v>0.447739265602555</v>
      </c>
      <c r="E1536" s="0" t="n">
        <f aca="false">B1536/SUM($A1536:$C1536)</f>
        <v>0.182311790699157</v>
      </c>
      <c r="F1536" s="0" t="n">
        <f aca="false">C1536/SUM($A1536:$C1536)</f>
        <v>0.369948943698288</v>
      </c>
      <c r="G1536" s="0" t="n">
        <f aca="false">SUMPRODUCT(D1536:F1536,Stats!$B$6:$D$6)</f>
        <v>0.356772489098988</v>
      </c>
      <c r="H1536" s="0" t="n">
        <f aca="false">SQRT(SUMPRODUCT(MMULT(D1536:F1536,Stats!$B$12:$D$14),D1536:F1536))</f>
        <v>0.223060502509054</v>
      </c>
      <c r="I1536" s="0" t="n">
        <f aca="false">(G1536-Stats!$B$2)/H1536</f>
        <v>1.41115296324687</v>
      </c>
    </row>
    <row r="1537" customFormat="false" ht="15" hidden="false" customHeight="false" outlineLevel="0" collapsed="false">
      <c r="A1537" s="0" t="n">
        <v>0.896995289364411</v>
      </c>
      <c r="B1537" s="0" t="n">
        <v>0.846124210530232</v>
      </c>
      <c r="C1537" s="0" t="n">
        <v>0.182813388539226</v>
      </c>
      <c r="D1537" s="0" t="n">
        <f aca="false">A1537/SUM($A1537:$C1537)</f>
        <v>0.465745870352643</v>
      </c>
      <c r="E1537" s="0" t="n">
        <f aca="false">B1537/SUM($A1537:$C1537)</f>
        <v>0.439332136447539</v>
      </c>
      <c r="F1537" s="0" t="n">
        <f aca="false">C1537/SUM($A1537:$C1537)</f>
        <v>0.0949219931998182</v>
      </c>
      <c r="G1537" s="0" t="n">
        <f aca="false">SUMPRODUCT(D1537:F1537,Stats!$B$6:$D$6)</f>
        <v>0.379144869517494</v>
      </c>
      <c r="H1537" s="0" t="n">
        <f aca="false">SQRT(SUMPRODUCT(MMULT(D1537:F1537,Stats!$B$12:$D$14),D1537:F1537))</f>
        <v>0.226946549030893</v>
      </c>
      <c r="I1537" s="0" t="n">
        <f aca="false">(G1537-Stats!$B$2)/H1537</f>
        <v>1.48556949183484</v>
      </c>
    </row>
    <row r="1538" customFormat="false" ht="15" hidden="false" customHeight="false" outlineLevel="0" collapsed="false">
      <c r="A1538" s="0" t="n">
        <v>0.956291881513361</v>
      </c>
      <c r="B1538" s="0" t="n">
        <v>0.376676440429463</v>
      </c>
      <c r="C1538" s="0" t="n">
        <v>0.339240661173836</v>
      </c>
      <c r="D1538" s="0" t="n">
        <f aca="false">A1538/SUM($A1538:$C1538)</f>
        <v>0.571873426807591</v>
      </c>
      <c r="E1538" s="0" t="n">
        <f aca="false">B1538/SUM($A1538:$C1538)</f>
        <v>0.225256797584841</v>
      </c>
      <c r="F1538" s="0" t="n">
        <f aca="false">C1538/SUM($A1538:$C1538)</f>
        <v>0.202869775607568</v>
      </c>
      <c r="G1538" s="0" t="n">
        <f aca="false">SUMPRODUCT(D1538:F1538,Stats!$B$6:$D$6)</f>
        <v>0.36385063301063</v>
      </c>
      <c r="H1538" s="0" t="n">
        <f aca="false">SQRT(SUMPRODUCT(MMULT(D1538:F1538,Stats!$B$12:$D$14),D1538:F1538))</f>
        <v>0.222516592726374</v>
      </c>
      <c r="I1538" s="0" t="n">
        <f aca="false">(G1538-Stats!$B$2)/H1538</f>
        <v>1.44641183413412</v>
      </c>
    </row>
    <row r="1539" customFormat="false" ht="15" hidden="false" customHeight="false" outlineLevel="0" collapsed="false">
      <c r="A1539" s="0" t="n">
        <v>0.0624313272777803</v>
      </c>
      <c r="B1539" s="0" t="n">
        <v>0.486173654104883</v>
      </c>
      <c r="C1539" s="0" t="n">
        <v>0.109013615640929</v>
      </c>
      <c r="D1539" s="0" t="n">
        <f aca="false">A1539/SUM($A1539:$C1539)</f>
        <v>0.0949354649645661</v>
      </c>
      <c r="E1539" s="0" t="n">
        <f aca="false">B1539/SUM($A1539:$C1539)</f>
        <v>0.73929426008529</v>
      </c>
      <c r="F1539" s="0" t="n">
        <f aca="false">C1539/SUM($A1539:$C1539)</f>
        <v>0.165770274950144</v>
      </c>
      <c r="G1539" s="0" t="n">
        <f aca="false">SUMPRODUCT(D1539:F1539,Stats!$B$6:$D$6)</f>
        <v>0.394450687758647</v>
      </c>
      <c r="H1539" s="0" t="n">
        <f aca="false">SQRT(SUMPRODUCT(MMULT(D1539:F1539,Stats!$B$12:$D$14),D1539:F1539))</f>
        <v>0.241360382158019</v>
      </c>
      <c r="I1539" s="0" t="n">
        <f aca="false">(G1539-Stats!$B$2)/H1539</f>
        <v>1.46026735874116</v>
      </c>
    </row>
    <row r="1540" customFormat="false" ht="15" hidden="false" customHeight="false" outlineLevel="0" collapsed="false">
      <c r="A1540" s="0" t="n">
        <v>0.248539820927426</v>
      </c>
      <c r="B1540" s="0" t="n">
        <v>0.316942621767281</v>
      </c>
      <c r="C1540" s="0" t="n">
        <v>0.808826323491684</v>
      </c>
      <c r="D1540" s="0" t="n">
        <f aca="false">A1540/SUM($A1540:$C1540)</f>
        <v>0.180847148066374</v>
      </c>
      <c r="E1540" s="0" t="n">
        <f aca="false">B1540/SUM($A1540:$C1540)</f>
        <v>0.230619661000035</v>
      </c>
      <c r="F1540" s="0" t="n">
        <f aca="false">C1540/SUM($A1540:$C1540)</f>
        <v>0.588533190933592</v>
      </c>
      <c r="G1540" s="0" t="n">
        <f aca="false">SUMPRODUCT(D1540:F1540,Stats!$B$6:$D$6)</f>
        <v>0.353524684886855</v>
      </c>
      <c r="H1540" s="0" t="n">
        <f aca="false">SQRT(SUMPRODUCT(MMULT(D1540:F1540,Stats!$B$12:$D$14),D1540:F1540))</f>
        <v>0.234351962878706</v>
      </c>
      <c r="I1540" s="0" t="n">
        <f aca="false">(G1540-Stats!$B$2)/H1540</f>
        <v>1.32930264829099</v>
      </c>
    </row>
    <row r="1541" customFormat="false" ht="15" hidden="false" customHeight="false" outlineLevel="0" collapsed="false">
      <c r="A1541" s="0" t="n">
        <v>0.875488650395897</v>
      </c>
      <c r="B1541" s="0" t="n">
        <v>0.30246631746147</v>
      </c>
      <c r="C1541" s="0" t="n">
        <v>0.858698121244574</v>
      </c>
      <c r="D1541" s="0" t="n">
        <f aca="false">A1541/SUM($A1541:$C1541)</f>
        <v>0.429866360196838</v>
      </c>
      <c r="E1541" s="0" t="n">
        <f aca="false">B1541/SUM($A1541:$C1541)</f>
        <v>0.148511456899536</v>
      </c>
      <c r="F1541" s="0" t="n">
        <f aca="false">C1541/SUM($A1541:$C1541)</f>
        <v>0.421622182903626</v>
      </c>
      <c r="G1541" s="0" t="n">
        <f aca="false">SUMPRODUCT(D1541:F1541,Stats!$B$6:$D$6)</f>
        <v>0.353402791942559</v>
      </c>
      <c r="H1541" s="0" t="n">
        <f aca="false">SQRT(SUMPRODUCT(MMULT(D1541:F1541,Stats!$B$12:$D$14),D1541:F1541))</f>
        <v>0.22364596012454</v>
      </c>
      <c r="I1541" s="0" t="n">
        <f aca="false">(G1541-Stats!$B$2)/H1541</f>
        <v>1.39239175958802</v>
      </c>
    </row>
    <row r="1542" customFormat="false" ht="15" hidden="false" customHeight="false" outlineLevel="0" collapsed="false">
      <c r="A1542" s="0" t="n">
        <v>0.857230937369791</v>
      </c>
      <c r="B1542" s="0" t="n">
        <v>0.764650950384874</v>
      </c>
      <c r="C1542" s="0" t="n">
        <v>0.146695114015182</v>
      </c>
      <c r="D1542" s="0" t="n">
        <f aca="false">A1542/SUM($A1542:$C1542)</f>
        <v>0.484700941215421</v>
      </c>
      <c r="E1542" s="0" t="n">
        <f aca="false">B1542/SUM($A1542:$C1542)</f>
        <v>0.432353779122805</v>
      </c>
      <c r="F1542" s="0" t="n">
        <f aca="false">C1542/SUM($A1542:$C1542)</f>
        <v>0.0829452796617739</v>
      </c>
      <c r="G1542" s="0" t="n">
        <f aca="false">SUMPRODUCT(D1542:F1542,Stats!$B$6:$D$6)</f>
        <v>0.379073597138265</v>
      </c>
      <c r="H1542" s="0" t="n">
        <f aca="false">SQRT(SUMPRODUCT(MMULT(D1542:F1542,Stats!$B$12:$D$14),D1542:F1542))</f>
        <v>0.22689005901044</v>
      </c>
      <c r="I1542" s="0" t="n">
        <f aca="false">(G1542-Stats!$B$2)/H1542</f>
        <v>1.48562523456682</v>
      </c>
    </row>
    <row r="1543" customFormat="false" ht="15" hidden="false" customHeight="false" outlineLevel="0" collapsed="false">
      <c r="A1543" s="0" t="n">
        <v>0.690322846900729</v>
      </c>
      <c r="B1543" s="0" t="n">
        <v>0.945024064580569</v>
      </c>
      <c r="C1543" s="0" t="n">
        <v>0.682540478767157</v>
      </c>
      <c r="D1543" s="0" t="n">
        <f aca="false">A1543/SUM($A1543:$C1543)</f>
        <v>0.297824152202119</v>
      </c>
      <c r="E1543" s="0" t="n">
        <f aca="false">B1543/SUM($A1543:$C1543)</f>
        <v>0.407709222008094</v>
      </c>
      <c r="F1543" s="0" t="n">
        <f aca="false">C1543/SUM($A1543:$C1543)</f>
        <v>0.294466625789787</v>
      </c>
      <c r="G1543" s="0" t="n">
        <f aca="false">SUMPRODUCT(D1543:F1543,Stats!$B$6:$D$6)</f>
        <v>0.371822961454618</v>
      </c>
      <c r="H1543" s="0" t="n">
        <f aca="false">SQRT(SUMPRODUCT(MMULT(D1543:F1543,Stats!$B$12:$D$14),D1543:F1543))</f>
        <v>0.227988475830207</v>
      </c>
      <c r="I1543" s="0" t="n">
        <f aca="false">(G1543-Stats!$B$2)/H1543</f>
        <v>1.44666505731742</v>
      </c>
    </row>
    <row r="1544" customFormat="false" ht="15" hidden="false" customHeight="false" outlineLevel="0" collapsed="false">
      <c r="A1544" s="0" t="n">
        <v>0.331616849107834</v>
      </c>
      <c r="B1544" s="0" t="n">
        <v>0.500579317430831</v>
      </c>
      <c r="C1544" s="0" t="n">
        <v>0.645725043351054</v>
      </c>
      <c r="D1544" s="0" t="n">
        <f aca="false">A1544/SUM($A1544:$C1544)</f>
        <v>0.224380600866117</v>
      </c>
      <c r="E1544" s="0" t="n">
        <f aca="false">B1544/SUM($A1544:$C1544)</f>
        <v>0.338705009496537</v>
      </c>
      <c r="F1544" s="0" t="n">
        <f aca="false">C1544/SUM($A1544:$C1544)</f>
        <v>0.436914389637345</v>
      </c>
      <c r="G1544" s="0" t="n">
        <f aca="false">SUMPRODUCT(D1544:F1544,Stats!$B$6:$D$6)</f>
        <v>0.363924606077302</v>
      </c>
      <c r="H1544" s="0" t="n">
        <f aca="false">SQRT(SUMPRODUCT(MMULT(D1544:F1544,Stats!$B$12:$D$14),D1544:F1544))</f>
        <v>0.230530456765001</v>
      </c>
      <c r="I1544" s="0" t="n">
        <f aca="false">(G1544-Stats!$B$2)/H1544</f>
        <v>1.39645151705688</v>
      </c>
    </row>
    <row r="1545" customFormat="false" ht="15" hidden="false" customHeight="false" outlineLevel="0" collapsed="false">
      <c r="A1545" s="0" t="n">
        <v>0.510570408728504</v>
      </c>
      <c r="B1545" s="0" t="n">
        <v>0.11995294173097</v>
      </c>
      <c r="C1545" s="0" t="n">
        <v>0.312064044652021</v>
      </c>
      <c r="D1545" s="0" t="n">
        <f aca="false">A1545/SUM($A1545:$C1545)</f>
        <v>0.541669039259867</v>
      </c>
      <c r="E1545" s="0" t="n">
        <f aca="false">B1545/SUM($A1545:$C1545)</f>
        <v>0.127259225354675</v>
      </c>
      <c r="F1545" s="0" t="n">
        <f aca="false">C1545/SUM($A1545:$C1545)</f>
        <v>0.331071735385458</v>
      </c>
      <c r="G1545" s="0" t="n">
        <f aca="false">SUMPRODUCT(D1545:F1545,Stats!$B$6:$D$6)</f>
        <v>0.354676859808473</v>
      </c>
      <c r="H1545" s="0" t="n">
        <f aca="false">SQRT(SUMPRODUCT(MMULT(D1545:F1545,Stats!$B$12:$D$14),D1545:F1545))</f>
        <v>0.221656344433398</v>
      </c>
      <c r="I1545" s="0" t="n">
        <f aca="false">(G1545-Stats!$B$2)/H1545</f>
        <v>1.41063798831359</v>
      </c>
    </row>
    <row r="1546" customFormat="false" ht="15" hidden="false" customHeight="false" outlineLevel="0" collapsed="false">
      <c r="A1546" s="0" t="n">
        <v>0.802396030553633</v>
      </c>
      <c r="B1546" s="0" t="n">
        <v>0.861418046095517</v>
      </c>
      <c r="C1546" s="0" t="n">
        <v>0.13730003271557</v>
      </c>
      <c r="D1546" s="0" t="n">
        <f aca="false">A1546/SUM($A1546:$C1546)</f>
        <v>0.445499830566898</v>
      </c>
      <c r="E1546" s="0" t="n">
        <f aca="false">B1546/SUM($A1546:$C1546)</f>
        <v>0.478269556391045</v>
      </c>
      <c r="F1546" s="0" t="n">
        <f aca="false">C1546/SUM($A1546:$C1546)</f>
        <v>0.0762306130420565</v>
      </c>
      <c r="G1546" s="0" t="n">
        <f aca="false">SUMPRODUCT(D1546:F1546,Stats!$B$6:$D$6)</f>
        <v>0.381900685884094</v>
      </c>
      <c r="H1546" s="0" t="n">
        <f aca="false">SQRT(SUMPRODUCT(MMULT(D1546:F1546,Stats!$B$12:$D$14),D1546:F1546))</f>
        <v>0.228097138975413</v>
      </c>
      <c r="I1546" s="0" t="n">
        <f aca="false">(G1546-Stats!$B$2)/H1546</f>
        <v>1.490157603076</v>
      </c>
    </row>
    <row r="1547" customFormat="false" ht="15" hidden="false" customHeight="false" outlineLevel="0" collapsed="false">
      <c r="A1547" s="0" t="n">
        <v>0.952386752398725</v>
      </c>
      <c r="B1547" s="0" t="n">
        <v>0.328822617848609</v>
      </c>
      <c r="C1547" s="0" t="n">
        <v>0.66231373873072</v>
      </c>
      <c r="D1547" s="0" t="n">
        <f aca="false">A1547/SUM($A1547:$C1547)</f>
        <v>0.490031092503711</v>
      </c>
      <c r="E1547" s="0" t="n">
        <f aca="false">B1547/SUM($A1547:$C1547)</f>
        <v>0.169188941633687</v>
      </c>
      <c r="F1547" s="0" t="n">
        <f aca="false">C1547/SUM($A1547:$C1547)</f>
        <v>0.340779965862602</v>
      </c>
      <c r="G1547" s="0" t="n">
        <f aca="false">SUMPRODUCT(D1547:F1547,Stats!$B$6:$D$6)</f>
        <v>0.356821740693172</v>
      </c>
      <c r="H1547" s="0" t="n">
        <f aca="false">SQRT(SUMPRODUCT(MMULT(D1547:F1547,Stats!$B$12:$D$14),D1547:F1547))</f>
        <v>0.222300753572258</v>
      </c>
      <c r="I1547" s="0" t="n">
        <f aca="false">(G1547-Stats!$B$2)/H1547</f>
        <v>1.41619736161101</v>
      </c>
    </row>
    <row r="1548" customFormat="false" ht="15" hidden="false" customHeight="false" outlineLevel="0" collapsed="false">
      <c r="A1548" s="0" t="n">
        <v>0.751825145956681</v>
      </c>
      <c r="B1548" s="0" t="n">
        <v>0.811946234637883</v>
      </c>
      <c r="C1548" s="0" t="n">
        <v>0.94574970222593</v>
      </c>
      <c r="D1548" s="0" t="n">
        <f aca="false">A1548/SUM($A1548:$C1548)</f>
        <v>0.299589093354694</v>
      </c>
      <c r="E1548" s="0" t="n">
        <f aca="false">B1548/SUM($A1548:$C1548)</f>
        <v>0.323546289447914</v>
      </c>
      <c r="F1548" s="0" t="n">
        <f aca="false">C1548/SUM($A1548:$C1548)</f>
        <v>0.376864617197392</v>
      </c>
      <c r="G1548" s="0" t="n">
        <f aca="false">SUMPRODUCT(D1548:F1548,Stats!$B$6:$D$6)</f>
        <v>0.364708242323926</v>
      </c>
      <c r="H1548" s="0" t="n">
        <f aca="false">SQRT(SUMPRODUCT(MMULT(D1548:F1548,Stats!$B$12:$D$14),D1548:F1548))</f>
        <v>0.227364865250663</v>
      </c>
      <c r="I1548" s="0" t="n">
        <f aca="false">(G1548-Stats!$B$2)/H1548</f>
        <v>1.41934085536105</v>
      </c>
    </row>
    <row r="1549" customFormat="false" ht="15" hidden="false" customHeight="false" outlineLevel="0" collapsed="false">
      <c r="A1549" s="0" t="n">
        <v>0.312919548028823</v>
      </c>
      <c r="B1549" s="0" t="n">
        <v>0.858506454551555</v>
      </c>
      <c r="C1549" s="0" t="n">
        <v>0.131686903436207</v>
      </c>
      <c r="D1549" s="0" t="n">
        <f aca="false">A1549/SUM($A1549:$C1549)</f>
        <v>0.240132337408406</v>
      </c>
      <c r="E1549" s="0" t="n">
        <f aca="false">B1549/SUM($A1549:$C1549)</f>
        <v>0.658812026638487</v>
      </c>
      <c r="F1549" s="0" t="n">
        <f aca="false">C1549/SUM($A1549:$C1549)</f>
        <v>0.101055635953107</v>
      </c>
      <c r="G1549" s="0" t="n">
        <f aca="false">SUMPRODUCT(D1549:F1549,Stats!$B$6:$D$6)</f>
        <v>0.391604325492019</v>
      </c>
      <c r="H1549" s="0" t="n">
        <f aca="false">SQRT(SUMPRODUCT(MMULT(D1549:F1549,Stats!$B$12:$D$14),D1549:F1549))</f>
        <v>0.235214724795879</v>
      </c>
      <c r="I1549" s="0" t="n">
        <f aca="false">(G1549-Stats!$B$2)/H1549</f>
        <v>1.48631989683218</v>
      </c>
    </row>
    <row r="1550" customFormat="false" ht="15" hidden="false" customHeight="false" outlineLevel="0" collapsed="false">
      <c r="A1550" s="0" t="n">
        <v>0.705040906353593</v>
      </c>
      <c r="B1550" s="0" t="n">
        <v>0.741977729513986</v>
      </c>
      <c r="C1550" s="0" t="n">
        <v>0.67772324120132</v>
      </c>
      <c r="D1550" s="0" t="n">
        <f aca="false">A1550/SUM($A1550:$C1550)</f>
        <v>0.331824262496395</v>
      </c>
      <c r="E1550" s="0" t="n">
        <f aca="false">B1550/SUM($A1550:$C1550)</f>
        <v>0.349208408570339</v>
      </c>
      <c r="F1550" s="0" t="n">
        <f aca="false">C1550/SUM($A1550:$C1550)</f>
        <v>0.318967328933266</v>
      </c>
      <c r="G1550" s="0" t="n">
        <f aca="false">SUMPRODUCT(D1550:F1550,Stats!$B$6:$D$6)</f>
        <v>0.367781302899815</v>
      </c>
      <c r="H1550" s="0" t="n">
        <f aca="false">SQRT(SUMPRODUCT(MMULT(D1550:F1550,Stats!$B$12:$D$14),D1550:F1550))</f>
        <v>0.226466457952395</v>
      </c>
      <c r="I1550" s="0" t="n">
        <f aca="false">(G1550-Stats!$B$2)/H1550</f>
        <v>1.43854107952842</v>
      </c>
    </row>
    <row r="1551" customFormat="false" ht="15" hidden="false" customHeight="false" outlineLevel="0" collapsed="false">
      <c r="A1551" s="0" t="n">
        <v>0.252314736135153</v>
      </c>
      <c r="B1551" s="0" t="n">
        <v>0.873043147015203</v>
      </c>
      <c r="C1551" s="0" t="n">
        <v>0.168858463370395</v>
      </c>
      <c r="D1551" s="0" t="n">
        <f aca="false">A1551/SUM($A1551:$C1551)</f>
        <v>0.194955609093837</v>
      </c>
      <c r="E1551" s="0" t="n">
        <f aca="false">B1551/SUM($A1551:$C1551)</f>
        <v>0.674572801805672</v>
      </c>
      <c r="F1551" s="0" t="n">
        <f aca="false">C1551/SUM($A1551:$C1551)</f>
        <v>0.130471589100492</v>
      </c>
      <c r="G1551" s="0" t="n">
        <f aca="false">SUMPRODUCT(D1551:F1551,Stats!$B$6:$D$6)</f>
        <v>0.391700046502298</v>
      </c>
      <c r="H1551" s="0" t="n">
        <f aca="false">SQRT(SUMPRODUCT(MMULT(D1551:F1551,Stats!$B$12:$D$14),D1551:F1551))</f>
        <v>0.236563687143334</v>
      </c>
      <c r="I1551" s="0" t="n">
        <f aca="false">(G1551-Stats!$B$2)/H1551</f>
        <v>1.47824905303583</v>
      </c>
    </row>
    <row r="1552" customFormat="false" ht="15" hidden="false" customHeight="false" outlineLevel="0" collapsed="false">
      <c r="A1552" s="0" t="n">
        <v>0.0536347915208308</v>
      </c>
      <c r="B1552" s="0" t="n">
        <v>0.717464990611912</v>
      </c>
      <c r="C1552" s="0" t="n">
        <v>0.475475715232734</v>
      </c>
      <c r="D1552" s="0" t="n">
        <f aca="false">A1552/SUM($A1552:$C1552)</f>
        <v>0.0430257065329642</v>
      </c>
      <c r="E1552" s="0" t="n">
        <f aca="false">B1552/SUM($A1552:$C1552)</f>
        <v>0.575548767104928</v>
      </c>
      <c r="F1552" s="0" t="n">
        <f aca="false">C1552/SUM($A1552:$C1552)</f>
        <v>0.381425526362108</v>
      </c>
      <c r="G1552" s="0" t="n">
        <f aca="false">SUMPRODUCT(D1552:F1552,Stats!$B$6:$D$6)</f>
        <v>0.379082373411887</v>
      </c>
      <c r="H1552" s="0" t="n">
        <f aca="false">SQRT(SUMPRODUCT(MMULT(D1552:F1552,Stats!$B$12:$D$14),D1552:F1552))</f>
        <v>0.240623621624291</v>
      </c>
      <c r="I1552" s="0" t="n">
        <f aca="false">(G1552-Stats!$B$2)/H1552</f>
        <v>1.40086983620505</v>
      </c>
    </row>
    <row r="1553" customFormat="false" ht="15" hidden="false" customHeight="false" outlineLevel="0" collapsed="false">
      <c r="A1553" s="0" t="n">
        <v>0.849098019958676</v>
      </c>
      <c r="B1553" s="0" t="n">
        <v>0.383397141058259</v>
      </c>
      <c r="C1553" s="0" t="n">
        <v>0.168278588507713</v>
      </c>
      <c r="D1553" s="0" t="n">
        <f aca="false">A1553/SUM($A1553:$C1553)</f>
        <v>0.606163572273408</v>
      </c>
      <c r="E1553" s="0" t="n">
        <f aca="false">B1553/SUM($A1553:$C1553)</f>
        <v>0.273703830606738</v>
      </c>
      <c r="F1553" s="0" t="n">
        <f aca="false">C1553/SUM($A1553:$C1553)</f>
        <v>0.120132597119855</v>
      </c>
      <c r="G1553" s="0" t="n">
        <f aca="false">SUMPRODUCT(D1553:F1553,Stats!$B$6:$D$6)</f>
        <v>0.368919658461349</v>
      </c>
      <c r="H1553" s="0" t="n">
        <f aca="false">SQRT(SUMPRODUCT(MMULT(D1553:F1553,Stats!$B$12:$D$14),D1553:F1553))</f>
        <v>0.223995535820907</v>
      </c>
      <c r="I1553" s="0" t="n">
        <f aca="false">(G1553-Stats!$B$2)/H1553</f>
        <v>1.4594918477426</v>
      </c>
    </row>
    <row r="1554" customFormat="false" ht="15" hidden="false" customHeight="false" outlineLevel="0" collapsed="false">
      <c r="A1554" s="0" t="n">
        <v>0.83644219246987</v>
      </c>
      <c r="B1554" s="0" t="n">
        <v>0.548909631640072</v>
      </c>
      <c r="C1554" s="0" t="n">
        <v>0.189195792390355</v>
      </c>
      <c r="D1554" s="0" t="n">
        <f aca="false">A1554/SUM($A1554:$C1554)</f>
        <v>0.531226990981071</v>
      </c>
      <c r="E1554" s="0" t="n">
        <f aca="false">B1554/SUM($A1554:$C1554)</f>
        <v>0.348614183456781</v>
      </c>
      <c r="F1554" s="0" t="n">
        <f aca="false">C1554/SUM($A1554:$C1554)</f>
        <v>0.120158825562148</v>
      </c>
      <c r="G1554" s="0" t="n">
        <f aca="false">SUMPRODUCT(D1554:F1554,Stats!$B$6:$D$6)</f>
        <v>0.37322917997056</v>
      </c>
      <c r="H1554" s="0" t="n">
        <f aca="false">SQRT(SUMPRODUCT(MMULT(D1554:F1554,Stats!$B$12:$D$14),D1554:F1554))</f>
        <v>0.224858911721211</v>
      </c>
      <c r="I1554" s="0" t="n">
        <f aca="false">(G1554-Stats!$B$2)/H1554</f>
        <v>1.47305338016236</v>
      </c>
    </row>
    <row r="1555" customFormat="false" ht="15" hidden="false" customHeight="false" outlineLevel="0" collapsed="false">
      <c r="A1555" s="0" t="n">
        <v>0.720383998586446</v>
      </c>
      <c r="B1555" s="0" t="n">
        <v>0.511113638489501</v>
      </c>
      <c r="C1555" s="0" t="n">
        <v>0.60431298224032</v>
      </c>
      <c r="D1555" s="0" t="n">
        <f aca="false">A1555/SUM($A1555:$C1555)</f>
        <v>0.392406488450724</v>
      </c>
      <c r="E1555" s="0" t="n">
        <f aca="false">B1555/SUM($A1555:$C1555)</f>
        <v>0.278413052583747</v>
      </c>
      <c r="F1555" s="0" t="n">
        <f aca="false">C1555/SUM($A1555:$C1555)</f>
        <v>0.329180458965529</v>
      </c>
      <c r="G1555" s="0" t="n">
        <f aca="false">SUMPRODUCT(D1555:F1555,Stats!$B$6:$D$6)</f>
        <v>0.36342620661252</v>
      </c>
      <c r="H1555" s="0" t="n">
        <f aca="false">SQRT(SUMPRODUCT(MMULT(D1555:F1555,Stats!$B$12:$D$14),D1555:F1555))</f>
        <v>0.224478770547164</v>
      </c>
      <c r="I1555" s="0" t="n">
        <f aca="false">(G1555-Stats!$B$2)/H1555</f>
        <v>1.431877971485</v>
      </c>
    </row>
    <row r="1556" customFormat="false" ht="15" hidden="false" customHeight="false" outlineLevel="0" collapsed="false">
      <c r="A1556" s="0" t="n">
        <v>0.460898338206582</v>
      </c>
      <c r="B1556" s="0" t="n">
        <v>0.828708983818006</v>
      </c>
      <c r="C1556" s="0" t="n">
        <v>0.82956271568305</v>
      </c>
      <c r="D1556" s="0" t="n">
        <f aca="false">A1556/SUM($A1556:$C1556)</f>
        <v>0.217490022039547</v>
      </c>
      <c r="E1556" s="0" t="n">
        <f aca="false">B1556/SUM($A1556:$C1556)</f>
        <v>0.391053558266822</v>
      </c>
      <c r="F1556" s="0" t="n">
        <f aca="false">C1556/SUM($A1556:$C1556)</f>
        <v>0.391456419693631</v>
      </c>
      <c r="G1556" s="0" t="n">
        <f aca="false">SUMPRODUCT(D1556:F1556,Stats!$B$6:$D$6)</f>
        <v>0.368190159857286</v>
      </c>
      <c r="H1556" s="0" t="n">
        <f aca="false">SQRT(SUMPRODUCT(MMULT(D1556:F1556,Stats!$B$12:$D$14),D1556:F1556))</f>
        <v>0.230803978327842</v>
      </c>
      <c r="I1556" s="0" t="n">
        <f aca="false">(G1556-Stats!$B$2)/H1556</f>
        <v>1.41327789157063</v>
      </c>
    </row>
    <row r="1557" customFormat="false" ht="15" hidden="false" customHeight="false" outlineLevel="0" collapsed="false">
      <c r="A1557" s="0" t="n">
        <v>0.709388821824386</v>
      </c>
      <c r="B1557" s="0" t="n">
        <v>0.105401377396462</v>
      </c>
      <c r="C1557" s="0" t="n">
        <v>0.838853861904069</v>
      </c>
      <c r="D1557" s="0" t="n">
        <f aca="false">A1557/SUM($A1557:$C1557)</f>
        <v>0.428985196089788</v>
      </c>
      <c r="E1557" s="0" t="n">
        <f aca="false">B1557/SUM($A1557:$C1557)</f>
        <v>0.0637388540099502</v>
      </c>
      <c r="F1557" s="0" t="n">
        <f aca="false">C1557/SUM($A1557:$C1557)</f>
        <v>0.507275949900262</v>
      </c>
      <c r="G1557" s="0" t="n">
        <f aca="false">SUMPRODUCT(D1557:F1557,Stats!$B$6:$D$6)</f>
        <v>0.346163216410564</v>
      </c>
      <c r="H1557" s="0" t="n">
        <f aca="false">SQRT(SUMPRODUCT(MMULT(D1557:F1557,Stats!$B$12:$D$14),D1557:F1557))</f>
        <v>0.224729869400518</v>
      </c>
      <c r="I1557" s="0" t="n">
        <f aca="false">(G1557-Stats!$B$2)/H1557</f>
        <v>1.35346145673443</v>
      </c>
    </row>
    <row r="1558" customFormat="false" ht="15" hidden="false" customHeight="false" outlineLevel="0" collapsed="false">
      <c r="A1558" s="0" t="n">
        <v>0.67101298053291</v>
      </c>
      <c r="B1558" s="0" t="n">
        <v>0.6970241660043</v>
      </c>
      <c r="C1558" s="0" t="n">
        <v>0.362982840403872</v>
      </c>
      <c r="D1558" s="0" t="n">
        <f aca="false">A1558/SUM($A1558:$C1558)</f>
        <v>0.387640226915386</v>
      </c>
      <c r="E1558" s="0" t="n">
        <f aca="false">B1558/SUM($A1558:$C1558)</f>
        <v>0.402666734793759</v>
      </c>
      <c r="F1558" s="0" t="n">
        <f aca="false">C1558/SUM($A1558:$C1558)</f>
        <v>0.209693038290855</v>
      </c>
      <c r="G1558" s="0" t="n">
        <f aca="false">SUMPRODUCT(D1558:F1558,Stats!$B$6:$D$6)</f>
        <v>0.373870422336316</v>
      </c>
      <c r="H1558" s="0" t="n">
        <f aca="false">SQRT(SUMPRODUCT(MMULT(D1558:F1558,Stats!$B$12:$D$14),D1558:F1558))</f>
        <v>0.226136185068762</v>
      </c>
      <c r="I1558" s="0" t="n">
        <f aca="false">(G1558-Stats!$B$2)/H1558</f>
        <v>1.46756885562301</v>
      </c>
    </row>
    <row r="1559" customFormat="false" ht="15" hidden="false" customHeight="false" outlineLevel="0" collapsed="false">
      <c r="A1559" s="0" t="n">
        <v>0.879279556157007</v>
      </c>
      <c r="B1559" s="0" t="n">
        <v>0.725371600234858</v>
      </c>
      <c r="C1559" s="0" t="n">
        <v>0.112590466529195</v>
      </c>
      <c r="D1559" s="0" t="n">
        <f aca="false">A1559/SUM($A1559:$C1559)</f>
        <v>0.512030190988113</v>
      </c>
      <c r="E1559" s="0" t="n">
        <f aca="false">B1559/SUM($A1559:$C1559)</f>
        <v>0.422405088808055</v>
      </c>
      <c r="F1559" s="0" t="n">
        <f aca="false">C1559/SUM($A1559:$C1559)</f>
        <v>0.0655647202038325</v>
      </c>
      <c r="G1559" s="0" t="n">
        <f aca="false">SUMPRODUCT(D1559:F1559,Stats!$B$6:$D$6)</f>
        <v>0.37898042461603</v>
      </c>
      <c r="H1559" s="0" t="n">
        <f aca="false">SQRT(SUMPRODUCT(MMULT(D1559:F1559,Stats!$B$12:$D$14),D1559:F1559))</f>
        <v>0.226900582155778</v>
      </c>
      <c r="I1559" s="0" t="n">
        <f aca="false">(G1559-Stats!$B$2)/H1559</f>
        <v>1.48514570308452</v>
      </c>
    </row>
    <row r="1560" customFormat="false" ht="15" hidden="false" customHeight="false" outlineLevel="0" collapsed="false">
      <c r="A1560" s="0" t="n">
        <v>0.407778034406163</v>
      </c>
      <c r="B1560" s="0" t="n">
        <v>0.886380361960142</v>
      </c>
      <c r="C1560" s="0" t="n">
        <v>0.047196701697379</v>
      </c>
      <c r="D1560" s="0" t="n">
        <f aca="false">A1560/SUM($A1560:$C1560)</f>
        <v>0.304004536155125</v>
      </c>
      <c r="E1560" s="0" t="n">
        <f aca="false">B1560/SUM($A1560:$C1560)</f>
        <v>0.660809626950893</v>
      </c>
      <c r="F1560" s="0" t="n">
        <f aca="false">C1560/SUM($A1560:$C1560)</f>
        <v>0.0351858368939813</v>
      </c>
      <c r="G1560" s="0" t="n">
        <f aca="false">SUMPRODUCT(D1560:F1560,Stats!$B$6:$D$6)</f>
        <v>0.39353559920275</v>
      </c>
      <c r="H1560" s="0" t="n">
        <f aca="false">SQRT(SUMPRODUCT(MMULT(D1560:F1560,Stats!$B$12:$D$14),D1560:F1560))</f>
        <v>0.234759861081249</v>
      </c>
      <c r="I1560" s="0" t="n">
        <f aca="false">(G1560-Stats!$B$2)/H1560</f>
        <v>1.49742633848759</v>
      </c>
    </row>
    <row r="1561" customFormat="false" ht="15" hidden="false" customHeight="false" outlineLevel="0" collapsed="false">
      <c r="A1561" s="0" t="n">
        <v>0.96141661964205</v>
      </c>
      <c r="B1561" s="0" t="n">
        <v>0.679162568319563</v>
      </c>
      <c r="C1561" s="0" t="n">
        <v>0.631375977643377</v>
      </c>
      <c r="D1561" s="0" t="n">
        <f aca="false">A1561/SUM($A1561:$C1561)</f>
        <v>0.423167073979665</v>
      </c>
      <c r="E1561" s="0" t="n">
        <f aca="false">B1561/SUM($A1561:$C1561)</f>
        <v>0.298933085741026</v>
      </c>
      <c r="F1561" s="0" t="n">
        <f aca="false">C1561/SUM($A1561:$C1561)</f>
        <v>0.277899840279309</v>
      </c>
      <c r="G1561" s="0" t="n">
        <f aca="false">SUMPRODUCT(D1561:F1561,Stats!$B$6:$D$6)</f>
        <v>0.36602094609854</v>
      </c>
      <c r="H1561" s="0" t="n">
        <f aca="false">SQRT(SUMPRODUCT(MMULT(D1561:F1561,Stats!$B$12:$D$14),D1561:F1561))</f>
        <v>0.224069670848907</v>
      </c>
      <c r="I1561" s="0" t="n">
        <f aca="false">(G1561-Stats!$B$2)/H1561</f>
        <v>1.44607230809489</v>
      </c>
    </row>
    <row r="1562" customFormat="false" ht="15" hidden="false" customHeight="false" outlineLevel="0" collapsed="false">
      <c r="A1562" s="0" t="n">
        <v>0.270559256487991</v>
      </c>
      <c r="B1562" s="0" t="n">
        <v>0.248791788739177</v>
      </c>
      <c r="C1562" s="0" t="n">
        <v>0.942058219488596</v>
      </c>
      <c r="D1562" s="0" t="n">
        <f aca="false">A1562/SUM($A1562:$C1562)</f>
        <v>0.185135856888531</v>
      </c>
      <c r="E1562" s="0" t="n">
        <f aca="false">B1562/SUM($A1562:$C1562)</f>
        <v>0.170241009651438</v>
      </c>
      <c r="F1562" s="0" t="n">
        <f aca="false">C1562/SUM($A1562:$C1562)</f>
        <v>0.644623133460031</v>
      </c>
      <c r="G1562" s="0" t="n">
        <f aca="false">SUMPRODUCT(D1562:F1562,Stats!$B$6:$D$6)</f>
        <v>0.348503916842976</v>
      </c>
      <c r="H1562" s="0" t="n">
        <f aca="false">SQRT(SUMPRODUCT(MMULT(D1562:F1562,Stats!$B$12:$D$14),D1562:F1562))</f>
        <v>0.235504527765011</v>
      </c>
      <c r="I1562" s="0" t="n">
        <f aca="false">(G1562-Stats!$B$2)/H1562</f>
        <v>1.30147780916046</v>
      </c>
    </row>
    <row r="1563" customFormat="false" ht="15" hidden="false" customHeight="false" outlineLevel="0" collapsed="false">
      <c r="A1563" s="0" t="n">
        <v>0.298272454234123</v>
      </c>
      <c r="B1563" s="0" t="n">
        <v>0.775505296718999</v>
      </c>
      <c r="C1563" s="0" t="n">
        <v>0.393121798207079</v>
      </c>
      <c r="D1563" s="0" t="n">
        <f aca="false">A1563/SUM($A1563:$C1563)</f>
        <v>0.203335296138637</v>
      </c>
      <c r="E1563" s="0" t="n">
        <f aca="false">B1563/SUM($A1563:$C1563)</f>
        <v>0.528669667369504</v>
      </c>
      <c r="F1563" s="0" t="n">
        <f aca="false">C1563/SUM($A1563:$C1563)</f>
        <v>0.267995036491859</v>
      </c>
      <c r="G1563" s="0" t="n">
        <f aca="false">SUMPRODUCT(D1563:F1563,Stats!$B$6:$D$6)</f>
        <v>0.379512812818054</v>
      </c>
      <c r="H1563" s="0" t="n">
        <f aca="false">SQRT(SUMPRODUCT(MMULT(D1563:F1563,Stats!$B$12:$D$14),D1563:F1563))</f>
        <v>0.232666888395009</v>
      </c>
      <c r="I1563" s="0" t="n">
        <f aca="false">(G1563-Stats!$B$2)/H1563</f>
        <v>1.45062675289251</v>
      </c>
    </row>
    <row r="1564" customFormat="false" ht="15" hidden="false" customHeight="false" outlineLevel="0" collapsed="false">
      <c r="A1564" s="0" t="n">
        <v>0.139254070784704</v>
      </c>
      <c r="B1564" s="0" t="n">
        <v>0.010715297695359</v>
      </c>
      <c r="C1564" s="0" t="n">
        <v>0.544257337015251</v>
      </c>
      <c r="D1564" s="0" t="n">
        <f aca="false">A1564/SUM($A1564:$C1564)</f>
        <v>0.200588755348081</v>
      </c>
      <c r="E1564" s="0" t="n">
        <f aca="false">B1564/SUM($A1564:$C1564)</f>
        <v>0.0154348681929685</v>
      </c>
      <c r="F1564" s="0" t="n">
        <f aca="false">C1564/SUM($A1564:$C1564)</f>
        <v>0.78397637645895</v>
      </c>
      <c r="G1564" s="0" t="n">
        <f aca="false">SUMPRODUCT(D1564:F1564,Stats!$B$6:$D$6)</f>
        <v>0.335753959747504</v>
      </c>
      <c r="H1564" s="0" t="n">
        <f aca="false">SQRT(SUMPRODUCT(MMULT(D1564:F1564,Stats!$B$12:$D$14),D1564:F1564))</f>
        <v>0.239805347444637</v>
      </c>
      <c r="I1564" s="0" t="n">
        <f aca="false">(G1564-Stats!$B$2)/H1564</f>
        <v>1.22496834569263</v>
      </c>
    </row>
    <row r="1565" customFormat="false" ht="15" hidden="false" customHeight="false" outlineLevel="0" collapsed="false">
      <c r="A1565" s="0" t="n">
        <v>0.975778818548933</v>
      </c>
      <c r="B1565" s="0" t="n">
        <v>0.369136193809205</v>
      </c>
      <c r="C1565" s="0" t="n">
        <v>0.357192333993045</v>
      </c>
      <c r="D1565" s="0" t="n">
        <f aca="false">A1565/SUM($A1565:$C1565)</f>
        <v>0.573276897394701</v>
      </c>
      <c r="E1565" s="0" t="n">
        <f aca="false">B1565/SUM($A1565:$C1565)</f>
        <v>0.216870101994756</v>
      </c>
      <c r="F1565" s="0" t="n">
        <f aca="false">C1565/SUM($A1565:$C1565)</f>
        <v>0.209853000610543</v>
      </c>
      <c r="G1565" s="0" t="n">
        <f aca="false">SUMPRODUCT(D1565:F1565,Stats!$B$6:$D$6)</f>
        <v>0.363175513657497</v>
      </c>
      <c r="H1565" s="0" t="n">
        <f aca="false">SQRT(SUMPRODUCT(MMULT(D1565:F1565,Stats!$B$12:$D$14),D1565:F1565))</f>
        <v>0.222391704629472</v>
      </c>
      <c r="I1565" s="0" t="n">
        <f aca="false">(G1565-Stats!$B$2)/H1565</f>
        <v>1.44418837111127</v>
      </c>
    </row>
    <row r="1566" customFormat="false" ht="15" hidden="false" customHeight="false" outlineLevel="0" collapsed="false">
      <c r="A1566" s="0" t="n">
        <v>0.344091617849442</v>
      </c>
      <c r="B1566" s="0" t="n">
        <v>0.520543837304858</v>
      </c>
      <c r="C1566" s="0" t="n">
        <v>0.440664883424294</v>
      </c>
      <c r="D1566" s="0" t="n">
        <f aca="false">A1566/SUM($A1566:$C1566)</f>
        <v>0.263611069176723</v>
      </c>
      <c r="E1566" s="0" t="n">
        <f aca="false">B1566/SUM($A1566:$C1566)</f>
        <v>0.398792386640843</v>
      </c>
      <c r="F1566" s="0" t="n">
        <f aca="false">C1566/SUM($A1566:$C1566)</f>
        <v>0.337596544182433</v>
      </c>
      <c r="G1566" s="0" t="n">
        <f aca="false">SUMPRODUCT(D1566:F1566,Stats!$B$6:$D$6)</f>
        <v>0.370120607377382</v>
      </c>
      <c r="H1566" s="0" t="n">
        <f aca="false">SQRT(SUMPRODUCT(MMULT(D1566:F1566,Stats!$B$12:$D$14),D1566:F1566))</f>
        <v>0.228990447345993</v>
      </c>
      <c r="I1566" s="0" t="n">
        <f aca="false">(G1566-Stats!$B$2)/H1566</f>
        <v>1.43290085320288</v>
      </c>
    </row>
    <row r="1567" customFormat="false" ht="15" hidden="false" customHeight="false" outlineLevel="0" collapsed="false">
      <c r="A1567" s="0" t="n">
        <v>0.879914626727015</v>
      </c>
      <c r="B1567" s="0" t="n">
        <v>0.50552079172349</v>
      </c>
      <c r="C1567" s="0" t="n">
        <v>0.507757838188569</v>
      </c>
      <c r="D1567" s="0" t="n">
        <f aca="false">A1567/SUM($A1567:$C1567)</f>
        <v>0.464778027093282</v>
      </c>
      <c r="E1567" s="0" t="n">
        <f aca="false">B1567/SUM($A1567:$C1567)</f>
        <v>0.267020173429587</v>
      </c>
      <c r="F1567" s="0" t="n">
        <f aca="false">C1567/SUM($A1567:$C1567)</f>
        <v>0.268201799477131</v>
      </c>
      <c r="G1567" s="0" t="n">
        <f aca="false">SUMPRODUCT(D1567:F1567,Stats!$B$6:$D$6)</f>
        <v>0.364452138173271</v>
      </c>
      <c r="H1567" s="0" t="n">
        <f aca="false">SQRT(SUMPRODUCT(MMULT(D1567:F1567,Stats!$B$12:$D$14),D1567:F1567))</f>
        <v>0.223213976095294</v>
      </c>
      <c r="I1567" s="0" t="n">
        <f aca="false">(G1567-Stats!$B$2)/H1567</f>
        <v>1.4445875827937</v>
      </c>
    </row>
    <row r="1568" customFormat="false" ht="15" hidden="false" customHeight="false" outlineLevel="0" collapsed="false">
      <c r="A1568" s="0" t="n">
        <v>0.138371594720557</v>
      </c>
      <c r="B1568" s="0" t="n">
        <v>0.982739540910386</v>
      </c>
      <c r="C1568" s="0" t="n">
        <v>0.24997289086883</v>
      </c>
      <c r="D1568" s="0" t="n">
        <f aca="false">A1568/SUM($A1568:$C1568)</f>
        <v>0.100921309012551</v>
      </c>
      <c r="E1568" s="0" t="n">
        <f aca="false">B1568/SUM($A1568:$C1568)</f>
        <v>0.716760987595496</v>
      </c>
      <c r="F1568" s="0" t="n">
        <f aca="false">C1568/SUM($A1568:$C1568)</f>
        <v>0.182317703391953</v>
      </c>
      <c r="G1568" s="0" t="n">
        <f aca="false">SUMPRODUCT(D1568:F1568,Stats!$B$6:$D$6)</f>
        <v>0.392697863449021</v>
      </c>
      <c r="H1568" s="0" t="n">
        <f aca="false">SQRT(SUMPRODUCT(MMULT(D1568:F1568,Stats!$B$12:$D$14),D1568:F1568))</f>
        <v>0.240487702910827</v>
      </c>
      <c r="I1568" s="0" t="n">
        <f aca="false">(G1568-Stats!$B$2)/H1568</f>
        <v>1.45827773813059</v>
      </c>
    </row>
    <row r="1569" customFormat="false" ht="15" hidden="false" customHeight="false" outlineLevel="0" collapsed="false">
      <c r="A1569" s="0" t="n">
        <v>0.0733640674596027</v>
      </c>
      <c r="B1569" s="0" t="n">
        <v>0.663146248975209</v>
      </c>
      <c r="C1569" s="0" t="n">
        <v>0.595366370156873</v>
      </c>
      <c r="D1569" s="0" t="n">
        <f aca="false">A1569/SUM($A1569:$C1569)</f>
        <v>0.055083228198358</v>
      </c>
      <c r="E1569" s="0" t="n">
        <f aca="false">B1569/SUM($A1569:$C1569)</f>
        <v>0.497903639016478</v>
      </c>
      <c r="F1569" s="0" t="n">
        <f aca="false">C1569/SUM($A1569:$C1569)</f>
        <v>0.447013132785164</v>
      </c>
      <c r="G1569" s="0" t="n">
        <f aca="false">SUMPRODUCT(D1569:F1569,Stats!$B$6:$D$6)</f>
        <v>0.372806220215005</v>
      </c>
      <c r="H1569" s="0" t="n">
        <f aca="false">SQRT(SUMPRODUCT(MMULT(D1569:F1569,Stats!$B$12:$D$14),D1569:F1569))</f>
        <v>0.23964692639024</v>
      </c>
      <c r="I1569" s="0" t="n">
        <f aca="false">(G1569-Stats!$B$2)/H1569</f>
        <v>1.38038999789349</v>
      </c>
    </row>
    <row r="1570" customFormat="false" ht="15" hidden="false" customHeight="false" outlineLevel="0" collapsed="false">
      <c r="A1570" s="0" t="n">
        <v>0.415145653992746</v>
      </c>
      <c r="B1570" s="0" t="n">
        <v>0.422192233880678</v>
      </c>
      <c r="C1570" s="0" t="n">
        <v>0.785063921046431</v>
      </c>
      <c r="D1570" s="0" t="n">
        <f aca="false">A1570/SUM($A1570:$C1570)</f>
        <v>0.255883377169763</v>
      </c>
      <c r="E1570" s="0" t="n">
        <f aca="false">B1570/SUM($A1570:$C1570)</f>
        <v>0.260226678471075</v>
      </c>
      <c r="F1570" s="0" t="n">
        <f aca="false">C1570/SUM($A1570:$C1570)</f>
        <v>0.483889944359161</v>
      </c>
      <c r="G1570" s="0" t="n">
        <f aca="false">SUMPRODUCT(D1570:F1570,Stats!$B$6:$D$6)</f>
        <v>0.358113731628907</v>
      </c>
      <c r="H1570" s="0" t="n">
        <f aca="false">SQRT(SUMPRODUCT(MMULT(D1570:F1570,Stats!$B$12:$D$14),D1570:F1570))</f>
        <v>0.229523336962278</v>
      </c>
      <c r="I1570" s="0" t="n">
        <f aca="false">(G1570-Stats!$B$2)/H1570</f>
        <v>1.3772618323376</v>
      </c>
    </row>
    <row r="1571" customFormat="false" ht="15" hidden="false" customHeight="false" outlineLevel="0" collapsed="false">
      <c r="A1571" s="0" t="n">
        <v>0.195712640099649</v>
      </c>
      <c r="B1571" s="0" t="n">
        <v>0.82025331894489</v>
      </c>
      <c r="C1571" s="0" t="n">
        <v>0.648747113895018</v>
      </c>
      <c r="D1571" s="0" t="n">
        <f aca="false">A1571/SUM($A1571:$C1571)</f>
        <v>0.11756538906375</v>
      </c>
      <c r="E1571" s="0" t="n">
        <f aca="false">B1571/SUM($A1571:$C1571)</f>
        <v>0.492729547378686</v>
      </c>
      <c r="F1571" s="0" t="n">
        <f aca="false">C1571/SUM($A1571:$C1571)</f>
        <v>0.389705063557564</v>
      </c>
      <c r="G1571" s="0" t="n">
        <f aca="false">SUMPRODUCT(D1571:F1571,Stats!$B$6:$D$6)</f>
        <v>0.374088757645971</v>
      </c>
      <c r="H1571" s="0" t="n">
        <f aca="false">SQRT(SUMPRODUCT(MMULT(D1571:F1571,Stats!$B$12:$D$14),D1571:F1571))</f>
        <v>0.236011472411376</v>
      </c>
      <c r="I1571" s="0" t="n">
        <f aca="false">(G1571-Stats!$B$2)/H1571</f>
        <v>1.4070873515298</v>
      </c>
    </row>
    <row r="1572" customFormat="false" ht="15" hidden="false" customHeight="false" outlineLevel="0" collapsed="false">
      <c r="A1572" s="0" t="n">
        <v>0.418969773779524</v>
      </c>
      <c r="B1572" s="0" t="n">
        <v>0.458028616583869</v>
      </c>
      <c r="C1572" s="0" t="n">
        <v>0.256647207186096</v>
      </c>
      <c r="D1572" s="0" t="n">
        <f aca="false">A1572/SUM($A1572:$C1572)</f>
        <v>0.369577383518428</v>
      </c>
      <c r="E1572" s="0" t="n">
        <f aca="false">B1572/SUM($A1572:$C1572)</f>
        <v>0.404031575277099</v>
      </c>
      <c r="F1572" s="0" t="n">
        <f aca="false">C1572/SUM($A1572:$C1572)</f>
        <v>0.226391041204473</v>
      </c>
      <c r="G1572" s="0" t="n">
        <f aca="false">SUMPRODUCT(D1572:F1572,Stats!$B$6:$D$6)</f>
        <v>0.373488512483295</v>
      </c>
      <c r="H1572" s="0" t="n">
        <f aca="false">SQRT(SUMPRODUCT(MMULT(D1572:F1572,Stats!$B$12:$D$14),D1572:F1572))</f>
        <v>0.226396921077715</v>
      </c>
      <c r="I1572" s="0" t="n">
        <f aca="false">(G1572-Stats!$B$2)/H1572</f>
        <v>1.46419178717323</v>
      </c>
    </row>
    <row r="1573" customFormat="false" ht="15" hidden="false" customHeight="false" outlineLevel="0" collapsed="false">
      <c r="A1573" s="0" t="n">
        <v>0.752114332696975</v>
      </c>
      <c r="B1573" s="0" t="n">
        <v>0.512874742305268</v>
      </c>
      <c r="C1573" s="0" t="n">
        <v>0.320854542749844</v>
      </c>
      <c r="D1573" s="0" t="n">
        <f aca="false">A1573/SUM($A1573:$C1573)</f>
        <v>0.474267654312023</v>
      </c>
      <c r="E1573" s="0" t="n">
        <f aca="false">B1573/SUM($A1573:$C1573)</f>
        <v>0.32340814476541</v>
      </c>
      <c r="F1573" s="0" t="n">
        <f aca="false">C1573/SUM($A1573:$C1573)</f>
        <v>0.202324200922567</v>
      </c>
      <c r="G1573" s="0" t="n">
        <f aca="false">SUMPRODUCT(D1573:F1573,Stats!$B$6:$D$6)</f>
        <v>0.369513178504697</v>
      </c>
      <c r="H1573" s="0" t="n">
        <f aca="false">SQRT(SUMPRODUCT(MMULT(D1573:F1573,Stats!$B$12:$D$14),D1573:F1573))</f>
        <v>0.224004906270662</v>
      </c>
      <c r="I1573" s="0" t="n">
        <f aca="false">(G1573-Stats!$B$2)/H1573</f>
        <v>1.462080380101</v>
      </c>
    </row>
    <row r="1574" customFormat="false" ht="15" hidden="false" customHeight="false" outlineLevel="0" collapsed="false">
      <c r="A1574" s="0" t="n">
        <v>0.59605011576095</v>
      </c>
      <c r="B1574" s="0" t="n">
        <v>0.995734452051323</v>
      </c>
      <c r="C1574" s="0" t="n">
        <v>0.435262279656554</v>
      </c>
      <c r="D1574" s="0" t="n">
        <f aca="false">A1574/SUM($A1574:$C1574)</f>
        <v>0.294048515210804</v>
      </c>
      <c r="E1574" s="0" t="n">
        <f aca="false">B1574/SUM($A1574:$C1574)</f>
        <v>0.491224193113591</v>
      </c>
      <c r="F1574" s="0" t="n">
        <f aca="false">C1574/SUM($A1574:$C1574)</f>
        <v>0.214727291675605</v>
      </c>
      <c r="G1574" s="0" t="n">
        <f aca="false">SUMPRODUCT(D1574:F1574,Stats!$B$6:$D$6)</f>
        <v>0.378827086269555</v>
      </c>
      <c r="H1574" s="0" t="n">
        <f aca="false">SQRT(SUMPRODUCT(MMULT(D1574:F1574,Stats!$B$12:$D$14),D1574:F1574))</f>
        <v>0.229469733754923</v>
      </c>
      <c r="I1574" s="0" t="n">
        <f aca="false">(G1574-Stats!$B$2)/H1574</f>
        <v>1.46784972797019</v>
      </c>
    </row>
    <row r="1575" customFormat="false" ht="15" hidden="false" customHeight="false" outlineLevel="0" collapsed="false">
      <c r="A1575" s="0" t="n">
        <v>0.92069140077862</v>
      </c>
      <c r="B1575" s="0" t="n">
        <v>0.345016839924566</v>
      </c>
      <c r="C1575" s="0" t="n">
        <v>0.0547327069249859</v>
      </c>
      <c r="D1575" s="0" t="n">
        <f aca="false">A1575/SUM($A1575:$C1575)</f>
        <v>0.697260564686669</v>
      </c>
      <c r="E1575" s="0" t="n">
        <f aca="false">B1575/SUM($A1575:$C1575)</f>
        <v>0.261289109932784</v>
      </c>
      <c r="F1575" s="0" t="n">
        <f aca="false">C1575/SUM($A1575:$C1575)</f>
        <v>0.0414503253805473</v>
      </c>
      <c r="G1575" s="0" t="n">
        <f aca="false">SUMPRODUCT(D1575:F1575,Stats!$B$6:$D$6)</f>
        <v>0.370374964882247</v>
      </c>
      <c r="H1575" s="0" t="n">
        <f aca="false">SQRT(SUMPRODUCT(MMULT(D1575:F1575,Stats!$B$12:$D$14),D1575:F1575))</f>
        <v>0.22610277462088</v>
      </c>
      <c r="I1575" s="0" t="n">
        <f aca="false">(G1575-Stats!$B$2)/H1575</f>
        <v>1.45232611777035</v>
      </c>
    </row>
    <row r="1576" customFormat="false" ht="15" hidden="false" customHeight="false" outlineLevel="0" collapsed="false">
      <c r="A1576" s="0" t="n">
        <v>0.204242106368429</v>
      </c>
      <c r="B1576" s="0" t="n">
        <v>0.418695143327684</v>
      </c>
      <c r="C1576" s="0" t="n">
        <v>0.219634928594569</v>
      </c>
      <c r="D1576" s="0" t="n">
        <f aca="false">A1576/SUM($A1576:$C1576)</f>
        <v>0.242403098073773</v>
      </c>
      <c r="E1576" s="0" t="n">
        <f aca="false">B1576/SUM($A1576:$C1576)</f>
        <v>0.496924956835255</v>
      </c>
      <c r="F1576" s="0" t="n">
        <f aca="false">C1576/SUM($A1576:$C1576)</f>
        <v>0.260671945090972</v>
      </c>
      <c r="G1576" s="0" t="n">
        <f aca="false">SUMPRODUCT(D1576:F1576,Stats!$B$6:$D$6)</f>
        <v>0.377888194689059</v>
      </c>
      <c r="H1576" s="0" t="n">
        <f aca="false">SQRT(SUMPRODUCT(MMULT(D1576:F1576,Stats!$B$12:$D$14),D1576:F1576))</f>
        <v>0.2308808565093</v>
      </c>
      <c r="I1576" s="0" t="n">
        <f aca="false">(G1576-Stats!$B$2)/H1576</f>
        <v>1.45481180106212</v>
      </c>
    </row>
    <row r="1577" customFormat="false" ht="15" hidden="false" customHeight="false" outlineLevel="0" collapsed="false">
      <c r="A1577" s="0" t="n">
        <v>0.000227038218255538</v>
      </c>
      <c r="B1577" s="0" t="n">
        <v>0.915001537747527</v>
      </c>
      <c r="C1577" s="0" t="n">
        <v>0.843879411230929</v>
      </c>
      <c r="D1577" s="0" t="n">
        <f aca="false">A1577/SUM($A1577:$C1577)</f>
        <v>0.000129064400769018</v>
      </c>
      <c r="E1577" s="0" t="n">
        <f aca="false">B1577/SUM($A1577:$C1577)</f>
        <v>0.520150863055122</v>
      </c>
      <c r="F1577" s="0" t="n">
        <f aca="false">C1577/SUM($A1577:$C1577)</f>
        <v>0.47972007254411</v>
      </c>
      <c r="G1577" s="0" t="n">
        <f aca="false">SUMPRODUCT(D1577:F1577,Stats!$B$6:$D$6)</f>
        <v>0.373184415408067</v>
      </c>
      <c r="H1577" s="0" t="n">
        <f aca="false">SQRT(SUMPRODUCT(MMULT(D1577:F1577,Stats!$B$12:$D$14),D1577:F1577))</f>
        <v>0.243264510038056</v>
      </c>
      <c r="I1577" s="0" t="n">
        <f aca="false">(G1577-Stats!$B$2)/H1577</f>
        <v>1.36141690111828</v>
      </c>
    </row>
    <row r="1578" customFormat="false" ht="15" hidden="false" customHeight="false" outlineLevel="0" collapsed="false">
      <c r="A1578" s="0" t="n">
        <v>0.742292231486947</v>
      </c>
      <c r="B1578" s="0" t="n">
        <v>0.167814595646029</v>
      </c>
      <c r="C1578" s="0" t="n">
        <v>0.120363576209986</v>
      </c>
      <c r="D1578" s="0" t="n">
        <f aca="false">A1578/SUM($A1578:$C1578)</f>
        <v>0.720343087078355</v>
      </c>
      <c r="E1578" s="0" t="n">
        <f aca="false">B1578/SUM($A1578:$C1578)</f>
        <v>0.162852416820143</v>
      </c>
      <c r="F1578" s="0" t="n">
        <f aca="false">C1578/SUM($A1578:$C1578)</f>
        <v>0.116804496101502</v>
      </c>
      <c r="G1578" s="0" t="n">
        <f aca="false">SUMPRODUCT(D1578:F1578,Stats!$B$6:$D$6)</f>
        <v>0.362633182689772</v>
      </c>
      <c r="H1578" s="0" t="n">
        <f aca="false">SQRT(SUMPRODUCT(MMULT(D1578:F1578,Stats!$B$12:$D$14),D1578:F1578))</f>
        <v>0.224086696305719</v>
      </c>
      <c r="I1578" s="0" t="n">
        <f aca="false">(G1578-Stats!$B$2)/H1578</f>
        <v>1.43084434719112</v>
      </c>
    </row>
    <row r="1579" customFormat="false" ht="15" hidden="false" customHeight="false" outlineLevel="0" collapsed="false">
      <c r="A1579" s="0" t="n">
        <v>0.0676047494723832</v>
      </c>
      <c r="B1579" s="0" t="n">
        <v>0.724029188772921</v>
      </c>
      <c r="C1579" s="0" t="n">
        <v>0.928807960687885</v>
      </c>
      <c r="D1579" s="0" t="n">
        <f aca="false">A1579/SUM($A1579:$C1579)</f>
        <v>0.0392949913125828</v>
      </c>
      <c r="E1579" s="0" t="n">
        <f aca="false">B1579/SUM($A1579:$C1579)</f>
        <v>0.420839081646336</v>
      </c>
      <c r="F1579" s="0" t="n">
        <f aca="false">C1579/SUM($A1579:$C1579)</f>
        <v>0.539865927041082</v>
      </c>
      <c r="G1579" s="0" t="n">
        <f aca="false">SUMPRODUCT(D1579:F1579,Stats!$B$6:$D$6)</f>
        <v>0.365811645238087</v>
      </c>
      <c r="H1579" s="0" t="n">
        <f aca="false">SQRT(SUMPRODUCT(MMULT(D1579:F1579,Stats!$B$12:$D$14),D1579:F1579))</f>
        <v>0.241177178549841</v>
      </c>
      <c r="I1579" s="0" t="n">
        <f aca="false">(G1579-Stats!$B$2)/H1579</f>
        <v>1.34262970976406</v>
      </c>
    </row>
    <row r="1580" customFormat="false" ht="15" hidden="false" customHeight="false" outlineLevel="0" collapsed="false">
      <c r="A1580" s="0" t="n">
        <v>0.430535820913037</v>
      </c>
      <c r="B1580" s="0" t="n">
        <v>0.119140671996048</v>
      </c>
      <c r="C1580" s="0" t="n">
        <v>0.512392820732107</v>
      </c>
      <c r="D1580" s="0" t="n">
        <f aca="false">A1580/SUM($A1580:$C1580)</f>
        <v>0.405374503700696</v>
      </c>
      <c r="E1580" s="0" t="n">
        <f aca="false">B1580/SUM($A1580:$C1580)</f>
        <v>0.11217786868127</v>
      </c>
      <c r="F1580" s="0" t="n">
        <f aca="false">C1580/SUM($A1580:$C1580)</f>
        <v>0.482447627618034</v>
      </c>
      <c r="G1580" s="0" t="n">
        <f aca="false">SUMPRODUCT(D1580:F1580,Stats!$B$6:$D$6)</f>
        <v>0.349634966058819</v>
      </c>
      <c r="H1580" s="0" t="n">
        <f aca="false">SQRT(SUMPRODUCT(MMULT(D1580:F1580,Stats!$B$12:$D$14),D1580:F1580))</f>
        <v>0.224824602179799</v>
      </c>
      <c r="I1580" s="0" t="n">
        <f aca="false">(G1580-Stats!$B$2)/H1580</f>
        <v>1.36833319430404</v>
      </c>
    </row>
    <row r="1581" customFormat="false" ht="15" hidden="false" customHeight="false" outlineLevel="0" collapsed="false">
      <c r="A1581" s="0" t="n">
        <v>0.34883190745863</v>
      </c>
      <c r="B1581" s="0" t="n">
        <v>0.374824924349998</v>
      </c>
      <c r="C1581" s="0" t="n">
        <v>0.621330624155707</v>
      </c>
      <c r="D1581" s="0" t="n">
        <f aca="false">A1581/SUM($A1581:$C1581)</f>
        <v>0.259356996908587</v>
      </c>
      <c r="E1581" s="0" t="n">
        <f aca="false">B1581/SUM($A1581:$C1581)</f>
        <v>0.278682840265788</v>
      </c>
      <c r="F1581" s="0" t="n">
        <f aca="false">C1581/SUM($A1581:$C1581)</f>
        <v>0.461960162825625</v>
      </c>
      <c r="G1581" s="0" t="n">
        <f aca="false">SUMPRODUCT(D1581:F1581,Stats!$B$6:$D$6)</f>
        <v>0.359780380582382</v>
      </c>
      <c r="H1581" s="0" t="n">
        <f aca="false">SQRT(SUMPRODUCT(MMULT(D1581:F1581,Stats!$B$12:$D$14),D1581:F1581))</f>
        <v>0.229187918079217</v>
      </c>
      <c r="I1581" s="0" t="n">
        <f aca="false">(G1581-Stats!$B$2)/H1581</f>
        <v>1.38654944486447</v>
      </c>
    </row>
    <row r="1582" customFormat="false" ht="15" hidden="false" customHeight="false" outlineLevel="0" collapsed="false">
      <c r="A1582" s="0" t="n">
        <v>0.718718113262202</v>
      </c>
      <c r="B1582" s="0" t="n">
        <v>0.110603598873161</v>
      </c>
      <c r="C1582" s="0" t="n">
        <v>0.0355902308064764</v>
      </c>
      <c r="D1582" s="0" t="n">
        <f aca="false">A1582/SUM($A1582:$C1582)</f>
        <v>0.830972585275692</v>
      </c>
      <c r="E1582" s="0" t="n">
        <f aca="false">B1582/SUM($A1582:$C1582)</f>
        <v>0.127878450258142</v>
      </c>
      <c r="F1582" s="0" t="n">
        <f aca="false">C1582/SUM($A1582:$C1582)</f>
        <v>0.041148964466166</v>
      </c>
      <c r="G1582" s="0" t="n">
        <f aca="false">SUMPRODUCT(D1582:F1582,Stats!$B$6:$D$6)</f>
        <v>0.36270699810591</v>
      </c>
      <c r="H1582" s="0" t="n">
        <f aca="false">SQRT(SUMPRODUCT(MMULT(D1582:F1582,Stats!$B$12:$D$14),D1582:F1582))</f>
        <v>0.227509750874762</v>
      </c>
      <c r="I1582" s="0" t="n">
        <f aca="false">(G1582-Stats!$B$2)/H1582</f>
        <v>1.40964067198355</v>
      </c>
    </row>
    <row r="1583" customFormat="false" ht="15" hidden="false" customHeight="false" outlineLevel="0" collapsed="false">
      <c r="A1583" s="0" t="n">
        <v>0.994330302685715</v>
      </c>
      <c r="B1583" s="0" t="n">
        <v>0.232728348915552</v>
      </c>
      <c r="C1583" s="0" t="n">
        <v>0.0538305249084591</v>
      </c>
      <c r="D1583" s="0" t="n">
        <f aca="false">A1583/SUM($A1583:$C1583)</f>
        <v>0.776281290310493</v>
      </c>
      <c r="E1583" s="0" t="n">
        <f aca="false">B1583/SUM($A1583:$C1583)</f>
        <v>0.181692806203351</v>
      </c>
      <c r="F1583" s="0" t="n">
        <f aca="false">C1583/SUM($A1583:$C1583)</f>
        <v>0.0420259034861556</v>
      </c>
      <c r="G1583" s="0" t="n">
        <f aca="false">SUMPRODUCT(D1583:F1583,Stats!$B$6:$D$6)</f>
        <v>0.365779225240252</v>
      </c>
      <c r="H1583" s="0" t="n">
        <f aca="false">SQRT(SUMPRODUCT(MMULT(D1583:F1583,Stats!$B$12:$D$14),D1583:F1583))</f>
        <v>0.226648721764483</v>
      </c>
      <c r="I1583" s="0" t="n">
        <f aca="false">(G1583-Stats!$B$2)/H1583</f>
        <v>1.42855085490709</v>
      </c>
    </row>
    <row r="1584" customFormat="false" ht="15" hidden="false" customHeight="false" outlineLevel="0" collapsed="false">
      <c r="A1584" s="0" t="n">
        <v>0.18987532909592</v>
      </c>
      <c r="B1584" s="0" t="n">
        <v>0.0389578463484642</v>
      </c>
      <c r="C1584" s="0" t="n">
        <v>0.391810894617172</v>
      </c>
      <c r="D1584" s="0" t="n">
        <f aca="false">A1584/SUM($A1584:$C1584)</f>
        <v>0.305932720950815</v>
      </c>
      <c r="E1584" s="0" t="n">
        <f aca="false">B1584/SUM($A1584:$C1584)</f>
        <v>0.0627700291160445</v>
      </c>
      <c r="F1584" s="0" t="n">
        <f aca="false">C1584/SUM($A1584:$C1584)</f>
        <v>0.631297249933141</v>
      </c>
      <c r="G1584" s="0" t="n">
        <f aca="false">SUMPRODUCT(D1584:F1584,Stats!$B$6:$D$6)</f>
        <v>0.342687631832787</v>
      </c>
      <c r="H1584" s="0" t="n">
        <f aca="false">SQRT(SUMPRODUCT(MMULT(D1584:F1584,Stats!$B$12:$D$14),D1584:F1584))</f>
        <v>0.230677091559587</v>
      </c>
      <c r="I1584" s="0" t="n">
        <f aca="false">(G1584-Stats!$B$2)/H1584</f>
        <v>1.30350018634215</v>
      </c>
    </row>
    <row r="1585" customFormat="false" ht="15" hidden="false" customHeight="false" outlineLevel="0" collapsed="false">
      <c r="A1585" s="0" t="n">
        <v>0.802401784451324</v>
      </c>
      <c r="B1585" s="0" t="n">
        <v>0.341244449757721</v>
      </c>
      <c r="C1585" s="0" t="n">
        <v>0.444183406878367</v>
      </c>
      <c r="D1585" s="0" t="n">
        <f aca="false">A1585/SUM($A1585:$C1585)</f>
        <v>0.505345009116851</v>
      </c>
      <c r="E1585" s="0" t="n">
        <f aca="false">B1585/SUM($A1585:$C1585)</f>
        <v>0.214912507568521</v>
      </c>
      <c r="F1585" s="0" t="n">
        <f aca="false">C1585/SUM($A1585:$C1585)</f>
        <v>0.279742483314628</v>
      </c>
      <c r="G1585" s="0" t="n">
        <f aca="false">SUMPRODUCT(D1585:F1585,Stats!$B$6:$D$6)</f>
        <v>0.361135700603219</v>
      </c>
      <c r="H1585" s="0" t="n">
        <f aca="false">SQRT(SUMPRODUCT(MMULT(D1585:F1585,Stats!$B$12:$D$14),D1585:F1585))</f>
        <v>0.222366790836274</v>
      </c>
      <c r="I1585" s="0" t="n">
        <f aca="false">(G1585-Stats!$B$2)/H1585</f>
        <v>1.43517698574961</v>
      </c>
    </row>
    <row r="1586" customFormat="false" ht="15" hidden="false" customHeight="false" outlineLevel="0" collapsed="false">
      <c r="A1586" s="0" t="n">
        <v>0.675586773567439</v>
      </c>
      <c r="B1586" s="0" t="n">
        <v>0.50889407006988</v>
      </c>
      <c r="C1586" s="0" t="n">
        <v>0.861445686021324</v>
      </c>
      <c r="D1586" s="0" t="n">
        <f aca="false">A1586/SUM($A1586:$C1586)</f>
        <v>0.330210671680453</v>
      </c>
      <c r="E1586" s="0" t="n">
        <f aca="false">B1586/SUM($A1586:$C1586)</f>
        <v>0.248735261356031</v>
      </c>
      <c r="F1586" s="0" t="n">
        <f aca="false">C1586/SUM($A1586:$C1586)</f>
        <v>0.421054066963516</v>
      </c>
      <c r="G1586" s="0" t="n">
        <f aca="false">SUMPRODUCT(D1586:F1586,Stats!$B$6:$D$6)</f>
        <v>0.359185205512394</v>
      </c>
      <c r="H1586" s="0" t="n">
        <f aca="false">SQRT(SUMPRODUCT(MMULT(D1586:F1586,Stats!$B$12:$D$14),D1586:F1586))</f>
        <v>0.226343543345226</v>
      </c>
      <c r="I1586" s="0" t="n">
        <f aca="false">(G1586-Stats!$B$2)/H1586</f>
        <v>1.40134417277639</v>
      </c>
    </row>
    <row r="1587" customFormat="false" ht="15" hidden="false" customHeight="false" outlineLevel="0" collapsed="false">
      <c r="A1587" s="0" t="n">
        <v>0.866035675045757</v>
      </c>
      <c r="B1587" s="0" t="n">
        <v>0.00991069549115364</v>
      </c>
      <c r="C1587" s="0" t="n">
        <v>0.778046306483199</v>
      </c>
      <c r="D1587" s="0" t="n">
        <f aca="false">A1587/SUM($A1587:$C1587)</f>
        <v>0.523603089105592</v>
      </c>
      <c r="E1587" s="0" t="n">
        <f aca="false">B1587/SUM($A1587:$C1587)</f>
        <v>0.00599198269064232</v>
      </c>
      <c r="F1587" s="0" t="n">
        <f aca="false">C1587/SUM($A1587:$C1587)</f>
        <v>0.470404928203766</v>
      </c>
      <c r="G1587" s="0" t="n">
        <f aca="false">SUMPRODUCT(D1587:F1587,Stats!$B$6:$D$6)</f>
        <v>0.343857240417104</v>
      </c>
      <c r="H1587" s="0" t="n">
        <f aca="false">SQRT(SUMPRODUCT(MMULT(D1587:F1587,Stats!$B$12:$D$14),D1587:F1587))</f>
        <v>0.222823790929136</v>
      </c>
      <c r="I1587" s="0" t="n">
        <f aca="false">(G1587-Stats!$B$2)/H1587</f>
        <v>1.35469035491413</v>
      </c>
    </row>
    <row r="1588" customFormat="false" ht="15" hidden="false" customHeight="false" outlineLevel="0" collapsed="false">
      <c r="A1588" s="0" t="n">
        <v>0.460733600241674</v>
      </c>
      <c r="B1588" s="0" t="n">
        <v>0.988840541303663</v>
      </c>
      <c r="C1588" s="0" t="n">
        <v>0.483232075875435</v>
      </c>
      <c r="D1588" s="0" t="n">
        <f aca="false">A1588/SUM($A1588:$C1588)</f>
        <v>0.238375475041931</v>
      </c>
      <c r="E1588" s="0" t="n">
        <f aca="false">B1588/SUM($A1588:$C1588)</f>
        <v>0.511608733659404</v>
      </c>
      <c r="F1588" s="0" t="n">
        <f aca="false">C1588/SUM($A1588:$C1588)</f>
        <v>0.250015791298666</v>
      </c>
      <c r="G1588" s="0" t="n">
        <f aca="false">SUMPRODUCT(D1588:F1588,Stats!$B$6:$D$6)</f>
        <v>0.379026919544931</v>
      </c>
      <c r="H1588" s="0" t="n">
        <f aca="false">SQRT(SUMPRODUCT(MMULT(D1588:F1588,Stats!$B$12:$D$14),D1588:F1588))</f>
        <v>0.231259945405825</v>
      </c>
      <c r="I1588" s="0" t="n">
        <f aca="false">(G1588-Stats!$B$2)/H1588</f>
        <v>1.45735102961086</v>
      </c>
    </row>
    <row r="1589" customFormat="false" ht="15" hidden="false" customHeight="false" outlineLevel="0" collapsed="false">
      <c r="A1589" s="0" t="n">
        <v>0.986895945388298</v>
      </c>
      <c r="B1589" s="0" t="n">
        <v>0.754569361205737</v>
      </c>
      <c r="C1589" s="0" t="n">
        <v>0.248604884613306</v>
      </c>
      <c r="D1589" s="0" t="n">
        <f aca="false">A1589/SUM($A1589:$C1589)</f>
        <v>0.495910119024277</v>
      </c>
      <c r="E1589" s="0" t="n">
        <f aca="false">B1589/SUM($A1589:$C1589)</f>
        <v>0.3791672095485</v>
      </c>
      <c r="F1589" s="0" t="n">
        <f aca="false">C1589/SUM($A1589:$C1589)</f>
        <v>0.124922671427223</v>
      </c>
      <c r="G1589" s="0" t="n">
        <f aca="false">SUMPRODUCT(D1589:F1589,Stats!$B$6:$D$6)</f>
        <v>0.374855800330411</v>
      </c>
      <c r="H1589" s="0" t="n">
        <f aca="false">SQRT(SUMPRODUCT(MMULT(D1589:F1589,Stats!$B$12:$D$14),D1589:F1589))</f>
        <v>0.225369842249446</v>
      </c>
      <c r="I1589" s="0" t="n">
        <f aca="false">(G1589-Stats!$B$2)/H1589</f>
        <v>1.47693141641372</v>
      </c>
    </row>
    <row r="1590" customFormat="false" ht="15" hidden="false" customHeight="false" outlineLevel="0" collapsed="false">
      <c r="A1590" s="0" t="n">
        <v>0.538394979286958</v>
      </c>
      <c r="B1590" s="0" t="n">
        <v>0.992135639478583</v>
      </c>
      <c r="C1590" s="0" t="n">
        <v>0.857530607751924</v>
      </c>
      <c r="D1590" s="0" t="n">
        <f aca="false">A1590/SUM($A1590:$C1590)</f>
        <v>0.225452753601341</v>
      </c>
      <c r="E1590" s="0" t="n">
        <f aca="false">B1590/SUM($A1590:$C1590)</f>
        <v>0.415456533719374</v>
      </c>
      <c r="F1590" s="0" t="n">
        <f aca="false">C1590/SUM($A1590:$C1590)</f>
        <v>0.359090712679285</v>
      </c>
      <c r="G1590" s="0" t="n">
        <f aca="false">SUMPRODUCT(D1590:F1590,Stats!$B$6:$D$6)</f>
        <v>0.370486747403088</v>
      </c>
      <c r="H1590" s="0" t="n">
        <f aca="false">SQRT(SUMPRODUCT(MMULT(D1590:F1590,Stats!$B$12:$D$14),D1590:F1590))</f>
        <v>0.230555125760327</v>
      </c>
      <c r="I1590" s="0" t="n">
        <f aca="false">(G1590-Stats!$B$2)/H1590</f>
        <v>1.42476445197131</v>
      </c>
    </row>
    <row r="1591" customFormat="false" ht="15" hidden="false" customHeight="false" outlineLevel="0" collapsed="false">
      <c r="A1591" s="0" t="n">
        <v>0.0973668937912211</v>
      </c>
      <c r="B1591" s="0" t="n">
        <v>0.706371996809996</v>
      </c>
      <c r="C1591" s="0" t="n">
        <v>0.345579585870813</v>
      </c>
      <c r="D1591" s="0" t="n">
        <f aca="false">A1591/SUM($A1591:$C1591)</f>
        <v>0.0847170699718501</v>
      </c>
      <c r="E1591" s="0" t="n">
        <f aca="false">B1591/SUM($A1591:$C1591)</f>
        <v>0.614600749287777</v>
      </c>
      <c r="F1591" s="0" t="n">
        <f aca="false">C1591/SUM($A1591:$C1591)</f>
        <v>0.300682180740373</v>
      </c>
      <c r="G1591" s="0" t="n">
        <f aca="false">SUMPRODUCT(D1591:F1591,Stats!$B$6:$D$6)</f>
        <v>0.383555840622693</v>
      </c>
      <c r="H1591" s="0" t="n">
        <f aca="false">SQRT(SUMPRODUCT(MMULT(D1591:F1591,Stats!$B$12:$D$14),D1591:F1591))</f>
        <v>0.238877937327242</v>
      </c>
      <c r="I1591" s="0" t="n">
        <f aca="false">(G1591-Stats!$B$2)/H1591</f>
        <v>1.42983418412053</v>
      </c>
    </row>
    <row r="1592" customFormat="false" ht="15" hidden="false" customHeight="false" outlineLevel="0" collapsed="false">
      <c r="A1592" s="0" t="n">
        <v>0.00698226188034812</v>
      </c>
      <c r="B1592" s="0" t="n">
        <v>0.403480969027</v>
      </c>
      <c r="C1592" s="0" t="n">
        <v>0.234754421724971</v>
      </c>
      <c r="D1592" s="0" t="n">
        <f aca="false">A1592/SUM($A1592:$C1592)</f>
        <v>0.010821560525913</v>
      </c>
      <c r="E1592" s="0" t="n">
        <f aca="false">B1592/SUM($A1592:$C1592)</f>
        <v>0.625340871225242</v>
      </c>
      <c r="F1592" s="0" t="n">
        <f aca="false">C1592/SUM($A1592:$C1592)</f>
        <v>0.363837568248846</v>
      </c>
      <c r="G1592" s="0" t="n">
        <f aca="false">SUMPRODUCT(D1592:F1592,Stats!$B$6:$D$6)</f>
        <v>0.3824323278186</v>
      </c>
      <c r="H1592" s="0" t="n">
        <f aca="false">SQRT(SUMPRODUCT(MMULT(D1592:F1592,Stats!$B$12:$D$14),D1592:F1592))</f>
        <v>0.242922628671072</v>
      </c>
      <c r="I1592" s="0" t="n">
        <f aca="false">(G1592-Stats!$B$2)/H1592</f>
        <v>1.40140228879032</v>
      </c>
    </row>
    <row r="1593" customFormat="false" ht="15" hidden="false" customHeight="false" outlineLevel="0" collapsed="false">
      <c r="A1593" s="0" t="n">
        <v>0.818869270520472</v>
      </c>
      <c r="B1593" s="0" t="n">
        <v>0.337330608845766</v>
      </c>
      <c r="C1593" s="0" t="n">
        <v>0.827523693953817</v>
      </c>
      <c r="D1593" s="0" t="n">
        <f aca="false">A1593/SUM($A1593:$C1593)</f>
        <v>0.412794041233262</v>
      </c>
      <c r="E1593" s="0" t="n">
        <f aca="false">B1593/SUM($A1593:$C1593)</f>
        <v>0.170049201099724</v>
      </c>
      <c r="F1593" s="0" t="n">
        <f aca="false">C1593/SUM($A1593:$C1593)</f>
        <v>0.417156757667014</v>
      </c>
      <c r="G1593" s="0" t="n">
        <f aca="false">SUMPRODUCT(D1593:F1593,Stats!$B$6:$D$6)</f>
        <v>0.354765178251488</v>
      </c>
      <c r="H1593" s="0" t="n">
        <f aca="false">SQRT(SUMPRODUCT(MMULT(D1593:F1593,Stats!$B$12:$D$14),D1593:F1593))</f>
        <v>0.22399505581102</v>
      </c>
      <c r="I1593" s="0" t="n">
        <f aca="false">(G1593-Stats!$B$2)/H1593</f>
        <v>1.39630393679475</v>
      </c>
    </row>
    <row r="1594" customFormat="false" ht="15" hidden="false" customHeight="false" outlineLevel="0" collapsed="false">
      <c r="A1594" s="0" t="n">
        <v>0.000597938834795309</v>
      </c>
      <c r="B1594" s="0" t="n">
        <v>0.307819150026119</v>
      </c>
      <c r="C1594" s="0" t="n">
        <v>0.241165214307762</v>
      </c>
      <c r="D1594" s="0" t="n">
        <f aca="false">A1594/SUM($A1594:$C1594)</f>
        <v>0.00108798778881312</v>
      </c>
      <c r="E1594" s="0" t="n">
        <f aca="false">B1594/SUM($A1594:$C1594)</f>
        <v>0.560096546506964</v>
      </c>
      <c r="F1594" s="0" t="n">
        <f aca="false">C1594/SUM($A1594:$C1594)</f>
        <v>0.438815465704223</v>
      </c>
      <c r="G1594" s="0" t="n">
        <f aca="false">SUMPRODUCT(D1594:F1594,Stats!$B$6:$D$6)</f>
        <v>0.376610767134071</v>
      </c>
      <c r="H1594" s="0" t="n">
        <f aca="false">SQRT(SUMPRODUCT(MMULT(D1594:F1594,Stats!$B$12:$D$14),D1594:F1594))</f>
        <v>0.243163904820283</v>
      </c>
      <c r="I1594" s="0" t="n">
        <f aca="false">(G1594-Stats!$B$2)/H1594</f>
        <v>1.37607087442264</v>
      </c>
    </row>
    <row r="1595" customFormat="false" ht="15" hidden="false" customHeight="false" outlineLevel="0" collapsed="false">
      <c r="A1595" s="0" t="n">
        <v>0.233567361068611</v>
      </c>
      <c r="B1595" s="0" t="n">
        <v>0.0681866197654627</v>
      </c>
      <c r="C1595" s="0" t="n">
        <v>0.187124270410502</v>
      </c>
      <c r="D1595" s="0" t="n">
        <f aca="false">A1595/SUM($A1595:$C1595)</f>
        <v>0.477761815899972</v>
      </c>
      <c r="E1595" s="0" t="n">
        <f aca="false">B1595/SUM($A1595:$C1595)</f>
        <v>0.13947566616407</v>
      </c>
      <c r="F1595" s="0" t="n">
        <f aca="false">C1595/SUM($A1595:$C1595)</f>
        <v>0.382762517935958</v>
      </c>
      <c r="G1595" s="0" t="n">
        <f aca="false">SUMPRODUCT(D1595:F1595,Stats!$B$6:$D$6)</f>
        <v>0.353954424553706</v>
      </c>
      <c r="H1595" s="0" t="n">
        <f aca="false">SQRT(SUMPRODUCT(MMULT(D1595:F1595,Stats!$B$12:$D$14),D1595:F1595))</f>
        <v>0.22254314313682</v>
      </c>
      <c r="I1595" s="0" t="n">
        <f aca="false">(G1595-Stats!$B$2)/H1595</f>
        <v>1.40177055179775</v>
      </c>
    </row>
    <row r="1596" customFormat="false" ht="15" hidden="false" customHeight="false" outlineLevel="0" collapsed="false">
      <c r="A1596" s="0" t="n">
        <v>0.55554956988562</v>
      </c>
      <c r="B1596" s="0" t="n">
        <v>0.291361072837745</v>
      </c>
      <c r="C1596" s="0" t="n">
        <v>0.417394782329148</v>
      </c>
      <c r="D1596" s="0" t="n">
        <f aca="false">A1596/SUM($A1596:$C1596)</f>
        <v>0.439410888284803</v>
      </c>
      <c r="E1596" s="0" t="n">
        <f aca="false">B1596/SUM($A1596:$C1596)</f>
        <v>0.230451493020876</v>
      </c>
      <c r="F1596" s="0" t="n">
        <f aca="false">C1596/SUM($A1596:$C1596)</f>
        <v>0.330137618694321</v>
      </c>
      <c r="G1596" s="0" t="n">
        <f aca="false">SUMPRODUCT(D1596:F1596,Stats!$B$6:$D$6)</f>
        <v>0.360640167239325</v>
      </c>
      <c r="H1596" s="0" t="n">
        <f aca="false">SQRT(SUMPRODUCT(MMULT(D1596:F1596,Stats!$B$12:$D$14),D1596:F1596))</f>
        <v>0.223293239840262</v>
      </c>
      <c r="I1596" s="0" t="n">
        <f aca="false">(G1596-Stats!$B$2)/H1596</f>
        <v>1.42700319753196</v>
      </c>
    </row>
    <row r="1597" customFormat="false" ht="15" hidden="false" customHeight="false" outlineLevel="0" collapsed="false">
      <c r="A1597" s="0" t="n">
        <v>0.376866880347189</v>
      </c>
      <c r="B1597" s="0" t="n">
        <v>0.875904924999895</v>
      </c>
      <c r="C1597" s="0" t="n">
        <v>0.905298999010516</v>
      </c>
      <c r="D1597" s="0" t="n">
        <f aca="false">A1597/SUM($A1597:$C1597)</f>
        <v>0.174631378908521</v>
      </c>
      <c r="E1597" s="0" t="n">
        <f aca="false">B1597/SUM($A1597:$C1597)</f>
        <v>0.405874044183934</v>
      </c>
      <c r="F1597" s="0" t="n">
        <f aca="false">C1597/SUM($A1597:$C1597)</f>
        <v>0.419494576907545</v>
      </c>
      <c r="G1597" s="0" t="n">
        <f aca="false">SUMPRODUCT(D1597:F1597,Stats!$B$6:$D$6)</f>
        <v>0.368269770034046</v>
      </c>
      <c r="H1597" s="0" t="n">
        <f aca="false">SQRT(SUMPRODUCT(MMULT(D1597:F1597,Stats!$B$12:$D$14),D1597:F1597))</f>
        <v>0.232867691044725</v>
      </c>
      <c r="I1597" s="0" t="n">
        <f aca="false">(G1597-Stats!$B$2)/H1597</f>
        <v>1.4010950534627</v>
      </c>
    </row>
    <row r="1598" customFormat="false" ht="15" hidden="false" customHeight="false" outlineLevel="0" collapsed="false">
      <c r="A1598" s="0" t="n">
        <v>0.49295697165586</v>
      </c>
      <c r="B1598" s="0" t="n">
        <v>0.330155950315604</v>
      </c>
      <c r="C1598" s="0" t="n">
        <v>0.106800704002364</v>
      </c>
      <c r="D1598" s="0" t="n">
        <f aca="false">A1598/SUM($A1598:$C1598)</f>
        <v>0.530110494014564</v>
      </c>
      <c r="E1598" s="0" t="n">
        <f aca="false">B1598/SUM($A1598:$C1598)</f>
        <v>0.355039372575982</v>
      </c>
      <c r="F1598" s="0" t="n">
        <f aca="false">C1598/SUM($A1598:$C1598)</f>
        <v>0.114850133409454</v>
      </c>
      <c r="G1598" s="0" t="n">
        <f aca="false">SUMPRODUCT(D1598:F1598,Stats!$B$6:$D$6)</f>
        <v>0.373745262180799</v>
      </c>
      <c r="H1598" s="0" t="n">
        <f aca="false">SQRT(SUMPRODUCT(MMULT(D1598:F1598,Stats!$B$12:$D$14),D1598:F1598))</f>
        <v>0.225025454407624</v>
      </c>
      <c r="I1598" s="0" t="n">
        <f aca="false">(G1598-Stats!$B$2)/H1598</f>
        <v>1.47425660378784</v>
      </c>
    </row>
    <row r="1599" customFormat="false" ht="15" hidden="false" customHeight="false" outlineLevel="0" collapsed="false">
      <c r="A1599" s="0" t="n">
        <v>0.953402879382095</v>
      </c>
      <c r="B1599" s="0" t="n">
        <v>0.0602269449002975</v>
      </c>
      <c r="C1599" s="0" t="n">
        <v>0.29765027756828</v>
      </c>
      <c r="D1599" s="0" t="n">
        <f aca="false">A1599/SUM($A1599:$C1599)</f>
        <v>0.727077973681223</v>
      </c>
      <c r="E1599" s="0" t="n">
        <f aca="false">B1599/SUM($A1599:$C1599)</f>
        <v>0.045929885472445</v>
      </c>
      <c r="F1599" s="0" t="n">
        <f aca="false">C1599/SUM($A1599:$C1599)</f>
        <v>0.226992140846332</v>
      </c>
      <c r="G1599" s="0" t="n">
        <f aca="false">SUMPRODUCT(D1599:F1599,Stats!$B$6:$D$6)</f>
        <v>0.352867229642454</v>
      </c>
      <c r="H1599" s="0" t="n">
        <f aca="false">SQRT(SUMPRODUCT(MMULT(D1599:F1599,Stats!$B$12:$D$14),D1599:F1599))</f>
        <v>0.222330343634728</v>
      </c>
      <c r="I1599" s="0" t="n">
        <f aca="false">(G1599-Stats!$B$2)/H1599</f>
        <v>1.39822223345809</v>
      </c>
    </row>
    <row r="1600" customFormat="false" ht="15" hidden="false" customHeight="false" outlineLevel="0" collapsed="false">
      <c r="A1600" s="0" t="n">
        <v>0.298066201170004</v>
      </c>
      <c r="B1600" s="0" t="n">
        <v>0.320401286140215</v>
      </c>
      <c r="C1600" s="0" t="n">
        <v>0.164286843272409</v>
      </c>
      <c r="D1600" s="0" t="n">
        <f aca="false">A1600/SUM($A1600:$C1600)</f>
        <v>0.380791507021295</v>
      </c>
      <c r="E1600" s="0" t="n">
        <f aca="false">B1600/SUM($A1600:$C1600)</f>
        <v>0.409325472401705</v>
      </c>
      <c r="F1600" s="0" t="n">
        <f aca="false">C1600/SUM($A1600:$C1600)</f>
        <v>0.209883020577</v>
      </c>
      <c r="G1600" s="0" t="n">
        <f aca="false">SUMPRODUCT(D1600:F1600,Stats!$B$6:$D$6)</f>
        <v>0.374248318791572</v>
      </c>
      <c r="H1600" s="0" t="n">
        <f aca="false">SQRT(SUMPRODUCT(MMULT(D1600:F1600,Stats!$B$12:$D$14),D1600:F1600))</f>
        <v>0.226349782968663</v>
      </c>
      <c r="I1600" s="0" t="n">
        <f aca="false">(G1600-Stats!$B$2)/H1600</f>
        <v>1.46785348955943</v>
      </c>
    </row>
    <row r="1601" customFormat="false" ht="15" hidden="false" customHeight="false" outlineLevel="0" collapsed="false">
      <c r="A1601" s="0" t="n">
        <v>0.783161430923697</v>
      </c>
      <c r="B1601" s="0" t="n">
        <v>0.122497861965989</v>
      </c>
      <c r="C1601" s="0" t="n">
        <v>0.634906659153163</v>
      </c>
      <c r="D1601" s="0" t="n">
        <f aca="false">A1601/SUM($A1601:$C1601)</f>
        <v>0.508359560903703</v>
      </c>
      <c r="E1601" s="0" t="n">
        <f aca="false">B1601/SUM($A1601:$C1601)</f>
        <v>0.0795148444008855</v>
      </c>
      <c r="F1601" s="0" t="n">
        <f aca="false">C1601/SUM($A1601:$C1601)</f>
        <v>0.412125594695412</v>
      </c>
      <c r="G1601" s="0" t="n">
        <f aca="false">SUMPRODUCT(D1601:F1601,Stats!$B$6:$D$6)</f>
        <v>0.349694680927216</v>
      </c>
      <c r="H1601" s="0" t="n">
        <f aca="false">SQRT(SUMPRODUCT(MMULT(D1601:F1601,Stats!$B$12:$D$14),D1601:F1601))</f>
        <v>0.222285676552301</v>
      </c>
      <c r="I1601" s="0" t="n">
        <f aca="false">(G1601-Stats!$B$2)/H1601</f>
        <v>1.38423080469973</v>
      </c>
    </row>
    <row r="1602" customFormat="false" ht="15" hidden="false" customHeight="false" outlineLevel="0" collapsed="false">
      <c r="A1602" s="0" t="n">
        <v>0.123846026705818</v>
      </c>
      <c r="B1602" s="0" t="n">
        <v>0.0705356375929566</v>
      </c>
      <c r="C1602" s="0" t="n">
        <v>0.909429503685877</v>
      </c>
      <c r="D1602" s="0" t="n">
        <f aca="false">A1602/SUM($A1602:$C1602)</f>
        <v>0.112198562850145</v>
      </c>
      <c r="E1602" s="0" t="n">
        <f aca="false">B1602/SUM($A1602:$C1602)</f>
        <v>0.0639019060857495</v>
      </c>
      <c r="F1602" s="0" t="n">
        <f aca="false">C1602/SUM($A1602:$C1602)</f>
        <v>0.823899531064106</v>
      </c>
      <c r="G1602" s="0" t="n">
        <f aca="false">SUMPRODUCT(D1602:F1602,Stats!$B$6:$D$6)</f>
        <v>0.33744182474521</v>
      </c>
      <c r="H1602" s="0" t="n">
        <f aca="false">SQRT(SUMPRODUCT(MMULT(D1602:F1602,Stats!$B$12:$D$14),D1602:F1602))</f>
        <v>0.245250783376877</v>
      </c>
      <c r="I1602" s="0" t="n">
        <f aca="false">(G1602-Stats!$B$2)/H1602</f>
        <v>1.20465191049443</v>
      </c>
    </row>
    <row r="1603" customFormat="false" ht="15" hidden="false" customHeight="false" outlineLevel="0" collapsed="false">
      <c r="A1603" s="0" t="n">
        <v>0.190128766318706</v>
      </c>
      <c r="B1603" s="0" t="n">
        <v>0.821250154559704</v>
      </c>
      <c r="C1603" s="0" t="n">
        <v>0.544630871107136</v>
      </c>
      <c r="D1603" s="0" t="n">
        <f aca="false">A1603/SUM($A1603:$C1603)</f>
        <v>0.122189954907734</v>
      </c>
      <c r="E1603" s="0" t="n">
        <f aca="false">B1603/SUM($A1603:$C1603)</f>
        <v>0.527792407727556</v>
      </c>
      <c r="F1603" s="0" t="n">
        <f aca="false">C1603/SUM($A1603:$C1603)</f>
        <v>0.350017637364711</v>
      </c>
      <c r="G1603" s="0" t="n">
        <f aca="false">SUMPRODUCT(D1603:F1603,Stats!$B$6:$D$6)</f>
        <v>0.377200594762154</v>
      </c>
      <c r="H1603" s="0" t="n">
        <f aca="false">SQRT(SUMPRODUCT(MMULT(D1603:F1603,Stats!$B$12:$D$14),D1603:F1603))</f>
        <v>0.236013777110912</v>
      </c>
      <c r="I1603" s="0" t="n">
        <f aca="false">(G1603-Stats!$B$2)/H1603</f>
        <v>1.42025859195766</v>
      </c>
    </row>
    <row r="1604" customFormat="false" ht="15" hidden="false" customHeight="false" outlineLevel="0" collapsed="false">
      <c r="A1604" s="0" t="n">
        <v>0.0778565196087696</v>
      </c>
      <c r="B1604" s="0" t="n">
        <v>0.955448191438068</v>
      </c>
      <c r="C1604" s="0" t="n">
        <v>0.246961166991893</v>
      </c>
      <c r="D1604" s="0" t="n">
        <f aca="false">A1604/SUM($A1604:$C1604)</f>
        <v>0.0608127740841144</v>
      </c>
      <c r="E1604" s="0" t="n">
        <f aca="false">B1604/SUM($A1604:$C1604)</f>
        <v>0.746288882510672</v>
      </c>
      <c r="F1604" s="0" t="n">
        <f aca="false">C1604/SUM($A1604:$C1604)</f>
        <v>0.192898343405214</v>
      </c>
      <c r="G1604" s="0" t="n">
        <f aca="false">SUMPRODUCT(D1604:F1604,Stats!$B$6:$D$6)</f>
        <v>0.394105103226396</v>
      </c>
      <c r="H1604" s="0" t="n">
        <f aca="false">SQRT(SUMPRODUCT(MMULT(D1604:F1604,Stats!$B$12:$D$14),D1604:F1604))</f>
        <v>0.242791884913898</v>
      </c>
      <c r="I1604" s="0" t="n">
        <f aca="false">(G1604-Stats!$B$2)/H1604</f>
        <v>1.45023423394593</v>
      </c>
    </row>
    <row r="1605" customFormat="false" ht="15" hidden="false" customHeight="false" outlineLevel="0" collapsed="false">
      <c r="A1605" s="0" t="n">
        <v>0.859645345352607</v>
      </c>
      <c r="B1605" s="0" t="n">
        <v>0.168810005784564</v>
      </c>
      <c r="C1605" s="0" t="n">
        <v>0.853942882141853</v>
      </c>
      <c r="D1605" s="0" t="n">
        <f aca="false">A1605/SUM($A1605:$C1605)</f>
        <v>0.456675601450792</v>
      </c>
      <c r="E1605" s="0" t="n">
        <f aca="false">B1605/SUM($A1605:$C1605)</f>
        <v>0.0896781577883801</v>
      </c>
      <c r="F1605" s="0" t="n">
        <f aca="false">C1605/SUM($A1605:$C1605)</f>
        <v>0.453646240760828</v>
      </c>
      <c r="G1605" s="0" t="n">
        <f aca="false">SUMPRODUCT(D1605:F1605,Stats!$B$6:$D$6)</f>
        <v>0.34913454897984</v>
      </c>
      <c r="H1605" s="0" t="n">
        <f aca="false">SQRT(SUMPRODUCT(MMULT(D1605:F1605,Stats!$B$12:$D$14),D1605:F1605))</f>
        <v>0.223439679003443</v>
      </c>
      <c r="I1605" s="0" t="n">
        <f aca="false">(G1605-Stats!$B$2)/H1605</f>
        <v>1.37457478613325</v>
      </c>
    </row>
    <row r="1606" customFormat="false" ht="15" hidden="false" customHeight="false" outlineLevel="0" collapsed="false">
      <c r="A1606" s="0" t="n">
        <v>0.013228812905294</v>
      </c>
      <c r="B1606" s="0" t="n">
        <v>0.511780456569481</v>
      </c>
      <c r="C1606" s="0" t="n">
        <v>0.769442579421557</v>
      </c>
      <c r="D1606" s="0" t="n">
        <f aca="false">A1606/SUM($A1606:$C1606)</f>
        <v>0.0102196253314274</v>
      </c>
      <c r="E1606" s="0" t="n">
        <f aca="false">B1606/SUM($A1606:$C1606)</f>
        <v>0.395364614764027</v>
      </c>
      <c r="F1606" s="0" t="n">
        <f aca="false">C1606/SUM($A1606:$C1606)</f>
        <v>0.594415759904546</v>
      </c>
      <c r="G1606" s="0" t="n">
        <f aca="false">SUMPRODUCT(D1606:F1606,Stats!$B$6:$D$6)</f>
        <v>0.362841686724395</v>
      </c>
      <c r="H1606" s="0" t="n">
        <f aca="false">SQRT(SUMPRODUCT(MMULT(D1606:F1606,Stats!$B$12:$D$14),D1606:F1606))</f>
        <v>0.243742056243345</v>
      </c>
      <c r="I1606" s="0" t="n">
        <f aca="false">(G1606-Stats!$B$2)/H1606</f>
        <v>1.31631648501429</v>
      </c>
    </row>
    <row r="1607" customFormat="false" ht="15" hidden="false" customHeight="false" outlineLevel="0" collapsed="false">
      <c r="A1607" s="0" t="n">
        <v>0.934795517492783</v>
      </c>
      <c r="B1607" s="0" t="n">
        <v>0.909202136206487</v>
      </c>
      <c r="C1607" s="0" t="n">
        <v>0.819624869547645</v>
      </c>
      <c r="D1607" s="0" t="n">
        <f aca="false">A1607/SUM($A1607:$C1607)</f>
        <v>0.350948946156711</v>
      </c>
      <c r="E1607" s="0" t="n">
        <f aca="false">B1607/SUM($A1607:$C1607)</f>
        <v>0.341340459570143</v>
      </c>
      <c r="F1607" s="0" t="n">
        <f aca="false">C1607/SUM($A1607:$C1607)</f>
        <v>0.307710594273146</v>
      </c>
      <c r="G1607" s="0" t="n">
        <f aca="false">SUMPRODUCT(D1607:F1607,Stats!$B$6:$D$6)</f>
        <v>0.367638991426316</v>
      </c>
      <c r="H1607" s="0" t="n">
        <f aca="false">SQRT(SUMPRODUCT(MMULT(D1607:F1607,Stats!$B$12:$D$14),D1607:F1607))</f>
        <v>0.225903869721956</v>
      </c>
      <c r="I1607" s="0" t="n">
        <f aca="false">(G1607-Stats!$B$2)/H1607</f>
        <v>1.44149363987043</v>
      </c>
    </row>
    <row r="1608" customFormat="false" ht="15" hidden="false" customHeight="false" outlineLevel="0" collapsed="false">
      <c r="A1608" s="0" t="n">
        <v>0.888191349661304</v>
      </c>
      <c r="B1608" s="0" t="n">
        <v>0.199219685837077</v>
      </c>
      <c r="C1608" s="0" t="n">
        <v>0.284184295711729</v>
      </c>
      <c r="D1608" s="0" t="n">
        <f aca="false">A1608/SUM($A1608:$C1608)</f>
        <v>0.647560785204543</v>
      </c>
      <c r="E1608" s="0" t="n">
        <f aca="false">B1608/SUM($A1608:$C1608)</f>
        <v>0.145246692886678</v>
      </c>
      <c r="F1608" s="0" t="n">
        <f aca="false">C1608/SUM($A1608:$C1608)</f>
        <v>0.207192521908778</v>
      </c>
      <c r="G1608" s="0" t="n">
        <f aca="false">SUMPRODUCT(D1608:F1608,Stats!$B$6:$D$6)</f>
        <v>0.35912775707471</v>
      </c>
      <c r="H1608" s="0" t="n">
        <f aca="false">SQRT(SUMPRODUCT(MMULT(D1608:F1608,Stats!$B$12:$D$14),D1608:F1608))</f>
        <v>0.222119623869879</v>
      </c>
      <c r="I1608" s="0" t="n">
        <f aca="false">(G1608-Stats!$B$2)/H1608</f>
        <v>1.42773408107556</v>
      </c>
    </row>
    <row r="1609" customFormat="false" ht="15" hidden="false" customHeight="false" outlineLevel="0" collapsed="false">
      <c r="A1609" s="0" t="n">
        <v>0.288968524921059</v>
      </c>
      <c r="B1609" s="0" t="n">
        <v>0.377053931001699</v>
      </c>
      <c r="C1609" s="0" t="n">
        <v>0.393320670385189</v>
      </c>
      <c r="D1609" s="0" t="n">
        <f aca="false">A1609/SUM($A1609:$C1609)</f>
        <v>0.272780856121831</v>
      </c>
      <c r="E1609" s="0" t="n">
        <f aca="false">B1609/SUM($A1609:$C1609)</f>
        <v>0.355931823823522</v>
      </c>
      <c r="F1609" s="0" t="n">
        <f aca="false">C1609/SUM($A1609:$C1609)</f>
        <v>0.371287320054647</v>
      </c>
      <c r="G1609" s="0" t="n">
        <f aca="false">SUMPRODUCT(D1609:F1609,Stats!$B$6:$D$6)</f>
        <v>0.366725455879692</v>
      </c>
      <c r="H1609" s="0" t="n">
        <f aca="false">SQRT(SUMPRODUCT(MMULT(D1609:F1609,Stats!$B$12:$D$14),D1609:F1609))</f>
        <v>0.22843221964907</v>
      </c>
      <c r="I1609" s="0" t="n">
        <f aca="false">(G1609-Stats!$B$2)/H1609</f>
        <v>1.42153964260625</v>
      </c>
    </row>
    <row r="1610" customFormat="false" ht="15" hidden="false" customHeight="false" outlineLevel="0" collapsed="false">
      <c r="A1610" s="0" t="n">
        <v>0.544555324654676</v>
      </c>
      <c r="B1610" s="0" t="n">
        <v>0.159879763366441</v>
      </c>
      <c r="C1610" s="0" t="n">
        <v>0.691246663785989</v>
      </c>
      <c r="D1610" s="0" t="n">
        <f aca="false">A1610/SUM($A1610:$C1610)</f>
        <v>0.390171558773763</v>
      </c>
      <c r="E1610" s="0" t="n">
        <f aca="false">B1610/SUM($A1610:$C1610)</f>
        <v>0.114553165977438</v>
      </c>
      <c r="F1610" s="0" t="n">
        <f aca="false">C1610/SUM($A1610:$C1610)</f>
        <v>0.495275275248798</v>
      </c>
      <c r="G1610" s="0" t="n">
        <f aca="false">SUMPRODUCT(D1610:F1610,Stats!$B$6:$D$6)</f>
        <v>0.349417920141308</v>
      </c>
      <c r="H1610" s="0" t="n">
        <f aca="false">SQRT(SUMPRODUCT(MMULT(D1610:F1610,Stats!$B$12:$D$14),D1610:F1610))</f>
        <v>0.225364970951633</v>
      </c>
      <c r="I1610" s="0" t="n">
        <f aca="false">(G1610-Stats!$B$2)/H1610</f>
        <v>1.36408918761063</v>
      </c>
    </row>
    <row r="1611" customFormat="false" ht="15" hidden="false" customHeight="false" outlineLevel="0" collapsed="false">
      <c r="A1611" s="0" t="n">
        <v>0.167566539304507</v>
      </c>
      <c r="B1611" s="0" t="n">
        <v>0.310308482104548</v>
      </c>
      <c r="C1611" s="0" t="n">
        <v>0.503345130606154</v>
      </c>
      <c r="D1611" s="0" t="n">
        <f aca="false">A1611/SUM($A1611:$C1611)</f>
        <v>0.170773642347604</v>
      </c>
      <c r="E1611" s="0" t="n">
        <f aca="false">B1611/SUM($A1611:$C1611)</f>
        <v>0.316247563268287</v>
      </c>
      <c r="F1611" s="0" t="n">
        <f aca="false">C1611/SUM($A1611:$C1611)</f>
        <v>0.51297879438411</v>
      </c>
      <c r="G1611" s="0" t="n">
        <f aca="false">SUMPRODUCT(D1611:F1611,Stats!$B$6:$D$6)</f>
        <v>0.360534986982448</v>
      </c>
      <c r="H1611" s="0" t="n">
        <f aca="false">SQRT(SUMPRODUCT(MMULT(D1611:F1611,Stats!$B$12:$D$14),D1611:F1611))</f>
        <v>0.233614039907977</v>
      </c>
      <c r="I1611" s="0" t="n">
        <f aca="false">(G1611-Stats!$B$2)/H1611</f>
        <v>1.36350960373753</v>
      </c>
    </row>
    <row r="1612" customFormat="false" ht="15" hidden="false" customHeight="false" outlineLevel="0" collapsed="false">
      <c r="A1612" s="0" t="n">
        <v>0.796440561523477</v>
      </c>
      <c r="B1612" s="0" t="n">
        <v>0.739469233238727</v>
      </c>
      <c r="C1612" s="0" t="n">
        <v>0.645534356410522</v>
      </c>
      <c r="D1612" s="0" t="n">
        <f aca="false">A1612/SUM($A1612:$C1612)</f>
        <v>0.365097846348859</v>
      </c>
      <c r="E1612" s="0" t="n">
        <f aca="false">B1612/SUM($A1612:$C1612)</f>
        <v>0.338981510409604</v>
      </c>
      <c r="F1612" s="0" t="n">
        <f aca="false">C1612/SUM($A1612:$C1612)</f>
        <v>0.295920643241537</v>
      </c>
      <c r="G1612" s="0" t="n">
        <f aca="false">SUMPRODUCT(D1612:F1612,Stats!$B$6:$D$6)</f>
        <v>0.36782836390979</v>
      </c>
      <c r="H1612" s="0" t="n">
        <f aca="false">SQRT(SUMPRODUCT(MMULT(D1612:F1612,Stats!$B$12:$D$14),D1612:F1612))</f>
        <v>0.225552716547271</v>
      </c>
      <c r="I1612" s="0" t="n">
        <f aca="false">(G1612-Stats!$B$2)/H1612</f>
        <v>1.44457743137624</v>
      </c>
    </row>
    <row r="1613" customFormat="false" ht="15" hidden="false" customHeight="false" outlineLevel="0" collapsed="false">
      <c r="A1613" s="0" t="n">
        <v>0.15577326058017</v>
      </c>
      <c r="B1613" s="0" t="n">
        <v>0.547045345615578</v>
      </c>
      <c r="C1613" s="0" t="n">
        <v>0.0874465017998855</v>
      </c>
      <c r="D1613" s="0" t="n">
        <f aca="false">A1613/SUM($A1613:$C1613)</f>
        <v>0.197115194640519</v>
      </c>
      <c r="E1613" s="0" t="n">
        <f aca="false">B1613/SUM($A1613:$C1613)</f>
        <v>0.692230164385039</v>
      </c>
      <c r="F1613" s="0" t="n">
        <f aca="false">C1613/SUM($A1613:$C1613)</f>
        <v>0.110654640974442</v>
      </c>
      <c r="G1613" s="0" t="n">
        <f aca="false">SUMPRODUCT(D1613:F1613,Stats!$B$6:$D$6)</f>
        <v>0.393262473014214</v>
      </c>
      <c r="H1613" s="0" t="n">
        <f aca="false">SQRT(SUMPRODUCT(MMULT(D1613:F1613,Stats!$B$12:$D$14),D1613:F1613))</f>
        <v>0.23712395996148</v>
      </c>
      <c r="I1613" s="0" t="n">
        <f aca="false">(G1613-Stats!$B$2)/H1613</f>
        <v>1.48134533967498</v>
      </c>
    </row>
    <row r="1614" customFormat="false" ht="15" hidden="false" customHeight="false" outlineLevel="0" collapsed="false">
      <c r="A1614" s="0" t="n">
        <v>0.377363176796651</v>
      </c>
      <c r="B1614" s="0" t="n">
        <v>0.413516530289959</v>
      </c>
      <c r="C1614" s="0" t="n">
        <v>0.0398114394457538</v>
      </c>
      <c r="D1614" s="0" t="n">
        <f aca="false">A1614/SUM($A1614:$C1614)</f>
        <v>0.454276151096488</v>
      </c>
      <c r="E1614" s="0" t="n">
        <f aca="false">B1614/SUM($A1614:$C1614)</f>
        <v>0.497798167244399</v>
      </c>
      <c r="F1614" s="0" t="n">
        <f aca="false">C1614/SUM($A1614:$C1614)</f>
        <v>0.0479256816591132</v>
      </c>
      <c r="G1614" s="0" t="n">
        <f aca="false">SUMPRODUCT(D1614:F1614,Stats!$B$6:$D$6)</f>
        <v>0.383804834473446</v>
      </c>
      <c r="H1614" s="0" t="n">
        <f aca="false">SQRT(SUMPRODUCT(MMULT(D1614:F1614,Stats!$B$12:$D$14),D1614:F1614))</f>
        <v>0.228885627815322</v>
      </c>
      <c r="I1614" s="0" t="n">
        <f aca="false">(G1614-Stats!$B$2)/H1614</f>
        <v>1.49334336863314</v>
      </c>
    </row>
    <row r="1615" customFormat="false" ht="15" hidden="false" customHeight="false" outlineLevel="0" collapsed="false">
      <c r="A1615" s="0" t="n">
        <v>0.273988099469972</v>
      </c>
      <c r="B1615" s="0" t="n">
        <v>0.955649467266489</v>
      </c>
      <c r="C1615" s="0" t="n">
        <v>0.95363260782969</v>
      </c>
      <c r="D1615" s="0" t="n">
        <f aca="false">A1615/SUM($A1615:$C1615)</f>
        <v>0.12549436284239</v>
      </c>
      <c r="E1615" s="0" t="n">
        <f aca="false">B1615/SUM($A1615:$C1615)</f>
        <v>0.437714708147099</v>
      </c>
      <c r="F1615" s="0" t="n">
        <f aca="false">C1615/SUM($A1615:$C1615)</f>
        <v>0.436790929010511</v>
      </c>
      <c r="G1615" s="0" t="n">
        <f aca="false">SUMPRODUCT(D1615:F1615,Stats!$B$6:$D$6)</f>
        <v>0.369624900371209</v>
      </c>
      <c r="H1615" s="0" t="n">
        <f aca="false">SQRT(SUMPRODUCT(MMULT(D1615:F1615,Stats!$B$12:$D$14),D1615:F1615))</f>
        <v>0.235488382975592</v>
      </c>
      <c r="I1615" s="0" t="n">
        <f aca="false">(G1615-Stats!$B$2)/H1615</f>
        <v>1.39125716619816</v>
      </c>
    </row>
    <row r="1616" customFormat="false" ht="15" hidden="false" customHeight="false" outlineLevel="0" collapsed="false">
      <c r="A1616" s="0" t="n">
        <v>0.352327054252539</v>
      </c>
      <c r="B1616" s="0" t="n">
        <v>0.0431001089483241</v>
      </c>
      <c r="C1616" s="0" t="n">
        <v>0.179094939328182</v>
      </c>
      <c r="D1616" s="0" t="n">
        <f aca="false">A1616/SUM($A1616:$C1616)</f>
        <v>0.613252393078694</v>
      </c>
      <c r="E1616" s="0" t="n">
        <f aca="false">B1616/SUM($A1616:$C1616)</f>
        <v>0.075019061509727</v>
      </c>
      <c r="F1616" s="0" t="n">
        <f aca="false">C1616/SUM($A1616:$C1616)</f>
        <v>0.31172854541158</v>
      </c>
      <c r="G1616" s="0" t="n">
        <f aca="false">SUMPRODUCT(D1616:F1616,Stats!$B$6:$D$6)</f>
        <v>0.352204409417703</v>
      </c>
      <c r="H1616" s="0" t="n">
        <f aca="false">SQRT(SUMPRODUCT(MMULT(D1616:F1616,Stats!$B$12:$D$14),D1616:F1616))</f>
        <v>0.221297815308836</v>
      </c>
      <c r="I1616" s="0" t="n">
        <f aca="false">(G1616-Stats!$B$2)/H1616</f>
        <v>1.40175088933793</v>
      </c>
    </row>
    <row r="1617" customFormat="false" ht="15" hidden="false" customHeight="false" outlineLevel="0" collapsed="false">
      <c r="A1617" s="0" t="n">
        <v>0.39221779343354</v>
      </c>
      <c r="B1617" s="0" t="n">
        <v>0.94777969796923</v>
      </c>
      <c r="C1617" s="0" t="n">
        <v>0.141199063537185</v>
      </c>
      <c r="D1617" s="0" t="n">
        <f aca="false">A1617/SUM($A1617:$C1617)</f>
        <v>0.264797937941086</v>
      </c>
      <c r="E1617" s="0" t="n">
        <f aca="false">B1617/SUM($A1617:$C1617)</f>
        <v>0.639874360231449</v>
      </c>
      <c r="F1617" s="0" t="n">
        <f aca="false">C1617/SUM($A1617:$C1617)</f>
        <v>0.0953277018274653</v>
      </c>
      <c r="G1617" s="0" t="n">
        <f aca="false">SUMPRODUCT(D1617:F1617,Stats!$B$6:$D$6)</f>
        <v>0.390672622257935</v>
      </c>
      <c r="H1617" s="0" t="n">
        <f aca="false">SQRT(SUMPRODUCT(MMULT(D1617:F1617,Stats!$B$12:$D$14),D1617:F1617))</f>
        <v>0.234215527615223</v>
      </c>
      <c r="I1617" s="0" t="n">
        <f aca="false">(G1617-Stats!$B$2)/H1617</f>
        <v>1.48868277781628</v>
      </c>
    </row>
    <row r="1618" customFormat="false" ht="15" hidden="false" customHeight="false" outlineLevel="0" collapsed="false">
      <c r="A1618" s="0" t="n">
        <v>0.763515843668212</v>
      </c>
      <c r="B1618" s="0" t="n">
        <v>0.108682539374692</v>
      </c>
      <c r="C1618" s="0" t="n">
        <v>0.981257577391277</v>
      </c>
      <c r="D1618" s="0" t="n">
        <f aca="false">A1618/SUM($A1618:$C1618)</f>
        <v>0.41194172398321</v>
      </c>
      <c r="E1618" s="0" t="n">
        <f aca="false">B1618/SUM($A1618:$C1618)</f>
        <v>0.0586377781262376</v>
      </c>
      <c r="F1618" s="0" t="n">
        <f aca="false">C1618/SUM($A1618:$C1618)</f>
        <v>0.529420497890553</v>
      </c>
      <c r="G1618" s="0" t="n">
        <f aca="false">SUMPRODUCT(D1618:F1618,Stats!$B$6:$D$6)</f>
        <v>0.345259079712817</v>
      </c>
      <c r="H1618" s="0" t="n">
        <f aca="false">SQRT(SUMPRODUCT(MMULT(D1618:F1618,Stats!$B$12:$D$14),D1618:F1618))</f>
        <v>0.225482303178318</v>
      </c>
      <c r="I1618" s="0" t="n">
        <f aca="false">(G1618-Stats!$B$2)/H1618</f>
        <v>1.34493516980351</v>
      </c>
    </row>
    <row r="1619" customFormat="false" ht="15" hidden="false" customHeight="false" outlineLevel="0" collapsed="false">
      <c r="A1619" s="0" t="n">
        <v>0.381616499109135</v>
      </c>
      <c r="B1619" s="0" t="n">
        <v>0.775234538899056</v>
      </c>
      <c r="C1619" s="0" t="n">
        <v>0.342591082811132</v>
      </c>
      <c r="D1619" s="0" t="n">
        <f aca="false">A1619/SUM($A1619:$C1619)</f>
        <v>0.254505655010287</v>
      </c>
      <c r="E1619" s="0" t="n">
        <f aca="false">B1619/SUM($A1619:$C1619)</f>
        <v>0.51701531398588</v>
      </c>
      <c r="F1619" s="0" t="n">
        <f aca="false">C1619/SUM($A1619:$C1619)</f>
        <v>0.228479031003833</v>
      </c>
      <c r="G1619" s="0" t="n">
        <f aca="false">SUMPRODUCT(D1619:F1619,Stats!$B$6:$D$6)</f>
        <v>0.379931875060973</v>
      </c>
      <c r="H1619" s="0" t="n">
        <f aca="false">SQRT(SUMPRODUCT(MMULT(D1619:F1619,Stats!$B$12:$D$14),D1619:F1619))</f>
        <v>0.230924874158408</v>
      </c>
      <c r="I1619" s="0" t="n">
        <f aca="false">(G1619-Stats!$B$2)/H1619</f>
        <v>1.4633844720823</v>
      </c>
    </row>
    <row r="1620" customFormat="false" ht="15" hidden="false" customHeight="false" outlineLevel="0" collapsed="false">
      <c r="A1620" s="0" t="n">
        <v>0.627668877158809</v>
      </c>
      <c r="B1620" s="0" t="n">
        <v>0.192016084740037</v>
      </c>
      <c r="C1620" s="0" t="n">
        <v>0.146021019296963</v>
      </c>
      <c r="D1620" s="0" t="n">
        <f aca="false">A1620/SUM($A1620:$C1620)</f>
        <v>0.64995856852992</v>
      </c>
      <c r="E1620" s="0" t="n">
        <f aca="false">B1620/SUM($A1620:$C1620)</f>
        <v>0.198834933695107</v>
      </c>
      <c r="F1620" s="0" t="n">
        <f aca="false">C1620/SUM($A1620:$C1620)</f>
        <v>0.151206497774973</v>
      </c>
      <c r="G1620" s="0" t="n">
        <f aca="false">SUMPRODUCT(D1620:F1620,Stats!$B$6:$D$6)</f>
        <v>0.363754948175056</v>
      </c>
      <c r="H1620" s="0" t="n">
        <f aca="false">SQRT(SUMPRODUCT(MMULT(D1620:F1620,Stats!$B$12:$D$14),D1620:F1620))</f>
        <v>0.223100491728711</v>
      </c>
      <c r="I1620" s="0" t="n">
        <f aca="false">(G1620-Stats!$B$2)/H1620</f>
        <v>1.4421973958099</v>
      </c>
    </row>
    <row r="1621" customFormat="false" ht="15" hidden="false" customHeight="false" outlineLevel="0" collapsed="false">
      <c r="A1621" s="0" t="n">
        <v>0.938064139568131</v>
      </c>
      <c r="B1621" s="0" t="n">
        <v>0.917647277904434</v>
      </c>
      <c r="C1621" s="0" t="n">
        <v>0.887468940212882</v>
      </c>
      <c r="D1621" s="0" t="n">
        <f aca="false">A1621/SUM($A1621:$C1621)</f>
        <v>0.341962254483194</v>
      </c>
      <c r="E1621" s="0" t="n">
        <f aca="false">B1621/SUM($A1621:$C1621)</f>
        <v>0.334519484048324</v>
      </c>
      <c r="F1621" s="0" t="n">
        <f aca="false">C1621/SUM($A1621:$C1621)</f>
        <v>0.323518261468481</v>
      </c>
      <c r="G1621" s="0" t="n">
        <f aca="false">SUMPRODUCT(D1621:F1621,Stats!$B$6:$D$6)</f>
        <v>0.366810630980044</v>
      </c>
      <c r="H1621" s="0" t="n">
        <f aca="false">SQRT(SUMPRODUCT(MMULT(D1621:F1621,Stats!$B$12:$D$14),D1621:F1621))</f>
        <v>0.226079771082774</v>
      </c>
      <c r="I1621" s="0" t="n">
        <f aca="false">(G1621-Stats!$B$2)/H1621</f>
        <v>1.43670806735346</v>
      </c>
    </row>
    <row r="1622" customFormat="false" ht="15" hidden="false" customHeight="false" outlineLevel="0" collapsed="false">
      <c r="A1622" s="0" t="n">
        <v>0.625433450166594</v>
      </c>
      <c r="B1622" s="0" t="n">
        <v>0.808268211216278</v>
      </c>
      <c r="C1622" s="0" t="n">
        <v>0.0690369369113749</v>
      </c>
      <c r="D1622" s="0" t="n">
        <f aca="false">A1622/SUM($A1622:$C1622)</f>
        <v>0.416195771424598</v>
      </c>
      <c r="E1622" s="0" t="n">
        <f aca="false">B1622/SUM($A1622:$C1622)</f>
        <v>0.537863479472571</v>
      </c>
      <c r="F1622" s="0" t="n">
        <f aca="false">C1622/SUM($A1622:$C1622)</f>
        <v>0.0459407491028303</v>
      </c>
      <c r="G1622" s="0" t="n">
        <f aca="false">SUMPRODUCT(D1622:F1622,Stats!$B$6:$D$6)</f>
        <v>0.38616487443533</v>
      </c>
      <c r="H1622" s="0" t="n">
        <f aca="false">SQRT(SUMPRODUCT(MMULT(D1622:F1622,Stats!$B$12:$D$14),D1622:F1622))</f>
        <v>0.230072639616594</v>
      </c>
      <c r="I1622" s="0" t="n">
        <f aca="false">(G1622-Stats!$B$2)/H1622</f>
        <v>1.49589657861476</v>
      </c>
    </row>
    <row r="1623" customFormat="false" ht="15" hidden="false" customHeight="false" outlineLevel="0" collapsed="false">
      <c r="A1623" s="0" t="n">
        <v>0.334789041890679</v>
      </c>
      <c r="B1623" s="0" t="n">
        <v>0.313703124757156</v>
      </c>
      <c r="C1623" s="0" t="n">
        <v>0.635645321952613</v>
      </c>
      <c r="D1623" s="0" t="n">
        <f aca="false">A1623/SUM($A1623:$C1623)</f>
        <v>0.260711212672062</v>
      </c>
      <c r="E1623" s="0" t="n">
        <f aca="false">B1623/SUM($A1623:$C1623)</f>
        <v>0.2442909170879</v>
      </c>
      <c r="F1623" s="0" t="n">
        <f aca="false">C1623/SUM($A1623:$C1623)</f>
        <v>0.494997870240038</v>
      </c>
      <c r="G1623" s="0" t="n">
        <f aca="false">SUMPRODUCT(D1623:F1623,Stats!$B$6:$D$6)</f>
        <v>0.356890511760339</v>
      </c>
      <c r="H1623" s="0" t="n">
        <f aca="false">SQRT(SUMPRODUCT(MMULT(D1623:F1623,Stats!$B$12:$D$14),D1623:F1623))</f>
        <v>0.229454097812209</v>
      </c>
      <c r="I1623" s="0" t="n">
        <f aca="false">(G1623-Stats!$B$2)/H1623</f>
        <v>1.37234642903634</v>
      </c>
    </row>
    <row r="1624" customFormat="false" ht="15" hidden="false" customHeight="false" outlineLevel="0" collapsed="false">
      <c r="A1624" s="0" t="n">
        <v>0.355957773470641</v>
      </c>
      <c r="B1624" s="0" t="n">
        <v>0.148506781643681</v>
      </c>
      <c r="C1624" s="0" t="n">
        <v>0.596467075413544</v>
      </c>
      <c r="D1624" s="0" t="n">
        <f aca="false">A1624/SUM($A1624:$C1624)</f>
        <v>0.323324140755197</v>
      </c>
      <c r="E1624" s="0" t="n">
        <f aca="false">B1624/SUM($A1624:$C1624)</f>
        <v>0.134891920193515</v>
      </c>
      <c r="F1624" s="0" t="n">
        <f aca="false">C1624/SUM($A1624:$C1624)</f>
        <v>0.541783939051288</v>
      </c>
      <c r="G1624" s="0" t="n">
        <f aca="false">SUMPRODUCT(D1624:F1624,Stats!$B$6:$D$6)</f>
        <v>0.349305727218785</v>
      </c>
      <c r="H1624" s="0" t="n">
        <f aca="false">SQRT(SUMPRODUCT(MMULT(D1624:F1624,Stats!$B$12:$D$14),D1624:F1624))</f>
        <v>0.227987419238525</v>
      </c>
      <c r="I1624" s="0" t="n">
        <f aca="false">(G1624-Stats!$B$2)/H1624</f>
        <v>1.34790651275927</v>
      </c>
    </row>
    <row r="1625" customFormat="false" ht="15" hidden="false" customHeight="false" outlineLevel="0" collapsed="false">
      <c r="A1625" s="0" t="n">
        <v>0.814383920669082</v>
      </c>
      <c r="B1625" s="0" t="n">
        <v>0.382123494459973</v>
      </c>
      <c r="C1625" s="0" t="n">
        <v>0.132268715098482</v>
      </c>
      <c r="D1625" s="0" t="n">
        <f aca="false">A1625/SUM($A1625:$C1625)</f>
        <v>0.612882713756777</v>
      </c>
      <c r="E1625" s="0" t="n">
        <f aca="false">B1625/SUM($A1625:$C1625)</f>
        <v>0.287575525904833</v>
      </c>
      <c r="F1625" s="0" t="n">
        <f aca="false">C1625/SUM($A1625:$C1625)</f>
        <v>0.0995417603383892</v>
      </c>
      <c r="G1625" s="0" t="n">
        <f aca="false">SUMPRODUCT(D1625:F1625,Stats!$B$6:$D$6)</f>
        <v>0.370285602259614</v>
      </c>
      <c r="H1625" s="0" t="n">
        <f aca="false">SQRT(SUMPRODUCT(MMULT(D1625:F1625,Stats!$B$12:$D$14),D1625:F1625))</f>
        <v>0.224505986789104</v>
      </c>
      <c r="I1625" s="0" t="n">
        <f aca="false">(G1625-Stats!$B$2)/H1625</f>
        <v>1.46225767497238</v>
      </c>
    </row>
    <row r="1626" customFormat="false" ht="15" hidden="false" customHeight="false" outlineLevel="0" collapsed="false">
      <c r="A1626" s="0" t="n">
        <v>0.196688197312823</v>
      </c>
      <c r="B1626" s="0" t="n">
        <v>0.237483305169384</v>
      </c>
      <c r="C1626" s="0" t="n">
        <v>0.299897592994536</v>
      </c>
      <c r="D1626" s="0" t="n">
        <f aca="false">A1626/SUM($A1626:$C1626)</f>
        <v>0.267942348376733</v>
      </c>
      <c r="E1626" s="0" t="n">
        <f aca="false">B1626/SUM($A1626:$C1626)</f>
        <v>0.323516282912237</v>
      </c>
      <c r="F1626" s="0" t="n">
        <f aca="false">C1626/SUM($A1626:$C1626)</f>
        <v>0.40854136871103</v>
      </c>
      <c r="G1626" s="0" t="n">
        <f aca="false">SUMPRODUCT(D1626:F1626,Stats!$B$6:$D$6)</f>
        <v>0.363833041547231</v>
      </c>
      <c r="H1626" s="0" t="n">
        <f aca="false">SQRT(SUMPRODUCT(MMULT(D1626:F1626,Stats!$B$12:$D$14),D1626:F1626))</f>
        <v>0.228599138569271</v>
      </c>
      <c r="I1626" s="0" t="n">
        <f aca="false">(G1626-Stats!$B$2)/H1626</f>
        <v>1.40784888150271</v>
      </c>
    </row>
    <row r="1627" customFormat="false" ht="15" hidden="false" customHeight="false" outlineLevel="0" collapsed="false">
      <c r="A1627" s="0" t="n">
        <v>0.642795070506309</v>
      </c>
      <c r="B1627" s="0" t="n">
        <v>0.600945484537719</v>
      </c>
      <c r="C1627" s="0" t="n">
        <v>0.696079861567039</v>
      </c>
      <c r="D1627" s="0" t="n">
        <f aca="false">A1627/SUM($A1627:$C1627)</f>
        <v>0.331368339564801</v>
      </c>
      <c r="E1627" s="0" t="n">
        <f aca="false">B1627/SUM($A1627:$C1627)</f>
        <v>0.30979439096099</v>
      </c>
      <c r="F1627" s="0" t="n">
        <f aca="false">C1627/SUM($A1627:$C1627)</f>
        <v>0.35883726947421</v>
      </c>
      <c r="G1627" s="0" t="n">
        <f aca="false">SUMPRODUCT(D1627:F1627,Stats!$B$6:$D$6)</f>
        <v>0.364414073063507</v>
      </c>
      <c r="H1627" s="0" t="n">
        <f aca="false">SQRT(SUMPRODUCT(MMULT(D1627:F1627,Stats!$B$12:$D$14),D1627:F1627))</f>
        <v>0.226260932096027</v>
      </c>
      <c r="I1627" s="0" t="n">
        <f aca="false">(G1627-Stats!$B$2)/H1627</f>
        <v>1.42496572464694</v>
      </c>
    </row>
    <row r="1628" customFormat="false" ht="15" hidden="false" customHeight="false" outlineLevel="0" collapsed="false">
      <c r="A1628" s="0" t="n">
        <v>0.362501984531513</v>
      </c>
      <c r="B1628" s="0" t="n">
        <v>0.823997651879978</v>
      </c>
      <c r="C1628" s="0" t="n">
        <v>0.20408766115576</v>
      </c>
      <c r="D1628" s="0" t="n">
        <f aca="false">A1628/SUM($A1628:$C1628)</f>
        <v>0.260682651974233</v>
      </c>
      <c r="E1628" s="0" t="n">
        <f aca="false">B1628/SUM($A1628:$C1628)</f>
        <v>0.592553702541014</v>
      </c>
      <c r="F1628" s="0" t="n">
        <f aca="false">C1628/SUM($A1628:$C1628)</f>
        <v>0.146763645484753</v>
      </c>
      <c r="G1628" s="0" t="n">
        <f aca="false">SUMPRODUCT(D1628:F1628,Stats!$B$6:$D$6)</f>
        <v>0.386531526497311</v>
      </c>
      <c r="H1628" s="0" t="n">
        <f aca="false">SQRT(SUMPRODUCT(MMULT(D1628:F1628,Stats!$B$12:$D$14),D1628:F1628))</f>
        <v>0.232711711060524</v>
      </c>
      <c r="I1628" s="0" t="n">
        <f aca="false">(G1628-Stats!$B$2)/H1628</f>
        <v>1.48050789935409</v>
      </c>
    </row>
    <row r="1629" customFormat="false" ht="15" hidden="false" customHeight="false" outlineLevel="0" collapsed="false">
      <c r="A1629" s="0" t="n">
        <v>0.469040747518154</v>
      </c>
      <c r="B1629" s="0" t="n">
        <v>0.80093872154143</v>
      </c>
      <c r="C1629" s="0" t="n">
        <v>0.180158647732619</v>
      </c>
      <c r="D1629" s="0" t="n">
        <f aca="false">A1629/SUM($A1629:$C1629)</f>
        <v>0.323445568450888</v>
      </c>
      <c r="E1629" s="0" t="n">
        <f aca="false">B1629/SUM($A1629:$C1629)</f>
        <v>0.552318922085268</v>
      </c>
      <c r="F1629" s="0" t="n">
        <f aca="false">C1629/SUM($A1629:$C1629)</f>
        <v>0.124235509463844</v>
      </c>
      <c r="G1629" s="0" t="n">
        <f aca="false">SUMPRODUCT(D1629:F1629,Stats!$B$6:$D$6)</f>
        <v>0.384837673990744</v>
      </c>
      <c r="H1629" s="0" t="n">
        <f aca="false">SQRT(SUMPRODUCT(MMULT(D1629:F1629,Stats!$B$12:$D$14),D1629:F1629))</f>
        <v>0.230655695860154</v>
      </c>
      <c r="I1629" s="0" t="n">
        <f aca="false">(G1629-Stats!$B$2)/H1629</f>
        <v>1.48636118744974</v>
      </c>
    </row>
    <row r="1630" customFormat="false" ht="15" hidden="false" customHeight="false" outlineLevel="0" collapsed="false">
      <c r="A1630" s="0" t="n">
        <v>0.109863113740783</v>
      </c>
      <c r="B1630" s="0" t="n">
        <v>0.88368396768799</v>
      </c>
      <c r="C1630" s="0" t="n">
        <v>0.342929662759196</v>
      </c>
      <c r="D1630" s="0" t="n">
        <f aca="false">A1630/SUM($A1630:$C1630)</f>
        <v>0.0822035356908023</v>
      </c>
      <c r="E1630" s="0" t="n">
        <f aca="false">B1630/SUM($A1630:$C1630)</f>
        <v>0.661204148542748</v>
      </c>
      <c r="F1630" s="0" t="n">
        <f aca="false">C1630/SUM($A1630:$C1630)</f>
        <v>0.25659231576645</v>
      </c>
      <c r="G1630" s="0" t="n">
        <f aca="false">SUMPRODUCT(D1630:F1630,Stats!$B$6:$D$6)</f>
        <v>0.387453100967027</v>
      </c>
      <c r="H1630" s="0" t="n">
        <f aca="false">SQRT(SUMPRODUCT(MMULT(D1630:F1630,Stats!$B$12:$D$14),D1630:F1630))</f>
        <v>0.239836354264125</v>
      </c>
      <c r="I1630" s="0" t="n">
        <f aca="false">(G1630-Stats!$B$2)/H1630</f>
        <v>1.44037004743071</v>
      </c>
    </row>
    <row r="1631" customFormat="false" ht="15" hidden="false" customHeight="false" outlineLevel="0" collapsed="false">
      <c r="A1631" s="0" t="n">
        <v>0.683870124909032</v>
      </c>
      <c r="B1631" s="0" t="n">
        <v>0.0253486042639385</v>
      </c>
      <c r="C1631" s="0" t="n">
        <v>0.69004688840945</v>
      </c>
      <c r="D1631" s="0" t="n">
        <f aca="false">A1631/SUM($A1631:$C1631)</f>
        <v>0.488735030944724</v>
      </c>
      <c r="E1631" s="0" t="n">
        <f aca="false">B1631/SUM($A1631:$C1631)</f>
        <v>0.0181156486269809</v>
      </c>
      <c r="F1631" s="0" t="n">
        <f aca="false">C1631/SUM($A1631:$C1631)</f>
        <v>0.493149320428295</v>
      </c>
      <c r="G1631" s="0" t="n">
        <f aca="false">SUMPRODUCT(D1631:F1631,Stats!$B$6:$D$6)</f>
        <v>0.343927652596089</v>
      </c>
      <c r="H1631" s="0" t="n">
        <f aca="false">SQRT(SUMPRODUCT(MMULT(D1631:F1631,Stats!$B$12:$D$14),D1631:F1631))</f>
        <v>0.223555705835609</v>
      </c>
      <c r="I1631" s="0" t="n">
        <f aca="false">(G1631-Stats!$B$2)/H1631</f>
        <v>1.35057010272916</v>
      </c>
    </row>
    <row r="1632" customFormat="false" ht="15" hidden="false" customHeight="false" outlineLevel="0" collapsed="false">
      <c r="A1632" s="0" t="n">
        <v>0.316101311546971</v>
      </c>
      <c r="B1632" s="0" t="n">
        <v>0.0557408535874417</v>
      </c>
      <c r="C1632" s="0" t="n">
        <v>0.609812761548117</v>
      </c>
      <c r="D1632" s="0" t="n">
        <f aca="false">A1632/SUM($A1632:$C1632)</f>
        <v>0.32200858260369</v>
      </c>
      <c r="E1632" s="0" t="n">
        <f aca="false">B1632/SUM($A1632:$C1632)</f>
        <v>0.0567825333244301</v>
      </c>
      <c r="F1632" s="0" t="n">
        <f aca="false">C1632/SUM($A1632:$C1632)</f>
        <v>0.62120888407188</v>
      </c>
      <c r="G1632" s="0" t="n">
        <f aca="false">SUMPRODUCT(D1632:F1632,Stats!$B$6:$D$6)</f>
        <v>0.342621301882837</v>
      </c>
      <c r="H1632" s="0" t="n">
        <f aca="false">SQRT(SUMPRODUCT(MMULT(D1632:F1632,Stats!$B$12:$D$14),D1632:F1632))</f>
        <v>0.229914213696341</v>
      </c>
      <c r="I1632" s="0" t="n">
        <f aca="false">(G1632-Stats!$B$2)/H1632</f>
        <v>1.3075368288447</v>
      </c>
    </row>
    <row r="1633" customFormat="false" ht="15" hidden="false" customHeight="false" outlineLevel="0" collapsed="false">
      <c r="A1633" s="0" t="n">
        <v>0.240803816073173</v>
      </c>
      <c r="B1633" s="0" t="n">
        <v>0.38680724205188</v>
      </c>
      <c r="C1633" s="0" t="n">
        <v>0.0805808122865136</v>
      </c>
      <c r="D1633" s="0" t="n">
        <f aca="false">A1633/SUM($A1633:$C1633)</f>
        <v>0.340026236015996</v>
      </c>
      <c r="E1633" s="0" t="n">
        <f aca="false">B1633/SUM($A1633:$C1633)</f>
        <v>0.546189893181189</v>
      </c>
      <c r="F1633" s="0" t="n">
        <f aca="false">C1633/SUM($A1633:$C1633)</f>
        <v>0.113783870802815</v>
      </c>
      <c r="G1633" s="0" t="n">
        <f aca="false">SUMPRODUCT(D1633:F1633,Stats!$B$6:$D$6)</f>
        <v>0.384773217516417</v>
      </c>
      <c r="H1633" s="0" t="n">
        <f aca="false">SQRT(SUMPRODUCT(MMULT(D1633:F1633,Stats!$B$12:$D$14),D1633:F1633))</f>
        <v>0.230331968065122</v>
      </c>
      <c r="I1633" s="0" t="n">
        <f aca="false">(G1633-Stats!$B$2)/H1633</f>
        <v>1.48817040203253</v>
      </c>
    </row>
    <row r="1634" customFormat="false" ht="15" hidden="false" customHeight="false" outlineLevel="0" collapsed="false">
      <c r="A1634" s="0" t="n">
        <v>0.147163251094945</v>
      </c>
      <c r="B1634" s="0" t="n">
        <v>0.297977235495844</v>
      </c>
      <c r="C1634" s="0" t="n">
        <v>0.0897595005601571</v>
      </c>
      <c r="D1634" s="0" t="n">
        <f aca="false">A1634/SUM($A1634:$C1634)</f>
        <v>0.275122928827846</v>
      </c>
      <c r="E1634" s="0" t="n">
        <f aca="false">B1634/SUM($A1634:$C1634)</f>
        <v>0.557070934106708</v>
      </c>
      <c r="F1634" s="0" t="n">
        <f aca="false">C1634/SUM($A1634:$C1634)</f>
        <v>0.167806137065446</v>
      </c>
      <c r="G1634" s="0" t="n">
        <f aca="false">SUMPRODUCT(D1634:F1634,Stats!$B$6:$D$6)</f>
        <v>0.38390965531408</v>
      </c>
      <c r="H1634" s="0" t="n">
        <f aca="false">SQRT(SUMPRODUCT(MMULT(D1634:F1634,Stats!$B$12:$D$14),D1634:F1634))</f>
        <v>0.231441146269497</v>
      </c>
      <c r="I1634" s="0" t="n">
        <f aca="false">(G1634-Stats!$B$2)/H1634</f>
        <v>1.47730712894046</v>
      </c>
    </row>
    <row r="1635" customFormat="false" ht="15" hidden="false" customHeight="false" outlineLevel="0" collapsed="false">
      <c r="A1635" s="0" t="n">
        <v>0.910826264686315</v>
      </c>
      <c r="B1635" s="0" t="n">
        <v>0.00604704318397842</v>
      </c>
      <c r="C1635" s="0" t="n">
        <v>0.483860218864311</v>
      </c>
      <c r="D1635" s="0" t="n">
        <f aca="false">A1635/SUM($A1635:$C1635)</f>
        <v>0.650249492356792</v>
      </c>
      <c r="E1635" s="0" t="n">
        <f aca="false">B1635/SUM($A1635:$C1635)</f>
        <v>0.00431705464927031</v>
      </c>
      <c r="F1635" s="0" t="n">
        <f aca="false">C1635/SUM($A1635:$C1635)</f>
        <v>0.345433452993938</v>
      </c>
      <c r="G1635" s="0" t="n">
        <f aca="false">SUMPRODUCT(D1635:F1635,Stats!$B$6:$D$6)</f>
        <v>0.347206907587775</v>
      </c>
      <c r="H1635" s="0" t="n">
        <f aca="false">SQRT(SUMPRODUCT(MMULT(D1635:F1635,Stats!$B$12:$D$14),D1635:F1635))</f>
        <v>0.221378517392522</v>
      </c>
      <c r="I1635" s="0" t="n">
        <f aca="false">(G1635-Stats!$B$2)/H1635</f>
        <v>1.37866542419117</v>
      </c>
    </row>
    <row r="1636" customFormat="false" ht="15" hidden="false" customHeight="false" outlineLevel="0" collapsed="false">
      <c r="A1636" s="0" t="n">
        <v>0.123247458132551</v>
      </c>
      <c r="B1636" s="0" t="n">
        <v>0.307679089477949</v>
      </c>
      <c r="C1636" s="0" t="n">
        <v>0.926059559818266</v>
      </c>
      <c r="D1636" s="0" t="n">
        <f aca="false">A1636/SUM($A1636:$C1636)</f>
        <v>0.0908244067185642</v>
      </c>
      <c r="E1636" s="0" t="n">
        <f aca="false">B1636/SUM($A1636:$C1636)</f>
        <v>0.226737096123219</v>
      </c>
      <c r="F1636" s="0" t="n">
        <f aca="false">C1636/SUM($A1636:$C1636)</f>
        <v>0.682438497158217</v>
      </c>
      <c r="G1636" s="0" t="n">
        <f aca="false">SUMPRODUCT(D1636:F1636,Stats!$B$6:$D$6)</f>
        <v>0.350711884427684</v>
      </c>
      <c r="H1636" s="0" t="n">
        <f aca="false">SQRT(SUMPRODUCT(MMULT(D1636:F1636,Stats!$B$12:$D$14),D1636:F1636))</f>
        <v>0.241083769150878</v>
      </c>
      <c r="I1636" s="0" t="n">
        <f aca="false">(G1636-Stats!$B$2)/H1636</f>
        <v>1.28051708132405</v>
      </c>
    </row>
    <row r="1637" customFormat="false" ht="15" hidden="false" customHeight="false" outlineLevel="0" collapsed="false">
      <c r="A1637" s="0" t="n">
        <v>0.161694553273987</v>
      </c>
      <c r="B1637" s="0" t="n">
        <v>0.965832319718333</v>
      </c>
      <c r="C1637" s="0" t="n">
        <v>0.205794376989422</v>
      </c>
      <c r="D1637" s="0" t="n">
        <f aca="false">A1637/SUM($A1637:$C1637)</f>
        <v>0.121272013984778</v>
      </c>
      <c r="E1637" s="0" t="n">
        <f aca="false">B1637/SUM($A1637:$C1637)</f>
        <v>0.72438080449971</v>
      </c>
      <c r="F1637" s="0" t="n">
        <f aca="false">C1637/SUM($A1637:$C1637)</f>
        <v>0.154347181515512</v>
      </c>
      <c r="G1637" s="0" t="n">
        <f aca="false">SUMPRODUCT(D1637:F1637,Stats!$B$6:$D$6)</f>
        <v>0.393907574234268</v>
      </c>
      <c r="H1637" s="0" t="n">
        <f aca="false">SQRT(SUMPRODUCT(MMULT(D1637:F1637,Stats!$B$12:$D$14),D1637:F1637))</f>
        <v>0.240064017095403</v>
      </c>
      <c r="I1637" s="0" t="n">
        <f aca="false">(G1637-Stats!$B$2)/H1637</f>
        <v>1.46589055074596</v>
      </c>
    </row>
    <row r="1638" customFormat="false" ht="15" hidden="false" customHeight="false" outlineLevel="0" collapsed="false">
      <c r="A1638" s="0" t="n">
        <v>0.74156610846683</v>
      </c>
      <c r="B1638" s="0" t="n">
        <v>0.546677264897312</v>
      </c>
      <c r="C1638" s="0" t="n">
        <v>0.884478727596759</v>
      </c>
      <c r="D1638" s="0" t="n">
        <f aca="false">A1638/SUM($A1638:$C1638)</f>
        <v>0.341307389536318</v>
      </c>
      <c r="E1638" s="0" t="n">
        <f aca="false">B1638/SUM($A1638:$C1638)</f>
        <v>0.251609381915681</v>
      </c>
      <c r="F1638" s="0" t="n">
        <f aca="false">C1638/SUM($A1638:$C1638)</f>
        <v>0.407083228548001</v>
      </c>
      <c r="G1638" s="0" t="n">
        <f aca="false">SUMPRODUCT(D1638:F1638,Stats!$B$6:$D$6)</f>
        <v>0.359735819185335</v>
      </c>
      <c r="H1638" s="0" t="n">
        <f aca="false">SQRT(SUMPRODUCT(MMULT(D1638:F1638,Stats!$B$12:$D$14),D1638:F1638))</f>
        <v>0.225929196346217</v>
      </c>
      <c r="I1638" s="0" t="n">
        <f aca="false">(G1638-Stats!$B$2)/H1638</f>
        <v>1.40635130086698</v>
      </c>
    </row>
    <row r="1639" customFormat="false" ht="15" hidden="false" customHeight="false" outlineLevel="0" collapsed="false">
      <c r="A1639" s="0" t="n">
        <v>0.553993255503131</v>
      </c>
      <c r="B1639" s="0" t="n">
        <v>0.534559219156309</v>
      </c>
      <c r="C1639" s="0" t="n">
        <v>0.1954580003684</v>
      </c>
      <c r="D1639" s="0" t="n">
        <f aca="false">A1639/SUM($A1639:$C1639)</f>
        <v>0.431455401865876</v>
      </c>
      <c r="E1639" s="0" t="n">
        <f aca="false">B1639/SUM($A1639:$C1639)</f>
        <v>0.416319983016274</v>
      </c>
      <c r="F1639" s="0" t="n">
        <f aca="false">C1639/SUM($A1639:$C1639)</f>
        <v>0.152224615117849</v>
      </c>
      <c r="G1639" s="0" t="n">
        <f aca="false">SUMPRODUCT(D1639:F1639,Stats!$B$6:$D$6)</f>
        <v>0.376240682233464</v>
      </c>
      <c r="H1639" s="0" t="n">
        <f aca="false">SQRT(SUMPRODUCT(MMULT(D1639:F1639,Stats!$B$12:$D$14),D1639:F1639))</f>
        <v>0.226172600618556</v>
      </c>
      <c r="I1639" s="0" t="n">
        <f aca="false">(G1639-Stats!$B$2)/H1639</f>
        <v>1.477812437578</v>
      </c>
    </row>
    <row r="1640" customFormat="false" ht="15" hidden="false" customHeight="false" outlineLevel="0" collapsed="false">
      <c r="A1640" s="0" t="n">
        <v>0.166229362051659</v>
      </c>
      <c r="B1640" s="0" t="n">
        <v>0.916489151115514</v>
      </c>
      <c r="C1640" s="0" t="n">
        <v>0.327838198850034</v>
      </c>
      <c r="D1640" s="0" t="n">
        <f aca="false">A1640/SUM($A1640:$C1640)</f>
        <v>0.117846635045207</v>
      </c>
      <c r="E1640" s="0" t="n">
        <f aca="false">B1640/SUM($A1640:$C1640)</f>
        <v>0.649735769790399</v>
      </c>
      <c r="F1640" s="0" t="n">
        <f aca="false">C1640/SUM($A1640:$C1640)</f>
        <v>0.232417595164394</v>
      </c>
      <c r="G1640" s="0" t="n">
        <f aca="false">SUMPRODUCT(D1640:F1640,Stats!$B$6:$D$6)</f>
        <v>0.387459833919364</v>
      </c>
      <c r="H1640" s="0" t="n">
        <f aca="false">SQRT(SUMPRODUCT(MMULT(D1640:F1640,Stats!$B$12:$D$14),D1640:F1640))</f>
        <v>0.238147878023379</v>
      </c>
      <c r="I1640" s="0" t="n">
        <f aca="false">(G1640-Stats!$B$2)/H1640</f>
        <v>1.45061059030494</v>
      </c>
    </row>
    <row r="1641" customFormat="false" ht="15" hidden="false" customHeight="false" outlineLevel="0" collapsed="false">
      <c r="A1641" s="0" t="n">
        <v>0.372082254962896</v>
      </c>
      <c r="B1641" s="0" t="n">
        <v>0.759823658428388</v>
      </c>
      <c r="C1641" s="0" t="n">
        <v>0.338823482422807</v>
      </c>
      <c r="D1641" s="0" t="n">
        <f aca="false">A1641/SUM($A1641:$C1641)</f>
        <v>0.252991648920526</v>
      </c>
      <c r="E1641" s="0" t="n">
        <f aca="false">B1641/SUM($A1641:$C1641)</f>
        <v>0.516630496807201</v>
      </c>
      <c r="F1641" s="0" t="n">
        <f aca="false">C1641/SUM($A1641:$C1641)</f>
        <v>0.230377854272273</v>
      </c>
      <c r="G1641" s="0" t="n">
        <f aca="false">SUMPRODUCT(D1641:F1641,Stats!$B$6:$D$6)</f>
        <v>0.379857373857269</v>
      </c>
      <c r="H1641" s="0" t="n">
        <f aca="false">SQRT(SUMPRODUCT(MMULT(D1641:F1641,Stats!$B$12:$D$14),D1641:F1641))</f>
        <v>0.23095587656404</v>
      </c>
      <c r="I1641" s="0" t="n">
        <f aca="false">(G1641-Stats!$B$2)/H1641</f>
        <v>1.46286545674272</v>
      </c>
    </row>
    <row r="1642" customFormat="false" ht="15" hidden="false" customHeight="false" outlineLevel="0" collapsed="false">
      <c r="A1642" s="0" t="n">
        <v>0.952062446639003</v>
      </c>
      <c r="B1642" s="0" t="n">
        <v>0.7379277689988</v>
      </c>
      <c r="C1642" s="0" t="n">
        <v>0.59742924257342</v>
      </c>
      <c r="D1642" s="0" t="n">
        <f aca="false">A1642/SUM($A1642:$C1642)</f>
        <v>0.416216817261632</v>
      </c>
      <c r="E1642" s="0" t="n">
        <f aca="false">B1642/SUM($A1642:$C1642)</f>
        <v>0.32260273311475</v>
      </c>
      <c r="F1642" s="0" t="n">
        <f aca="false">C1642/SUM($A1642:$C1642)</f>
        <v>0.261180449623618</v>
      </c>
      <c r="G1642" s="0" t="n">
        <f aca="false">SUMPRODUCT(D1642:F1642,Stats!$B$6:$D$6)</f>
        <v>0.367843897740114</v>
      </c>
      <c r="H1642" s="0" t="n">
        <f aca="false">SQRT(SUMPRODUCT(MMULT(D1642:F1642,Stats!$B$12:$D$14),D1642:F1642))</f>
        <v>0.224451707972393</v>
      </c>
      <c r="I1642" s="0" t="n">
        <f aca="false">(G1642-Stats!$B$2)/H1642</f>
        <v>1.4517327610632</v>
      </c>
    </row>
    <row r="1643" customFormat="false" ht="15" hidden="false" customHeight="false" outlineLevel="0" collapsed="false">
      <c r="A1643" s="0" t="n">
        <v>0.880895160544753</v>
      </c>
      <c r="B1643" s="0" t="n">
        <v>0.0496059083494828</v>
      </c>
      <c r="C1643" s="0" t="n">
        <v>0.257062692189209</v>
      </c>
      <c r="D1643" s="0" t="n">
        <f aca="false">A1643/SUM($A1643:$C1643)</f>
        <v>0.741766622906285</v>
      </c>
      <c r="E1643" s="0" t="n">
        <f aca="false">B1643/SUM($A1643:$C1643)</f>
        <v>0.0417711536635524</v>
      </c>
      <c r="F1643" s="0" t="n">
        <f aca="false">C1643/SUM($A1643:$C1643)</f>
        <v>0.216462223430163</v>
      </c>
      <c r="G1643" s="0" t="n">
        <f aca="false">SUMPRODUCT(D1643:F1643,Stats!$B$6:$D$6)</f>
        <v>0.352918300019443</v>
      </c>
      <c r="H1643" s="0" t="n">
        <f aca="false">SQRT(SUMPRODUCT(MMULT(D1643:F1643,Stats!$B$12:$D$14),D1643:F1643))</f>
        <v>0.22260587680266</v>
      </c>
      <c r="I1643" s="0" t="n">
        <f aca="false">(G1643-Stats!$B$2)/H1643</f>
        <v>1.39672098726788</v>
      </c>
    </row>
    <row r="1644" customFormat="false" ht="15" hidden="false" customHeight="false" outlineLevel="0" collapsed="false">
      <c r="A1644" s="0" t="n">
        <v>0.46503633422091</v>
      </c>
      <c r="B1644" s="0" t="n">
        <v>0.226978539471521</v>
      </c>
      <c r="C1644" s="0" t="n">
        <v>0.743905187302152</v>
      </c>
      <c r="D1644" s="0" t="n">
        <f aca="false">A1644/SUM($A1644:$C1644)</f>
        <v>0.323859486926316</v>
      </c>
      <c r="E1644" s="0" t="n">
        <f aca="false">B1644/SUM($A1644:$C1644)</f>
        <v>0.158071849288257</v>
      </c>
      <c r="F1644" s="0" t="n">
        <f aca="false">C1644/SUM($A1644:$C1644)</f>
        <v>0.518068663785427</v>
      </c>
      <c r="G1644" s="0" t="n">
        <f aca="false">SUMPRODUCT(D1644:F1644,Stats!$B$6:$D$6)</f>
        <v>0.351293409931783</v>
      </c>
      <c r="H1644" s="0" t="n">
        <f aca="false">SQRT(SUMPRODUCT(MMULT(D1644:F1644,Stats!$B$12:$D$14),D1644:F1644))</f>
        <v>0.227553104739938</v>
      </c>
      <c r="I1644" s="0" t="n">
        <f aca="false">(G1644-Stats!$B$2)/H1644</f>
        <v>1.35921419435373</v>
      </c>
    </row>
    <row r="1645" customFormat="false" ht="15" hidden="false" customHeight="false" outlineLevel="0" collapsed="false">
      <c r="A1645" s="0" t="n">
        <v>0.919208031053725</v>
      </c>
      <c r="B1645" s="0" t="n">
        <v>0.423770119930923</v>
      </c>
      <c r="C1645" s="0" t="n">
        <v>0.342132600111895</v>
      </c>
      <c r="D1645" s="0" t="n">
        <f aca="false">A1645/SUM($A1645:$C1645)</f>
        <v>0.545488200378268</v>
      </c>
      <c r="E1645" s="0" t="n">
        <f aca="false">B1645/SUM($A1645:$C1645)</f>
        <v>0.251479091006431</v>
      </c>
      <c r="F1645" s="0" t="n">
        <f aca="false">C1645/SUM($A1645:$C1645)</f>
        <v>0.203032708615301</v>
      </c>
      <c r="G1645" s="0" t="n">
        <f aca="false">SUMPRODUCT(D1645:F1645,Stats!$B$6:$D$6)</f>
        <v>0.365354937020237</v>
      </c>
      <c r="H1645" s="0" t="n">
        <f aca="false">SQRT(SUMPRODUCT(MMULT(D1645:F1645,Stats!$B$12:$D$14),D1645:F1645))</f>
        <v>0.222797673621631</v>
      </c>
      <c r="I1645" s="0" t="n">
        <f aca="false">(G1645-Stats!$B$2)/H1645</f>
        <v>1.45133892901134</v>
      </c>
    </row>
    <row r="1646" customFormat="false" ht="15" hidden="false" customHeight="false" outlineLevel="0" collapsed="false">
      <c r="A1646" s="0" t="n">
        <v>0.961550732137566</v>
      </c>
      <c r="B1646" s="0" t="n">
        <v>0.444852432827541</v>
      </c>
      <c r="C1646" s="0" t="n">
        <v>0.489048400449283</v>
      </c>
      <c r="D1646" s="0" t="n">
        <f aca="false">A1646/SUM($A1646:$C1646)</f>
        <v>0.507293749775848</v>
      </c>
      <c r="E1646" s="0" t="n">
        <f aca="false">B1646/SUM($A1646:$C1646)</f>
        <v>0.234694698057497</v>
      </c>
      <c r="F1646" s="0" t="n">
        <f aca="false">C1646/SUM($A1646:$C1646)</f>
        <v>0.258011552166655</v>
      </c>
      <c r="G1646" s="0" t="n">
        <f aca="false">SUMPRODUCT(D1646:F1646,Stats!$B$6:$D$6)</f>
        <v>0.362873164308617</v>
      </c>
      <c r="H1646" s="0" t="n">
        <f aca="false">SQRT(SUMPRODUCT(MMULT(D1646:F1646,Stats!$B$12:$D$14),D1646:F1646))</f>
        <v>0.222552725164131</v>
      </c>
      <c r="I1646" s="0" t="n">
        <f aca="false">(G1646-Stats!$B$2)/H1646</f>
        <v>1.44178492567087</v>
      </c>
    </row>
    <row r="1647" customFormat="false" ht="15" hidden="false" customHeight="false" outlineLevel="0" collapsed="false">
      <c r="A1647" s="0" t="n">
        <v>0.351649872341905</v>
      </c>
      <c r="B1647" s="0" t="n">
        <v>0.909548473012138</v>
      </c>
      <c r="C1647" s="0" t="n">
        <v>0.568955483281851</v>
      </c>
      <c r="D1647" s="0" t="n">
        <f aca="false">A1647/SUM($A1647:$C1647)</f>
        <v>0.192142248831623</v>
      </c>
      <c r="E1647" s="0" t="n">
        <f aca="false">B1647/SUM($A1647:$C1647)</f>
        <v>0.496979247744475</v>
      </c>
      <c r="F1647" s="0" t="n">
        <f aca="false">C1647/SUM($A1647:$C1647)</f>
        <v>0.310878503423902</v>
      </c>
      <c r="G1647" s="0" t="n">
        <f aca="false">SUMPRODUCT(D1647:F1647,Stats!$B$6:$D$6)</f>
        <v>0.376506891982135</v>
      </c>
      <c r="H1647" s="0" t="n">
        <f aca="false">SQRT(SUMPRODUCT(MMULT(D1647:F1647,Stats!$B$12:$D$14),D1647:F1647))</f>
        <v>0.232613467213505</v>
      </c>
      <c r="I1647" s="0" t="n">
        <f aca="false">(G1647-Stats!$B$2)/H1647</f>
        <v>1.43803751343041</v>
      </c>
    </row>
    <row r="1648" customFormat="false" ht="15" hidden="false" customHeight="false" outlineLevel="0" collapsed="false">
      <c r="A1648" s="0" t="n">
        <v>0.762174587181645</v>
      </c>
      <c r="B1648" s="0" t="n">
        <v>0.811806718350886</v>
      </c>
      <c r="C1648" s="0" t="n">
        <v>0.341849041917258</v>
      </c>
      <c r="D1648" s="0" t="n">
        <f aca="false">A1648/SUM($A1648:$C1648)</f>
        <v>0.397829895635694</v>
      </c>
      <c r="E1648" s="0" t="n">
        <f aca="false">B1648/SUM($A1648:$C1648)</f>
        <v>0.42373622457307</v>
      </c>
      <c r="F1648" s="0" t="n">
        <f aca="false">C1648/SUM($A1648:$C1648)</f>
        <v>0.178433879791236</v>
      </c>
      <c r="G1648" s="0" t="n">
        <f aca="false">SUMPRODUCT(D1648:F1648,Stats!$B$6:$D$6)</f>
        <v>0.375944692781233</v>
      </c>
      <c r="H1648" s="0" t="n">
        <f aca="false">SQRT(SUMPRODUCT(MMULT(D1648:F1648,Stats!$B$12:$D$14),D1648:F1648))</f>
        <v>0.226501779926457</v>
      </c>
      <c r="I1648" s="0" t="n">
        <f aca="false">(G1648-Stats!$B$2)/H1648</f>
        <v>1.47435791846608</v>
      </c>
    </row>
    <row r="1649" customFormat="false" ht="15" hidden="false" customHeight="false" outlineLevel="0" collapsed="false">
      <c r="A1649" s="0" t="n">
        <v>0.43369433132038</v>
      </c>
      <c r="B1649" s="0" t="n">
        <v>0.848471774406265</v>
      </c>
      <c r="C1649" s="0" t="n">
        <v>0.36325535167581</v>
      </c>
      <c r="D1649" s="0" t="n">
        <f aca="false">A1649/SUM($A1649:$C1649)</f>
        <v>0.263576440777083</v>
      </c>
      <c r="E1649" s="0" t="n">
        <f aca="false">B1649/SUM($A1649:$C1649)</f>
        <v>0.515656198956895</v>
      </c>
      <c r="F1649" s="0" t="n">
        <f aca="false">C1649/SUM($A1649:$C1649)</f>
        <v>0.220767360266022</v>
      </c>
      <c r="G1649" s="0" t="n">
        <f aca="false">SUMPRODUCT(D1649:F1649,Stats!$B$6:$D$6)</f>
        <v>0.380066319695804</v>
      </c>
      <c r="H1649" s="0" t="n">
        <f aca="false">SQRT(SUMPRODUCT(MMULT(D1649:F1649,Stats!$B$12:$D$14),D1649:F1649))</f>
        <v>0.230671823955274</v>
      </c>
      <c r="I1649" s="0" t="n">
        <f aca="false">(G1649-Stats!$B$2)/H1649</f>
        <v>1.46557266465866</v>
      </c>
    </row>
    <row r="1650" customFormat="false" ht="15" hidden="false" customHeight="false" outlineLevel="0" collapsed="false">
      <c r="A1650" s="0" t="n">
        <v>0.793935133451851</v>
      </c>
      <c r="B1650" s="0" t="n">
        <v>0.940992322574437</v>
      </c>
      <c r="C1650" s="0" t="n">
        <v>0.623210373068007</v>
      </c>
      <c r="D1650" s="0" t="n">
        <f aca="false">A1650/SUM($A1650:$C1650)</f>
        <v>0.33667885042868</v>
      </c>
      <c r="E1650" s="0" t="n">
        <f aca="false">B1650/SUM($A1650:$C1650)</f>
        <v>0.399040425442753</v>
      </c>
      <c r="F1650" s="0" t="n">
        <f aca="false">C1650/SUM($A1650:$C1650)</f>
        <v>0.264280724128567</v>
      </c>
      <c r="G1650" s="0" t="n">
        <f aca="false">SUMPRODUCT(D1650:F1650,Stats!$B$6:$D$6)</f>
        <v>0.372156534748252</v>
      </c>
      <c r="H1650" s="0" t="n">
        <f aca="false">SQRT(SUMPRODUCT(MMULT(D1650:F1650,Stats!$B$12:$D$14),D1650:F1650))</f>
        <v>0.226910009511236</v>
      </c>
      <c r="I1650" s="0" t="n">
        <f aca="false">(G1650-Stats!$B$2)/H1650</f>
        <v>1.45501088938037</v>
      </c>
    </row>
    <row r="1651" customFormat="false" ht="15" hidden="false" customHeight="false" outlineLevel="0" collapsed="false">
      <c r="A1651" s="0" t="n">
        <v>0.741627287451889</v>
      </c>
      <c r="B1651" s="0" t="n">
        <v>0.805097312041135</v>
      </c>
      <c r="C1651" s="0" t="n">
        <v>0.845039648896643</v>
      </c>
      <c r="D1651" s="0" t="n">
        <f aca="false">A1651/SUM($A1651:$C1651)</f>
        <v>0.310075413139574</v>
      </c>
      <c r="E1651" s="0" t="n">
        <f aca="false">B1651/SUM($A1651:$C1651)</f>
        <v>0.33661231978996</v>
      </c>
      <c r="F1651" s="0" t="n">
        <f aca="false">C1651/SUM($A1651:$C1651)</f>
        <v>0.353312267070466</v>
      </c>
      <c r="G1651" s="0" t="n">
        <f aca="false">SUMPRODUCT(D1651:F1651,Stats!$B$6:$D$6)</f>
        <v>0.366109491794815</v>
      </c>
      <c r="H1651" s="0" t="n">
        <f aca="false">SQRT(SUMPRODUCT(MMULT(D1651:F1651,Stats!$B$12:$D$14),D1651:F1651))</f>
        <v>0.227043227008419</v>
      </c>
      <c r="I1651" s="0" t="n">
        <f aca="false">(G1651-Stats!$B$2)/H1651</f>
        <v>1.42752327856403</v>
      </c>
    </row>
    <row r="1652" customFormat="false" ht="15" hidden="false" customHeight="false" outlineLevel="0" collapsed="false">
      <c r="A1652" s="0" t="n">
        <v>0.395053337856796</v>
      </c>
      <c r="B1652" s="0" t="n">
        <v>0.0512634591759982</v>
      </c>
      <c r="C1652" s="0" t="n">
        <v>0.40187627123674</v>
      </c>
      <c r="D1652" s="0" t="n">
        <f aca="false">A1652/SUM($A1652:$C1652)</f>
        <v>0.465758743658181</v>
      </c>
      <c r="E1652" s="0" t="n">
        <f aca="false">B1652/SUM($A1652:$C1652)</f>
        <v>0.0604384321137932</v>
      </c>
      <c r="F1652" s="0" t="n">
        <f aca="false">C1652/SUM($A1652:$C1652)</f>
        <v>0.473802824228026</v>
      </c>
      <c r="G1652" s="0" t="n">
        <f aca="false">SUMPRODUCT(D1652:F1652,Stats!$B$6:$D$6)</f>
        <v>0.346896322972282</v>
      </c>
      <c r="H1652" s="0" t="n">
        <f aca="false">SQRT(SUMPRODUCT(MMULT(D1652:F1652,Stats!$B$12:$D$14),D1652:F1652))</f>
        <v>0.223559029819663</v>
      </c>
      <c r="I1652" s="0" t="n">
        <f aca="false">(G1652-Stats!$B$2)/H1652</f>
        <v>1.36382915607672</v>
      </c>
    </row>
    <row r="1653" customFormat="false" ht="15" hidden="false" customHeight="false" outlineLevel="0" collapsed="false">
      <c r="A1653" s="0" t="n">
        <v>0.67375622978409</v>
      </c>
      <c r="B1653" s="0" t="n">
        <v>0.450350385780793</v>
      </c>
      <c r="C1653" s="0" t="n">
        <v>0.748963150860399</v>
      </c>
      <c r="D1653" s="0" t="n">
        <f aca="false">A1653/SUM($A1653:$C1653)</f>
        <v>0.359706959057879</v>
      </c>
      <c r="E1653" s="0" t="n">
        <f aca="false">B1653/SUM($A1653:$C1653)</f>
        <v>0.240434389499692</v>
      </c>
      <c r="F1653" s="0" t="n">
        <f aca="false">C1653/SUM($A1653:$C1653)</f>
        <v>0.399858651442429</v>
      </c>
      <c r="G1653" s="0" t="n">
        <f aca="false">SUMPRODUCT(D1653:F1653,Stats!$B$6:$D$6)</f>
        <v>0.359292039520196</v>
      </c>
      <c r="H1653" s="0" t="n">
        <f aca="false">SQRT(SUMPRODUCT(MMULT(D1653:F1653,Stats!$B$12:$D$14),D1653:F1653))</f>
        <v>0.225336356486769</v>
      </c>
      <c r="I1653" s="0" t="n">
        <f aca="false">(G1653-Stats!$B$2)/H1653</f>
        <v>1.40808187576613</v>
      </c>
    </row>
    <row r="1654" customFormat="false" ht="15" hidden="false" customHeight="false" outlineLevel="0" collapsed="false">
      <c r="A1654" s="0" t="n">
        <v>0.356982429468664</v>
      </c>
      <c r="B1654" s="0" t="n">
        <v>0.63474414110403</v>
      </c>
      <c r="C1654" s="0" t="n">
        <v>0.186419804853975</v>
      </c>
      <c r="D1654" s="0" t="n">
        <f aca="false">A1654/SUM($A1654:$C1654)</f>
        <v>0.30300346112713</v>
      </c>
      <c r="E1654" s="0" t="n">
        <f aca="false">B1654/SUM($A1654:$C1654)</f>
        <v>0.538765092643226</v>
      </c>
      <c r="F1654" s="0" t="n">
        <f aca="false">C1654/SUM($A1654:$C1654)</f>
        <v>0.158231446229644</v>
      </c>
      <c r="G1654" s="0" t="n">
        <f aca="false">SUMPRODUCT(D1654:F1654,Stats!$B$6:$D$6)</f>
        <v>0.383120379306235</v>
      </c>
      <c r="H1654" s="0" t="n">
        <f aca="false">SQRT(SUMPRODUCT(MMULT(D1654:F1654,Stats!$B$12:$D$14),D1654:F1654))</f>
        <v>0.230489389726088</v>
      </c>
      <c r="I1654" s="0" t="n">
        <f aca="false">(G1654-Stats!$B$2)/H1654</f>
        <v>1.47998300360646</v>
      </c>
    </row>
    <row r="1655" customFormat="false" ht="15" hidden="false" customHeight="false" outlineLevel="0" collapsed="false">
      <c r="A1655" s="0" t="n">
        <v>0.749369436644957</v>
      </c>
      <c r="B1655" s="0" t="n">
        <v>0.545695968813026</v>
      </c>
      <c r="C1655" s="0" t="n">
        <v>0.204064388546601</v>
      </c>
      <c r="D1655" s="0" t="n">
        <f aca="false">A1655/SUM($A1655:$C1655)</f>
        <v>0.499869617455329</v>
      </c>
      <c r="E1655" s="0" t="n">
        <f aca="false">B1655/SUM($A1655:$C1655)</f>
        <v>0.364008487454127</v>
      </c>
      <c r="F1655" s="0" t="n">
        <f aca="false">C1655/SUM($A1655:$C1655)</f>
        <v>0.136121895090544</v>
      </c>
      <c r="G1655" s="0" t="n">
        <f aca="false">SUMPRODUCT(D1655:F1655,Stats!$B$6:$D$6)</f>
        <v>0.373674772795583</v>
      </c>
      <c r="H1655" s="0" t="n">
        <f aca="false">SQRT(SUMPRODUCT(MMULT(D1655:F1655,Stats!$B$12:$D$14),D1655:F1655))</f>
        <v>0.224986958439842</v>
      </c>
      <c r="I1655" s="0" t="n">
        <f aca="false">(G1655-Stats!$B$2)/H1655</f>
        <v>1.47419554935788</v>
      </c>
    </row>
    <row r="1656" customFormat="false" ht="15" hidden="false" customHeight="false" outlineLevel="0" collapsed="false">
      <c r="A1656" s="0" t="n">
        <v>0.291911173497807</v>
      </c>
      <c r="B1656" s="0" t="n">
        <v>0.748608708581832</v>
      </c>
      <c r="C1656" s="0" t="n">
        <v>0.482601235661521</v>
      </c>
      <c r="D1656" s="0" t="n">
        <f aca="false">A1656/SUM($A1656:$C1656)</f>
        <v>0.191653290140656</v>
      </c>
      <c r="E1656" s="0" t="n">
        <f aca="false">B1656/SUM($A1656:$C1656)</f>
        <v>0.491496506654733</v>
      </c>
      <c r="F1656" s="0" t="n">
        <f aca="false">C1656/SUM($A1656:$C1656)</f>
        <v>0.316850203204611</v>
      </c>
      <c r="G1656" s="0" t="n">
        <f aca="false">SUMPRODUCT(D1656:F1656,Stats!$B$6:$D$6)</f>
        <v>0.376026754831388</v>
      </c>
      <c r="H1656" s="0" t="n">
        <f aca="false">SQRT(SUMPRODUCT(MMULT(D1656:F1656,Stats!$B$12:$D$14),D1656:F1656))</f>
        <v>0.232567996298021</v>
      </c>
      <c r="I1656" s="0" t="n">
        <f aca="false">(G1656-Stats!$B$2)/H1656</f>
        <v>1.43625417146112</v>
      </c>
    </row>
    <row r="1657" customFormat="false" ht="15" hidden="false" customHeight="false" outlineLevel="0" collapsed="false">
      <c r="A1657" s="0" t="n">
        <v>0.216031440393072</v>
      </c>
      <c r="B1657" s="0" t="n">
        <v>0.967271190370298</v>
      </c>
      <c r="C1657" s="0" t="n">
        <v>0.715125019816888</v>
      </c>
      <c r="D1657" s="0" t="n">
        <f aca="false">A1657/SUM($A1657:$C1657)</f>
        <v>0.113794929360116</v>
      </c>
      <c r="E1657" s="0" t="n">
        <f aca="false">B1657/SUM($A1657:$C1657)</f>
        <v>0.509511747827024</v>
      </c>
      <c r="F1657" s="0" t="n">
        <f aca="false">C1657/SUM($A1657:$C1657)</f>
        <v>0.37669332281286</v>
      </c>
      <c r="G1657" s="0" t="n">
        <f aca="false">SUMPRODUCT(D1657:F1657,Stats!$B$6:$D$6)</f>
        <v>0.375413177485448</v>
      </c>
      <c r="H1657" s="0" t="n">
        <f aca="false">SQRT(SUMPRODUCT(MMULT(D1657:F1657,Stats!$B$12:$D$14),D1657:F1657))</f>
        <v>0.236297886318918</v>
      </c>
      <c r="I1657" s="0" t="n">
        <f aca="false">(G1657-Stats!$B$2)/H1657</f>
        <v>1.41098671122034</v>
      </c>
    </row>
    <row r="1658" customFormat="false" ht="15" hidden="false" customHeight="false" outlineLevel="0" collapsed="false">
      <c r="A1658" s="0" t="n">
        <v>0.957134832539796</v>
      </c>
      <c r="B1658" s="0" t="n">
        <v>0.427105045360343</v>
      </c>
      <c r="C1658" s="0" t="n">
        <v>0.475100340691721</v>
      </c>
      <c r="D1658" s="0" t="n">
        <f aca="false">A1658/SUM($A1658:$C1658)</f>
        <v>0.514771219903298</v>
      </c>
      <c r="E1658" s="0" t="n">
        <f aca="false">B1658/SUM($A1658:$C1658)</f>
        <v>0.229707850714811</v>
      </c>
      <c r="F1658" s="0" t="n">
        <f aca="false">C1658/SUM($A1658:$C1658)</f>
        <v>0.255520929381891</v>
      </c>
      <c r="G1658" s="0" t="n">
        <f aca="false">SUMPRODUCT(D1658:F1658,Stats!$B$6:$D$6)</f>
        <v>0.362654905532215</v>
      </c>
      <c r="H1658" s="0" t="n">
        <f aca="false">SQRT(SUMPRODUCT(MMULT(D1658:F1658,Stats!$B$12:$D$14),D1658:F1658))</f>
        <v>0.222466463124705</v>
      </c>
      <c r="I1658" s="0" t="n">
        <f aca="false">(G1658-Stats!$B$2)/H1658</f>
        <v>1.44136289590971</v>
      </c>
    </row>
    <row r="1659" customFormat="false" ht="15" hidden="false" customHeight="false" outlineLevel="0" collapsed="false">
      <c r="A1659" s="0" t="n">
        <v>0.897955216185019</v>
      </c>
      <c r="B1659" s="0" t="n">
        <v>0.525049340245385</v>
      </c>
      <c r="C1659" s="0" t="n">
        <v>0.707278911905667</v>
      </c>
      <c r="D1659" s="0" t="n">
        <f aca="false">A1659/SUM($A1659:$C1659)</f>
        <v>0.421519121530994</v>
      </c>
      <c r="E1659" s="0" t="n">
        <f aca="false">B1659/SUM($A1659:$C1659)</f>
        <v>0.24646923662957</v>
      </c>
      <c r="F1659" s="0" t="n">
        <f aca="false">C1659/SUM($A1659:$C1659)</f>
        <v>0.332011641839436</v>
      </c>
      <c r="G1659" s="0" t="n">
        <f aca="false">SUMPRODUCT(D1659:F1659,Stats!$B$6:$D$6)</f>
        <v>0.361510132007771</v>
      </c>
      <c r="H1659" s="0" t="n">
        <f aca="false">SQRT(SUMPRODUCT(MMULT(D1659:F1659,Stats!$B$12:$D$14),D1659:F1659))</f>
        <v>0.223703052203672</v>
      </c>
      <c r="I1659" s="0" t="n">
        <f aca="false">(G1659-Stats!$B$2)/H1659</f>
        <v>1.42827792853211</v>
      </c>
    </row>
    <row r="1660" customFormat="false" ht="15" hidden="false" customHeight="false" outlineLevel="0" collapsed="false">
      <c r="A1660" s="0" t="n">
        <v>0.25217287749553</v>
      </c>
      <c r="B1660" s="0" t="n">
        <v>0.446726468702641</v>
      </c>
      <c r="C1660" s="0" t="n">
        <v>0.123449865810355</v>
      </c>
      <c r="D1660" s="0" t="n">
        <f aca="false">A1660/SUM($A1660:$C1660)</f>
        <v>0.306649381811429</v>
      </c>
      <c r="E1660" s="0" t="n">
        <f aca="false">B1660/SUM($A1660:$C1660)</f>
        <v>0.543232074864576</v>
      </c>
      <c r="F1660" s="0" t="n">
        <f aca="false">C1660/SUM($A1660:$C1660)</f>
        <v>0.150118543323995</v>
      </c>
      <c r="G1660" s="0" t="n">
        <f aca="false">SUMPRODUCT(D1660:F1660,Stats!$B$6:$D$6)</f>
        <v>0.383601113858987</v>
      </c>
      <c r="H1660" s="0" t="n">
        <f aca="false">SQRT(SUMPRODUCT(MMULT(D1660:F1660,Stats!$B$12:$D$14),D1660:F1660))</f>
        <v>0.230566552195266</v>
      </c>
      <c r="I1660" s="0" t="n">
        <f aca="false">(G1660-Stats!$B$2)/H1660</f>
        <v>1.48157271992203</v>
      </c>
    </row>
    <row r="1661" customFormat="false" ht="15" hidden="false" customHeight="false" outlineLevel="0" collapsed="false">
      <c r="A1661" s="0" t="n">
        <v>0.205980035876962</v>
      </c>
      <c r="B1661" s="0" t="n">
        <v>0.000943415267631087</v>
      </c>
      <c r="C1661" s="0" t="n">
        <v>0.0392650516486602</v>
      </c>
      <c r="D1661" s="0" t="n">
        <f aca="false">A1661/SUM($A1661:$C1661)</f>
        <v>0.836676097948985</v>
      </c>
      <c r="E1661" s="0" t="n">
        <f aca="false">B1661/SUM($A1661:$C1661)</f>
        <v>0.00383208499555058</v>
      </c>
      <c r="F1661" s="0" t="n">
        <f aca="false">C1661/SUM($A1661:$C1661)</f>
        <v>0.159491817055465</v>
      </c>
      <c r="G1661" s="0" t="n">
        <f aca="false">SUMPRODUCT(D1661:F1661,Stats!$B$6:$D$6)</f>
        <v>0.352306272155674</v>
      </c>
      <c r="H1661" s="0" t="n">
        <f aca="false">SQRT(SUMPRODUCT(MMULT(D1661:F1661,Stats!$B$12:$D$14),D1661:F1661))</f>
        <v>0.224986811083816</v>
      </c>
      <c r="I1661" s="0" t="n">
        <f aca="false">(G1661-Stats!$B$2)/H1661</f>
        <v>1.37921983364648</v>
      </c>
    </row>
    <row r="1662" customFormat="false" ht="15" hidden="false" customHeight="false" outlineLevel="0" collapsed="false">
      <c r="A1662" s="0" t="n">
        <v>0.977283823176929</v>
      </c>
      <c r="B1662" s="0" t="n">
        <v>0.242353695136762</v>
      </c>
      <c r="C1662" s="0" t="n">
        <v>0.663310709504002</v>
      </c>
      <c r="D1662" s="0" t="n">
        <f aca="false">A1662/SUM($A1662:$C1662)</f>
        <v>0.519017893715318</v>
      </c>
      <c r="E1662" s="0" t="n">
        <f aca="false">B1662/SUM($A1662:$C1662)</f>
        <v>0.128709696611067</v>
      </c>
      <c r="F1662" s="0" t="n">
        <f aca="false">C1662/SUM($A1662:$C1662)</f>
        <v>0.352272409673615</v>
      </c>
      <c r="G1662" s="0" t="n">
        <f aca="false">SUMPRODUCT(D1662:F1662,Stats!$B$6:$D$6)</f>
        <v>0.35417571760797</v>
      </c>
      <c r="H1662" s="0" t="n">
        <f aca="false">SQRT(SUMPRODUCT(MMULT(D1662:F1662,Stats!$B$12:$D$14),D1662:F1662))</f>
        <v>0.221895610750537</v>
      </c>
      <c r="I1662" s="0" t="n">
        <f aca="false">(G1662-Stats!$B$2)/H1662</f>
        <v>1.40685846174276</v>
      </c>
    </row>
    <row r="1663" customFormat="false" ht="15" hidden="false" customHeight="false" outlineLevel="0" collapsed="false">
      <c r="A1663" s="0" t="n">
        <v>0.839099698799612</v>
      </c>
      <c r="B1663" s="0" t="n">
        <v>0.550660459236564</v>
      </c>
      <c r="C1663" s="0" t="n">
        <v>0.153144500083956</v>
      </c>
      <c r="D1663" s="0" t="n">
        <f aca="false">A1663/SUM($A1663:$C1663)</f>
        <v>0.543844167158045</v>
      </c>
      <c r="E1663" s="0" t="n">
        <f aca="false">B1663/SUM($A1663:$C1663)</f>
        <v>0.35689856553255</v>
      </c>
      <c r="F1663" s="0" t="n">
        <f aca="false">C1663/SUM($A1663:$C1663)</f>
        <v>0.0992572673094051</v>
      </c>
      <c r="G1663" s="0" t="n">
        <f aca="false">SUMPRODUCT(D1663:F1663,Stats!$B$6:$D$6)</f>
        <v>0.374282205022591</v>
      </c>
      <c r="H1663" s="0" t="n">
        <f aca="false">SQRT(SUMPRODUCT(MMULT(D1663:F1663,Stats!$B$12:$D$14),D1663:F1663))</f>
        <v>0.225262712549419</v>
      </c>
      <c r="I1663" s="0" t="n">
        <f aca="false">(G1663-Stats!$B$2)/H1663</f>
        <v>1.47508747125512</v>
      </c>
    </row>
    <row r="1664" customFormat="false" ht="15" hidden="false" customHeight="false" outlineLevel="0" collapsed="false">
      <c r="A1664" s="0" t="n">
        <v>0.728116437336166</v>
      </c>
      <c r="B1664" s="0" t="n">
        <v>0.600251410099583</v>
      </c>
      <c r="C1664" s="0" t="n">
        <v>0.731250589347375</v>
      </c>
      <c r="D1664" s="0" t="n">
        <f aca="false">A1664/SUM($A1664:$C1664)</f>
        <v>0.353520061936033</v>
      </c>
      <c r="E1664" s="0" t="n">
        <f aca="false">B1664/SUM($A1664:$C1664)</f>
        <v>0.291438161253355</v>
      </c>
      <c r="F1664" s="0" t="n">
        <f aca="false">C1664/SUM($A1664:$C1664)</f>
        <v>0.355041776810612</v>
      </c>
      <c r="G1664" s="0" t="n">
        <f aca="false">SUMPRODUCT(D1664:F1664,Stats!$B$6:$D$6)</f>
        <v>0.363462538614508</v>
      </c>
      <c r="H1664" s="0" t="n">
        <f aca="false">SQRT(SUMPRODUCT(MMULT(D1664:F1664,Stats!$B$12:$D$14),D1664:F1664))</f>
        <v>0.225536836020279</v>
      </c>
      <c r="I1664" s="0" t="n">
        <f aca="false">(G1664-Stats!$B$2)/H1664</f>
        <v>1.42532166490801</v>
      </c>
    </row>
    <row r="1665" customFormat="false" ht="15" hidden="false" customHeight="false" outlineLevel="0" collapsed="false">
      <c r="A1665" s="0" t="n">
        <v>0.769746622857087</v>
      </c>
      <c r="B1665" s="0" t="n">
        <v>0.975410367684745</v>
      </c>
      <c r="C1665" s="0" t="n">
        <v>0.57356328002671</v>
      </c>
      <c r="D1665" s="0" t="n">
        <f aca="false">A1665/SUM($A1665:$C1665)</f>
        <v>0.331970454835567</v>
      </c>
      <c r="E1665" s="0" t="n">
        <f aca="false">B1665/SUM($A1665:$C1665)</f>
        <v>0.420667546691856</v>
      </c>
      <c r="F1665" s="0" t="n">
        <f aca="false">C1665/SUM($A1665:$C1665)</f>
        <v>0.247361998472577</v>
      </c>
      <c r="G1665" s="0" t="n">
        <f aca="false">SUMPRODUCT(D1665:F1665,Stats!$B$6:$D$6)</f>
        <v>0.37386745866617</v>
      </c>
      <c r="H1665" s="0" t="n">
        <f aca="false">SQRT(SUMPRODUCT(MMULT(D1665:F1665,Stats!$B$12:$D$14),D1665:F1665))</f>
        <v>0.227346789920348</v>
      </c>
      <c r="I1665" s="0" t="n">
        <f aca="false">(G1665-Stats!$B$2)/H1665</f>
        <v>1.45974112404421</v>
      </c>
    </row>
    <row r="1666" customFormat="false" ht="15" hidden="false" customHeight="false" outlineLevel="0" collapsed="false">
      <c r="A1666" s="0" t="n">
        <v>0.341641112690602</v>
      </c>
      <c r="B1666" s="0" t="n">
        <v>0.648464556900237</v>
      </c>
      <c r="C1666" s="0" t="n">
        <v>0.0684407092426261</v>
      </c>
      <c r="D1666" s="0" t="n">
        <f aca="false">A1666/SUM($A1666:$C1666)</f>
        <v>0.322745530589879</v>
      </c>
      <c r="E1666" s="0" t="n">
        <f aca="false">B1666/SUM($A1666:$C1666)</f>
        <v>0.612599098033716</v>
      </c>
      <c r="F1666" s="0" t="n">
        <f aca="false">C1666/SUM($A1666:$C1666)</f>
        <v>0.0646553713764048</v>
      </c>
      <c r="G1666" s="0" t="n">
        <f aca="false">SUMPRODUCT(D1666:F1666,Stats!$B$6:$D$6)</f>
        <v>0.389949016687748</v>
      </c>
      <c r="H1666" s="0" t="n">
        <f aca="false">SQRT(SUMPRODUCT(MMULT(D1666:F1666,Stats!$B$12:$D$14),D1666:F1666))</f>
        <v>0.232769086569945</v>
      </c>
      <c r="I1666" s="0" t="n">
        <f aca="false">(G1666-Stats!$B$2)/H1666</f>
        <v>1.49482485760923</v>
      </c>
    </row>
    <row r="1667" customFormat="false" ht="15" hidden="false" customHeight="false" outlineLevel="0" collapsed="false">
      <c r="A1667" s="0" t="n">
        <v>0.897397318321586</v>
      </c>
      <c r="B1667" s="0" t="n">
        <v>0.119381011338197</v>
      </c>
      <c r="C1667" s="0" t="n">
        <v>0.327842837885818</v>
      </c>
      <c r="D1667" s="0" t="n">
        <f aca="false">A1667/SUM($A1667:$C1667)</f>
        <v>0.667397881263201</v>
      </c>
      <c r="E1667" s="0" t="n">
        <f aca="false">B1667/SUM($A1667:$C1667)</f>
        <v>0.0887841231564935</v>
      </c>
      <c r="F1667" s="0" t="n">
        <f aca="false">C1667/SUM($A1667:$C1667)</f>
        <v>0.243817995580305</v>
      </c>
      <c r="G1667" s="0" t="n">
        <f aca="false">SUMPRODUCT(D1667:F1667,Stats!$B$6:$D$6)</f>
        <v>0.354869040540914</v>
      </c>
      <c r="H1667" s="0" t="n">
        <f aca="false">SQRT(SUMPRODUCT(MMULT(D1667:F1667,Stats!$B$12:$D$14),D1667:F1667))</f>
        <v>0.221738131419521</v>
      </c>
      <c r="I1667" s="0" t="n">
        <f aca="false">(G1667-Stats!$B$2)/H1667</f>
        <v>1.41098438296558</v>
      </c>
    </row>
    <row r="1668" customFormat="false" ht="15" hidden="false" customHeight="false" outlineLevel="0" collapsed="false">
      <c r="A1668" s="0" t="n">
        <v>0.815745380626121</v>
      </c>
      <c r="B1668" s="0" t="n">
        <v>0.597312378330712</v>
      </c>
      <c r="C1668" s="0" t="n">
        <v>0.393635520277442</v>
      </c>
      <c r="D1668" s="0" t="n">
        <f aca="false">A1668/SUM($A1668:$C1668)</f>
        <v>0.451512932495025</v>
      </c>
      <c r="E1668" s="0" t="n">
        <f aca="false">B1668/SUM($A1668:$C1668)</f>
        <v>0.330610837598216</v>
      </c>
      <c r="F1668" s="0" t="n">
        <f aca="false">C1668/SUM($A1668:$C1668)</f>
        <v>0.217876229906758</v>
      </c>
      <c r="G1668" s="0" t="n">
        <f aca="false">SUMPRODUCT(D1668:F1668,Stats!$B$6:$D$6)</f>
        <v>0.369498770910419</v>
      </c>
      <c r="H1668" s="0" t="n">
        <f aca="false">SQRT(SUMPRODUCT(MMULT(D1668:F1668,Stats!$B$12:$D$14),D1668:F1668))</f>
        <v>0.224228743099256</v>
      </c>
      <c r="I1668" s="0" t="n">
        <f aca="false">(G1668-Stats!$B$2)/H1668</f>
        <v>1.46055660119118</v>
      </c>
    </row>
    <row r="1669" customFormat="false" ht="15" hidden="false" customHeight="false" outlineLevel="0" collapsed="false">
      <c r="A1669" s="0" t="n">
        <v>0.473435659375021</v>
      </c>
      <c r="B1669" s="0" t="n">
        <v>0.85454739320218</v>
      </c>
      <c r="C1669" s="0" t="n">
        <v>0.340004386059892</v>
      </c>
      <c r="D1669" s="0" t="n">
        <f aca="false">A1669/SUM($A1669:$C1669)</f>
        <v>0.283836465676183</v>
      </c>
      <c r="E1669" s="0" t="n">
        <f aca="false">B1669/SUM($A1669:$C1669)</f>
        <v>0.512322439250758</v>
      </c>
      <c r="F1669" s="0" t="n">
        <f aca="false">C1669/SUM($A1669:$C1669)</f>
        <v>0.203841095073059</v>
      </c>
      <c r="G1669" s="0" t="n">
        <f aca="false">SUMPRODUCT(D1669:F1669,Stats!$B$6:$D$6)</f>
        <v>0.380341234729625</v>
      </c>
      <c r="H1669" s="0" t="n">
        <f aca="false">SQRT(SUMPRODUCT(MMULT(D1669:F1669,Stats!$B$12:$D$14),D1669:F1669))</f>
        <v>0.230147993044477</v>
      </c>
      <c r="I1669" s="0" t="n">
        <f aca="false">(G1669-Stats!$B$2)/H1669</f>
        <v>1.47010291184351</v>
      </c>
    </row>
    <row r="1670" customFormat="false" ht="15" hidden="false" customHeight="false" outlineLevel="0" collapsed="false">
      <c r="A1670" s="0" t="n">
        <v>0.869649684812171</v>
      </c>
      <c r="B1670" s="0" t="n">
        <v>0.0881344309766915</v>
      </c>
      <c r="C1670" s="0" t="n">
        <v>0.776798437208631</v>
      </c>
      <c r="D1670" s="0" t="n">
        <f aca="false">A1670/SUM($A1670:$C1670)</f>
        <v>0.501359640283104</v>
      </c>
      <c r="E1670" s="0" t="n">
        <f aca="false">B1670/SUM($A1670:$C1670)</f>
        <v>0.0508101680282604</v>
      </c>
      <c r="F1670" s="0" t="n">
        <f aca="false">C1670/SUM($A1670:$C1670)</f>
        <v>0.447830191688636</v>
      </c>
      <c r="G1670" s="0" t="n">
        <f aca="false">SUMPRODUCT(D1670:F1670,Stats!$B$6:$D$6)</f>
        <v>0.347058510471093</v>
      </c>
      <c r="H1670" s="0" t="n">
        <f aca="false">SQRT(SUMPRODUCT(MMULT(D1670:F1670,Stats!$B$12:$D$14),D1670:F1670))</f>
        <v>0.222729935041199</v>
      </c>
      <c r="I1670" s="0" t="n">
        <f aca="false">(G1670-Stats!$B$2)/H1670</f>
        <v>1.36963408360293</v>
      </c>
    </row>
    <row r="1671" customFormat="false" ht="15" hidden="false" customHeight="false" outlineLevel="0" collapsed="false">
      <c r="A1671" s="0" t="n">
        <v>0.847547633054736</v>
      </c>
      <c r="B1671" s="0" t="n">
        <v>0.181817652837339</v>
      </c>
      <c r="C1671" s="0" t="n">
        <v>0.4303465323722</v>
      </c>
      <c r="D1671" s="0" t="n">
        <f aca="false">A1671/SUM($A1671:$C1671)</f>
        <v>0.580626684287961</v>
      </c>
      <c r="E1671" s="0" t="n">
        <f aca="false">B1671/SUM($A1671:$C1671)</f>
        <v>0.124557224626389</v>
      </c>
      <c r="F1671" s="0" t="n">
        <f aca="false">C1671/SUM($A1671:$C1671)</f>
        <v>0.29481609108565</v>
      </c>
      <c r="G1671" s="0" t="n">
        <f aca="false">SUMPRODUCT(D1671:F1671,Stats!$B$6:$D$6)</f>
        <v>0.355521125630612</v>
      </c>
      <c r="H1671" s="0" t="n">
        <f aca="false">SQRT(SUMPRODUCT(MMULT(D1671:F1671,Stats!$B$12:$D$14),D1671:F1671))</f>
        <v>0.221467762442597</v>
      </c>
      <c r="I1671" s="0" t="n">
        <f aca="false">(G1671-Stats!$B$2)/H1671</f>
        <v>1.41565129919021</v>
      </c>
    </row>
    <row r="1672" customFormat="false" ht="15" hidden="false" customHeight="false" outlineLevel="0" collapsed="false">
      <c r="A1672" s="0" t="n">
        <v>0.165499774663656</v>
      </c>
      <c r="B1672" s="0" t="n">
        <v>0.706604128994218</v>
      </c>
      <c r="C1672" s="0" t="n">
        <v>0.535347768061657</v>
      </c>
      <c r="D1672" s="0" t="n">
        <f aca="false">A1672/SUM($A1672:$C1672)</f>
        <v>0.117588246892669</v>
      </c>
      <c r="E1672" s="0" t="n">
        <f aca="false">B1672/SUM($A1672:$C1672)</f>
        <v>0.502045038698157</v>
      </c>
      <c r="F1672" s="0" t="n">
        <f aca="false">C1672/SUM($A1672:$C1672)</f>
        <v>0.380366714409174</v>
      </c>
      <c r="G1672" s="0" t="n">
        <f aca="false">SUMPRODUCT(D1672:F1672,Stats!$B$6:$D$6)</f>
        <v>0.374882260345737</v>
      </c>
      <c r="H1672" s="0" t="n">
        <f aca="false">SQRT(SUMPRODUCT(MMULT(D1672:F1672,Stats!$B$12:$D$14),D1672:F1672))</f>
        <v>0.236057147899322</v>
      </c>
      <c r="I1672" s="0" t="n">
        <f aca="false">(G1672-Stats!$B$2)/H1672</f>
        <v>1.41017657507118</v>
      </c>
    </row>
    <row r="1673" customFormat="false" ht="15" hidden="false" customHeight="false" outlineLevel="0" collapsed="false">
      <c r="A1673" s="0" t="n">
        <v>0.635323346708321</v>
      </c>
      <c r="B1673" s="0" t="n">
        <v>0.196486966956211</v>
      </c>
      <c r="C1673" s="0" t="n">
        <v>0.21174586205242</v>
      </c>
      <c r="D1673" s="0" t="n">
        <f aca="false">A1673/SUM($A1673:$C1673)</f>
        <v>0.608806082022213</v>
      </c>
      <c r="E1673" s="0" t="n">
        <f aca="false">B1673/SUM($A1673:$C1673)</f>
        <v>0.188285950989863</v>
      </c>
      <c r="F1673" s="0" t="n">
        <f aca="false">C1673/SUM($A1673:$C1673)</f>
        <v>0.202907966987924</v>
      </c>
      <c r="G1673" s="0" t="n">
        <f aca="false">SUMPRODUCT(D1673:F1673,Stats!$B$6:$D$6)</f>
        <v>0.361722325235361</v>
      </c>
      <c r="H1673" s="0" t="n">
        <f aca="false">SQRT(SUMPRODUCT(MMULT(D1673:F1673,Stats!$B$12:$D$14),D1673:F1673))</f>
        <v>0.222263592634808</v>
      </c>
      <c r="I1673" s="0" t="n">
        <f aca="false">(G1673-Stats!$B$2)/H1673</f>
        <v>1.43848266576291</v>
      </c>
    </row>
    <row r="1674" customFormat="false" ht="15" hidden="false" customHeight="false" outlineLevel="0" collapsed="false">
      <c r="A1674" s="0" t="n">
        <v>0.0414973255099064</v>
      </c>
      <c r="B1674" s="0" t="n">
        <v>0.32206753519573</v>
      </c>
      <c r="C1674" s="0" t="n">
        <v>0.559744661333675</v>
      </c>
      <c r="D1674" s="0" t="n">
        <f aca="false">A1674/SUM($A1674:$C1674)</f>
        <v>0.0449441108527196</v>
      </c>
      <c r="E1674" s="0" t="n">
        <f aca="false">B1674/SUM($A1674:$C1674)</f>
        <v>0.348818600380488</v>
      </c>
      <c r="F1674" s="0" t="n">
        <f aca="false">C1674/SUM($A1674:$C1674)</f>
        <v>0.606237288766793</v>
      </c>
      <c r="G1674" s="0" t="n">
        <f aca="false">SUMPRODUCT(D1674:F1674,Stats!$B$6:$D$6)</f>
        <v>0.359837515188516</v>
      </c>
      <c r="H1674" s="0" t="n">
        <f aca="false">SQRT(SUMPRODUCT(MMULT(D1674:F1674,Stats!$B$12:$D$14),D1674:F1674))</f>
        <v>0.241829681646875</v>
      </c>
      <c r="I1674" s="0" t="n">
        <f aca="false">(G1674-Stats!$B$2)/H1674</f>
        <v>1.31430316172946</v>
      </c>
    </row>
    <row r="1675" customFormat="false" ht="15" hidden="false" customHeight="false" outlineLevel="0" collapsed="false">
      <c r="A1675" s="0" t="n">
        <v>0.857934913997329</v>
      </c>
      <c r="B1675" s="0" t="n">
        <v>0.666927447458681</v>
      </c>
      <c r="C1675" s="0" t="n">
        <v>0.435396323399751</v>
      </c>
      <c r="D1675" s="0" t="n">
        <f aca="false">A1675/SUM($A1675:$C1675)</f>
        <v>0.437664131078933</v>
      </c>
      <c r="E1675" s="0" t="n">
        <f aca="false">B1675/SUM($A1675:$C1675)</f>
        <v>0.340224202352025</v>
      </c>
      <c r="F1675" s="0" t="n">
        <f aca="false">C1675/SUM($A1675:$C1675)</f>
        <v>0.222111666569042</v>
      </c>
      <c r="G1675" s="0" t="n">
        <f aca="false">SUMPRODUCT(D1675:F1675,Stats!$B$6:$D$6)</f>
        <v>0.369935120939091</v>
      </c>
      <c r="H1675" s="0" t="n">
        <f aca="false">SQRT(SUMPRODUCT(MMULT(D1675:F1675,Stats!$B$12:$D$14),D1675:F1675))</f>
        <v>0.224491329443048</v>
      </c>
      <c r="I1675" s="0" t="n">
        <f aca="false">(G1675-Stats!$B$2)/H1675</f>
        <v>1.46079192346841</v>
      </c>
    </row>
    <row r="1676" customFormat="false" ht="15" hidden="false" customHeight="false" outlineLevel="0" collapsed="false">
      <c r="A1676" s="0" t="n">
        <v>0.953120114394138</v>
      </c>
      <c r="B1676" s="0" t="n">
        <v>0.719245200575832</v>
      </c>
      <c r="C1676" s="0" t="n">
        <v>0.93016520286255</v>
      </c>
      <c r="D1676" s="0" t="n">
        <f aca="false">A1676/SUM($A1676:$C1676)</f>
        <v>0.366228218214298</v>
      </c>
      <c r="E1676" s="0" t="n">
        <f aca="false">B1676/SUM($A1676:$C1676)</f>
        <v>0.276363791182301</v>
      </c>
      <c r="F1676" s="0" t="n">
        <f aca="false">C1676/SUM($A1676:$C1676)</f>
        <v>0.357407990603401</v>
      </c>
      <c r="G1676" s="0" t="n">
        <f aca="false">SUMPRODUCT(D1676:F1676,Stats!$B$6:$D$6)</f>
        <v>0.362529931435753</v>
      </c>
      <c r="H1676" s="0" t="n">
        <f aca="false">SQRT(SUMPRODUCT(MMULT(D1676:F1676,Stats!$B$12:$D$14),D1676:F1676))</f>
        <v>0.225134193275561</v>
      </c>
      <c r="I1676" s="0" t="n">
        <f aca="false">(G1676-Stats!$B$2)/H1676</f>
        <v>1.42372834073866</v>
      </c>
    </row>
    <row r="1677" customFormat="false" ht="15" hidden="false" customHeight="false" outlineLevel="0" collapsed="false">
      <c r="A1677" s="0" t="n">
        <v>0.527587973272166</v>
      </c>
      <c r="B1677" s="0" t="n">
        <v>0.25890427479314</v>
      </c>
      <c r="C1677" s="0" t="n">
        <v>0.052826686364722</v>
      </c>
      <c r="D1677" s="0" t="n">
        <f aca="false">A1677/SUM($A1677:$C1677)</f>
        <v>0.628590576990194</v>
      </c>
      <c r="E1677" s="0" t="n">
        <f aca="false">B1677/SUM($A1677:$C1677)</f>
        <v>0.308469479446402</v>
      </c>
      <c r="F1677" s="0" t="n">
        <f aca="false">C1677/SUM($A1677:$C1677)</f>
        <v>0.0629399435634036</v>
      </c>
      <c r="G1677" s="0" t="n">
        <f aca="false">SUMPRODUCT(D1677:F1677,Stats!$B$6:$D$6)</f>
        <v>0.372497094323652</v>
      </c>
      <c r="H1677" s="0" t="n">
        <f aca="false">SQRT(SUMPRODUCT(MMULT(D1677:F1677,Stats!$B$12:$D$14),D1677:F1677))</f>
        <v>0.225514325550884</v>
      </c>
      <c r="I1677" s="0" t="n">
        <f aca="false">(G1677-Stats!$B$2)/H1677</f>
        <v>1.46552594171709</v>
      </c>
    </row>
    <row r="1678" customFormat="false" ht="15" hidden="false" customHeight="false" outlineLevel="0" collapsed="false">
      <c r="A1678" s="0" t="n">
        <v>0.726084851483851</v>
      </c>
      <c r="B1678" s="0" t="n">
        <v>0.121302998005534</v>
      </c>
      <c r="C1678" s="0" t="n">
        <v>0.302775128271967</v>
      </c>
      <c r="D1678" s="0" t="n">
        <f aca="false">A1678/SUM($A1678:$C1678)</f>
        <v>0.6312886656264</v>
      </c>
      <c r="E1678" s="0" t="n">
        <f aca="false">B1678/SUM($A1678:$C1678)</f>
        <v>0.10546592122243</v>
      </c>
      <c r="F1678" s="0" t="n">
        <f aca="false">C1678/SUM($A1678:$C1678)</f>
        <v>0.26324541315117</v>
      </c>
      <c r="G1678" s="0" t="n">
        <f aca="false">SUMPRODUCT(D1678:F1678,Stats!$B$6:$D$6)</f>
        <v>0.35529318604346</v>
      </c>
      <c r="H1678" s="0" t="n">
        <f aca="false">SQRT(SUMPRODUCT(MMULT(D1678:F1678,Stats!$B$12:$D$14),D1678:F1678))</f>
        <v>0.221512581578339</v>
      </c>
      <c r="I1678" s="0" t="n">
        <f aca="false">(G1678-Stats!$B$2)/H1678</f>
        <v>1.41433585312021</v>
      </c>
    </row>
    <row r="1679" customFormat="false" ht="15" hidden="false" customHeight="false" outlineLevel="0" collapsed="false">
      <c r="A1679" s="0" t="n">
        <v>0.532470907883897</v>
      </c>
      <c r="B1679" s="0" t="n">
        <v>0.564416587779748</v>
      </c>
      <c r="C1679" s="0" t="n">
        <v>0.600583196987136</v>
      </c>
      <c r="D1679" s="0" t="n">
        <f aca="false">A1679/SUM($A1679:$C1679)</f>
        <v>0.313684890224754</v>
      </c>
      <c r="E1679" s="0" t="n">
        <f aca="false">B1679/SUM($A1679:$C1679)</f>
        <v>0.332504466924463</v>
      </c>
      <c r="F1679" s="0" t="n">
        <f aca="false">C1679/SUM($A1679:$C1679)</f>
        <v>0.353810642850783</v>
      </c>
      <c r="G1679" s="0" t="n">
        <f aca="false">SUMPRODUCT(D1679:F1679,Stats!$B$6:$D$6)</f>
        <v>0.365859388737168</v>
      </c>
      <c r="H1679" s="0" t="n">
        <f aca="false">SQRT(SUMPRODUCT(MMULT(D1679:F1679,Stats!$B$12:$D$14),D1679:F1679))</f>
        <v>0.226908049276147</v>
      </c>
      <c r="I1679" s="0" t="n">
        <f aca="false">(G1679-Stats!$B$2)/H1679</f>
        <v>1.42727148627077</v>
      </c>
    </row>
    <row r="1680" customFormat="false" ht="15" hidden="false" customHeight="false" outlineLevel="0" collapsed="false">
      <c r="A1680" s="0" t="n">
        <v>0.166255330349701</v>
      </c>
      <c r="B1680" s="0" t="n">
        <v>0.379737404821649</v>
      </c>
      <c r="C1680" s="0" t="n">
        <v>0.617194227116967</v>
      </c>
      <c r="D1680" s="0" t="n">
        <f aca="false">A1680/SUM($A1680:$C1680)</f>
        <v>0.142930875035454</v>
      </c>
      <c r="E1680" s="0" t="n">
        <f aca="false">B1680/SUM($A1680:$C1680)</f>
        <v>0.326462913644251</v>
      </c>
      <c r="F1680" s="0" t="n">
        <f aca="false">C1680/SUM($A1680:$C1680)</f>
        <v>0.530606211320295</v>
      </c>
      <c r="G1680" s="0" t="n">
        <f aca="false">SUMPRODUCT(D1680:F1680,Stats!$B$6:$D$6)</f>
        <v>0.360636695779458</v>
      </c>
      <c r="H1680" s="0" t="n">
        <f aca="false">SQRT(SUMPRODUCT(MMULT(D1680:F1680,Stats!$B$12:$D$14),D1680:F1680))</f>
        <v>0.235217488270989</v>
      </c>
      <c r="I1680" s="0" t="n">
        <f aca="false">(G1680-Stats!$B$2)/H1680</f>
        <v>1.35464713156176</v>
      </c>
    </row>
    <row r="1681" customFormat="false" ht="15" hidden="false" customHeight="false" outlineLevel="0" collapsed="false">
      <c r="A1681" s="0" t="n">
        <v>0.969818864633785</v>
      </c>
      <c r="B1681" s="0" t="n">
        <v>0.727631137699689</v>
      </c>
      <c r="C1681" s="0" t="n">
        <v>0.922603757093958</v>
      </c>
      <c r="D1681" s="0" t="n">
        <f aca="false">A1681/SUM($A1681:$C1681)</f>
        <v>0.370152276892869</v>
      </c>
      <c r="E1681" s="0" t="n">
        <f aca="false">B1681/SUM($A1681:$C1681)</f>
        <v>0.277716109862837</v>
      </c>
      <c r="F1681" s="0" t="n">
        <f aca="false">C1681/SUM($A1681:$C1681)</f>
        <v>0.352131613244294</v>
      </c>
      <c r="G1681" s="0" t="n">
        <f aca="false">SUMPRODUCT(D1681:F1681,Stats!$B$6:$D$6)</f>
        <v>0.362753236178635</v>
      </c>
      <c r="H1681" s="0" t="n">
        <f aca="false">SQRT(SUMPRODUCT(MMULT(D1681:F1681,Stats!$B$12:$D$14),D1681:F1681))</f>
        <v>0.225029844492717</v>
      </c>
      <c r="I1681" s="0" t="n">
        <f aca="false">(G1681-Stats!$B$2)/H1681</f>
        <v>1.42538087293135</v>
      </c>
    </row>
    <row r="1682" customFormat="false" ht="15" hidden="false" customHeight="false" outlineLevel="0" collapsed="false">
      <c r="A1682" s="0" t="n">
        <v>0.762212058314177</v>
      </c>
      <c r="B1682" s="0" t="n">
        <v>0.5917169688924</v>
      </c>
      <c r="C1682" s="0" t="n">
        <v>0.192023369136345</v>
      </c>
      <c r="D1682" s="0" t="n">
        <f aca="false">A1682/SUM($A1682:$C1682)</f>
        <v>0.493037211312103</v>
      </c>
      <c r="E1682" s="0" t="n">
        <f aca="false">B1682/SUM($A1682:$C1682)</f>
        <v>0.382752386355593</v>
      </c>
      <c r="F1682" s="0" t="n">
        <f aca="false">C1682/SUM($A1682:$C1682)</f>
        <v>0.124210402332304</v>
      </c>
      <c r="G1682" s="0" t="n">
        <f aca="false">SUMPRODUCT(D1682:F1682,Stats!$B$6:$D$6)</f>
        <v>0.375081727310027</v>
      </c>
      <c r="H1682" s="0" t="n">
        <f aca="false">SQRT(SUMPRODUCT(MMULT(D1682:F1682,Stats!$B$12:$D$14),D1682:F1682))</f>
        <v>0.225448570239583</v>
      </c>
      <c r="I1682" s="0" t="n">
        <f aca="false">(G1682-Stats!$B$2)/H1682</f>
        <v>1.47741778515633</v>
      </c>
    </row>
    <row r="1683" customFormat="false" ht="15" hidden="false" customHeight="false" outlineLevel="0" collapsed="false">
      <c r="A1683" s="0" t="n">
        <v>0.666685651892513</v>
      </c>
      <c r="B1683" s="0" t="n">
        <v>0.623379565959907</v>
      </c>
      <c r="C1683" s="0" t="n">
        <v>0.602469170457266</v>
      </c>
      <c r="D1683" s="0" t="n">
        <f aca="false">A1683/SUM($A1683:$C1683)</f>
        <v>0.352271354227789</v>
      </c>
      <c r="E1683" s="0" t="n">
        <f aca="false">B1683/SUM($A1683:$C1683)</f>
        <v>0.329388765567783</v>
      </c>
      <c r="F1683" s="0" t="n">
        <f aca="false">C1683/SUM($A1683:$C1683)</f>
        <v>0.318339880204428</v>
      </c>
      <c r="G1683" s="0" t="n">
        <f aca="false">SUMPRODUCT(D1683:F1683,Stats!$B$6:$D$6)</f>
        <v>0.366658207950878</v>
      </c>
      <c r="H1683" s="0" t="n">
        <f aca="false">SQRT(SUMPRODUCT(MMULT(D1683:F1683,Stats!$B$12:$D$14),D1683:F1683))</f>
        <v>0.225772241561297</v>
      </c>
      <c r="I1683" s="0" t="n">
        <f aca="false">(G1683-Stats!$B$2)/H1683</f>
        <v>1.4379899216385</v>
      </c>
    </row>
    <row r="1684" customFormat="false" ht="15" hidden="false" customHeight="false" outlineLevel="0" collapsed="false">
      <c r="A1684" s="0" t="n">
        <v>0.489785867988241</v>
      </c>
      <c r="B1684" s="0" t="n">
        <v>0.528656603989276</v>
      </c>
      <c r="C1684" s="0" t="n">
        <v>0.334442527118104</v>
      </c>
      <c r="D1684" s="0" t="n">
        <f aca="false">A1684/SUM($A1684:$C1684)</f>
        <v>0.362030673941727</v>
      </c>
      <c r="E1684" s="0" t="n">
        <f aca="false">B1684/SUM($A1684:$C1684)</f>
        <v>0.390762410953387</v>
      </c>
      <c r="F1684" s="0" t="n">
        <f aca="false">C1684/SUM($A1684:$C1684)</f>
        <v>0.247206915104885</v>
      </c>
      <c r="G1684" s="0" t="n">
        <f aca="false">SUMPRODUCT(D1684:F1684,Stats!$B$6:$D$6)</f>
        <v>0.372151032225454</v>
      </c>
      <c r="H1684" s="0" t="n">
        <f aca="false">SQRT(SUMPRODUCT(MMULT(D1684:F1684,Stats!$B$12:$D$14),D1684:F1684))</f>
        <v>0.226289216980189</v>
      </c>
      <c r="I1684" s="0" t="n">
        <f aca="false">(G1684-Stats!$B$2)/H1684</f>
        <v>1.45897819008476</v>
      </c>
    </row>
    <row r="1685" customFormat="false" ht="15" hidden="false" customHeight="false" outlineLevel="0" collapsed="false">
      <c r="A1685" s="0" t="n">
        <v>0.519312692642303</v>
      </c>
      <c r="B1685" s="0" t="n">
        <v>0.197555905678478</v>
      </c>
      <c r="C1685" s="0" t="n">
        <v>0.805174397360377</v>
      </c>
      <c r="D1685" s="0" t="n">
        <f aca="false">A1685/SUM($A1685:$C1685)</f>
        <v>0.341194495895233</v>
      </c>
      <c r="E1685" s="0" t="n">
        <f aca="false">B1685/SUM($A1685:$C1685)</f>
        <v>0.12979653415774</v>
      </c>
      <c r="F1685" s="0" t="n">
        <f aca="false">C1685/SUM($A1685:$C1685)</f>
        <v>0.529008969947027</v>
      </c>
      <c r="G1685" s="0" t="n">
        <f aca="false">SUMPRODUCT(D1685:F1685,Stats!$B$6:$D$6)</f>
        <v>0.349364810160654</v>
      </c>
      <c r="H1685" s="0" t="n">
        <f aca="false">SQRT(SUMPRODUCT(MMULT(D1685:F1685,Stats!$B$12:$D$14),D1685:F1685))</f>
        <v>0.227219165238405</v>
      </c>
      <c r="I1685" s="0" t="n">
        <f aca="false">(G1685-Stats!$B$2)/H1685</f>
        <v>1.35272396515566</v>
      </c>
    </row>
    <row r="1686" customFormat="false" ht="15" hidden="false" customHeight="false" outlineLevel="0" collapsed="false">
      <c r="A1686" s="0" t="n">
        <v>0.185776954698708</v>
      </c>
      <c r="B1686" s="0" t="n">
        <v>0.0849662898894664</v>
      </c>
      <c r="C1686" s="0" t="n">
        <v>0.436246026357157</v>
      </c>
      <c r="D1686" s="0" t="n">
        <f aca="false">A1686/SUM($A1686:$C1686)</f>
        <v>0.262771957557858</v>
      </c>
      <c r="E1686" s="0" t="n">
        <f aca="false">B1686/SUM($A1686:$C1686)</f>
        <v>0.120180451643709</v>
      </c>
      <c r="F1686" s="0" t="n">
        <f aca="false">C1686/SUM($A1686:$C1686)</f>
        <v>0.617047590798433</v>
      </c>
      <c r="G1686" s="0" t="n">
        <f aca="false">SUMPRODUCT(D1686:F1686,Stats!$B$6:$D$6)</f>
        <v>0.346383882110106</v>
      </c>
      <c r="H1686" s="0" t="n">
        <f aca="false">SQRT(SUMPRODUCT(MMULT(D1686:F1686,Stats!$B$12:$D$14),D1686:F1686))</f>
        <v>0.231699631270511</v>
      </c>
      <c r="I1686" s="0" t="n">
        <f aca="false">(G1686-Stats!$B$2)/H1686</f>
        <v>1.31370033021216</v>
      </c>
    </row>
    <row r="1687" customFormat="false" ht="15" hidden="false" customHeight="false" outlineLevel="0" collapsed="false">
      <c r="A1687" s="0" t="n">
        <v>0.658307439506062</v>
      </c>
      <c r="B1687" s="0" t="n">
        <v>0.437716824933541</v>
      </c>
      <c r="C1687" s="0" t="n">
        <v>0.276754131951309</v>
      </c>
      <c r="D1687" s="0" t="n">
        <f aca="false">A1687/SUM($A1687:$C1687)</f>
        <v>0.479543851532613</v>
      </c>
      <c r="E1687" s="0" t="n">
        <f aca="false">B1687/SUM($A1687:$C1687)</f>
        <v>0.318854686294828</v>
      </c>
      <c r="F1687" s="0" t="n">
        <f aca="false">C1687/SUM($A1687:$C1687)</f>
        <v>0.201601462172559</v>
      </c>
      <c r="G1687" s="0" t="n">
        <f aca="false">SUMPRODUCT(D1687:F1687,Stats!$B$6:$D$6)</f>
        <v>0.369271107640777</v>
      </c>
      <c r="H1687" s="0" t="n">
        <f aca="false">SQRT(SUMPRODUCT(MMULT(D1687:F1687,Stats!$B$12:$D$14),D1687:F1687))</f>
        <v>0.223908749742765</v>
      </c>
      <c r="I1687" s="0" t="n">
        <f aca="false">(G1687-Stats!$B$2)/H1687</f>
        <v>1.46162714952747</v>
      </c>
    </row>
    <row r="1688" customFormat="false" ht="15" hidden="false" customHeight="false" outlineLevel="0" collapsed="false">
      <c r="A1688" s="0" t="n">
        <v>0.558171183890441</v>
      </c>
      <c r="B1688" s="0" t="n">
        <v>0.3470023354122</v>
      </c>
      <c r="C1688" s="0" t="n">
        <v>0.932867690126633</v>
      </c>
      <c r="D1688" s="0" t="n">
        <f aca="false">A1688/SUM($A1688:$C1688)</f>
        <v>0.303677186902549</v>
      </c>
      <c r="E1688" s="0" t="n">
        <f aca="false">B1688/SUM($A1688:$C1688)</f>
        <v>0.188789203219196</v>
      </c>
      <c r="F1688" s="0" t="n">
        <f aca="false">C1688/SUM($A1688:$C1688)</f>
        <v>0.507533609878255</v>
      </c>
      <c r="G1688" s="0" t="n">
        <f aca="false">SUMPRODUCT(D1688:F1688,Stats!$B$6:$D$6)</f>
        <v>0.353351346779772</v>
      </c>
      <c r="H1688" s="0" t="n">
        <f aca="false">SQRT(SUMPRODUCT(MMULT(D1688:F1688,Stats!$B$12:$D$14),D1688:F1688))</f>
        <v>0.228048852156687</v>
      </c>
      <c r="I1688" s="0" t="n">
        <f aca="false">(G1688-Stats!$B$2)/H1688</f>
        <v>1.36528355146401</v>
      </c>
    </row>
    <row r="1689" customFormat="false" ht="15" hidden="false" customHeight="false" outlineLevel="0" collapsed="false">
      <c r="A1689" s="0" t="n">
        <v>0.922645139603572</v>
      </c>
      <c r="B1689" s="0" t="n">
        <v>0.502371819972096</v>
      </c>
      <c r="C1689" s="0" t="n">
        <v>0.327883994018259</v>
      </c>
      <c r="D1689" s="0" t="n">
        <f aca="false">A1689/SUM($A1689:$C1689)</f>
        <v>0.526353264690682</v>
      </c>
      <c r="E1689" s="0" t="n">
        <f aca="false">B1689/SUM($A1689:$C1689)</f>
        <v>0.286594527170572</v>
      </c>
      <c r="F1689" s="0" t="n">
        <f aca="false">C1689/SUM($A1689:$C1689)</f>
        <v>0.187052208138747</v>
      </c>
      <c r="G1689" s="0" t="n">
        <f aca="false">SUMPRODUCT(D1689:F1689,Stats!$B$6:$D$6)</f>
        <v>0.367816089922319</v>
      </c>
      <c r="H1689" s="0" t="n">
        <f aca="false">SQRT(SUMPRODUCT(MMULT(D1689:F1689,Stats!$B$12:$D$14),D1689:F1689))</f>
        <v>0.223354756405027</v>
      </c>
      <c r="I1689" s="0" t="n">
        <f aca="false">(G1689-Stats!$B$2)/H1689</f>
        <v>1.45873808629126</v>
      </c>
    </row>
    <row r="1690" customFormat="false" ht="15" hidden="false" customHeight="false" outlineLevel="0" collapsed="false">
      <c r="A1690" s="0" t="n">
        <v>0.737132413956639</v>
      </c>
      <c r="B1690" s="0" t="n">
        <v>0.0367129434830666</v>
      </c>
      <c r="C1690" s="0" t="n">
        <v>0.474769006043651</v>
      </c>
      <c r="D1690" s="0" t="n">
        <f aca="false">A1690/SUM($A1690:$C1690)</f>
        <v>0.59036035105363</v>
      </c>
      <c r="E1690" s="0" t="n">
        <f aca="false">B1690/SUM($A1690:$C1690)</f>
        <v>0.0294029482254598</v>
      </c>
      <c r="F1690" s="0" t="n">
        <f aca="false">C1690/SUM($A1690:$C1690)</f>
        <v>0.38023670072091</v>
      </c>
      <c r="G1690" s="0" t="n">
        <f aca="false">SUMPRODUCT(D1690:F1690,Stats!$B$6:$D$6)</f>
        <v>0.347690631266074</v>
      </c>
      <c r="H1690" s="0" t="n">
        <f aca="false">SQRT(SUMPRODUCT(MMULT(D1690:F1690,Stats!$B$12:$D$14),D1690:F1690))</f>
        <v>0.221484433459999</v>
      </c>
      <c r="I1690" s="0" t="n">
        <f aca="false">(G1690-Stats!$B$2)/H1690</f>
        <v>1.38019014018555</v>
      </c>
    </row>
    <row r="1691" customFormat="false" ht="15" hidden="false" customHeight="false" outlineLevel="0" collapsed="false">
      <c r="A1691" s="0" t="n">
        <v>0.336323394270334</v>
      </c>
      <c r="B1691" s="0" t="n">
        <v>0.920535885102555</v>
      </c>
      <c r="C1691" s="0" t="n">
        <v>0.0120030272726825</v>
      </c>
      <c r="D1691" s="0" t="n">
        <f aca="false">A1691/SUM($A1691:$C1691)</f>
        <v>0.2650590158671</v>
      </c>
      <c r="E1691" s="0" t="n">
        <f aca="false">B1691/SUM($A1691:$C1691)</f>
        <v>0.725481307373793</v>
      </c>
      <c r="F1691" s="0" t="n">
        <f aca="false">C1691/SUM($A1691:$C1691)</f>
        <v>0.00945967675910742</v>
      </c>
      <c r="G1691" s="0" t="n">
        <f aca="false">SUMPRODUCT(D1691:F1691,Stats!$B$6:$D$6)</f>
        <v>0.397966112962283</v>
      </c>
      <c r="H1691" s="0" t="n">
        <f aca="false">SQRT(SUMPRODUCT(MMULT(D1691:F1691,Stats!$B$12:$D$14),D1691:F1691))</f>
        <v>0.237699133686071</v>
      </c>
      <c r="I1691" s="0" t="n">
        <f aca="false">(G1691-Stats!$B$2)/H1691</f>
        <v>1.49754905473239</v>
      </c>
    </row>
    <row r="1692" customFormat="false" ht="15" hidden="false" customHeight="false" outlineLevel="0" collapsed="false">
      <c r="A1692" s="0" t="n">
        <v>0.552814875718349</v>
      </c>
      <c r="B1692" s="0" t="n">
        <v>0.740663581066626</v>
      </c>
      <c r="C1692" s="0" t="n">
        <v>0.485017987524041</v>
      </c>
      <c r="D1692" s="0" t="n">
        <f aca="false">A1692/SUM($A1692:$C1692)</f>
        <v>0.310832713490821</v>
      </c>
      <c r="E1692" s="0" t="n">
        <f aca="false">B1692/SUM($A1692:$C1692)</f>
        <v>0.416454912483331</v>
      </c>
      <c r="F1692" s="0" t="n">
        <f aca="false">C1692/SUM($A1692:$C1692)</f>
        <v>0.272712374025848</v>
      </c>
      <c r="G1692" s="0" t="n">
        <f aca="false">SUMPRODUCT(D1692:F1692,Stats!$B$6:$D$6)</f>
        <v>0.372926042290503</v>
      </c>
      <c r="H1692" s="0" t="n">
        <f aca="false">SQRT(SUMPRODUCT(MMULT(D1692:F1692,Stats!$B$12:$D$14),D1692:F1692))</f>
        <v>0.227757926258193</v>
      </c>
      <c r="I1692" s="0" t="n">
        <f aca="false">(G1692-Stats!$B$2)/H1692</f>
        <v>1.45297267026991</v>
      </c>
    </row>
    <row r="1693" customFormat="false" ht="15" hidden="false" customHeight="false" outlineLevel="0" collapsed="false">
      <c r="A1693" s="0" t="n">
        <v>0.0854030301627217</v>
      </c>
      <c r="B1693" s="0" t="n">
        <v>0.972461390027902</v>
      </c>
      <c r="C1693" s="0" t="n">
        <v>0.518010431376098</v>
      </c>
      <c r="D1693" s="0" t="n">
        <f aca="false">A1693/SUM($A1693:$C1693)</f>
        <v>0.0541940434405782</v>
      </c>
      <c r="E1693" s="0" t="n">
        <f aca="false">B1693/SUM($A1693:$C1693)</f>
        <v>0.617093031887075</v>
      </c>
      <c r="F1693" s="0" t="n">
        <f aca="false">C1693/SUM($A1693:$C1693)</f>
        <v>0.328712924672347</v>
      </c>
      <c r="G1693" s="0" t="n">
        <f aca="false">SUMPRODUCT(D1693:F1693,Stats!$B$6:$D$6)</f>
        <v>0.382926306355025</v>
      </c>
      <c r="H1693" s="0" t="n">
        <f aca="false">SQRT(SUMPRODUCT(MMULT(D1693:F1693,Stats!$B$12:$D$14),D1693:F1693))</f>
        <v>0.240426087211302</v>
      </c>
      <c r="I1693" s="0" t="n">
        <f aca="false">(G1693-Stats!$B$2)/H1693</f>
        <v>1.41800879559046</v>
      </c>
    </row>
    <row r="1694" customFormat="false" ht="15" hidden="false" customHeight="false" outlineLevel="0" collapsed="false">
      <c r="A1694" s="0" t="n">
        <v>0.614186244319011</v>
      </c>
      <c r="B1694" s="0" t="n">
        <v>0.236609782707507</v>
      </c>
      <c r="C1694" s="0" t="n">
        <v>0.483498085106804</v>
      </c>
      <c r="D1694" s="0" t="n">
        <f aca="false">A1694/SUM($A1694:$C1694)</f>
        <v>0.460307992618678</v>
      </c>
      <c r="E1694" s="0" t="n">
        <f aca="false">B1694/SUM($A1694:$C1694)</f>
        <v>0.177329556171994</v>
      </c>
      <c r="F1694" s="0" t="n">
        <f aca="false">C1694/SUM($A1694:$C1694)</f>
        <v>0.362362451209327</v>
      </c>
      <c r="G1694" s="0" t="n">
        <f aca="false">SUMPRODUCT(D1694:F1694,Stats!$B$6:$D$6)</f>
        <v>0.356695012385139</v>
      </c>
      <c r="H1694" s="0" t="n">
        <f aca="false">SQRT(SUMPRODUCT(MMULT(D1694:F1694,Stats!$B$12:$D$14),D1694:F1694))</f>
        <v>0.222807795005347</v>
      </c>
      <c r="I1694" s="0" t="n">
        <f aca="false">(G1694-Stats!$B$2)/H1694</f>
        <v>1.41240575706783</v>
      </c>
    </row>
    <row r="1695" customFormat="false" ht="15" hidden="false" customHeight="false" outlineLevel="0" collapsed="false">
      <c r="A1695" s="0" t="n">
        <v>0.429149491958322</v>
      </c>
      <c r="B1695" s="0" t="n">
        <v>0.0748958420019837</v>
      </c>
      <c r="C1695" s="0" t="n">
        <v>0.106160353547467</v>
      </c>
      <c r="D1695" s="0" t="n">
        <f aca="false">A1695/SUM($A1695:$C1695)</f>
        <v>0.703286614241621</v>
      </c>
      <c r="E1695" s="0" t="n">
        <f aca="false">B1695/SUM($A1695:$C1695)</f>
        <v>0.122738682275933</v>
      </c>
      <c r="F1695" s="0" t="n">
        <f aca="false">C1695/SUM($A1695:$C1695)</f>
        <v>0.173974703482446</v>
      </c>
      <c r="G1695" s="0" t="n">
        <f aca="false">SUMPRODUCT(D1695:F1695,Stats!$B$6:$D$6)</f>
        <v>0.358748643842577</v>
      </c>
      <c r="H1695" s="0" t="n">
        <f aca="false">SQRT(SUMPRODUCT(MMULT(D1695:F1695,Stats!$B$12:$D$14),D1695:F1695))</f>
        <v>0.222823696285493</v>
      </c>
      <c r="I1695" s="0" t="n">
        <f aca="false">(G1695-Stats!$B$2)/H1695</f>
        <v>1.42152136026297</v>
      </c>
    </row>
    <row r="1696" customFormat="false" ht="15" hidden="false" customHeight="false" outlineLevel="0" collapsed="false">
      <c r="A1696" s="0" t="n">
        <v>0.837472519618775</v>
      </c>
      <c r="B1696" s="0" t="n">
        <v>0.23981995220659</v>
      </c>
      <c r="C1696" s="0" t="n">
        <v>0.194958271498631</v>
      </c>
      <c r="D1696" s="0" t="n">
        <f aca="false">A1696/SUM($A1696:$C1696)</f>
        <v>0.658260585826595</v>
      </c>
      <c r="E1696" s="0" t="n">
        <f aca="false">B1696/SUM($A1696:$C1696)</f>
        <v>0.188500540058649</v>
      </c>
      <c r="F1696" s="0" t="n">
        <f aca="false">C1696/SUM($A1696:$C1696)</f>
        <v>0.153238874114756</v>
      </c>
      <c r="G1696" s="0" t="n">
        <f aca="false">SUMPRODUCT(D1696:F1696,Stats!$B$6:$D$6)</f>
        <v>0.363104278544882</v>
      </c>
      <c r="H1696" s="0" t="n">
        <f aca="false">SQRT(SUMPRODUCT(MMULT(D1696:F1696,Stats!$B$12:$D$14),D1696:F1696))</f>
        <v>0.223056776055615</v>
      </c>
      <c r="I1696" s="0" t="n">
        <f aca="false">(G1696-Stats!$B$2)/H1696</f>
        <v>1.43956298581497</v>
      </c>
    </row>
    <row r="1697" customFormat="false" ht="15" hidden="false" customHeight="false" outlineLevel="0" collapsed="false">
      <c r="A1697" s="0" t="n">
        <v>0.504911451250139</v>
      </c>
      <c r="B1697" s="0" t="n">
        <v>0.768747131362513</v>
      </c>
      <c r="C1697" s="0" t="n">
        <v>0.0619465185789879</v>
      </c>
      <c r="D1697" s="0" t="n">
        <f aca="false">A1697/SUM($A1697:$C1697)</f>
        <v>0.378039474991262</v>
      </c>
      <c r="E1697" s="0" t="n">
        <f aca="false">B1697/SUM($A1697:$C1697)</f>
        <v>0.575579660991583</v>
      </c>
      <c r="F1697" s="0" t="n">
        <f aca="false">C1697/SUM($A1697:$C1697)</f>
        <v>0.0463808640171549</v>
      </c>
      <c r="G1697" s="0" t="n">
        <f aca="false">SUMPRODUCT(D1697:F1697,Stats!$B$6:$D$6)</f>
        <v>0.38832287870535</v>
      </c>
      <c r="H1697" s="0" t="n">
        <f aca="false">SQRT(SUMPRODUCT(MMULT(D1697:F1697,Stats!$B$12:$D$14),D1697:F1697))</f>
        <v>0.231337778303437</v>
      </c>
      <c r="I1697" s="0" t="n">
        <f aca="false">(G1697-Stats!$B$2)/H1697</f>
        <v>1.49704419764545</v>
      </c>
    </row>
    <row r="1698" customFormat="false" ht="15" hidden="false" customHeight="false" outlineLevel="0" collapsed="false">
      <c r="A1698" s="0" t="n">
        <v>0.576807919638256</v>
      </c>
      <c r="B1698" s="0" t="n">
        <v>0.119210442840573</v>
      </c>
      <c r="C1698" s="0" t="n">
        <v>0.0364610508256185</v>
      </c>
      <c r="D1698" s="0" t="n">
        <f aca="false">A1698/SUM($A1698:$C1698)</f>
        <v>0.787473216531905</v>
      </c>
      <c r="E1698" s="0" t="n">
        <f aca="false">B1698/SUM($A1698:$C1698)</f>
        <v>0.162749205882493</v>
      </c>
      <c r="F1698" s="0" t="n">
        <f aca="false">C1698/SUM($A1698:$C1698)</f>
        <v>0.0497775775856021</v>
      </c>
      <c r="G1698" s="0" t="n">
        <f aca="false">SUMPRODUCT(D1698:F1698,Stats!$B$6:$D$6)</f>
        <v>0.36447548556417</v>
      </c>
      <c r="H1698" s="0" t="n">
        <f aca="false">SQRT(SUMPRODUCT(MMULT(D1698:F1698,Stats!$B$12:$D$14),D1698:F1698))</f>
        <v>0.226556845662934</v>
      </c>
      <c r="I1698" s="0" t="n">
        <f aca="false">(G1698-Stats!$B$2)/H1698</f>
        <v>1.42337559750431</v>
      </c>
    </row>
    <row r="1699" customFormat="false" ht="15" hidden="false" customHeight="false" outlineLevel="0" collapsed="false">
      <c r="A1699" s="0" t="n">
        <v>0.0527439521622174</v>
      </c>
      <c r="B1699" s="0" t="n">
        <v>0.834164108208441</v>
      </c>
      <c r="C1699" s="0" t="n">
        <v>0.117972483628062</v>
      </c>
      <c r="D1699" s="0" t="n">
        <f aca="false">A1699/SUM($A1699:$C1699)</f>
        <v>0.0524877832267838</v>
      </c>
      <c r="E1699" s="0" t="n">
        <f aca="false">B1699/SUM($A1699:$C1699)</f>
        <v>0.830112706619886</v>
      </c>
      <c r="F1699" s="0" t="n">
        <f aca="false">C1699/SUM($A1699:$C1699)</f>
        <v>0.11739951015333</v>
      </c>
      <c r="G1699" s="0" t="n">
        <f aca="false">SUMPRODUCT(D1699:F1699,Stats!$B$6:$D$6)</f>
        <v>0.40101006886313</v>
      </c>
      <c r="H1699" s="0" t="n">
        <f aca="false">SQRT(SUMPRODUCT(MMULT(D1699:F1699,Stats!$B$12:$D$14),D1699:F1699))</f>
        <v>0.245806557260727</v>
      </c>
      <c r="I1699" s="0" t="n">
        <f aca="false">(G1699-Stats!$B$2)/H1699</f>
        <v>1.46053902248966</v>
      </c>
    </row>
    <row r="1700" customFormat="false" ht="15" hidden="false" customHeight="false" outlineLevel="0" collapsed="false">
      <c r="A1700" s="0" t="n">
        <v>0.045151364412292</v>
      </c>
      <c r="B1700" s="0" t="n">
        <v>0.437899887142912</v>
      </c>
      <c r="C1700" s="0" t="n">
        <v>0.843993471942025</v>
      </c>
      <c r="D1700" s="0" t="n">
        <f aca="false">A1700/SUM($A1700:$C1700)</f>
        <v>0.0340239960363222</v>
      </c>
      <c r="E1700" s="0" t="n">
        <f aca="false">B1700/SUM($A1700:$C1700)</f>
        <v>0.329981257895282</v>
      </c>
      <c r="F1700" s="0" t="n">
        <f aca="false">C1700/SUM($A1700:$C1700)</f>
        <v>0.635994746068396</v>
      </c>
      <c r="G1700" s="0" t="n">
        <f aca="false">SUMPRODUCT(D1700:F1700,Stats!$B$6:$D$6)</f>
        <v>0.357933088442841</v>
      </c>
      <c r="H1700" s="0" t="n">
        <f aca="false">SQRT(SUMPRODUCT(MMULT(D1700:F1700,Stats!$B$12:$D$14),D1700:F1700))</f>
        <v>0.243083623740797</v>
      </c>
      <c r="I1700" s="0" t="n">
        <f aca="false">(G1700-Stats!$B$2)/H1700</f>
        <v>1.29968890368248</v>
      </c>
    </row>
    <row r="1701" customFormat="false" ht="15" hidden="false" customHeight="false" outlineLevel="0" collapsed="false">
      <c r="A1701" s="0" t="n">
        <v>0.262408376489302</v>
      </c>
      <c r="B1701" s="0" t="n">
        <v>0.421712617525916</v>
      </c>
      <c r="C1701" s="0" t="n">
        <v>0.0399225325637512</v>
      </c>
      <c r="D1701" s="0" t="n">
        <f aca="false">A1701/SUM($A1701:$C1701)</f>
        <v>0.362420720380105</v>
      </c>
      <c r="E1701" s="0" t="n">
        <f aca="false">B1701/SUM($A1701:$C1701)</f>
        <v>0.582440974948654</v>
      </c>
      <c r="F1701" s="0" t="n">
        <f aca="false">C1701/SUM($A1701:$C1701)</f>
        <v>0.0551383046712413</v>
      </c>
      <c r="G1701" s="0" t="n">
        <f aca="false">SUMPRODUCT(D1701:F1701,Stats!$B$6:$D$6)</f>
        <v>0.388476186772267</v>
      </c>
      <c r="H1701" s="0" t="n">
        <f aca="false">SQRT(SUMPRODUCT(MMULT(D1701:F1701,Stats!$B$12:$D$14),D1701:F1701))</f>
        <v>0.231566805346739</v>
      </c>
      <c r="I1701" s="0" t="n">
        <f aca="false">(G1701-Stats!$B$2)/H1701</f>
        <v>1.49622561944259</v>
      </c>
    </row>
    <row r="1702" customFormat="false" ht="15" hidden="false" customHeight="false" outlineLevel="0" collapsed="false">
      <c r="A1702" s="0" t="n">
        <v>0.449078514134876</v>
      </c>
      <c r="B1702" s="0" t="n">
        <v>0.577613080637134</v>
      </c>
      <c r="C1702" s="0" t="n">
        <v>0.570907053752145</v>
      </c>
      <c r="D1702" s="0" t="n">
        <f aca="false">A1702/SUM($A1702:$C1702)</f>
        <v>0.281095952697337</v>
      </c>
      <c r="E1702" s="0" t="n">
        <f aca="false">B1702/SUM($A1702:$C1702)</f>
        <v>0.361550807000699</v>
      </c>
      <c r="F1702" s="0" t="n">
        <f aca="false">C1702/SUM($A1702:$C1702)</f>
        <v>0.357353240301964</v>
      </c>
      <c r="G1702" s="0" t="n">
        <f aca="false">SUMPRODUCT(D1702:F1702,Stats!$B$6:$D$6)</f>
        <v>0.36743299178905</v>
      </c>
      <c r="H1702" s="0" t="n">
        <f aca="false">SQRT(SUMPRODUCT(MMULT(D1702:F1702,Stats!$B$12:$D$14),D1702:F1702))</f>
        <v>0.228146955470532</v>
      </c>
      <c r="I1702" s="0" t="n">
        <f aca="false">(G1702-Stats!$B$2)/H1702</f>
        <v>1.42641829744287</v>
      </c>
    </row>
    <row r="1703" customFormat="false" ht="15" hidden="false" customHeight="false" outlineLevel="0" collapsed="false">
      <c r="A1703" s="0" t="n">
        <v>0.332426692174365</v>
      </c>
      <c r="B1703" s="0" t="n">
        <v>0.315533180663136</v>
      </c>
      <c r="C1703" s="0" t="n">
        <v>0.106623618936598</v>
      </c>
      <c r="D1703" s="0" t="n">
        <f aca="false">A1703/SUM($A1703:$C1703)</f>
        <v>0.440543287519845</v>
      </c>
      <c r="E1703" s="0" t="n">
        <f aca="false">B1703/SUM($A1703:$C1703)</f>
        <v>0.418155424950109</v>
      </c>
      <c r="F1703" s="0" t="n">
        <f aca="false">C1703/SUM($A1703:$C1703)</f>
        <v>0.141301287530046</v>
      </c>
      <c r="G1703" s="0" t="n">
        <f aca="false">SUMPRODUCT(D1703:F1703,Stats!$B$6:$D$6)</f>
        <v>0.376647497743672</v>
      </c>
      <c r="H1703" s="0" t="n">
        <f aca="false">SQRT(SUMPRODUCT(MMULT(D1703:F1703,Stats!$B$12:$D$14),D1703:F1703))</f>
        <v>0.226217508157046</v>
      </c>
      <c r="I1703" s="0" t="n">
        <f aca="false">(G1703-Stats!$B$2)/H1703</f>
        <v>1.47931740770193</v>
      </c>
    </row>
    <row r="1704" customFormat="false" ht="15" hidden="false" customHeight="false" outlineLevel="0" collapsed="false">
      <c r="A1704" s="0" t="n">
        <v>0.366798320646268</v>
      </c>
      <c r="B1704" s="0" t="n">
        <v>0.0994946688729647</v>
      </c>
      <c r="C1704" s="0" t="n">
        <v>0.766595944712052</v>
      </c>
      <c r="D1704" s="0" t="n">
        <f aca="false">A1704/SUM($A1704:$C1704)</f>
        <v>0.297511244088641</v>
      </c>
      <c r="E1704" s="0" t="n">
        <f aca="false">B1704/SUM($A1704:$C1704)</f>
        <v>0.0807004314099066</v>
      </c>
      <c r="F1704" s="0" t="n">
        <f aca="false">C1704/SUM($A1704:$C1704)</f>
        <v>0.621788324501452</v>
      </c>
      <c r="G1704" s="0" t="n">
        <f aca="false">SUMPRODUCT(D1704:F1704,Stats!$B$6:$D$6)</f>
        <v>0.343981528935364</v>
      </c>
      <c r="H1704" s="0" t="n">
        <f aca="false">SQRT(SUMPRODUCT(MMULT(D1704:F1704,Stats!$B$12:$D$14),D1704:F1704))</f>
        <v>0.230665207936372</v>
      </c>
      <c r="I1704" s="0" t="n">
        <f aca="false">(G1704-Stats!$B$2)/H1704</f>
        <v>1.30917675724492</v>
      </c>
    </row>
    <row r="1705" customFormat="false" ht="15" hidden="false" customHeight="false" outlineLevel="0" collapsed="false">
      <c r="A1705" s="0" t="n">
        <v>0.966274297748186</v>
      </c>
      <c r="B1705" s="0" t="n">
        <v>0.970074456666707</v>
      </c>
      <c r="C1705" s="0" t="n">
        <v>0.865071099375394</v>
      </c>
      <c r="D1705" s="0" t="n">
        <f aca="false">A1705/SUM($A1705:$C1705)</f>
        <v>0.344923056228372</v>
      </c>
      <c r="E1705" s="0" t="n">
        <f aca="false">B1705/SUM($A1705:$C1705)</f>
        <v>0.346279567967725</v>
      </c>
      <c r="F1705" s="0" t="n">
        <f aca="false">C1705/SUM($A1705:$C1705)</f>
        <v>0.308797375803903</v>
      </c>
      <c r="G1705" s="0" t="n">
        <f aca="false">SUMPRODUCT(D1705:F1705,Stats!$B$6:$D$6)</f>
        <v>0.367893213748238</v>
      </c>
      <c r="H1705" s="0" t="n">
        <f aca="false">SQRT(SUMPRODUCT(MMULT(D1705:F1705,Stats!$B$12:$D$14),D1705:F1705))</f>
        <v>0.226097537493184</v>
      </c>
      <c r="I1705" s="0" t="n">
        <f aca="false">(G1705-Stats!$B$2)/H1705</f>
        <v>1.44138329572945</v>
      </c>
    </row>
    <row r="1706" customFormat="false" ht="15" hidden="false" customHeight="false" outlineLevel="0" collapsed="false">
      <c r="A1706" s="0" t="n">
        <v>0.600792149339619</v>
      </c>
      <c r="B1706" s="0" t="n">
        <v>0.70086569724388</v>
      </c>
      <c r="C1706" s="0" t="n">
        <v>0.285205802680414</v>
      </c>
      <c r="D1706" s="0" t="n">
        <f aca="false">A1706/SUM($A1706:$C1706)</f>
        <v>0.378603511157562</v>
      </c>
      <c r="E1706" s="0" t="n">
        <f aca="false">B1706/SUM($A1706:$C1706)</f>
        <v>0.441667245682378</v>
      </c>
      <c r="F1706" s="0" t="n">
        <f aca="false">C1706/SUM($A1706:$C1706)</f>
        <v>0.17972924316006</v>
      </c>
      <c r="G1706" s="0" t="n">
        <f aca="false">SUMPRODUCT(D1706:F1706,Stats!$B$6:$D$6)</f>
        <v>0.376940701381523</v>
      </c>
      <c r="H1706" s="0" t="n">
        <f aca="false">SQRT(SUMPRODUCT(MMULT(D1706:F1706,Stats!$B$12:$D$14),D1706:F1706))</f>
        <v>0.227085298521751</v>
      </c>
      <c r="I1706" s="0" t="n">
        <f aca="false">(G1706-Stats!$B$2)/H1706</f>
        <v>1.47495546194261</v>
      </c>
    </row>
    <row r="1707" customFormat="false" ht="15" hidden="false" customHeight="false" outlineLevel="0" collapsed="false">
      <c r="A1707" s="0" t="n">
        <v>0.630770420172621</v>
      </c>
      <c r="B1707" s="0" t="n">
        <v>0.455649549439878</v>
      </c>
      <c r="C1707" s="0" t="n">
        <v>0.482017339776933</v>
      </c>
      <c r="D1707" s="0" t="n">
        <f aca="false">A1707/SUM($A1707:$C1707)</f>
        <v>0.402164891383622</v>
      </c>
      <c r="E1707" s="0" t="n">
        <f aca="false">B1707/SUM($A1707:$C1707)</f>
        <v>0.290511802232794</v>
      </c>
      <c r="F1707" s="0" t="n">
        <f aca="false">C1707/SUM($A1707:$C1707)</f>
        <v>0.307323306383584</v>
      </c>
      <c r="G1707" s="0" t="n">
        <f aca="false">SUMPRODUCT(D1707:F1707,Stats!$B$6:$D$6)</f>
        <v>0.364725055583965</v>
      </c>
      <c r="H1707" s="0" t="n">
        <f aca="false">SQRT(SUMPRODUCT(MMULT(D1707:F1707,Stats!$B$12:$D$14),D1707:F1707))</f>
        <v>0.224351054996804</v>
      </c>
      <c r="I1707" s="0" t="n">
        <f aca="false">(G1707-Stats!$B$2)/H1707</f>
        <v>1.43848245148017</v>
      </c>
    </row>
    <row r="1708" customFormat="false" ht="15" hidden="false" customHeight="false" outlineLevel="0" collapsed="false">
      <c r="A1708" s="0" t="n">
        <v>0.757776560375158</v>
      </c>
      <c r="B1708" s="0" t="n">
        <v>0.281918355597252</v>
      </c>
      <c r="C1708" s="0" t="n">
        <v>0.31803961169452</v>
      </c>
      <c r="D1708" s="0" t="n">
        <f aca="false">A1708/SUM($A1708:$C1708)</f>
        <v>0.558118354460122</v>
      </c>
      <c r="E1708" s="0" t="n">
        <f aca="false">B1708/SUM($A1708:$C1708)</f>
        <v>0.207638790833203</v>
      </c>
      <c r="F1708" s="0" t="n">
        <f aca="false">C1708/SUM($A1708:$C1708)</f>
        <v>0.234242854706675</v>
      </c>
      <c r="G1708" s="0" t="n">
        <f aca="false">SUMPRODUCT(D1708:F1708,Stats!$B$6:$D$6)</f>
        <v>0.361971815115243</v>
      </c>
      <c r="H1708" s="0" t="n">
        <f aca="false">SQRT(SUMPRODUCT(MMULT(D1708:F1708,Stats!$B$12:$D$14),D1708:F1708))</f>
        <v>0.222185422207998</v>
      </c>
      <c r="I1708" s="0" t="n">
        <f aca="false">(G1708-Stats!$B$2)/H1708</f>
        <v>1.44011165060011</v>
      </c>
    </row>
    <row r="1709" customFormat="false" ht="15" hidden="false" customHeight="false" outlineLevel="0" collapsed="false">
      <c r="A1709" s="0" t="n">
        <v>0.924641791128637</v>
      </c>
      <c r="B1709" s="0" t="n">
        <v>0.0562242948509723</v>
      </c>
      <c r="C1709" s="0" t="n">
        <v>0.48563429841334</v>
      </c>
      <c r="D1709" s="0" t="n">
        <f aca="false">A1709/SUM($A1709:$C1709)</f>
        <v>0.63050906837054</v>
      </c>
      <c r="E1709" s="0" t="n">
        <f aca="false">B1709/SUM($A1709:$C1709)</f>
        <v>0.0383390931562872</v>
      </c>
      <c r="F1709" s="0" t="n">
        <f aca="false">C1709/SUM($A1709:$C1709)</f>
        <v>0.331151838473173</v>
      </c>
      <c r="G1709" s="0" t="n">
        <f aca="false">SUMPRODUCT(D1709:F1709,Stats!$B$6:$D$6)</f>
        <v>0.349558301677018</v>
      </c>
      <c r="H1709" s="0" t="n">
        <f aca="false">SQRT(SUMPRODUCT(MMULT(D1709:F1709,Stats!$B$12:$D$14),D1709:F1709))</f>
        <v>0.221291308341069</v>
      </c>
      <c r="I1709" s="0" t="n">
        <f aca="false">(G1709-Stats!$B$2)/H1709</f>
        <v>1.38983453070371</v>
      </c>
    </row>
    <row r="1710" customFormat="false" ht="15" hidden="false" customHeight="false" outlineLevel="0" collapsed="false">
      <c r="A1710" s="0" t="n">
        <v>0.912800800407862</v>
      </c>
      <c r="B1710" s="0" t="n">
        <v>0.610363007818157</v>
      </c>
      <c r="C1710" s="0" t="n">
        <v>0.546407074212132</v>
      </c>
      <c r="D1710" s="0" t="n">
        <f aca="false">A1710/SUM($A1710:$C1710)</f>
        <v>0.441058002967502</v>
      </c>
      <c r="E1710" s="0" t="n">
        <f aca="false">B1710/SUM($A1710:$C1710)</f>
        <v>0.294922494801962</v>
      </c>
      <c r="F1710" s="0" t="n">
        <f aca="false">C1710/SUM($A1710:$C1710)</f>
        <v>0.264019502230536</v>
      </c>
      <c r="G1710" s="0" t="n">
        <f aca="false">SUMPRODUCT(D1710:F1710,Stats!$B$6:$D$6)</f>
        <v>0.366172926869749</v>
      </c>
      <c r="H1710" s="0" t="n">
        <f aca="false">SQRT(SUMPRODUCT(MMULT(D1710:F1710,Stats!$B$12:$D$14),D1710:F1710))</f>
        <v>0.223789182267746</v>
      </c>
      <c r="I1710" s="0" t="n">
        <f aca="false">(G1710-Stats!$B$2)/H1710</f>
        <v>1.44856388313668</v>
      </c>
    </row>
    <row r="1711" customFormat="false" ht="15" hidden="false" customHeight="false" outlineLevel="0" collapsed="false">
      <c r="A1711" s="0" t="n">
        <v>0.249744179229355</v>
      </c>
      <c r="B1711" s="0" t="n">
        <v>0.343275489064448</v>
      </c>
      <c r="C1711" s="0" t="n">
        <v>0.852048415804693</v>
      </c>
      <c r="D1711" s="0" t="n">
        <f aca="false">A1711/SUM($A1711:$C1711)</f>
        <v>0.172825199018327</v>
      </c>
      <c r="E1711" s="0" t="n">
        <f aca="false">B1711/SUM($A1711:$C1711)</f>
        <v>0.237549699451428</v>
      </c>
      <c r="F1711" s="0" t="n">
        <f aca="false">C1711/SUM($A1711:$C1711)</f>
        <v>0.589625101530245</v>
      </c>
      <c r="G1711" s="0" t="n">
        <f aca="false">SUMPRODUCT(D1711:F1711,Stats!$B$6:$D$6)</f>
        <v>0.353893321315243</v>
      </c>
      <c r="H1711" s="0" t="n">
        <f aca="false">SQRT(SUMPRODUCT(MMULT(D1711:F1711,Stats!$B$12:$D$14),D1711:F1711))</f>
        <v>0.234742688496439</v>
      </c>
      <c r="I1711" s="0" t="n">
        <f aca="false">(G1711-Stats!$B$2)/H1711</f>
        <v>1.32866042948117</v>
      </c>
    </row>
    <row r="1712" customFormat="false" ht="15" hidden="false" customHeight="false" outlineLevel="0" collapsed="false">
      <c r="A1712" s="0" t="n">
        <v>0.559218131768458</v>
      </c>
      <c r="B1712" s="0" t="n">
        <v>0.51474219375678</v>
      </c>
      <c r="C1712" s="0" t="n">
        <v>0.0995797135400289</v>
      </c>
      <c r="D1712" s="0" t="n">
        <f aca="false">A1712/SUM($A1712:$C1712)</f>
        <v>0.476522413512094</v>
      </c>
      <c r="E1712" s="0" t="n">
        <f aca="false">B1712/SUM($A1712:$C1712)</f>
        <v>0.438623461170337</v>
      </c>
      <c r="F1712" s="0" t="n">
        <f aca="false">C1712/SUM($A1712:$C1712)</f>
        <v>0.084854125317569</v>
      </c>
      <c r="G1712" s="0" t="n">
        <f aca="false">SUMPRODUCT(D1712:F1712,Stats!$B$6:$D$6)</f>
        <v>0.379381710843812</v>
      </c>
      <c r="H1712" s="0" t="n">
        <f aca="false">SQRT(SUMPRODUCT(MMULT(D1712:F1712,Stats!$B$12:$D$14),D1712:F1712))</f>
        <v>0.227015386165862</v>
      </c>
      <c r="I1712" s="0" t="n">
        <f aca="false">(G1712-Stats!$B$2)/H1712</f>
        <v>1.48616231059032</v>
      </c>
    </row>
    <row r="1713" customFormat="false" ht="15" hidden="false" customHeight="false" outlineLevel="0" collapsed="false">
      <c r="A1713" s="0" t="n">
        <v>0.0160281564551231</v>
      </c>
      <c r="B1713" s="0" t="n">
        <v>0.963685188687049</v>
      </c>
      <c r="C1713" s="0" t="n">
        <v>0.376986167286842</v>
      </c>
      <c r="D1713" s="0" t="n">
        <f aca="false">A1713/SUM($A1713:$C1713)</f>
        <v>0.0118140799110531</v>
      </c>
      <c r="E1713" s="0" t="n">
        <f aca="false">B1713/SUM($A1713:$C1713)</f>
        <v>0.710315865715675</v>
      </c>
      <c r="F1713" s="0" t="n">
        <f aca="false">C1713/SUM($A1713:$C1713)</f>
        <v>0.277870054373272</v>
      </c>
      <c r="G1713" s="0" t="n">
        <f aca="false">SUMPRODUCT(D1713:F1713,Stats!$B$6:$D$6)</f>
        <v>0.389692200150871</v>
      </c>
      <c r="H1713" s="0" t="n">
        <f aca="false">SQRT(SUMPRODUCT(MMULT(D1713:F1713,Stats!$B$12:$D$14),D1713:F1713))</f>
        <v>0.244116364013941</v>
      </c>
      <c r="I1713" s="0" t="n">
        <f aca="false">(G1713-Stats!$B$2)/H1713</f>
        <v>1.42428878766609</v>
      </c>
    </row>
    <row r="1714" customFormat="false" ht="15" hidden="false" customHeight="false" outlineLevel="0" collapsed="false">
      <c r="A1714" s="0" t="n">
        <v>0.603213062099504</v>
      </c>
      <c r="B1714" s="0" t="n">
        <v>0.079715073187285</v>
      </c>
      <c r="C1714" s="0" t="n">
        <v>0.683114285723047</v>
      </c>
      <c r="D1714" s="0" t="n">
        <f aca="false">A1714/SUM($A1714:$C1714)</f>
        <v>0.441577108310871</v>
      </c>
      <c r="E1714" s="0" t="n">
        <f aca="false">B1714/SUM($A1714:$C1714)</f>
        <v>0.0583547567493228</v>
      </c>
      <c r="F1714" s="0" t="n">
        <f aca="false">C1714/SUM($A1714:$C1714)</f>
        <v>0.500068134939807</v>
      </c>
      <c r="G1714" s="0" t="n">
        <f aca="false">SUMPRODUCT(D1714:F1714,Stats!$B$6:$D$6)</f>
        <v>0.346052175147951</v>
      </c>
      <c r="H1714" s="0" t="n">
        <f aca="false">SQRT(SUMPRODUCT(MMULT(D1714:F1714,Stats!$B$12:$D$14),D1714:F1714))</f>
        <v>0.224374127307604</v>
      </c>
      <c r="I1714" s="0" t="n">
        <f aca="false">(G1714-Stats!$B$2)/H1714</f>
        <v>1.35511245791326</v>
      </c>
    </row>
    <row r="1715" customFormat="false" ht="15" hidden="false" customHeight="false" outlineLevel="0" collapsed="false">
      <c r="A1715" s="0" t="n">
        <v>0.932566708705961</v>
      </c>
      <c r="B1715" s="0" t="n">
        <v>0.57566525299742</v>
      </c>
      <c r="C1715" s="0" t="n">
        <v>0.126115322375411</v>
      </c>
      <c r="D1715" s="0" t="n">
        <f aca="false">A1715/SUM($A1715:$C1715)</f>
        <v>0.570604985727747</v>
      </c>
      <c r="E1715" s="0" t="n">
        <f aca="false">B1715/SUM($A1715:$C1715)</f>
        <v>0.352229454905538</v>
      </c>
      <c r="F1715" s="0" t="n">
        <f aca="false">C1715/SUM($A1715:$C1715)</f>
        <v>0.0771655593667145</v>
      </c>
      <c r="G1715" s="0" t="n">
        <f aca="false">SUMPRODUCT(D1715:F1715,Stats!$B$6:$D$6)</f>
        <v>0.374622720789826</v>
      </c>
      <c r="H1715" s="0" t="n">
        <f aca="false">SQRT(SUMPRODUCT(MMULT(D1715:F1715,Stats!$B$12:$D$14),D1715:F1715))</f>
        <v>0.225577696446063</v>
      </c>
      <c r="I1715" s="0" t="n">
        <f aca="false">(G1715-Stats!$B$2)/H1715</f>
        <v>1.47453727044047</v>
      </c>
    </row>
    <row r="1716" customFormat="false" ht="15" hidden="false" customHeight="false" outlineLevel="0" collapsed="false">
      <c r="A1716" s="0" t="n">
        <v>0.581721527473477</v>
      </c>
      <c r="B1716" s="0" t="n">
        <v>0.766347213104652</v>
      </c>
      <c r="C1716" s="0" t="n">
        <v>0.406416536574019</v>
      </c>
      <c r="D1716" s="0" t="n">
        <f aca="false">A1716/SUM($A1716:$C1716)</f>
        <v>0.33156250157751</v>
      </c>
      <c r="E1716" s="0" t="n">
        <f aca="false">B1716/SUM($A1716:$C1716)</f>
        <v>0.436793185491174</v>
      </c>
      <c r="F1716" s="0" t="n">
        <f aca="false">C1716/SUM($A1716:$C1716)</f>
        <v>0.231644312931316</v>
      </c>
      <c r="G1716" s="0" t="n">
        <f aca="false">SUMPRODUCT(D1716:F1716,Stats!$B$6:$D$6)</f>
        <v>0.375228716185138</v>
      </c>
      <c r="H1716" s="0" t="n">
        <f aca="false">SQRT(SUMPRODUCT(MMULT(D1716:F1716,Stats!$B$12:$D$14),D1716:F1716))</f>
        <v>0.227639850758355</v>
      </c>
      <c r="I1716" s="0" t="n">
        <f aca="false">(G1716-Stats!$B$2)/H1716</f>
        <v>1.46384174420703</v>
      </c>
    </row>
    <row r="1717" customFormat="false" ht="15" hidden="false" customHeight="false" outlineLevel="0" collapsed="false">
      <c r="A1717" s="0" t="n">
        <v>0.879837747941468</v>
      </c>
      <c r="B1717" s="0" t="n">
        <v>0.648682953357365</v>
      </c>
      <c r="C1717" s="0" t="n">
        <v>0.899248918289203</v>
      </c>
      <c r="D1717" s="0" t="n">
        <f aca="false">A1717/SUM($A1717:$C1717)</f>
        <v>0.362405782180752</v>
      </c>
      <c r="E1717" s="0" t="n">
        <f aca="false">B1717/SUM($A1717:$C1717)</f>
        <v>0.267192961030396</v>
      </c>
      <c r="F1717" s="0" t="n">
        <f aca="false">C1717/SUM($A1717:$C1717)</f>
        <v>0.370401256788853</v>
      </c>
      <c r="G1717" s="0" t="n">
        <f aca="false">SUMPRODUCT(D1717:F1717,Stats!$B$6:$D$6)</f>
        <v>0.361643969420794</v>
      </c>
      <c r="H1717" s="0" t="n">
        <f aca="false">SQRT(SUMPRODUCT(MMULT(D1717:F1717,Stats!$B$12:$D$14),D1717:F1717))</f>
        <v>0.225228919466192</v>
      </c>
      <c r="I1717" s="0" t="n">
        <f aca="false">(G1717-Stats!$B$2)/H1717</f>
        <v>1.41919594596632</v>
      </c>
    </row>
    <row r="1718" customFormat="false" ht="15" hidden="false" customHeight="false" outlineLevel="0" collapsed="false">
      <c r="A1718" s="0" t="n">
        <v>0.623505311247337</v>
      </c>
      <c r="B1718" s="0" t="n">
        <v>0.131287972004824</v>
      </c>
      <c r="C1718" s="0" t="n">
        <v>0.309691711105189</v>
      </c>
      <c r="D1718" s="0" t="n">
        <f aca="false">A1718/SUM($A1718:$C1718)</f>
        <v>0.585734241959662</v>
      </c>
      <c r="E1718" s="0" t="n">
        <f aca="false">B1718/SUM($A1718:$C1718)</f>
        <v>0.123334732476981</v>
      </c>
      <c r="F1718" s="0" t="n">
        <f aca="false">C1718/SUM($A1718:$C1718)</f>
        <v>0.290931025563358</v>
      </c>
      <c r="G1718" s="0" t="n">
        <f aca="false">SUMPRODUCT(D1718:F1718,Stats!$B$6:$D$6)</f>
        <v>0.355557914202078</v>
      </c>
      <c r="H1718" s="0" t="n">
        <f aca="false">SQRT(SUMPRODUCT(MMULT(D1718:F1718,Stats!$B$12:$D$14),D1718:F1718))</f>
        <v>0.221459405526809</v>
      </c>
      <c r="I1718" s="0" t="n">
        <f aca="false">(G1718-Stats!$B$2)/H1718</f>
        <v>1.41587083852313</v>
      </c>
    </row>
    <row r="1719" customFormat="false" ht="15" hidden="false" customHeight="false" outlineLevel="0" collapsed="false">
      <c r="A1719" s="0" t="n">
        <v>0.201794948252457</v>
      </c>
      <c r="B1719" s="0" t="n">
        <v>0.908826497716862</v>
      </c>
      <c r="C1719" s="0" t="n">
        <v>0.760400067287483</v>
      </c>
      <c r="D1719" s="0" t="n">
        <f aca="false">A1719/SUM($A1719:$C1719)</f>
        <v>0.107852820944427</v>
      </c>
      <c r="E1719" s="0" t="n">
        <f aca="false">B1719/SUM($A1719:$C1719)</f>
        <v>0.485738133569031</v>
      </c>
      <c r="F1719" s="0" t="n">
        <f aca="false">C1719/SUM($A1719:$C1719)</f>
        <v>0.406409045486542</v>
      </c>
      <c r="G1719" s="0" t="n">
        <f aca="false">SUMPRODUCT(D1719:F1719,Stats!$B$6:$D$6)</f>
        <v>0.373225874867171</v>
      </c>
      <c r="H1719" s="0" t="n">
        <f aca="false">SQRT(SUMPRODUCT(MMULT(D1719:F1719,Stats!$B$12:$D$14),D1719:F1719))</f>
        <v>0.236511266722298</v>
      </c>
      <c r="I1719" s="0" t="n">
        <f aca="false">(G1719-Stats!$B$2)/H1719</f>
        <v>1.40046552309105</v>
      </c>
    </row>
    <row r="1720" customFormat="false" ht="15" hidden="false" customHeight="false" outlineLevel="0" collapsed="false">
      <c r="A1720" s="0" t="n">
        <v>0.676398368910006</v>
      </c>
      <c r="B1720" s="0" t="n">
        <v>0.300966319631622</v>
      </c>
      <c r="C1720" s="0" t="n">
        <v>0.184044772050214</v>
      </c>
      <c r="D1720" s="0" t="n">
        <f aca="false">A1720/SUM($A1720:$C1720)</f>
        <v>0.582394402543717</v>
      </c>
      <c r="E1720" s="0" t="n">
        <f aca="false">B1720/SUM($A1720:$C1720)</f>
        <v>0.259138856573678</v>
      </c>
      <c r="F1720" s="0" t="n">
        <f aca="false">C1720/SUM($A1720:$C1720)</f>
        <v>0.158466740882605</v>
      </c>
      <c r="G1720" s="0" t="n">
        <f aca="false">SUMPRODUCT(D1720:F1720,Stats!$B$6:$D$6)</f>
        <v>0.367024559436393</v>
      </c>
      <c r="H1720" s="0" t="n">
        <f aca="false">SQRT(SUMPRODUCT(MMULT(D1720:F1720,Stats!$B$12:$D$14),D1720:F1720))</f>
        <v>0.223271732475353</v>
      </c>
      <c r="I1720" s="0" t="n">
        <f aca="false">(G1720-Stats!$B$2)/H1720</f>
        <v>1.45573537605022</v>
      </c>
    </row>
    <row r="1721" customFormat="false" ht="15" hidden="false" customHeight="false" outlineLevel="0" collapsed="false">
      <c r="A1721" s="0" t="n">
        <v>0.756451087988912</v>
      </c>
      <c r="B1721" s="0" t="n">
        <v>0.47415794587908</v>
      </c>
      <c r="C1721" s="0" t="n">
        <v>0.225789552150629</v>
      </c>
      <c r="D1721" s="0" t="n">
        <f aca="false">A1721/SUM($A1721:$C1721)</f>
        <v>0.519398394952328</v>
      </c>
      <c r="E1721" s="0" t="n">
        <f aca="false">B1721/SUM($A1721:$C1721)</f>
        <v>0.325568804056102</v>
      </c>
      <c r="F1721" s="0" t="n">
        <f aca="false">C1721/SUM($A1721:$C1721)</f>
        <v>0.15503280099157</v>
      </c>
      <c r="G1721" s="0" t="n">
        <f aca="false">SUMPRODUCT(D1721:F1721,Stats!$B$6:$D$6)</f>
        <v>0.370941542207665</v>
      </c>
      <c r="H1721" s="0" t="n">
        <f aca="false">SQRT(SUMPRODUCT(MMULT(D1721:F1721,Stats!$B$12:$D$14),D1721:F1721))</f>
        <v>0.224158608025044</v>
      </c>
      <c r="I1721" s="0" t="n">
        <f aca="false">(G1721-Stats!$B$2)/H1721</f>
        <v>1.46744996815342</v>
      </c>
    </row>
    <row r="1722" customFormat="false" ht="15" hidden="false" customHeight="false" outlineLevel="0" collapsed="false">
      <c r="A1722" s="0" t="n">
        <v>0.616621978165275</v>
      </c>
      <c r="B1722" s="0" t="n">
        <v>0.040333852138452</v>
      </c>
      <c r="C1722" s="0" t="n">
        <v>0.326170254128254</v>
      </c>
      <c r="D1722" s="0" t="n">
        <f aca="false">A1722/SUM($A1722:$C1722)</f>
        <v>0.627205388942091</v>
      </c>
      <c r="E1722" s="0" t="n">
        <f aca="false">B1722/SUM($A1722:$C1722)</f>
        <v>0.0410261234821733</v>
      </c>
      <c r="F1722" s="0" t="n">
        <f aca="false">C1722/SUM($A1722:$C1722)</f>
        <v>0.331768487575736</v>
      </c>
      <c r="G1722" s="0" t="n">
        <f aca="false">SUMPRODUCT(D1722:F1722,Stats!$B$6:$D$6)</f>
        <v>0.349695906062387</v>
      </c>
      <c r="H1722" s="0" t="n">
        <f aca="false">SQRT(SUMPRODUCT(MMULT(D1722:F1722,Stats!$B$12:$D$14),D1722:F1722))</f>
        <v>0.221287820679158</v>
      </c>
      <c r="I1722" s="0" t="n">
        <f aca="false">(G1722-Stats!$B$2)/H1722</f>
        <v>1.39047826996548</v>
      </c>
    </row>
    <row r="1723" customFormat="false" ht="15" hidden="false" customHeight="false" outlineLevel="0" collapsed="false">
      <c r="A1723" s="0" t="n">
        <v>0.468556994591135</v>
      </c>
      <c r="B1723" s="0" t="n">
        <v>0.147958334109406</v>
      </c>
      <c r="C1723" s="0" t="n">
        <v>0.98465447759084</v>
      </c>
      <c r="D1723" s="0" t="n">
        <f aca="false">A1723/SUM($A1723:$C1723)</f>
        <v>0.292634168312481</v>
      </c>
      <c r="E1723" s="0" t="n">
        <f aca="false">B1723/SUM($A1723:$C1723)</f>
        <v>0.0924063978274147</v>
      </c>
      <c r="F1723" s="0" t="n">
        <f aca="false">C1723/SUM($A1723:$C1723)</f>
        <v>0.614959433860104</v>
      </c>
      <c r="G1723" s="0" t="n">
        <f aca="false">SUMPRODUCT(D1723:F1723,Stats!$B$6:$D$6)</f>
        <v>0.344843379125197</v>
      </c>
      <c r="H1723" s="0" t="n">
        <f aca="false">SQRT(SUMPRODUCT(MMULT(D1723:F1723,Stats!$B$12:$D$14),D1723:F1723))</f>
        <v>0.230633344783031</v>
      </c>
      <c r="I1723" s="0" t="n">
        <f aca="false">(G1723-Stats!$B$2)/H1723</f>
        <v>1.31309451116056</v>
      </c>
    </row>
    <row r="1724" customFormat="false" ht="15" hidden="false" customHeight="false" outlineLevel="0" collapsed="false">
      <c r="A1724" s="0" t="n">
        <v>0.209097364589614</v>
      </c>
      <c r="B1724" s="0" t="n">
        <v>0.130353130043266</v>
      </c>
      <c r="C1724" s="0" t="n">
        <v>0.203534873886896</v>
      </c>
      <c r="D1724" s="0" t="n">
        <f aca="false">A1724/SUM($A1724:$C1724)</f>
        <v>0.385088395953709</v>
      </c>
      <c r="E1724" s="0" t="n">
        <f aca="false">B1724/SUM($A1724:$C1724)</f>
        <v>0.240067481741947</v>
      </c>
      <c r="F1724" s="0" t="n">
        <f aca="false">C1724/SUM($A1724:$C1724)</f>
        <v>0.374844122304344</v>
      </c>
      <c r="G1724" s="0" t="n">
        <f aca="false">SUMPRODUCT(D1724:F1724,Stats!$B$6:$D$6)</f>
        <v>0.359960694142584</v>
      </c>
      <c r="H1724" s="0" t="n">
        <f aca="false">SQRT(SUMPRODUCT(MMULT(D1724:F1724,Stats!$B$12:$D$14),D1724:F1724))</f>
        <v>0.224566902451757</v>
      </c>
      <c r="I1724" s="0" t="n">
        <f aca="false">(G1724-Stats!$B$2)/H1724</f>
        <v>1.41588404467079</v>
      </c>
    </row>
    <row r="1725" customFormat="false" ht="15" hidden="false" customHeight="false" outlineLevel="0" collapsed="false">
      <c r="A1725" s="0" t="n">
        <v>0.769061133159724</v>
      </c>
      <c r="B1725" s="0" t="n">
        <v>0.425505659271843</v>
      </c>
      <c r="C1725" s="0" t="n">
        <v>0.565415939752538</v>
      </c>
      <c r="D1725" s="0" t="n">
        <f aca="false">A1725/SUM($A1725:$C1725)</f>
        <v>0.436970840165763</v>
      </c>
      <c r="E1725" s="0" t="n">
        <f aca="false">B1725/SUM($A1725:$C1725)</f>
        <v>0.241766951169912</v>
      </c>
      <c r="F1725" s="0" t="n">
        <f aca="false">C1725/SUM($A1725:$C1725)</f>
        <v>0.321262208664325</v>
      </c>
      <c r="G1725" s="0" t="n">
        <f aca="false">SUMPRODUCT(D1725:F1725,Stats!$B$6:$D$6)</f>
        <v>0.361535980073825</v>
      </c>
      <c r="H1725" s="0" t="n">
        <f aca="false">SQRT(SUMPRODUCT(MMULT(D1725:F1725,Stats!$B$12:$D$14),D1725:F1725))</f>
        <v>0.223388746186042</v>
      </c>
      <c r="I1725" s="0" t="n">
        <f aca="false">(G1725-Stats!$B$2)/H1725</f>
        <v>1.43040321202085</v>
      </c>
    </row>
    <row r="1726" customFormat="false" ht="15" hidden="false" customHeight="false" outlineLevel="0" collapsed="false">
      <c r="A1726" s="0" t="n">
        <v>0.0210091569863607</v>
      </c>
      <c r="B1726" s="0" t="n">
        <v>0.0344313085733146</v>
      </c>
      <c r="C1726" s="0" t="n">
        <v>0.445825549827016</v>
      </c>
      <c r="D1726" s="0" t="n">
        <f aca="false">A1726/SUM($A1726:$C1726)</f>
        <v>0.0419121910152909</v>
      </c>
      <c r="E1726" s="0" t="n">
        <f aca="false">B1726/SUM($A1726:$C1726)</f>
        <v>0.0686886952564563</v>
      </c>
      <c r="F1726" s="0" t="n">
        <f aca="false">C1726/SUM($A1726:$C1726)</f>
        <v>0.889399113728253</v>
      </c>
      <c r="G1726" s="0" t="n">
        <f aca="false">SUMPRODUCT(D1726:F1726,Stats!$B$6:$D$6)</f>
        <v>0.335911124599173</v>
      </c>
      <c r="H1726" s="0" t="n">
        <f aca="false">SQRT(SUMPRODUCT(MMULT(D1726:F1726,Stats!$B$12:$D$14),D1726:F1726))</f>
        <v>0.251732893585543</v>
      </c>
      <c r="I1726" s="0" t="n">
        <f aca="false">(G1726-Stats!$B$2)/H1726</f>
        <v>1.16755152818079</v>
      </c>
    </row>
    <row r="1727" customFormat="false" ht="15" hidden="false" customHeight="false" outlineLevel="0" collapsed="false">
      <c r="A1727" s="0" t="n">
        <v>0.816655243201624</v>
      </c>
      <c r="B1727" s="0" t="n">
        <v>0.885238878707565</v>
      </c>
      <c r="C1727" s="0" t="n">
        <v>0.0867065675956402</v>
      </c>
      <c r="D1727" s="0" t="n">
        <f aca="false">A1727/SUM($A1727:$C1727)</f>
        <v>0.45658891221143</v>
      </c>
      <c r="E1727" s="0" t="n">
        <f aca="false">B1727/SUM($A1727:$C1727)</f>
        <v>0.49493376800198</v>
      </c>
      <c r="F1727" s="0" t="n">
        <f aca="false">C1727/SUM($A1727:$C1727)</f>
        <v>0.0484773197865896</v>
      </c>
      <c r="G1727" s="0" t="n">
        <f aca="false">SUMPRODUCT(D1727:F1727,Stats!$B$6:$D$6)</f>
        <v>0.383624809439162</v>
      </c>
      <c r="H1727" s="0" t="n">
        <f aca="false">SQRT(SUMPRODUCT(MMULT(D1727:F1727,Stats!$B$12:$D$14),D1727:F1727))</f>
        <v>0.228802852225079</v>
      </c>
      <c r="I1727" s="0" t="n">
        <f aca="false">(G1727-Stats!$B$2)/H1727</f>
        <v>1.49309681289767</v>
      </c>
    </row>
    <row r="1728" customFormat="false" ht="15" hidden="false" customHeight="false" outlineLevel="0" collapsed="false">
      <c r="A1728" s="0" t="n">
        <v>0.538363102101023</v>
      </c>
      <c r="B1728" s="0" t="n">
        <v>0.913229686279271</v>
      </c>
      <c r="C1728" s="0" t="n">
        <v>0.387972754397886</v>
      </c>
      <c r="D1728" s="0" t="n">
        <f aca="false">A1728/SUM($A1728:$C1728)</f>
        <v>0.292657744223654</v>
      </c>
      <c r="E1728" s="0" t="n">
        <f aca="false">B1728/SUM($A1728:$C1728)</f>
        <v>0.496437699577737</v>
      </c>
      <c r="F1728" s="0" t="n">
        <f aca="false">C1728/SUM($A1728:$C1728)</f>
        <v>0.21090455619861</v>
      </c>
      <c r="G1728" s="0" t="n">
        <f aca="false">SUMPRODUCT(D1728:F1728,Stats!$B$6:$D$6)</f>
        <v>0.379232475144269</v>
      </c>
      <c r="H1728" s="0" t="n">
        <f aca="false">SQRT(SUMPRODUCT(MMULT(D1728:F1728,Stats!$B$12:$D$14),D1728:F1728))</f>
        <v>0.229611351908611</v>
      </c>
      <c r="I1728" s="0" t="n">
        <f aca="false">(G1728-Stats!$B$2)/H1728</f>
        <v>1.4687099411291</v>
      </c>
    </row>
    <row r="1729" customFormat="false" ht="15" hidden="false" customHeight="false" outlineLevel="0" collapsed="false">
      <c r="A1729" s="0" t="n">
        <v>0.829565831428369</v>
      </c>
      <c r="B1729" s="0" t="n">
        <v>0.133695654399436</v>
      </c>
      <c r="C1729" s="0" t="n">
        <v>0.935394489667799</v>
      </c>
      <c r="D1729" s="0" t="n">
        <f aca="false">A1729/SUM($A1729:$C1729)</f>
        <v>0.436922666420297</v>
      </c>
      <c r="E1729" s="0" t="n">
        <f aca="false">B1729/SUM($A1729:$C1729)</f>
        <v>0.0704159448183012</v>
      </c>
      <c r="F1729" s="0" t="n">
        <f aca="false">C1729/SUM($A1729:$C1729)</f>
        <v>0.492661388761402</v>
      </c>
      <c r="G1729" s="0" t="n">
        <f aca="false">SUMPRODUCT(D1729:F1729,Stats!$B$6:$D$6)</f>
        <v>0.346950398476035</v>
      </c>
      <c r="H1729" s="0" t="n">
        <f aca="false">SQRT(SUMPRODUCT(MMULT(D1729:F1729,Stats!$B$12:$D$14),D1729:F1729))</f>
        <v>0.224334532963776</v>
      </c>
      <c r="I1729" s="0" t="n">
        <f aca="false">(G1729-Stats!$B$2)/H1729</f>
        <v>1.35935557690209</v>
      </c>
    </row>
    <row r="1730" customFormat="false" ht="15" hidden="false" customHeight="false" outlineLevel="0" collapsed="false">
      <c r="A1730" s="0" t="n">
        <v>0.751423317531303</v>
      </c>
      <c r="B1730" s="0" t="n">
        <v>0.941334392786902</v>
      </c>
      <c r="C1730" s="0" t="n">
        <v>0.676617233552507</v>
      </c>
      <c r="D1730" s="0" t="n">
        <f aca="false">A1730/SUM($A1730:$C1730)</f>
        <v>0.317139893571992</v>
      </c>
      <c r="E1730" s="0" t="n">
        <f aca="false">B1730/SUM($A1730:$C1730)</f>
        <v>0.397292288087211</v>
      </c>
      <c r="F1730" s="0" t="n">
        <f aca="false">C1730/SUM($A1730:$C1730)</f>
        <v>0.285567818340797</v>
      </c>
      <c r="G1730" s="0" t="n">
        <f aca="false">SUMPRODUCT(D1730:F1730,Stats!$B$6:$D$6)</f>
        <v>0.371468965751929</v>
      </c>
      <c r="H1730" s="0" t="n">
        <f aca="false">SQRT(SUMPRODUCT(MMULT(D1730:F1730,Stats!$B$12:$D$14),D1730:F1730))</f>
        <v>0.227345294854687</v>
      </c>
      <c r="I1730" s="0" t="n">
        <f aca="false">(G1730-Stats!$B$2)/H1730</f>
        <v>1.44920072334251</v>
      </c>
    </row>
    <row r="1731" customFormat="false" ht="15" hidden="false" customHeight="false" outlineLevel="0" collapsed="false">
      <c r="A1731" s="0" t="n">
        <v>0.363403931999427</v>
      </c>
      <c r="B1731" s="0" t="n">
        <v>0.938181172524722</v>
      </c>
      <c r="C1731" s="0" t="n">
        <v>0.275566776309179</v>
      </c>
      <c r="D1731" s="0" t="n">
        <f aca="false">A1731/SUM($A1731:$C1731)</f>
        <v>0.230417841436687</v>
      </c>
      <c r="E1731" s="0" t="n">
        <f aca="false">B1731/SUM($A1731:$C1731)</f>
        <v>0.594857847190348</v>
      </c>
      <c r="F1731" s="0" t="n">
        <f aca="false">C1731/SUM($A1731:$C1731)</f>
        <v>0.174724311372964</v>
      </c>
      <c r="G1731" s="0" t="n">
        <f aca="false">SUMPRODUCT(D1731:F1731,Stats!$B$6:$D$6)</f>
        <v>0.385893099390607</v>
      </c>
      <c r="H1731" s="0" t="n">
        <f aca="false">SQRT(SUMPRODUCT(MMULT(D1731:F1731,Stats!$B$12:$D$14),D1731:F1731))</f>
        <v>0.233374567259513</v>
      </c>
      <c r="I1731" s="0" t="n">
        <f aca="false">(G1731-Stats!$B$2)/H1731</f>
        <v>1.47356716470393</v>
      </c>
    </row>
    <row r="1732" customFormat="false" ht="15" hidden="false" customHeight="false" outlineLevel="0" collapsed="false">
      <c r="A1732" s="0" t="n">
        <v>0.332172522061733</v>
      </c>
      <c r="B1732" s="0" t="n">
        <v>0.70080841800174</v>
      </c>
      <c r="C1732" s="0" t="n">
        <v>0.765316299525386</v>
      </c>
      <c r="D1732" s="0" t="n">
        <f aca="false">A1732/SUM($A1732:$C1732)</f>
        <v>0.18471502638667</v>
      </c>
      <c r="E1732" s="0" t="n">
        <f aca="false">B1732/SUM($A1732:$C1732)</f>
        <v>0.389706663933914</v>
      </c>
      <c r="F1732" s="0" t="n">
        <f aca="false">C1732/SUM($A1732:$C1732)</f>
        <v>0.425578309679416</v>
      </c>
      <c r="G1732" s="0" t="n">
        <f aca="false">SUMPRODUCT(D1732:F1732,Stats!$B$6:$D$6)</f>
        <v>0.367171763308233</v>
      </c>
      <c r="H1732" s="0" t="n">
        <f aca="false">SQRT(SUMPRODUCT(MMULT(D1732:F1732,Stats!$B$12:$D$14),D1732:F1732))</f>
        <v>0.232368836028302</v>
      </c>
      <c r="I1732" s="0" t="n">
        <f aca="false">(G1732-Stats!$B$2)/H1732</f>
        <v>1.39937768276564</v>
      </c>
    </row>
    <row r="1733" customFormat="false" ht="15" hidden="false" customHeight="false" outlineLevel="0" collapsed="false">
      <c r="A1733" s="0" t="n">
        <v>0.929403483849154</v>
      </c>
      <c r="B1733" s="0" t="n">
        <v>0.20480240905621</v>
      </c>
      <c r="C1733" s="0" t="n">
        <v>0.797998035219224</v>
      </c>
      <c r="D1733" s="0" t="n">
        <f aca="false">A1733/SUM($A1733:$C1733)</f>
        <v>0.481006932198529</v>
      </c>
      <c r="E1733" s="0" t="n">
        <f aca="false">B1733/SUM($A1733:$C1733)</f>
        <v>0.105994199719381</v>
      </c>
      <c r="F1733" s="0" t="n">
        <f aca="false">C1733/SUM($A1733:$C1733)</f>
        <v>0.412998868082091</v>
      </c>
      <c r="G1733" s="0" t="n">
        <f aca="false">SUMPRODUCT(D1733:F1733,Stats!$B$6:$D$6)</f>
        <v>0.351194188582924</v>
      </c>
      <c r="H1733" s="0" t="n">
        <f aca="false">SQRT(SUMPRODUCT(MMULT(D1733:F1733,Stats!$B$12:$D$14),D1733:F1733))</f>
        <v>0.222658361119664</v>
      </c>
      <c r="I1733" s="0" t="n">
        <f aca="false">(G1733-Stats!$B$2)/H1733</f>
        <v>1.38864845240082</v>
      </c>
    </row>
    <row r="1734" customFormat="false" ht="15" hidden="false" customHeight="false" outlineLevel="0" collapsed="false">
      <c r="A1734" s="0" t="n">
        <v>0.738546053396963</v>
      </c>
      <c r="B1734" s="0" t="n">
        <v>0.0637945562535979</v>
      </c>
      <c r="C1734" s="0" t="n">
        <v>0.387223141210207</v>
      </c>
      <c r="D1734" s="0" t="n">
        <f aca="false">A1734/SUM($A1734:$C1734)</f>
        <v>0.620854538365473</v>
      </c>
      <c r="E1734" s="0" t="n">
        <f aca="false">B1734/SUM($A1734:$C1734)</f>
        <v>0.0536285308016793</v>
      </c>
      <c r="F1734" s="0" t="n">
        <f aca="false">C1734/SUM($A1734:$C1734)</f>
        <v>0.325516930832847</v>
      </c>
      <c r="G1734" s="0" t="n">
        <f aca="false">SUMPRODUCT(D1734:F1734,Stats!$B$6:$D$6)</f>
        <v>0.350593416541285</v>
      </c>
      <c r="H1734" s="0" t="n">
        <f aca="false">SQRT(SUMPRODUCT(MMULT(D1734:F1734,Stats!$B$12:$D$14),D1734:F1734))</f>
        <v>0.221280939558201</v>
      </c>
      <c r="I1734" s="0" t="n">
        <f aca="false">(G1734-Stats!$B$2)/H1734</f>
        <v>1.39457748668913</v>
      </c>
    </row>
    <row r="1735" customFormat="false" ht="15" hidden="false" customHeight="false" outlineLevel="0" collapsed="false">
      <c r="A1735" s="0" t="n">
        <v>0.282765457060099</v>
      </c>
      <c r="B1735" s="0" t="n">
        <v>0.30449042435403</v>
      </c>
      <c r="C1735" s="0" t="n">
        <v>0.982946879554701</v>
      </c>
      <c r="D1735" s="0" t="n">
        <f aca="false">A1735/SUM($A1735:$C1735)</f>
        <v>0.180082129575183</v>
      </c>
      <c r="E1735" s="0" t="n">
        <f aca="false">B1735/SUM($A1735:$C1735)</f>
        <v>0.193917901511112</v>
      </c>
      <c r="F1735" s="0" t="n">
        <f aca="false">C1735/SUM($A1735:$C1735)</f>
        <v>0.625999968913705</v>
      </c>
      <c r="G1735" s="0" t="n">
        <f aca="false">SUMPRODUCT(D1735:F1735,Stats!$B$6:$D$6)</f>
        <v>0.350379781155699</v>
      </c>
      <c r="H1735" s="0" t="n">
        <f aca="false">SQRT(SUMPRODUCT(MMULT(D1735:F1735,Stats!$B$12:$D$14),D1735:F1735))</f>
        <v>0.235240462901789</v>
      </c>
      <c r="I1735" s="0" t="n">
        <f aca="false">(G1735-Stats!$B$2)/H1735</f>
        <v>1.31091300090004</v>
      </c>
    </row>
    <row r="1736" customFormat="false" ht="15" hidden="false" customHeight="false" outlineLevel="0" collapsed="false">
      <c r="A1736" s="0" t="n">
        <v>0.642777413479928</v>
      </c>
      <c r="B1736" s="0" t="n">
        <v>0.7176761577935</v>
      </c>
      <c r="C1736" s="0" t="n">
        <v>0.976617637315009</v>
      </c>
      <c r="D1736" s="0" t="n">
        <f aca="false">A1736/SUM($A1736:$C1736)</f>
        <v>0.27503544227399</v>
      </c>
      <c r="E1736" s="0" t="n">
        <f aca="false">B1736/SUM($A1736:$C1736)</f>
        <v>0.307083564743826</v>
      </c>
      <c r="F1736" s="0" t="n">
        <f aca="false">C1736/SUM($A1736:$C1736)</f>
        <v>0.417880992982184</v>
      </c>
      <c r="G1736" s="0" t="n">
        <f aca="false">SUMPRODUCT(D1736:F1736,Stats!$B$6:$D$6)</f>
        <v>0.362629987665203</v>
      </c>
      <c r="H1736" s="0" t="n">
        <f aca="false">SQRT(SUMPRODUCT(MMULT(D1736:F1736,Stats!$B$12:$D$14),D1736:F1736))</f>
        <v>0.228334353467461</v>
      </c>
      <c r="I1736" s="0" t="n">
        <f aca="false">(G1736-Stats!$B$2)/H1736</f>
        <v>1.40421265042316</v>
      </c>
    </row>
    <row r="1737" customFormat="false" ht="15" hidden="false" customHeight="false" outlineLevel="0" collapsed="false">
      <c r="A1737" s="0" t="n">
        <v>0.377201782457639</v>
      </c>
      <c r="B1737" s="0" t="n">
        <v>0.801840168452806</v>
      </c>
      <c r="C1737" s="0" t="n">
        <v>0.434530963304495</v>
      </c>
      <c r="D1737" s="0" t="n">
        <f aca="false">A1737/SUM($A1737:$C1737)</f>
        <v>0.233768043039543</v>
      </c>
      <c r="E1737" s="0" t="n">
        <f aca="false">B1737/SUM($A1737:$C1737)</f>
        <v>0.496934573819944</v>
      </c>
      <c r="F1737" s="0" t="n">
        <f aca="false">C1737/SUM($A1737:$C1737)</f>
        <v>0.269297383140513</v>
      </c>
      <c r="G1737" s="0" t="n">
        <f aca="false">SUMPRODUCT(D1737:F1737,Stats!$B$6:$D$6)</f>
        <v>0.377650904901213</v>
      </c>
      <c r="H1737" s="0" t="n">
        <f aca="false">SQRT(SUMPRODUCT(MMULT(D1737:F1737,Stats!$B$12:$D$14),D1737:F1737))</f>
        <v>0.231145175390337</v>
      </c>
      <c r="I1737" s="0" t="n">
        <f aca="false">(G1737-Stats!$B$2)/H1737</f>
        <v>1.45212161289716</v>
      </c>
    </row>
    <row r="1738" customFormat="false" ht="15" hidden="false" customHeight="false" outlineLevel="0" collapsed="false">
      <c r="A1738" s="0" t="n">
        <v>0.86953367181498</v>
      </c>
      <c r="B1738" s="0" t="n">
        <v>0.180657541311303</v>
      </c>
      <c r="C1738" s="0" t="n">
        <v>0.94768617706428</v>
      </c>
      <c r="D1738" s="0" t="n">
        <f aca="false">A1738/SUM($A1738:$C1738)</f>
        <v>0.435228746310624</v>
      </c>
      <c r="E1738" s="0" t="n">
        <f aca="false">B1738/SUM($A1738:$C1738)</f>
        <v>0.0904247388745271</v>
      </c>
      <c r="F1738" s="0" t="n">
        <f aca="false">C1738/SUM($A1738:$C1738)</f>
        <v>0.474346514814849</v>
      </c>
      <c r="G1738" s="0" t="n">
        <f aca="false">SUMPRODUCT(D1738:F1738,Stats!$B$6:$D$6)</f>
        <v>0.34860670419396</v>
      </c>
      <c r="H1738" s="0" t="n">
        <f aca="false">SQRT(SUMPRODUCT(MMULT(D1738:F1738,Stats!$B$12:$D$14),D1738:F1738))</f>
        <v>0.224091868715173</v>
      </c>
      <c r="I1738" s="0" t="n">
        <f aca="false">(G1738-Stats!$B$2)/H1738</f>
        <v>1.36821878434003</v>
      </c>
    </row>
    <row r="1739" customFormat="false" ht="15" hidden="false" customHeight="false" outlineLevel="0" collapsed="false">
      <c r="A1739" s="0" t="n">
        <v>0.21877170841088</v>
      </c>
      <c r="B1739" s="0" t="n">
        <v>0.326220506980932</v>
      </c>
      <c r="C1739" s="0" t="n">
        <v>0.756192234106781</v>
      </c>
      <c r="D1739" s="0" t="n">
        <f aca="false">A1739/SUM($A1739:$C1739)</f>
        <v>0.168132741284437</v>
      </c>
      <c r="E1739" s="0" t="n">
        <f aca="false">B1739/SUM($A1739:$C1739)</f>
        <v>0.25071042549474</v>
      </c>
      <c r="F1739" s="0" t="n">
        <f aca="false">C1739/SUM($A1739:$C1739)</f>
        <v>0.581156833220822</v>
      </c>
      <c r="G1739" s="0" t="n">
        <f aca="false">SUMPRODUCT(D1739:F1739,Stats!$B$6:$D$6)</f>
        <v>0.354884081699746</v>
      </c>
      <c r="H1739" s="0" t="n">
        <f aca="false">SQRT(SUMPRODUCT(MMULT(D1739:F1739,Stats!$B$12:$D$14),D1739:F1739))</f>
        <v>0.234792768485595</v>
      </c>
      <c r="I1739" s="0" t="n">
        <f aca="false">(G1739-Stats!$B$2)/H1739</f>
        <v>1.33259675635599</v>
      </c>
    </row>
    <row r="1740" customFormat="false" ht="15" hidden="false" customHeight="false" outlineLevel="0" collapsed="false">
      <c r="A1740" s="0" t="n">
        <v>0.393755141565407</v>
      </c>
      <c r="B1740" s="0" t="n">
        <v>0.608211376766447</v>
      </c>
      <c r="C1740" s="0" t="n">
        <v>0.444573501069429</v>
      </c>
      <c r="D1740" s="0" t="n">
        <f aca="false">A1740/SUM($A1740:$C1740)</f>
        <v>0.27220480338206</v>
      </c>
      <c r="E1740" s="0" t="n">
        <f aca="false">B1740/SUM($A1740:$C1740)</f>
        <v>0.420459419448474</v>
      </c>
      <c r="F1740" s="0" t="n">
        <f aca="false">C1740/SUM($A1740:$C1740)</f>
        <v>0.307335777169467</v>
      </c>
      <c r="G1740" s="0" t="n">
        <f aca="false">SUMPRODUCT(D1740:F1740,Stats!$B$6:$D$6)</f>
        <v>0.372201729413521</v>
      </c>
      <c r="H1740" s="0" t="n">
        <f aca="false">SQRT(SUMPRODUCT(MMULT(D1740:F1740,Stats!$B$12:$D$14),D1740:F1740))</f>
        <v>0.228898455400212</v>
      </c>
      <c r="I1740" s="0" t="n">
        <f aca="false">(G1740-Stats!$B$2)/H1740</f>
        <v>1.44256862212629</v>
      </c>
    </row>
    <row r="1741" customFormat="false" ht="15" hidden="false" customHeight="false" outlineLevel="0" collapsed="false">
      <c r="A1741" s="0" t="n">
        <v>0.742369937089782</v>
      </c>
      <c r="B1741" s="0" t="n">
        <v>0.228331252368611</v>
      </c>
      <c r="C1741" s="0" t="n">
        <v>0.058457987236877</v>
      </c>
      <c r="D1741" s="0" t="n">
        <f aca="false">A1741/SUM($A1741:$C1741)</f>
        <v>0.721336362634985</v>
      </c>
      <c r="E1741" s="0" t="n">
        <f aca="false">B1741/SUM($A1741:$C1741)</f>
        <v>0.22186194083388</v>
      </c>
      <c r="F1741" s="0" t="n">
        <f aca="false">C1741/SUM($A1741:$C1741)</f>
        <v>0.0568016965311346</v>
      </c>
      <c r="G1741" s="0" t="n">
        <f aca="false">SUMPRODUCT(D1741:F1741,Stats!$B$6:$D$6)</f>
        <v>0.367683068446853</v>
      </c>
      <c r="H1741" s="0" t="n">
        <f aca="false">SQRT(SUMPRODUCT(MMULT(D1741:F1741,Stats!$B$12:$D$14),D1741:F1741))</f>
        <v>0.225710804182546</v>
      </c>
      <c r="I1741" s="0" t="n">
        <f aca="false">(G1741-Stats!$B$2)/H1741</f>
        <v>1.44292192669454</v>
      </c>
    </row>
    <row r="1742" customFormat="false" ht="15" hidden="false" customHeight="false" outlineLevel="0" collapsed="false">
      <c r="A1742" s="0" t="n">
        <v>0.299929397473066</v>
      </c>
      <c r="B1742" s="0" t="n">
        <v>0.47430866486843</v>
      </c>
      <c r="C1742" s="0" t="n">
        <v>0.168020052192679</v>
      </c>
      <c r="D1742" s="0" t="n">
        <f aca="false">A1742/SUM($A1742:$C1742)</f>
        <v>0.318309169055384</v>
      </c>
      <c r="E1742" s="0" t="n">
        <f aca="false">B1742/SUM($A1742:$C1742)</f>
        <v>0.503374454995184</v>
      </c>
      <c r="F1742" s="0" t="n">
        <f aca="false">C1742/SUM($A1742:$C1742)</f>
        <v>0.178316375949432</v>
      </c>
      <c r="G1742" s="0" t="n">
        <f aca="false">SUMPRODUCT(D1742:F1742,Stats!$B$6:$D$6)</f>
        <v>0.38053021360922</v>
      </c>
      <c r="H1742" s="0" t="n">
        <f aca="false">SQRT(SUMPRODUCT(MMULT(D1742:F1742,Stats!$B$12:$D$14),D1742:F1742))</f>
        <v>0.229325136271911</v>
      </c>
      <c r="I1742" s="0" t="n">
        <f aca="false">(G1742-Stats!$B$2)/H1742</f>
        <v>1.47620195113642</v>
      </c>
    </row>
    <row r="1743" customFormat="false" ht="15" hidden="false" customHeight="false" outlineLevel="0" collapsed="false">
      <c r="A1743" s="0" t="n">
        <v>0.354797289656389</v>
      </c>
      <c r="B1743" s="0" t="n">
        <v>0.399983018293569</v>
      </c>
      <c r="C1743" s="0" t="n">
        <v>0.0573918436882736</v>
      </c>
      <c r="D1743" s="0" t="n">
        <f aca="false">A1743/SUM($A1743:$C1743)</f>
        <v>0.436849858666944</v>
      </c>
      <c r="E1743" s="0" t="n">
        <f aca="false">B1743/SUM($A1743:$C1743)</f>
        <v>0.492485512445562</v>
      </c>
      <c r="F1743" s="0" t="n">
        <f aca="false">C1743/SUM($A1743:$C1743)</f>
        <v>0.0706646288874946</v>
      </c>
      <c r="G1743" s="0" t="n">
        <f aca="false">SUMPRODUCT(D1743:F1743,Stats!$B$6:$D$6)</f>
        <v>0.382872133468391</v>
      </c>
      <c r="H1743" s="0" t="n">
        <f aca="false">SQRT(SUMPRODUCT(MMULT(D1743:F1743,Stats!$B$12:$D$14),D1743:F1743))</f>
        <v>0.228534412134932</v>
      </c>
      <c r="I1743" s="0" t="n">
        <f aca="false">(G1743-Stats!$B$2)/H1743</f>
        <v>1.49155713699315</v>
      </c>
    </row>
    <row r="1744" customFormat="false" ht="15" hidden="false" customHeight="false" outlineLevel="0" collapsed="false">
      <c r="A1744" s="0" t="n">
        <v>0.583307248184205</v>
      </c>
      <c r="B1744" s="0" t="n">
        <v>0.884343427971288</v>
      </c>
      <c r="C1744" s="0" t="n">
        <v>0.151742912953052</v>
      </c>
      <c r="D1744" s="0" t="n">
        <f aca="false">A1744/SUM($A1744:$C1744)</f>
        <v>0.360201035811997</v>
      </c>
      <c r="E1744" s="0" t="n">
        <f aca="false">B1744/SUM($A1744:$C1744)</f>
        <v>0.546095423570318</v>
      </c>
      <c r="F1744" s="0" t="n">
        <f aca="false">C1744/SUM($A1744:$C1744)</f>
        <v>0.0937035406176858</v>
      </c>
      <c r="G1744" s="0" t="n">
        <f aca="false">SUMPRODUCT(D1744:F1744,Stats!$B$6:$D$6)</f>
        <v>0.385321489238831</v>
      </c>
      <c r="H1744" s="0" t="n">
        <f aca="false">SQRT(SUMPRODUCT(MMULT(D1744:F1744,Stats!$B$12:$D$14),D1744:F1744))</f>
        <v>0.230238407035285</v>
      </c>
      <c r="I1744" s="0" t="n">
        <f aca="false">(G1744-Stats!$B$2)/H1744</f>
        <v>1.49115646542071</v>
      </c>
    </row>
    <row r="1745" customFormat="false" ht="15" hidden="false" customHeight="false" outlineLevel="0" collapsed="false">
      <c r="A1745" s="0" t="n">
        <v>0.597808013401514</v>
      </c>
      <c r="B1745" s="0" t="n">
        <v>0.664739204910846</v>
      </c>
      <c r="C1745" s="0" t="n">
        <v>0.419334680419288</v>
      </c>
      <c r="D1745" s="0" t="n">
        <f aca="false">A1745/SUM($A1745:$C1745)</f>
        <v>0.355439947271171</v>
      </c>
      <c r="E1745" s="0" t="n">
        <f aca="false">B1745/SUM($A1745:$C1745)</f>
        <v>0.395235364273879</v>
      </c>
      <c r="F1745" s="0" t="n">
        <f aca="false">C1745/SUM($A1745:$C1745)</f>
        <v>0.24932468845495</v>
      </c>
      <c r="G1745" s="0" t="n">
        <f aca="false">SUMPRODUCT(D1745:F1745,Stats!$B$6:$D$6)</f>
        <v>0.372350003384696</v>
      </c>
      <c r="H1745" s="0" t="n">
        <f aca="false">SQRT(SUMPRODUCT(MMULT(D1745:F1745,Stats!$B$12:$D$14),D1745:F1745))</f>
        <v>0.226478568810896</v>
      </c>
      <c r="I1745" s="0" t="n">
        <f aca="false">(G1745-Stats!$B$2)/H1745</f>
        <v>1.45863692586529</v>
      </c>
    </row>
    <row r="1746" customFormat="false" ht="15" hidden="false" customHeight="false" outlineLevel="0" collapsed="false">
      <c r="A1746" s="0" t="n">
        <v>0.70109758736427</v>
      </c>
      <c r="B1746" s="0" t="n">
        <v>0.410731543491012</v>
      </c>
      <c r="C1746" s="0" t="n">
        <v>0.504637287977435</v>
      </c>
      <c r="D1746" s="0" t="n">
        <f aca="false">A1746/SUM($A1746:$C1746)</f>
        <v>0.433722333601305</v>
      </c>
      <c r="E1746" s="0" t="n">
        <f aca="false">B1746/SUM($A1746:$C1746)</f>
        <v>0.254092221592583</v>
      </c>
      <c r="F1746" s="0" t="n">
        <f aca="false">C1746/SUM($A1746:$C1746)</f>
        <v>0.312185444806112</v>
      </c>
      <c r="G1746" s="0" t="n">
        <f aca="false">SUMPRODUCT(D1746:F1746,Stats!$B$6:$D$6)</f>
        <v>0.362495448453943</v>
      </c>
      <c r="H1746" s="0" t="n">
        <f aca="false">SQRT(SUMPRODUCT(MMULT(D1746:F1746,Stats!$B$12:$D$14),D1746:F1746))</f>
        <v>0.223516013503244</v>
      </c>
      <c r="I1746" s="0" t="n">
        <f aca="false">(G1746-Stats!$B$2)/H1746</f>
        <v>1.43388137355667</v>
      </c>
    </row>
    <row r="1747" customFormat="false" ht="15" hidden="false" customHeight="false" outlineLevel="0" collapsed="false">
      <c r="A1747" s="0" t="n">
        <v>0.00735304455442698</v>
      </c>
      <c r="B1747" s="0" t="n">
        <v>0.691720114134689</v>
      </c>
      <c r="C1747" s="0" t="n">
        <v>0.661342678944724</v>
      </c>
      <c r="D1747" s="0" t="n">
        <f aca="false">A1747/SUM($A1747:$C1747)</f>
        <v>0.0054049977595204</v>
      </c>
      <c r="E1747" s="0" t="n">
        <f aca="false">B1747/SUM($A1747:$C1747)</f>
        <v>0.508462262052015</v>
      </c>
      <c r="F1747" s="0" t="n">
        <f aca="false">C1747/SUM($A1747:$C1747)</f>
        <v>0.486132740188465</v>
      </c>
      <c r="G1747" s="0" t="n">
        <f aca="false">SUMPRODUCT(D1747:F1747,Stats!$B$6:$D$6)</f>
        <v>0.372335041590757</v>
      </c>
      <c r="H1747" s="0" t="n">
        <f aca="false">SQRT(SUMPRODUCT(MMULT(D1747:F1747,Stats!$B$12:$D$14),D1747:F1747))</f>
        <v>0.24293660309232</v>
      </c>
      <c r="I1747" s="0" t="n">
        <f aca="false">(G1747-Stats!$B$2)/H1747</f>
        <v>1.35975821422523</v>
      </c>
    </row>
    <row r="1748" customFormat="false" ht="15" hidden="false" customHeight="false" outlineLevel="0" collapsed="false">
      <c r="A1748" s="0" t="n">
        <v>0.0384008773263446</v>
      </c>
      <c r="B1748" s="0" t="n">
        <v>0.368250107395133</v>
      </c>
      <c r="C1748" s="0" t="n">
        <v>0.979031840791667</v>
      </c>
      <c r="D1748" s="0" t="n">
        <f aca="false">A1748/SUM($A1748:$C1748)</f>
        <v>0.0277126024940982</v>
      </c>
      <c r="E1748" s="0" t="n">
        <f aca="false">B1748/SUM($A1748:$C1748)</f>
        <v>0.265753533647762</v>
      </c>
      <c r="F1748" s="0" t="n">
        <f aca="false">C1748/SUM($A1748:$C1748)</f>
        <v>0.70653386385814</v>
      </c>
      <c r="G1748" s="0" t="n">
        <f aca="false">SUMPRODUCT(D1748:F1748,Stats!$B$6:$D$6)</f>
        <v>0.352292419275674</v>
      </c>
      <c r="H1748" s="0" t="n">
        <f aca="false">SQRT(SUMPRODUCT(MMULT(D1748:F1748,Stats!$B$12:$D$14),D1748:F1748))</f>
        <v>0.245269726922925</v>
      </c>
      <c r="I1748" s="0" t="n">
        <f aca="false">(G1748-Stats!$B$2)/H1748</f>
        <v>1.26510688118139</v>
      </c>
    </row>
    <row r="1749" customFormat="false" ht="15" hidden="false" customHeight="false" outlineLevel="0" collapsed="false">
      <c r="A1749" s="0" t="n">
        <v>0.420736562568617</v>
      </c>
      <c r="B1749" s="0" t="n">
        <v>0.501945405131842</v>
      </c>
      <c r="C1749" s="0" t="n">
        <v>0.909930158159719</v>
      </c>
      <c r="D1749" s="0" t="n">
        <f aca="false">A1749/SUM($A1749:$C1749)</f>
        <v>0.229582985199956</v>
      </c>
      <c r="E1749" s="0" t="n">
        <f aca="false">B1749/SUM($A1749:$C1749)</f>
        <v>0.273896149681015</v>
      </c>
      <c r="F1749" s="0" t="n">
        <f aca="false">C1749/SUM($A1749:$C1749)</f>
        <v>0.496520865119029</v>
      </c>
      <c r="G1749" s="0" t="n">
        <f aca="false">SUMPRODUCT(D1749:F1749,Stats!$B$6:$D$6)</f>
        <v>0.358551962528431</v>
      </c>
      <c r="H1749" s="0" t="n">
        <f aca="false">SQRT(SUMPRODUCT(MMULT(D1749:F1749,Stats!$B$12:$D$14),D1749:F1749))</f>
        <v>0.230744016805655</v>
      </c>
      <c r="I1749" s="0" t="n">
        <f aca="false">(G1749-Stats!$B$2)/H1749</f>
        <v>1.37187506272394</v>
      </c>
    </row>
    <row r="1750" customFormat="false" ht="15" hidden="false" customHeight="false" outlineLevel="0" collapsed="false">
      <c r="A1750" s="0" t="n">
        <v>0.717261875865756</v>
      </c>
      <c r="B1750" s="0" t="n">
        <v>0.582070131124224</v>
      </c>
      <c r="C1750" s="0" t="n">
        <v>0.797804681341073</v>
      </c>
      <c r="D1750" s="0" t="n">
        <f aca="false">A1750/SUM($A1750:$C1750)</f>
        <v>0.342019611719525</v>
      </c>
      <c r="E1750" s="0" t="n">
        <f aca="false">B1750/SUM($A1750:$C1750)</f>
        <v>0.27755469367495</v>
      </c>
      <c r="F1750" s="0" t="n">
        <f aca="false">C1750/SUM($A1750:$C1750)</f>
        <v>0.380425694605526</v>
      </c>
      <c r="G1750" s="0" t="n">
        <f aca="false">SUMPRODUCT(D1750:F1750,Stats!$B$6:$D$6)</f>
        <v>0.361963750089041</v>
      </c>
      <c r="H1750" s="0" t="n">
        <f aca="false">SQRT(SUMPRODUCT(MMULT(D1750:F1750,Stats!$B$12:$D$14),D1750:F1750))</f>
        <v>0.225867658593942</v>
      </c>
      <c r="I1750" s="0" t="n">
        <f aca="false">(G1750-Stats!$B$2)/H1750</f>
        <v>1.41659833940308</v>
      </c>
    </row>
    <row r="1751" customFormat="false" ht="15" hidden="false" customHeight="false" outlineLevel="0" collapsed="false">
      <c r="A1751" s="0" t="n">
        <v>0.864366266455973</v>
      </c>
      <c r="B1751" s="0" t="n">
        <v>0.456888071737267</v>
      </c>
      <c r="C1751" s="0" t="n">
        <v>0.475108364931835</v>
      </c>
      <c r="D1751" s="0" t="n">
        <f aca="false">A1751/SUM($A1751:$C1751)</f>
        <v>0.481175803167291</v>
      </c>
      <c r="E1751" s="0" t="n">
        <f aca="false">B1751/SUM($A1751:$C1751)</f>
        <v>0.25434065789856</v>
      </c>
      <c r="F1751" s="0" t="n">
        <f aca="false">C1751/SUM($A1751:$C1751)</f>
        <v>0.26448353893415</v>
      </c>
      <c r="G1751" s="0" t="n">
        <f aca="false">SUMPRODUCT(D1751:F1751,Stats!$B$6:$D$6)</f>
        <v>0.363825104864746</v>
      </c>
      <c r="H1751" s="0" t="n">
        <f aca="false">SQRT(SUMPRODUCT(MMULT(D1751:F1751,Stats!$B$12:$D$14),D1751:F1751))</f>
        <v>0.222931319590522</v>
      </c>
      <c r="I1751" s="0" t="n">
        <f aca="false">(G1751-Stats!$B$2)/H1751</f>
        <v>1.44360651278552</v>
      </c>
    </row>
    <row r="1752" customFormat="false" ht="15" hidden="false" customHeight="false" outlineLevel="0" collapsed="false">
      <c r="A1752" s="0" t="n">
        <v>0.386050935651836</v>
      </c>
      <c r="B1752" s="0" t="n">
        <v>0.966706140018461</v>
      </c>
      <c r="C1752" s="0" t="n">
        <v>0.69716625429035</v>
      </c>
      <c r="D1752" s="0" t="n">
        <f aca="false">A1752/SUM($A1752:$C1752)</f>
        <v>0.188324572928904</v>
      </c>
      <c r="E1752" s="0" t="n">
        <f aca="false">B1752/SUM($A1752:$C1752)</f>
        <v>0.471581607901901</v>
      </c>
      <c r="F1752" s="0" t="n">
        <f aca="false">C1752/SUM($A1752:$C1752)</f>
        <v>0.340093819169195</v>
      </c>
      <c r="G1752" s="0" t="n">
        <f aca="false">SUMPRODUCT(D1752:F1752,Stats!$B$6:$D$6)</f>
        <v>0.37423994356224</v>
      </c>
      <c r="H1752" s="0" t="n">
        <f aca="false">SQRT(SUMPRODUCT(MMULT(D1752:F1752,Stats!$B$12:$D$14),D1752:F1752))</f>
        <v>0.232503106568257</v>
      </c>
      <c r="I1752" s="0" t="n">
        <f aca="false">(G1752-Stats!$B$2)/H1752</f>
        <v>1.42896991126741</v>
      </c>
    </row>
    <row r="1753" customFormat="false" ht="15" hidden="false" customHeight="false" outlineLevel="0" collapsed="false">
      <c r="A1753" s="0" t="n">
        <v>0.0832230662080723</v>
      </c>
      <c r="B1753" s="0" t="n">
        <v>0.862959623313019</v>
      </c>
      <c r="C1753" s="0" t="n">
        <v>0.480559940836268</v>
      </c>
      <c r="D1753" s="0" t="n">
        <f aca="false">A1753/SUM($A1753:$C1753)</f>
        <v>0.0583308190540485</v>
      </c>
      <c r="E1753" s="0" t="n">
        <f aca="false">B1753/SUM($A1753:$C1753)</f>
        <v>0.604846035263467</v>
      </c>
      <c r="F1753" s="0" t="n">
        <f aca="false">C1753/SUM($A1753:$C1753)</f>
        <v>0.336823145682485</v>
      </c>
      <c r="G1753" s="0" t="n">
        <f aca="false">SUMPRODUCT(D1753:F1753,Stats!$B$6:$D$6)</f>
        <v>0.38199799379528</v>
      </c>
      <c r="H1753" s="0" t="n">
        <f aca="false">SQRT(SUMPRODUCT(MMULT(D1753:F1753,Stats!$B$12:$D$14),D1753:F1753))</f>
        <v>0.240057286961951</v>
      </c>
      <c r="I1753" s="0" t="n">
        <f aca="false">(G1753-Stats!$B$2)/H1753</f>
        <v>1.41632023796541</v>
      </c>
    </row>
    <row r="1754" customFormat="false" ht="15" hidden="false" customHeight="false" outlineLevel="0" collapsed="false">
      <c r="A1754" s="0" t="n">
        <v>0.0687539064224875</v>
      </c>
      <c r="B1754" s="0" t="n">
        <v>0.549717255163311</v>
      </c>
      <c r="C1754" s="0" t="n">
        <v>0.417164278975702</v>
      </c>
      <c r="D1754" s="0" t="n">
        <f aca="false">A1754/SUM($A1754:$C1754)</f>
        <v>0.0663881359498575</v>
      </c>
      <c r="E1754" s="0" t="n">
        <f aca="false">B1754/SUM($A1754:$C1754)</f>
        <v>0.530801895757126</v>
      </c>
      <c r="F1754" s="0" t="n">
        <f aca="false">C1754/SUM($A1754:$C1754)</f>
        <v>0.402809968293016</v>
      </c>
      <c r="G1754" s="0" t="n">
        <f aca="false">SUMPRODUCT(D1754:F1754,Stats!$B$6:$D$6)</f>
        <v>0.375918028587921</v>
      </c>
      <c r="H1754" s="0" t="n">
        <f aca="false">SQRT(SUMPRODUCT(MMULT(D1754:F1754,Stats!$B$12:$D$14),D1754:F1754))</f>
        <v>0.23901664007957</v>
      </c>
      <c r="I1754" s="0" t="n">
        <f aca="false">(G1754-Stats!$B$2)/H1754</f>
        <v>1.3970492952991</v>
      </c>
    </row>
    <row r="1755" customFormat="false" ht="15" hidden="false" customHeight="false" outlineLevel="0" collapsed="false">
      <c r="A1755" s="0" t="n">
        <v>0.877749404862625</v>
      </c>
      <c r="B1755" s="0" t="n">
        <v>0.203994603609387</v>
      </c>
      <c r="C1755" s="0" t="n">
        <v>0.826464609492183</v>
      </c>
      <c r="D1755" s="0" t="n">
        <f aca="false">A1755/SUM($A1755:$C1755)</f>
        <v>0.45998608150039</v>
      </c>
      <c r="E1755" s="0" t="n">
        <f aca="false">B1755/SUM($A1755:$C1755)</f>
        <v>0.106903721998186</v>
      </c>
      <c r="F1755" s="0" t="n">
        <f aca="false">C1755/SUM($A1755:$C1755)</f>
        <v>0.433110196501424</v>
      </c>
      <c r="G1755" s="0" t="n">
        <f aca="false">SUMPRODUCT(D1755:F1755,Stats!$B$6:$D$6)</f>
        <v>0.350691959171736</v>
      </c>
      <c r="H1755" s="0" t="n">
        <f aca="false">SQRT(SUMPRODUCT(MMULT(D1755:F1755,Stats!$B$12:$D$14),D1755:F1755))</f>
        <v>0.223165415910853</v>
      </c>
      <c r="I1755" s="0" t="n">
        <f aca="false">(G1755-Stats!$B$2)/H1755</f>
        <v>1.38324281973443</v>
      </c>
    </row>
    <row r="1756" customFormat="false" ht="15" hidden="false" customHeight="false" outlineLevel="0" collapsed="false">
      <c r="A1756" s="0" t="n">
        <v>0.557688691185453</v>
      </c>
      <c r="B1756" s="0" t="n">
        <v>0.0546103032134691</v>
      </c>
      <c r="C1756" s="0" t="n">
        <v>0.971845301325485</v>
      </c>
      <c r="D1756" s="0" t="n">
        <f aca="false">A1756/SUM($A1756:$C1756)</f>
        <v>0.352044124194147</v>
      </c>
      <c r="E1756" s="0" t="n">
        <f aca="false">B1756/SUM($A1756:$C1756)</f>
        <v>0.0344730611730648</v>
      </c>
      <c r="F1756" s="0" t="n">
        <f aca="false">C1756/SUM($A1756:$C1756)</f>
        <v>0.613482814632788</v>
      </c>
      <c r="G1756" s="0" t="n">
        <f aca="false">SUMPRODUCT(D1756:F1756,Stats!$B$6:$D$6)</f>
        <v>0.341550687123012</v>
      </c>
      <c r="H1756" s="0" t="n">
        <f aca="false">SQRT(SUMPRODUCT(MMULT(D1756:F1756,Stats!$B$12:$D$14),D1756:F1756))</f>
        <v>0.228885990860947</v>
      </c>
      <c r="I1756" s="0" t="n">
        <f aca="false">(G1756-Stats!$B$2)/H1756</f>
        <v>1.30873316447312</v>
      </c>
    </row>
    <row r="1757" customFormat="false" ht="15" hidden="false" customHeight="false" outlineLevel="0" collapsed="false">
      <c r="A1757" s="0" t="n">
        <v>0.5126152441032</v>
      </c>
      <c r="B1757" s="0" t="n">
        <v>0.290876854231583</v>
      </c>
      <c r="C1757" s="0" t="n">
        <v>0.469406841989258</v>
      </c>
      <c r="D1757" s="0" t="n">
        <f aca="false">A1757/SUM($A1757:$C1757)</f>
        <v>0.402714801516532</v>
      </c>
      <c r="E1757" s="0" t="n">
        <f aca="false">B1757/SUM($A1757:$C1757)</f>
        <v>0.228515277228163</v>
      </c>
      <c r="F1757" s="0" t="n">
        <f aca="false">C1757/SUM($A1757:$C1757)</f>
        <v>0.368769921255305</v>
      </c>
      <c r="G1757" s="0" t="n">
        <f aca="false">SUMPRODUCT(D1757:F1757,Stats!$B$6:$D$6)</f>
        <v>0.359463489004253</v>
      </c>
      <c r="H1757" s="0" t="n">
        <f aca="false">SQRT(SUMPRODUCT(MMULT(D1757:F1757,Stats!$B$12:$D$14),D1757:F1757))</f>
        <v>0.224095512751893</v>
      </c>
      <c r="I1757" s="0" t="n">
        <f aca="false">(G1757-Stats!$B$2)/H1757</f>
        <v>1.41664366727295</v>
      </c>
    </row>
    <row r="1758" customFormat="false" ht="15" hidden="false" customHeight="false" outlineLevel="0" collapsed="false">
      <c r="A1758" s="0" t="n">
        <v>0.857857783517489</v>
      </c>
      <c r="B1758" s="0" t="n">
        <v>0.304903124385064</v>
      </c>
      <c r="C1758" s="0" t="n">
        <v>0.1926763964867</v>
      </c>
      <c r="D1758" s="0" t="n">
        <f aca="false">A1758/SUM($A1758:$C1758)</f>
        <v>0.632901116665098</v>
      </c>
      <c r="E1758" s="0" t="n">
        <f aca="false">B1758/SUM($A1758:$C1758)</f>
        <v>0.224948157615044</v>
      </c>
      <c r="F1758" s="0" t="n">
        <f aca="false">C1758/SUM($A1758:$C1758)</f>
        <v>0.142150725719858</v>
      </c>
      <c r="G1758" s="0" t="n">
        <f aca="false">SUMPRODUCT(D1758:F1758,Stats!$B$6:$D$6)</f>
        <v>0.365507178713112</v>
      </c>
      <c r="H1758" s="0" t="n">
        <f aca="false">SQRT(SUMPRODUCT(MMULT(D1758:F1758,Stats!$B$12:$D$14),D1758:F1758))</f>
        <v>0.223329685387457</v>
      </c>
      <c r="I1758" s="0" t="n">
        <f aca="false">(G1758-Stats!$B$2)/H1758</f>
        <v>1.44856326713512</v>
      </c>
    </row>
    <row r="1759" customFormat="false" ht="15" hidden="false" customHeight="false" outlineLevel="0" collapsed="false">
      <c r="A1759" s="0" t="n">
        <v>0.129071246930882</v>
      </c>
      <c r="B1759" s="0" t="n">
        <v>0.297859398390211</v>
      </c>
      <c r="C1759" s="0" t="n">
        <v>0.780048087040044</v>
      </c>
      <c r="D1759" s="0" t="n">
        <f aca="false">A1759/SUM($A1759:$C1759)</f>
        <v>0.106937465814652</v>
      </c>
      <c r="E1759" s="0" t="n">
        <f aca="false">B1759/SUM($A1759:$C1759)</f>
        <v>0.246780983296638</v>
      </c>
      <c r="F1759" s="0" t="n">
        <f aca="false">C1759/SUM($A1759:$C1759)</f>
        <v>0.646281550888709</v>
      </c>
      <c r="G1759" s="0" t="n">
        <f aca="false">SUMPRODUCT(D1759:F1759,Stats!$B$6:$D$6)</f>
        <v>0.352862197640036</v>
      </c>
      <c r="H1759" s="0" t="n">
        <f aca="false">SQRT(SUMPRODUCT(MMULT(D1759:F1759,Stats!$B$12:$D$14),D1759:F1759))</f>
        <v>0.239270158935851</v>
      </c>
      <c r="I1759" s="0" t="n">
        <f aca="false">(G1759-Stats!$B$2)/H1759</f>
        <v>1.29921006038776</v>
      </c>
    </row>
    <row r="1760" customFormat="false" ht="15" hidden="false" customHeight="false" outlineLevel="0" collapsed="false">
      <c r="A1760" s="0" t="n">
        <v>0.471626365195262</v>
      </c>
      <c r="B1760" s="0" t="n">
        <v>0.22748160369354</v>
      </c>
      <c r="C1760" s="0" t="n">
        <v>0.166184999609749</v>
      </c>
      <c r="D1760" s="0" t="n">
        <f aca="false">A1760/SUM($A1760:$C1760)</f>
        <v>0.545048188723438</v>
      </c>
      <c r="E1760" s="0" t="n">
        <f aca="false">B1760/SUM($A1760:$C1760)</f>
        <v>0.262895472371935</v>
      </c>
      <c r="F1760" s="0" t="n">
        <f aca="false">C1760/SUM($A1760:$C1760)</f>
        <v>0.192056338904628</v>
      </c>
      <c r="G1760" s="0" t="n">
        <f aca="false">SUMPRODUCT(D1760:F1760,Stats!$B$6:$D$6)</f>
        <v>0.366314490001113</v>
      </c>
      <c r="H1760" s="0" t="n">
        <f aca="false">SQRT(SUMPRODUCT(MMULT(D1760:F1760,Stats!$B$12:$D$14),D1760:F1760))</f>
        <v>0.222999104011099</v>
      </c>
      <c r="I1760" s="0" t="n">
        <f aca="false">(G1760-Stats!$B$2)/H1760</f>
        <v>1.45433091060747</v>
      </c>
    </row>
    <row r="1761" customFormat="false" ht="15" hidden="false" customHeight="false" outlineLevel="0" collapsed="false">
      <c r="A1761" s="0" t="n">
        <v>0.332729476510379</v>
      </c>
      <c r="B1761" s="0" t="n">
        <v>0.939924372885709</v>
      </c>
      <c r="C1761" s="0" t="n">
        <v>0.343026712590024</v>
      </c>
      <c r="D1761" s="0" t="n">
        <f aca="false">A1761/SUM($A1761:$C1761)</f>
        <v>0.205937661403417</v>
      </c>
      <c r="E1761" s="0" t="n">
        <f aca="false">B1761/SUM($A1761:$C1761)</f>
        <v>0.581751365338137</v>
      </c>
      <c r="F1761" s="0" t="n">
        <f aca="false">C1761/SUM($A1761:$C1761)</f>
        <v>0.212310973258446</v>
      </c>
      <c r="G1761" s="0" t="n">
        <f aca="false">SUMPRODUCT(D1761:F1761,Stats!$B$6:$D$6)</f>
        <v>0.384102531643317</v>
      </c>
      <c r="H1761" s="0" t="n">
        <f aca="false">SQRT(SUMPRODUCT(MMULT(D1761:F1761,Stats!$B$12:$D$14),D1761:F1761))</f>
        <v>0.233661634884211</v>
      </c>
      <c r="I1761" s="0" t="n">
        <f aca="false">(G1761-Stats!$B$2)/H1761</f>
        <v>1.46409371745106</v>
      </c>
    </row>
    <row r="1762" customFormat="false" ht="15" hidden="false" customHeight="false" outlineLevel="0" collapsed="false">
      <c r="A1762" s="0" t="n">
        <v>0.988124075954635</v>
      </c>
      <c r="B1762" s="0" t="n">
        <v>0.485230455765356</v>
      </c>
      <c r="C1762" s="0" t="n">
        <v>0.179163918290151</v>
      </c>
      <c r="D1762" s="0" t="n">
        <f aca="false">A1762/SUM($A1762:$C1762)</f>
        <v>0.597950404698096</v>
      </c>
      <c r="E1762" s="0" t="n">
        <f aca="false">B1762/SUM($A1762:$C1762)</f>
        <v>0.293630885490191</v>
      </c>
      <c r="F1762" s="0" t="n">
        <f aca="false">C1762/SUM($A1762:$C1762)</f>
        <v>0.108418709811713</v>
      </c>
      <c r="G1762" s="0" t="n">
        <f aca="false">SUMPRODUCT(D1762:F1762,Stats!$B$6:$D$6)</f>
        <v>0.370389241345384</v>
      </c>
      <c r="H1762" s="0" t="n">
        <f aca="false">SQRT(SUMPRODUCT(MMULT(D1762:F1762,Stats!$B$12:$D$14),D1762:F1762))</f>
        <v>0.224369856560759</v>
      </c>
      <c r="I1762" s="0" t="n">
        <f aca="false">(G1762-Stats!$B$2)/H1762</f>
        <v>1.46360677133319</v>
      </c>
    </row>
    <row r="1763" customFormat="false" ht="15" hidden="false" customHeight="false" outlineLevel="0" collapsed="false">
      <c r="A1763" s="0" t="n">
        <v>0.891140091793509</v>
      </c>
      <c r="B1763" s="0" t="n">
        <v>0.460355373134827</v>
      </c>
      <c r="C1763" s="0" t="n">
        <v>0.709671343504524</v>
      </c>
      <c r="D1763" s="0" t="n">
        <f aca="false">A1763/SUM($A1763:$C1763)</f>
        <v>0.432347390879566</v>
      </c>
      <c r="E1763" s="0" t="n">
        <f aca="false">B1763/SUM($A1763:$C1763)</f>
        <v>0.223346975728201</v>
      </c>
      <c r="F1763" s="0" t="n">
        <f aca="false">C1763/SUM($A1763:$C1763)</f>
        <v>0.344305633392233</v>
      </c>
      <c r="G1763" s="0" t="n">
        <f aca="false">SUMPRODUCT(D1763:F1763,Stats!$B$6:$D$6)</f>
        <v>0.359840704953512</v>
      </c>
      <c r="H1763" s="0" t="n">
        <f aca="false">SQRT(SUMPRODUCT(MMULT(D1763:F1763,Stats!$B$12:$D$14),D1763:F1763))</f>
        <v>0.223407129032963</v>
      </c>
      <c r="I1763" s="0" t="n">
        <f aca="false">(G1763-Stats!$B$2)/H1763</f>
        <v>1.42269723589087</v>
      </c>
    </row>
    <row r="1764" customFormat="false" ht="15" hidden="false" customHeight="false" outlineLevel="0" collapsed="false">
      <c r="A1764" s="0" t="n">
        <v>0.983711583209152</v>
      </c>
      <c r="B1764" s="0" t="n">
        <v>0.050175350319974</v>
      </c>
      <c r="C1764" s="0" t="n">
        <v>0.0966945597875671</v>
      </c>
      <c r="D1764" s="0" t="n">
        <f aca="false">A1764/SUM($A1764:$C1764)</f>
        <v>0.870093477581451</v>
      </c>
      <c r="E1764" s="0" t="n">
        <f aca="false">B1764/SUM($A1764:$C1764)</f>
        <v>0.0443801270554843</v>
      </c>
      <c r="F1764" s="0" t="n">
        <f aca="false">C1764/SUM($A1764:$C1764)</f>
        <v>0.0855263953630643</v>
      </c>
      <c r="G1764" s="0" t="n">
        <f aca="false">SUMPRODUCT(D1764:F1764,Stats!$B$6:$D$6)</f>
        <v>0.35667892207007</v>
      </c>
      <c r="H1764" s="0" t="n">
        <f aca="false">SQRT(SUMPRODUCT(MMULT(D1764:F1764,Stats!$B$12:$D$14),D1764:F1764))</f>
        <v>0.227183060381854</v>
      </c>
      <c r="I1764" s="0" t="n">
        <f aca="false">(G1764-Stats!$B$2)/H1764</f>
        <v>1.38513373990627</v>
      </c>
    </row>
    <row r="1765" customFormat="false" ht="15" hidden="false" customHeight="false" outlineLevel="0" collapsed="false">
      <c r="A1765" s="0" t="n">
        <v>0.720456741462756</v>
      </c>
      <c r="B1765" s="0" t="n">
        <v>0.281825003295472</v>
      </c>
      <c r="C1765" s="0" t="n">
        <v>0.184301396950099</v>
      </c>
      <c r="D1765" s="0" t="n">
        <f aca="false">A1765/SUM($A1765:$C1765)</f>
        <v>0.607169203858326</v>
      </c>
      <c r="E1765" s="0" t="n">
        <f aca="false">B1765/SUM($A1765:$C1765)</f>
        <v>0.237509697710459</v>
      </c>
      <c r="F1765" s="0" t="n">
        <f aca="false">C1765/SUM($A1765:$C1765)</f>
        <v>0.155321098431215</v>
      </c>
      <c r="G1765" s="0" t="n">
        <f aca="false">SUMPRODUCT(D1765:F1765,Stats!$B$6:$D$6)</f>
        <v>0.365866785510195</v>
      </c>
      <c r="H1765" s="0" t="n">
        <f aca="false">SQRT(SUMPRODUCT(MMULT(D1765:F1765,Stats!$B$12:$D$14),D1765:F1765))</f>
        <v>0.223155780130882</v>
      </c>
      <c r="I1765" s="0" t="n">
        <f aca="false">(G1765-Stats!$B$2)/H1765</f>
        <v>1.45130359303373</v>
      </c>
    </row>
    <row r="1766" customFormat="false" ht="15" hidden="false" customHeight="false" outlineLevel="0" collapsed="false">
      <c r="A1766" s="0" t="n">
        <v>0.0393618798197295</v>
      </c>
      <c r="B1766" s="0" t="n">
        <v>0.0218467119862018</v>
      </c>
      <c r="C1766" s="0" t="n">
        <v>0.774485603119791</v>
      </c>
      <c r="D1766" s="0" t="n">
        <f aca="false">A1766/SUM($A1766:$C1766)</f>
        <v>0.0471008175702693</v>
      </c>
      <c r="E1766" s="0" t="n">
        <f aca="false">B1766/SUM($A1766:$C1766)</f>
        <v>0.0261419932301236</v>
      </c>
      <c r="F1766" s="0" t="n">
        <f aca="false">C1766/SUM($A1766:$C1766)</f>
        <v>0.926757189199607</v>
      </c>
      <c r="G1766" s="0" t="n">
        <f aca="false">SUMPRODUCT(D1766:F1766,Stats!$B$6:$D$6)</f>
        <v>0.332432907869245</v>
      </c>
      <c r="H1766" s="0" t="n">
        <f aca="false">SQRT(SUMPRODUCT(MMULT(D1766:F1766,Stats!$B$12:$D$14),D1766:F1766))</f>
        <v>0.253389314674509</v>
      </c>
      <c r="I1766" s="0" t="n">
        <f aca="false">(G1766-Stats!$B$2)/H1766</f>
        <v>1.14619240453103</v>
      </c>
    </row>
    <row r="1767" customFormat="false" ht="15" hidden="false" customHeight="false" outlineLevel="0" collapsed="false">
      <c r="A1767" s="0" t="n">
        <v>0.13443342736955</v>
      </c>
      <c r="B1767" s="0" t="n">
        <v>0.467720615971151</v>
      </c>
      <c r="C1767" s="0" t="n">
        <v>0.605896815179483</v>
      </c>
      <c r="D1767" s="0" t="n">
        <f aca="false">A1767/SUM($A1767:$C1767)</f>
        <v>0.111281264709522</v>
      </c>
      <c r="E1767" s="0" t="n">
        <f aca="false">B1767/SUM($A1767:$C1767)</f>
        <v>0.387169639980299</v>
      </c>
      <c r="F1767" s="0" t="n">
        <f aca="false">C1767/SUM($A1767:$C1767)</f>
        <v>0.501549095310179</v>
      </c>
      <c r="G1767" s="0" t="n">
        <f aca="false">SUMPRODUCT(D1767:F1767,Stats!$B$6:$D$6)</f>
        <v>0.36493092103968</v>
      </c>
      <c r="H1767" s="0" t="n">
        <f aca="false">SQRT(SUMPRODUCT(MMULT(D1767:F1767,Stats!$B$12:$D$14),D1767:F1767))</f>
        <v>0.236592696593599</v>
      </c>
      <c r="I1767" s="0" t="n">
        <f aca="false">(G1767-Stats!$B$2)/H1767</f>
        <v>1.36492345574972</v>
      </c>
    </row>
    <row r="1768" customFormat="false" ht="15" hidden="false" customHeight="false" outlineLevel="0" collapsed="false">
      <c r="A1768" s="0" t="n">
        <v>0.428351800568846</v>
      </c>
      <c r="B1768" s="0" t="n">
        <v>0.0271066523362331</v>
      </c>
      <c r="C1768" s="0" t="n">
        <v>0.783501502587909</v>
      </c>
      <c r="D1768" s="0" t="n">
        <f aca="false">A1768/SUM($A1768:$C1768)</f>
        <v>0.345734984145152</v>
      </c>
      <c r="E1768" s="0" t="n">
        <f aca="false">B1768/SUM($A1768:$C1768)</f>
        <v>0.0218785540372427</v>
      </c>
      <c r="F1768" s="0" t="n">
        <f aca="false">C1768/SUM($A1768:$C1768)</f>
        <v>0.632386461817606</v>
      </c>
      <c r="G1768" s="0" t="n">
        <f aca="false">SUMPRODUCT(D1768:F1768,Stats!$B$6:$D$6)</f>
        <v>0.340304754682772</v>
      </c>
      <c r="H1768" s="0" t="n">
        <f aca="false">SQRT(SUMPRODUCT(MMULT(D1768:F1768,Stats!$B$12:$D$14),D1768:F1768))</f>
        <v>0.229602142584225</v>
      </c>
      <c r="I1768" s="0" t="n">
        <f aca="false">(G1768-Stats!$B$2)/H1768</f>
        <v>1.29922461230232</v>
      </c>
    </row>
    <row r="1769" customFormat="false" ht="15" hidden="false" customHeight="false" outlineLevel="0" collapsed="false">
      <c r="A1769" s="0" t="n">
        <v>0.0105132245416535</v>
      </c>
      <c r="B1769" s="0" t="n">
        <v>0.761889894377484</v>
      </c>
      <c r="C1769" s="0" t="n">
        <v>0.893304493788123</v>
      </c>
      <c r="D1769" s="0" t="n">
        <f aca="false">A1769/SUM($A1769:$C1769)</f>
        <v>0.0063115666047575</v>
      </c>
      <c r="E1769" s="0" t="n">
        <f aca="false">B1769/SUM($A1769:$C1769)</f>
        <v>0.457397137748077</v>
      </c>
      <c r="F1769" s="0" t="n">
        <f aca="false">C1769/SUM($A1769:$C1769)</f>
        <v>0.536291295647165</v>
      </c>
      <c r="G1769" s="0" t="n">
        <f aca="false">SUMPRODUCT(D1769:F1769,Stats!$B$6:$D$6)</f>
        <v>0.368013717555827</v>
      </c>
      <c r="H1769" s="0" t="n">
        <f aca="false">SQRT(SUMPRODUCT(MMULT(D1769:F1769,Stats!$B$12:$D$14),D1769:F1769))</f>
        <v>0.243225738334554</v>
      </c>
      <c r="I1769" s="0" t="n">
        <f aca="false">(G1769-Stats!$B$2)/H1769</f>
        <v>1.34037507620759</v>
      </c>
    </row>
    <row r="1770" customFormat="false" ht="15" hidden="false" customHeight="false" outlineLevel="0" collapsed="false">
      <c r="A1770" s="0" t="n">
        <v>0.432839921057172</v>
      </c>
      <c r="B1770" s="0" t="n">
        <v>0.535542473097798</v>
      </c>
      <c r="C1770" s="0" t="n">
        <v>0.476983392617654</v>
      </c>
      <c r="D1770" s="0" t="n">
        <f aca="false">A1770/SUM($A1770:$C1770)</f>
        <v>0.299467390897405</v>
      </c>
      <c r="E1770" s="0" t="n">
        <f aca="false">B1770/SUM($A1770:$C1770)</f>
        <v>0.370523834173229</v>
      </c>
      <c r="F1770" s="0" t="n">
        <f aca="false">C1770/SUM($A1770:$C1770)</f>
        <v>0.330008774929367</v>
      </c>
      <c r="G1770" s="0" t="n">
        <f aca="false">SUMPRODUCT(D1770:F1770,Stats!$B$6:$D$6)</f>
        <v>0.368703301274411</v>
      </c>
      <c r="H1770" s="0" t="n">
        <f aca="false">SQRT(SUMPRODUCT(MMULT(D1770:F1770,Stats!$B$12:$D$14),D1770:F1770))</f>
        <v>0.227582674325794</v>
      </c>
      <c r="I1770" s="0" t="n">
        <f aca="false">(G1770-Stats!$B$2)/H1770</f>
        <v>1.43553678786076</v>
      </c>
    </row>
    <row r="1771" customFormat="false" ht="15" hidden="false" customHeight="false" outlineLevel="0" collapsed="false">
      <c r="A1771" s="0" t="n">
        <v>0.389208618623439</v>
      </c>
      <c r="B1771" s="0" t="n">
        <v>0.88742453537036</v>
      </c>
      <c r="C1771" s="0" t="n">
        <v>0.893933510669991</v>
      </c>
      <c r="D1771" s="0" t="n">
        <f aca="false">A1771/SUM($A1771:$C1771)</f>
        <v>0.179311985648561</v>
      </c>
      <c r="E1771" s="0" t="n">
        <f aca="false">B1771/SUM($A1771:$C1771)</f>
        <v>0.408844634821579</v>
      </c>
      <c r="F1771" s="0" t="n">
        <f aca="false">C1771/SUM($A1771:$C1771)</f>
        <v>0.41184337952986</v>
      </c>
      <c r="G1771" s="0" t="n">
        <f aca="false">SUMPRODUCT(D1771:F1771,Stats!$B$6:$D$6)</f>
        <v>0.36865167279946</v>
      </c>
      <c r="H1771" s="0" t="n">
        <f aca="false">SQRT(SUMPRODUCT(MMULT(D1771:F1771,Stats!$B$12:$D$14),D1771:F1771))</f>
        <v>0.232631403645942</v>
      </c>
      <c r="I1771" s="0" t="n">
        <f aca="false">(G1771-Stats!$B$2)/H1771</f>
        <v>1.40415983259343</v>
      </c>
    </row>
    <row r="1772" customFormat="false" ht="15" hidden="false" customHeight="false" outlineLevel="0" collapsed="false">
      <c r="A1772" s="0" t="n">
        <v>0.335816364641535</v>
      </c>
      <c r="B1772" s="0" t="n">
        <v>0.615069754014698</v>
      </c>
      <c r="C1772" s="0" t="n">
        <v>0.926907562145864</v>
      </c>
      <c r="D1772" s="0" t="n">
        <f aca="false">A1772/SUM($A1772:$C1772)</f>
        <v>0.178835602694163</v>
      </c>
      <c r="E1772" s="0" t="n">
        <f aca="false">B1772/SUM($A1772:$C1772)</f>
        <v>0.327549165972255</v>
      </c>
      <c r="F1772" s="0" t="n">
        <f aca="false">C1772/SUM($A1772:$C1772)</f>
        <v>0.493615231333581</v>
      </c>
      <c r="G1772" s="0" t="n">
        <f aca="false">SUMPRODUCT(D1772:F1772,Stats!$B$6:$D$6)</f>
        <v>0.361719209378157</v>
      </c>
      <c r="H1772" s="0" t="n">
        <f aca="false">SQRT(SUMPRODUCT(MMULT(D1772:F1772,Stats!$B$12:$D$14),D1772:F1772))</f>
        <v>0.233021781776818</v>
      </c>
      <c r="I1772" s="0" t="n">
        <f aca="false">(G1772-Stats!$B$2)/H1772</f>
        <v>1.3720571825529</v>
      </c>
    </row>
    <row r="1773" customFormat="false" ht="15" hidden="false" customHeight="false" outlineLevel="0" collapsed="false">
      <c r="A1773" s="0" t="n">
        <v>0.962058498941352</v>
      </c>
      <c r="B1773" s="0" t="n">
        <v>0.508959040422048</v>
      </c>
      <c r="C1773" s="0" t="n">
        <v>0.452824805284327</v>
      </c>
      <c r="D1773" s="0" t="n">
        <f aca="false">A1773/SUM($A1773:$C1773)</f>
        <v>0.500071381429913</v>
      </c>
      <c r="E1773" s="0" t="n">
        <f aca="false">B1773/SUM($A1773:$C1773)</f>
        <v>0.264553403680925</v>
      </c>
      <c r="F1773" s="0" t="n">
        <f aca="false">C1773/SUM($A1773:$C1773)</f>
        <v>0.235375214889162</v>
      </c>
      <c r="G1773" s="0" t="n">
        <f aca="false">SUMPRODUCT(D1773:F1773,Stats!$B$6:$D$6)</f>
        <v>0.365215383878856</v>
      </c>
      <c r="H1773" s="0" t="n">
        <f aca="false">SQRT(SUMPRODUCT(MMULT(D1773:F1773,Stats!$B$12:$D$14),D1773:F1773))</f>
        <v>0.222960945272043</v>
      </c>
      <c r="I1773" s="0" t="n">
        <f aca="false">(G1773-Stats!$B$2)/H1773</f>
        <v>1.44965022230458</v>
      </c>
    </row>
    <row r="1774" customFormat="false" ht="15" hidden="false" customHeight="false" outlineLevel="0" collapsed="false">
      <c r="A1774" s="0" t="n">
        <v>0.278694315928526</v>
      </c>
      <c r="B1774" s="0" t="n">
        <v>0.95887187319041</v>
      </c>
      <c r="C1774" s="0" t="n">
        <v>0.142814304472867</v>
      </c>
      <c r="D1774" s="0" t="n">
        <f aca="false">A1774/SUM($A1774:$C1774)</f>
        <v>0.20189673587994</v>
      </c>
      <c r="E1774" s="0" t="n">
        <f aca="false">B1774/SUM($A1774:$C1774)</f>
        <v>0.694643163708717</v>
      </c>
      <c r="F1774" s="0" t="n">
        <f aca="false">C1774/SUM($A1774:$C1774)</f>
        <v>0.103460100411343</v>
      </c>
      <c r="G1774" s="0" t="n">
        <f aca="false">SUMPRODUCT(D1774:F1774,Stats!$B$6:$D$6)</f>
        <v>0.393599700561076</v>
      </c>
      <c r="H1774" s="0" t="n">
        <f aca="false">SQRT(SUMPRODUCT(MMULT(D1774:F1774,Stats!$B$12:$D$14),D1774:F1774))</f>
        <v>0.237120954344534</v>
      </c>
      <c r="I1774" s="0" t="n">
        <f aca="false">(G1774-Stats!$B$2)/H1774</f>
        <v>1.48278629163328</v>
      </c>
    </row>
    <row r="1775" customFormat="false" ht="15" hidden="false" customHeight="false" outlineLevel="0" collapsed="false">
      <c r="A1775" s="0" t="n">
        <v>0.579829576047725</v>
      </c>
      <c r="B1775" s="0" t="n">
        <v>0.282550267518639</v>
      </c>
      <c r="C1775" s="0" t="n">
        <v>0.279008290347797</v>
      </c>
      <c r="D1775" s="0" t="n">
        <f aca="false">A1775/SUM($A1775:$C1775)</f>
        <v>0.508003858476535</v>
      </c>
      <c r="E1775" s="0" t="n">
        <f aca="false">B1775/SUM($A1775:$C1775)</f>
        <v>0.247549680186082</v>
      </c>
      <c r="F1775" s="0" t="n">
        <f aca="false">C1775/SUM($A1775:$C1775)</f>
        <v>0.244446461337384</v>
      </c>
      <c r="G1775" s="0" t="n">
        <f aca="false">SUMPRODUCT(D1775:F1775,Stats!$B$6:$D$6)</f>
        <v>0.363986875504626</v>
      </c>
      <c r="H1775" s="0" t="n">
        <f aca="false">SQRT(SUMPRODUCT(MMULT(D1775:F1775,Stats!$B$12:$D$14),D1775:F1775))</f>
        <v>0.222705851625015</v>
      </c>
      <c r="I1775" s="0" t="n">
        <f aca="false">(G1775-Stats!$B$2)/H1775</f>
        <v>1.44579441067754</v>
      </c>
    </row>
    <row r="1776" customFormat="false" ht="15" hidden="false" customHeight="false" outlineLevel="0" collapsed="false">
      <c r="A1776" s="0" t="n">
        <v>0.404968587376189</v>
      </c>
      <c r="B1776" s="0" t="n">
        <v>0.998792935815655</v>
      </c>
      <c r="C1776" s="0" t="n">
        <v>0.0549663068398221</v>
      </c>
      <c r="D1776" s="0" t="n">
        <f aca="false">A1776/SUM($A1776:$C1776)</f>
        <v>0.277617646718509</v>
      </c>
      <c r="E1776" s="0" t="n">
        <f aca="false">B1776/SUM($A1776:$C1776)</f>
        <v>0.684701364608896</v>
      </c>
      <c r="F1776" s="0" t="n">
        <f aca="false">C1776/SUM($A1776:$C1776)</f>
        <v>0.0376809886725949</v>
      </c>
      <c r="G1776" s="0" t="n">
        <f aca="false">SUMPRODUCT(D1776:F1776,Stats!$B$6:$D$6)</f>
        <v>0.394841496014511</v>
      </c>
      <c r="H1776" s="0" t="n">
        <f aca="false">SQRT(SUMPRODUCT(MMULT(D1776:F1776,Stats!$B$12:$D$14),D1776:F1776))</f>
        <v>0.235860237477936</v>
      </c>
      <c r="I1776" s="0" t="n">
        <f aca="false">(G1776-Stats!$B$2)/H1776</f>
        <v>1.49597702345873</v>
      </c>
    </row>
    <row r="1777" customFormat="false" ht="15" hidden="false" customHeight="false" outlineLevel="0" collapsed="false">
      <c r="A1777" s="0" t="n">
        <v>0.578541818203532</v>
      </c>
      <c r="B1777" s="0" t="n">
        <v>0.0825721580352772</v>
      </c>
      <c r="C1777" s="0" t="n">
        <v>0.154520829990519</v>
      </c>
      <c r="D1777" s="0" t="n">
        <f aca="false">A1777/SUM($A1777:$C1777)</f>
        <v>0.709314773946596</v>
      </c>
      <c r="E1777" s="0" t="n">
        <f aca="false">B1777/SUM($A1777:$C1777)</f>
        <v>0.101236677744305</v>
      </c>
      <c r="F1777" s="0" t="n">
        <f aca="false">C1777/SUM($A1777:$C1777)</f>
        <v>0.189448548309099</v>
      </c>
      <c r="G1777" s="0" t="n">
        <f aca="false">SUMPRODUCT(D1777:F1777,Stats!$B$6:$D$6)</f>
        <v>0.357084761011786</v>
      </c>
      <c r="H1777" s="0" t="n">
        <f aca="false">SQRT(SUMPRODUCT(MMULT(D1777:F1777,Stats!$B$12:$D$14),D1777:F1777))</f>
        <v>0.222622586851497</v>
      </c>
      <c r="I1777" s="0" t="n">
        <f aca="false">(G1777-Stats!$B$2)/H1777</f>
        <v>1.41533150552224</v>
      </c>
    </row>
    <row r="1778" customFormat="false" ht="15" hidden="false" customHeight="false" outlineLevel="0" collapsed="false">
      <c r="A1778" s="0" t="n">
        <v>0.439562941772899</v>
      </c>
      <c r="B1778" s="0" t="n">
        <v>0.510460131346441</v>
      </c>
      <c r="C1778" s="0" t="n">
        <v>0.258792408364524</v>
      </c>
      <c r="D1778" s="0" t="n">
        <f aca="false">A1778/SUM($A1778:$C1778)</f>
        <v>0.36363113188567</v>
      </c>
      <c r="E1778" s="0" t="n">
        <f aca="false">B1778/SUM($A1778:$C1778)</f>
        <v>0.422281265557448</v>
      </c>
      <c r="F1778" s="0" t="n">
        <f aca="false">C1778/SUM($A1778:$C1778)</f>
        <v>0.214087602556883</v>
      </c>
      <c r="G1778" s="0" t="n">
        <f aca="false">SUMPRODUCT(D1778:F1778,Stats!$B$6:$D$6)</f>
        <v>0.374877838630471</v>
      </c>
      <c r="H1778" s="0" t="n">
        <f aca="false">SQRT(SUMPRODUCT(MMULT(D1778:F1778,Stats!$B$12:$D$14),D1778:F1778))</f>
        <v>0.226833341863531</v>
      </c>
      <c r="I1778" s="0" t="n">
        <f aca="false">(G1778-Stats!$B$2)/H1778</f>
        <v>1.46749960078946</v>
      </c>
    </row>
    <row r="1779" customFormat="false" ht="15" hidden="false" customHeight="false" outlineLevel="0" collapsed="false">
      <c r="A1779" s="0" t="n">
        <v>0.316457130874416</v>
      </c>
      <c r="B1779" s="0" t="n">
        <v>0.0869670202559331</v>
      </c>
      <c r="C1779" s="0" t="n">
        <v>0.303219783844251</v>
      </c>
      <c r="D1779" s="0" t="n">
        <f aca="false">A1779/SUM($A1779:$C1779)</f>
        <v>0.447831100235497</v>
      </c>
      <c r="E1779" s="0" t="n">
        <f aca="false">B1779/SUM($A1779:$C1779)</f>
        <v>0.123070496966848</v>
      </c>
      <c r="F1779" s="0" t="n">
        <f aca="false">C1779/SUM($A1779:$C1779)</f>
        <v>0.429098402797655</v>
      </c>
      <c r="G1779" s="0" t="n">
        <f aca="false">SUMPRODUCT(D1779:F1779,Stats!$B$6:$D$6)</f>
        <v>0.35173279814755</v>
      </c>
      <c r="H1779" s="0" t="n">
        <f aca="false">SQRT(SUMPRODUCT(MMULT(D1779:F1779,Stats!$B$12:$D$14),D1779:F1779))</f>
        <v>0.223347169871737</v>
      </c>
      <c r="I1779" s="0" t="n">
        <f aca="false">(G1779-Stats!$B$2)/H1779</f>
        <v>1.38677735798229</v>
      </c>
    </row>
    <row r="1780" customFormat="false" ht="15" hidden="false" customHeight="false" outlineLevel="0" collapsed="false">
      <c r="A1780" s="0" t="n">
        <v>0.966558439380544</v>
      </c>
      <c r="B1780" s="0" t="n">
        <v>0.944707381672482</v>
      </c>
      <c r="C1780" s="0" t="n">
        <v>0.334878290136985</v>
      </c>
      <c r="D1780" s="0" t="n">
        <f aca="false">A1780/SUM($A1780:$C1780)</f>
        <v>0.430318978450791</v>
      </c>
      <c r="E1780" s="0" t="n">
        <f aca="false">B1780/SUM($A1780:$C1780)</f>
        <v>0.420590725664514</v>
      </c>
      <c r="F1780" s="0" t="n">
        <f aca="false">C1780/SUM($A1780:$C1780)</f>
        <v>0.149090295884695</v>
      </c>
      <c r="G1780" s="0" t="n">
        <f aca="false">SUMPRODUCT(D1780:F1780,Stats!$B$6:$D$6)</f>
        <v>0.376572842885261</v>
      </c>
      <c r="H1780" s="0" t="n">
        <f aca="false">SQRT(SUMPRODUCT(MMULT(D1780:F1780,Stats!$B$12:$D$14),D1780:F1780))</f>
        <v>0.226286061576217</v>
      </c>
      <c r="I1780" s="0" t="n">
        <f aca="false">(G1780-Stats!$B$2)/H1780</f>
        <v>1.47853933448115</v>
      </c>
    </row>
    <row r="1781" customFormat="false" ht="15" hidden="false" customHeight="false" outlineLevel="0" collapsed="false">
      <c r="A1781" s="0" t="n">
        <v>0.570853936278762</v>
      </c>
      <c r="B1781" s="0" t="n">
        <v>0.909595391110944</v>
      </c>
      <c r="C1781" s="0" t="n">
        <v>0.00618382264089668</v>
      </c>
      <c r="D1781" s="0" t="n">
        <f aca="false">A1781/SUM($A1781:$C1781)</f>
        <v>0.383991125360692</v>
      </c>
      <c r="E1781" s="0" t="n">
        <f aca="false">B1781/SUM($A1781:$C1781)</f>
        <v>0.61184925890575</v>
      </c>
      <c r="F1781" s="0" t="n">
        <f aca="false">C1781/SUM($A1781:$C1781)</f>
        <v>0.00415961573355833</v>
      </c>
      <c r="G1781" s="0" t="n">
        <f aca="false">SUMPRODUCT(D1781:F1781,Stats!$B$6:$D$6)</f>
        <v>0.391574019108783</v>
      </c>
      <c r="H1781" s="0" t="n">
        <f aca="false">SQRT(SUMPRODUCT(MMULT(D1781:F1781,Stats!$B$12:$D$14),D1781:F1781))</f>
        <v>0.232889545424176</v>
      </c>
      <c r="I1781" s="0" t="n">
        <f aca="false">(G1781-Stats!$B$2)/H1781</f>
        <v>1.50102924745755</v>
      </c>
    </row>
    <row r="1782" customFormat="false" ht="15" hidden="false" customHeight="false" outlineLevel="0" collapsed="false">
      <c r="A1782" s="0" t="n">
        <v>0.810683570337592</v>
      </c>
      <c r="B1782" s="0" t="n">
        <v>0.948369552788919</v>
      </c>
      <c r="C1782" s="0" t="n">
        <v>0.0913257343335571</v>
      </c>
      <c r="D1782" s="0" t="n">
        <f aca="false">A1782/SUM($A1782:$C1782)</f>
        <v>0.43811761416815</v>
      </c>
      <c r="E1782" s="0" t="n">
        <f aca="false">B1782/SUM($A1782:$C1782)</f>
        <v>0.512527231364232</v>
      </c>
      <c r="F1782" s="0" t="n">
        <f aca="false">C1782/SUM($A1782:$C1782)</f>
        <v>0.0493551544676185</v>
      </c>
      <c r="G1782" s="0" t="n">
        <f aca="false">SUMPRODUCT(D1782:F1782,Stats!$B$6:$D$6)</f>
        <v>0.384612908596556</v>
      </c>
      <c r="H1782" s="0" t="n">
        <f aca="false">SQRT(SUMPRODUCT(MMULT(D1782:F1782,Stats!$B$12:$D$14),D1782:F1782))</f>
        <v>0.229281596323258</v>
      </c>
      <c r="I1782" s="0" t="n">
        <f aca="false">(G1782-Stats!$B$2)/H1782</f>
        <v>1.49428874401901</v>
      </c>
    </row>
    <row r="1783" customFormat="false" ht="15" hidden="false" customHeight="false" outlineLevel="0" collapsed="false">
      <c r="A1783" s="0" t="n">
        <v>0.161447686032921</v>
      </c>
      <c r="B1783" s="0" t="n">
        <v>0.960746302771355</v>
      </c>
      <c r="C1783" s="0" t="n">
        <v>0.537540143640346</v>
      </c>
      <c r="D1783" s="0" t="n">
        <f aca="false">A1783/SUM($A1783:$C1783)</f>
        <v>0.0972732215822571</v>
      </c>
      <c r="E1783" s="0" t="n">
        <f aca="false">B1783/SUM($A1783:$C1783)</f>
        <v>0.578855543180444</v>
      </c>
      <c r="F1783" s="0" t="n">
        <f aca="false">C1783/SUM($A1783:$C1783)</f>
        <v>0.323871235237299</v>
      </c>
      <c r="G1783" s="0" t="n">
        <f aca="false">SUMPRODUCT(D1783:F1783,Stats!$B$6:$D$6)</f>
        <v>0.380859678468618</v>
      </c>
      <c r="H1783" s="0" t="n">
        <f aca="false">SQRT(SUMPRODUCT(MMULT(D1783:F1783,Stats!$B$12:$D$14),D1783:F1783))</f>
        <v>0.237775638158499</v>
      </c>
      <c r="I1783" s="0" t="n">
        <f aca="false">(G1783-Stats!$B$2)/H1783</f>
        <v>1.42512362112866</v>
      </c>
    </row>
    <row r="1784" customFormat="false" ht="15" hidden="false" customHeight="false" outlineLevel="0" collapsed="false">
      <c r="A1784" s="0" t="n">
        <v>0.0141966344717237</v>
      </c>
      <c r="B1784" s="0" t="n">
        <v>0.257631998763529</v>
      </c>
      <c r="C1784" s="0" t="n">
        <v>0.44994367426886</v>
      </c>
      <c r="D1784" s="0" t="n">
        <f aca="false">A1784/SUM($A1784:$C1784)</f>
        <v>0.0196691315586984</v>
      </c>
      <c r="E1784" s="0" t="n">
        <f aca="false">B1784/SUM($A1784:$C1784)</f>
        <v>0.356943590222269</v>
      </c>
      <c r="F1784" s="0" t="n">
        <f aca="false">C1784/SUM($A1784:$C1784)</f>
        <v>0.623387278219033</v>
      </c>
      <c r="G1784" s="0" t="n">
        <f aca="false">SUMPRODUCT(D1784:F1784,Stats!$B$6:$D$6)</f>
        <v>0.359832112225131</v>
      </c>
      <c r="H1784" s="0" t="n">
        <f aca="false">SQRT(SUMPRODUCT(MMULT(D1784:F1784,Stats!$B$12:$D$14),D1784:F1784))</f>
        <v>0.243685360979362</v>
      </c>
      <c r="I1784" s="0" t="n">
        <f aca="false">(G1784-Stats!$B$2)/H1784</f>
        <v>1.30427248870337</v>
      </c>
    </row>
    <row r="1785" customFormat="false" ht="15" hidden="false" customHeight="false" outlineLevel="0" collapsed="false">
      <c r="A1785" s="0" t="n">
        <v>0.692908911024768</v>
      </c>
      <c r="B1785" s="0" t="n">
        <v>0.7331603781368</v>
      </c>
      <c r="C1785" s="0" t="n">
        <v>0.995421512925456</v>
      </c>
      <c r="D1785" s="0" t="n">
        <f aca="false">A1785/SUM($A1785:$C1785)</f>
        <v>0.286149718358445</v>
      </c>
      <c r="E1785" s="0" t="n">
        <f aca="false">B1785/SUM($A1785:$C1785)</f>
        <v>0.302772315924102</v>
      </c>
      <c r="F1785" s="0" t="n">
        <f aca="false">C1785/SUM($A1785:$C1785)</f>
        <v>0.411077965717453</v>
      </c>
      <c r="G1785" s="0" t="n">
        <f aca="false">SUMPRODUCT(D1785:F1785,Stats!$B$6:$D$6)</f>
        <v>0.362569514848299</v>
      </c>
      <c r="H1785" s="0" t="n">
        <f aca="false">SQRT(SUMPRODUCT(MMULT(D1785:F1785,Stats!$B$12:$D$14),D1785:F1785))</f>
        <v>0.227884730102645</v>
      </c>
      <c r="I1785" s="0" t="n">
        <f aca="false">(G1785-Stats!$B$2)/H1785</f>
        <v>1.40671783802235</v>
      </c>
    </row>
    <row r="1786" customFormat="false" ht="15" hidden="false" customHeight="false" outlineLevel="0" collapsed="false">
      <c r="A1786" s="0" t="n">
        <v>0.287511199383759</v>
      </c>
      <c r="B1786" s="0" t="n">
        <v>0.538220101868475</v>
      </c>
      <c r="C1786" s="0" t="n">
        <v>0.533323547859605</v>
      </c>
      <c r="D1786" s="0" t="n">
        <f aca="false">A1786/SUM($A1786:$C1786)</f>
        <v>0.211552314883871</v>
      </c>
      <c r="E1786" s="0" t="n">
        <f aca="false">B1786/SUM($A1786:$C1786)</f>
        <v>0.396025298184403</v>
      </c>
      <c r="F1786" s="0" t="n">
        <f aca="false">C1786/SUM($A1786:$C1786)</f>
        <v>0.392422386931726</v>
      </c>
      <c r="G1786" s="0" t="n">
        <f aca="false">SUMPRODUCT(D1786:F1786,Stats!$B$6:$D$6)</f>
        <v>0.368449591162287</v>
      </c>
      <c r="H1786" s="0" t="n">
        <f aca="false">SQRT(SUMPRODUCT(MMULT(D1786:F1786,Stats!$B$12:$D$14),D1786:F1786))</f>
        <v>0.231080898418199</v>
      </c>
      <c r="I1786" s="0" t="n">
        <f aca="false">(G1786-Stats!$B$2)/H1786</f>
        <v>1.41270694980376</v>
      </c>
    </row>
    <row r="1787" customFormat="false" ht="15" hidden="false" customHeight="false" outlineLevel="0" collapsed="false">
      <c r="A1787" s="0" t="n">
        <v>0.405645259447238</v>
      </c>
      <c r="B1787" s="0" t="n">
        <v>0.16916189384242</v>
      </c>
      <c r="C1787" s="0" t="n">
        <v>0.977456563183843</v>
      </c>
      <c r="D1787" s="0" t="n">
        <f aca="false">A1787/SUM($A1787:$C1787)</f>
        <v>0.26132496375603</v>
      </c>
      <c r="E1787" s="0" t="n">
        <f aca="false">B1787/SUM($A1787:$C1787)</f>
        <v>0.108977548110658</v>
      </c>
      <c r="F1787" s="0" t="n">
        <f aca="false">C1787/SUM($A1787:$C1787)</f>
        <v>0.629697488133312</v>
      </c>
      <c r="G1787" s="0" t="n">
        <f aca="false">SUMPRODUCT(D1787:F1787,Stats!$B$6:$D$6)</f>
        <v>0.345390465486845</v>
      </c>
      <c r="H1787" s="0" t="n">
        <f aca="false">SQRT(SUMPRODUCT(MMULT(D1787:F1787,Stats!$B$12:$D$14),D1787:F1787))</f>
        <v>0.232092554775043</v>
      </c>
      <c r="I1787" s="0" t="n">
        <f aca="false">(G1787-Stats!$B$2)/H1787</f>
        <v>1.30719602695101</v>
      </c>
    </row>
    <row r="1788" customFormat="false" ht="15" hidden="false" customHeight="false" outlineLevel="0" collapsed="false">
      <c r="A1788" s="0" t="n">
        <v>0.853317186666586</v>
      </c>
      <c r="B1788" s="0" t="n">
        <v>0.498333028294237</v>
      </c>
      <c r="C1788" s="0" t="n">
        <v>0.60324542268403</v>
      </c>
      <c r="D1788" s="0" t="n">
        <f aca="false">A1788/SUM($A1788:$C1788)</f>
        <v>0.436502680876926</v>
      </c>
      <c r="E1788" s="0" t="n">
        <f aca="false">B1788/SUM($A1788:$C1788)</f>
        <v>0.25491541271973</v>
      </c>
      <c r="F1788" s="0" t="n">
        <f aca="false">C1788/SUM($A1788:$C1788)</f>
        <v>0.308581906403344</v>
      </c>
      <c r="G1788" s="0" t="n">
        <f aca="false">SUMPRODUCT(D1788:F1788,Stats!$B$6:$D$6)</f>
        <v>0.362642179991427</v>
      </c>
      <c r="H1788" s="0" t="n">
        <f aca="false">SQRT(SUMPRODUCT(MMULT(D1788:F1788,Stats!$B$12:$D$14),D1788:F1788))</f>
        <v>0.223474874842764</v>
      </c>
      <c r="I1788" s="0" t="n">
        <f aca="false">(G1788-Stats!$B$2)/H1788</f>
        <v>1.43480192221622</v>
      </c>
    </row>
    <row r="1789" customFormat="false" ht="15" hidden="false" customHeight="false" outlineLevel="0" collapsed="false">
      <c r="A1789" s="0" t="n">
        <v>0.227261053559662</v>
      </c>
      <c r="B1789" s="0" t="n">
        <v>0.543787070391747</v>
      </c>
      <c r="C1789" s="0" t="n">
        <v>0.694970133121476</v>
      </c>
      <c r="D1789" s="0" t="n">
        <f aca="false">A1789/SUM($A1789:$C1789)</f>
        <v>0.15501925195217</v>
      </c>
      <c r="E1789" s="0" t="n">
        <f aca="false">B1789/SUM($A1789:$C1789)</f>
        <v>0.370927897908649</v>
      </c>
      <c r="F1789" s="0" t="n">
        <f aca="false">C1789/SUM($A1789:$C1789)</f>
        <v>0.474052850139181</v>
      </c>
      <c r="G1789" s="0" t="n">
        <f aca="false">SUMPRODUCT(D1789:F1789,Stats!$B$6:$D$6)</f>
        <v>0.364754590607131</v>
      </c>
      <c r="H1789" s="0" t="n">
        <f aca="false">SQRT(SUMPRODUCT(MMULT(D1789:F1789,Stats!$B$12:$D$14),D1789:F1789))</f>
        <v>0.234054439090435</v>
      </c>
      <c r="I1789" s="0" t="n">
        <f aca="false">(G1789-Stats!$B$2)/H1789</f>
        <v>1.37897231029412</v>
      </c>
    </row>
    <row r="1790" customFormat="false" ht="15" hidden="false" customHeight="false" outlineLevel="0" collapsed="false">
      <c r="A1790" s="0" t="n">
        <v>0.515167028386589</v>
      </c>
      <c r="B1790" s="0" t="n">
        <v>0.990285170584941</v>
      </c>
      <c r="C1790" s="0" t="n">
        <v>0.611341656247726</v>
      </c>
      <c r="D1790" s="0" t="n">
        <f aca="false">A1790/SUM($A1790:$C1790)</f>
        <v>0.24337137370102</v>
      </c>
      <c r="E1790" s="0" t="n">
        <f aca="false">B1790/SUM($A1790:$C1790)</f>
        <v>0.467823150630966</v>
      </c>
      <c r="F1790" s="0" t="n">
        <f aca="false">C1790/SUM($A1790:$C1790)</f>
        <v>0.288805475668014</v>
      </c>
      <c r="G1790" s="0" t="n">
        <f aca="false">SUMPRODUCT(D1790:F1790,Stats!$B$6:$D$6)</f>
        <v>0.375437943140858</v>
      </c>
      <c r="H1790" s="0" t="n">
        <f aca="false">SQRT(SUMPRODUCT(MMULT(D1790:F1790,Stats!$B$12:$D$14),D1790:F1790))</f>
        <v>0.230403330066051</v>
      </c>
      <c r="I1790" s="0" t="n">
        <f aca="false">(G1790-Stats!$B$2)/H1790</f>
        <v>1.44719237801498</v>
      </c>
    </row>
    <row r="1791" customFormat="false" ht="15" hidden="false" customHeight="false" outlineLevel="0" collapsed="false">
      <c r="A1791" s="0" t="n">
        <v>0.370973712592169</v>
      </c>
      <c r="B1791" s="0" t="n">
        <v>0.772152027615838</v>
      </c>
      <c r="C1791" s="0" t="n">
        <v>0.170462511581642</v>
      </c>
      <c r="D1791" s="0" t="n">
        <f aca="false">A1791/SUM($A1791:$C1791)</f>
        <v>0.2824124774919</v>
      </c>
      <c r="E1791" s="0" t="n">
        <f aca="false">B1791/SUM($A1791:$C1791)</f>
        <v>0.587818920094519</v>
      </c>
      <c r="F1791" s="0" t="n">
        <f aca="false">C1791/SUM($A1791:$C1791)</f>
        <v>0.129768602413581</v>
      </c>
      <c r="G1791" s="0" t="n">
        <f aca="false">SUMPRODUCT(D1791:F1791,Stats!$B$6:$D$6)</f>
        <v>0.386727725019499</v>
      </c>
      <c r="H1791" s="0" t="n">
        <f aca="false">SQRT(SUMPRODUCT(MMULT(D1791:F1791,Stats!$B$12:$D$14),D1791:F1791))</f>
        <v>0.232236051166223</v>
      </c>
      <c r="I1791" s="0" t="n">
        <f aca="false">(G1791-Stats!$B$2)/H1791</f>
        <v>1.48438506118397</v>
      </c>
    </row>
    <row r="1792" customFormat="false" ht="15" hidden="false" customHeight="false" outlineLevel="0" collapsed="false">
      <c r="A1792" s="0" t="n">
        <v>0.384515813706267</v>
      </c>
      <c r="B1792" s="0" t="n">
        <v>0.346958950377586</v>
      </c>
      <c r="C1792" s="0" t="n">
        <v>0.431807095107777</v>
      </c>
      <c r="D1792" s="0" t="n">
        <f aca="false">A1792/SUM($A1792:$C1792)</f>
        <v>0.330543978372936</v>
      </c>
      <c r="E1792" s="0" t="n">
        <f aca="false">B1792/SUM($A1792:$C1792)</f>
        <v>0.298258713170933</v>
      </c>
      <c r="F1792" s="0" t="n">
        <f aca="false">C1792/SUM($A1792:$C1792)</f>
        <v>0.371197308456131</v>
      </c>
      <c r="G1792" s="0" t="n">
        <f aca="false">SUMPRODUCT(D1792:F1792,Stats!$B$6:$D$6)</f>
        <v>0.363409501772797</v>
      </c>
      <c r="H1792" s="0" t="n">
        <f aca="false">SQRT(SUMPRODUCT(MMULT(D1792:F1792,Stats!$B$12:$D$14),D1792:F1792))</f>
        <v>0.226260072436361</v>
      </c>
      <c r="I1792" s="0" t="n">
        <f aca="false">(G1792-Stats!$B$2)/H1792</f>
        <v>1.42053124226413</v>
      </c>
    </row>
    <row r="1793" customFormat="false" ht="15" hidden="false" customHeight="false" outlineLevel="0" collapsed="false">
      <c r="A1793" s="0" t="n">
        <v>0.781779825928726</v>
      </c>
      <c r="B1793" s="0" t="n">
        <v>0.484173032163408</v>
      </c>
      <c r="C1793" s="0" t="n">
        <v>0.794014450265963</v>
      </c>
      <c r="D1793" s="0" t="n">
        <f aca="false">A1793/SUM($A1793:$C1793)</f>
        <v>0.379510792601775</v>
      </c>
      <c r="E1793" s="0" t="n">
        <f aca="false">B1793/SUM($A1793:$C1793)</f>
        <v>0.235039182514658</v>
      </c>
      <c r="F1793" s="0" t="n">
        <f aca="false">C1793/SUM($A1793:$C1793)</f>
        <v>0.385450024883567</v>
      </c>
      <c r="G1793" s="0" t="n">
        <f aca="false">SUMPRODUCT(D1793:F1793,Stats!$B$6:$D$6)</f>
        <v>0.359378918628669</v>
      </c>
      <c r="H1793" s="0" t="n">
        <f aca="false">SQRT(SUMPRODUCT(MMULT(D1793:F1793,Stats!$B$12:$D$14),D1793:F1793))</f>
        <v>0.224730948510595</v>
      </c>
      <c r="I1793" s="0" t="n">
        <f aca="false">(G1793-Stats!$B$2)/H1793</f>
        <v>1.41226173222735</v>
      </c>
    </row>
    <row r="1794" customFormat="false" ht="15" hidden="false" customHeight="false" outlineLevel="0" collapsed="false">
      <c r="A1794" s="0" t="n">
        <v>0.576488903139866</v>
      </c>
      <c r="B1794" s="0" t="n">
        <v>0.342069434657555</v>
      </c>
      <c r="C1794" s="0" t="n">
        <v>0.809978743683472</v>
      </c>
      <c r="D1794" s="0" t="n">
        <f aca="false">A1794/SUM($A1794:$C1794)</f>
        <v>0.333512603991098</v>
      </c>
      <c r="E1794" s="0" t="n">
        <f aca="false">B1794/SUM($A1794:$C1794)</f>
        <v>0.197895340703072</v>
      </c>
      <c r="F1794" s="0" t="n">
        <f aca="false">C1794/SUM($A1794:$C1794)</f>
        <v>0.46859205530583</v>
      </c>
      <c r="G1794" s="0" t="n">
        <f aca="false">SUMPRODUCT(D1794:F1794,Stats!$B$6:$D$6)</f>
        <v>0.354949100534376</v>
      </c>
      <c r="H1794" s="0" t="n">
        <f aca="false">SQRT(SUMPRODUCT(MMULT(D1794:F1794,Stats!$B$12:$D$14),D1794:F1794))</f>
        <v>0.226592177270496</v>
      </c>
      <c r="I1794" s="0" t="n">
        <f aca="false">(G1794-Stats!$B$2)/H1794</f>
        <v>1.38111167077401</v>
      </c>
    </row>
    <row r="1795" customFormat="false" ht="15" hidden="false" customHeight="false" outlineLevel="0" collapsed="false">
      <c r="A1795" s="0" t="n">
        <v>0.238289670553092</v>
      </c>
      <c r="B1795" s="0" t="n">
        <v>0.224382979799796</v>
      </c>
      <c r="C1795" s="0" t="n">
        <v>0.504502924054836</v>
      </c>
      <c r="D1795" s="0" t="n">
        <f aca="false">A1795/SUM($A1795:$C1795)</f>
        <v>0.246376849104171</v>
      </c>
      <c r="E1795" s="0" t="n">
        <f aca="false">B1795/SUM($A1795:$C1795)</f>
        <v>0.23199818702742</v>
      </c>
      <c r="F1795" s="0" t="n">
        <f aca="false">C1795/SUM($A1795:$C1795)</f>
        <v>0.521624963868409</v>
      </c>
      <c r="G1795" s="0" t="n">
        <f aca="false">SUMPRODUCT(D1795:F1795,Stats!$B$6:$D$6)</f>
        <v>0.355448972117345</v>
      </c>
      <c r="H1795" s="0" t="n">
        <f aca="false">SQRT(SUMPRODUCT(MMULT(D1795:F1795,Stats!$B$12:$D$14),D1795:F1795))</f>
        <v>0.230370691531733</v>
      </c>
      <c r="I1795" s="0" t="n">
        <f aca="false">(G1795-Stats!$B$2)/H1795</f>
        <v>1.36062868949703</v>
      </c>
    </row>
    <row r="1796" customFormat="false" ht="15" hidden="false" customHeight="false" outlineLevel="0" collapsed="false">
      <c r="A1796" s="0" t="n">
        <v>0.260849245962089</v>
      </c>
      <c r="B1796" s="0" t="n">
        <v>0.00908703495121632</v>
      </c>
      <c r="C1796" s="0" t="n">
        <v>0.648297527298802</v>
      </c>
      <c r="D1796" s="0" t="n">
        <f aca="false">A1796/SUM($A1796:$C1796)</f>
        <v>0.284077152931222</v>
      </c>
      <c r="E1796" s="0" t="n">
        <f aca="false">B1796/SUM($A1796:$C1796)</f>
        <v>0.00989621038775482</v>
      </c>
      <c r="F1796" s="0" t="n">
        <f aca="false">C1796/SUM($A1796:$C1796)</f>
        <v>0.706026636681023</v>
      </c>
      <c r="G1796" s="0" t="n">
        <f aca="false">SUMPRODUCT(D1796:F1796,Stats!$B$6:$D$6)</f>
        <v>0.337584706639266</v>
      </c>
      <c r="H1796" s="0" t="n">
        <f aca="false">SQRT(SUMPRODUCT(MMULT(D1796:F1796,Stats!$B$12:$D$14),D1796:F1796))</f>
        <v>0.233821153022465</v>
      </c>
      <c r="I1796" s="0" t="n">
        <f aca="false">(G1796-Stats!$B$2)/H1796</f>
        <v>1.26414870005738</v>
      </c>
    </row>
    <row r="1797" customFormat="false" ht="15" hidden="false" customHeight="false" outlineLevel="0" collapsed="false">
      <c r="A1797" s="0" t="n">
        <v>0.511093821472398</v>
      </c>
      <c r="B1797" s="0" t="n">
        <v>0.445517814493161</v>
      </c>
      <c r="C1797" s="0" t="n">
        <v>0.966968514618315</v>
      </c>
      <c r="D1797" s="0" t="n">
        <f aca="false">A1797/SUM($A1797:$C1797)</f>
        <v>0.265699259434167</v>
      </c>
      <c r="E1797" s="0" t="n">
        <f aca="false">B1797/SUM($A1797:$C1797)</f>
        <v>0.231608656576089</v>
      </c>
      <c r="F1797" s="0" t="n">
        <f aca="false">C1797/SUM($A1797:$C1797)</f>
        <v>0.502692083989745</v>
      </c>
      <c r="G1797" s="0" t="n">
        <f aca="false">SUMPRODUCT(D1797:F1797,Stats!$B$6:$D$6)</f>
        <v>0.35594862592002</v>
      </c>
      <c r="H1797" s="0" t="n">
        <f aca="false">SQRT(SUMPRODUCT(MMULT(D1797:F1797,Stats!$B$12:$D$14),D1797:F1797))</f>
        <v>0.229354877364585</v>
      </c>
      <c r="I1797" s="0" t="n">
        <f aca="false">(G1797-Stats!$B$2)/H1797</f>
        <v>1.36883344068138</v>
      </c>
    </row>
    <row r="1798" customFormat="false" ht="15" hidden="false" customHeight="false" outlineLevel="0" collapsed="false">
      <c r="A1798" s="0" t="n">
        <v>0.571199183962914</v>
      </c>
      <c r="B1798" s="0" t="n">
        <v>0.863431577789385</v>
      </c>
      <c r="C1798" s="0" t="n">
        <v>0.13945023620516</v>
      </c>
      <c r="D1798" s="0" t="n">
        <f aca="false">A1798/SUM($A1798:$C1798)</f>
        <v>0.362877885384619</v>
      </c>
      <c r="E1798" s="0" t="n">
        <f aca="false">B1798/SUM($A1798:$C1798)</f>
        <v>0.548530589537502</v>
      </c>
      <c r="F1798" s="0" t="n">
        <f aca="false">C1798/SUM($A1798:$C1798)</f>
        <v>0.0885915250778785</v>
      </c>
      <c r="G1798" s="0" t="n">
        <f aca="false">SUMPRODUCT(D1798:F1798,Stats!$B$6:$D$6)</f>
        <v>0.385602567399135</v>
      </c>
      <c r="H1798" s="0" t="n">
        <f aca="false">SQRT(SUMPRODUCT(MMULT(D1798:F1798,Stats!$B$12:$D$14),D1798:F1798))</f>
        <v>0.23031697302315</v>
      </c>
      <c r="I1798" s="0" t="n">
        <f aca="false">(G1798-Stats!$B$2)/H1798</f>
        <v>1.49186819750621</v>
      </c>
    </row>
    <row r="1799" customFormat="false" ht="15" hidden="false" customHeight="false" outlineLevel="0" collapsed="false">
      <c r="A1799" s="0" t="n">
        <v>0.569206463129428</v>
      </c>
      <c r="B1799" s="0" t="n">
        <v>0.867979626730903</v>
      </c>
      <c r="C1799" s="0" t="n">
        <v>0.583105757279898</v>
      </c>
      <c r="D1799" s="0" t="n">
        <f aca="false">A1799/SUM($A1799:$C1799)</f>
        <v>0.281744671659767</v>
      </c>
      <c r="E1799" s="0" t="n">
        <f aca="false">B1799/SUM($A1799:$C1799)</f>
        <v>0.429630811983699</v>
      </c>
      <c r="F1799" s="0" t="n">
        <f aca="false">C1799/SUM($A1799:$C1799)</f>
        <v>0.288624516356534</v>
      </c>
      <c r="G1799" s="0" t="n">
        <f aca="false">SUMPRODUCT(D1799:F1799,Stats!$B$6:$D$6)</f>
        <v>0.373245395289884</v>
      </c>
      <c r="H1799" s="0" t="n">
        <f aca="false">SQRT(SUMPRODUCT(MMULT(D1799:F1799,Stats!$B$12:$D$14),D1799:F1799))</f>
        <v>0.22871743954068</v>
      </c>
      <c r="I1799" s="0" t="n">
        <f aca="false">(G1799-Stats!$B$2)/H1799</f>
        <v>1.44827345022358</v>
      </c>
    </row>
    <row r="1800" customFormat="false" ht="15" hidden="false" customHeight="false" outlineLevel="0" collapsed="false">
      <c r="A1800" s="0" t="n">
        <v>0.718014178127002</v>
      </c>
      <c r="B1800" s="0" t="n">
        <v>0.372043567812207</v>
      </c>
      <c r="C1800" s="0" t="n">
        <v>0.0924495170370666</v>
      </c>
      <c r="D1800" s="0" t="n">
        <f aca="false">A1800/SUM($A1800:$C1800)</f>
        <v>0.607196421204059</v>
      </c>
      <c r="E1800" s="0" t="n">
        <f aca="false">B1800/SUM($A1800:$C1800)</f>
        <v>0.314622649230757</v>
      </c>
      <c r="F1800" s="0" t="n">
        <f aca="false">C1800/SUM($A1800:$C1800)</f>
        <v>0.0781809295651839</v>
      </c>
      <c r="G1800" s="0" t="n">
        <f aca="false">SUMPRODUCT(D1800:F1800,Stats!$B$6:$D$6)</f>
        <v>0.372430875422145</v>
      </c>
      <c r="H1800" s="0" t="n">
        <f aca="false">SQRT(SUMPRODUCT(MMULT(D1800:F1800,Stats!$B$12:$D$14),D1800:F1800))</f>
        <v>0.225177341344196</v>
      </c>
      <c r="I1800" s="0" t="n">
        <f aca="false">(G1800-Stats!$B$2)/H1800</f>
        <v>1.46742506794706</v>
      </c>
    </row>
    <row r="1801" customFormat="false" ht="15" hidden="false" customHeight="false" outlineLevel="0" collapsed="false">
      <c r="A1801" s="0" t="n">
        <v>0.457900295127071</v>
      </c>
      <c r="B1801" s="0" t="n">
        <v>0.394479390838858</v>
      </c>
      <c r="C1801" s="0" t="n">
        <v>0.867060182378947</v>
      </c>
      <c r="D1801" s="0" t="n">
        <f aca="false">A1801/SUM($A1801:$C1801)</f>
        <v>0.266307827076177</v>
      </c>
      <c r="E1801" s="0" t="n">
        <f aca="false">B1801/SUM($A1801:$C1801)</f>
        <v>0.229423196531194</v>
      </c>
      <c r="F1801" s="0" t="n">
        <f aca="false">C1801/SUM($A1801:$C1801)</f>
        <v>0.504268976392629</v>
      </c>
      <c r="G1801" s="0" t="n">
        <f aca="false">SUMPRODUCT(D1801:F1801,Stats!$B$6:$D$6)</f>
        <v>0.355779395176118</v>
      </c>
      <c r="H1801" s="0" t="n">
        <f aca="false">SQRT(SUMPRODUCT(MMULT(D1801:F1801,Stats!$B$12:$D$14),D1801:F1801))</f>
        <v>0.229351844978297</v>
      </c>
      <c r="I1801" s="0" t="n">
        <f aca="false">(G1801-Stats!$B$2)/H1801</f>
        <v>1.36811367358222</v>
      </c>
    </row>
    <row r="1802" customFormat="false" ht="15" hidden="false" customHeight="false" outlineLevel="0" collapsed="false">
      <c r="A1802" s="0" t="n">
        <v>0.243995302352472</v>
      </c>
      <c r="B1802" s="0" t="n">
        <v>0.966734227535108</v>
      </c>
      <c r="C1802" s="0" t="n">
        <v>0.958138119804496</v>
      </c>
      <c r="D1802" s="0" t="n">
        <f aca="false">A1802/SUM($A1802:$C1802)</f>
        <v>0.112498935740553</v>
      </c>
      <c r="E1802" s="0" t="n">
        <f aca="false">B1802/SUM($A1802:$C1802)</f>
        <v>0.445732236207387</v>
      </c>
      <c r="F1802" s="0" t="n">
        <f aca="false">C1802/SUM($A1802:$C1802)</f>
        <v>0.441768828052061</v>
      </c>
      <c r="G1802" s="0" t="n">
        <f aca="false">SUMPRODUCT(D1802:F1802,Stats!$B$6:$D$6)</f>
        <v>0.369948954907445</v>
      </c>
      <c r="H1802" s="0" t="n">
        <f aca="false">SQRT(SUMPRODUCT(MMULT(D1802:F1802,Stats!$B$12:$D$14),D1802:F1802))</f>
        <v>0.236223579087194</v>
      </c>
      <c r="I1802" s="0" t="n">
        <f aca="false">(G1802-Stats!$B$2)/H1802</f>
        <v>1.38829898427029</v>
      </c>
    </row>
    <row r="1803" customFormat="false" ht="15" hidden="false" customHeight="false" outlineLevel="0" collapsed="false">
      <c r="A1803" s="0" t="n">
        <v>0.247631643071439</v>
      </c>
      <c r="B1803" s="0" t="n">
        <v>0.348051955477321</v>
      </c>
      <c r="C1803" s="0" t="n">
        <v>0.895555740873885</v>
      </c>
      <c r="D1803" s="0" t="n">
        <f aca="false">A1803/SUM($A1803:$C1803)</f>
        <v>0.166057611628803</v>
      </c>
      <c r="E1803" s="0" t="n">
        <f aca="false">B1803/SUM($A1803:$C1803)</f>
        <v>0.233397782821418</v>
      </c>
      <c r="F1803" s="0" t="n">
        <f aca="false">C1803/SUM($A1803:$C1803)</f>
        <v>0.600544605549779</v>
      </c>
      <c r="G1803" s="0" t="n">
        <f aca="false">SUMPRODUCT(D1803:F1803,Stats!$B$6:$D$6)</f>
        <v>0.353353324282596</v>
      </c>
      <c r="H1803" s="0" t="n">
        <f aca="false">SQRT(SUMPRODUCT(MMULT(D1803:F1803,Stats!$B$12:$D$14),D1803:F1803))</f>
        <v>0.235287688102892</v>
      </c>
      <c r="I1803" s="0" t="n">
        <f aca="false">(G1803-Stats!$B$2)/H1803</f>
        <v>1.32328778778446</v>
      </c>
    </row>
    <row r="1804" customFormat="false" ht="15" hidden="false" customHeight="false" outlineLevel="0" collapsed="false">
      <c r="A1804" s="0" t="n">
        <v>0.966622220896108</v>
      </c>
      <c r="B1804" s="0" t="n">
        <v>0.443439102836044</v>
      </c>
      <c r="C1804" s="0" t="n">
        <v>0.320997045640898</v>
      </c>
      <c r="D1804" s="0" t="n">
        <f aca="false">A1804/SUM($A1804:$C1804)</f>
        <v>0.558399553705515</v>
      </c>
      <c r="E1804" s="0" t="n">
        <f aca="false">B1804/SUM($A1804:$C1804)</f>
        <v>0.256166464794973</v>
      </c>
      <c r="F1804" s="0" t="n">
        <f aca="false">C1804/SUM($A1804:$C1804)</f>
        <v>0.185433981499512</v>
      </c>
      <c r="G1804" s="0" t="n">
        <f aca="false">SUMPRODUCT(D1804:F1804,Stats!$B$6:$D$6)</f>
        <v>0.366109920572672</v>
      </c>
      <c r="H1804" s="0" t="n">
        <f aca="false">SQRT(SUMPRODUCT(MMULT(D1804:F1804,Stats!$B$12:$D$14),D1804:F1804))</f>
        <v>0.222963681742707</v>
      </c>
      <c r="I1804" s="0" t="n">
        <f aca="false">(G1804-Stats!$B$2)/H1804</f>
        <v>1.45364445922043</v>
      </c>
    </row>
    <row r="1805" customFormat="false" ht="15" hidden="false" customHeight="false" outlineLevel="0" collapsed="false">
      <c r="A1805" s="0" t="n">
        <v>0.526094013251542</v>
      </c>
      <c r="B1805" s="0" t="n">
        <v>0.687769206365735</v>
      </c>
      <c r="C1805" s="0" t="n">
        <v>0.27347451537498</v>
      </c>
      <c r="D1805" s="0" t="n">
        <f aca="false">A1805/SUM($A1805:$C1805)</f>
        <v>0.353715232844732</v>
      </c>
      <c r="E1805" s="0" t="n">
        <f aca="false">B1805/SUM($A1805:$C1805)</f>
        <v>0.462416296033339</v>
      </c>
      <c r="F1805" s="0" t="n">
        <f aca="false">C1805/SUM($A1805:$C1805)</f>
        <v>0.18386847112193</v>
      </c>
      <c r="G1805" s="0" t="n">
        <f aca="false">SUMPRODUCT(D1805:F1805,Stats!$B$6:$D$6)</f>
        <v>0.37802043726473</v>
      </c>
      <c r="H1805" s="0" t="n">
        <f aca="false">SQRT(SUMPRODUCT(MMULT(D1805:F1805,Stats!$B$12:$D$14),D1805:F1805))</f>
        <v>0.227844324999715</v>
      </c>
      <c r="I1805" s="0" t="n">
        <f aca="false">(G1805-Stats!$B$2)/H1805</f>
        <v>1.47478080599616</v>
      </c>
    </row>
    <row r="1806" customFormat="false" ht="15" hidden="false" customHeight="false" outlineLevel="0" collapsed="false">
      <c r="A1806" s="0" t="n">
        <v>0.736473174619073</v>
      </c>
      <c r="B1806" s="0" t="n">
        <v>0.051657357114641</v>
      </c>
      <c r="C1806" s="0" t="n">
        <v>0.0492944927644164</v>
      </c>
      <c r="D1806" s="0" t="n">
        <f aca="false">A1806/SUM($A1806:$C1806)</f>
        <v>0.879449685732095</v>
      </c>
      <c r="E1806" s="0" t="n">
        <f aca="false">B1806/SUM($A1806:$C1806)</f>
        <v>0.0616859487159455</v>
      </c>
      <c r="F1806" s="0" t="n">
        <f aca="false">C1806/SUM($A1806:$C1806)</f>
        <v>0.0588643655519593</v>
      </c>
      <c r="G1806" s="0" t="n">
        <f aca="false">SUMPRODUCT(D1806:F1806,Stats!$B$6:$D$6)</f>
        <v>0.358409871867211</v>
      </c>
      <c r="H1806" s="0" t="n">
        <f aca="false">SQRT(SUMPRODUCT(MMULT(D1806:F1806,Stats!$B$12:$D$14),D1806:F1806))</f>
        <v>0.22806909209875</v>
      </c>
      <c r="I1806" s="0" t="n">
        <f aca="false">(G1806-Stats!$B$2)/H1806</f>
        <v>1.38734218194814</v>
      </c>
    </row>
    <row r="1807" customFormat="false" ht="15" hidden="false" customHeight="false" outlineLevel="0" collapsed="false">
      <c r="A1807" s="0" t="n">
        <v>0.386287705145545</v>
      </c>
      <c r="B1807" s="0" t="n">
        <v>0.353473192060721</v>
      </c>
      <c r="C1807" s="0" t="n">
        <v>0.315633215367152</v>
      </c>
      <c r="D1807" s="0" t="n">
        <f aca="false">A1807/SUM($A1807:$C1807)</f>
        <v>0.366012753476179</v>
      </c>
      <c r="E1807" s="0" t="n">
        <f aca="false">B1807/SUM($A1807:$C1807)</f>
        <v>0.334920564602004</v>
      </c>
      <c r="F1807" s="0" t="n">
        <f aca="false">C1807/SUM($A1807:$C1807)</f>
        <v>0.299066681921817</v>
      </c>
      <c r="G1807" s="0" t="n">
        <f aca="false">SUMPRODUCT(D1807:F1807,Stats!$B$6:$D$6)</f>
        <v>0.367507951537421</v>
      </c>
      <c r="H1807" s="0" t="n">
        <f aca="false">SQRT(SUMPRODUCT(MMULT(D1807:F1807,Stats!$B$12:$D$14),D1807:F1807))</f>
        <v>0.225492579002075</v>
      </c>
      <c r="I1807" s="0" t="n">
        <f aca="false">(G1807-Stats!$B$2)/H1807</f>
        <v>1.44354174748441</v>
      </c>
    </row>
    <row r="1808" customFormat="false" ht="15" hidden="false" customHeight="false" outlineLevel="0" collapsed="false">
      <c r="A1808" s="0" t="n">
        <v>0.49101976266891</v>
      </c>
      <c r="B1808" s="0" t="n">
        <v>0.320733582311571</v>
      </c>
      <c r="C1808" s="0" t="n">
        <v>0.192257918468092</v>
      </c>
      <c r="D1808" s="0" t="n">
        <f aca="false">A1808/SUM($A1808:$C1808)</f>
        <v>0.489058022100626</v>
      </c>
      <c r="E1808" s="0" t="n">
        <f aca="false">B1808/SUM($A1808:$C1808)</f>
        <v>0.319452175476515</v>
      </c>
      <c r="F1808" s="0" t="n">
        <f aca="false">C1808/SUM($A1808:$C1808)</f>
        <v>0.191489802422859</v>
      </c>
      <c r="G1808" s="0" t="n">
        <f aca="false">SUMPRODUCT(D1808:F1808,Stats!$B$6:$D$6)</f>
        <v>0.369584311523425</v>
      </c>
      <c r="H1808" s="0" t="n">
        <f aca="false">SQRT(SUMPRODUCT(MMULT(D1808:F1808,Stats!$B$12:$D$14),D1808:F1808))</f>
        <v>0.223914543690999</v>
      </c>
      <c r="I1808" s="0" t="n">
        <f aca="false">(G1808-Stats!$B$2)/H1808</f>
        <v>1.46298809413421</v>
      </c>
    </row>
    <row r="1809" customFormat="false" ht="15" hidden="false" customHeight="false" outlineLevel="0" collapsed="false">
      <c r="A1809" s="0" t="n">
        <v>0.309469549088601</v>
      </c>
      <c r="B1809" s="0" t="n">
        <v>0.974904272810235</v>
      </c>
      <c r="C1809" s="0" t="n">
        <v>0.411113416994849</v>
      </c>
      <c r="D1809" s="0" t="n">
        <f aca="false">A1809/SUM($A1809:$C1809)</f>
        <v>0.182525436930172</v>
      </c>
      <c r="E1809" s="0" t="n">
        <f aca="false">B1809/SUM($A1809:$C1809)</f>
        <v>0.574999475340414</v>
      </c>
      <c r="F1809" s="0" t="n">
        <f aca="false">C1809/SUM($A1809:$C1809)</f>
        <v>0.242475087729414</v>
      </c>
      <c r="G1809" s="0" t="n">
        <f aca="false">SUMPRODUCT(D1809:F1809,Stats!$B$6:$D$6)</f>
        <v>0.38288227277684</v>
      </c>
      <c r="H1809" s="0" t="n">
        <f aca="false">SQRT(SUMPRODUCT(MMULT(D1809:F1809,Stats!$B$12:$D$14),D1809:F1809))</f>
        <v>0.234233717291089</v>
      </c>
      <c r="I1809" s="0" t="n">
        <f aca="false">(G1809-Stats!$B$2)/H1809</f>
        <v>1.45530829941624</v>
      </c>
    </row>
    <row r="1810" customFormat="false" ht="15" hidden="false" customHeight="false" outlineLevel="0" collapsed="false">
      <c r="A1810" s="0" t="n">
        <v>0.444712776858336</v>
      </c>
      <c r="B1810" s="0" t="n">
        <v>0.57654498995114</v>
      </c>
      <c r="C1810" s="0" t="n">
        <v>0.983340768414227</v>
      </c>
      <c r="D1810" s="0" t="n">
        <f aca="false">A1810/SUM($A1810:$C1810)</f>
        <v>0.221846304406637</v>
      </c>
      <c r="E1810" s="0" t="n">
        <f aca="false">B1810/SUM($A1810:$C1810)</f>
        <v>0.287611199858929</v>
      </c>
      <c r="F1810" s="0" t="n">
        <f aca="false">C1810/SUM($A1810:$C1810)</f>
        <v>0.490542495734435</v>
      </c>
      <c r="G1810" s="0" t="n">
        <f aca="false">SUMPRODUCT(D1810:F1810,Stats!$B$6:$D$6)</f>
        <v>0.359505960001004</v>
      </c>
      <c r="H1810" s="0" t="n">
        <f aca="false">SQRT(SUMPRODUCT(MMULT(D1810:F1810,Stats!$B$12:$D$14),D1810:F1810))</f>
        <v>0.231014381484761</v>
      </c>
      <c r="I1810" s="0" t="n">
        <f aca="false">(G1810-Stats!$B$2)/H1810</f>
        <v>1.37439910866306</v>
      </c>
    </row>
    <row r="1811" customFormat="false" ht="15" hidden="false" customHeight="false" outlineLevel="0" collapsed="false">
      <c r="A1811" s="0" t="n">
        <v>0.241601276435763</v>
      </c>
      <c r="B1811" s="0" t="n">
        <v>0.681282110532434</v>
      </c>
      <c r="C1811" s="0" t="n">
        <v>0.715984693541724</v>
      </c>
      <c r="D1811" s="0" t="n">
        <f aca="false">A1811/SUM($A1811:$C1811)</f>
        <v>0.147419599727997</v>
      </c>
      <c r="E1811" s="0" t="n">
        <f aca="false">B1811/SUM($A1811:$C1811)</f>
        <v>0.415702836997386</v>
      </c>
      <c r="F1811" s="0" t="n">
        <f aca="false">C1811/SUM($A1811:$C1811)</f>
        <v>0.436877563274618</v>
      </c>
      <c r="G1811" s="0" t="n">
        <f aca="false">SUMPRODUCT(D1811:F1811,Stats!$B$6:$D$6)</f>
        <v>0.368355976888151</v>
      </c>
      <c r="H1811" s="0" t="n">
        <f aca="false">SQRT(SUMPRODUCT(MMULT(D1811:F1811,Stats!$B$12:$D$14),D1811:F1811))</f>
        <v>0.234298620401706</v>
      </c>
      <c r="I1811" s="0" t="n">
        <f aca="false">(G1811-Stats!$B$2)/H1811</f>
        <v>1.3929060970509</v>
      </c>
    </row>
    <row r="1812" customFormat="false" ht="15" hidden="false" customHeight="false" outlineLevel="0" collapsed="false">
      <c r="A1812" s="0" t="n">
        <v>0.607324416793066</v>
      </c>
      <c r="B1812" s="0" t="n">
        <v>0.0885783396366441</v>
      </c>
      <c r="C1812" s="0" t="n">
        <v>0.676872275827577</v>
      </c>
      <c r="D1812" s="0" t="n">
        <f aca="false">A1812/SUM($A1812:$C1812)</f>
        <v>0.442406368503387</v>
      </c>
      <c r="E1812" s="0" t="n">
        <f aca="false">B1812/SUM($A1812:$C1812)</f>
        <v>0.0645250223490681</v>
      </c>
      <c r="F1812" s="0" t="n">
        <f aca="false">C1812/SUM($A1812:$C1812)</f>
        <v>0.493068609147545</v>
      </c>
      <c r="G1812" s="0" t="n">
        <f aca="false">SUMPRODUCT(D1812:F1812,Stats!$B$6:$D$6)</f>
        <v>0.346600213476104</v>
      </c>
      <c r="H1812" s="0" t="n">
        <f aca="false">SQRT(SUMPRODUCT(MMULT(D1812:F1812,Stats!$B$12:$D$14),D1812:F1812))</f>
        <v>0.224242297562732</v>
      </c>
      <c r="I1812" s="0" t="n">
        <f aca="false">(G1812-Stats!$B$2)/H1812</f>
        <v>1.35835307070421</v>
      </c>
    </row>
    <row r="1813" customFormat="false" ht="15" hidden="false" customHeight="false" outlineLevel="0" collapsed="false">
      <c r="A1813" s="0" t="n">
        <v>0.0640947110361755</v>
      </c>
      <c r="B1813" s="0" t="n">
        <v>0.596142649549897</v>
      </c>
      <c r="C1813" s="0" t="n">
        <v>0.739581177221743</v>
      </c>
      <c r="D1813" s="0" t="n">
        <f aca="false">A1813/SUM($A1813:$C1813)</f>
        <v>0.0457878712883393</v>
      </c>
      <c r="E1813" s="0" t="n">
        <f aca="false">B1813/SUM($A1813:$C1813)</f>
        <v>0.425871377931232</v>
      </c>
      <c r="F1813" s="0" t="n">
        <f aca="false">C1813/SUM($A1813:$C1813)</f>
        <v>0.528340750780429</v>
      </c>
      <c r="G1813" s="0" t="n">
        <f aca="false">SUMPRODUCT(D1813:F1813,Stats!$B$6:$D$6)</f>
        <v>0.366418999355718</v>
      </c>
      <c r="H1813" s="0" t="n">
        <f aca="false">SQRT(SUMPRODUCT(MMULT(D1813:F1813,Stats!$B$12:$D$14),D1813:F1813))</f>
        <v>0.240657235017668</v>
      </c>
      <c r="I1813" s="0" t="n">
        <f aca="false">(G1813-Stats!$B$2)/H1813</f>
        <v>1.34805421217401</v>
      </c>
    </row>
    <row r="1814" customFormat="false" ht="15" hidden="false" customHeight="false" outlineLevel="0" collapsed="false">
      <c r="A1814" s="0" t="n">
        <v>0.21096989061995</v>
      </c>
      <c r="B1814" s="0" t="n">
        <v>0.841622007542774</v>
      </c>
      <c r="C1814" s="0" t="n">
        <v>0.0303538055330043</v>
      </c>
      <c r="D1814" s="0" t="n">
        <f aca="false">A1814/SUM($A1814:$C1814)</f>
        <v>0.194811143254903</v>
      </c>
      <c r="E1814" s="0" t="n">
        <f aca="false">B1814/SUM($A1814:$C1814)</f>
        <v>0.777159930244519</v>
      </c>
      <c r="F1814" s="0" t="n">
        <f aca="false">C1814/SUM($A1814:$C1814)</f>
        <v>0.028028926500578</v>
      </c>
      <c r="G1814" s="0" t="n">
        <f aca="false">SUMPRODUCT(D1814:F1814,Stats!$B$6:$D$6)</f>
        <v>0.40042759411642</v>
      </c>
      <c r="H1814" s="0" t="n">
        <f aca="false">SQRT(SUMPRODUCT(MMULT(D1814:F1814,Stats!$B$12:$D$14),D1814:F1814))</f>
        <v>0.240547006070257</v>
      </c>
      <c r="I1814" s="0" t="n">
        <f aca="false">(G1814-Stats!$B$2)/H1814</f>
        <v>1.49005219383913</v>
      </c>
    </row>
    <row r="1815" customFormat="false" ht="15" hidden="false" customHeight="false" outlineLevel="0" collapsed="false">
      <c r="A1815" s="0" t="n">
        <v>0.843812863658306</v>
      </c>
      <c r="B1815" s="0" t="n">
        <v>0.460329050642765</v>
      </c>
      <c r="C1815" s="0" t="n">
        <v>0.217587939931645</v>
      </c>
      <c r="D1815" s="0" t="n">
        <f aca="false">A1815/SUM($A1815:$C1815)</f>
        <v>0.554508976288549</v>
      </c>
      <c r="E1815" s="0" t="n">
        <f aca="false">B1815/SUM($A1815:$C1815)</f>
        <v>0.302503791564812</v>
      </c>
      <c r="F1815" s="0" t="n">
        <f aca="false">C1815/SUM($A1815:$C1815)</f>
        <v>0.142987232146639</v>
      </c>
      <c r="G1815" s="0" t="n">
        <f aca="false">SUMPRODUCT(D1815:F1815,Stats!$B$6:$D$6)</f>
        <v>0.369946563169307</v>
      </c>
      <c r="H1815" s="0" t="n">
        <f aca="false">SQRT(SUMPRODUCT(MMULT(D1815:F1815,Stats!$B$12:$D$14),D1815:F1815))</f>
        <v>0.223930158207659</v>
      </c>
      <c r="I1815" s="0" t="n">
        <f aca="false">(G1815-Stats!$B$2)/H1815</f>
        <v>1.46450378008125</v>
      </c>
    </row>
    <row r="1816" customFormat="false" ht="15" hidden="false" customHeight="false" outlineLevel="0" collapsed="false">
      <c r="A1816" s="0" t="n">
        <v>0.133778144993968</v>
      </c>
      <c r="B1816" s="0" t="n">
        <v>0.953307167582373</v>
      </c>
      <c r="C1816" s="0" t="n">
        <v>0.0726655875811567</v>
      </c>
      <c r="D1816" s="0" t="n">
        <f aca="false">A1816/SUM($A1816:$C1816)</f>
        <v>0.115350757628902</v>
      </c>
      <c r="E1816" s="0" t="n">
        <f aca="false">B1816/SUM($A1816:$C1816)</f>
        <v>0.821993039585407</v>
      </c>
      <c r="F1816" s="0" t="n">
        <f aca="false">C1816/SUM($A1816:$C1816)</f>
        <v>0.0626562027856918</v>
      </c>
      <c r="G1816" s="0" t="n">
        <f aca="false">SUMPRODUCT(D1816:F1816,Stats!$B$6:$D$6)</f>
        <v>0.402052399376325</v>
      </c>
      <c r="H1816" s="0" t="n">
        <f aca="false">SQRT(SUMPRODUCT(MMULT(D1816:F1816,Stats!$B$12:$D$14),D1816:F1816))</f>
        <v>0.243798518214344</v>
      </c>
      <c r="I1816" s="0" t="n">
        <f aca="false">(G1816-Stats!$B$2)/H1816</f>
        <v>1.47684408426048</v>
      </c>
    </row>
    <row r="1817" customFormat="false" ht="15" hidden="false" customHeight="false" outlineLevel="0" collapsed="false">
      <c r="A1817" s="0" t="n">
        <v>0.199093419935926</v>
      </c>
      <c r="B1817" s="0" t="n">
        <v>0.347822347433046</v>
      </c>
      <c r="C1817" s="0" t="n">
        <v>0.620234848961121</v>
      </c>
      <c r="D1817" s="0" t="n">
        <f aca="false">A1817/SUM($A1817:$C1817)</f>
        <v>0.170580743522153</v>
      </c>
      <c r="E1817" s="0" t="n">
        <f aca="false">B1817/SUM($A1817:$C1817)</f>
        <v>0.298009822011417</v>
      </c>
      <c r="F1817" s="0" t="n">
        <f aca="false">C1817/SUM($A1817:$C1817)</f>
        <v>0.531409434466431</v>
      </c>
      <c r="G1817" s="0" t="n">
        <f aca="false">SUMPRODUCT(D1817:F1817,Stats!$B$6:$D$6)</f>
        <v>0.358977393143702</v>
      </c>
      <c r="H1817" s="0" t="n">
        <f aca="false">SQRT(SUMPRODUCT(MMULT(D1817:F1817,Stats!$B$12:$D$14),D1817:F1817))</f>
        <v>0.233854401999669</v>
      </c>
      <c r="I1817" s="0" t="n">
        <f aca="false">(G1817-Stats!$B$2)/H1817</f>
        <v>1.35544762225237</v>
      </c>
    </row>
    <row r="1818" customFormat="false" ht="15" hidden="false" customHeight="false" outlineLevel="0" collapsed="false">
      <c r="A1818" s="0" t="n">
        <v>0.544801085276098</v>
      </c>
      <c r="B1818" s="0" t="n">
        <v>0.125643492412314</v>
      </c>
      <c r="C1818" s="0" t="n">
        <v>0.289727983738215</v>
      </c>
      <c r="D1818" s="0" t="n">
        <f aca="false">A1818/SUM($A1818:$C1818)</f>
        <v>0.567399139657388</v>
      </c>
      <c r="E1818" s="0" t="n">
        <f aca="false">B1818/SUM($A1818:$C1818)</f>
        <v>0.130855116527838</v>
      </c>
      <c r="F1818" s="0" t="n">
        <f aca="false">C1818/SUM($A1818:$C1818)</f>
        <v>0.301745743814774</v>
      </c>
      <c r="G1818" s="0" t="n">
        <f aca="false">SUMPRODUCT(D1818:F1818,Stats!$B$6:$D$6)</f>
        <v>0.355692415670698</v>
      </c>
      <c r="H1818" s="0" t="n">
        <f aca="false">SQRT(SUMPRODUCT(MMULT(D1818:F1818,Stats!$B$12:$D$14),D1818:F1818))</f>
        <v>0.221521502317323</v>
      </c>
      <c r="I1818" s="0" t="n">
        <f aca="false">(G1818-Stats!$B$2)/H1818</f>
        <v>1.41608111352253</v>
      </c>
    </row>
    <row r="1819" customFormat="false" ht="15" hidden="false" customHeight="false" outlineLevel="0" collapsed="false">
      <c r="A1819" s="0" t="n">
        <v>0.238751771086024</v>
      </c>
      <c r="B1819" s="0" t="n">
        <v>0.213542854490341</v>
      </c>
      <c r="C1819" s="0" t="n">
        <v>0.411144336479987</v>
      </c>
      <c r="D1819" s="0" t="n">
        <f aca="false">A1819/SUM($A1819:$C1819)</f>
        <v>0.27651262171146</v>
      </c>
      <c r="E1819" s="0" t="n">
        <f aca="false">B1819/SUM($A1819:$C1819)</f>
        <v>0.247316676539325</v>
      </c>
      <c r="F1819" s="0" t="n">
        <f aca="false">C1819/SUM($A1819:$C1819)</f>
        <v>0.476170701749215</v>
      </c>
      <c r="G1819" s="0" t="n">
        <f aca="false">SUMPRODUCT(D1819:F1819,Stats!$B$6:$D$6)</f>
        <v>0.357583761972835</v>
      </c>
      <c r="H1819" s="0" t="n">
        <f aca="false">SQRT(SUMPRODUCT(MMULT(D1819:F1819,Stats!$B$12:$D$14),D1819:F1819))</f>
        <v>0.228643175197722</v>
      </c>
      <c r="I1819" s="0" t="n">
        <f aca="false">(G1819-Stats!$B$2)/H1819</f>
        <v>1.38024571124824</v>
      </c>
    </row>
    <row r="1820" customFormat="false" ht="15" hidden="false" customHeight="false" outlineLevel="0" collapsed="false">
      <c r="A1820" s="0" t="n">
        <v>0.704031452591657</v>
      </c>
      <c r="B1820" s="0" t="n">
        <v>0.217452932217236</v>
      </c>
      <c r="C1820" s="0" t="n">
        <v>0.366678879702981</v>
      </c>
      <c r="D1820" s="0" t="n">
        <f aca="false">A1820/SUM($A1820:$C1820)</f>
        <v>0.546538992367894</v>
      </c>
      <c r="E1820" s="0" t="n">
        <f aca="false">B1820/SUM($A1820:$C1820)</f>
        <v>0.168808518460302</v>
      </c>
      <c r="F1820" s="0" t="n">
        <f aca="false">C1820/SUM($A1820:$C1820)</f>
        <v>0.284652489171804</v>
      </c>
      <c r="G1820" s="0" t="n">
        <f aca="false">SUMPRODUCT(D1820:F1820,Stats!$B$6:$D$6)</f>
        <v>0.358347545218134</v>
      </c>
      <c r="H1820" s="0" t="n">
        <f aca="false">SQRT(SUMPRODUCT(MMULT(D1820:F1820,Stats!$B$12:$D$14),D1820:F1820))</f>
        <v>0.221799615973492</v>
      </c>
      <c r="I1820" s="0" t="n">
        <f aca="false">(G1820-Stats!$B$2)/H1820</f>
        <v>1.42627634330955</v>
      </c>
    </row>
    <row r="1821" customFormat="false" ht="15" hidden="false" customHeight="false" outlineLevel="0" collapsed="false">
      <c r="A1821" s="0" t="n">
        <v>0.390917426841162</v>
      </c>
      <c r="B1821" s="0" t="n">
        <v>0.97645652943541</v>
      </c>
      <c r="C1821" s="0" t="n">
        <v>0.954666356879069</v>
      </c>
      <c r="D1821" s="0" t="n">
        <f aca="false">A1821/SUM($A1821:$C1821)</f>
        <v>0.16835083552443</v>
      </c>
      <c r="E1821" s="0" t="n">
        <f aca="false">B1821/SUM($A1821:$C1821)</f>
        <v>0.420516613731142</v>
      </c>
      <c r="F1821" s="0" t="n">
        <f aca="false">C1821/SUM($A1821:$C1821)</f>
        <v>0.411132550744428</v>
      </c>
      <c r="G1821" s="0" t="n">
        <f aca="false">SUMPRODUCT(D1821:F1821,Stats!$B$6:$D$6)</f>
        <v>0.369342864189529</v>
      </c>
      <c r="H1821" s="0" t="n">
        <f aca="false">SQRT(SUMPRODUCT(MMULT(D1821:F1821,Stats!$B$12:$D$14),D1821:F1821))</f>
        <v>0.233189853133615</v>
      </c>
      <c r="I1821" s="0" t="n">
        <f aca="false">(G1821-Stats!$B$2)/H1821</f>
        <v>1.40376118339062</v>
      </c>
    </row>
    <row r="1822" customFormat="false" ht="15" hidden="false" customHeight="false" outlineLevel="0" collapsed="false">
      <c r="A1822" s="0" t="n">
        <v>0.800137582752076</v>
      </c>
      <c r="B1822" s="0" t="n">
        <v>0.241658920819185</v>
      </c>
      <c r="C1822" s="0" t="n">
        <v>0.0680373140916697</v>
      </c>
      <c r="D1822" s="0" t="n">
        <f aca="false">A1822/SUM($A1822:$C1822)</f>
        <v>0.720952605712621</v>
      </c>
      <c r="E1822" s="0" t="n">
        <f aca="false">B1822/SUM($A1822:$C1822)</f>
        <v>0.21774333866314</v>
      </c>
      <c r="F1822" s="0" t="n">
        <f aca="false">C1822/SUM($A1822:$C1822)</f>
        <v>0.0613040556242389</v>
      </c>
      <c r="G1822" s="0" t="n">
        <f aca="false">SUMPRODUCT(D1822:F1822,Stats!$B$6:$D$6)</f>
        <v>0.367321938588257</v>
      </c>
      <c r="H1822" s="0" t="n">
        <f aca="false">SQRT(SUMPRODUCT(MMULT(D1822:F1822,Stats!$B$12:$D$14),D1822:F1822))</f>
        <v>0.225572258562789</v>
      </c>
      <c r="I1822" s="0" t="n">
        <f aca="false">(G1822-Stats!$B$2)/H1822</f>
        <v>1.44220721404756</v>
      </c>
    </row>
    <row r="1823" customFormat="false" ht="15" hidden="false" customHeight="false" outlineLevel="0" collapsed="false">
      <c r="A1823" s="0" t="n">
        <v>0.316904137720625</v>
      </c>
      <c r="B1823" s="0" t="n">
        <v>0.266794549433831</v>
      </c>
      <c r="C1823" s="0" t="n">
        <v>0.505925800146394</v>
      </c>
      <c r="D1823" s="0" t="n">
        <f aca="false">A1823/SUM($A1823:$C1823)</f>
        <v>0.290837936751624</v>
      </c>
      <c r="E1823" s="0" t="n">
        <f aca="false">B1823/SUM($A1823:$C1823)</f>
        <v>0.244849994234911</v>
      </c>
      <c r="F1823" s="0" t="n">
        <f aca="false">C1823/SUM($A1823:$C1823)</f>
        <v>0.464312069013465</v>
      </c>
      <c r="G1823" s="0" t="n">
        <f aca="false">SUMPRODUCT(D1823:F1823,Stats!$B$6:$D$6)</f>
        <v>0.357768829502222</v>
      </c>
      <c r="H1823" s="0" t="n">
        <f aca="false">SQRT(SUMPRODUCT(MMULT(D1823:F1823,Stats!$B$12:$D$14),D1823:F1823))</f>
        <v>0.228000365946419</v>
      </c>
      <c r="I1823" s="0" t="n">
        <f aca="false">(G1823-Stats!$B$2)/H1823</f>
        <v>1.38494878370691</v>
      </c>
    </row>
    <row r="1824" customFormat="false" ht="15" hidden="false" customHeight="false" outlineLevel="0" collapsed="false">
      <c r="A1824" s="0" t="n">
        <v>0.777727910067793</v>
      </c>
      <c r="B1824" s="0" t="n">
        <v>0.858322938878858</v>
      </c>
      <c r="C1824" s="0" t="n">
        <v>0.844864085410509</v>
      </c>
      <c r="D1824" s="0" t="n">
        <f aca="false">A1824/SUM($A1824:$C1824)</f>
        <v>0.313484311492249</v>
      </c>
      <c r="E1824" s="0" t="n">
        <f aca="false">B1824/SUM($A1824:$C1824)</f>
        <v>0.345970322074449</v>
      </c>
      <c r="F1824" s="0" t="n">
        <f aca="false">C1824/SUM($A1824:$C1824)</f>
        <v>0.340545366433301</v>
      </c>
      <c r="G1824" s="0" t="n">
        <f aca="false">SUMPRODUCT(D1824:F1824,Stats!$B$6:$D$6)</f>
        <v>0.366999981509101</v>
      </c>
      <c r="H1824" s="0" t="n">
        <f aca="false">SQRT(SUMPRODUCT(MMULT(D1824:F1824,Stats!$B$12:$D$14),D1824:F1824))</f>
        <v>0.226981438298685</v>
      </c>
      <c r="I1824" s="0" t="n">
        <f aca="false">(G1824-Stats!$B$2)/H1824</f>
        <v>1.43183506080984</v>
      </c>
    </row>
    <row r="1825" customFormat="false" ht="15" hidden="false" customHeight="false" outlineLevel="0" collapsed="false">
      <c r="A1825" s="0" t="n">
        <v>0.359675561223068</v>
      </c>
      <c r="B1825" s="0" t="n">
        <v>0.687234343460683</v>
      </c>
      <c r="C1825" s="0" t="n">
        <v>0.31283419752422</v>
      </c>
      <c r="D1825" s="0" t="n">
        <f aca="false">A1825/SUM($A1825:$C1825)</f>
        <v>0.26451709600286</v>
      </c>
      <c r="E1825" s="0" t="n">
        <f aca="false">B1825/SUM($A1825:$C1825)</f>
        <v>0.505414469049539</v>
      </c>
      <c r="F1825" s="0" t="n">
        <f aca="false">C1825/SUM($A1825:$C1825)</f>
        <v>0.230068434947602</v>
      </c>
      <c r="G1825" s="0" t="n">
        <f aca="false">SUMPRODUCT(D1825:F1825,Stats!$B$6:$D$6)</f>
        <v>0.379220550255583</v>
      </c>
      <c r="H1825" s="0" t="n">
        <f aca="false">SQRT(SUMPRODUCT(MMULT(D1825:F1825,Stats!$B$12:$D$14),D1825:F1825))</f>
        <v>0.230435756517204</v>
      </c>
      <c r="I1825" s="0" t="n">
        <f aca="false">(G1825-Stats!$B$2)/H1825</f>
        <v>1.4634037501485</v>
      </c>
    </row>
    <row r="1826" customFormat="false" ht="15" hidden="false" customHeight="false" outlineLevel="0" collapsed="false">
      <c r="A1826" s="0" t="n">
        <v>0.0609055432351827</v>
      </c>
      <c r="B1826" s="0" t="n">
        <v>0.701565265602942</v>
      </c>
      <c r="C1826" s="0" t="n">
        <v>0.00982755256978785</v>
      </c>
      <c r="D1826" s="0" t="n">
        <f aca="false">A1826/SUM($A1826:$C1826)</f>
        <v>0.0788627119759142</v>
      </c>
      <c r="E1826" s="0" t="n">
        <f aca="false">B1826/SUM($A1826:$C1826)</f>
        <v>0.908412215615707</v>
      </c>
      <c r="F1826" s="0" t="n">
        <f aca="false">C1826/SUM($A1826:$C1826)</f>
        <v>0.0127250724083786</v>
      </c>
      <c r="G1826" s="0" t="n">
        <f aca="false">SUMPRODUCT(D1826:F1826,Stats!$B$6:$D$6)</f>
        <v>0.40840167863059</v>
      </c>
      <c r="H1826" s="0" t="n">
        <f aca="false">SQRT(SUMPRODUCT(MMULT(D1826:F1826,Stats!$B$12:$D$14),D1826:F1826))</f>
        <v>0.248410906265877</v>
      </c>
      <c r="I1826" s="0" t="n">
        <f aca="false">(G1826-Stats!$B$2)/H1826</f>
        <v>1.47498225475827</v>
      </c>
    </row>
    <row r="1827" customFormat="false" ht="15" hidden="false" customHeight="false" outlineLevel="0" collapsed="false">
      <c r="A1827" s="0" t="n">
        <v>0.409182587458489</v>
      </c>
      <c r="B1827" s="0" t="n">
        <v>0.329379269302076</v>
      </c>
      <c r="C1827" s="0" t="n">
        <v>0.693377538518852</v>
      </c>
      <c r="D1827" s="0" t="n">
        <f aca="false">A1827/SUM($A1827:$C1827)</f>
        <v>0.28575412395763</v>
      </c>
      <c r="E1827" s="0" t="n">
        <f aca="false">B1827/SUM($A1827:$C1827)</f>
        <v>0.230023191196443</v>
      </c>
      <c r="F1827" s="0" t="n">
        <f aca="false">C1827/SUM($A1827:$C1827)</f>
        <v>0.484222684845927</v>
      </c>
      <c r="G1827" s="0" t="n">
        <f aca="false">SUMPRODUCT(D1827:F1827,Stats!$B$6:$D$6)</f>
        <v>0.35636668687179</v>
      </c>
      <c r="H1827" s="0" t="n">
        <f aca="false">SQRT(SUMPRODUCT(MMULT(D1827:F1827,Stats!$B$12:$D$14),D1827:F1827))</f>
        <v>0.228383562881377</v>
      </c>
      <c r="I1827" s="0" t="n">
        <f aca="false">(G1827-Stats!$B$2)/H1827</f>
        <v>1.37648560564348</v>
      </c>
    </row>
    <row r="1828" customFormat="false" ht="15" hidden="false" customHeight="false" outlineLevel="0" collapsed="false">
      <c r="A1828" s="0" t="n">
        <v>0.766245472760379</v>
      </c>
      <c r="B1828" s="0" t="n">
        <v>0.304094635971284</v>
      </c>
      <c r="C1828" s="0" t="n">
        <v>0.811627014444854</v>
      </c>
      <c r="D1828" s="0" t="n">
        <f aca="false">A1828/SUM($A1828:$C1828)</f>
        <v>0.407151359513155</v>
      </c>
      <c r="E1828" s="0" t="n">
        <f aca="false">B1828/SUM($A1828:$C1828)</f>
        <v>0.161583394431467</v>
      </c>
      <c r="F1828" s="0" t="n">
        <f aca="false">C1828/SUM($A1828:$C1828)</f>
        <v>0.431265246055379</v>
      </c>
      <c r="G1828" s="0" t="n">
        <f aca="false">SUMPRODUCT(D1828:F1828,Stats!$B$6:$D$6)</f>
        <v>0.353889030551976</v>
      </c>
      <c r="H1828" s="0" t="n">
        <f aca="false">SQRT(SUMPRODUCT(MMULT(D1828:F1828,Stats!$B$12:$D$14),D1828:F1828))</f>
        <v>0.224225594834971</v>
      </c>
      <c r="I1828" s="0" t="n">
        <f aca="false">(G1828-Stats!$B$2)/H1828</f>
        <v>1.39096087929447</v>
      </c>
    </row>
    <row r="1829" customFormat="false" ht="15" hidden="false" customHeight="false" outlineLevel="0" collapsed="false">
      <c r="A1829" s="0" t="n">
        <v>0.293916760504934</v>
      </c>
      <c r="B1829" s="0" t="n">
        <v>0.446326359986561</v>
      </c>
      <c r="C1829" s="0" t="n">
        <v>0.727018527014134</v>
      </c>
      <c r="D1829" s="0" t="n">
        <f aca="false">A1829/SUM($A1829:$C1829)</f>
        <v>0.200316529096632</v>
      </c>
      <c r="E1829" s="0" t="n">
        <f aca="false">B1829/SUM($A1829:$C1829)</f>
        <v>0.304190026874432</v>
      </c>
      <c r="F1829" s="0" t="n">
        <f aca="false">C1829/SUM($A1829:$C1829)</f>
        <v>0.495493444028935</v>
      </c>
      <c r="G1829" s="0" t="n">
        <f aca="false">SUMPRODUCT(D1829:F1829,Stats!$B$6:$D$6)</f>
        <v>0.360323363754935</v>
      </c>
      <c r="H1829" s="0" t="n">
        <f aca="false">SQRT(SUMPRODUCT(MMULT(D1829:F1829,Stats!$B$12:$D$14),D1829:F1829))</f>
        <v>0.232028431905916</v>
      </c>
      <c r="I1829" s="0" t="n">
        <f aca="false">(G1829-Stats!$B$2)/H1829</f>
        <v>1.37191533442768</v>
      </c>
    </row>
    <row r="1830" customFormat="false" ht="15" hidden="false" customHeight="false" outlineLevel="0" collapsed="false">
      <c r="A1830" s="0" t="n">
        <v>0.692920229224789</v>
      </c>
      <c r="B1830" s="0" t="n">
        <v>0.9873684723122</v>
      </c>
      <c r="C1830" s="0" t="n">
        <v>0.225161024215932</v>
      </c>
      <c r="D1830" s="0" t="n">
        <f aca="false">A1830/SUM($A1830:$C1830)</f>
        <v>0.363651803487488</v>
      </c>
      <c r="E1830" s="0" t="n">
        <f aca="false">B1830/SUM($A1830:$C1830)</f>
        <v>0.5181813295662</v>
      </c>
      <c r="F1830" s="0" t="n">
        <f aca="false">C1830/SUM($A1830:$C1830)</f>
        <v>0.118166866946312</v>
      </c>
      <c r="G1830" s="0" t="n">
        <f aca="false">SUMPRODUCT(D1830:F1830,Stats!$B$6:$D$6)</f>
        <v>0.383040781583917</v>
      </c>
      <c r="H1830" s="0" t="n">
        <f aca="false">SQRT(SUMPRODUCT(MMULT(D1830:F1830,Stats!$B$12:$D$14),D1830:F1830))</f>
        <v>0.229306766399177</v>
      </c>
      <c r="I1830" s="0" t="n">
        <f aca="false">(G1830-Stats!$B$2)/H1830</f>
        <v>1.48726872276518</v>
      </c>
    </row>
    <row r="1831" customFormat="false" ht="15" hidden="false" customHeight="false" outlineLevel="0" collapsed="false">
      <c r="A1831" s="0" t="n">
        <v>0.662317913539582</v>
      </c>
      <c r="B1831" s="0" t="n">
        <v>0.609681908275777</v>
      </c>
      <c r="C1831" s="0" t="n">
        <v>0.91509845449003</v>
      </c>
      <c r="D1831" s="0" t="n">
        <f aca="false">A1831/SUM($A1831:$C1831)</f>
        <v>0.302829516494531</v>
      </c>
      <c r="E1831" s="0" t="n">
        <f aca="false">B1831/SUM($A1831:$C1831)</f>
        <v>0.278762922947248</v>
      </c>
      <c r="F1831" s="0" t="n">
        <f aca="false">C1831/SUM($A1831:$C1831)</f>
        <v>0.418407560558222</v>
      </c>
      <c r="G1831" s="0" t="n">
        <f aca="false">SUMPRODUCT(D1831:F1831,Stats!$B$6:$D$6)</f>
        <v>0.360985934692536</v>
      </c>
      <c r="H1831" s="0" t="n">
        <f aca="false">SQRT(SUMPRODUCT(MMULT(D1831:F1831,Stats!$B$12:$D$14),D1831:F1831))</f>
        <v>0.227282322711032</v>
      </c>
      <c r="I1831" s="0" t="n">
        <f aca="false">(G1831-Stats!$B$2)/H1831</f>
        <v>1.40347885787007</v>
      </c>
    </row>
    <row r="1832" customFormat="false" ht="15" hidden="false" customHeight="false" outlineLevel="0" collapsed="false">
      <c r="A1832" s="0" t="n">
        <v>0.156362141644875</v>
      </c>
      <c r="B1832" s="0" t="n">
        <v>0.751798163586933</v>
      </c>
      <c r="C1832" s="0" t="n">
        <v>0.568268616268768</v>
      </c>
      <c r="D1832" s="0" t="n">
        <f aca="false">A1832/SUM($A1832:$C1832)</f>
        <v>0.105905634445277</v>
      </c>
      <c r="E1832" s="0" t="n">
        <f aca="false">B1832/SUM($A1832:$C1832)</f>
        <v>0.509200377098302</v>
      </c>
      <c r="F1832" s="0" t="n">
        <f aca="false">C1832/SUM($A1832:$C1832)</f>
        <v>0.384893988456421</v>
      </c>
      <c r="G1832" s="0" t="n">
        <f aca="false">SUMPRODUCT(D1832:F1832,Stats!$B$6:$D$6)</f>
        <v>0.375169131415737</v>
      </c>
      <c r="H1832" s="0" t="n">
        <f aca="false">SQRT(SUMPRODUCT(MMULT(D1832:F1832,Stats!$B$12:$D$14),D1832:F1832))</f>
        <v>0.236711486222038</v>
      </c>
      <c r="I1832" s="0" t="n">
        <f aca="false">(G1832-Stats!$B$2)/H1832</f>
        <v>1.40749034503218</v>
      </c>
    </row>
    <row r="1833" customFormat="false" ht="15" hidden="false" customHeight="false" outlineLevel="0" collapsed="false">
      <c r="A1833" s="0" t="n">
        <v>0.274665869787905</v>
      </c>
      <c r="B1833" s="0" t="n">
        <v>0.474434914147174</v>
      </c>
      <c r="C1833" s="0" t="n">
        <v>0.333776597069798</v>
      </c>
      <c r="D1833" s="0" t="n">
        <f aca="false">A1833/SUM($A1833:$C1833)</f>
        <v>0.25364447961137</v>
      </c>
      <c r="E1833" s="0" t="n">
        <f aca="false">B1833/SUM($A1833:$C1833)</f>
        <v>0.438124318107848</v>
      </c>
      <c r="F1833" s="0" t="n">
        <f aca="false">C1833/SUM($A1833:$C1833)</f>
        <v>0.308231202280782</v>
      </c>
      <c r="G1833" s="0" t="n">
        <f aca="false">SUMPRODUCT(D1833:F1833,Stats!$B$6:$D$6)</f>
        <v>0.373193453816104</v>
      </c>
      <c r="H1833" s="0" t="n">
        <f aca="false">SQRT(SUMPRODUCT(MMULT(D1833:F1833,Stats!$B$12:$D$14),D1833:F1833))</f>
        <v>0.229696592589613</v>
      </c>
      <c r="I1833" s="0" t="n">
        <f aca="false">(G1833-Stats!$B$2)/H1833</f>
        <v>1.44187360414106</v>
      </c>
    </row>
    <row r="1834" customFormat="false" ht="15" hidden="false" customHeight="false" outlineLevel="0" collapsed="false">
      <c r="A1834" s="0" t="n">
        <v>0.579313402788461</v>
      </c>
      <c r="B1834" s="0" t="n">
        <v>0.889000610814666</v>
      </c>
      <c r="C1834" s="0" t="n">
        <v>0.569304984412202</v>
      </c>
      <c r="D1834" s="0" t="n">
        <f aca="false">A1834/SUM($A1834:$C1834)</f>
        <v>0.284308991697035</v>
      </c>
      <c r="E1834" s="0" t="n">
        <f aca="false">B1834/SUM($A1834:$C1834)</f>
        <v>0.436293836914833</v>
      </c>
      <c r="F1834" s="0" t="n">
        <f aca="false">C1834/SUM($A1834:$C1834)</f>
        <v>0.279397171388132</v>
      </c>
      <c r="G1834" s="0" t="n">
        <f aca="false">SUMPRODUCT(D1834:F1834,Stats!$B$6:$D$6)</f>
        <v>0.373883217609117</v>
      </c>
      <c r="H1834" s="0" t="n">
        <f aca="false">SQRT(SUMPRODUCT(MMULT(D1834:F1834,Stats!$B$12:$D$14),D1834:F1834))</f>
        <v>0.228733706401074</v>
      </c>
      <c r="I1834" s="0" t="n">
        <f aca="false">(G1834-Stats!$B$2)/H1834</f>
        <v>1.45095894623932</v>
      </c>
    </row>
    <row r="1835" customFormat="false" ht="15" hidden="false" customHeight="false" outlineLevel="0" collapsed="false">
      <c r="A1835" s="0" t="n">
        <v>0.631722418326584</v>
      </c>
      <c r="B1835" s="0" t="n">
        <v>0.518747847114709</v>
      </c>
      <c r="C1835" s="0" t="n">
        <v>0.0511655064454759</v>
      </c>
      <c r="D1835" s="0" t="n">
        <f aca="false">A1835/SUM($A1835:$C1835)</f>
        <v>0.525718718688504</v>
      </c>
      <c r="E1835" s="0" t="n">
        <f aca="false">B1835/SUM($A1835:$C1835)</f>
        <v>0.431701401748542</v>
      </c>
      <c r="F1835" s="0" t="n">
        <f aca="false">C1835/SUM($A1835:$C1835)</f>
        <v>0.042579879562954</v>
      </c>
      <c r="G1835" s="0" t="n">
        <f aca="false">SUMPRODUCT(D1835:F1835,Stats!$B$6:$D$6)</f>
        <v>0.380149120570881</v>
      </c>
      <c r="H1835" s="0" t="n">
        <f aca="false">SQRT(SUMPRODUCT(MMULT(D1835:F1835,Stats!$B$12:$D$14),D1835:F1835))</f>
        <v>0.22746057211403</v>
      </c>
      <c r="I1835" s="0" t="n">
        <f aca="false">(G1835-Stats!$B$2)/H1835</f>
        <v>1.48662740723857</v>
      </c>
    </row>
    <row r="1836" customFormat="false" ht="15" hidden="false" customHeight="false" outlineLevel="0" collapsed="false">
      <c r="A1836" s="0" t="n">
        <v>0.232858556876094</v>
      </c>
      <c r="B1836" s="0" t="n">
        <v>0.492001729432083</v>
      </c>
      <c r="C1836" s="0" t="n">
        <v>0.310235283744705</v>
      </c>
      <c r="D1836" s="0" t="n">
        <f aca="false">A1836/SUM($A1836:$C1836)</f>
        <v>0.224963340210409</v>
      </c>
      <c r="E1836" s="0" t="n">
        <f aca="false">B1836/SUM($A1836:$C1836)</f>
        <v>0.475320099579739</v>
      </c>
      <c r="F1836" s="0" t="n">
        <f aca="false">C1836/SUM($A1836:$C1836)</f>
        <v>0.299716560209851</v>
      </c>
      <c r="G1836" s="0" t="n">
        <f aca="false">SUMPRODUCT(D1836:F1836,Stats!$B$6:$D$6)</f>
        <v>0.375568438920642</v>
      </c>
      <c r="H1836" s="0" t="n">
        <f aca="false">SQRT(SUMPRODUCT(MMULT(D1836:F1836,Stats!$B$12:$D$14),D1836:F1836))</f>
        <v>0.231124823411928</v>
      </c>
      <c r="I1836" s="0" t="n">
        <f aca="false">(G1836-Stats!$B$2)/H1836</f>
        <v>1.44323934571983</v>
      </c>
    </row>
    <row r="1837" customFormat="false" ht="15" hidden="false" customHeight="false" outlineLevel="0" collapsed="false">
      <c r="A1837" s="0" t="n">
        <v>0.181763597761194</v>
      </c>
      <c r="B1837" s="0" t="n">
        <v>0.504132841918438</v>
      </c>
      <c r="C1837" s="0" t="n">
        <v>0.32280979344785</v>
      </c>
      <c r="D1837" s="0" t="n">
        <f aca="false">A1837/SUM($A1837:$C1837)</f>
        <v>0.180194779998175</v>
      </c>
      <c r="E1837" s="0" t="n">
        <f aca="false">B1837/SUM($A1837:$C1837)</f>
        <v>0.499781626564733</v>
      </c>
      <c r="F1837" s="0" t="n">
        <f aca="false">C1837/SUM($A1837:$C1837)</f>
        <v>0.320023593437092</v>
      </c>
      <c r="G1837" s="0" t="n">
        <f aca="false">SUMPRODUCT(D1837:F1837,Stats!$B$6:$D$6)</f>
        <v>0.376415964892678</v>
      </c>
      <c r="H1837" s="0" t="n">
        <f aca="false">SQRT(SUMPRODUCT(MMULT(D1837:F1837,Stats!$B$12:$D$14),D1837:F1837))</f>
        <v>0.23312487953186</v>
      </c>
      <c r="I1837" s="0" t="n">
        <f aca="false">(G1837-Stats!$B$2)/H1837</f>
        <v>1.43449281588572</v>
      </c>
    </row>
    <row r="1838" customFormat="false" ht="15" hidden="false" customHeight="false" outlineLevel="0" collapsed="false">
      <c r="A1838" s="0" t="n">
        <v>0.258107643173415</v>
      </c>
      <c r="B1838" s="0" t="n">
        <v>0.463985417440381</v>
      </c>
      <c r="C1838" s="0" t="n">
        <v>0.133284258082173</v>
      </c>
      <c r="D1838" s="0" t="n">
        <f aca="false">A1838/SUM($A1838:$C1838)</f>
        <v>0.301747120869305</v>
      </c>
      <c r="E1838" s="0" t="n">
        <f aca="false">B1838/SUM($A1838:$C1838)</f>
        <v>0.542433622331407</v>
      </c>
      <c r="F1838" s="0" t="n">
        <f aca="false">C1838/SUM($A1838:$C1838)</f>
        <v>0.155819256799288</v>
      </c>
      <c r="G1838" s="0" t="n">
        <f aca="false">SUMPRODUCT(D1838:F1838,Stats!$B$6:$D$6)</f>
        <v>0.383397976952173</v>
      </c>
      <c r="H1838" s="0" t="n">
        <f aca="false">SQRT(SUMPRODUCT(MMULT(D1838:F1838,Stats!$B$12:$D$14),D1838:F1838))</f>
        <v>0.230610331629738</v>
      </c>
      <c r="I1838" s="0" t="n">
        <f aca="false">(G1838-Stats!$B$2)/H1838</f>
        <v>1.48041058932395</v>
      </c>
    </row>
    <row r="1839" customFormat="false" ht="15" hidden="false" customHeight="false" outlineLevel="0" collapsed="false">
      <c r="A1839" s="0" t="n">
        <v>0.927745733075407</v>
      </c>
      <c r="B1839" s="0" t="n">
        <v>0.867702097919239</v>
      </c>
      <c r="C1839" s="0" t="n">
        <v>0.707620585740535</v>
      </c>
      <c r="D1839" s="0" t="n">
        <f aca="false">A1839/SUM($A1839:$C1839)</f>
        <v>0.370643377892759</v>
      </c>
      <c r="E1839" s="0" t="n">
        <f aca="false">B1839/SUM($A1839:$C1839)</f>
        <v>0.346655365917247</v>
      </c>
      <c r="F1839" s="0" t="n">
        <f aca="false">C1839/SUM($A1839:$C1839)</f>
        <v>0.282701256189994</v>
      </c>
      <c r="G1839" s="0" t="n">
        <f aca="false">SUMPRODUCT(D1839:F1839,Stats!$B$6:$D$6)</f>
        <v>0.368634427137126</v>
      </c>
      <c r="H1839" s="0" t="n">
        <f aca="false">SQRT(SUMPRODUCT(MMULT(D1839:F1839,Stats!$B$12:$D$14),D1839:F1839))</f>
        <v>0.225518598913826</v>
      </c>
      <c r="I1839" s="0" t="n">
        <f aca="false">(G1839-Stats!$B$2)/H1839</f>
        <v>1.44837023957362</v>
      </c>
    </row>
    <row r="1840" customFormat="false" ht="15" hidden="false" customHeight="false" outlineLevel="0" collapsed="false">
      <c r="A1840" s="0" t="n">
        <v>0.106213827588456</v>
      </c>
      <c r="B1840" s="0" t="n">
        <v>0.775877254469693</v>
      </c>
      <c r="C1840" s="0" t="n">
        <v>0.807957328109019</v>
      </c>
      <c r="D1840" s="0" t="n">
        <f aca="false">A1840/SUM($A1840:$C1840)</f>
        <v>0.0628466184456517</v>
      </c>
      <c r="E1840" s="0" t="n">
        <f aca="false">B1840/SUM($A1840:$C1840)</f>
        <v>0.459085816596785</v>
      </c>
      <c r="F1840" s="0" t="n">
        <f aca="false">C1840/SUM($A1840:$C1840)</f>
        <v>0.478067564957563</v>
      </c>
      <c r="G1840" s="0" t="n">
        <f aca="false">SUMPRODUCT(D1840:F1840,Stats!$B$6:$D$6)</f>
        <v>0.369716378930909</v>
      </c>
      <c r="H1840" s="0" t="n">
        <f aca="false">SQRT(SUMPRODUCT(MMULT(D1840:F1840,Stats!$B$12:$D$14),D1840:F1840))</f>
        <v>0.239251371960078</v>
      </c>
      <c r="I1840" s="0" t="n">
        <f aca="false">(G1840-Stats!$B$2)/H1840</f>
        <v>1.36975757441254</v>
      </c>
    </row>
    <row r="1841" customFormat="false" ht="15" hidden="false" customHeight="false" outlineLevel="0" collapsed="false">
      <c r="A1841" s="0" t="n">
        <v>0.767764617714338</v>
      </c>
      <c r="B1841" s="0" t="n">
        <v>0.113965887119241</v>
      </c>
      <c r="C1841" s="0" t="n">
        <v>0.643907957067765</v>
      </c>
      <c r="D1841" s="0" t="n">
        <f aca="false">A1841/SUM($A1841:$C1841)</f>
        <v>0.50324151946032</v>
      </c>
      <c r="E1841" s="0" t="n">
        <f aca="false">B1841/SUM($A1841:$C1841)</f>
        <v>0.0747004549014909</v>
      </c>
      <c r="F1841" s="0" t="n">
        <f aca="false">C1841/SUM($A1841:$C1841)</f>
        <v>0.422058025638189</v>
      </c>
      <c r="G1841" s="0" t="n">
        <f aca="false">SUMPRODUCT(D1841:F1841,Stats!$B$6:$D$6)</f>
        <v>0.34914378422353</v>
      </c>
      <c r="H1841" s="0" t="n">
        <f aca="false">SQRT(SUMPRODUCT(MMULT(D1841:F1841,Stats!$B$12:$D$14),D1841:F1841))</f>
        <v>0.222431671065823</v>
      </c>
      <c r="I1841" s="0" t="n">
        <f aca="false">(G1841-Stats!$B$2)/H1841</f>
        <v>1.38084555473505</v>
      </c>
    </row>
    <row r="1842" customFormat="false" ht="15" hidden="false" customHeight="false" outlineLevel="0" collapsed="false">
      <c r="A1842" s="0" t="n">
        <v>0.834324795749399</v>
      </c>
      <c r="B1842" s="0" t="n">
        <v>0.577353401219668</v>
      </c>
      <c r="C1842" s="0" t="n">
        <v>0.646407375228089</v>
      </c>
      <c r="D1842" s="0" t="n">
        <f aca="false">A1842/SUM($A1842:$C1842)</f>
        <v>0.405388778299775</v>
      </c>
      <c r="E1842" s="0" t="n">
        <f aca="false">B1842/SUM($A1842:$C1842)</f>
        <v>0.280529346796451</v>
      </c>
      <c r="F1842" s="0" t="n">
        <f aca="false">C1842/SUM($A1842:$C1842)</f>
        <v>0.314081874903774</v>
      </c>
      <c r="G1842" s="0" t="n">
        <f aca="false">SUMPRODUCT(D1842:F1842,Stats!$B$6:$D$6)</f>
        <v>0.363964313090735</v>
      </c>
      <c r="H1842" s="0" t="n">
        <f aca="false">SQRT(SUMPRODUCT(MMULT(D1842:F1842,Stats!$B$12:$D$14),D1842:F1842))</f>
        <v>0.224214627835779</v>
      </c>
      <c r="I1842" s="0" t="n">
        <f aca="false">(G1842-Stats!$B$2)/H1842</f>
        <v>1.43596479943561</v>
      </c>
    </row>
    <row r="1843" customFormat="false" ht="15" hidden="false" customHeight="false" outlineLevel="0" collapsed="false">
      <c r="A1843" s="0" t="n">
        <v>0.458363479426306</v>
      </c>
      <c r="B1843" s="0" t="n">
        <v>0.528707319884053</v>
      </c>
      <c r="C1843" s="0" t="n">
        <v>0.0343768583517252</v>
      </c>
      <c r="D1843" s="0" t="n">
        <f aca="false">A1843/SUM($A1843:$C1843)</f>
        <v>0.448739077316424</v>
      </c>
      <c r="E1843" s="0" t="n">
        <f aca="false">B1843/SUM($A1843:$C1843)</f>
        <v>0.517605886036463</v>
      </c>
      <c r="F1843" s="0" t="n">
        <f aca="false">C1843/SUM($A1843:$C1843)</f>
        <v>0.033655036647113</v>
      </c>
      <c r="G1843" s="0" t="n">
        <f aca="false">SUMPRODUCT(D1843:F1843,Stats!$B$6:$D$6)</f>
        <v>0.385338052523539</v>
      </c>
      <c r="H1843" s="0" t="n">
        <f aca="false">SQRT(SUMPRODUCT(MMULT(D1843:F1843,Stats!$B$12:$D$14),D1843:F1843))</f>
        <v>0.229589592659155</v>
      </c>
      <c r="I1843" s="0" t="n">
        <f aca="false">(G1843-Stats!$B$2)/H1843</f>
        <v>1.49544257885092</v>
      </c>
    </row>
    <row r="1844" customFormat="false" ht="15" hidden="false" customHeight="false" outlineLevel="0" collapsed="false">
      <c r="A1844" s="0" t="n">
        <v>0.638963021973285</v>
      </c>
      <c r="B1844" s="0" t="n">
        <v>0.0814472128911592</v>
      </c>
      <c r="C1844" s="0" t="n">
        <v>0.435014594340223</v>
      </c>
      <c r="D1844" s="0" t="n">
        <f aca="false">A1844/SUM($A1844:$C1844)</f>
        <v>0.553011330397939</v>
      </c>
      <c r="E1844" s="0" t="n">
        <f aca="false">B1844/SUM($A1844:$C1844)</f>
        <v>0.0704911395639845</v>
      </c>
      <c r="F1844" s="0" t="n">
        <f aca="false">C1844/SUM($A1844:$C1844)</f>
        <v>0.376497530038076</v>
      </c>
      <c r="G1844" s="0" t="n">
        <f aca="false">SUMPRODUCT(D1844:F1844,Stats!$B$6:$D$6)</f>
        <v>0.350157898809706</v>
      </c>
      <c r="H1844" s="0" t="n">
        <f aca="false">SQRT(SUMPRODUCT(MMULT(D1844:F1844,Stats!$B$12:$D$14),D1844:F1844))</f>
        <v>0.221639510368578</v>
      </c>
      <c r="I1844" s="0" t="n">
        <f aca="false">(G1844-Stats!$B$2)/H1844</f>
        <v>1.39035634168859</v>
      </c>
    </row>
    <row r="1845" customFormat="false" ht="15" hidden="false" customHeight="false" outlineLevel="0" collapsed="false">
      <c r="A1845" s="0" t="n">
        <v>0.292655097667408</v>
      </c>
      <c r="B1845" s="0" t="n">
        <v>0.545427950211713</v>
      </c>
      <c r="C1845" s="0" t="n">
        <v>0.133416335523207</v>
      </c>
      <c r="D1845" s="0" t="n">
        <f aca="false">A1845/SUM($A1845:$C1845)</f>
        <v>0.30124064170014</v>
      </c>
      <c r="E1845" s="0" t="n">
        <f aca="false">B1845/SUM($A1845:$C1845)</f>
        <v>0.561429023558973</v>
      </c>
      <c r="F1845" s="0" t="n">
        <f aca="false">C1845/SUM($A1845:$C1845)</f>
        <v>0.137330334740887</v>
      </c>
      <c r="G1845" s="0" t="n">
        <f aca="false">SUMPRODUCT(D1845:F1845,Stats!$B$6:$D$6)</f>
        <v>0.385000772668088</v>
      </c>
      <c r="H1845" s="0" t="n">
        <f aca="false">SQRT(SUMPRODUCT(MMULT(D1845:F1845,Stats!$B$12:$D$14),D1845:F1845))</f>
        <v>0.231174752381587</v>
      </c>
      <c r="I1845" s="0" t="n">
        <f aca="false">(G1845-Stats!$B$2)/H1845</f>
        <v>1.4837293827914</v>
      </c>
    </row>
    <row r="1846" customFormat="false" ht="15" hidden="false" customHeight="false" outlineLevel="0" collapsed="false">
      <c r="A1846" s="0" t="n">
        <v>0.691643401973318</v>
      </c>
      <c r="B1846" s="0" t="n">
        <v>0.79501153692847</v>
      </c>
      <c r="C1846" s="0" t="n">
        <v>0.163354449743157</v>
      </c>
      <c r="D1846" s="0" t="n">
        <f aca="false">A1846/SUM($A1846:$C1846)</f>
        <v>0.419175434232725</v>
      </c>
      <c r="E1846" s="0" t="n">
        <f aca="false">B1846/SUM($A1846:$C1846)</f>
        <v>0.481822432284077</v>
      </c>
      <c r="F1846" s="0" t="n">
        <f aca="false">C1846/SUM($A1846:$C1846)</f>
        <v>0.0990021334831978</v>
      </c>
      <c r="G1846" s="0" t="n">
        <f aca="false">SUMPRODUCT(D1846:F1846,Stats!$B$6:$D$6)</f>
        <v>0.381477197846805</v>
      </c>
      <c r="H1846" s="0" t="n">
        <f aca="false">SQRT(SUMPRODUCT(MMULT(D1846:F1846,Stats!$B$12:$D$14),D1846:F1846))</f>
        <v>0.228085926322997</v>
      </c>
      <c r="I1846" s="0" t="n">
        <f aca="false">(G1846-Stats!$B$2)/H1846</f>
        <v>1.48837415494924</v>
      </c>
    </row>
    <row r="1847" customFormat="false" ht="15" hidden="false" customHeight="false" outlineLevel="0" collapsed="false">
      <c r="A1847" s="0" t="n">
        <v>0.104313087351882</v>
      </c>
      <c r="B1847" s="0" t="n">
        <v>0.145515482787359</v>
      </c>
      <c r="C1847" s="0" t="n">
        <v>0.877127561898502</v>
      </c>
      <c r="D1847" s="0" t="n">
        <f aca="false">A1847/SUM($A1847:$C1847)</f>
        <v>0.0925617993339856</v>
      </c>
      <c r="E1847" s="0" t="n">
        <f aca="false">B1847/SUM($A1847:$C1847)</f>
        <v>0.129122579531326</v>
      </c>
      <c r="F1847" s="0" t="n">
        <f aca="false">C1847/SUM($A1847:$C1847)</f>
        <v>0.778315621134688</v>
      </c>
      <c r="G1847" s="0" t="n">
        <f aca="false">SUMPRODUCT(D1847:F1847,Stats!$B$6:$D$6)</f>
        <v>0.342451496665613</v>
      </c>
      <c r="H1847" s="0" t="n">
        <f aca="false">SQRT(SUMPRODUCT(MMULT(D1847:F1847,Stats!$B$12:$D$14),D1847:F1847))</f>
        <v>0.244264574510374</v>
      </c>
      <c r="I1847" s="0" t="n">
        <f aca="false">(G1847-Stats!$B$2)/H1847</f>
        <v>1.23002485017676</v>
      </c>
    </row>
    <row r="1848" customFormat="false" ht="15" hidden="false" customHeight="false" outlineLevel="0" collapsed="false">
      <c r="A1848" s="0" t="n">
        <v>0.528189261756356</v>
      </c>
      <c r="B1848" s="0" t="n">
        <v>0.467260996007503</v>
      </c>
      <c r="C1848" s="0" t="n">
        <v>0.106711819102354</v>
      </c>
      <c r="D1848" s="0" t="n">
        <f aca="false">A1848/SUM($A1848:$C1848)</f>
        <v>0.479230117641283</v>
      </c>
      <c r="E1848" s="0" t="n">
        <f aca="false">B1848/SUM($A1848:$C1848)</f>
        <v>0.423949440663092</v>
      </c>
      <c r="F1848" s="0" t="n">
        <f aca="false">C1848/SUM($A1848:$C1848)</f>
        <v>0.0968204416956252</v>
      </c>
      <c r="G1848" s="0" t="n">
        <f aca="false">SUMPRODUCT(D1848:F1848,Stats!$B$6:$D$6)</f>
        <v>0.3782074201244</v>
      </c>
      <c r="H1848" s="0" t="n">
        <f aca="false">SQRT(SUMPRODUCT(MMULT(D1848:F1848,Stats!$B$12:$D$14),D1848:F1848))</f>
        <v>0.226565772422585</v>
      </c>
      <c r="I1848" s="0" t="n">
        <f aca="false">(G1848-Stats!$B$2)/H1848</f>
        <v>1.48392855871148</v>
      </c>
    </row>
    <row r="1849" customFormat="false" ht="15" hidden="false" customHeight="false" outlineLevel="0" collapsed="false">
      <c r="A1849" s="0" t="n">
        <v>0.649556006756962</v>
      </c>
      <c r="B1849" s="0" t="n">
        <v>0.86799959189509</v>
      </c>
      <c r="C1849" s="0" t="n">
        <v>0.828185869323453</v>
      </c>
      <c r="D1849" s="0" t="n">
        <f aca="false">A1849/SUM($A1849:$C1849)</f>
        <v>0.276908608908876</v>
      </c>
      <c r="E1849" s="0" t="n">
        <f aca="false">B1849/SUM($A1849:$C1849)</f>
        <v>0.370032078873644</v>
      </c>
      <c r="F1849" s="0" t="n">
        <f aca="false">C1849/SUM($A1849:$C1849)</f>
        <v>0.35305931221748</v>
      </c>
      <c r="G1849" s="0" t="n">
        <f aca="false">SUMPRODUCT(D1849:F1849,Stats!$B$6:$D$6)</f>
        <v>0.368039396610922</v>
      </c>
      <c r="H1849" s="0" t="n">
        <f aca="false">SQRT(SUMPRODUCT(MMULT(D1849:F1849,Stats!$B$12:$D$14),D1849:F1849))</f>
        <v>0.22833771481059</v>
      </c>
      <c r="I1849" s="0" t="n">
        <f aca="false">(G1849-Stats!$B$2)/H1849</f>
        <v>1.42788236661376</v>
      </c>
    </row>
    <row r="1850" customFormat="false" ht="15" hidden="false" customHeight="false" outlineLevel="0" collapsed="false">
      <c r="A1850" s="0" t="n">
        <v>0.626054708980801</v>
      </c>
      <c r="B1850" s="0" t="n">
        <v>0.0752787166516736</v>
      </c>
      <c r="C1850" s="0" t="n">
        <v>0.112397027176013</v>
      </c>
      <c r="D1850" s="0" t="n">
        <f aca="false">A1850/SUM($A1850:$C1850)</f>
        <v>0.769363745476223</v>
      </c>
      <c r="E1850" s="0" t="n">
        <f aca="false">B1850/SUM($A1850:$C1850)</f>
        <v>0.0925106297691805</v>
      </c>
      <c r="F1850" s="0" t="n">
        <f aca="false">C1850/SUM($A1850:$C1850)</f>
        <v>0.138125624754596</v>
      </c>
      <c r="G1850" s="0" t="n">
        <f aca="false">SUMPRODUCT(D1850:F1850,Stats!$B$6:$D$6)</f>
        <v>0.357997885382381</v>
      </c>
      <c r="H1850" s="0" t="n">
        <f aca="false">SQRT(SUMPRODUCT(MMULT(D1850:F1850,Stats!$B$12:$D$14),D1850:F1850))</f>
        <v>0.224139298041063</v>
      </c>
      <c r="I1850" s="0" t="n">
        <f aca="false">(G1850-Stats!$B$2)/H1850</f>
        <v>1.40982812092366</v>
      </c>
    </row>
    <row r="1851" customFormat="false" ht="15" hidden="false" customHeight="false" outlineLevel="0" collapsed="false">
      <c r="A1851" s="0" t="n">
        <v>0.0493089871098247</v>
      </c>
      <c r="B1851" s="0" t="n">
        <v>0.257479216492469</v>
      </c>
      <c r="C1851" s="0" t="n">
        <v>0.135661467160378</v>
      </c>
      <c r="D1851" s="0" t="n">
        <f aca="false">A1851/SUM($A1851:$C1851)</f>
        <v>0.111445414853238</v>
      </c>
      <c r="E1851" s="0" t="n">
        <f aca="false">B1851/SUM($A1851:$C1851)</f>
        <v>0.581940124508716</v>
      </c>
      <c r="F1851" s="0" t="n">
        <f aca="false">C1851/SUM($A1851:$C1851)</f>
        <v>0.306614460638046</v>
      </c>
      <c r="G1851" s="0" t="n">
        <f aca="false">SUMPRODUCT(D1851:F1851,Stats!$B$6:$D$6)</f>
        <v>0.381513010208222</v>
      </c>
      <c r="H1851" s="0" t="n">
        <f aca="false">SQRT(SUMPRODUCT(MMULT(D1851:F1851,Stats!$B$12:$D$14),D1851:F1851))</f>
        <v>0.237153558761678</v>
      </c>
      <c r="I1851" s="0" t="n">
        <f aca="false">(G1851-Stats!$B$2)/H1851</f>
        <v>1.4316167633369</v>
      </c>
    </row>
    <row r="1852" customFormat="false" ht="15" hidden="false" customHeight="false" outlineLevel="0" collapsed="false">
      <c r="A1852" s="0" t="n">
        <v>0.260048040252434</v>
      </c>
      <c r="B1852" s="0" t="n">
        <v>0.385058055718962</v>
      </c>
      <c r="C1852" s="0" t="n">
        <v>0.942982784071136</v>
      </c>
      <c r="D1852" s="0" t="n">
        <f aca="false">A1852/SUM($A1852:$C1852)</f>
        <v>0.163749046744455</v>
      </c>
      <c r="E1852" s="0" t="n">
        <f aca="false">B1852/SUM($A1852:$C1852)</f>
        <v>0.242466313162932</v>
      </c>
      <c r="F1852" s="0" t="n">
        <f aca="false">C1852/SUM($A1852:$C1852)</f>
        <v>0.593784640092613</v>
      </c>
      <c r="G1852" s="0" t="n">
        <f aca="false">SUMPRODUCT(D1852:F1852,Stats!$B$6:$D$6)</f>
        <v>0.35406151922874</v>
      </c>
      <c r="H1852" s="0" t="n">
        <f aca="false">SQRT(SUMPRODUCT(MMULT(D1852:F1852,Stats!$B$12:$D$14),D1852:F1852))</f>
        <v>0.235252954286193</v>
      </c>
      <c r="I1852" s="0" t="n">
        <f aca="false">(G1852-Stats!$B$2)/H1852</f>
        <v>1.32649351918066</v>
      </c>
    </row>
    <row r="1853" customFormat="false" ht="15" hidden="false" customHeight="false" outlineLevel="0" collapsed="false">
      <c r="A1853" s="0" t="n">
        <v>0.610376059781692</v>
      </c>
      <c r="B1853" s="0" t="n">
        <v>0.834973785682962</v>
      </c>
      <c r="C1853" s="0" t="n">
        <v>0.710351500712332</v>
      </c>
      <c r="D1853" s="0" t="n">
        <f aca="false">A1853/SUM($A1853:$C1853)</f>
        <v>0.283145000982701</v>
      </c>
      <c r="E1853" s="0" t="n">
        <f aca="false">B1853/SUM($A1853:$C1853)</f>
        <v>0.387332775555269</v>
      </c>
      <c r="F1853" s="0" t="n">
        <f aca="false">C1853/SUM($A1853:$C1853)</f>
        <v>0.32952222346203</v>
      </c>
      <c r="G1853" s="0" t="n">
        <f aca="false">SUMPRODUCT(D1853:F1853,Stats!$B$6:$D$6)</f>
        <v>0.369683882475721</v>
      </c>
      <c r="H1853" s="0" t="n">
        <f aca="false">SQRT(SUMPRODUCT(MMULT(D1853:F1853,Stats!$B$12:$D$14),D1853:F1853))</f>
        <v>0.228236090803461</v>
      </c>
      <c r="I1853" s="0" t="n">
        <f aca="false">(G1853-Stats!$B$2)/H1853</f>
        <v>1.43572333946911</v>
      </c>
    </row>
    <row r="1854" customFormat="false" ht="15" hidden="false" customHeight="false" outlineLevel="0" collapsed="false">
      <c r="A1854" s="0" t="n">
        <v>0.112503130526632</v>
      </c>
      <c r="B1854" s="0" t="n">
        <v>0.735920406373949</v>
      </c>
      <c r="C1854" s="0" t="n">
        <v>0.275098881559124</v>
      </c>
      <c r="D1854" s="0" t="n">
        <f aca="false">A1854/SUM($A1854:$C1854)</f>
        <v>0.100134299661655</v>
      </c>
      <c r="E1854" s="0" t="n">
        <f aca="false">B1854/SUM($A1854:$C1854)</f>
        <v>0.655011768597248</v>
      </c>
      <c r="F1854" s="0" t="n">
        <f aca="false">C1854/SUM($A1854:$C1854)</f>
        <v>0.244853931741097</v>
      </c>
      <c r="G1854" s="0" t="n">
        <f aca="false">SUMPRODUCT(D1854:F1854,Stats!$B$6:$D$6)</f>
        <v>0.387420480864282</v>
      </c>
      <c r="H1854" s="0" t="n">
        <f aca="false">SQRT(SUMPRODUCT(MMULT(D1854:F1854,Stats!$B$12:$D$14),D1854:F1854))</f>
        <v>0.238957467383352</v>
      </c>
      <c r="I1854" s="0" t="n">
        <f aca="false">(G1854-Stats!$B$2)/H1854</f>
        <v>1.44553122631709</v>
      </c>
    </row>
    <row r="1855" customFormat="false" ht="15" hidden="false" customHeight="false" outlineLevel="0" collapsed="false">
      <c r="A1855" s="0" t="n">
        <v>0.639107846994706</v>
      </c>
      <c r="B1855" s="0" t="n">
        <v>0.340961973642989</v>
      </c>
      <c r="C1855" s="0" t="n">
        <v>0.997672263264659</v>
      </c>
      <c r="D1855" s="0" t="n">
        <f aca="false">A1855/SUM($A1855:$C1855)</f>
        <v>0.323150249062638</v>
      </c>
      <c r="E1855" s="0" t="n">
        <f aca="false">B1855/SUM($A1855:$C1855)</f>
        <v>0.172399614903387</v>
      </c>
      <c r="F1855" s="0" t="n">
        <f aca="false">C1855/SUM($A1855:$C1855)</f>
        <v>0.504450136033975</v>
      </c>
      <c r="G1855" s="0" t="n">
        <f aca="false">SUMPRODUCT(D1855:F1855,Stats!$B$6:$D$6)</f>
        <v>0.352493336685999</v>
      </c>
      <c r="H1855" s="0" t="n">
        <f aca="false">SQRT(SUMPRODUCT(MMULT(D1855:F1855,Stats!$B$12:$D$14),D1855:F1855))</f>
        <v>0.227366303435816</v>
      </c>
      <c r="I1855" s="0" t="n">
        <f aca="false">(G1855-Stats!$B$2)/H1855</f>
        <v>1.3656084124781</v>
      </c>
    </row>
    <row r="1856" customFormat="false" ht="15" hidden="false" customHeight="false" outlineLevel="0" collapsed="false">
      <c r="A1856" s="0" t="n">
        <v>0.263551479496778</v>
      </c>
      <c r="B1856" s="0" t="n">
        <v>0.27913047077427</v>
      </c>
      <c r="C1856" s="0" t="n">
        <v>0.930672255562398</v>
      </c>
      <c r="D1856" s="0" t="n">
        <f aca="false">A1856/SUM($A1856:$C1856)</f>
        <v>0.178878560534391</v>
      </c>
      <c r="E1856" s="0" t="n">
        <f aca="false">B1856/SUM($A1856:$C1856)</f>
        <v>0.189452386716724</v>
      </c>
      <c r="F1856" s="0" t="n">
        <f aca="false">C1856/SUM($A1856:$C1856)</f>
        <v>0.631669052748885</v>
      </c>
      <c r="G1856" s="0" t="n">
        <f aca="false">SUMPRODUCT(D1856:F1856,Stats!$B$6:$D$6)</f>
        <v>0.349966518407722</v>
      </c>
      <c r="H1856" s="0" t="n">
        <f aca="false">SQRT(SUMPRODUCT(MMULT(D1856:F1856,Stats!$B$12:$D$14),D1856:F1856))</f>
        <v>0.235437255469514</v>
      </c>
      <c r="I1856" s="0" t="n">
        <f aca="false">(G1856-Stats!$B$2)/H1856</f>
        <v>1.30806196238386</v>
      </c>
    </row>
    <row r="1857" customFormat="false" ht="15" hidden="false" customHeight="false" outlineLevel="0" collapsed="false">
      <c r="A1857" s="0" t="n">
        <v>0.0246444046363227</v>
      </c>
      <c r="B1857" s="0" t="n">
        <v>0.696688987873197</v>
      </c>
      <c r="C1857" s="0" t="n">
        <v>0.725326390735878</v>
      </c>
      <c r="D1857" s="0" t="n">
        <f aca="false">A1857/SUM($A1857:$C1857)</f>
        <v>0.0170353838004925</v>
      </c>
      <c r="E1857" s="0" t="n">
        <f aca="false">B1857/SUM($A1857:$C1857)</f>
        <v>0.481584541121523</v>
      </c>
      <c r="F1857" s="0" t="n">
        <f aca="false">C1857/SUM($A1857:$C1857)</f>
        <v>0.501380075077984</v>
      </c>
      <c r="G1857" s="0" t="n">
        <f aca="false">SUMPRODUCT(D1857:F1857,Stats!$B$6:$D$6)</f>
        <v>0.370368092920425</v>
      </c>
      <c r="H1857" s="0" t="n">
        <f aca="false">SQRT(SUMPRODUCT(MMULT(D1857:F1857,Stats!$B$12:$D$14),D1857:F1857))</f>
        <v>0.242252410041727</v>
      </c>
      <c r="I1857" s="0" t="n">
        <f aca="false">(G1857-Stats!$B$2)/H1857</f>
        <v>1.35547915855147</v>
      </c>
    </row>
    <row r="1858" customFormat="false" ht="15" hidden="false" customHeight="false" outlineLevel="0" collapsed="false">
      <c r="A1858" s="0" t="n">
        <v>0.836378577410399</v>
      </c>
      <c r="B1858" s="0" t="n">
        <v>0.974439310638475</v>
      </c>
      <c r="C1858" s="0" t="n">
        <v>0.975601919156652</v>
      </c>
      <c r="D1858" s="0" t="n">
        <f aca="false">A1858/SUM($A1858:$C1858)</f>
        <v>0.300162443307204</v>
      </c>
      <c r="E1858" s="0" t="n">
        <f aca="false">B1858/SUM($A1858:$C1858)</f>
        <v>0.349710157858708</v>
      </c>
      <c r="F1858" s="0" t="n">
        <f aca="false">C1858/SUM($A1858:$C1858)</f>
        <v>0.350127398834088</v>
      </c>
      <c r="G1858" s="0" t="n">
        <f aca="false">SUMPRODUCT(D1858:F1858,Stats!$B$6:$D$6)</f>
        <v>0.366950945961744</v>
      </c>
      <c r="H1858" s="0" t="n">
        <f aca="false">SQRT(SUMPRODUCT(MMULT(D1858:F1858,Stats!$B$12:$D$14),D1858:F1858))</f>
        <v>0.227431600571223</v>
      </c>
      <c r="I1858" s="0" t="n">
        <f aca="false">(G1858-Stats!$B$2)/H1858</f>
        <v>1.4287853805082</v>
      </c>
    </row>
    <row r="1859" customFormat="false" ht="15" hidden="false" customHeight="false" outlineLevel="0" collapsed="false">
      <c r="A1859" s="0" t="n">
        <v>0.0652767575664639</v>
      </c>
      <c r="B1859" s="0" t="n">
        <v>0.821839322752903</v>
      </c>
      <c r="C1859" s="0" t="n">
        <v>0.646309933657381</v>
      </c>
      <c r="D1859" s="0" t="n">
        <f aca="false">A1859/SUM($A1859:$C1859)</f>
        <v>0.0425692253630006</v>
      </c>
      <c r="E1859" s="0" t="n">
        <f aca="false">B1859/SUM($A1859:$C1859)</f>
        <v>0.535949772119468</v>
      </c>
      <c r="F1859" s="0" t="n">
        <f aca="false">C1859/SUM($A1859:$C1859)</f>
        <v>0.421481002517531</v>
      </c>
      <c r="G1859" s="0" t="n">
        <f aca="false">SUMPRODUCT(D1859:F1859,Stats!$B$6:$D$6)</f>
        <v>0.375699384143561</v>
      </c>
      <c r="H1859" s="0" t="n">
        <f aca="false">SQRT(SUMPRODUCT(MMULT(D1859:F1859,Stats!$B$12:$D$14),D1859:F1859))</f>
        <v>0.240460766114411</v>
      </c>
      <c r="I1859" s="0" t="n">
        <f aca="false">(G1859-Stats!$B$2)/H1859</f>
        <v>1.38774981688608</v>
      </c>
    </row>
    <row r="1860" customFormat="false" ht="15" hidden="false" customHeight="false" outlineLevel="0" collapsed="false">
      <c r="A1860" s="0" t="n">
        <v>0.647342134373091</v>
      </c>
      <c r="B1860" s="0" t="n">
        <v>0.128349926614695</v>
      </c>
      <c r="C1860" s="0" t="n">
        <v>0.650187166445653</v>
      </c>
      <c r="D1860" s="0" t="n">
        <f aca="false">A1860/SUM($A1860:$C1860)</f>
        <v>0.45399506628503</v>
      </c>
      <c r="E1860" s="0" t="n">
        <f aca="false">B1860/SUM($A1860:$C1860)</f>
        <v>0.0900145847876069</v>
      </c>
      <c r="F1860" s="0" t="n">
        <f aca="false">C1860/SUM($A1860:$C1860)</f>
        <v>0.455990348927363</v>
      </c>
      <c r="G1860" s="0" t="n">
        <f aca="false">SUMPRODUCT(D1860:F1860,Stats!$B$6:$D$6)</f>
        <v>0.349089268672846</v>
      </c>
      <c r="H1860" s="0" t="n">
        <f aca="false">SQRT(SUMPRODUCT(MMULT(D1860:F1860,Stats!$B$12:$D$14),D1860:F1860))</f>
        <v>0.223513564902501</v>
      </c>
      <c r="I1860" s="0" t="n">
        <f aca="false">(G1860-Stats!$B$2)/H1860</f>
        <v>1.3739178148172</v>
      </c>
    </row>
    <row r="1861" customFormat="false" ht="15" hidden="false" customHeight="false" outlineLevel="0" collapsed="false">
      <c r="A1861" s="0" t="n">
        <v>0.982482580601248</v>
      </c>
      <c r="B1861" s="0" t="n">
        <v>0.911818569539447</v>
      </c>
      <c r="C1861" s="0" t="n">
        <v>0.439130660804851</v>
      </c>
      <c r="D1861" s="0" t="n">
        <f aca="false">A1861/SUM($A1861:$C1861)</f>
        <v>0.421046192990371</v>
      </c>
      <c r="E1861" s="0" t="n">
        <f aca="false">B1861/SUM($A1861:$C1861)</f>
        <v>0.390762894918263</v>
      </c>
      <c r="F1861" s="0" t="n">
        <f aca="false">C1861/SUM($A1861:$C1861)</f>
        <v>0.188190912091366</v>
      </c>
      <c r="G1861" s="0" t="n">
        <f aca="false">SUMPRODUCT(D1861:F1861,Stats!$B$6:$D$6)</f>
        <v>0.373778403656516</v>
      </c>
      <c r="H1861" s="0" t="n">
        <f aca="false">SQRT(SUMPRODUCT(MMULT(D1861:F1861,Stats!$B$12:$D$14),D1861:F1861))</f>
        <v>0.225598289099976</v>
      </c>
      <c r="I1861" s="0" t="n">
        <f aca="false">(G1861-Stats!$B$2)/H1861</f>
        <v>1.47066010553602</v>
      </c>
    </row>
    <row r="1862" customFormat="false" ht="15" hidden="false" customHeight="false" outlineLevel="0" collapsed="false">
      <c r="A1862" s="0" t="n">
        <v>0.0399479732860943</v>
      </c>
      <c r="B1862" s="0" t="n">
        <v>0.362293490000205</v>
      </c>
      <c r="C1862" s="0" t="n">
        <v>0.826390311600555</v>
      </c>
      <c r="D1862" s="0" t="n">
        <f aca="false">A1862/SUM($A1862:$C1862)</f>
        <v>0.0325141951418058</v>
      </c>
      <c r="E1862" s="0" t="n">
        <f aca="false">B1862/SUM($A1862:$C1862)</f>
        <v>0.294875565979537</v>
      </c>
      <c r="F1862" s="0" t="n">
        <f aca="false">C1862/SUM($A1862:$C1862)</f>
        <v>0.672610238878657</v>
      </c>
      <c r="G1862" s="0" t="n">
        <f aca="false">SUMPRODUCT(D1862:F1862,Stats!$B$6:$D$6)</f>
        <v>0.354903494235233</v>
      </c>
      <c r="H1862" s="0" t="n">
        <f aca="false">SQRT(SUMPRODUCT(MMULT(D1862:F1862,Stats!$B$12:$D$14),D1862:F1862))</f>
        <v>0.244048533408297</v>
      </c>
      <c r="I1862" s="0" t="n">
        <f aca="false">(G1862-Stats!$B$2)/H1862</f>
        <v>1.28213634339585</v>
      </c>
    </row>
    <row r="1863" customFormat="false" ht="15" hidden="false" customHeight="false" outlineLevel="0" collapsed="false">
      <c r="A1863" s="0" t="n">
        <v>0.701499101465166</v>
      </c>
      <c r="B1863" s="0" t="n">
        <v>0.459343655593956</v>
      </c>
      <c r="C1863" s="0" t="n">
        <v>0.0551015351588311</v>
      </c>
      <c r="D1863" s="0" t="n">
        <f aca="false">A1863/SUM($A1863:$C1863)</f>
        <v>0.576917138354744</v>
      </c>
      <c r="E1863" s="0" t="n">
        <f aca="false">B1863/SUM($A1863:$C1863)</f>
        <v>0.377767023155384</v>
      </c>
      <c r="F1863" s="0" t="n">
        <f aca="false">C1863/SUM($A1863:$C1863)</f>
        <v>0.0453158384898725</v>
      </c>
      <c r="G1863" s="0" t="n">
        <f aca="false">SUMPRODUCT(D1863:F1863,Stats!$B$6:$D$6)</f>
        <v>0.376970363217427</v>
      </c>
      <c r="H1863" s="0" t="n">
        <f aca="false">SQRT(SUMPRODUCT(MMULT(D1863:F1863,Stats!$B$12:$D$14),D1863:F1863))</f>
        <v>0.226572022701451</v>
      </c>
      <c r="I1863" s="0" t="n">
        <f aca="false">(G1863-Stats!$B$2)/H1863</f>
        <v>1.47842773888641</v>
      </c>
    </row>
    <row r="1864" customFormat="false" ht="15" hidden="false" customHeight="false" outlineLevel="0" collapsed="false">
      <c r="A1864" s="0" t="n">
        <v>0.426894727823303</v>
      </c>
      <c r="B1864" s="0" t="n">
        <v>0.469024939717884</v>
      </c>
      <c r="C1864" s="0" t="n">
        <v>0.928555532894136</v>
      </c>
      <c r="D1864" s="0" t="n">
        <f aca="false">A1864/SUM($A1864:$C1864)</f>
        <v>0.233982203606519</v>
      </c>
      <c r="E1864" s="0" t="n">
        <f aca="false">B1864/SUM($A1864:$C1864)</f>
        <v>0.257073891498209</v>
      </c>
      <c r="F1864" s="0" t="n">
        <f aca="false">C1864/SUM($A1864:$C1864)</f>
        <v>0.508943904895271</v>
      </c>
      <c r="G1864" s="0" t="n">
        <f aca="false">SUMPRODUCT(D1864:F1864,Stats!$B$6:$D$6)</f>
        <v>0.357241471021537</v>
      </c>
      <c r="H1864" s="0" t="n">
        <f aca="false">SQRT(SUMPRODUCT(MMULT(D1864:F1864,Stats!$B$12:$D$14),D1864:F1864))</f>
        <v>0.23070561582849</v>
      </c>
      <c r="I1864" s="0" t="n">
        <f aca="false">(G1864-Stats!$B$2)/H1864</f>
        <v>1.36642304908561</v>
      </c>
    </row>
    <row r="1865" customFormat="false" ht="15" hidden="false" customHeight="false" outlineLevel="0" collapsed="false">
      <c r="A1865" s="0" t="n">
        <v>0.64108610358216</v>
      </c>
      <c r="B1865" s="0" t="n">
        <v>0.311652916654649</v>
      </c>
      <c r="C1865" s="0" t="n">
        <v>0.525318264450721</v>
      </c>
      <c r="D1865" s="0" t="n">
        <f aca="false">A1865/SUM($A1865:$C1865)</f>
        <v>0.433735627315479</v>
      </c>
      <c r="E1865" s="0" t="n">
        <f aca="false">B1865/SUM($A1865:$C1865)</f>
        <v>0.210853070366981</v>
      </c>
      <c r="F1865" s="0" t="n">
        <f aca="false">C1865/SUM($A1865:$C1865)</f>
        <v>0.35541130231754</v>
      </c>
      <c r="G1865" s="0" t="n">
        <f aca="false">SUMPRODUCT(D1865:F1865,Stats!$B$6:$D$6)</f>
        <v>0.358815587260422</v>
      </c>
      <c r="H1865" s="0" t="n">
        <f aca="false">SQRT(SUMPRODUCT(MMULT(D1865:F1865,Stats!$B$12:$D$14),D1865:F1865))</f>
        <v>0.223357081815796</v>
      </c>
      <c r="I1865" s="0" t="n">
        <f aca="false">(G1865-Stats!$B$2)/H1865</f>
        <v>1.41842642590443</v>
      </c>
    </row>
    <row r="1866" customFormat="false" ht="15" hidden="false" customHeight="false" outlineLevel="0" collapsed="false">
      <c r="A1866" s="0" t="n">
        <v>0.0660553078221601</v>
      </c>
      <c r="B1866" s="0" t="n">
        <v>0.972568235649737</v>
      </c>
      <c r="C1866" s="0" t="n">
        <v>0.360059901930726</v>
      </c>
      <c r="D1866" s="0" t="n">
        <f aca="false">A1866/SUM($A1866:$C1866)</f>
        <v>0.0472267746067056</v>
      </c>
      <c r="E1866" s="0" t="n">
        <f aca="false">B1866/SUM($A1866:$C1866)</f>
        <v>0.695345497114806</v>
      </c>
      <c r="F1866" s="0" t="n">
        <f aca="false">C1866/SUM($A1866:$C1866)</f>
        <v>0.257427728278488</v>
      </c>
      <c r="G1866" s="0" t="n">
        <f aca="false">SUMPRODUCT(D1866:F1866,Stats!$B$6:$D$6)</f>
        <v>0.389394513796877</v>
      </c>
      <c r="H1866" s="0" t="n">
        <f aca="false">SQRT(SUMPRODUCT(MMULT(D1866:F1866,Stats!$B$12:$D$14),D1866:F1866))</f>
        <v>0.242105289983979</v>
      </c>
      <c r="I1866" s="0" t="n">
        <f aca="false">(G1866-Stats!$B$2)/H1866</f>
        <v>1.43489022408335</v>
      </c>
    </row>
    <row r="1867" customFormat="false" ht="15" hidden="false" customHeight="false" outlineLevel="0" collapsed="false">
      <c r="A1867" s="0" t="n">
        <v>0.477867354913136</v>
      </c>
      <c r="B1867" s="0" t="n">
        <v>0.355283974236923</v>
      </c>
      <c r="C1867" s="0" t="n">
        <v>0.6825117301162</v>
      </c>
      <c r="D1867" s="0" t="n">
        <f aca="false">A1867/SUM($A1867:$C1867)</f>
        <v>0.315286007659561</v>
      </c>
      <c r="E1867" s="0" t="n">
        <f aca="false">B1867/SUM($A1867:$C1867)</f>
        <v>0.234408282279386</v>
      </c>
      <c r="F1867" s="0" t="n">
        <f aca="false">C1867/SUM($A1867:$C1867)</f>
        <v>0.450305710061053</v>
      </c>
      <c r="G1867" s="0" t="n">
        <f aca="false">SUMPRODUCT(D1867:F1867,Stats!$B$6:$D$6)</f>
        <v>0.357554246871728</v>
      </c>
      <c r="H1867" s="0" t="n">
        <f aca="false">SQRT(SUMPRODUCT(MMULT(D1867:F1867,Stats!$B$12:$D$14),D1867:F1867))</f>
        <v>0.22702275908678</v>
      </c>
      <c r="I1867" s="0" t="n">
        <f aca="false">(G1867-Stats!$B$2)/H1867</f>
        <v>1.38996745586687</v>
      </c>
    </row>
    <row r="1868" customFormat="false" ht="15" hidden="false" customHeight="false" outlineLevel="0" collapsed="false">
      <c r="A1868" s="0" t="n">
        <v>0.662232158329593</v>
      </c>
      <c r="B1868" s="0" t="n">
        <v>0.715322310529136</v>
      </c>
      <c r="C1868" s="0" t="n">
        <v>0.268143229611921</v>
      </c>
      <c r="D1868" s="0" t="n">
        <f aca="false">A1868/SUM($A1868:$C1868)</f>
        <v>0.402402068706183</v>
      </c>
      <c r="E1868" s="0" t="n">
        <f aca="false">B1868/SUM($A1868:$C1868)</f>
        <v>0.434662034949606</v>
      </c>
      <c r="F1868" s="0" t="n">
        <f aca="false">C1868/SUM($A1868:$C1868)</f>
        <v>0.162935896344211</v>
      </c>
      <c r="G1868" s="0" t="n">
        <f aca="false">SUMPRODUCT(D1868:F1868,Stats!$B$6:$D$6)</f>
        <v>0.377000700702013</v>
      </c>
      <c r="H1868" s="0" t="n">
        <f aca="false">SQRT(SUMPRODUCT(MMULT(D1868:F1868,Stats!$B$12:$D$14),D1868:F1868))</f>
        <v>0.226740756550019</v>
      </c>
      <c r="I1868" s="0" t="n">
        <f aca="false">(G1868-Stats!$B$2)/H1868</f>
        <v>1.47746133425339</v>
      </c>
    </row>
    <row r="1869" customFormat="false" ht="15" hidden="false" customHeight="false" outlineLevel="0" collapsed="false">
      <c r="A1869" s="0" t="n">
        <v>0.315668481164066</v>
      </c>
      <c r="B1869" s="0" t="n">
        <v>0.125251231096208</v>
      </c>
      <c r="C1869" s="0" t="n">
        <v>0.655509971846113</v>
      </c>
      <c r="D1869" s="0" t="n">
        <f aca="false">A1869/SUM($A1869:$C1869)</f>
        <v>0.287905814426524</v>
      </c>
      <c r="E1869" s="0" t="n">
        <f aca="false">B1869/SUM($A1869:$C1869)</f>
        <v>0.114235534582676</v>
      </c>
      <c r="F1869" s="0" t="n">
        <f aca="false">C1869/SUM($A1869:$C1869)</f>
        <v>0.597858650990799</v>
      </c>
      <c r="G1869" s="0" t="n">
        <f aca="false">SUMPRODUCT(D1869:F1869,Stats!$B$6:$D$6)</f>
        <v>0.346570946911511</v>
      </c>
      <c r="H1869" s="0" t="n">
        <f aca="false">SQRT(SUMPRODUCT(MMULT(D1869:F1869,Stats!$B$12:$D$14),D1869:F1869))</f>
        <v>0.230346293082996</v>
      </c>
      <c r="I1869" s="0" t="n">
        <f aca="false">(G1869-Stats!$B$2)/H1869</f>
        <v>1.3222307285048</v>
      </c>
    </row>
    <row r="1870" customFormat="false" ht="15" hidden="false" customHeight="false" outlineLevel="0" collapsed="false">
      <c r="A1870" s="0" t="n">
        <v>0.0397971273356526</v>
      </c>
      <c r="B1870" s="0" t="n">
        <v>0.597682335523459</v>
      </c>
      <c r="C1870" s="0" t="n">
        <v>0.869695884851634</v>
      </c>
      <c r="D1870" s="0" t="n">
        <f aca="false">A1870/SUM($A1870:$C1870)</f>
        <v>0.0264051076711814</v>
      </c>
      <c r="E1870" s="0" t="n">
        <f aca="false">B1870/SUM($A1870:$C1870)</f>
        <v>0.396557929660461</v>
      </c>
      <c r="F1870" s="0" t="n">
        <f aca="false">C1870/SUM($A1870:$C1870)</f>
        <v>0.577036962668357</v>
      </c>
      <c r="G1870" s="0" t="n">
        <f aca="false">SUMPRODUCT(D1870:F1870,Stats!$B$6:$D$6)</f>
        <v>0.36338956216861</v>
      </c>
      <c r="H1870" s="0" t="n">
        <f aca="false">SQRT(SUMPRODUCT(MMULT(D1870:F1870,Stats!$B$12:$D$14),D1870:F1870))</f>
        <v>0.242457929057521</v>
      </c>
      <c r="I1870" s="0" t="n">
        <f aca="false">(G1870-Stats!$B$2)/H1870</f>
        <v>1.3255477493267</v>
      </c>
    </row>
    <row r="1871" customFormat="false" ht="15" hidden="false" customHeight="false" outlineLevel="0" collapsed="false">
      <c r="A1871" s="0" t="n">
        <v>0.890832148289634</v>
      </c>
      <c r="B1871" s="0" t="n">
        <v>0.449037760369962</v>
      </c>
      <c r="C1871" s="0" t="n">
        <v>0.459303688213074</v>
      </c>
      <c r="D1871" s="0" t="n">
        <f aca="false">A1871/SUM($A1871:$C1871)</f>
        <v>0.495134071463744</v>
      </c>
      <c r="E1871" s="0" t="n">
        <f aca="false">B1871/SUM($A1871:$C1871)</f>
        <v>0.249580007816078</v>
      </c>
      <c r="F1871" s="0" t="n">
        <f aca="false">C1871/SUM($A1871:$C1871)</f>
        <v>0.255285920720178</v>
      </c>
      <c r="G1871" s="0" t="n">
        <f aca="false">SUMPRODUCT(D1871:F1871,Stats!$B$6:$D$6)</f>
        <v>0.363804804005249</v>
      </c>
      <c r="H1871" s="0" t="n">
        <f aca="false">SQRT(SUMPRODUCT(MMULT(D1871:F1871,Stats!$B$12:$D$14),D1871:F1871))</f>
        <v>0.22278532079782</v>
      </c>
      <c r="I1871" s="0" t="n">
        <f aca="false">(G1871-Stats!$B$2)/H1871</f>
        <v>1.44446143423108</v>
      </c>
    </row>
    <row r="1872" customFormat="false" ht="15" hidden="false" customHeight="false" outlineLevel="0" collapsed="false">
      <c r="A1872" s="0" t="n">
        <v>0.0769691830080174</v>
      </c>
      <c r="B1872" s="0" t="n">
        <v>0.670765025443036</v>
      </c>
      <c r="C1872" s="0" t="n">
        <v>0.821259420372846</v>
      </c>
      <c r="D1872" s="0" t="n">
        <f aca="false">A1872/SUM($A1872:$C1872)</f>
        <v>0.0490564025207117</v>
      </c>
      <c r="E1872" s="0" t="n">
        <f aca="false">B1872/SUM($A1872:$C1872)</f>
        <v>0.427512905801813</v>
      </c>
      <c r="F1872" s="0" t="n">
        <f aca="false">C1872/SUM($A1872:$C1872)</f>
        <v>0.523430691677476</v>
      </c>
      <c r="G1872" s="0" t="n">
        <f aca="false">SUMPRODUCT(D1872:F1872,Stats!$B$6:$D$6)</f>
        <v>0.366648843736059</v>
      </c>
      <c r="H1872" s="0" t="n">
        <f aca="false">SQRT(SUMPRODUCT(MMULT(D1872:F1872,Stats!$B$12:$D$14),D1872:F1872))</f>
        <v>0.240409775611686</v>
      </c>
      <c r="I1872" s="0" t="n">
        <f aca="false">(G1872-Stats!$B$2)/H1872</f>
        <v>1.35039784846535</v>
      </c>
    </row>
    <row r="1873" customFormat="false" ht="15" hidden="false" customHeight="false" outlineLevel="0" collapsed="false">
      <c r="A1873" s="0" t="n">
        <v>0.244655054604713</v>
      </c>
      <c r="B1873" s="0" t="n">
        <v>0.421300881633365</v>
      </c>
      <c r="C1873" s="0" t="n">
        <v>0.83883933676527</v>
      </c>
      <c r="D1873" s="0" t="n">
        <f aca="false">A1873/SUM($A1873:$C1873)</f>
        <v>0.162583614524797</v>
      </c>
      <c r="E1873" s="0" t="n">
        <f aca="false">B1873/SUM($A1873:$C1873)</f>
        <v>0.279972225585551</v>
      </c>
      <c r="F1873" s="0" t="n">
        <f aca="false">C1873/SUM($A1873:$C1873)</f>
        <v>0.557444159889652</v>
      </c>
      <c r="G1873" s="0" t="n">
        <f aca="false">SUMPRODUCT(D1873:F1873,Stats!$B$6:$D$6)</f>
        <v>0.357221635650898</v>
      </c>
      <c r="H1873" s="0" t="n">
        <f aca="false">SQRT(SUMPRODUCT(MMULT(D1873:F1873,Stats!$B$12:$D$14),D1873:F1873))</f>
        <v>0.23463212956915</v>
      </c>
      <c r="I1873" s="0" t="n">
        <f aca="false">(G1873-Stats!$B$2)/H1873</f>
        <v>1.34347174118793</v>
      </c>
    </row>
    <row r="1874" customFormat="false" ht="15" hidden="false" customHeight="false" outlineLevel="0" collapsed="false">
      <c r="A1874" s="0" t="n">
        <v>0.877120467662288</v>
      </c>
      <c r="B1874" s="0" t="n">
        <v>0.243179980264226</v>
      </c>
      <c r="C1874" s="0" t="n">
        <v>0.550570634541364</v>
      </c>
      <c r="D1874" s="0" t="n">
        <f aca="false">A1874/SUM($A1874:$C1874)</f>
        <v>0.524948020745431</v>
      </c>
      <c r="E1874" s="0" t="n">
        <f aca="false">B1874/SUM($A1874:$C1874)</f>
        <v>0.145540839635006</v>
      </c>
      <c r="F1874" s="0" t="n">
        <f aca="false">C1874/SUM($A1874:$C1874)</f>
        <v>0.329511139619564</v>
      </c>
      <c r="G1874" s="0" t="n">
        <f aca="false">SUMPRODUCT(D1874:F1874,Stats!$B$6:$D$6)</f>
        <v>0.355771793060741</v>
      </c>
      <c r="H1874" s="0" t="n">
        <f aca="false">SQRT(SUMPRODUCT(MMULT(D1874:F1874,Stats!$B$12:$D$14),D1874:F1874))</f>
        <v>0.22183788765376</v>
      </c>
      <c r="I1874" s="0" t="n">
        <f aca="false">(G1874-Stats!$B$2)/H1874</f>
        <v>1.41441931483981</v>
      </c>
    </row>
    <row r="1875" customFormat="false" ht="15" hidden="false" customHeight="false" outlineLevel="0" collapsed="false">
      <c r="A1875" s="0" t="n">
        <v>0.192493150635827</v>
      </c>
      <c r="B1875" s="0" t="n">
        <v>0.101878764139557</v>
      </c>
      <c r="C1875" s="0" t="n">
        <v>0.911120501391958</v>
      </c>
      <c r="D1875" s="0" t="n">
        <f aca="false">A1875/SUM($A1875:$C1875)</f>
        <v>0.15968010089008</v>
      </c>
      <c r="E1875" s="0" t="n">
        <f aca="false">B1875/SUM($A1875:$C1875)</f>
        <v>0.0845121568358454</v>
      </c>
      <c r="F1875" s="0" t="n">
        <f aca="false">C1875/SUM($A1875:$C1875)</f>
        <v>0.755807742274075</v>
      </c>
      <c r="G1875" s="0" t="n">
        <f aca="false">SUMPRODUCT(D1875:F1875,Stats!$B$6:$D$6)</f>
        <v>0.340505316784451</v>
      </c>
      <c r="H1875" s="0" t="n">
        <f aca="false">SQRT(SUMPRODUCT(MMULT(D1875:F1875,Stats!$B$12:$D$14),D1875:F1875))</f>
        <v>0.240291122149551</v>
      </c>
      <c r="I1875" s="0" t="n">
        <f aca="false">(G1875-Stats!$B$2)/H1875</f>
        <v>1.24226527436444</v>
      </c>
    </row>
    <row r="1876" customFormat="false" ht="15" hidden="false" customHeight="false" outlineLevel="0" collapsed="false">
      <c r="A1876" s="0" t="n">
        <v>0.820507504232109</v>
      </c>
      <c r="B1876" s="0" t="n">
        <v>0.760034901803174</v>
      </c>
      <c r="C1876" s="0" t="n">
        <v>0.0487663188131404</v>
      </c>
      <c r="D1876" s="0" t="n">
        <f aca="false">A1876/SUM($A1876:$C1876)</f>
        <v>0.503592408067687</v>
      </c>
      <c r="E1876" s="0" t="n">
        <f aca="false">B1876/SUM($A1876:$C1876)</f>
        <v>0.46647691147292</v>
      </c>
      <c r="F1876" s="0" t="n">
        <f aca="false">C1876/SUM($A1876:$C1876)</f>
        <v>0.0299306804593937</v>
      </c>
      <c r="G1876" s="0" t="n">
        <f aca="false">SUMPRODUCT(D1876:F1876,Stats!$B$6:$D$6)</f>
        <v>0.382498855191504</v>
      </c>
      <c r="H1876" s="0" t="n">
        <f aca="false">SQRT(SUMPRODUCT(MMULT(D1876:F1876,Stats!$B$12:$D$14),D1876:F1876))</f>
        <v>0.228382590798993</v>
      </c>
      <c r="I1876" s="0" t="n">
        <f aca="false">(G1876-Stats!$B$2)/H1876</f>
        <v>1.49091423299943</v>
      </c>
    </row>
    <row r="1877" customFormat="false" ht="15" hidden="false" customHeight="false" outlineLevel="0" collapsed="false">
      <c r="A1877" s="0" t="n">
        <v>0.843728792710258</v>
      </c>
      <c r="B1877" s="0" t="n">
        <v>0.438044075905384</v>
      </c>
      <c r="C1877" s="0" t="n">
        <v>0.34239512329586</v>
      </c>
      <c r="D1877" s="0" t="n">
        <f aca="false">A1877/SUM($A1877:$C1877)</f>
        <v>0.519483696829454</v>
      </c>
      <c r="E1877" s="0" t="n">
        <f aca="false">B1877/SUM($A1877:$C1877)</f>
        <v>0.2697036747965</v>
      </c>
      <c r="F1877" s="0" t="n">
        <f aca="false">C1877/SUM($A1877:$C1877)</f>
        <v>0.210812628374046</v>
      </c>
      <c r="G1877" s="0" t="n">
        <f aca="false">SUMPRODUCT(D1877:F1877,Stats!$B$6:$D$6)</f>
        <v>0.366189027688867</v>
      </c>
      <c r="H1877" s="0" t="n">
        <f aca="false">SQRT(SUMPRODUCT(MMULT(D1877:F1877,Stats!$B$12:$D$14),D1877:F1877))</f>
        <v>0.223026712588561</v>
      </c>
      <c r="I1877" s="0" t="n">
        <f aca="false">(G1877-Stats!$B$2)/H1877</f>
        <v>1.45358833444732</v>
      </c>
    </row>
    <row r="1878" customFormat="false" ht="15" hidden="false" customHeight="false" outlineLevel="0" collapsed="false">
      <c r="A1878" s="0" t="n">
        <v>0.546476361025376</v>
      </c>
      <c r="B1878" s="0" t="n">
        <v>0.0913532427235558</v>
      </c>
      <c r="C1878" s="0" t="n">
        <v>0.756646549352399</v>
      </c>
      <c r="D1878" s="0" t="n">
        <f aca="false">A1878/SUM($A1878:$C1878)</f>
        <v>0.391886487129957</v>
      </c>
      <c r="E1878" s="0" t="n">
        <f aca="false">B1878/SUM($A1878:$C1878)</f>
        <v>0.0655107959504257</v>
      </c>
      <c r="F1878" s="0" t="n">
        <f aca="false">C1878/SUM($A1878:$C1878)</f>
        <v>0.542602716919618</v>
      </c>
      <c r="G1878" s="0" t="n">
        <f aca="false">SUMPRODUCT(D1878:F1878,Stats!$B$6:$D$6)</f>
        <v>0.345291049643269</v>
      </c>
      <c r="H1878" s="0" t="n">
        <f aca="false">SQRT(SUMPRODUCT(MMULT(D1878:F1878,Stats!$B$12:$D$14),D1878:F1878))</f>
        <v>0.226182348230132</v>
      </c>
      <c r="I1878" s="0" t="n">
        <f aca="false">(G1878-Stats!$B$2)/H1878</f>
        <v>1.34091387774736</v>
      </c>
    </row>
    <row r="1879" customFormat="false" ht="15" hidden="false" customHeight="false" outlineLevel="0" collapsed="false">
      <c r="A1879" s="0" t="n">
        <v>0.582435076888296</v>
      </c>
      <c r="B1879" s="0" t="n">
        <v>0.186590096873168</v>
      </c>
      <c r="C1879" s="0" t="n">
        <v>0.188232199769046</v>
      </c>
      <c r="D1879" s="0" t="n">
        <f aca="false">A1879/SUM($A1879:$C1879)</f>
        <v>0.608441463072975</v>
      </c>
      <c r="E1879" s="0" t="n">
        <f aca="false">B1879/SUM($A1879:$C1879)</f>
        <v>0.194921556138027</v>
      </c>
      <c r="F1879" s="0" t="n">
        <f aca="false">C1879/SUM($A1879:$C1879)</f>
        <v>0.196636980788998</v>
      </c>
      <c r="G1879" s="0" t="n">
        <f aca="false">SUMPRODUCT(D1879:F1879,Stats!$B$6:$D$6)</f>
        <v>0.362277049399778</v>
      </c>
      <c r="H1879" s="0" t="n">
        <f aca="false">SQRT(SUMPRODUCT(MMULT(D1879:F1879,Stats!$B$12:$D$14),D1879:F1879))</f>
        <v>0.22236561901228</v>
      </c>
      <c r="I1879" s="0" t="n">
        <f aca="false">(G1879-Stats!$B$2)/H1879</f>
        <v>1.44031730634623</v>
      </c>
    </row>
    <row r="1880" customFormat="false" ht="15" hidden="false" customHeight="false" outlineLevel="0" collapsed="false">
      <c r="A1880" s="0" t="n">
        <v>0.184248651572674</v>
      </c>
      <c r="B1880" s="0" t="n">
        <v>0.057002387551934</v>
      </c>
      <c r="C1880" s="0" t="n">
        <v>0.587798449371685</v>
      </c>
      <c r="D1880" s="0" t="n">
        <f aca="false">A1880/SUM($A1880:$C1880)</f>
        <v>0.222240836197679</v>
      </c>
      <c r="E1880" s="0" t="n">
        <f aca="false">B1880/SUM($A1880:$C1880)</f>
        <v>0.0687563147229285</v>
      </c>
      <c r="F1880" s="0" t="n">
        <f aca="false">C1880/SUM($A1880:$C1880)</f>
        <v>0.709002849079393</v>
      </c>
      <c r="G1880" s="0" t="n">
        <f aca="false">SUMPRODUCT(D1880:F1880,Stats!$B$6:$D$6)</f>
        <v>0.340889372949396</v>
      </c>
      <c r="H1880" s="0" t="n">
        <f aca="false">SQRT(SUMPRODUCT(MMULT(D1880:F1880,Stats!$B$12:$D$14),D1880:F1880))</f>
        <v>0.236031098560209</v>
      </c>
      <c r="I1880" s="0" t="n">
        <f aca="false">(G1880-Stats!$B$2)/H1880</f>
        <v>1.26631352721155</v>
      </c>
    </row>
    <row r="1881" customFormat="false" ht="15" hidden="false" customHeight="false" outlineLevel="0" collapsed="false">
      <c r="A1881" s="0" t="n">
        <v>0.840348177588508</v>
      </c>
      <c r="B1881" s="0" t="n">
        <v>0.0174982139873886</v>
      </c>
      <c r="C1881" s="0" t="n">
        <v>0.0490046449712736</v>
      </c>
      <c r="D1881" s="0" t="n">
        <f aca="false">A1881/SUM($A1881:$C1881)</f>
        <v>0.926666170872042</v>
      </c>
      <c r="E1881" s="0" t="n">
        <f aca="false">B1881/SUM($A1881:$C1881)</f>
        <v>0.0192955769825361</v>
      </c>
      <c r="F1881" s="0" t="n">
        <f aca="false">C1881/SUM($A1881:$C1881)</f>
        <v>0.0540382521454223</v>
      </c>
      <c r="G1881" s="0" t="n">
        <f aca="false">SUMPRODUCT(D1881:F1881,Stats!$B$6:$D$6)</f>
        <v>0.35610386296342</v>
      </c>
      <c r="H1881" s="0" t="n">
        <f aca="false">SQRT(SUMPRODUCT(MMULT(D1881:F1881,Stats!$B$12:$D$14),D1881:F1881))</f>
        <v>0.229493199747443</v>
      </c>
      <c r="I1881" s="0" t="n">
        <f aca="false">(G1881-Stats!$B$2)/H1881</f>
        <v>1.36868483819604</v>
      </c>
    </row>
    <row r="1882" customFormat="false" ht="15" hidden="false" customHeight="false" outlineLevel="0" collapsed="false">
      <c r="A1882" s="0" t="n">
        <v>0.572770276686946</v>
      </c>
      <c r="B1882" s="0" t="n">
        <v>0.819495685386052</v>
      </c>
      <c r="C1882" s="0" t="n">
        <v>0.326738890568634</v>
      </c>
      <c r="D1882" s="0" t="n">
        <f aca="false">A1882/SUM($A1882:$C1882)</f>
        <v>0.333198754969631</v>
      </c>
      <c r="E1882" s="0" t="n">
        <f aca="false">B1882/SUM($A1882:$C1882)</f>
        <v>0.476726801629859</v>
      </c>
      <c r="F1882" s="0" t="n">
        <f aca="false">C1882/SUM($A1882:$C1882)</f>
        <v>0.19007444340051</v>
      </c>
      <c r="G1882" s="0" t="n">
        <f aca="false">SUMPRODUCT(D1882:F1882,Stats!$B$6:$D$6)</f>
        <v>0.378672717936389</v>
      </c>
      <c r="H1882" s="0" t="n">
        <f aca="false">SQRT(SUMPRODUCT(MMULT(D1882:F1882,Stats!$B$12:$D$14),D1882:F1882))</f>
        <v>0.228455865430496</v>
      </c>
      <c r="I1882" s="0" t="n">
        <f aca="false">(G1882-Stats!$B$2)/H1882</f>
        <v>1.47368822114491</v>
      </c>
    </row>
    <row r="1883" customFormat="false" ht="15" hidden="false" customHeight="false" outlineLevel="0" collapsed="false">
      <c r="A1883" s="0" t="n">
        <v>0.349614398807722</v>
      </c>
      <c r="B1883" s="0" t="n">
        <v>0.596346497496776</v>
      </c>
      <c r="C1883" s="0" t="n">
        <v>0.274212889124147</v>
      </c>
      <c r="D1883" s="0" t="n">
        <f aca="false">A1883/SUM($A1883:$C1883)</f>
        <v>0.286528364223874</v>
      </c>
      <c r="E1883" s="0" t="n">
        <f aca="false">B1883/SUM($A1883:$C1883)</f>
        <v>0.488738985067836</v>
      </c>
      <c r="F1883" s="0" t="n">
        <f aca="false">C1883/SUM($A1883:$C1883)</f>
        <v>0.224732650708289</v>
      </c>
      <c r="G1883" s="0" t="n">
        <f aca="false">SUMPRODUCT(D1883:F1883,Stats!$B$6:$D$6)</f>
        <v>0.378408196688081</v>
      </c>
      <c r="H1883" s="0" t="n">
        <f aca="false">SQRT(SUMPRODUCT(MMULT(D1883:F1883,Stats!$B$12:$D$14),D1883:F1883))</f>
        <v>0.229578770951334</v>
      </c>
      <c r="I1883" s="0" t="n">
        <f aca="false">(G1883-Stats!$B$2)/H1883</f>
        <v>1.46532797999599</v>
      </c>
    </row>
    <row r="1884" customFormat="false" ht="15" hidden="false" customHeight="false" outlineLevel="0" collapsed="false">
      <c r="A1884" s="0" t="n">
        <v>0.0266083660776841</v>
      </c>
      <c r="B1884" s="0" t="n">
        <v>0.735228518101596</v>
      </c>
      <c r="C1884" s="0" t="n">
        <v>0.625649912941453</v>
      </c>
      <c r="D1884" s="0" t="n">
        <f aca="false">A1884/SUM($A1884:$C1884)</f>
        <v>0.0191773832608</v>
      </c>
      <c r="E1884" s="0" t="n">
        <f aca="false">B1884/SUM($A1884:$C1884)</f>
        <v>0.529899469765996</v>
      </c>
      <c r="F1884" s="0" t="n">
        <f aca="false">C1884/SUM($A1884:$C1884)</f>
        <v>0.450923146973204</v>
      </c>
      <c r="G1884" s="0" t="n">
        <f aca="false">SUMPRODUCT(D1884:F1884,Stats!$B$6:$D$6)</f>
        <v>0.374539401767574</v>
      </c>
      <c r="H1884" s="0" t="n">
        <f aca="false">SQRT(SUMPRODUCT(MMULT(D1884:F1884,Stats!$B$12:$D$14),D1884:F1884))</f>
        <v>0.241949390369717</v>
      </c>
      <c r="I1884" s="0" t="n">
        <f aca="false">(G1884-Stats!$B$2)/H1884</f>
        <v>1.37441719220465</v>
      </c>
    </row>
    <row r="1885" customFormat="false" ht="15" hidden="false" customHeight="false" outlineLevel="0" collapsed="false">
      <c r="A1885" s="0" t="n">
        <v>0.580755999055659</v>
      </c>
      <c r="B1885" s="0" t="n">
        <v>0.741684128991823</v>
      </c>
      <c r="C1885" s="0" t="n">
        <v>0.675230837562038</v>
      </c>
      <c r="D1885" s="0" t="n">
        <f aca="false">A1885/SUM($A1885:$C1885)</f>
        <v>0.290716543942191</v>
      </c>
      <c r="E1885" s="0" t="n">
        <f aca="false">B1885/SUM($A1885:$C1885)</f>
        <v>0.371274419942087</v>
      </c>
      <c r="F1885" s="0" t="n">
        <f aca="false">C1885/SUM($A1885:$C1885)</f>
        <v>0.338009036115722</v>
      </c>
      <c r="G1885" s="0" t="n">
        <f aca="false">SUMPRODUCT(D1885:F1885,Stats!$B$6:$D$6)</f>
        <v>0.368525884882935</v>
      </c>
      <c r="H1885" s="0" t="n">
        <f aca="false">SQRT(SUMPRODUCT(MMULT(D1885:F1885,Stats!$B$12:$D$14),D1885:F1885))</f>
        <v>0.227870099331829</v>
      </c>
      <c r="I1885" s="0" t="n">
        <f aca="false">(G1885-Stats!$B$2)/H1885</f>
        <v>1.43294748122018</v>
      </c>
    </row>
    <row r="1886" customFormat="false" ht="15" hidden="false" customHeight="false" outlineLevel="0" collapsed="false">
      <c r="A1886" s="0" t="n">
        <v>0.205881988178321</v>
      </c>
      <c r="B1886" s="0" t="n">
        <v>0.352481046943351</v>
      </c>
      <c r="C1886" s="0" t="n">
        <v>0.126110141678625</v>
      </c>
      <c r="D1886" s="0" t="n">
        <f aca="false">A1886/SUM($A1886:$C1886)</f>
        <v>0.300788979256655</v>
      </c>
      <c r="E1886" s="0" t="n">
        <f aca="false">B1886/SUM($A1886:$C1886)</f>
        <v>0.514966924768465</v>
      </c>
      <c r="F1886" s="0" t="n">
        <f aca="false">C1886/SUM($A1886:$C1886)</f>
        <v>0.18424409597488</v>
      </c>
      <c r="G1886" s="0" t="n">
        <f aca="false">SUMPRODUCT(D1886:F1886,Stats!$B$6:$D$6)</f>
        <v>0.381033774716354</v>
      </c>
      <c r="H1886" s="0" t="n">
        <f aca="false">SQRT(SUMPRODUCT(MMULT(D1886:F1886,Stats!$B$12:$D$14),D1886:F1886))</f>
        <v>0.229894205982173</v>
      </c>
      <c r="I1886" s="0" t="n">
        <f aca="false">(G1886-Stats!$B$2)/H1886</f>
        <v>1.47473823130037</v>
      </c>
    </row>
    <row r="1887" customFormat="false" ht="15" hidden="false" customHeight="false" outlineLevel="0" collapsed="false">
      <c r="A1887" s="0" t="n">
        <v>0.129857013417881</v>
      </c>
      <c r="B1887" s="0" t="n">
        <v>0.676195746356539</v>
      </c>
      <c r="C1887" s="0" t="n">
        <v>0.858600106982498</v>
      </c>
      <c r="D1887" s="0" t="n">
        <f aca="false">A1887/SUM($A1887:$C1887)</f>
        <v>0.0780084641135234</v>
      </c>
      <c r="E1887" s="0" t="n">
        <f aca="false">B1887/SUM($A1887:$C1887)</f>
        <v>0.406208261109661</v>
      </c>
      <c r="F1887" s="0" t="n">
        <f aca="false">C1887/SUM($A1887:$C1887)</f>
        <v>0.515783274776816</v>
      </c>
      <c r="G1887" s="0" t="n">
        <f aca="false">SUMPRODUCT(D1887:F1887,Stats!$B$6:$D$6)</f>
        <v>0.365633876634219</v>
      </c>
      <c r="H1887" s="0" t="n">
        <f aca="false">SQRT(SUMPRODUCT(MMULT(D1887:F1887,Stats!$B$12:$D$14),D1887:F1887))</f>
        <v>0.238609887496157</v>
      </c>
      <c r="I1887" s="0" t="n">
        <f aca="false">(G1887-Stats!$B$2)/H1887</f>
        <v>1.35633053613267</v>
      </c>
    </row>
    <row r="1888" customFormat="false" ht="15" hidden="false" customHeight="false" outlineLevel="0" collapsed="false">
      <c r="A1888" s="0" t="n">
        <v>0.962732583861139</v>
      </c>
      <c r="B1888" s="0" t="n">
        <v>0.628347117549444</v>
      </c>
      <c r="C1888" s="0" t="n">
        <v>0.184101323360957</v>
      </c>
      <c r="D1888" s="0" t="n">
        <f aca="false">A1888/SUM($A1888:$C1888)</f>
        <v>0.542329244413279</v>
      </c>
      <c r="E1888" s="0" t="n">
        <f aca="false">B1888/SUM($A1888:$C1888)</f>
        <v>0.353962276962886</v>
      </c>
      <c r="F1888" s="0" t="n">
        <f aca="false">C1888/SUM($A1888:$C1888)</f>
        <v>0.103708478623835</v>
      </c>
      <c r="G1888" s="0" t="n">
        <f aca="false">SUMPRODUCT(D1888:F1888,Stats!$B$6:$D$6)</f>
        <v>0.373990514338687</v>
      </c>
      <c r="H1888" s="0" t="n">
        <f aca="false">SQRT(SUMPRODUCT(MMULT(D1888:F1888,Stats!$B$12:$D$14),D1888:F1888))</f>
        <v>0.225153893675288</v>
      </c>
      <c r="I1888" s="0" t="n">
        <f aca="false">(G1888-Stats!$B$2)/H1888</f>
        <v>1.47450487717293</v>
      </c>
    </row>
    <row r="1889" customFormat="false" ht="15" hidden="false" customHeight="false" outlineLevel="0" collapsed="false">
      <c r="A1889" s="0" t="n">
        <v>0.105650345448931</v>
      </c>
      <c r="B1889" s="0" t="n">
        <v>0.812850971536758</v>
      </c>
      <c r="C1889" s="0" t="n">
        <v>0.578756476359999</v>
      </c>
      <c r="D1889" s="0" t="n">
        <f aca="false">A1889/SUM($A1889:$C1889)</f>
        <v>0.0705625617168106</v>
      </c>
      <c r="E1889" s="0" t="n">
        <f aca="false">B1889/SUM($A1889:$C1889)</f>
        <v>0.542893131129014</v>
      </c>
      <c r="F1889" s="0" t="n">
        <f aca="false">C1889/SUM($A1889:$C1889)</f>
        <v>0.386544307154176</v>
      </c>
      <c r="G1889" s="0" t="n">
        <f aca="false">SUMPRODUCT(D1889:F1889,Stats!$B$6:$D$6)</f>
        <v>0.377062261971641</v>
      </c>
      <c r="H1889" s="0" t="n">
        <f aca="false">SQRT(SUMPRODUCT(MMULT(D1889:F1889,Stats!$B$12:$D$14),D1889:F1889))</f>
        <v>0.238838437843985</v>
      </c>
      <c r="I1889" s="0" t="n">
        <f aca="false">(G1889-Stats!$B$2)/H1889</f>
        <v>1.40288248824719</v>
      </c>
    </row>
    <row r="1890" customFormat="false" ht="15" hidden="false" customHeight="false" outlineLevel="0" collapsed="false">
      <c r="A1890" s="0" t="n">
        <v>0.61828502101372</v>
      </c>
      <c r="B1890" s="0" t="n">
        <v>0.781462088754709</v>
      </c>
      <c r="C1890" s="0" t="n">
        <v>0.703277227732452</v>
      </c>
      <c r="D1890" s="0" t="n">
        <f aca="false">A1890/SUM($A1890:$C1890)</f>
        <v>0.293998034158966</v>
      </c>
      <c r="E1890" s="0" t="n">
        <f aca="false">B1890/SUM($A1890:$C1890)</f>
        <v>0.37158965534529</v>
      </c>
      <c r="F1890" s="0" t="n">
        <f aca="false">C1890/SUM($A1890:$C1890)</f>
        <v>0.334412310495744</v>
      </c>
      <c r="G1890" s="0" t="n">
        <f aca="false">SUMPRODUCT(D1890:F1890,Stats!$B$6:$D$6)</f>
        <v>0.368643201445632</v>
      </c>
      <c r="H1890" s="0" t="n">
        <f aca="false">SQRT(SUMPRODUCT(MMULT(D1890:F1890,Stats!$B$12:$D$14),D1890:F1890))</f>
        <v>0.227764920665506</v>
      </c>
      <c r="I1890" s="0" t="n">
        <f aca="false">(G1890-Stats!$B$2)/H1890</f>
        <v>1.43412427379604</v>
      </c>
    </row>
    <row r="1891" customFormat="false" ht="15" hidden="false" customHeight="false" outlineLevel="0" collapsed="false">
      <c r="A1891" s="0" t="n">
        <v>0.834458252856097</v>
      </c>
      <c r="B1891" s="0" t="n">
        <v>0.0562139054598785</v>
      </c>
      <c r="C1891" s="0" t="n">
        <v>0.747520636746505</v>
      </c>
      <c r="D1891" s="0" t="n">
        <f aca="false">A1891/SUM($A1891:$C1891)</f>
        <v>0.509377318329782</v>
      </c>
      <c r="E1891" s="0" t="n">
        <f aca="false">B1891/SUM($A1891:$C1891)</f>
        <v>0.0343145847236708</v>
      </c>
      <c r="F1891" s="0" t="n">
        <f aca="false">C1891/SUM($A1891:$C1891)</f>
        <v>0.456308096946547</v>
      </c>
      <c r="G1891" s="0" t="n">
        <f aca="false">SUMPRODUCT(D1891:F1891,Stats!$B$6:$D$6)</f>
        <v>0.345875600980849</v>
      </c>
      <c r="H1891" s="0" t="n">
        <f aca="false">SQRT(SUMPRODUCT(MMULT(D1891:F1891,Stats!$B$12:$D$14),D1891:F1891))</f>
        <v>0.222751013608662</v>
      </c>
      <c r="I1891" s="0" t="n">
        <f aca="false">(G1891-Stats!$B$2)/H1891</f>
        <v>1.36419402119853</v>
      </c>
    </row>
    <row r="1892" customFormat="false" ht="15" hidden="false" customHeight="false" outlineLevel="0" collapsed="false">
      <c r="A1892" s="0" t="n">
        <v>0.850852757322095</v>
      </c>
      <c r="B1892" s="0" t="n">
        <v>0.286135042458314</v>
      </c>
      <c r="C1892" s="0" t="n">
        <v>0.640447273993253</v>
      </c>
      <c r="D1892" s="0" t="n">
        <f aca="false">A1892/SUM($A1892:$C1892)</f>
        <v>0.478696954885477</v>
      </c>
      <c r="E1892" s="0" t="n">
        <f aca="false">B1892/SUM($A1892:$C1892)</f>
        <v>0.160981994043148</v>
      </c>
      <c r="F1892" s="0" t="n">
        <f aca="false">C1892/SUM($A1892:$C1892)</f>
        <v>0.360321051071375</v>
      </c>
      <c r="G1892" s="0" t="n">
        <f aca="false">SUMPRODUCT(D1892:F1892,Stats!$B$6:$D$6)</f>
        <v>0.355810685642121</v>
      </c>
      <c r="H1892" s="0" t="n">
        <f aca="false">SQRT(SUMPRODUCT(MMULT(D1892:F1892,Stats!$B$12:$D$14),D1892:F1892))</f>
        <v>0.222479067146528</v>
      </c>
      <c r="I1892" s="0" t="n">
        <f aca="false">(G1892-Stats!$B$2)/H1892</f>
        <v>1.41051780586369</v>
      </c>
    </row>
    <row r="1893" customFormat="false" ht="15" hidden="false" customHeight="false" outlineLevel="0" collapsed="false">
      <c r="A1893" s="0" t="n">
        <v>0.314162063836972</v>
      </c>
      <c r="B1893" s="0" t="n">
        <v>0.957971066482454</v>
      </c>
      <c r="C1893" s="0" t="n">
        <v>0.0334235724355038</v>
      </c>
      <c r="D1893" s="0" t="n">
        <f aca="false">A1893/SUM($A1893:$C1893)</f>
        <v>0.24063456085365</v>
      </c>
      <c r="E1893" s="0" t="n">
        <f aca="false">B1893/SUM($A1893:$C1893)</f>
        <v>0.733764427436192</v>
      </c>
      <c r="F1893" s="0" t="n">
        <f aca="false">C1893/SUM($A1893:$C1893)</f>
        <v>0.0256010117101576</v>
      </c>
      <c r="G1893" s="0" t="n">
        <f aca="false">SUMPRODUCT(D1893:F1893,Stats!$B$6:$D$6)</f>
        <v>0.39799762186705</v>
      </c>
      <c r="H1893" s="0" t="n">
        <f aca="false">SQRT(SUMPRODUCT(MMULT(D1893:F1893,Stats!$B$12:$D$14),D1893:F1893))</f>
        <v>0.238199153006624</v>
      </c>
      <c r="I1893" s="0" t="n">
        <f aca="false">(G1893-Stats!$B$2)/H1893</f>
        <v>1.49453773186654</v>
      </c>
    </row>
    <row r="1894" customFormat="false" ht="15" hidden="false" customHeight="false" outlineLevel="0" collapsed="false">
      <c r="A1894" s="0" t="n">
        <v>0.579792843832955</v>
      </c>
      <c r="B1894" s="0" t="n">
        <v>0.166503547049515</v>
      </c>
      <c r="C1894" s="0" t="n">
        <v>0.712220205177159</v>
      </c>
      <c r="D1894" s="0" t="n">
        <f aca="false">A1894/SUM($A1894:$C1894)</f>
        <v>0.397522280788124</v>
      </c>
      <c r="E1894" s="0" t="n">
        <f aca="false">B1894/SUM($A1894:$C1894)</f>
        <v>0.114159514879259</v>
      </c>
      <c r="F1894" s="0" t="n">
        <f aca="false">C1894/SUM($A1894:$C1894)</f>
        <v>0.488318204332617</v>
      </c>
      <c r="G1894" s="0" t="n">
        <f aca="false">SUMPRODUCT(D1894:F1894,Stats!$B$6:$D$6)</f>
        <v>0.349587108521295</v>
      </c>
      <c r="H1894" s="0" t="n">
        <f aca="false">SQRT(SUMPRODUCT(MMULT(D1894:F1894,Stats!$B$12:$D$14),D1894:F1894))</f>
        <v>0.225087988228993</v>
      </c>
      <c r="I1894" s="0" t="n">
        <f aca="false">(G1894-Stats!$B$2)/H1894</f>
        <v>1.36651942620933</v>
      </c>
    </row>
    <row r="1895" customFormat="false" ht="15" hidden="false" customHeight="false" outlineLevel="0" collapsed="false">
      <c r="A1895" s="0" t="n">
        <v>0.175890283418662</v>
      </c>
      <c r="B1895" s="0" t="n">
        <v>0.235383261898358</v>
      </c>
      <c r="C1895" s="0" t="n">
        <v>0.494370811045758</v>
      </c>
      <c r="D1895" s="0" t="n">
        <f aca="false">A1895/SUM($A1895:$C1895)</f>
        <v>0.194215623586578</v>
      </c>
      <c r="E1895" s="0" t="n">
        <f aca="false">B1895/SUM($A1895:$C1895)</f>
        <v>0.259906949394238</v>
      </c>
      <c r="F1895" s="0" t="n">
        <f aca="false">C1895/SUM($A1895:$C1895)</f>
        <v>0.545877427019184</v>
      </c>
      <c r="G1895" s="0" t="n">
        <f aca="false">SUMPRODUCT(D1895:F1895,Stats!$B$6:$D$6)</f>
        <v>0.356386053838932</v>
      </c>
      <c r="H1895" s="0" t="n">
        <f aca="false">SQRT(SUMPRODUCT(MMULT(D1895:F1895,Stats!$B$12:$D$14),D1895:F1895))</f>
        <v>0.232964821867757</v>
      </c>
      <c r="I1895" s="0" t="n">
        <f aca="false">(G1895-Stats!$B$2)/H1895</f>
        <v>1.34950011473146</v>
      </c>
    </row>
    <row r="1896" customFormat="false" ht="15" hidden="false" customHeight="false" outlineLevel="0" collapsed="false">
      <c r="A1896" s="0" t="n">
        <v>0.914834949996878</v>
      </c>
      <c r="B1896" s="0" t="n">
        <v>0.211714372147971</v>
      </c>
      <c r="C1896" s="0" t="n">
        <v>0.144240021118104</v>
      </c>
      <c r="D1896" s="0" t="n">
        <f aca="false">A1896/SUM($A1896:$C1896)</f>
        <v>0.719895043853527</v>
      </c>
      <c r="E1896" s="0" t="n">
        <f aca="false">B1896/SUM($A1896:$C1896)</f>
        <v>0.166600682694081</v>
      </c>
      <c r="F1896" s="0" t="n">
        <f aca="false">C1896/SUM($A1896:$C1896)</f>
        <v>0.113504273452392</v>
      </c>
      <c r="G1896" s="0" t="n">
        <f aca="false">SUMPRODUCT(D1896:F1896,Stats!$B$6:$D$6)</f>
        <v>0.362939855427089</v>
      </c>
      <c r="H1896" s="0" t="n">
        <f aca="false">SQRT(SUMPRODUCT(MMULT(D1896:F1896,Stats!$B$12:$D$14),D1896:F1896))</f>
        <v>0.224161284929278</v>
      </c>
      <c r="I1896" s="0" t="n">
        <f aca="false">(G1896-Stats!$B$2)/H1896</f>
        <v>1.43173633006407</v>
      </c>
    </row>
    <row r="1897" customFormat="false" ht="15" hidden="false" customHeight="false" outlineLevel="0" collapsed="false">
      <c r="A1897" s="0" t="n">
        <v>0.758976831854031</v>
      </c>
      <c r="B1897" s="0" t="n">
        <v>0.500619532333931</v>
      </c>
      <c r="C1897" s="0" t="n">
        <v>0.911785112381771</v>
      </c>
      <c r="D1897" s="0" t="n">
        <f aca="false">A1897/SUM($A1897:$C1897)</f>
        <v>0.349536385035868</v>
      </c>
      <c r="E1897" s="0" t="n">
        <f aca="false">B1897/SUM($A1897:$C1897)</f>
        <v>0.230553469178889</v>
      </c>
      <c r="F1897" s="0" t="n">
        <f aca="false">C1897/SUM($A1897:$C1897)</f>
        <v>0.419910145785242</v>
      </c>
      <c r="G1897" s="0" t="n">
        <f aca="false">SUMPRODUCT(D1897:F1897,Stats!$B$6:$D$6)</f>
        <v>0.35817059190927</v>
      </c>
      <c r="H1897" s="0" t="n">
        <f aca="false">SQRT(SUMPRODUCT(MMULT(D1897:F1897,Stats!$B$12:$D$14),D1897:F1897))</f>
        <v>0.225721407853764</v>
      </c>
      <c r="I1897" s="0" t="n">
        <f aca="false">(G1897-Stats!$B$2)/H1897</f>
        <v>1.40071158919098</v>
      </c>
    </row>
    <row r="1898" customFormat="false" ht="15" hidden="false" customHeight="false" outlineLevel="0" collapsed="false">
      <c r="A1898" s="0" t="n">
        <v>0.146614557159842</v>
      </c>
      <c r="B1898" s="0" t="n">
        <v>0.645927893023039</v>
      </c>
      <c r="C1898" s="0" t="n">
        <v>0.232879146151815</v>
      </c>
      <c r="D1898" s="0" t="n">
        <f aca="false">A1898/SUM($A1898:$C1898)</f>
        <v>0.142979782836549</v>
      </c>
      <c r="E1898" s="0" t="n">
        <f aca="false">B1898/SUM($A1898:$C1898)</f>
        <v>0.629914461848538</v>
      </c>
      <c r="F1898" s="0" t="n">
        <f aca="false">C1898/SUM($A1898:$C1898)</f>
        <v>0.227105755314913</v>
      </c>
      <c r="G1898" s="0" t="n">
        <f aca="false">SUMPRODUCT(D1898:F1898,Stats!$B$6:$D$6)</f>
        <v>0.386465813455415</v>
      </c>
      <c r="H1898" s="0" t="n">
        <f aca="false">SQRT(SUMPRODUCT(MMULT(D1898:F1898,Stats!$B$12:$D$14),D1898:F1898))</f>
        <v>0.236778212118942</v>
      </c>
      <c r="I1898" s="0" t="n">
        <f aca="false">(G1898-Stats!$B$2)/H1898</f>
        <v>1.45480367628748</v>
      </c>
    </row>
    <row r="1899" customFormat="false" ht="15" hidden="false" customHeight="false" outlineLevel="0" collapsed="false">
      <c r="A1899" s="0" t="n">
        <v>0.156760428651639</v>
      </c>
      <c r="B1899" s="0" t="n">
        <v>0.683429415157271</v>
      </c>
      <c r="C1899" s="0" t="n">
        <v>0.593684619908733</v>
      </c>
      <c r="D1899" s="0" t="n">
        <f aca="false">A1899/SUM($A1899:$C1899)</f>
        <v>0.109326466589831</v>
      </c>
      <c r="E1899" s="0" t="n">
        <f aca="false">B1899/SUM($A1899:$C1899)</f>
        <v>0.476631275924481</v>
      </c>
      <c r="F1899" s="0" t="n">
        <f aca="false">C1899/SUM($A1899:$C1899)</f>
        <v>0.414042257485688</v>
      </c>
      <c r="G1899" s="0" t="n">
        <f aca="false">SUMPRODUCT(D1899:F1899,Stats!$B$6:$D$6)</f>
        <v>0.37249139518009</v>
      </c>
      <c r="H1899" s="0" t="n">
        <f aca="false">SQRT(SUMPRODUCT(MMULT(D1899:F1899,Stats!$B$12:$D$14),D1899:F1899))</f>
        <v>0.236408715710642</v>
      </c>
      <c r="I1899" s="0" t="n">
        <f aca="false">(G1899-Stats!$B$2)/H1899</f>
        <v>1.39796620520794</v>
      </c>
    </row>
    <row r="1900" customFormat="false" ht="15" hidden="false" customHeight="false" outlineLevel="0" collapsed="false">
      <c r="A1900" s="0" t="n">
        <v>0.754827458362331</v>
      </c>
      <c r="B1900" s="0" t="n">
        <v>0.309462576446182</v>
      </c>
      <c r="C1900" s="0" t="n">
        <v>0.44797165638219</v>
      </c>
      <c r="D1900" s="0" t="n">
        <f aca="false">A1900/SUM($A1900:$C1900)</f>
        <v>0.499138120577534</v>
      </c>
      <c r="E1900" s="0" t="n">
        <f aca="false">B1900/SUM($A1900:$C1900)</f>
        <v>0.204635598619523</v>
      </c>
      <c r="F1900" s="0" t="n">
        <f aca="false">C1900/SUM($A1900:$C1900)</f>
        <v>0.296226280802942</v>
      </c>
      <c r="G1900" s="0" t="n">
        <f aca="false">SUMPRODUCT(D1900:F1900,Stats!$B$6:$D$6)</f>
        <v>0.360089846187698</v>
      </c>
      <c r="H1900" s="0" t="n">
        <f aca="false">SQRT(SUMPRODUCT(MMULT(D1900:F1900,Stats!$B$12:$D$14),D1900:F1900))</f>
        <v>0.222337290711709</v>
      </c>
      <c r="I1900" s="0" t="n">
        <f aca="false">(G1900-Stats!$B$2)/H1900</f>
        <v>1.4306634985498</v>
      </c>
    </row>
    <row r="1901" customFormat="false" ht="15" hidden="false" customHeight="false" outlineLevel="0" collapsed="false">
      <c r="A1901" s="0" t="n">
        <v>0.405471676330419</v>
      </c>
      <c r="B1901" s="0" t="n">
        <v>0.984089463966514</v>
      </c>
      <c r="C1901" s="0" t="n">
        <v>0.292248956739388</v>
      </c>
      <c r="D1901" s="0" t="n">
        <f aca="false">A1901/SUM($A1901:$C1901)</f>
        <v>0.241092425978973</v>
      </c>
      <c r="E1901" s="0" t="n">
        <f aca="false">B1901/SUM($A1901:$C1901)</f>
        <v>0.585137088724032</v>
      </c>
      <c r="F1901" s="0" t="n">
        <f aca="false">C1901/SUM($A1901:$C1901)</f>
        <v>0.173770485296995</v>
      </c>
      <c r="G1901" s="0" t="n">
        <f aca="false">SUMPRODUCT(D1901:F1901,Stats!$B$6:$D$6)</f>
        <v>0.385360080916971</v>
      </c>
      <c r="H1901" s="0" t="n">
        <f aca="false">SQRT(SUMPRODUCT(MMULT(D1901:F1901,Stats!$B$12:$D$14),D1901:F1901))</f>
        <v>0.232874536063103</v>
      </c>
      <c r="I1901" s="0" t="n">
        <f aca="false">(G1901-Stats!$B$2)/H1901</f>
        <v>1.47444236163257</v>
      </c>
    </row>
    <row r="1902" customFormat="false" ht="15" hidden="false" customHeight="false" outlineLevel="0" collapsed="false">
      <c r="A1902" s="0" t="n">
        <v>0.294817238346767</v>
      </c>
      <c r="B1902" s="0" t="n">
        <v>0.354548208828607</v>
      </c>
      <c r="C1902" s="0" t="n">
        <v>0.564594081290322</v>
      </c>
      <c r="D1902" s="0" t="n">
        <f aca="false">A1902/SUM($A1902:$C1902)</f>
        <v>0.242855903704946</v>
      </c>
      <c r="E1902" s="0" t="n">
        <f aca="false">B1902/SUM($A1902:$C1902)</f>
        <v>0.292059331892815</v>
      </c>
      <c r="F1902" s="0" t="n">
        <f aca="false">C1902/SUM($A1902:$C1902)</f>
        <v>0.465084764402239</v>
      </c>
      <c r="G1902" s="0" t="n">
        <f aca="false">SUMPRODUCT(D1902:F1902,Stats!$B$6:$D$6)</f>
        <v>0.360463886911057</v>
      </c>
      <c r="H1902" s="0" t="n">
        <f aca="false">SQRT(SUMPRODUCT(MMULT(D1902:F1902,Stats!$B$12:$D$14),D1902:F1902))</f>
        <v>0.229889336341312</v>
      </c>
      <c r="I1902" s="0" t="n">
        <f aca="false">(G1902-Stats!$B$2)/H1902</f>
        <v>1.38529212350346</v>
      </c>
    </row>
    <row r="1903" customFormat="false" ht="15" hidden="false" customHeight="false" outlineLevel="0" collapsed="false">
      <c r="A1903" s="0" t="n">
        <v>0.252322744263745</v>
      </c>
      <c r="B1903" s="0" t="n">
        <v>0.915289940379274</v>
      </c>
      <c r="C1903" s="0" t="n">
        <v>0.265685564866264</v>
      </c>
      <c r="D1903" s="0" t="n">
        <f aca="false">A1903/SUM($A1903:$C1903)</f>
        <v>0.176043432935283</v>
      </c>
      <c r="E1903" s="0" t="n">
        <f aca="false">B1903/SUM($A1903:$C1903)</f>
        <v>0.638590007831686</v>
      </c>
      <c r="F1903" s="0" t="n">
        <f aca="false">C1903/SUM($A1903:$C1903)</f>
        <v>0.185366559233032</v>
      </c>
      <c r="G1903" s="0" t="n">
        <f aca="false">SUMPRODUCT(D1903:F1903,Stats!$B$6:$D$6)</f>
        <v>0.388115935420964</v>
      </c>
      <c r="H1903" s="0" t="n">
        <f aca="false">SQRT(SUMPRODUCT(MMULT(D1903:F1903,Stats!$B$12:$D$14),D1903:F1903))</f>
        <v>0.235947453962943</v>
      </c>
      <c r="I1903" s="0" t="n">
        <f aca="false">(G1903-Stats!$B$2)/H1903</f>
        <v>1.4669195602989</v>
      </c>
    </row>
    <row r="1904" customFormat="false" ht="15" hidden="false" customHeight="false" outlineLevel="0" collapsed="false">
      <c r="A1904" s="0" t="n">
        <v>0.895815731560195</v>
      </c>
      <c r="B1904" s="0" t="n">
        <v>0.103475063646585</v>
      </c>
      <c r="C1904" s="0" t="n">
        <v>0.656562702399652</v>
      </c>
      <c r="D1904" s="0" t="n">
        <f aca="false">A1904/SUM($A1904:$C1904)</f>
        <v>0.540999389653199</v>
      </c>
      <c r="E1904" s="0" t="n">
        <f aca="false">B1904/SUM($A1904:$C1904)</f>
        <v>0.062490470199302</v>
      </c>
      <c r="F1904" s="0" t="n">
        <f aca="false">C1904/SUM($A1904:$C1904)</f>
        <v>0.396510140147499</v>
      </c>
      <c r="G1904" s="0" t="n">
        <f aca="false">SUMPRODUCT(D1904:F1904,Stats!$B$6:$D$6)</f>
        <v>0.349145710623013</v>
      </c>
      <c r="H1904" s="0" t="n">
        <f aca="false">SQRT(SUMPRODUCT(MMULT(D1904:F1904,Stats!$B$12:$D$14),D1904:F1904))</f>
        <v>0.221846688589102</v>
      </c>
      <c r="I1904" s="0" t="n">
        <f aca="false">(G1904-Stats!$B$2)/H1904</f>
        <v>1.38449535837742</v>
      </c>
    </row>
    <row r="1905" customFormat="false" ht="15" hidden="false" customHeight="false" outlineLevel="0" collapsed="false">
      <c r="A1905" s="0" t="n">
        <v>0.906985518438244</v>
      </c>
      <c r="B1905" s="0" t="n">
        <v>0.16874943839823</v>
      </c>
      <c r="C1905" s="0" t="n">
        <v>0.968326960099255</v>
      </c>
      <c r="D1905" s="0" t="n">
        <f aca="false">A1905/SUM($A1905:$C1905)</f>
        <v>0.443717243065667</v>
      </c>
      <c r="E1905" s="0" t="n">
        <f aca="false">B1905/SUM($A1905:$C1905)</f>
        <v>0.0825559328707632</v>
      </c>
      <c r="F1905" s="0" t="n">
        <f aca="false">C1905/SUM($A1905:$C1905)</f>
        <v>0.47372682406357</v>
      </c>
      <c r="G1905" s="0" t="n">
        <f aca="false">SUMPRODUCT(D1905:F1905,Stats!$B$6:$D$6)</f>
        <v>0.348171031015021</v>
      </c>
      <c r="H1905" s="0" t="n">
        <f aca="false">SQRT(SUMPRODUCT(MMULT(D1905:F1905,Stats!$B$12:$D$14),D1905:F1905))</f>
        <v>0.223925809119752</v>
      </c>
      <c r="I1905" s="0" t="n">
        <f aca="false">(G1905-Stats!$B$2)/H1905</f>
        <v>1.36728781831167</v>
      </c>
    </row>
    <row r="1906" customFormat="false" ht="15" hidden="false" customHeight="false" outlineLevel="0" collapsed="false">
      <c r="A1906" s="0" t="n">
        <v>0.452883360415512</v>
      </c>
      <c r="B1906" s="0" t="n">
        <v>0.945715108441025</v>
      </c>
      <c r="C1906" s="0" t="n">
        <v>0.676820043630047</v>
      </c>
      <c r="D1906" s="0" t="n">
        <f aca="false">A1906/SUM($A1906:$C1906)</f>
        <v>0.218213029174972</v>
      </c>
      <c r="E1906" s="0" t="n">
        <f aca="false">B1906/SUM($A1906:$C1906)</f>
        <v>0.455674411089237</v>
      </c>
      <c r="F1906" s="0" t="n">
        <f aca="false">C1906/SUM($A1906:$C1906)</f>
        <v>0.326112559735791</v>
      </c>
      <c r="G1906" s="0" t="n">
        <f aca="false">SUMPRODUCT(D1906:F1906,Stats!$B$6:$D$6)</f>
        <v>0.373710191897323</v>
      </c>
      <c r="H1906" s="0" t="n">
        <f aca="false">SQRT(SUMPRODUCT(MMULT(D1906:F1906,Stats!$B$12:$D$14),D1906:F1906))</f>
        <v>0.23115145459956</v>
      </c>
      <c r="I1906" s="0" t="n">
        <f aca="false">(G1906-Stats!$B$2)/H1906</f>
        <v>1.4350339800888</v>
      </c>
    </row>
    <row r="1907" customFormat="false" ht="15" hidden="false" customHeight="false" outlineLevel="0" collapsed="false">
      <c r="A1907" s="0" t="n">
        <v>0.301586869873552</v>
      </c>
      <c r="B1907" s="0" t="n">
        <v>0.188302524917106</v>
      </c>
      <c r="C1907" s="0" t="n">
        <v>0.303735046225099</v>
      </c>
      <c r="D1907" s="0" t="n">
        <f aca="false">A1907/SUM($A1907:$C1907)</f>
        <v>0.380012074083242</v>
      </c>
      <c r="E1907" s="0" t="n">
        <f aca="false">B1907/SUM($A1907:$C1907)</f>
        <v>0.237269059753375</v>
      </c>
      <c r="F1907" s="0" t="n">
        <f aca="false">C1907/SUM($A1907:$C1907)</f>
        <v>0.382718866163383</v>
      </c>
      <c r="G1907" s="0" t="n">
        <f aca="false">SUMPRODUCT(D1907:F1907,Stats!$B$6:$D$6)</f>
        <v>0.359582533530161</v>
      </c>
      <c r="H1907" s="0" t="n">
        <f aca="false">SQRT(SUMPRODUCT(MMULT(D1907:F1907,Stats!$B$12:$D$14),D1907:F1907))</f>
        <v>0.224713538976088</v>
      </c>
      <c r="I1907" s="0" t="n">
        <f aca="false">(G1907-Stats!$B$2)/H1907</f>
        <v>1.41327725502092</v>
      </c>
    </row>
    <row r="1908" customFormat="false" ht="15" hidden="false" customHeight="false" outlineLevel="0" collapsed="false">
      <c r="A1908" s="0" t="n">
        <v>0.093017409262675</v>
      </c>
      <c r="B1908" s="0" t="n">
        <v>0.14386796634333</v>
      </c>
      <c r="C1908" s="0" t="n">
        <v>0.104660440346481</v>
      </c>
      <c r="D1908" s="0" t="n">
        <f aca="false">A1908/SUM($A1908:$C1908)</f>
        <v>0.272342405961767</v>
      </c>
      <c r="E1908" s="0" t="n">
        <f aca="false">B1908/SUM($A1908:$C1908)</f>
        <v>0.421225966250291</v>
      </c>
      <c r="F1908" s="0" t="n">
        <f aca="false">C1908/SUM($A1908:$C1908)</f>
        <v>0.306431627787942</v>
      </c>
      <c r="G1908" s="0" t="n">
        <f aca="false">SUMPRODUCT(D1908:F1908,Stats!$B$6:$D$6)</f>
        <v>0.372270767095817</v>
      </c>
      <c r="H1908" s="0" t="n">
        <f aca="false">SQRT(SUMPRODUCT(MMULT(D1908:F1908,Stats!$B$12:$D$14),D1908:F1908))</f>
        <v>0.22890242178269</v>
      </c>
      <c r="I1908" s="0" t="n">
        <f aca="false">(G1908-Stats!$B$2)/H1908</f>
        <v>1.44284522865102</v>
      </c>
    </row>
    <row r="1909" customFormat="false" ht="15" hidden="false" customHeight="false" outlineLevel="0" collapsed="false">
      <c r="A1909" s="0" t="n">
        <v>0.422943543741558</v>
      </c>
      <c r="B1909" s="0" t="n">
        <v>0.795578376257586</v>
      </c>
      <c r="C1909" s="0" t="n">
        <v>0.14138355421634</v>
      </c>
      <c r="D1909" s="0" t="n">
        <f aca="false">A1909/SUM($A1909:$C1909)</f>
        <v>0.311009516294174</v>
      </c>
      <c r="E1909" s="0" t="n">
        <f aca="false">B1909/SUM($A1909:$C1909)</f>
        <v>0.585024761898652</v>
      </c>
      <c r="F1909" s="0" t="n">
        <f aca="false">C1909/SUM($A1909:$C1909)</f>
        <v>0.103965721807174</v>
      </c>
      <c r="G1909" s="0" t="n">
        <f aca="false">SUMPRODUCT(D1909:F1909,Stats!$B$6:$D$6)</f>
        <v>0.387278457281729</v>
      </c>
      <c r="H1909" s="0" t="n">
        <f aca="false">SQRT(SUMPRODUCT(MMULT(D1909:F1909,Stats!$B$12:$D$14),D1909:F1909))</f>
        <v>0.231836407624593</v>
      </c>
      <c r="I1909" s="0" t="n">
        <f aca="false">(G1909-Stats!$B$2)/H1909</f>
        <v>1.48931939042477</v>
      </c>
    </row>
    <row r="1910" customFormat="false" ht="15" hidden="false" customHeight="false" outlineLevel="0" collapsed="false">
      <c r="A1910" s="0" t="n">
        <v>0.130320433172336</v>
      </c>
      <c r="B1910" s="0" t="n">
        <v>0.643428949517331</v>
      </c>
      <c r="C1910" s="0" t="n">
        <v>0.197182981968066</v>
      </c>
      <c r="D1910" s="0" t="n">
        <f aca="false">A1910/SUM($A1910:$C1910)</f>
        <v>0.134221947806092</v>
      </c>
      <c r="E1910" s="0" t="n">
        <f aca="false">B1910/SUM($A1910:$C1910)</f>
        <v>0.662691834095106</v>
      </c>
      <c r="F1910" s="0" t="n">
        <f aca="false">C1910/SUM($A1910:$C1910)</f>
        <v>0.203086218098802</v>
      </c>
      <c r="G1910" s="0" t="n">
        <f aca="false">SUMPRODUCT(D1910:F1910,Stats!$B$6:$D$6)</f>
        <v>0.389014110531894</v>
      </c>
      <c r="H1910" s="0" t="n">
        <f aca="false">SQRT(SUMPRODUCT(MMULT(D1910:F1910,Stats!$B$12:$D$14),D1910:F1910))</f>
        <v>0.237879535663581</v>
      </c>
      <c r="I1910" s="0" t="n">
        <f aca="false">(G1910-Stats!$B$2)/H1910</f>
        <v>1.45878084705301</v>
      </c>
    </row>
    <row r="1911" customFormat="false" ht="15" hidden="false" customHeight="false" outlineLevel="0" collapsed="false">
      <c r="A1911" s="0" t="n">
        <v>0.0976100381089916</v>
      </c>
      <c r="B1911" s="0" t="n">
        <v>0.166848578205578</v>
      </c>
      <c r="C1911" s="0" t="n">
        <v>0.923731395876776</v>
      </c>
      <c r="D1911" s="0" t="n">
        <f aca="false">A1911/SUM($A1911:$C1911)</f>
        <v>0.0821501923997595</v>
      </c>
      <c r="E1911" s="0" t="n">
        <f aca="false">B1911/SUM($A1911:$C1911)</f>
        <v>0.140422471569058</v>
      </c>
      <c r="F1911" s="0" t="n">
        <f aca="false">C1911/SUM($A1911:$C1911)</f>
        <v>0.777427336031183</v>
      </c>
      <c r="G1911" s="0" t="n">
        <f aca="false">SUMPRODUCT(D1911:F1911,Stats!$B$6:$D$6)</f>
        <v>0.343126171948377</v>
      </c>
      <c r="H1911" s="0" t="n">
        <f aca="false">SQRT(SUMPRODUCT(MMULT(D1911:F1911,Stats!$B$12:$D$14),D1911:F1911))</f>
        <v>0.244748092097993</v>
      </c>
      <c r="I1911" s="0" t="n">
        <f aca="false">(G1911-Stats!$B$2)/H1911</f>
        <v>1.23035145797096</v>
      </c>
    </row>
    <row r="1912" customFormat="false" ht="15" hidden="false" customHeight="false" outlineLevel="0" collapsed="false">
      <c r="A1912" s="0" t="n">
        <v>0.821471252776191</v>
      </c>
      <c r="B1912" s="0" t="n">
        <v>0.354064562355094</v>
      </c>
      <c r="C1912" s="0" t="n">
        <v>0.655820767327393</v>
      </c>
      <c r="D1912" s="0" t="n">
        <f aca="false">A1912/SUM($A1912:$C1912)</f>
        <v>0.448558877416068</v>
      </c>
      <c r="E1912" s="0" t="n">
        <f aca="false">B1912/SUM($A1912:$C1912)</f>
        <v>0.193334583634033</v>
      </c>
      <c r="F1912" s="0" t="n">
        <f aca="false">C1912/SUM($A1912:$C1912)</f>
        <v>0.358106538949899</v>
      </c>
      <c r="G1912" s="0" t="n">
        <f aca="false">SUMPRODUCT(D1912:F1912,Stats!$B$6:$D$6)</f>
        <v>0.357733276094047</v>
      </c>
      <c r="H1912" s="0" t="n">
        <f aca="false">SQRT(SUMPRODUCT(MMULT(D1912:F1912,Stats!$B$12:$D$14),D1912:F1912))</f>
        <v>0.223038358615605</v>
      </c>
      <c r="I1912" s="0" t="n">
        <f aca="false">(G1912-Stats!$B$2)/H1912</f>
        <v>1.41560078747798</v>
      </c>
    </row>
    <row r="1913" customFormat="false" ht="15" hidden="false" customHeight="false" outlineLevel="0" collapsed="false">
      <c r="A1913" s="0" t="n">
        <v>0.537275673668038</v>
      </c>
      <c r="B1913" s="0" t="n">
        <v>0.677124263482564</v>
      </c>
      <c r="C1913" s="0" t="n">
        <v>0.682671152462759</v>
      </c>
      <c r="D1913" s="0" t="n">
        <f aca="false">A1913/SUM($A1913:$C1913)</f>
        <v>0.283213252581662</v>
      </c>
      <c r="E1913" s="0" t="n">
        <f aca="false">B1913/SUM($A1913:$C1913)</f>
        <v>0.356931412423014</v>
      </c>
      <c r="F1913" s="0" t="n">
        <f aca="false">C1913/SUM($A1913:$C1913)</f>
        <v>0.359855334995323</v>
      </c>
      <c r="G1913" s="0" t="n">
        <f aca="false">SUMPRODUCT(D1913:F1913,Stats!$B$6:$D$6)</f>
        <v>0.367098203505003</v>
      </c>
      <c r="H1913" s="0" t="n">
        <f aca="false">SQRT(SUMPRODUCT(MMULT(D1913:F1913,Stats!$B$12:$D$14),D1913:F1913))</f>
        <v>0.228051061726474</v>
      </c>
      <c r="I1913" s="0" t="n">
        <f aca="false">(G1913-Stats!$B$2)/H1913</f>
        <v>1.42555005464051</v>
      </c>
    </row>
    <row r="1914" customFormat="false" ht="15" hidden="false" customHeight="false" outlineLevel="0" collapsed="false">
      <c r="A1914" s="0" t="n">
        <v>0.628734015059993</v>
      </c>
      <c r="B1914" s="0" t="n">
        <v>0.266101368537309</v>
      </c>
      <c r="C1914" s="0" t="n">
        <v>0.0390064207628181</v>
      </c>
      <c r="D1914" s="0" t="n">
        <f aca="false">A1914/SUM($A1914:$C1914)</f>
        <v>0.673276792840528</v>
      </c>
      <c r="E1914" s="0" t="n">
        <f aca="false">B1914/SUM($A1914:$C1914)</f>
        <v>0.284953369291113</v>
      </c>
      <c r="F1914" s="0" t="n">
        <f aca="false">C1914/SUM($A1914:$C1914)</f>
        <v>0.0417698378683591</v>
      </c>
      <c r="G1914" s="0" t="n">
        <f aca="false">SUMPRODUCT(D1914:F1914,Stats!$B$6:$D$6)</f>
        <v>0.371727765303713</v>
      </c>
      <c r="H1914" s="0" t="n">
        <f aca="false">SQRT(SUMPRODUCT(MMULT(D1914:F1914,Stats!$B$12:$D$14),D1914:F1914))</f>
        <v>0.226071850322388</v>
      </c>
      <c r="I1914" s="0" t="n">
        <f aca="false">(G1914-Stats!$B$2)/H1914</f>
        <v>1.45850872115881</v>
      </c>
    </row>
    <row r="1915" customFormat="false" ht="15" hidden="false" customHeight="false" outlineLevel="0" collapsed="false">
      <c r="A1915" s="0" t="n">
        <v>0.455566781990109</v>
      </c>
      <c r="B1915" s="0" t="n">
        <v>0.890973884690704</v>
      </c>
      <c r="C1915" s="0" t="n">
        <v>0.569497258518576</v>
      </c>
      <c r="D1915" s="0" t="n">
        <f aca="false">A1915/SUM($A1915:$C1915)</f>
        <v>0.237765012893835</v>
      </c>
      <c r="E1915" s="0" t="n">
        <f aca="false">B1915/SUM($A1915:$C1915)</f>
        <v>0.46500848076793</v>
      </c>
      <c r="F1915" s="0" t="n">
        <f aca="false">C1915/SUM($A1915:$C1915)</f>
        <v>0.297226506338236</v>
      </c>
      <c r="G1915" s="0" t="n">
        <f aca="false">SUMPRODUCT(D1915:F1915,Stats!$B$6:$D$6)</f>
        <v>0.375043783998062</v>
      </c>
      <c r="H1915" s="0" t="n">
        <f aca="false">SQRT(SUMPRODUCT(MMULT(D1915:F1915,Stats!$B$12:$D$14),D1915:F1915))</f>
        <v>0.230551759344452</v>
      </c>
      <c r="I1915" s="0" t="n">
        <f aca="false">(G1915-Stats!$B$2)/H1915</f>
        <v>1.44455104114163</v>
      </c>
    </row>
    <row r="1916" customFormat="false" ht="15" hidden="false" customHeight="false" outlineLevel="0" collapsed="false">
      <c r="A1916" s="0" t="n">
        <v>0.832391041701908</v>
      </c>
      <c r="B1916" s="0" t="n">
        <v>0.991624342961228</v>
      </c>
      <c r="C1916" s="0" t="n">
        <v>0.163616204138276</v>
      </c>
      <c r="D1916" s="0" t="n">
        <f aca="false">A1916/SUM($A1916:$C1916)</f>
        <v>0.418785375716361</v>
      </c>
      <c r="E1916" s="0" t="n">
        <f aca="false">B1916/SUM($A1916:$C1916)</f>
        <v>0.498897455920994</v>
      </c>
      <c r="F1916" s="0" t="n">
        <f aca="false">C1916/SUM($A1916:$C1916)</f>
        <v>0.0823171683626444</v>
      </c>
      <c r="G1916" s="0" t="n">
        <f aca="false">SUMPRODUCT(D1916:F1916,Stats!$B$6:$D$6)</f>
        <v>0.382919754102927</v>
      </c>
      <c r="H1916" s="0" t="n">
        <f aca="false">SQRT(SUMPRODUCT(MMULT(D1916:F1916,Stats!$B$12:$D$14),D1916:F1916))</f>
        <v>0.228657981060516</v>
      </c>
      <c r="I1916" s="0" t="n">
        <f aca="false">(G1916-Stats!$B$2)/H1916</f>
        <v>1.49095934688892</v>
      </c>
    </row>
    <row r="1917" customFormat="false" ht="15" hidden="false" customHeight="false" outlineLevel="0" collapsed="false">
      <c r="A1917" s="0" t="n">
        <v>0.691777639141982</v>
      </c>
      <c r="B1917" s="0" t="n">
        <v>0.674293573700025</v>
      </c>
      <c r="C1917" s="0" t="n">
        <v>0.979955447358278</v>
      </c>
      <c r="D1917" s="0" t="n">
        <f aca="false">A1917/SUM($A1917:$C1917)</f>
        <v>0.294872028045463</v>
      </c>
      <c r="E1917" s="0" t="n">
        <f aca="false">B1917/SUM($A1917:$C1917)</f>
        <v>0.287419399420831</v>
      </c>
      <c r="F1917" s="0" t="n">
        <f aca="false">C1917/SUM($A1917:$C1917)</f>
        <v>0.417708572533706</v>
      </c>
      <c r="G1917" s="0" t="n">
        <f aca="false">SUMPRODUCT(D1917:F1917,Stats!$B$6:$D$6)</f>
        <v>0.361503291470899</v>
      </c>
      <c r="H1917" s="0" t="n">
        <f aca="false">SQRT(SUMPRODUCT(MMULT(D1917:F1917,Stats!$B$12:$D$14),D1917:F1917))</f>
        <v>0.227572576659342</v>
      </c>
      <c r="I1917" s="0" t="n">
        <f aca="false">(G1917-Stats!$B$2)/H1917</f>
        <v>1.40396218279486</v>
      </c>
    </row>
    <row r="1918" customFormat="false" ht="15" hidden="false" customHeight="false" outlineLevel="0" collapsed="false">
      <c r="A1918" s="0" t="n">
        <v>0.9856007339528</v>
      </c>
      <c r="B1918" s="0" t="n">
        <v>0.68667861172413</v>
      </c>
      <c r="C1918" s="0" t="n">
        <v>0.243614791982194</v>
      </c>
      <c r="D1918" s="0" t="n">
        <f aca="false">A1918/SUM($A1918:$C1918)</f>
        <v>0.514433816868935</v>
      </c>
      <c r="E1918" s="0" t="n">
        <f aca="false">B1918/SUM($A1918:$C1918)</f>
        <v>0.358411562636298</v>
      </c>
      <c r="F1918" s="0" t="n">
        <f aca="false">C1918/SUM($A1918:$C1918)</f>
        <v>0.127154620494767</v>
      </c>
      <c r="G1918" s="0" t="n">
        <f aca="false">SUMPRODUCT(D1918:F1918,Stats!$B$6:$D$6)</f>
        <v>0.373600002133506</v>
      </c>
      <c r="H1918" s="0" t="n">
        <f aca="false">SQRT(SUMPRODUCT(MMULT(D1918:F1918,Stats!$B$12:$D$14),D1918:F1918))</f>
        <v>0.224953725805134</v>
      </c>
      <c r="I1918" s="0" t="n">
        <f aca="false">(G1918-Stats!$B$2)/H1918</f>
        <v>1.47408095130086</v>
      </c>
    </row>
    <row r="1919" customFormat="false" ht="15" hidden="false" customHeight="false" outlineLevel="0" collapsed="false">
      <c r="A1919" s="0" t="n">
        <v>0.798555838130599</v>
      </c>
      <c r="B1919" s="0" t="n">
        <v>0.107029134211038</v>
      </c>
      <c r="C1919" s="0" t="n">
        <v>0.780699304171629</v>
      </c>
      <c r="D1919" s="0" t="n">
        <f aca="false">A1919/SUM($A1919:$C1919)</f>
        <v>0.473559440275263</v>
      </c>
      <c r="E1919" s="0" t="n">
        <f aca="false">B1919/SUM($A1919:$C1919)</f>
        <v>0.063470398023483</v>
      </c>
      <c r="F1919" s="0" t="n">
        <f aca="false">C1919/SUM($A1919:$C1919)</f>
        <v>0.462970161701254</v>
      </c>
      <c r="G1919" s="0" t="n">
        <f aca="false">SUMPRODUCT(D1919:F1919,Stats!$B$6:$D$6)</f>
        <v>0.347369484869244</v>
      </c>
      <c r="H1919" s="0" t="n">
        <f aca="false">SQRT(SUMPRODUCT(MMULT(D1919:F1919,Stats!$B$12:$D$14),D1919:F1919))</f>
        <v>0.223290309981253</v>
      </c>
      <c r="I1919" s="0" t="n">
        <f aca="false">(G1919-Stats!$B$2)/H1919</f>
        <v>1.36758950666011</v>
      </c>
    </row>
    <row r="1920" customFormat="false" ht="15" hidden="false" customHeight="false" outlineLevel="0" collapsed="false">
      <c r="A1920" s="0" t="n">
        <v>0.910196124144696</v>
      </c>
      <c r="B1920" s="0" t="n">
        <v>0.382833394768435</v>
      </c>
      <c r="C1920" s="0" t="n">
        <v>0.630635294983081</v>
      </c>
      <c r="D1920" s="0" t="n">
        <f aca="false">A1920/SUM($A1920:$C1920)</f>
        <v>0.473157338830342</v>
      </c>
      <c r="E1920" s="0" t="n">
        <f aca="false">B1920/SUM($A1920:$C1920)</f>
        <v>0.199012526508212</v>
      </c>
      <c r="F1920" s="0" t="n">
        <f aca="false">C1920/SUM($A1920:$C1920)</f>
        <v>0.327830134661446</v>
      </c>
      <c r="G1920" s="0" t="n">
        <f aca="false">SUMPRODUCT(D1920:F1920,Stats!$B$6:$D$6)</f>
        <v>0.358894837781546</v>
      </c>
      <c r="H1920" s="0" t="n">
        <f aca="false">SQRT(SUMPRODUCT(MMULT(D1920:F1920,Stats!$B$12:$D$14),D1920:F1920))</f>
        <v>0.222618754367349</v>
      </c>
      <c r="I1920" s="0" t="n">
        <f aca="false">(G1920-Stats!$B$2)/H1920</f>
        <v>1.42348670794658</v>
      </c>
    </row>
    <row r="1921" customFormat="false" ht="15" hidden="false" customHeight="false" outlineLevel="0" collapsed="false">
      <c r="A1921" s="0" t="n">
        <v>0.430142732096826</v>
      </c>
      <c r="B1921" s="0" t="n">
        <v>0.437765054988129</v>
      </c>
      <c r="C1921" s="0" t="n">
        <v>0.31037088910812</v>
      </c>
      <c r="D1921" s="0" t="n">
        <f aca="false">A1921/SUM($A1921:$C1921)</f>
        <v>0.365060270365397</v>
      </c>
      <c r="E1921" s="0" t="n">
        <f aca="false">B1921/SUM($A1921:$C1921)</f>
        <v>0.371529302730414</v>
      </c>
      <c r="F1921" s="0" t="n">
        <f aca="false">C1921/SUM($A1921:$C1921)</f>
        <v>0.263410426904189</v>
      </c>
      <c r="G1921" s="0" t="n">
        <f aca="false">SUMPRODUCT(D1921:F1921,Stats!$B$6:$D$6)</f>
        <v>0.370597578465562</v>
      </c>
      <c r="H1921" s="0" t="n">
        <f aca="false">SQRT(SUMPRODUCT(MMULT(D1921:F1921,Stats!$B$12:$D$14),D1921:F1921))</f>
        <v>0.225945001640477</v>
      </c>
      <c r="I1921" s="0" t="n">
        <f aca="false">(G1921-Stats!$B$2)/H1921</f>
        <v>1.45432550434741</v>
      </c>
    </row>
    <row r="1922" customFormat="false" ht="15" hidden="false" customHeight="false" outlineLevel="0" collapsed="false">
      <c r="A1922" s="0" t="n">
        <v>0.762129620450325</v>
      </c>
      <c r="B1922" s="0" t="n">
        <v>0.936176564166505</v>
      </c>
      <c r="C1922" s="0" t="n">
        <v>0.940750859234461</v>
      </c>
      <c r="D1922" s="0" t="n">
        <f aca="false">A1922/SUM($A1922:$C1922)</f>
        <v>0.288788611911971</v>
      </c>
      <c r="E1922" s="0" t="n">
        <f aca="false">B1922/SUM($A1922:$C1922)</f>
        <v>0.354739040729602</v>
      </c>
      <c r="F1922" s="0" t="n">
        <f aca="false">C1922/SUM($A1922:$C1922)</f>
        <v>0.356472347358427</v>
      </c>
      <c r="G1922" s="0" t="n">
        <f aca="false">SUMPRODUCT(D1922:F1922,Stats!$B$6:$D$6)</f>
        <v>0.367065341858217</v>
      </c>
      <c r="H1922" s="0" t="n">
        <f aca="false">SQRT(SUMPRODUCT(MMULT(D1922:F1922,Stats!$B$12:$D$14),D1922:F1922))</f>
        <v>0.227844070266265</v>
      </c>
      <c r="I1922" s="0" t="n">
        <f aca="false">(G1922-Stats!$B$2)/H1922</f>
        <v>1.42670090767925</v>
      </c>
    </row>
    <row r="1923" customFormat="false" ht="15" hidden="false" customHeight="false" outlineLevel="0" collapsed="false">
      <c r="A1923" s="0" t="n">
        <v>0.174781284874934</v>
      </c>
      <c r="B1923" s="0" t="n">
        <v>0.874743649656566</v>
      </c>
      <c r="C1923" s="0" t="n">
        <v>0.737431441427122</v>
      </c>
      <c r="D1923" s="0" t="n">
        <f aca="false">A1923/SUM($A1923:$C1923)</f>
        <v>0.0978094861331864</v>
      </c>
      <c r="E1923" s="0" t="n">
        <f aca="false">B1923/SUM($A1923:$C1923)</f>
        <v>0.489515950934899</v>
      </c>
      <c r="F1923" s="0" t="n">
        <f aca="false">C1923/SUM($A1923:$C1923)</f>
        <v>0.412674562931914</v>
      </c>
      <c r="G1923" s="0" t="n">
        <f aca="false">SUMPRODUCT(D1923:F1923,Stats!$B$6:$D$6)</f>
        <v>0.373270476355158</v>
      </c>
      <c r="H1923" s="0" t="n">
        <f aca="false">SQRT(SUMPRODUCT(MMULT(D1923:F1923,Stats!$B$12:$D$14),D1923:F1923))</f>
        <v>0.237082362659066</v>
      </c>
      <c r="I1923" s="0" t="n">
        <f aca="false">(G1923-Stats!$B$2)/H1923</f>
        <v>1.39728013775339</v>
      </c>
    </row>
    <row r="1924" customFormat="false" ht="15" hidden="false" customHeight="false" outlineLevel="0" collapsed="false">
      <c r="A1924" s="0" t="n">
        <v>0.252837400690289</v>
      </c>
      <c r="B1924" s="0" t="n">
        <v>0.0672846129215146</v>
      </c>
      <c r="C1924" s="0" t="n">
        <v>0.267997266884378</v>
      </c>
      <c r="D1924" s="0" t="n">
        <f aca="false">A1924/SUM($A1924:$C1924)</f>
        <v>0.429908369059039</v>
      </c>
      <c r="E1924" s="0" t="n">
        <f aca="false">B1924/SUM($A1924:$C1924)</f>
        <v>0.114406405559002</v>
      </c>
      <c r="F1924" s="0" t="n">
        <f aca="false">C1924/SUM($A1924:$C1924)</f>
        <v>0.455685225381959</v>
      </c>
      <c r="G1924" s="0" t="n">
        <f aca="false">SUMPRODUCT(D1924:F1924,Stats!$B$6:$D$6)</f>
        <v>0.350501156134724</v>
      </c>
      <c r="H1924" s="0" t="n">
        <f aca="false">SQRT(SUMPRODUCT(MMULT(D1924:F1924,Stats!$B$12:$D$14),D1924:F1924))</f>
        <v>0.223961019863232</v>
      </c>
      <c r="I1924" s="0" t="n">
        <f aca="false">(G1924-Stats!$B$2)/H1924</f>
        <v>1.37747701061157</v>
      </c>
    </row>
    <row r="1925" customFormat="false" ht="15" hidden="false" customHeight="false" outlineLevel="0" collapsed="false">
      <c r="A1925" s="0" t="n">
        <v>0.912208236781526</v>
      </c>
      <c r="B1925" s="0" t="n">
        <v>0.633178674895772</v>
      </c>
      <c r="C1925" s="0" t="n">
        <v>0.721054660897872</v>
      </c>
      <c r="D1925" s="0" t="n">
        <f aca="false">A1925/SUM($A1925:$C1925)</f>
        <v>0.402484779585586</v>
      </c>
      <c r="E1925" s="0" t="n">
        <f aca="false">B1925/SUM($A1925:$C1925)</f>
        <v>0.279371276346799</v>
      </c>
      <c r="F1925" s="0" t="n">
        <f aca="false">C1925/SUM($A1925:$C1925)</f>
        <v>0.318143944067615</v>
      </c>
      <c r="G1925" s="0" t="n">
        <f aca="false">SUMPRODUCT(D1925:F1925,Stats!$B$6:$D$6)</f>
        <v>0.363785669221084</v>
      </c>
      <c r="H1925" s="0" t="n">
        <f aca="false">SQRT(SUMPRODUCT(MMULT(D1925:F1925,Stats!$B$12:$D$14),D1925:F1925))</f>
        <v>0.224265937920326</v>
      </c>
      <c r="I1925" s="0" t="n">
        <f aca="false">(G1925-Stats!$B$2)/H1925</f>
        <v>1.43483969168516</v>
      </c>
    </row>
    <row r="1926" customFormat="false" ht="15" hidden="false" customHeight="false" outlineLevel="0" collapsed="false">
      <c r="A1926" s="0" t="n">
        <v>0.257152351109096</v>
      </c>
      <c r="B1926" s="0" t="n">
        <v>0.71938815557482</v>
      </c>
      <c r="C1926" s="0" t="n">
        <v>0.0281215062779238</v>
      </c>
      <c r="D1926" s="0" t="n">
        <f aca="false">A1926/SUM($A1926:$C1926)</f>
        <v>0.2559590666228</v>
      </c>
      <c r="E1926" s="0" t="n">
        <f aca="false">B1926/SUM($A1926:$C1926)</f>
        <v>0.716049921559187</v>
      </c>
      <c r="F1926" s="0" t="n">
        <f aca="false">C1926/SUM($A1926:$C1926)</f>
        <v>0.0279910118180132</v>
      </c>
      <c r="G1926" s="0" t="n">
        <f aca="false">SUMPRODUCT(D1926:F1926,Stats!$B$6:$D$6)</f>
        <v>0.396912448792591</v>
      </c>
      <c r="H1926" s="0" t="n">
        <f aca="false">SQRT(SUMPRODUCT(MMULT(D1926:F1926,Stats!$B$12:$D$14),D1926:F1926))</f>
        <v>0.237322315850402</v>
      </c>
      <c r="I1926" s="0" t="n">
        <f aca="false">(G1926-Stats!$B$2)/H1926</f>
        <v>1.49548704478475</v>
      </c>
    </row>
    <row r="1927" customFormat="false" ht="15" hidden="false" customHeight="false" outlineLevel="0" collapsed="false">
      <c r="A1927" s="0" t="n">
        <v>0.375321345773014</v>
      </c>
      <c r="B1927" s="0" t="n">
        <v>0.626753348542331</v>
      </c>
      <c r="C1927" s="0" t="n">
        <v>0.14609656554132</v>
      </c>
      <c r="D1927" s="0" t="n">
        <f aca="false">A1927/SUM($A1927:$C1927)</f>
        <v>0.326886204955059</v>
      </c>
      <c r="E1927" s="0" t="n">
        <f aca="false">B1927/SUM($A1927:$C1927)</f>
        <v>0.545870960592215</v>
      </c>
      <c r="F1927" s="0" t="n">
        <f aca="false">C1927/SUM($A1927:$C1927)</f>
        <v>0.127242834452727</v>
      </c>
      <c r="G1927" s="0" t="n">
        <f aca="false">SUMPRODUCT(D1927:F1927,Stats!$B$6:$D$6)</f>
        <v>0.384383740801977</v>
      </c>
      <c r="H1927" s="0" t="n">
        <f aca="false">SQRT(SUMPRODUCT(MMULT(D1927:F1927,Stats!$B$12:$D$14),D1927:F1927))</f>
        <v>0.230422766664219</v>
      </c>
      <c r="I1927" s="0" t="n">
        <f aca="false">(G1927-Stats!$B$2)/H1927</f>
        <v>1.48589371509853</v>
      </c>
    </row>
    <row r="1928" customFormat="false" ht="15" hidden="false" customHeight="false" outlineLevel="0" collapsed="false">
      <c r="A1928" s="0" t="n">
        <v>0.823003574446935</v>
      </c>
      <c r="B1928" s="0" t="n">
        <v>0.235031298811919</v>
      </c>
      <c r="C1928" s="0" t="n">
        <v>0.652281112818446</v>
      </c>
      <c r="D1928" s="0" t="n">
        <f aca="false">A1928/SUM($A1928:$C1928)</f>
        <v>0.481199720488222</v>
      </c>
      <c r="E1928" s="0" t="n">
        <f aca="false">B1928/SUM($A1928:$C1928)</f>
        <v>0.137419810564348</v>
      </c>
      <c r="F1928" s="0" t="n">
        <f aca="false">C1928/SUM($A1928:$C1928)</f>
        <v>0.38138046894743</v>
      </c>
      <c r="G1928" s="0" t="n">
        <f aca="false">SUMPRODUCT(D1928:F1928,Stats!$B$6:$D$6)</f>
        <v>0.353874242752634</v>
      </c>
      <c r="H1928" s="0" t="n">
        <f aca="false">SQRT(SUMPRODUCT(MMULT(D1928:F1928,Stats!$B$12:$D$14),D1928:F1928))</f>
        <v>0.222483125847391</v>
      </c>
      <c r="I1928" s="0" t="n">
        <f aca="false">(G1928-Stats!$B$2)/H1928</f>
        <v>1.40178829996555</v>
      </c>
    </row>
    <row r="1929" customFormat="false" ht="15" hidden="false" customHeight="false" outlineLevel="0" collapsed="false">
      <c r="A1929" s="0" t="n">
        <v>0.40519714257533</v>
      </c>
      <c r="B1929" s="0" t="n">
        <v>0.596043595477647</v>
      </c>
      <c r="C1929" s="0" t="n">
        <v>0.107450552628908</v>
      </c>
      <c r="D1929" s="0" t="n">
        <f aca="false">A1929/SUM($A1929:$C1929)</f>
        <v>0.365473370252705</v>
      </c>
      <c r="E1929" s="0" t="n">
        <f aca="false">B1929/SUM($A1929:$C1929)</f>
        <v>0.53761006376361</v>
      </c>
      <c r="F1929" s="0" t="n">
        <f aca="false">C1929/SUM($A1929:$C1929)</f>
        <v>0.0969165659836853</v>
      </c>
      <c r="G1929" s="0" t="n">
        <f aca="false">SUMPRODUCT(D1929:F1929,Stats!$B$6:$D$6)</f>
        <v>0.384744654679266</v>
      </c>
      <c r="H1929" s="0" t="n">
        <f aca="false">SQRT(SUMPRODUCT(MMULT(D1929:F1929,Stats!$B$12:$D$14),D1929:F1929))</f>
        <v>0.229935668328346</v>
      </c>
      <c r="I1929" s="0" t="n">
        <f aca="false">(G1929-Stats!$B$2)/H1929</f>
        <v>1.49061107905117</v>
      </c>
    </row>
    <row r="1930" customFormat="false" ht="15" hidden="false" customHeight="false" outlineLevel="0" collapsed="false">
      <c r="A1930" s="0" t="n">
        <v>0.0169127999216073</v>
      </c>
      <c r="B1930" s="0" t="n">
        <v>0.909564427380301</v>
      </c>
      <c r="C1930" s="0" t="n">
        <v>0.269630008767183</v>
      </c>
      <c r="D1930" s="0" t="n">
        <f aca="false">A1930/SUM($A1930:$C1930)</f>
        <v>0.014139869245495</v>
      </c>
      <c r="E1930" s="0" t="n">
        <f aca="false">B1930/SUM($A1930:$C1930)</f>
        <v>0.760437191542717</v>
      </c>
      <c r="F1930" s="0" t="n">
        <f aca="false">C1930/SUM($A1930:$C1930)</f>
        <v>0.225422939211788</v>
      </c>
      <c r="G1930" s="0" t="n">
        <f aca="false">SUMPRODUCT(D1930:F1930,Stats!$B$6:$D$6)</f>
        <v>0.394022325396553</v>
      </c>
      <c r="H1930" s="0" t="n">
        <f aca="false">SQRT(SUMPRODUCT(MMULT(D1930:F1930,Stats!$B$12:$D$14),D1930:F1930))</f>
        <v>0.245130272384794</v>
      </c>
      <c r="I1930" s="0" t="n">
        <f aca="false">(G1930-Stats!$B$2)/H1930</f>
        <v>1.43606222916427</v>
      </c>
    </row>
    <row r="1931" customFormat="false" ht="15" hidden="false" customHeight="false" outlineLevel="0" collapsed="false">
      <c r="A1931" s="0" t="n">
        <v>0.819677002780459</v>
      </c>
      <c r="B1931" s="0" t="n">
        <v>0.9993503004722</v>
      </c>
      <c r="C1931" s="0" t="n">
        <v>0.211431257998911</v>
      </c>
      <c r="D1931" s="0" t="n">
        <f aca="false">A1931/SUM($A1931:$C1931)</f>
        <v>0.403690584197499</v>
      </c>
      <c r="E1931" s="0" t="n">
        <f aca="false">B1931/SUM($A1931:$C1931)</f>
        <v>0.492179608854565</v>
      </c>
      <c r="F1931" s="0" t="n">
        <f aca="false">C1931/SUM($A1931:$C1931)</f>
        <v>0.104129806947937</v>
      </c>
      <c r="G1931" s="0" t="n">
        <f aca="false">SUMPRODUCT(D1931:F1931,Stats!$B$6:$D$6)</f>
        <v>0.381931742758056</v>
      </c>
      <c r="H1931" s="0" t="n">
        <f aca="false">SQRT(SUMPRODUCT(MMULT(D1931:F1931,Stats!$B$12:$D$14),D1931:F1931))</f>
        <v>0.228397346599286</v>
      </c>
      <c r="I1931" s="0" t="n">
        <f aca="false">(G1931-Stats!$B$2)/H1931</f>
        <v>1.48833490327036</v>
      </c>
    </row>
    <row r="1932" customFormat="false" ht="15" hidden="false" customHeight="false" outlineLevel="0" collapsed="false">
      <c r="A1932" s="0" t="n">
        <v>0.265170741183356</v>
      </c>
      <c r="B1932" s="0" t="n">
        <v>0.662859787634666</v>
      </c>
      <c r="C1932" s="0" t="n">
        <v>0.965448634600621</v>
      </c>
      <c r="D1932" s="0" t="n">
        <f aca="false">A1932/SUM($A1932:$C1932)</f>
        <v>0.140044182321286</v>
      </c>
      <c r="E1932" s="0" t="n">
        <f aca="false">B1932/SUM($A1932:$C1932)</f>
        <v>0.350075036705386</v>
      </c>
      <c r="F1932" s="0" t="n">
        <f aca="false">C1932/SUM($A1932:$C1932)</f>
        <v>0.509880780973328</v>
      </c>
      <c r="G1932" s="0" t="n">
        <f aca="false">SUMPRODUCT(D1932:F1932,Stats!$B$6:$D$6)</f>
        <v>0.362566802550221</v>
      </c>
      <c r="H1932" s="0" t="n">
        <f aca="false">SQRT(SUMPRODUCT(MMULT(D1932:F1932,Stats!$B$12:$D$14),D1932:F1932))</f>
        <v>0.235127626458635</v>
      </c>
      <c r="I1932" s="0" t="n">
        <f aca="false">(G1932-Stats!$B$2)/H1932</f>
        <v>1.36337361703695</v>
      </c>
    </row>
    <row r="1933" customFormat="false" ht="15" hidden="false" customHeight="false" outlineLevel="0" collapsed="false">
      <c r="A1933" s="0" t="n">
        <v>0.915814348190744</v>
      </c>
      <c r="B1933" s="0" t="n">
        <v>0.502875520065585</v>
      </c>
      <c r="C1933" s="0" t="n">
        <v>0.795110282526725</v>
      </c>
      <c r="D1933" s="0" t="n">
        <f aca="false">A1933/SUM($A1933:$C1933)</f>
        <v>0.413684292083369</v>
      </c>
      <c r="E1933" s="0" t="n">
        <f aca="false">B1933/SUM($A1933:$C1933)</f>
        <v>0.227154885633064</v>
      </c>
      <c r="F1933" s="0" t="n">
        <f aca="false">C1933/SUM($A1933:$C1933)</f>
        <v>0.359160822283566</v>
      </c>
      <c r="G1933" s="0" t="n">
        <f aca="false">SUMPRODUCT(D1933:F1933,Stats!$B$6:$D$6)</f>
        <v>0.359650181040884</v>
      </c>
      <c r="H1933" s="0" t="n">
        <f aca="false">SQRT(SUMPRODUCT(MMULT(D1933:F1933,Stats!$B$12:$D$14),D1933:F1933))</f>
        <v>0.223824435864624</v>
      </c>
      <c r="I1933" s="0" t="n">
        <f aca="false">(G1933-Stats!$B$2)/H1933</f>
        <v>1.41919348445497</v>
      </c>
    </row>
    <row r="1934" customFormat="false" ht="15" hidden="false" customHeight="false" outlineLevel="0" collapsed="false">
      <c r="A1934" s="0" t="n">
        <v>0.135745853099901</v>
      </c>
      <c r="B1934" s="0" t="n">
        <v>0.977438184204012</v>
      </c>
      <c r="C1934" s="0" t="n">
        <v>0.964353234035987</v>
      </c>
      <c r="D1934" s="0" t="n">
        <f aca="false">A1934/SUM($A1934:$C1934)</f>
        <v>0.0653397919606767</v>
      </c>
      <c r="E1934" s="0" t="n">
        <f aca="false">B1934/SUM($A1934:$C1934)</f>
        <v>0.470479253339035</v>
      </c>
      <c r="F1934" s="0" t="n">
        <f aca="false">C1934/SUM($A1934:$C1934)</f>
        <v>0.464180954700288</v>
      </c>
      <c r="G1934" s="0" t="n">
        <f aca="false">SUMPRODUCT(D1934:F1934,Stats!$B$6:$D$6)</f>
        <v>0.370754860471594</v>
      </c>
      <c r="H1934" s="0" t="n">
        <f aca="false">SQRT(SUMPRODUCT(MMULT(D1934:F1934,Stats!$B$12:$D$14),D1934:F1934))</f>
        <v>0.239047127482046</v>
      </c>
      <c r="I1934" s="0" t="n">
        <f aca="false">(G1934-Stats!$B$2)/H1934</f>
        <v>1.37527216467508</v>
      </c>
    </row>
    <row r="1935" customFormat="false" ht="15" hidden="false" customHeight="false" outlineLevel="0" collapsed="false">
      <c r="A1935" s="0" t="n">
        <v>0.163728957879171</v>
      </c>
      <c r="B1935" s="0" t="n">
        <v>0.299423124803107</v>
      </c>
      <c r="C1935" s="0" t="n">
        <v>0.100154997506767</v>
      </c>
      <c r="D1935" s="0" t="n">
        <f aca="false">A1935/SUM($A1935:$C1935)</f>
        <v>0.290656666030585</v>
      </c>
      <c r="E1935" s="0" t="n">
        <f aca="false">B1935/SUM($A1935:$C1935)</f>
        <v>0.531545111598137</v>
      </c>
      <c r="F1935" s="0" t="n">
        <f aca="false">C1935/SUM($A1935:$C1935)</f>
        <v>0.177798222371278</v>
      </c>
      <c r="G1935" s="0" t="n">
        <f aca="false">SUMPRODUCT(D1935:F1935,Stats!$B$6:$D$6)</f>
        <v>0.382165404615212</v>
      </c>
      <c r="H1935" s="0" t="n">
        <f aca="false">SQRT(SUMPRODUCT(MMULT(D1935:F1935,Stats!$B$12:$D$14),D1935:F1935))</f>
        <v>0.230489192877239</v>
      </c>
      <c r="I1935" s="0" t="n">
        <f aca="false">(G1935-Stats!$B$2)/H1935</f>
        <v>1.47584101609652</v>
      </c>
    </row>
    <row r="1936" customFormat="false" ht="15" hidden="false" customHeight="false" outlineLevel="0" collapsed="false">
      <c r="A1936" s="0" t="n">
        <v>0.27171759889818</v>
      </c>
      <c r="B1936" s="0" t="n">
        <v>0.815955789415207</v>
      </c>
      <c r="C1936" s="0" t="n">
        <v>0.37831560716526</v>
      </c>
      <c r="D1936" s="0" t="n">
        <f aca="false">A1936/SUM($A1936:$C1936)</f>
        <v>0.185347638854181</v>
      </c>
      <c r="E1936" s="0" t="n">
        <f aca="false">B1936/SUM($A1936:$C1936)</f>
        <v>0.556590664685581</v>
      </c>
      <c r="F1936" s="0" t="n">
        <f aca="false">C1936/SUM($A1936:$C1936)</f>
        <v>0.258061696460238</v>
      </c>
      <c r="G1936" s="0" t="n">
        <f aca="false">SUMPRODUCT(D1936:F1936,Stats!$B$6:$D$6)</f>
        <v>0.38139325889699</v>
      </c>
      <c r="H1936" s="0" t="n">
        <f aca="false">SQRT(SUMPRODUCT(MMULT(D1936:F1936,Stats!$B$12:$D$14),D1936:F1936))</f>
        <v>0.233779252760393</v>
      </c>
      <c r="I1936" s="0" t="n">
        <f aca="false">(G1936-Stats!$B$2)/H1936</f>
        <v>1.45176808844044</v>
      </c>
    </row>
    <row r="1937" customFormat="false" ht="15" hidden="false" customHeight="false" outlineLevel="0" collapsed="false">
      <c r="A1937" s="0" t="n">
        <v>0.0883969671467584</v>
      </c>
      <c r="B1937" s="0" t="n">
        <v>0.342225524778905</v>
      </c>
      <c r="C1937" s="0" t="n">
        <v>0.98138333424128</v>
      </c>
      <c r="D1937" s="0" t="n">
        <f aca="false">A1937/SUM($A1937:$C1937)</f>
        <v>0.0626038260668672</v>
      </c>
      <c r="E1937" s="0" t="n">
        <f aca="false">B1937/SUM($A1937:$C1937)</f>
        <v>0.24236835177084</v>
      </c>
      <c r="F1937" s="0" t="n">
        <f aca="false">C1937/SUM($A1937:$C1937)</f>
        <v>0.695027822162293</v>
      </c>
      <c r="G1937" s="0" t="n">
        <f aca="false">SUMPRODUCT(D1937:F1937,Stats!$B$6:$D$6)</f>
        <v>0.351264140851632</v>
      </c>
      <c r="H1937" s="0" t="n">
        <f aca="false">SQRT(SUMPRODUCT(MMULT(D1937:F1937,Stats!$B$12:$D$14),D1937:F1937))</f>
        <v>0.242961993151899</v>
      </c>
      <c r="I1937" s="0" t="n">
        <f aca="false">(G1937-Stats!$B$2)/H1937</f>
        <v>1.27289102645071</v>
      </c>
    </row>
    <row r="1938" customFormat="false" ht="15" hidden="false" customHeight="false" outlineLevel="0" collapsed="false">
      <c r="A1938" s="0" t="n">
        <v>0.629683595259203</v>
      </c>
      <c r="B1938" s="0" t="n">
        <v>0.416160946406158</v>
      </c>
      <c r="C1938" s="0" t="n">
        <v>0.16653851349727</v>
      </c>
      <c r="D1938" s="0" t="n">
        <f aca="false">A1938/SUM($A1938:$C1938)</f>
        <v>0.519376770054524</v>
      </c>
      <c r="E1938" s="0" t="n">
        <f aca="false">B1938/SUM($A1938:$C1938)</f>
        <v>0.343258629881076</v>
      </c>
      <c r="F1938" s="0" t="n">
        <f aca="false">C1938/SUM($A1938:$C1938)</f>
        <v>0.1373646000644</v>
      </c>
      <c r="G1938" s="0" t="n">
        <f aca="false">SUMPRODUCT(D1938:F1938,Stats!$B$6:$D$6)</f>
        <v>0.37244658573516</v>
      </c>
      <c r="H1938" s="0" t="n">
        <f aca="false">SQRT(SUMPRODUCT(MMULT(D1938:F1938,Stats!$B$12:$D$14),D1938:F1938))</f>
        <v>0.224596298301925</v>
      </c>
      <c r="I1938" s="0" t="n">
        <f aca="false">(G1938-Stats!$B$2)/H1938</f>
        <v>1.47129132685411</v>
      </c>
    </row>
    <row r="1939" customFormat="false" ht="15" hidden="false" customHeight="false" outlineLevel="0" collapsed="false">
      <c r="A1939" s="0" t="n">
        <v>0.986176797283695</v>
      </c>
      <c r="B1939" s="0" t="n">
        <v>0.820849009263129</v>
      </c>
      <c r="C1939" s="0" t="n">
        <v>0.281477302450919</v>
      </c>
      <c r="D1939" s="0" t="n">
        <f aca="false">A1939/SUM($A1939:$C1939)</f>
        <v>0.472193119098086</v>
      </c>
      <c r="E1939" s="0" t="n">
        <f aca="false">B1939/SUM($A1939:$C1939)</f>
        <v>0.393032218016208</v>
      </c>
      <c r="F1939" s="0" t="n">
        <f aca="false">C1939/SUM($A1939:$C1939)</f>
        <v>0.134774662885706</v>
      </c>
      <c r="G1939" s="0" t="n">
        <f aca="false">SUMPRODUCT(D1939:F1939,Stats!$B$6:$D$6)</f>
        <v>0.375381910097321</v>
      </c>
      <c r="H1939" s="0" t="n">
        <f aca="false">SQRT(SUMPRODUCT(MMULT(D1939:F1939,Stats!$B$12:$D$14),D1939:F1939))</f>
        <v>0.225611217418065</v>
      </c>
      <c r="I1939" s="0" t="n">
        <f aca="false">(G1939-Stats!$B$2)/H1939</f>
        <v>1.4776832194454</v>
      </c>
    </row>
    <row r="1940" customFormat="false" ht="15" hidden="false" customHeight="false" outlineLevel="0" collapsed="false">
      <c r="A1940" s="0" t="n">
        <v>0.0700686957211895</v>
      </c>
      <c r="B1940" s="0" t="n">
        <v>0.056625557377558</v>
      </c>
      <c r="C1940" s="0" t="n">
        <v>0.120378149505534</v>
      </c>
      <c r="D1940" s="0" t="n">
        <f aca="false">A1940/SUM($A1940:$C1940)</f>
        <v>0.283595800189039</v>
      </c>
      <c r="E1940" s="0" t="n">
        <f aca="false">B1940/SUM($A1940:$C1940)</f>
        <v>0.229186087886356</v>
      </c>
      <c r="F1940" s="0" t="n">
        <f aca="false">C1940/SUM($A1940:$C1940)</f>
        <v>0.487218111924605</v>
      </c>
      <c r="G1940" s="0" t="n">
        <f aca="false">SUMPRODUCT(D1940:F1940,Stats!$B$6:$D$6)</f>
        <v>0.356235923281176</v>
      </c>
      <c r="H1940" s="0" t="n">
        <f aca="false">SQRT(SUMPRODUCT(MMULT(D1940:F1940,Stats!$B$12:$D$14),D1940:F1940))</f>
        <v>0.228496237832433</v>
      </c>
      <c r="I1940" s="0" t="n">
        <f aca="false">(G1940-Stats!$B$2)/H1940</f>
        <v>1.37523456080541</v>
      </c>
    </row>
    <row r="1941" customFormat="false" ht="15" hidden="false" customHeight="false" outlineLevel="0" collapsed="false">
      <c r="A1941" s="0" t="n">
        <v>0.580768583614422</v>
      </c>
      <c r="B1941" s="0" t="n">
        <v>0.928763421205492</v>
      </c>
      <c r="C1941" s="0" t="n">
        <v>0.496743428005985</v>
      </c>
      <c r="D1941" s="0" t="n">
        <f aca="false">A1941/SUM($A1941:$C1941)</f>
        <v>0.289475998216452</v>
      </c>
      <c r="E1941" s="0" t="n">
        <f aca="false">B1941/SUM($A1941:$C1941)</f>
        <v>0.462929170147541</v>
      </c>
      <c r="F1941" s="0" t="n">
        <f aca="false">C1941/SUM($A1941:$C1941)</f>
        <v>0.247594831636007</v>
      </c>
      <c r="G1941" s="0" t="n">
        <f aca="false">SUMPRODUCT(D1941:F1941,Stats!$B$6:$D$6)</f>
        <v>0.376292717496732</v>
      </c>
      <c r="H1941" s="0" t="n">
        <f aca="false">SQRT(SUMPRODUCT(MMULT(D1941:F1941,Stats!$B$12:$D$14),D1941:F1941))</f>
        <v>0.229019127042687</v>
      </c>
      <c r="I1941" s="0" t="n">
        <f aca="false">(G1941-Stats!$B$2)/H1941</f>
        <v>1.45967160827761</v>
      </c>
    </row>
    <row r="1942" customFormat="false" ht="15" hidden="false" customHeight="false" outlineLevel="0" collapsed="false">
      <c r="A1942" s="0" t="n">
        <v>0.842945482456197</v>
      </c>
      <c r="B1942" s="0" t="n">
        <v>0.445886619859808</v>
      </c>
      <c r="C1942" s="0" t="n">
        <v>0.708583545767825</v>
      </c>
      <c r="D1942" s="0" t="n">
        <f aca="false">A1942/SUM($A1942:$C1942)</f>
        <v>0.422018062822756</v>
      </c>
      <c r="E1942" s="0" t="n">
        <f aca="false">B1942/SUM($A1942:$C1942)</f>
        <v>0.223231764649265</v>
      </c>
      <c r="F1942" s="0" t="n">
        <f aca="false">C1942/SUM($A1942:$C1942)</f>
        <v>0.35475017252798</v>
      </c>
      <c r="G1942" s="0" t="n">
        <f aca="false">SUMPRODUCT(D1942:F1942,Stats!$B$6:$D$6)</f>
        <v>0.359546071707657</v>
      </c>
      <c r="H1942" s="0" t="n">
        <f aca="false">SQRT(SUMPRODUCT(MMULT(D1942:F1942,Stats!$B$12:$D$14),D1942:F1942))</f>
        <v>0.223627887208603</v>
      </c>
      <c r="I1942" s="0" t="n">
        <f aca="false">(G1942-Stats!$B$2)/H1942</f>
        <v>1.419975279789</v>
      </c>
    </row>
    <row r="1943" customFormat="false" ht="15" hidden="false" customHeight="false" outlineLevel="0" collapsed="false">
      <c r="A1943" s="0" t="n">
        <v>0.731872737286501</v>
      </c>
      <c r="B1943" s="0" t="n">
        <v>0.173963705903339</v>
      </c>
      <c r="C1943" s="0" t="n">
        <v>0.361216058975812</v>
      </c>
      <c r="D1943" s="0" t="n">
        <f aca="false">A1943/SUM($A1943:$C1943)</f>
        <v>0.577618319710968</v>
      </c>
      <c r="E1943" s="0" t="n">
        <f aca="false">B1943/SUM($A1943:$C1943)</f>
        <v>0.13729794590674</v>
      </c>
      <c r="F1943" s="0" t="n">
        <f aca="false">C1943/SUM($A1943:$C1943)</f>
        <v>0.285083734382293</v>
      </c>
      <c r="G1943" s="0" t="n">
        <f aca="false">SUMPRODUCT(D1943:F1943,Stats!$B$6:$D$6)</f>
        <v>0.356522576235924</v>
      </c>
      <c r="H1943" s="0" t="n">
        <f aca="false">SQRT(SUMPRODUCT(MMULT(D1943:F1943,Stats!$B$12:$D$14),D1943:F1943))</f>
        <v>0.221539305156398</v>
      </c>
      <c r="I1943" s="0" t="n">
        <f aca="false">(G1943-Stats!$B$2)/H1943</f>
        <v>1.41971455590638</v>
      </c>
    </row>
    <row r="1944" customFormat="false" ht="15" hidden="false" customHeight="false" outlineLevel="0" collapsed="false">
      <c r="A1944" s="0" t="n">
        <v>0.637302156538024</v>
      </c>
      <c r="B1944" s="0" t="n">
        <v>0.0706966081843662</v>
      </c>
      <c r="C1944" s="0" t="n">
        <v>0.361540187762957</v>
      </c>
      <c r="D1944" s="0" t="n">
        <f aca="false">A1944/SUM($A1944:$C1944)</f>
        <v>0.595866242231842</v>
      </c>
      <c r="E1944" s="0" t="n">
        <f aca="false">B1944/SUM($A1944:$C1944)</f>
        <v>0.0661000780009784</v>
      </c>
      <c r="F1944" s="0" t="n">
        <f aca="false">C1944/SUM($A1944:$C1944)</f>
        <v>0.33803367976718</v>
      </c>
      <c r="G1944" s="0" t="n">
        <f aca="false">SUMPRODUCT(D1944:F1944,Stats!$B$6:$D$6)</f>
        <v>0.350965868687855</v>
      </c>
      <c r="H1944" s="0" t="n">
        <f aca="false">SQRT(SUMPRODUCT(MMULT(D1944:F1944,Stats!$B$12:$D$14),D1944:F1944))</f>
        <v>0.221320171011953</v>
      </c>
      <c r="I1944" s="0" t="n">
        <f aca="false">(G1944-Stats!$B$2)/H1944</f>
        <v>1.39601314816971</v>
      </c>
    </row>
    <row r="1945" customFormat="false" ht="15" hidden="false" customHeight="false" outlineLevel="0" collapsed="false">
      <c r="A1945" s="0" t="n">
        <v>0.534799466281193</v>
      </c>
      <c r="B1945" s="0" t="n">
        <v>0.996224493044639</v>
      </c>
      <c r="C1945" s="0" t="n">
        <v>0.474533562622441</v>
      </c>
      <c r="D1945" s="0" t="n">
        <f aca="false">A1945/SUM($A1945:$C1945)</f>
        <v>0.266658752206553</v>
      </c>
      <c r="E1945" s="0" t="n">
        <f aca="false">B1945/SUM($A1945:$C1945)</f>
        <v>0.496731947172909</v>
      </c>
      <c r="F1945" s="0" t="n">
        <f aca="false">C1945/SUM($A1945:$C1945)</f>
        <v>0.236609300620538</v>
      </c>
      <c r="G1945" s="0" t="n">
        <f aca="false">SUMPRODUCT(D1945:F1945,Stats!$B$6:$D$6)</f>
        <v>0.378540607329188</v>
      </c>
      <c r="H1945" s="0" t="n">
        <f aca="false">SQRT(SUMPRODUCT(MMULT(D1945:F1945,Stats!$B$12:$D$14),D1945:F1945))</f>
        <v>0.230209951150418</v>
      </c>
      <c r="I1945" s="0" t="n">
        <f aca="false">(G1945-Stats!$B$2)/H1945</f>
        <v>1.46188557726288</v>
      </c>
    </row>
    <row r="1946" customFormat="false" ht="15" hidden="false" customHeight="false" outlineLevel="0" collapsed="false">
      <c r="A1946" s="0" t="n">
        <v>0.816056757114324</v>
      </c>
      <c r="B1946" s="0" t="n">
        <v>0.432067285066618</v>
      </c>
      <c r="C1946" s="0" t="n">
        <v>0.796390722619709</v>
      </c>
      <c r="D1946" s="0" t="n">
        <f aca="false">A1946/SUM($A1946:$C1946)</f>
        <v>0.3991444675108</v>
      </c>
      <c r="E1946" s="0" t="n">
        <f aca="false">B1946/SUM($A1946:$C1946)</f>
        <v>0.211329990130321</v>
      </c>
      <c r="F1946" s="0" t="n">
        <f aca="false">C1946/SUM($A1946:$C1946)</f>
        <v>0.389525542358879</v>
      </c>
      <c r="G1946" s="0" t="n">
        <f aca="false">SUMPRODUCT(D1946:F1946,Stats!$B$6:$D$6)</f>
        <v>0.357902341558226</v>
      </c>
      <c r="H1946" s="0" t="n">
        <f aca="false">SQRT(SUMPRODUCT(MMULT(D1946:F1946,Stats!$B$12:$D$14),D1946:F1946))</f>
        <v>0.224210932086334</v>
      </c>
      <c r="I1946" s="0" t="n">
        <f aca="false">(G1946-Stats!$B$2)/H1946</f>
        <v>1.40895155565646</v>
      </c>
    </row>
    <row r="1947" customFormat="false" ht="15" hidden="false" customHeight="false" outlineLevel="0" collapsed="false">
      <c r="A1947" s="0" t="n">
        <v>0.595414801620108</v>
      </c>
      <c r="B1947" s="0" t="n">
        <v>0.886595441502398</v>
      </c>
      <c r="C1947" s="0" t="n">
        <v>0.41094255235011</v>
      </c>
      <c r="D1947" s="0" t="n">
        <f aca="false">A1947/SUM($A1947:$C1947)</f>
        <v>0.314542868181481</v>
      </c>
      <c r="E1947" s="0" t="n">
        <f aca="false">B1947/SUM($A1947:$C1947)</f>
        <v>0.468366376395055</v>
      </c>
      <c r="F1947" s="0" t="n">
        <f aca="false">C1947/SUM($A1947:$C1947)</f>
        <v>0.217090755423465</v>
      </c>
      <c r="G1947" s="0" t="n">
        <f aca="false">SUMPRODUCT(D1947:F1947,Stats!$B$6:$D$6)</f>
        <v>0.377446705476052</v>
      </c>
      <c r="H1947" s="0" t="n">
        <f aca="false">SQRT(SUMPRODUCT(MMULT(D1947:F1947,Stats!$B$12:$D$14),D1947:F1947))</f>
        <v>0.228582418905811</v>
      </c>
      <c r="I1947" s="0" t="n">
        <f aca="false">(G1947-Stats!$B$2)/H1947</f>
        <v>1.46750877465461</v>
      </c>
    </row>
    <row r="1948" customFormat="false" ht="15" hidden="false" customHeight="false" outlineLevel="0" collapsed="false">
      <c r="A1948" s="0" t="n">
        <v>0.604304419821479</v>
      </c>
      <c r="B1948" s="0" t="n">
        <v>0.630018680618827</v>
      </c>
      <c r="C1948" s="0" t="n">
        <v>0.417382941800473</v>
      </c>
      <c r="D1948" s="0" t="n">
        <f aca="false">A1948/SUM($A1948:$C1948)</f>
        <v>0.365866809448522</v>
      </c>
      <c r="E1948" s="0" t="n">
        <f aca="false">B1948/SUM($A1948:$C1948)</f>
        <v>0.381435112851022</v>
      </c>
      <c r="F1948" s="0" t="n">
        <f aca="false">C1948/SUM($A1948:$C1948)</f>
        <v>0.252698077700456</v>
      </c>
      <c r="G1948" s="0" t="n">
        <f aca="false">SUMPRODUCT(D1948:F1948,Stats!$B$6:$D$6)</f>
        <v>0.371462934868169</v>
      </c>
      <c r="H1948" s="0" t="n">
        <f aca="false">SQRT(SUMPRODUCT(MMULT(D1948:F1948,Stats!$B$12:$D$14),D1948:F1948))</f>
        <v>0.226075604451734</v>
      </c>
      <c r="I1948" s="0" t="n">
        <f aca="false">(G1948-Stats!$B$2)/H1948</f>
        <v>1.45731307748646</v>
      </c>
    </row>
    <row r="1949" customFormat="false" ht="15" hidden="false" customHeight="false" outlineLevel="0" collapsed="false">
      <c r="A1949" s="0" t="n">
        <v>0.144312043687482</v>
      </c>
      <c r="B1949" s="0" t="n">
        <v>0.0935594069123356</v>
      </c>
      <c r="C1949" s="0" t="n">
        <v>0.0166715505996331</v>
      </c>
      <c r="D1949" s="0" t="n">
        <f aca="false">A1949/SUM($A1949:$C1949)</f>
        <v>0.566945635933648</v>
      </c>
      <c r="E1949" s="0" t="n">
        <f aca="false">B1949/SUM($A1949:$C1949)</f>
        <v>0.367558355450622</v>
      </c>
      <c r="F1949" s="0" t="n">
        <f aca="false">C1949/SUM($A1949:$C1949)</f>
        <v>0.0654960086157306</v>
      </c>
      <c r="G1949" s="0" t="n">
        <f aca="false">SUMPRODUCT(D1949:F1949,Stats!$B$6:$D$6)</f>
        <v>0.375826509260996</v>
      </c>
      <c r="H1949" s="0" t="n">
        <f aca="false">SQRT(SUMPRODUCT(MMULT(D1949:F1949,Stats!$B$12:$D$14),D1949:F1949))</f>
        <v>0.226004307529709</v>
      </c>
      <c r="I1949" s="0" t="n">
        <f aca="false">(G1949-Stats!$B$2)/H1949</f>
        <v>1.47708029510506</v>
      </c>
    </row>
    <row r="1950" customFormat="false" ht="15" hidden="false" customHeight="false" outlineLevel="0" collapsed="false">
      <c r="A1950" s="0" t="n">
        <v>0.873534264245215</v>
      </c>
      <c r="B1950" s="0" t="n">
        <v>0.236474912238695</v>
      </c>
      <c r="C1950" s="0" t="n">
        <v>0.211506749281768</v>
      </c>
      <c r="D1950" s="0" t="n">
        <f aca="false">A1950/SUM($A1950:$C1950)</f>
        <v>0.661009260057986</v>
      </c>
      <c r="E1950" s="0" t="n">
        <f aca="false">B1950/SUM($A1950:$C1950)</f>
        <v>0.178942158492477</v>
      </c>
      <c r="F1950" s="0" t="n">
        <f aca="false">C1950/SUM($A1950:$C1950)</f>
        <v>0.160048581449537</v>
      </c>
      <c r="G1950" s="0" t="n">
        <f aca="false">SUMPRODUCT(D1950:F1950,Stats!$B$6:$D$6)</f>
        <v>0.36236652658013</v>
      </c>
      <c r="H1950" s="0" t="n">
        <f aca="false">SQRT(SUMPRODUCT(MMULT(D1950:F1950,Stats!$B$12:$D$14),D1950:F1950))</f>
        <v>0.222922003327194</v>
      </c>
      <c r="I1950" s="0" t="n">
        <f aca="false">(G1950-Stats!$B$2)/H1950</f>
        <v>1.4371238451052</v>
      </c>
    </row>
    <row r="1951" customFormat="false" ht="15" hidden="false" customHeight="false" outlineLevel="0" collapsed="false">
      <c r="A1951" s="0" t="n">
        <v>0.736035400426066</v>
      </c>
      <c r="B1951" s="0" t="n">
        <v>0.320016113087392</v>
      </c>
      <c r="C1951" s="0" t="n">
        <v>0.506044692411837</v>
      </c>
      <c r="D1951" s="0" t="n">
        <f aca="false">A1951/SUM($A1951:$C1951)</f>
        <v>0.471184423618827</v>
      </c>
      <c r="E1951" s="0" t="n">
        <f aca="false">B1951/SUM($A1951:$C1951)</f>
        <v>0.20486325481972</v>
      </c>
      <c r="F1951" s="0" t="n">
        <f aca="false">C1951/SUM($A1951:$C1951)</f>
        <v>0.323952321561453</v>
      </c>
      <c r="G1951" s="0" t="n">
        <f aca="false">SUMPRODUCT(D1951:F1951,Stats!$B$6:$D$6)</f>
        <v>0.359338410320888</v>
      </c>
      <c r="H1951" s="0" t="n">
        <f aca="false">SQRT(SUMPRODUCT(MMULT(D1951:F1951,Stats!$B$12:$D$14),D1951:F1951))</f>
        <v>0.222669318929501</v>
      </c>
      <c r="I1951" s="0" t="n">
        <f aca="false">(G1951-Stats!$B$2)/H1951</f>
        <v>1.42515552590054</v>
      </c>
    </row>
    <row r="1952" customFormat="false" ht="15" hidden="false" customHeight="false" outlineLevel="0" collapsed="false">
      <c r="A1952" s="0" t="n">
        <v>0.162511065297456</v>
      </c>
      <c r="B1952" s="0" t="n">
        <v>0.959745721461969</v>
      </c>
      <c r="C1952" s="0" t="n">
        <v>0.851581400017237</v>
      </c>
      <c r="D1952" s="0" t="n">
        <f aca="false">A1952/SUM($A1952:$C1952)</f>
        <v>0.082332516609602</v>
      </c>
      <c r="E1952" s="0" t="n">
        <f aca="false">B1952/SUM($A1952:$C1952)</f>
        <v>0.486233232233318</v>
      </c>
      <c r="F1952" s="0" t="n">
        <f aca="false">C1952/SUM($A1952:$C1952)</f>
        <v>0.43143425115708</v>
      </c>
      <c r="G1952" s="0" t="n">
        <f aca="false">SUMPRODUCT(D1952:F1952,Stats!$B$6:$D$6)</f>
        <v>0.372564301782355</v>
      </c>
      <c r="H1952" s="0" t="n">
        <f aca="false">SQRT(SUMPRODUCT(MMULT(D1952:F1952,Stats!$B$12:$D$14),D1952:F1952))</f>
        <v>0.237977275322892</v>
      </c>
      <c r="I1952" s="0" t="n">
        <f aca="false">(G1952-Stats!$B$2)/H1952</f>
        <v>1.38905826757551</v>
      </c>
    </row>
    <row r="1953" customFormat="false" ht="15" hidden="false" customHeight="false" outlineLevel="0" collapsed="false">
      <c r="A1953" s="0" t="n">
        <v>0.863789622965003</v>
      </c>
      <c r="B1953" s="0" t="n">
        <v>0.406773748572005</v>
      </c>
      <c r="C1953" s="0" t="n">
        <v>0.762361213707173</v>
      </c>
      <c r="D1953" s="0" t="n">
        <f aca="false">A1953/SUM($A1953:$C1953)</f>
        <v>0.424899983617076</v>
      </c>
      <c r="E1953" s="0" t="n">
        <f aca="false">B1953/SUM($A1953:$C1953)</f>
        <v>0.200092886634625</v>
      </c>
      <c r="F1953" s="0" t="n">
        <f aca="false">C1953/SUM($A1953:$C1953)</f>
        <v>0.3750071297483</v>
      </c>
      <c r="G1953" s="0" t="n">
        <f aca="false">SUMPRODUCT(D1953:F1953,Stats!$B$6:$D$6)</f>
        <v>0.357656112810644</v>
      </c>
      <c r="H1953" s="0" t="n">
        <f aca="false">SQRT(SUMPRODUCT(MMULT(D1953:F1953,Stats!$B$12:$D$14),D1953:F1953))</f>
        <v>0.223559426623545</v>
      </c>
      <c r="I1953" s="0" t="n">
        <f aca="false">(G1953-Stats!$B$2)/H1953</f>
        <v>1.41195617459774</v>
      </c>
    </row>
    <row r="1954" customFormat="false" ht="15" hidden="false" customHeight="false" outlineLevel="0" collapsed="false">
      <c r="A1954" s="0" t="n">
        <v>0.14387615538978</v>
      </c>
      <c r="B1954" s="0" t="n">
        <v>0.00861900259178028</v>
      </c>
      <c r="C1954" s="0" t="n">
        <v>0.0199729325780281</v>
      </c>
      <c r="D1954" s="0" t="n">
        <f aca="false">A1954/SUM($A1954:$C1954)</f>
        <v>0.834218984642091</v>
      </c>
      <c r="E1954" s="0" t="n">
        <f aca="false">B1954/SUM($A1954:$C1954)</f>
        <v>0.0499744768079424</v>
      </c>
      <c r="F1954" s="0" t="n">
        <f aca="false">C1954/SUM($A1954:$C1954)</f>
        <v>0.115806538549967</v>
      </c>
      <c r="G1954" s="0" t="n">
        <f aca="false">SUMPRODUCT(D1954:F1954,Stats!$B$6:$D$6)</f>
        <v>0.356165850412177</v>
      </c>
      <c r="H1954" s="0" t="n">
        <f aca="false">SQRT(SUMPRODUCT(MMULT(D1954:F1954,Stats!$B$12:$D$14),D1954:F1954))</f>
        <v>0.225708694304503</v>
      </c>
      <c r="I1954" s="0" t="n">
        <f aca="false">(G1954-Stats!$B$2)/H1954</f>
        <v>1.3919085012664</v>
      </c>
    </row>
    <row r="1955" customFormat="false" ht="15" hidden="false" customHeight="false" outlineLevel="0" collapsed="false">
      <c r="A1955" s="0" t="n">
        <v>0.586601737404561</v>
      </c>
      <c r="B1955" s="0" t="n">
        <v>0.455394905247941</v>
      </c>
      <c r="C1955" s="0" t="n">
        <v>0.51801534890852</v>
      </c>
      <c r="D1955" s="0" t="n">
        <f aca="false">A1955/SUM($A1955:$C1955)</f>
        <v>0.376023864289389</v>
      </c>
      <c r="E1955" s="0" t="n">
        <f aca="false">B1955/SUM($A1955:$C1955)</f>
        <v>0.291917567115783</v>
      </c>
      <c r="F1955" s="0" t="n">
        <f aca="false">C1955/SUM($A1955:$C1955)</f>
        <v>0.332058568594828</v>
      </c>
      <c r="G1955" s="0" t="n">
        <f aca="false">SUMPRODUCT(D1955:F1955,Stats!$B$6:$D$6)</f>
        <v>0.364123876134093</v>
      </c>
      <c r="H1955" s="0" t="n">
        <f aca="false">SQRT(SUMPRODUCT(MMULT(D1955:F1955,Stats!$B$12:$D$14),D1955:F1955))</f>
        <v>0.224937205035883</v>
      </c>
      <c r="I1955" s="0" t="n">
        <f aca="false">(G1955-Stats!$B$2)/H1955</f>
        <v>1.43206134388798</v>
      </c>
    </row>
    <row r="1956" customFormat="false" ht="15" hidden="false" customHeight="false" outlineLevel="0" collapsed="false">
      <c r="A1956" s="0" t="n">
        <v>0.00746314041721941</v>
      </c>
      <c r="B1956" s="0" t="n">
        <v>0.422686619657426</v>
      </c>
      <c r="C1956" s="0" t="n">
        <v>0.718068161200861</v>
      </c>
      <c r="D1956" s="0" t="n">
        <f aca="false">A1956/SUM($A1956:$C1956)</f>
        <v>0.00649975956561358</v>
      </c>
      <c r="E1956" s="0" t="n">
        <f aca="false">B1956/SUM($A1956:$C1956)</f>
        <v>0.368124039718768</v>
      </c>
      <c r="F1956" s="0" t="n">
        <f aca="false">C1956/SUM($A1956:$C1956)</f>
        <v>0.625376200715618</v>
      </c>
      <c r="G1956" s="0" t="n">
        <f aca="false">SUMPRODUCT(D1956:F1956,Stats!$B$6:$D$6)</f>
        <v>0.360420577045723</v>
      </c>
      <c r="H1956" s="0" t="n">
        <f aca="false">SQRT(SUMPRODUCT(MMULT(D1956:F1956,Stats!$B$12:$D$14),D1956:F1956))</f>
        <v>0.244539546577638</v>
      </c>
      <c r="I1956" s="0" t="n">
        <f aca="false">(G1956-Stats!$B$2)/H1956</f>
        <v>1.30212303695685</v>
      </c>
    </row>
    <row r="1957" customFormat="false" ht="15" hidden="false" customHeight="false" outlineLevel="0" collapsed="false">
      <c r="A1957" s="0" t="n">
        <v>0.442693701967436</v>
      </c>
      <c r="B1957" s="0" t="n">
        <v>0.732219206312222</v>
      </c>
      <c r="C1957" s="0" t="n">
        <v>0.233018964396835</v>
      </c>
      <c r="D1957" s="0" t="n">
        <f aca="false">A1957/SUM($A1957:$C1957)</f>
        <v>0.314428354495499</v>
      </c>
      <c r="E1957" s="0" t="n">
        <f aca="false">B1957/SUM($A1957:$C1957)</f>
        <v>0.520067213849109</v>
      </c>
      <c r="F1957" s="0" t="n">
        <f aca="false">C1957/SUM($A1957:$C1957)</f>
        <v>0.165504431655392</v>
      </c>
      <c r="G1957" s="0" t="n">
        <f aca="false">SUMPRODUCT(D1957:F1957,Stats!$B$6:$D$6)</f>
        <v>0.381843977784835</v>
      </c>
      <c r="H1957" s="0" t="n">
        <f aca="false">SQRT(SUMPRODUCT(MMULT(D1957:F1957,Stats!$B$12:$D$14),D1957:F1957))</f>
        <v>0.229816201113953</v>
      </c>
      <c r="I1957" s="0" t="n">
        <f aca="false">(G1957-Stats!$B$2)/H1957</f>
        <v>1.47876423044834</v>
      </c>
    </row>
    <row r="1958" customFormat="false" ht="15" hidden="false" customHeight="false" outlineLevel="0" collapsed="false">
      <c r="A1958" s="0" t="n">
        <v>0.813142004481726</v>
      </c>
      <c r="B1958" s="0" t="n">
        <v>0.588431240453452</v>
      </c>
      <c r="C1958" s="0" t="n">
        <v>0.210763099429906</v>
      </c>
      <c r="D1958" s="0" t="n">
        <f aca="false">A1958/SUM($A1958:$C1958)</f>
        <v>0.504325296222191</v>
      </c>
      <c r="E1958" s="0" t="n">
        <f aca="false">B1958/SUM($A1958:$C1958)</f>
        <v>0.364955638759832</v>
      </c>
      <c r="F1958" s="0" t="n">
        <f aca="false">C1958/SUM($A1958:$C1958)</f>
        <v>0.130719065017977</v>
      </c>
      <c r="G1958" s="0" t="n">
        <f aca="false">SUMPRODUCT(D1958:F1958,Stats!$B$6:$D$6)</f>
        <v>0.373878251617053</v>
      </c>
      <c r="H1958" s="0" t="n">
        <f aca="false">SQRT(SUMPRODUCT(MMULT(D1958:F1958,Stats!$B$12:$D$14),D1958:F1958))</f>
        <v>0.22504497116194</v>
      </c>
      <c r="I1958" s="0" t="n">
        <f aca="false">(G1958-Stats!$B$2)/H1958</f>
        <v>1.47471969670558</v>
      </c>
    </row>
    <row r="1959" customFormat="false" ht="15" hidden="false" customHeight="false" outlineLevel="0" collapsed="false">
      <c r="A1959" s="0" t="n">
        <v>0.236720475853833</v>
      </c>
      <c r="B1959" s="0" t="n">
        <v>0.628030464569537</v>
      </c>
      <c r="C1959" s="0" t="n">
        <v>0.829939593212443</v>
      </c>
      <c r="D1959" s="0" t="n">
        <f aca="false">A1959/SUM($A1959:$C1959)</f>
        <v>0.139683600725596</v>
      </c>
      <c r="E1959" s="0" t="n">
        <f aca="false">B1959/SUM($A1959:$C1959)</f>
        <v>0.370587108445193</v>
      </c>
      <c r="F1959" s="0" t="n">
        <f aca="false">C1959/SUM($A1959:$C1959)</f>
        <v>0.489729290829211</v>
      </c>
      <c r="G1959" s="0" t="n">
        <f aca="false">SUMPRODUCT(D1959:F1959,Stats!$B$6:$D$6)</f>
        <v>0.364302710199928</v>
      </c>
      <c r="H1959" s="0" t="n">
        <f aca="false">SQRT(SUMPRODUCT(MMULT(D1959:F1959,Stats!$B$12:$D$14),D1959:F1959))</f>
        <v>0.234963700353517</v>
      </c>
      <c r="I1959" s="0" t="n">
        <f aca="false">(G1959-Stats!$B$2)/H1959</f>
        <v>1.37171277825045</v>
      </c>
    </row>
    <row r="1960" customFormat="false" ht="15" hidden="false" customHeight="false" outlineLevel="0" collapsed="false">
      <c r="A1960" s="0" t="n">
        <v>0.415627782029155</v>
      </c>
      <c r="B1960" s="0" t="n">
        <v>0.258300429127592</v>
      </c>
      <c r="C1960" s="0" t="n">
        <v>0.8670116069106</v>
      </c>
      <c r="D1960" s="0" t="n">
        <f aca="false">A1960/SUM($A1960:$C1960)</f>
        <v>0.269723565551338</v>
      </c>
      <c r="E1960" s="0" t="n">
        <f aca="false">B1960/SUM($A1960:$C1960)</f>
        <v>0.167625254470712</v>
      </c>
      <c r="F1960" s="0" t="n">
        <f aca="false">C1960/SUM($A1960:$C1960)</f>
        <v>0.56265117997795</v>
      </c>
      <c r="G1960" s="0" t="n">
        <f aca="false">SUMPRODUCT(D1960:F1960,Stats!$B$6:$D$6)</f>
        <v>0.35061375476458</v>
      </c>
      <c r="H1960" s="0" t="n">
        <f aca="false">SQRT(SUMPRODUCT(MMULT(D1960:F1960,Stats!$B$12:$D$14),D1960:F1960))</f>
        <v>0.230188953150228</v>
      </c>
      <c r="I1960" s="0" t="n">
        <f aca="false">(G1960-Stats!$B$2)/H1960</f>
        <v>1.34069750325147</v>
      </c>
    </row>
    <row r="1961" customFormat="false" ht="15" hidden="false" customHeight="false" outlineLevel="0" collapsed="false">
      <c r="A1961" s="0" t="n">
        <v>0.669268291750835</v>
      </c>
      <c r="B1961" s="0" t="n">
        <v>0.448085487283077</v>
      </c>
      <c r="C1961" s="0" t="n">
        <v>0.487900195279302</v>
      </c>
      <c r="D1961" s="0" t="n">
        <f aca="false">A1961/SUM($A1961:$C1961)</f>
        <v>0.416923616113252</v>
      </c>
      <c r="E1961" s="0" t="n">
        <f aca="false">B1961/SUM($A1961:$C1961)</f>
        <v>0.279136818505485</v>
      </c>
      <c r="F1961" s="0" t="n">
        <f aca="false">C1961/SUM($A1961:$C1961)</f>
        <v>0.303939565381262</v>
      </c>
      <c r="G1961" s="0" t="n">
        <f aca="false">SUMPRODUCT(D1961:F1961,Stats!$B$6:$D$6)</f>
        <v>0.364163859099333</v>
      </c>
      <c r="H1961" s="0" t="n">
        <f aca="false">SQRT(SUMPRODUCT(MMULT(D1961:F1961,Stats!$B$12:$D$14),D1961:F1961))</f>
        <v>0.223986387024896</v>
      </c>
      <c r="I1961" s="0" t="n">
        <f aca="false">(G1961-Stats!$B$2)/H1961</f>
        <v>1.4383189236564</v>
      </c>
    </row>
    <row r="1962" customFormat="false" ht="15" hidden="false" customHeight="false" outlineLevel="0" collapsed="false">
      <c r="A1962" s="0" t="n">
        <v>0.204256467936396</v>
      </c>
      <c r="B1962" s="0" t="n">
        <v>0.626802630064844</v>
      </c>
      <c r="C1962" s="0" t="n">
        <v>0.358742510542889</v>
      </c>
      <c r="D1962" s="0" t="n">
        <f aca="false">A1962/SUM($A1962:$C1962)</f>
        <v>0.171672711206308</v>
      </c>
      <c r="E1962" s="0" t="n">
        <f aca="false">B1962/SUM($A1962:$C1962)</f>
        <v>0.526812727066166</v>
      </c>
      <c r="F1962" s="0" t="n">
        <f aca="false">C1962/SUM($A1962:$C1962)</f>
        <v>0.301514561727526</v>
      </c>
      <c r="G1962" s="0" t="n">
        <f aca="false">SUMPRODUCT(D1962:F1962,Stats!$B$6:$D$6)</f>
        <v>0.378481678860305</v>
      </c>
      <c r="H1962" s="0" t="n">
        <f aca="false">SQRT(SUMPRODUCT(MMULT(D1962:F1962,Stats!$B$12:$D$14),D1962:F1962))</f>
        <v>0.233808183123355</v>
      </c>
      <c r="I1962" s="0" t="n">
        <f aca="false">(G1962-Stats!$B$2)/H1962</f>
        <v>1.43913559553551</v>
      </c>
    </row>
    <row r="1963" customFormat="false" ht="15" hidden="false" customHeight="false" outlineLevel="0" collapsed="false">
      <c r="A1963" s="0" t="n">
        <v>0.995645176674349</v>
      </c>
      <c r="B1963" s="0" t="n">
        <v>0.480183515261888</v>
      </c>
      <c r="C1963" s="0" t="n">
        <v>0.485885606189613</v>
      </c>
      <c r="D1963" s="0" t="n">
        <f aca="false">A1963/SUM($A1963:$C1963)</f>
        <v>0.507538318717232</v>
      </c>
      <c r="E1963" s="0" t="n">
        <f aca="false">B1963/SUM($A1963:$C1963)</f>
        <v>0.244777496764252</v>
      </c>
      <c r="F1963" s="0" t="n">
        <f aca="false">C1963/SUM($A1963:$C1963)</f>
        <v>0.247684184518515</v>
      </c>
      <c r="G1963" s="0" t="n">
        <f aca="false">SUMPRODUCT(D1963:F1963,Stats!$B$6:$D$6)</f>
        <v>0.363738088687075</v>
      </c>
      <c r="H1963" s="0" t="n">
        <f aca="false">SQRT(SUMPRODUCT(MMULT(D1963:F1963,Stats!$B$12:$D$14),D1963:F1963))</f>
        <v>0.222671985218309</v>
      </c>
      <c r="I1963" s="0" t="n">
        <f aca="false">(G1963-Stats!$B$2)/H1963</f>
        <v>1.44489702362711</v>
      </c>
    </row>
    <row r="1964" customFormat="false" ht="15" hidden="false" customHeight="false" outlineLevel="0" collapsed="false">
      <c r="A1964" s="0" t="n">
        <v>0.565851787410672</v>
      </c>
      <c r="B1964" s="0" t="n">
        <v>0.916756003118747</v>
      </c>
      <c r="C1964" s="0" t="n">
        <v>0.80081809985975</v>
      </c>
      <c r="D1964" s="0" t="n">
        <f aca="false">A1964/SUM($A1964:$C1964)</f>
        <v>0.247808255915953</v>
      </c>
      <c r="E1964" s="0" t="n">
        <f aca="false">B1964/SUM($A1964:$C1964)</f>
        <v>0.401482704990483</v>
      </c>
      <c r="F1964" s="0" t="n">
        <f aca="false">C1964/SUM($A1964:$C1964)</f>
        <v>0.350709039093564</v>
      </c>
      <c r="G1964" s="0" t="n">
        <f aca="false">SUMPRODUCT(D1964:F1964,Stats!$B$6:$D$6)</f>
        <v>0.369913832809366</v>
      </c>
      <c r="H1964" s="0" t="n">
        <f aca="false">SQRT(SUMPRODUCT(MMULT(D1964:F1964,Stats!$B$12:$D$14),D1964:F1964))</f>
        <v>0.229589754916881</v>
      </c>
      <c r="I1964" s="0" t="n">
        <f aca="false">(G1964-Stats!$B$2)/H1964</f>
        <v>1.42825986694433</v>
      </c>
    </row>
    <row r="1965" customFormat="false" ht="15" hidden="false" customHeight="false" outlineLevel="0" collapsed="false">
      <c r="A1965" s="0" t="n">
        <v>0.451130069797841</v>
      </c>
      <c r="B1965" s="0" t="n">
        <v>0.718699265972796</v>
      </c>
      <c r="C1965" s="0" t="n">
        <v>0.586235498780762</v>
      </c>
      <c r="D1965" s="0" t="n">
        <f aca="false">A1965/SUM($A1965:$C1965)</f>
        <v>0.256898299494213</v>
      </c>
      <c r="E1965" s="0" t="n">
        <f aca="false">B1965/SUM($A1965:$C1965)</f>
        <v>0.409266931284114</v>
      </c>
      <c r="F1965" s="0" t="n">
        <f aca="false">C1965/SUM($A1965:$C1965)</f>
        <v>0.333834769221673</v>
      </c>
      <c r="G1965" s="0" t="n">
        <f aca="false">SUMPRODUCT(D1965:F1965,Stats!$B$6:$D$6)</f>
        <v>0.370827028616906</v>
      </c>
      <c r="H1965" s="0" t="n">
        <f aca="false">SQRT(SUMPRODUCT(MMULT(D1965:F1965,Stats!$B$12:$D$14),D1965:F1965))</f>
        <v>0.22930911008295</v>
      </c>
      <c r="I1965" s="0" t="n">
        <f aca="false">(G1965-Stats!$B$2)/H1965</f>
        <v>1.43399025227544</v>
      </c>
    </row>
    <row r="1966" customFormat="false" ht="15" hidden="false" customHeight="false" outlineLevel="0" collapsed="false">
      <c r="A1966" s="0" t="n">
        <v>0.492367048701249</v>
      </c>
      <c r="B1966" s="0" t="n">
        <v>0.192315772784351</v>
      </c>
      <c r="C1966" s="0" t="n">
        <v>0.463936263454891</v>
      </c>
      <c r="D1966" s="0" t="n">
        <f aca="false">A1966/SUM($A1966:$C1966)</f>
        <v>0.428659992818035</v>
      </c>
      <c r="E1966" s="0" t="n">
        <f aca="false">B1966/SUM($A1966:$C1966)</f>
        <v>0.167432158585729</v>
      </c>
      <c r="F1966" s="0" t="n">
        <f aca="false">C1966/SUM($A1966:$C1966)</f>
        <v>0.403907848596236</v>
      </c>
      <c r="G1966" s="0" t="n">
        <f aca="false">SUMPRODUCT(D1966:F1966,Stats!$B$6:$D$6)</f>
        <v>0.354979930584233</v>
      </c>
      <c r="H1966" s="0" t="n">
        <f aca="false">SQRT(SUMPRODUCT(MMULT(D1966:F1966,Stats!$B$12:$D$14),D1966:F1966))</f>
        <v>0.223564678140175</v>
      </c>
      <c r="I1966" s="0" t="n">
        <f aca="false">(G1966-Stats!$B$2)/H1966</f>
        <v>1.39995250228211</v>
      </c>
    </row>
    <row r="1967" customFormat="false" ht="15" hidden="false" customHeight="false" outlineLevel="0" collapsed="false">
      <c r="A1967" s="0" t="n">
        <v>0.245818587022575</v>
      </c>
      <c r="B1967" s="0" t="n">
        <v>0.914842149851655</v>
      </c>
      <c r="C1967" s="0" t="n">
        <v>0.335406813496347</v>
      </c>
      <c r="D1967" s="0" t="n">
        <f aca="false">A1967/SUM($A1967:$C1967)</f>
        <v>0.164309818070504</v>
      </c>
      <c r="E1967" s="0" t="n">
        <f aca="false">B1967/SUM($A1967:$C1967)</f>
        <v>0.611497889667514</v>
      </c>
      <c r="F1967" s="0" t="n">
        <f aca="false">C1967/SUM($A1967:$C1967)</f>
        <v>0.224192292261981</v>
      </c>
      <c r="G1967" s="0" t="n">
        <f aca="false">SUMPRODUCT(D1967:F1967,Stats!$B$6:$D$6)</f>
        <v>0.385486485351329</v>
      </c>
      <c r="H1967" s="0" t="n">
        <f aca="false">SQRT(SUMPRODUCT(MMULT(D1967:F1967,Stats!$B$12:$D$14),D1967:F1967))</f>
        <v>0.235628620992829</v>
      </c>
      <c r="I1967" s="0" t="n">
        <f aca="false">(G1967-Stats!$B$2)/H1967</f>
        <v>1.45774517503025</v>
      </c>
    </row>
    <row r="1968" customFormat="false" ht="15" hidden="false" customHeight="false" outlineLevel="0" collapsed="false">
      <c r="A1968" s="0" t="n">
        <v>0.952264014533372</v>
      </c>
      <c r="B1968" s="0" t="n">
        <v>0.533055290094711</v>
      </c>
      <c r="C1968" s="0" t="n">
        <v>0.63154437867616</v>
      </c>
      <c r="D1968" s="0" t="n">
        <f aca="false">A1968/SUM($A1968:$C1968)</f>
        <v>0.449846639650868</v>
      </c>
      <c r="E1968" s="0" t="n">
        <f aca="false">B1968/SUM($A1968:$C1968)</f>
        <v>0.251813706427547</v>
      </c>
      <c r="F1968" s="0" t="n">
        <f aca="false">C1968/SUM($A1968:$C1968)</f>
        <v>0.298339653921585</v>
      </c>
      <c r="G1968" s="0" t="n">
        <f aca="false">SUMPRODUCT(D1968:F1968,Stats!$B$6:$D$6)</f>
        <v>0.362746137998641</v>
      </c>
      <c r="H1968" s="0" t="n">
        <f aca="false">SQRT(SUMPRODUCT(MMULT(D1968:F1968,Stats!$B$12:$D$14),D1968:F1968))</f>
        <v>0.223248817015754</v>
      </c>
      <c r="I1968" s="0" t="n">
        <f aca="false">(G1968-Stats!$B$2)/H1968</f>
        <v>1.436720437251</v>
      </c>
    </row>
    <row r="1969" customFormat="false" ht="15" hidden="false" customHeight="false" outlineLevel="0" collapsed="false">
      <c r="A1969" s="0" t="n">
        <v>0.542940444489328</v>
      </c>
      <c r="B1969" s="0" t="n">
        <v>0.129380616966701</v>
      </c>
      <c r="C1969" s="0" t="n">
        <v>0.375821219007941</v>
      </c>
      <c r="D1969" s="0" t="n">
        <f aca="false">A1969/SUM($A1969:$C1969)</f>
        <v>0.518002617210509</v>
      </c>
      <c r="E1969" s="0" t="n">
        <f aca="false">B1969/SUM($A1969:$C1969)</f>
        <v>0.123438028765932</v>
      </c>
      <c r="F1969" s="0" t="n">
        <f aca="false">C1969/SUM($A1969:$C1969)</f>
        <v>0.358559354023559</v>
      </c>
      <c r="G1969" s="0" t="n">
        <f aca="false">SUMPRODUCT(D1969:F1969,Stats!$B$6:$D$6)</f>
        <v>0.353699032590783</v>
      </c>
      <c r="H1969" s="0" t="n">
        <f aca="false">SQRT(SUMPRODUCT(MMULT(D1969:F1969,Stats!$B$12:$D$14),D1969:F1969))</f>
        <v>0.221915131589793</v>
      </c>
      <c r="I1969" s="0" t="n">
        <f aca="false">(G1969-Stats!$B$2)/H1969</f>
        <v>1.40458665597871</v>
      </c>
    </row>
    <row r="1970" customFormat="false" ht="15" hidden="false" customHeight="false" outlineLevel="0" collapsed="false">
      <c r="A1970" s="0" t="n">
        <v>0.0991461122776239</v>
      </c>
      <c r="B1970" s="0" t="n">
        <v>0.622954044183382</v>
      </c>
      <c r="C1970" s="0" t="n">
        <v>0.446874195200439</v>
      </c>
      <c r="D1970" s="0" t="n">
        <f aca="false">A1970/SUM($A1970:$C1970)</f>
        <v>0.0848146173067948</v>
      </c>
      <c r="E1970" s="0" t="n">
        <f aca="false">B1970/SUM($A1970:$C1970)</f>
        <v>0.532906511847747</v>
      </c>
      <c r="F1970" s="0" t="n">
        <f aca="false">C1970/SUM($A1970:$C1970)</f>
        <v>0.382278870845459</v>
      </c>
      <c r="G1970" s="0" t="n">
        <f aca="false">SUMPRODUCT(D1970:F1970,Stats!$B$6:$D$6)</f>
        <v>0.376605262589265</v>
      </c>
      <c r="H1970" s="0" t="n">
        <f aca="false">SQRT(SUMPRODUCT(MMULT(D1970:F1970,Stats!$B$12:$D$14),D1970:F1970))</f>
        <v>0.237987041060435</v>
      </c>
      <c r="I1970" s="0" t="n">
        <f aca="false">(G1970-Stats!$B$2)/H1970</f>
        <v>1.40598101937952</v>
      </c>
    </row>
    <row r="1971" customFormat="false" ht="15" hidden="false" customHeight="false" outlineLevel="0" collapsed="false">
      <c r="A1971" s="0" t="n">
        <v>0.777984971570937</v>
      </c>
      <c r="B1971" s="0" t="n">
        <v>0.22047048099937</v>
      </c>
      <c r="C1971" s="0" t="n">
        <v>0.164566058429335</v>
      </c>
      <c r="D1971" s="0" t="n">
        <f aca="false">A1971/SUM($A1971:$C1971)</f>
        <v>0.668934292455384</v>
      </c>
      <c r="E1971" s="0" t="n">
        <f aca="false">B1971/SUM($A1971:$C1971)</f>
        <v>0.189566984715417</v>
      </c>
      <c r="F1971" s="0" t="n">
        <f aca="false">C1971/SUM($A1971:$C1971)</f>
        <v>0.141498722829199</v>
      </c>
      <c r="G1971" s="0" t="n">
        <f aca="false">SUMPRODUCT(D1971:F1971,Stats!$B$6:$D$6)</f>
        <v>0.36348937054636</v>
      </c>
      <c r="H1971" s="0" t="n">
        <f aca="false">SQRT(SUMPRODUCT(MMULT(D1971:F1971,Stats!$B$12:$D$14),D1971:F1971))</f>
        <v>0.223313348274499</v>
      </c>
      <c r="I1971" s="0" t="n">
        <f aca="false">(G1971-Stats!$B$2)/H1971</f>
        <v>1.43963347032521</v>
      </c>
    </row>
    <row r="1972" customFormat="false" ht="15" hidden="false" customHeight="false" outlineLevel="0" collapsed="false">
      <c r="A1972" s="0" t="n">
        <v>0.406332230963768</v>
      </c>
      <c r="B1972" s="0" t="n">
        <v>0.926585383218381</v>
      </c>
      <c r="C1972" s="0" t="n">
        <v>0.710421815012412</v>
      </c>
      <c r="D1972" s="0" t="n">
        <f aca="false">A1972/SUM($A1972:$C1972)</f>
        <v>0.198856942296628</v>
      </c>
      <c r="E1972" s="0" t="n">
        <f aca="false">B1972/SUM($A1972:$C1972)</f>
        <v>0.453466208295907</v>
      </c>
      <c r="F1972" s="0" t="n">
        <f aca="false">C1972/SUM($A1972:$C1972)</f>
        <v>0.347676849407465</v>
      </c>
      <c r="G1972" s="0" t="n">
        <f aca="false">SUMPRODUCT(D1972:F1972,Stats!$B$6:$D$6)</f>
        <v>0.372988507772981</v>
      </c>
      <c r="H1972" s="0" t="n">
        <f aca="false">SQRT(SUMPRODUCT(MMULT(D1972:F1972,Stats!$B$12:$D$14),D1972:F1972))</f>
        <v>0.231910569263834</v>
      </c>
      <c r="I1972" s="0" t="n">
        <f aca="false">(G1972-Stats!$B$2)/H1972</f>
        <v>1.42722476523453</v>
      </c>
    </row>
    <row r="1973" customFormat="false" ht="15" hidden="false" customHeight="false" outlineLevel="0" collapsed="false">
      <c r="A1973" s="0" t="n">
        <v>0.418923624792919</v>
      </c>
      <c r="B1973" s="0" t="n">
        <v>0.517272169754311</v>
      </c>
      <c r="C1973" s="0" t="n">
        <v>0.0842130111770983</v>
      </c>
      <c r="D1973" s="0" t="n">
        <f aca="false">A1973/SUM($A1973:$C1973)</f>
        <v>0.410544893813955</v>
      </c>
      <c r="E1973" s="0" t="n">
        <f aca="false">B1973/SUM($A1973:$C1973)</f>
        <v>0.50692640719337</v>
      </c>
      <c r="F1973" s="0" t="n">
        <f aca="false">C1973/SUM($A1973:$C1973)</f>
        <v>0.0825286989926753</v>
      </c>
      <c r="G1973" s="0" t="n">
        <f aca="false">SUMPRODUCT(D1973:F1973,Stats!$B$6:$D$6)</f>
        <v>0.383375896691707</v>
      </c>
      <c r="H1973" s="0" t="n">
        <f aca="false">SQRT(SUMPRODUCT(MMULT(D1973:F1973,Stats!$B$12:$D$14),D1973:F1973))</f>
        <v>0.228905040838153</v>
      </c>
      <c r="I1973" s="0" t="n">
        <f aca="false">(G1973-Stats!$B$2)/H1973</f>
        <v>1.49134285309634</v>
      </c>
    </row>
    <row r="1974" customFormat="false" ht="15" hidden="false" customHeight="false" outlineLevel="0" collapsed="false">
      <c r="A1974" s="0" t="n">
        <v>0.984575896376113</v>
      </c>
      <c r="B1974" s="0" t="n">
        <v>0.666407304694919</v>
      </c>
      <c r="C1974" s="0" t="n">
        <v>0.285404068463423</v>
      </c>
      <c r="D1974" s="0" t="n">
        <f aca="false">A1974/SUM($A1974:$C1974)</f>
        <v>0.508460219640271</v>
      </c>
      <c r="E1974" s="0" t="n">
        <f aca="false">B1974/SUM($A1974:$C1974)</f>
        <v>0.344149806797241</v>
      </c>
      <c r="F1974" s="0" t="n">
        <f aca="false">C1974/SUM($A1974:$C1974)</f>
        <v>0.147389973562488</v>
      </c>
      <c r="G1974" s="0" t="n">
        <f aca="false">SUMPRODUCT(D1974:F1974,Stats!$B$6:$D$6)</f>
        <v>0.37222141708324</v>
      </c>
      <c r="H1974" s="0" t="n">
        <f aca="false">SQRT(SUMPRODUCT(MMULT(D1974:F1974,Stats!$B$12:$D$14),D1974:F1974))</f>
        <v>0.224535551978823</v>
      </c>
      <c r="I1974" s="0" t="n">
        <f aca="false">(G1974-Stats!$B$2)/H1974</f>
        <v>1.47068655352354</v>
      </c>
    </row>
    <row r="1975" customFormat="false" ht="15" hidden="false" customHeight="false" outlineLevel="0" collapsed="false">
      <c r="A1975" s="0" t="n">
        <v>0.585808394215244</v>
      </c>
      <c r="B1975" s="0" t="n">
        <v>0.109482366068994</v>
      </c>
      <c r="C1975" s="0" t="n">
        <v>0.965836668807584</v>
      </c>
      <c r="D1975" s="0" t="n">
        <f aca="false">A1975/SUM($A1975:$C1975)</f>
        <v>0.352657107429452</v>
      </c>
      <c r="E1975" s="0" t="n">
        <f aca="false">B1975/SUM($A1975:$C1975)</f>
        <v>0.0659084692429952</v>
      </c>
      <c r="F1975" s="0" t="n">
        <f aca="false">C1975/SUM($A1975:$C1975)</f>
        <v>0.581434423327553</v>
      </c>
      <c r="G1975" s="0" t="n">
        <f aca="false">SUMPRODUCT(D1975:F1975,Stats!$B$6:$D$6)</f>
        <v>0.344243161881086</v>
      </c>
      <c r="H1975" s="0" t="n">
        <f aca="false">SQRT(SUMPRODUCT(MMULT(D1975:F1975,Stats!$B$12:$D$14),D1975:F1975))</f>
        <v>0.228020910198715</v>
      </c>
      <c r="I1975" s="0" t="n">
        <f aca="false">(G1975-Stats!$B$2)/H1975</f>
        <v>1.32550633894798</v>
      </c>
    </row>
    <row r="1976" customFormat="false" ht="15" hidden="false" customHeight="false" outlineLevel="0" collapsed="false">
      <c r="A1976" s="0" t="n">
        <v>0.174784987883366</v>
      </c>
      <c r="B1976" s="0" t="n">
        <v>0.648030318055214</v>
      </c>
      <c r="C1976" s="0" t="n">
        <v>0.24545446253893</v>
      </c>
      <c r="D1976" s="0" t="n">
        <f aca="false">A1976/SUM($A1976:$C1976)</f>
        <v>0.163615027814995</v>
      </c>
      <c r="E1976" s="0" t="n">
        <f aca="false">B1976/SUM($A1976:$C1976)</f>
        <v>0.606616734065948</v>
      </c>
      <c r="F1976" s="0" t="n">
        <f aca="false">C1976/SUM($A1976:$C1976)</f>
        <v>0.229768238119057</v>
      </c>
      <c r="G1976" s="0" t="n">
        <f aca="false">SUMPRODUCT(D1976:F1976,Stats!$B$6:$D$6)</f>
        <v>0.385051875413184</v>
      </c>
      <c r="H1976" s="0" t="n">
        <f aca="false">SQRT(SUMPRODUCT(MMULT(D1976:F1976,Stats!$B$12:$D$14),D1976:F1976))</f>
        <v>0.235541513559123</v>
      </c>
      <c r="I1976" s="0" t="n">
        <f aca="false">(G1976-Stats!$B$2)/H1976</f>
        <v>1.45643912289404</v>
      </c>
    </row>
    <row r="1977" customFormat="false" ht="15" hidden="false" customHeight="false" outlineLevel="0" collapsed="false">
      <c r="A1977" s="0" t="n">
        <v>0.717561382648536</v>
      </c>
      <c r="B1977" s="0" t="n">
        <v>0.776821367240281</v>
      </c>
      <c r="C1977" s="0" t="n">
        <v>0.673419728911433</v>
      </c>
      <c r="D1977" s="0" t="n">
        <f aca="false">A1977/SUM($A1977:$C1977)</f>
        <v>0.331008654923978</v>
      </c>
      <c r="E1977" s="0" t="n">
        <f aca="false">B1977/SUM($A1977:$C1977)</f>
        <v>0.358345086712054</v>
      </c>
      <c r="F1977" s="0" t="n">
        <f aca="false">C1977/SUM($A1977:$C1977)</f>
        <v>0.310646258363968</v>
      </c>
      <c r="G1977" s="0" t="n">
        <f aca="false">SUMPRODUCT(D1977:F1977,Stats!$B$6:$D$6)</f>
        <v>0.368536465855215</v>
      </c>
      <c r="H1977" s="0" t="n">
        <f aca="false">SQRT(SUMPRODUCT(MMULT(D1977:F1977,Stats!$B$12:$D$14),D1977:F1977))</f>
        <v>0.226566284811626</v>
      </c>
      <c r="I1977" s="0" t="n">
        <f aca="false">(G1977-Stats!$B$2)/H1977</f>
        <v>1.44124032455538</v>
      </c>
    </row>
    <row r="1978" customFormat="false" ht="15" hidden="false" customHeight="false" outlineLevel="0" collapsed="false">
      <c r="A1978" s="0" t="n">
        <v>0.614499460255193</v>
      </c>
      <c r="B1978" s="0" t="n">
        <v>0.892469093952012</v>
      </c>
      <c r="C1978" s="0" t="n">
        <v>0.078626710989758</v>
      </c>
      <c r="D1978" s="0" t="n">
        <f aca="false">A1978/SUM($A1978:$C1978)</f>
        <v>0.387551270959969</v>
      </c>
      <c r="E1978" s="0" t="n">
        <f aca="false">B1978/SUM($A1978:$C1978)</f>
        <v>0.56286059471876</v>
      </c>
      <c r="F1978" s="0" t="n">
        <f aca="false">C1978/SUM($A1978:$C1978)</f>
        <v>0.0495881343212709</v>
      </c>
      <c r="G1978" s="0" t="n">
        <f aca="false">SUMPRODUCT(D1978:F1978,Stats!$B$6:$D$6)</f>
        <v>0.387502600848922</v>
      </c>
      <c r="H1978" s="0" t="n">
        <f aca="false">SQRT(SUMPRODUCT(MMULT(D1978:F1978,Stats!$B$12:$D$14),D1978:F1978))</f>
        <v>0.230877028720678</v>
      </c>
      <c r="I1978" s="0" t="n">
        <f aca="false">(G1978-Stats!$B$2)/H1978</f>
        <v>1.49647889512179</v>
      </c>
    </row>
    <row r="1979" customFormat="false" ht="15" hidden="false" customHeight="false" outlineLevel="0" collapsed="false">
      <c r="A1979" s="0" t="n">
        <v>0.330914765780195</v>
      </c>
      <c r="B1979" s="0" t="n">
        <v>0.248287479630846</v>
      </c>
      <c r="C1979" s="0" t="n">
        <v>0.988013962065422</v>
      </c>
      <c r="D1979" s="0" t="n">
        <f aca="false">A1979/SUM($A1979:$C1979)</f>
        <v>0.211148126341186</v>
      </c>
      <c r="E1979" s="0" t="n">
        <f aca="false">B1979/SUM($A1979:$C1979)</f>
        <v>0.158425798844079</v>
      </c>
      <c r="F1979" s="0" t="n">
        <f aca="false">C1979/SUM($A1979:$C1979)</f>
        <v>0.630426074814735</v>
      </c>
      <c r="G1979" s="0" t="n">
        <f aca="false">SUMPRODUCT(D1979:F1979,Stats!$B$6:$D$6)</f>
        <v>0.348215563336917</v>
      </c>
      <c r="H1979" s="0" t="n">
        <f aca="false">SQRT(SUMPRODUCT(MMULT(D1979:F1979,Stats!$B$12:$D$14),D1979:F1979))</f>
        <v>0.234026603729528</v>
      </c>
      <c r="I1979" s="0" t="n">
        <f aca="false">(G1979-Stats!$B$2)/H1979</f>
        <v>1.30846475766841</v>
      </c>
    </row>
    <row r="1980" customFormat="false" ht="15" hidden="false" customHeight="false" outlineLevel="0" collapsed="false">
      <c r="A1980" s="0" t="n">
        <v>0.389389779666874</v>
      </c>
      <c r="B1980" s="0" t="n">
        <v>0.732612699240399</v>
      </c>
      <c r="C1980" s="0" t="n">
        <v>0.684725163881005</v>
      </c>
      <c r="D1980" s="0" t="n">
        <f aca="false">A1980/SUM($A1980:$C1980)</f>
        <v>0.215522124334102</v>
      </c>
      <c r="E1980" s="0" t="n">
        <f aca="false">B1980/SUM($A1980:$C1980)</f>
        <v>0.405491498491591</v>
      </c>
      <c r="F1980" s="0" t="n">
        <f aca="false">C1980/SUM($A1980:$C1980)</f>
        <v>0.378986377174307</v>
      </c>
      <c r="G1980" s="0" t="n">
        <f aca="false">SUMPRODUCT(D1980:F1980,Stats!$B$6:$D$6)</f>
        <v>0.369364756877399</v>
      </c>
      <c r="H1980" s="0" t="n">
        <f aca="false">SQRT(SUMPRODUCT(MMULT(D1980:F1980,Stats!$B$12:$D$14),D1980:F1980))</f>
        <v>0.230929822949685</v>
      </c>
      <c r="I1980" s="0" t="n">
        <f aca="false">(G1980-Stats!$B$2)/H1980</f>
        <v>1.41759411017574</v>
      </c>
    </row>
    <row r="1981" customFormat="false" ht="15" hidden="false" customHeight="false" outlineLevel="0" collapsed="false">
      <c r="A1981" s="0" t="n">
        <v>0.212081237477378</v>
      </c>
      <c r="B1981" s="0" t="n">
        <v>0.238997680211551</v>
      </c>
      <c r="C1981" s="0" t="n">
        <v>0.281284563553034</v>
      </c>
      <c r="D1981" s="0" t="n">
        <f aca="false">A1981/SUM($A1981:$C1981)</f>
        <v>0.289584670603352</v>
      </c>
      <c r="E1981" s="0" t="n">
        <f aca="false">B1981/SUM($A1981:$C1981)</f>
        <v>0.326337517275236</v>
      </c>
      <c r="F1981" s="0" t="n">
        <f aca="false">C1981/SUM($A1981:$C1981)</f>
        <v>0.384077812121412</v>
      </c>
      <c r="G1981" s="0" t="n">
        <f aca="false">SUMPRODUCT(D1981:F1981,Stats!$B$6:$D$6)</f>
        <v>0.364669944884806</v>
      </c>
      <c r="H1981" s="0" t="n">
        <f aca="false">SQRT(SUMPRODUCT(MMULT(D1981:F1981,Stats!$B$12:$D$14),D1981:F1981))</f>
        <v>0.227737229996661</v>
      </c>
      <c r="I1981" s="0" t="n">
        <f aca="false">(G1981-Stats!$B$2)/H1981</f>
        <v>1.41685197843821</v>
      </c>
    </row>
    <row r="1982" customFormat="false" ht="15" hidden="false" customHeight="false" outlineLevel="0" collapsed="false">
      <c r="A1982" s="0" t="n">
        <v>0.411127278259379</v>
      </c>
      <c r="B1982" s="0" t="n">
        <v>0.234325065650527</v>
      </c>
      <c r="C1982" s="0" t="n">
        <v>0.0196514827468478</v>
      </c>
      <c r="D1982" s="0" t="n">
        <f aca="false">A1982/SUM($A1982:$C1982)</f>
        <v>0.618139998270606</v>
      </c>
      <c r="E1982" s="0" t="n">
        <f aca="false">B1982/SUM($A1982:$C1982)</f>
        <v>0.352313512956913</v>
      </c>
      <c r="F1982" s="0" t="n">
        <f aca="false">C1982/SUM($A1982:$C1982)</f>
        <v>0.0295464887724808</v>
      </c>
      <c r="G1982" s="0" t="n">
        <f aca="false">SUMPRODUCT(D1982:F1982,Stats!$B$6:$D$6)</f>
        <v>0.375940634937687</v>
      </c>
      <c r="H1982" s="0" t="n">
        <f aca="false">SQRT(SUMPRODUCT(MMULT(D1982:F1982,Stats!$B$12:$D$14),D1982:F1982))</f>
        <v>0.226727207575715</v>
      </c>
      <c r="I1982" s="0" t="n">
        <f aca="false">(G1982-Stats!$B$2)/H1982</f>
        <v>1.47287411382319</v>
      </c>
    </row>
    <row r="1983" customFormat="false" ht="15" hidden="false" customHeight="false" outlineLevel="0" collapsed="false">
      <c r="A1983" s="0" t="n">
        <v>0.879393056807196</v>
      </c>
      <c r="B1983" s="0" t="n">
        <v>0.965609831380884</v>
      </c>
      <c r="C1983" s="0" t="n">
        <v>0.341570387031568</v>
      </c>
      <c r="D1983" s="0" t="n">
        <f aca="false">A1983/SUM($A1983:$C1983)</f>
        <v>0.402178635755464</v>
      </c>
      <c r="E1983" s="0" t="n">
        <f aca="false">B1983/SUM($A1983:$C1983)</f>
        <v>0.441608722801154</v>
      </c>
      <c r="F1983" s="0" t="n">
        <f aca="false">C1983/SUM($A1983:$C1983)</f>
        <v>0.156212641443382</v>
      </c>
      <c r="G1983" s="0" t="n">
        <f aca="false">SUMPRODUCT(D1983:F1983,Stats!$B$6:$D$6)</f>
        <v>0.377585795298059</v>
      </c>
      <c r="H1983" s="0" t="n">
        <f aca="false">SQRT(SUMPRODUCT(MMULT(D1983:F1983,Stats!$B$12:$D$14),D1983:F1983))</f>
        <v>0.226920890466152</v>
      </c>
      <c r="I1983" s="0" t="n">
        <f aca="false">(G1983-Stats!$B$2)/H1983</f>
        <v>1.47886690647424</v>
      </c>
    </row>
    <row r="1984" customFormat="false" ht="15" hidden="false" customHeight="false" outlineLevel="0" collapsed="false">
      <c r="A1984" s="0" t="n">
        <v>0.338506879425473</v>
      </c>
      <c r="B1984" s="0" t="n">
        <v>0.00709181277437099</v>
      </c>
      <c r="C1984" s="0" t="n">
        <v>0.680250688330374</v>
      </c>
      <c r="D1984" s="0" t="n">
        <f aca="false">A1984/SUM($A1984:$C1984)</f>
        <v>0.329977173891272</v>
      </c>
      <c r="E1984" s="0" t="n">
        <f aca="false">B1984/SUM($A1984:$C1984)</f>
        <v>0.00691311308362396</v>
      </c>
      <c r="F1984" s="0" t="n">
        <f aca="false">C1984/SUM($A1984:$C1984)</f>
        <v>0.663109713025105</v>
      </c>
      <c r="G1984" s="0" t="n">
        <f aca="false">SUMPRODUCT(D1984:F1984,Stats!$B$6:$D$6)</f>
        <v>0.338596480744429</v>
      </c>
      <c r="H1984" s="0" t="n">
        <f aca="false">SQRT(SUMPRODUCT(MMULT(D1984:F1984,Stats!$B$12:$D$14),D1984:F1984))</f>
        <v>0.230994744137199</v>
      </c>
      <c r="I1984" s="0" t="n">
        <f aca="false">(G1984-Stats!$B$2)/H1984</f>
        <v>1.28399666344038</v>
      </c>
    </row>
    <row r="1985" customFormat="false" ht="15" hidden="false" customHeight="false" outlineLevel="0" collapsed="false">
      <c r="A1985" s="0" t="n">
        <v>0.825439895748629</v>
      </c>
      <c r="B1985" s="0" t="n">
        <v>0.146608300360003</v>
      </c>
      <c r="C1985" s="0" t="n">
        <v>0.159666349367151</v>
      </c>
      <c r="D1985" s="0" t="n">
        <f aca="false">A1985/SUM($A1985:$C1985)</f>
        <v>0.72937111133586</v>
      </c>
      <c r="E1985" s="0" t="n">
        <f aca="false">B1985/SUM($A1985:$C1985)</f>
        <v>0.12954530004593</v>
      </c>
      <c r="F1985" s="0" t="n">
        <f aca="false">C1985/SUM($A1985:$C1985)</f>
        <v>0.141083588618211</v>
      </c>
      <c r="G1985" s="0" t="n">
        <f aca="false">SUMPRODUCT(D1985:F1985,Stats!$B$6:$D$6)</f>
        <v>0.360047247661223</v>
      </c>
      <c r="H1985" s="0" t="n">
        <f aca="false">SQRT(SUMPRODUCT(MMULT(D1985:F1985,Stats!$B$12:$D$14),D1985:F1985))</f>
        <v>0.223630543109117</v>
      </c>
      <c r="I1985" s="0" t="n">
        <f aca="false">(G1985-Stats!$B$2)/H1985</f>
        <v>1.42219950476996</v>
      </c>
    </row>
    <row r="1986" customFormat="false" ht="15" hidden="false" customHeight="false" outlineLevel="0" collapsed="false">
      <c r="A1986" s="0" t="n">
        <v>0.790083249971438</v>
      </c>
      <c r="B1986" s="0" t="n">
        <v>0.616290748354145</v>
      </c>
      <c r="C1986" s="0" t="n">
        <v>0.044860557627717</v>
      </c>
      <c r="D1986" s="0" t="n">
        <f aca="false">A1986/SUM($A1986:$C1986)</f>
        <v>0.544421469796411</v>
      </c>
      <c r="E1986" s="0" t="n">
        <f aca="false">B1986/SUM($A1986:$C1986)</f>
        <v>0.424666533625442</v>
      </c>
      <c r="F1986" s="0" t="n">
        <f aca="false">C1986/SUM($A1986:$C1986)</f>
        <v>0.030911996578147</v>
      </c>
      <c r="G1986" s="0" t="n">
        <f aca="false">SUMPRODUCT(D1986:F1986,Stats!$B$6:$D$6)</f>
        <v>0.380066080749732</v>
      </c>
      <c r="H1986" s="0" t="n">
        <f aca="false">SQRT(SUMPRODUCT(MMULT(D1986:F1986,Stats!$B$12:$D$14),D1986:F1986))</f>
        <v>0.227568930758392</v>
      </c>
      <c r="I1986" s="0" t="n">
        <f aca="false">(G1986-Stats!$B$2)/H1986</f>
        <v>1.48555463886524</v>
      </c>
    </row>
    <row r="1987" customFormat="false" ht="15" hidden="false" customHeight="false" outlineLevel="0" collapsed="false">
      <c r="A1987" s="0" t="n">
        <v>0.622546990462282</v>
      </c>
      <c r="B1987" s="0" t="n">
        <v>0.308917722843766</v>
      </c>
      <c r="C1987" s="0" t="n">
        <v>0.368725155470846</v>
      </c>
      <c r="D1987" s="0" t="n">
        <f aca="false">A1987/SUM($A1987:$C1987)</f>
        <v>0.478812368418099</v>
      </c>
      <c r="E1987" s="0" t="n">
        <f aca="false">B1987/SUM($A1987:$C1987)</f>
        <v>0.237594316231959</v>
      </c>
      <c r="F1987" s="0" t="n">
        <f aca="false">C1987/SUM($A1987:$C1987)</f>
        <v>0.283593315349942</v>
      </c>
      <c r="G1987" s="0" t="n">
        <f aca="false">SUMPRODUCT(D1987:F1987,Stats!$B$6:$D$6)</f>
        <v>0.362334597304957</v>
      </c>
      <c r="H1987" s="0" t="n">
        <f aca="false">SQRT(SUMPRODUCT(MMULT(D1987:F1987,Stats!$B$12:$D$14),D1987:F1987))</f>
        <v>0.222785142124472</v>
      </c>
      <c r="I1987" s="0" t="n">
        <f aca="false">(G1987-Stats!$B$2)/H1987</f>
        <v>1.43786337926424</v>
      </c>
    </row>
    <row r="1988" customFormat="false" ht="15" hidden="false" customHeight="false" outlineLevel="0" collapsed="false">
      <c r="A1988" s="0" t="n">
        <v>0.76973141829688</v>
      </c>
      <c r="B1988" s="0" t="n">
        <v>0.810935192672611</v>
      </c>
      <c r="C1988" s="0" t="n">
        <v>0.400356626839831</v>
      </c>
      <c r="D1988" s="0" t="n">
        <f aca="false">A1988/SUM($A1988:$C1988)</f>
        <v>0.388552442801264</v>
      </c>
      <c r="E1988" s="0" t="n">
        <f aca="false">B1988/SUM($A1988:$C1988)</f>
        <v>0.409351681088491</v>
      </c>
      <c r="F1988" s="0" t="n">
        <f aca="false">C1988/SUM($A1988:$C1988)</f>
        <v>0.202095876110246</v>
      </c>
      <c r="G1988" s="0" t="n">
        <f aca="false">SUMPRODUCT(D1988:F1988,Stats!$B$6:$D$6)</f>
        <v>0.374464554319066</v>
      </c>
      <c r="H1988" s="0" t="n">
        <f aca="false">SQRT(SUMPRODUCT(MMULT(D1988:F1988,Stats!$B$12:$D$14),D1988:F1988))</f>
        <v>0.226263322031244</v>
      </c>
      <c r="I1988" s="0" t="n">
        <f aca="false">(G1988-Stats!$B$2)/H1988</f>
        <v>1.46937007436476</v>
      </c>
    </row>
    <row r="1989" customFormat="false" ht="15" hidden="false" customHeight="false" outlineLevel="0" collapsed="false">
      <c r="A1989" s="0" t="n">
        <v>0.947152936006355</v>
      </c>
      <c r="B1989" s="0" t="n">
        <v>0.406462717952072</v>
      </c>
      <c r="C1989" s="0" t="n">
        <v>0.77183603523011</v>
      </c>
      <c r="D1989" s="0" t="n">
        <f aca="false">A1989/SUM($A1989:$C1989)</f>
        <v>0.44562430697635</v>
      </c>
      <c r="E1989" s="0" t="n">
        <f aca="false">B1989/SUM($A1989:$C1989)</f>
        <v>0.191235924118912</v>
      </c>
      <c r="F1989" s="0" t="n">
        <f aca="false">C1989/SUM($A1989:$C1989)</f>
        <v>0.363139768904738</v>
      </c>
      <c r="G1989" s="0" t="n">
        <f aca="false">SUMPRODUCT(D1989:F1989,Stats!$B$6:$D$6)</f>
        <v>0.357473732561666</v>
      </c>
      <c r="H1989" s="0" t="n">
        <f aca="false">SQRT(SUMPRODUCT(MMULT(D1989:F1989,Stats!$B$12:$D$14),D1989:F1989))</f>
        <v>0.223098758869954</v>
      </c>
      <c r="I1989" s="0" t="n">
        <f aca="false">(G1989-Stats!$B$2)/H1989</f>
        <v>1.41405418012907</v>
      </c>
    </row>
    <row r="1990" customFormat="false" ht="15" hidden="false" customHeight="false" outlineLevel="0" collapsed="false">
      <c r="A1990" s="0" t="n">
        <v>0.483877264564259</v>
      </c>
      <c r="B1990" s="0" t="n">
        <v>0.897532326522084</v>
      </c>
      <c r="C1990" s="0" t="n">
        <v>0.907761243650179</v>
      </c>
      <c r="D1990" s="0" t="n">
        <f aca="false">A1990/SUM($A1990:$C1990)</f>
        <v>0.211376650978498</v>
      </c>
      <c r="E1990" s="0" t="n">
        <f aca="false">B1990/SUM($A1990:$C1990)</f>
        <v>0.392077477531461</v>
      </c>
      <c r="F1990" s="0" t="n">
        <f aca="false">C1990/SUM($A1990:$C1990)</f>
        <v>0.396545871490041</v>
      </c>
      <c r="G1990" s="0" t="n">
        <f aca="false">SUMPRODUCT(D1990:F1990,Stats!$B$6:$D$6)</f>
        <v>0.368108735170761</v>
      </c>
      <c r="H1990" s="0" t="n">
        <f aca="false">SQRT(SUMPRODUCT(MMULT(D1990:F1990,Stats!$B$12:$D$14),D1990:F1990))</f>
        <v>0.231082195414474</v>
      </c>
      <c r="I1990" s="0" t="n">
        <f aca="false">(G1990-Stats!$B$2)/H1990</f>
        <v>1.41122397848889</v>
      </c>
    </row>
    <row r="1991" customFormat="false" ht="15" hidden="false" customHeight="false" outlineLevel="0" collapsed="false">
      <c r="A1991" s="0" t="n">
        <v>0.0874168078710839</v>
      </c>
      <c r="B1991" s="0" t="n">
        <v>0.936493331310226</v>
      </c>
      <c r="C1991" s="0" t="n">
        <v>0.825534841520416</v>
      </c>
      <c r="D1991" s="0" t="n">
        <f aca="false">A1991/SUM($A1991:$C1991)</f>
        <v>0.0472665090247323</v>
      </c>
      <c r="E1991" s="0" t="n">
        <f aca="false">B1991/SUM($A1991:$C1991)</f>
        <v>0.50636452615903</v>
      </c>
      <c r="F1991" s="0" t="n">
        <f aca="false">C1991/SUM($A1991:$C1991)</f>
        <v>0.446368964816238</v>
      </c>
      <c r="G1991" s="0" t="n">
        <f aca="false">SUMPRODUCT(D1991:F1991,Stats!$B$6:$D$6)</f>
        <v>0.373310811394458</v>
      </c>
      <c r="H1991" s="0" t="n">
        <f aca="false">SQRT(SUMPRODUCT(MMULT(D1991:F1991,Stats!$B$12:$D$14),D1991:F1991))</f>
        <v>0.240136945215163</v>
      </c>
      <c r="I1991" s="0" t="n">
        <f aca="false">(G1991-Stats!$B$2)/H1991</f>
        <v>1.37967446490836</v>
      </c>
    </row>
    <row r="1992" customFormat="false" ht="15" hidden="false" customHeight="false" outlineLevel="0" collapsed="false">
      <c r="A1992" s="0" t="n">
        <v>0.791310714312667</v>
      </c>
      <c r="B1992" s="0" t="n">
        <v>0.200911339685522</v>
      </c>
      <c r="C1992" s="0" t="n">
        <v>0.805119208754665</v>
      </c>
      <c r="D1992" s="0" t="n">
        <f aca="false">A1992/SUM($A1992:$C1992)</f>
        <v>0.440267371985148</v>
      </c>
      <c r="E1992" s="0" t="n">
        <f aca="false">B1992/SUM($A1992:$C1992)</f>
        <v>0.111782522244997</v>
      </c>
      <c r="F1992" s="0" t="n">
        <f aca="false">C1992/SUM($A1992:$C1992)</f>
        <v>0.447950105769855</v>
      </c>
      <c r="G1992" s="0" t="n">
        <f aca="false">SUMPRODUCT(D1992:F1992,Stats!$B$6:$D$6)</f>
        <v>0.350563474233082</v>
      </c>
      <c r="H1992" s="0" t="n">
        <f aca="false">SQRT(SUMPRODUCT(MMULT(D1992:F1992,Stats!$B$12:$D$14),D1992:F1992))</f>
        <v>0.223671854533384</v>
      </c>
      <c r="I1992" s="0" t="n">
        <f aca="false">(G1992-Stats!$B$2)/H1992</f>
        <v>1.37953644134974</v>
      </c>
    </row>
    <row r="1993" customFormat="false" ht="15" hidden="false" customHeight="false" outlineLevel="0" collapsed="false">
      <c r="A1993" s="0" t="n">
        <v>0.850132734685037</v>
      </c>
      <c r="B1993" s="0" t="n">
        <v>0.289150334454151</v>
      </c>
      <c r="C1993" s="0" t="n">
        <v>0.952260078362324</v>
      </c>
      <c r="D1993" s="0" t="n">
        <f aca="false">A1993/SUM($A1993:$C1993)</f>
        <v>0.40646196359878</v>
      </c>
      <c r="E1993" s="0" t="n">
        <f aca="false">B1993/SUM($A1993:$C1993)</f>
        <v>0.138247367643149</v>
      </c>
      <c r="F1993" s="0" t="n">
        <f aca="false">C1993/SUM($A1993:$C1993)</f>
        <v>0.455290668758071</v>
      </c>
      <c r="G1993" s="0" t="n">
        <f aca="false">SUMPRODUCT(D1993:F1993,Stats!$B$6:$D$6)</f>
        <v>0.351883813983441</v>
      </c>
      <c r="H1993" s="0" t="n">
        <f aca="false">SQRT(SUMPRODUCT(MMULT(D1993:F1993,Stats!$B$12:$D$14),D1993:F1993))</f>
        <v>0.224463726281386</v>
      </c>
      <c r="I1993" s="0" t="n">
        <f aca="false">(G1993-Stats!$B$2)/H1993</f>
        <v>1.38055185627175</v>
      </c>
    </row>
    <row r="1994" customFormat="false" ht="15" hidden="false" customHeight="false" outlineLevel="0" collapsed="false">
      <c r="A1994" s="0" t="n">
        <v>0.0498601463991643</v>
      </c>
      <c r="B1994" s="0" t="n">
        <v>0.14990925324714</v>
      </c>
      <c r="C1994" s="0" t="n">
        <v>0.537581138051514</v>
      </c>
      <c r="D1994" s="0" t="n">
        <f aca="false">A1994/SUM($A1994:$C1994)</f>
        <v>0.0676206822264474</v>
      </c>
      <c r="E1994" s="0" t="n">
        <f aca="false">B1994/SUM($A1994:$C1994)</f>
        <v>0.203307986612706</v>
      </c>
      <c r="F1994" s="0" t="n">
        <f aca="false">C1994/SUM($A1994:$C1994)</f>
        <v>0.729071331160847</v>
      </c>
      <c r="G1994" s="0" t="n">
        <f aca="false">SUMPRODUCT(D1994:F1994,Stats!$B$6:$D$6)</f>
        <v>0.348077921328461</v>
      </c>
      <c r="H1994" s="0" t="n">
        <f aca="false">SQRT(SUMPRODUCT(MMULT(D1994:F1994,Stats!$B$12:$D$14),D1994:F1994))</f>
        <v>0.243755745297783</v>
      </c>
      <c r="I1994" s="0" t="n">
        <f aca="false">(G1994-Stats!$B$2)/H1994</f>
        <v>1.25567469580888</v>
      </c>
    </row>
    <row r="1995" customFormat="false" ht="15" hidden="false" customHeight="false" outlineLevel="0" collapsed="false">
      <c r="A1995" s="0" t="n">
        <v>0.57579247112231</v>
      </c>
      <c r="B1995" s="0" t="n">
        <v>0.645150083300903</v>
      </c>
      <c r="C1995" s="0" t="n">
        <v>0.0169691293154665</v>
      </c>
      <c r="D1995" s="0" t="n">
        <f aca="false">A1995/SUM($A1995:$C1995)</f>
        <v>0.465132108118836</v>
      </c>
      <c r="E1995" s="0" t="n">
        <f aca="false">B1995/SUM($A1995:$C1995)</f>
        <v>0.521160024398876</v>
      </c>
      <c r="F1995" s="0" t="n">
        <f aca="false">C1995/SUM($A1995:$C1995)</f>
        <v>0.0137078674822885</v>
      </c>
      <c r="G1995" s="0" t="n">
        <f aca="false">SUMPRODUCT(D1995:F1995,Stats!$B$6:$D$6)</f>
        <v>0.386092588562517</v>
      </c>
      <c r="H1995" s="0" t="n">
        <f aca="false">SQRT(SUMPRODUCT(MMULT(D1995:F1995,Stats!$B$12:$D$14),D1995:F1995))</f>
        <v>0.229954198608554</v>
      </c>
      <c r="I1995" s="0" t="n">
        <f aca="false">(G1995-Stats!$B$2)/H1995</f>
        <v>1.49635271129908</v>
      </c>
    </row>
    <row r="1996" customFormat="false" ht="15" hidden="false" customHeight="false" outlineLevel="0" collapsed="false">
      <c r="A1996" s="0" t="n">
        <v>0.96036677462213</v>
      </c>
      <c r="B1996" s="0" t="n">
        <v>0.044588092734144</v>
      </c>
      <c r="C1996" s="0" t="n">
        <v>0.143061952723402</v>
      </c>
      <c r="D1996" s="0" t="n">
        <f aca="false">A1996/SUM($A1996:$C1996)</f>
        <v>0.83654416714511</v>
      </c>
      <c r="E1996" s="0" t="n">
        <f aca="false">B1996/SUM($A1996:$C1996)</f>
        <v>0.03883923297487</v>
      </c>
      <c r="F1996" s="0" t="n">
        <f aca="false">C1996/SUM($A1996:$C1996)</f>
        <v>0.12461659988002</v>
      </c>
      <c r="G1996" s="0" t="n">
        <f aca="false">SUMPRODUCT(D1996:F1996,Stats!$B$6:$D$6)</f>
        <v>0.355282208841438</v>
      </c>
      <c r="H1996" s="0" t="n">
        <f aca="false">SQRT(SUMPRODUCT(MMULT(D1996:F1996,Stats!$B$12:$D$14),D1996:F1996))</f>
        <v>0.225582960330787</v>
      </c>
      <c r="I1996" s="0" t="n">
        <f aca="false">(G1996-Stats!$B$2)/H1996</f>
        <v>1.38876716744054</v>
      </c>
    </row>
    <row r="1997" customFormat="false" ht="15" hidden="false" customHeight="false" outlineLevel="0" collapsed="false">
      <c r="A1997" s="0" t="n">
        <v>0.014014517526057</v>
      </c>
      <c r="B1997" s="0" t="n">
        <v>0.566858433294095</v>
      </c>
      <c r="C1997" s="0" t="n">
        <v>0.932266883920972</v>
      </c>
      <c r="D1997" s="0" t="n">
        <f aca="false">A1997/SUM($A1997:$C1997)</f>
        <v>0.00926187864749107</v>
      </c>
      <c r="E1997" s="0" t="n">
        <f aca="false">B1997/SUM($A1997:$C1997)</f>
        <v>0.37462395760077</v>
      </c>
      <c r="F1997" s="0" t="n">
        <f aca="false">C1997/SUM($A1997:$C1997)</f>
        <v>0.616114163751739</v>
      </c>
      <c r="G1997" s="0" t="n">
        <f aca="false">SUMPRODUCT(D1997:F1997,Stats!$B$6:$D$6)</f>
        <v>0.361049971014887</v>
      </c>
      <c r="H1997" s="0" t="n">
        <f aca="false">SQRT(SUMPRODUCT(MMULT(D1997:F1997,Stats!$B$12:$D$14),D1997:F1997))</f>
        <v>0.244187066957338</v>
      </c>
      <c r="I1997" s="0" t="n">
        <f aca="false">(G1997-Stats!$B$2)/H1997</f>
        <v>1.30658013542801</v>
      </c>
    </row>
    <row r="1998" customFormat="false" ht="15" hidden="false" customHeight="false" outlineLevel="0" collapsed="false">
      <c r="A1998" s="0" t="n">
        <v>0.665947166080464</v>
      </c>
      <c r="B1998" s="0" t="n">
        <v>0.822657468480427</v>
      </c>
      <c r="C1998" s="0" t="n">
        <v>0.0132812034585801</v>
      </c>
      <c r="D1998" s="0" t="n">
        <f aca="false">A1998/SUM($A1998:$C1998)</f>
        <v>0.44340731447248</v>
      </c>
      <c r="E1998" s="0" t="n">
        <f aca="false">B1998/SUM($A1998:$C1998)</f>
        <v>0.5477496675548</v>
      </c>
      <c r="F1998" s="0" t="n">
        <f aca="false">C1998/SUM($A1998:$C1998)</f>
        <v>0.00884301797272017</v>
      </c>
      <c r="G1998" s="0" t="n">
        <f aca="false">SUMPRODUCT(D1998:F1998,Stats!$B$6:$D$6)</f>
        <v>0.387756668569514</v>
      </c>
      <c r="H1998" s="0" t="n">
        <f aca="false">SQRT(SUMPRODUCT(MMULT(D1998:F1998,Stats!$B$12:$D$14),D1998:F1998))</f>
        <v>0.230759374225504</v>
      </c>
      <c r="I1998" s="0" t="n">
        <f aca="false">(G1998-Stats!$B$2)/H1998</f>
        <v>1.49834289389098</v>
      </c>
    </row>
    <row r="1999" customFormat="false" ht="15" hidden="false" customHeight="false" outlineLevel="0" collapsed="false">
      <c r="A1999" s="0" t="n">
        <v>0.542015298479726</v>
      </c>
      <c r="B1999" s="0" t="n">
        <v>0.459562977505522</v>
      </c>
      <c r="C1999" s="0" t="n">
        <v>0.498967944220793</v>
      </c>
      <c r="D1999" s="0" t="n">
        <f aca="false">A1999/SUM($A1999:$C1999)</f>
        <v>0.361211998125124</v>
      </c>
      <c r="E1999" s="0" t="n">
        <f aca="false">B1999/SUM($A1999:$C1999)</f>
        <v>0.306263793355475</v>
      </c>
      <c r="F1999" s="0" t="n">
        <f aca="false">C1999/SUM($A1999:$C1999)</f>
        <v>0.332524208519401</v>
      </c>
      <c r="G1999" s="0" t="n">
        <f aca="false">SUMPRODUCT(D1999:F1999,Stats!$B$6:$D$6)</f>
        <v>0.364936499582142</v>
      </c>
      <c r="H1999" s="0" t="n">
        <f aca="false">SQRT(SUMPRODUCT(MMULT(D1999:F1999,Stats!$B$12:$D$14),D1999:F1999))</f>
        <v>0.22538980211599</v>
      </c>
      <c r="I1999" s="0" t="n">
        <f aca="false">(G1999-Stats!$B$2)/H1999</f>
        <v>1.43279108704285</v>
      </c>
    </row>
    <row r="2000" customFormat="false" ht="15" hidden="false" customHeight="false" outlineLevel="0" collapsed="false">
      <c r="A2000" s="0" t="n">
        <v>0.072213185335188</v>
      </c>
      <c r="B2000" s="0" t="n">
        <v>0.684435361069308</v>
      </c>
      <c r="C2000" s="0" t="n">
        <v>0.503220414858634</v>
      </c>
      <c r="D2000" s="0" t="n">
        <f aca="false">A2000/SUM($A2000:$C2000)</f>
        <v>0.0573180128692018</v>
      </c>
      <c r="E2000" s="0" t="n">
        <f aca="false">B2000/SUM($A2000:$C2000)</f>
        <v>0.543259165923971</v>
      </c>
      <c r="F2000" s="0" t="n">
        <f aca="false">C2000/SUM($A2000:$C2000)</f>
        <v>0.399422821206827</v>
      </c>
      <c r="G2000" s="0" t="n">
        <f aca="false">SUMPRODUCT(D2000:F2000,Stats!$B$6:$D$6)</f>
        <v>0.376728203068328</v>
      </c>
      <c r="H2000" s="0" t="n">
        <f aca="false">SQRT(SUMPRODUCT(MMULT(D2000:F2000,Stats!$B$12:$D$14),D2000:F2000))</f>
        <v>0.239600645540015</v>
      </c>
      <c r="I2000" s="0" t="n">
        <f aca="false">(G2000-Stats!$B$2)/H2000</f>
        <v>1.39702546424244</v>
      </c>
    </row>
    <row r="2001" customFormat="false" ht="15" hidden="false" customHeight="false" outlineLevel="0" collapsed="false">
      <c r="A2001" s="0" t="n">
        <v>0.765148849861264</v>
      </c>
      <c r="B2001" s="0" t="n">
        <v>0.485290634061715</v>
      </c>
      <c r="C2001" s="0" t="n">
        <v>0.149381636226432</v>
      </c>
      <c r="D2001" s="0" t="n">
        <f aca="false">A2001/SUM($A2001:$C2001)</f>
        <v>0.546604733167331</v>
      </c>
      <c r="E2001" s="0" t="n">
        <f aca="false">B2001/SUM($A2001:$C2001)</f>
        <v>0.346680463007957</v>
      </c>
      <c r="F2001" s="0" t="n">
        <f aca="false">C2001/SUM($A2001:$C2001)</f>
        <v>0.106714803824711</v>
      </c>
      <c r="G2001" s="0" t="n">
        <f aca="false">SUMPRODUCT(D2001:F2001,Stats!$B$6:$D$6)</f>
        <v>0.373488629927267</v>
      </c>
      <c r="H2001" s="0" t="n">
        <f aca="false">SQRT(SUMPRODUCT(MMULT(D2001:F2001,Stats!$B$12:$D$14),D2001:F2001))</f>
        <v>0.225002883736809</v>
      </c>
      <c r="I2001" s="0" t="n">
        <f aca="false">(G2001-Stats!$B$2)/H2001</f>
        <v>1.47326391743057</v>
      </c>
    </row>
    <row r="2002" customFormat="false" ht="15" hidden="false" customHeight="false" outlineLevel="0" collapsed="false">
      <c r="A2002" s="0" t="n">
        <v>0.648256954077822</v>
      </c>
      <c r="B2002" s="0" t="n">
        <v>0.172386362105166</v>
      </c>
      <c r="C2002" s="0" t="n">
        <v>0.872394563354815</v>
      </c>
      <c r="D2002" s="0" t="n">
        <f aca="false">A2002/SUM($A2002:$C2002)</f>
        <v>0.382895717758421</v>
      </c>
      <c r="E2002" s="0" t="n">
        <f aca="false">B2002/SUM($A2002:$C2002)</f>
        <v>0.101820735488935</v>
      </c>
      <c r="F2002" s="0" t="n">
        <f aca="false">C2002/SUM($A2002:$C2002)</f>
        <v>0.515283546752644</v>
      </c>
      <c r="G2002" s="0" t="n">
        <f aca="false">SUMPRODUCT(D2002:F2002,Stats!$B$6:$D$6)</f>
        <v>0.348133592179129</v>
      </c>
      <c r="H2002" s="0" t="n">
        <f aca="false">SQRT(SUMPRODUCT(MMULT(D2002:F2002,Stats!$B$12:$D$14),D2002:F2002))</f>
        <v>0.225867141146649</v>
      </c>
      <c r="I2002" s="0" t="n">
        <f aca="false">(G2002-Stats!$B$2)/H2002</f>
        <v>1.3553701996005</v>
      </c>
    </row>
    <row r="2003" customFormat="false" ht="15" hidden="false" customHeight="false" outlineLevel="0" collapsed="false">
      <c r="A2003" s="0" t="n">
        <v>0.613116239069242</v>
      </c>
      <c r="B2003" s="0" t="n">
        <v>0.157203883556954</v>
      </c>
      <c r="C2003" s="0" t="n">
        <v>0.962338057481207</v>
      </c>
      <c r="D2003" s="0" t="n">
        <f aca="false">A2003/SUM($A2003:$C2003)</f>
        <v>0.353858739195308</v>
      </c>
      <c r="E2003" s="0" t="n">
        <f aca="false">B2003/SUM($A2003:$C2003)</f>
        <v>0.0907298885387824</v>
      </c>
      <c r="F2003" s="0" t="n">
        <f aca="false">C2003/SUM($A2003:$C2003)</f>
        <v>0.55541137226591</v>
      </c>
      <c r="G2003" s="0" t="n">
        <f aca="false">SUMPRODUCT(D2003:F2003,Stats!$B$6:$D$6)</f>
        <v>0.346388929845664</v>
      </c>
      <c r="H2003" s="0" t="n">
        <f aca="false">SQRT(SUMPRODUCT(MMULT(D2003:F2003,Stats!$B$12:$D$14),D2003:F2003))</f>
        <v>0.22738903629958</v>
      </c>
      <c r="I2003" s="0" t="n">
        <f aca="false">(G2003-Stats!$B$2)/H2003</f>
        <v>1.33862623633551</v>
      </c>
    </row>
    <row r="2004" customFormat="false" ht="15" hidden="false" customHeight="false" outlineLevel="0" collapsed="false">
      <c r="A2004" s="0" t="n">
        <v>0.518365463335321</v>
      </c>
      <c r="B2004" s="0" t="n">
        <v>0.072898451871655</v>
      </c>
      <c r="C2004" s="0" t="n">
        <v>0.626832904415067</v>
      </c>
      <c r="D2004" s="0" t="n">
        <f aca="false">A2004/SUM($A2004:$C2004)</f>
        <v>0.425553580786921</v>
      </c>
      <c r="E2004" s="0" t="n">
        <f aca="false">B2004/SUM($A2004:$C2004)</f>
        <v>0.0598461884945027</v>
      </c>
      <c r="F2004" s="0" t="n">
        <f aca="false">C2004/SUM($A2004:$C2004)</f>
        <v>0.514600230718576</v>
      </c>
      <c r="G2004" s="0" t="n">
        <f aca="false">SUMPRODUCT(D2004:F2004,Stats!$B$6:$D$6)</f>
        <v>0.345737273248485</v>
      </c>
      <c r="H2004" s="0" t="n">
        <f aca="false">SQRT(SUMPRODUCT(MMULT(D2004:F2004,Stats!$B$12:$D$14),D2004:F2004))</f>
        <v>0.224927901318637</v>
      </c>
      <c r="I2004" s="0" t="n">
        <f aca="false">(G2004-Stats!$B$2)/H2004</f>
        <v>1.35037614928085</v>
      </c>
    </row>
    <row r="2005" customFormat="false" ht="15" hidden="false" customHeight="false" outlineLevel="0" collapsed="false">
      <c r="A2005" s="0" t="n">
        <v>0.25319890701281</v>
      </c>
      <c r="B2005" s="0" t="n">
        <v>0.803693451877303</v>
      </c>
      <c r="C2005" s="0" t="n">
        <v>0.817822073566191</v>
      </c>
      <c r="D2005" s="0" t="n">
        <f aca="false">A2005/SUM($A2005:$C2005)</f>
        <v>0.135059987072838</v>
      </c>
      <c r="E2005" s="0" t="n">
        <f aca="false">B2005/SUM($A2005:$C2005)</f>
        <v>0.428701800105246</v>
      </c>
      <c r="F2005" s="0" t="n">
        <f aca="false">C2005/SUM($A2005:$C2005)</f>
        <v>0.436238212821916</v>
      </c>
      <c r="G2005" s="0" t="n">
        <f aca="false">SUMPRODUCT(D2005:F2005,Stats!$B$6:$D$6)</f>
        <v>0.369121550243974</v>
      </c>
      <c r="H2005" s="0" t="n">
        <f aca="false">SQRT(SUMPRODUCT(MMULT(D2005:F2005,Stats!$B$12:$D$14),D2005:F2005))</f>
        <v>0.234962213737057</v>
      </c>
      <c r="I2005" s="0" t="n">
        <f aca="false">(G2005-Stats!$B$2)/H2005</f>
        <v>1.39223045714938</v>
      </c>
    </row>
    <row r="2006" customFormat="false" ht="15" hidden="false" customHeight="false" outlineLevel="0" collapsed="false">
      <c r="A2006" s="0" t="n">
        <v>0.978947355854662</v>
      </c>
      <c r="B2006" s="0" t="n">
        <v>0.501869531024504</v>
      </c>
      <c r="C2006" s="0" t="n">
        <v>0.454956879727737</v>
      </c>
      <c r="D2006" s="0" t="n">
        <f aca="false">A2006/SUM($A2006:$C2006)</f>
        <v>0.505713721686909</v>
      </c>
      <c r="E2006" s="0" t="n">
        <f aca="false">B2006/SUM($A2006:$C2006)</f>
        <v>0.259260425821453</v>
      </c>
      <c r="F2006" s="0" t="n">
        <f aca="false">C2006/SUM($A2006:$C2006)</f>
        <v>0.235025852491638</v>
      </c>
      <c r="G2006" s="0" t="n">
        <f aca="false">SUMPRODUCT(D2006:F2006,Stats!$B$6:$D$6)</f>
        <v>0.364920466317129</v>
      </c>
      <c r="H2006" s="0" t="n">
        <f aca="false">SQRT(SUMPRODUCT(MMULT(D2006:F2006,Stats!$B$12:$D$14),D2006:F2006))</f>
        <v>0.222870860473731</v>
      </c>
      <c r="I2006" s="0" t="n">
        <f aca="false">(G2006-Stats!$B$2)/H2006</f>
        <v>1.44891290692167</v>
      </c>
    </row>
    <row r="2007" customFormat="false" ht="15" hidden="false" customHeight="false" outlineLevel="0" collapsed="false">
      <c r="A2007" s="0" t="n">
        <v>0.753475605446481</v>
      </c>
      <c r="B2007" s="0" t="n">
        <v>0.132470656341927</v>
      </c>
      <c r="C2007" s="0" t="n">
        <v>0.546915513793124</v>
      </c>
      <c r="D2007" s="0" t="n">
        <f aca="false">A2007/SUM($A2007:$C2007)</f>
        <v>0.525853657545356</v>
      </c>
      <c r="E2007" s="0" t="n">
        <f aca="false">B2007/SUM($A2007:$C2007)</f>
        <v>0.0924518042140966</v>
      </c>
      <c r="F2007" s="0" t="n">
        <f aca="false">C2007/SUM($A2007:$C2007)</f>
        <v>0.381694538240548</v>
      </c>
      <c r="G2007" s="0" t="n">
        <f aca="false">SUMPRODUCT(D2007:F2007,Stats!$B$6:$D$6)</f>
        <v>0.351278181528232</v>
      </c>
      <c r="H2007" s="0" t="n">
        <f aca="false">SQRT(SUMPRODUCT(MMULT(D2007:F2007,Stats!$B$12:$D$14),D2007:F2007))</f>
        <v>0.221900030930884</v>
      </c>
      <c r="I2007" s="0" t="n">
        <f aca="false">(G2007-Stats!$B$2)/H2007</f>
        <v>1.39377259313931</v>
      </c>
    </row>
    <row r="2008" customFormat="false" ht="15" hidden="false" customHeight="false" outlineLevel="0" collapsed="false">
      <c r="A2008" s="0" t="n">
        <v>0.546247600130851</v>
      </c>
      <c r="B2008" s="0" t="n">
        <v>0.0894731228103872</v>
      </c>
      <c r="C2008" s="0" t="n">
        <v>0.417984085506914</v>
      </c>
      <c r="D2008" s="0" t="n">
        <f aca="false">A2008/SUM($A2008:$C2008)</f>
        <v>0.518406669259998</v>
      </c>
      <c r="E2008" s="0" t="n">
        <f aca="false">B2008/SUM($A2008:$C2008)</f>
        <v>0.0849128922000073</v>
      </c>
      <c r="F2008" s="0" t="n">
        <f aca="false">C2008/SUM($A2008:$C2008)</f>
        <v>0.396680438539994</v>
      </c>
      <c r="G2008" s="0" t="n">
        <f aca="false">SUMPRODUCT(D2008:F2008,Stats!$B$6:$D$6)</f>
        <v>0.350431171851487</v>
      </c>
      <c r="H2008" s="0" t="n">
        <f aca="false">SQRT(SUMPRODUCT(MMULT(D2008:F2008,Stats!$B$12:$D$14),D2008:F2008))</f>
        <v>0.222061400226805</v>
      </c>
      <c r="I2008" s="0" t="n">
        <f aca="false">(G2008-Stats!$B$2)/H2008</f>
        <v>1.38894545173753</v>
      </c>
    </row>
    <row r="2009" customFormat="false" ht="15" hidden="false" customHeight="false" outlineLevel="0" collapsed="false">
      <c r="A2009" s="0" t="n">
        <v>0.853284798567202</v>
      </c>
      <c r="B2009" s="0" t="n">
        <v>0.85615362199466</v>
      </c>
      <c r="C2009" s="0" t="n">
        <v>0.099237664919681</v>
      </c>
      <c r="D2009" s="0" t="n">
        <f aca="false">A2009/SUM($A2009:$C2009)</f>
        <v>0.471773141369325</v>
      </c>
      <c r="E2009" s="0" t="n">
        <f aca="false">B2009/SUM($A2009:$C2009)</f>
        <v>0.473359286865739</v>
      </c>
      <c r="F2009" s="0" t="n">
        <f aca="false">C2009/SUM($A2009:$C2009)</f>
        <v>0.0548675717649354</v>
      </c>
      <c r="G2009" s="0" t="n">
        <f aca="false">SUMPRODUCT(D2009:F2009,Stats!$B$6:$D$6)</f>
        <v>0.382207232977405</v>
      </c>
      <c r="H2009" s="0" t="n">
        <f aca="false">SQRT(SUMPRODUCT(MMULT(D2009:F2009,Stats!$B$12:$D$14),D2009:F2009))</f>
        <v>0.22817530386929</v>
      </c>
      <c r="I2009" s="0" t="n">
        <f aca="false">(G2009-Stats!$B$2)/H2009</f>
        <v>1.4909905989313</v>
      </c>
    </row>
    <row r="2010" customFormat="false" ht="15" hidden="false" customHeight="false" outlineLevel="0" collapsed="false">
      <c r="A2010" s="0" t="n">
        <v>0.0907208827478309</v>
      </c>
      <c r="B2010" s="0" t="n">
        <v>0.262695477001935</v>
      </c>
      <c r="C2010" s="0" t="n">
        <v>0.874766062553994</v>
      </c>
      <c r="D2010" s="0" t="n">
        <f aca="false">A2010/SUM($A2010:$C2010)</f>
        <v>0.0738659673842762</v>
      </c>
      <c r="E2010" s="0" t="n">
        <f aca="false">B2010/SUM($A2010:$C2010)</f>
        <v>0.213889624400572</v>
      </c>
      <c r="F2010" s="0" t="n">
        <f aca="false">C2010/SUM($A2010:$C2010)</f>
        <v>0.712244408215152</v>
      </c>
      <c r="G2010" s="0" t="n">
        <f aca="false">SUMPRODUCT(D2010:F2010,Stats!$B$6:$D$6)</f>
        <v>0.349150770999482</v>
      </c>
      <c r="H2010" s="0" t="n">
        <f aca="false">SQRT(SUMPRODUCT(MMULT(D2010:F2010,Stats!$B$12:$D$14),D2010:F2010))</f>
        <v>0.242877917005095</v>
      </c>
      <c r="I2010" s="0" t="n">
        <f aca="false">(G2010-Stats!$B$2)/H2010</f>
        <v>1.26463029157582</v>
      </c>
    </row>
    <row r="2011" customFormat="false" ht="15" hidden="false" customHeight="false" outlineLevel="0" collapsed="false">
      <c r="A2011" s="0" t="n">
        <v>0.128902585073499</v>
      </c>
      <c r="B2011" s="0" t="n">
        <v>0.719996802627446</v>
      </c>
      <c r="C2011" s="0" t="n">
        <v>0.101165619613103</v>
      </c>
      <c r="D2011" s="0" t="n">
        <f aca="false">A2011/SUM($A2011:$C2011)</f>
        <v>0.135677647404279</v>
      </c>
      <c r="E2011" s="0" t="n">
        <f aca="false">B2011/SUM($A2011:$C2011)</f>
        <v>0.757839513174963</v>
      </c>
      <c r="F2011" s="0" t="n">
        <f aca="false">C2011/SUM($A2011:$C2011)</f>
        <v>0.106482839420758</v>
      </c>
      <c r="G2011" s="0" t="n">
        <f aca="false">SUMPRODUCT(D2011:F2011,Stats!$B$6:$D$6)</f>
        <v>0.397152585850352</v>
      </c>
      <c r="H2011" s="0" t="n">
        <f aca="false">SQRT(SUMPRODUCT(MMULT(D2011:F2011,Stats!$B$12:$D$14),D2011:F2011))</f>
        <v>0.240817319825174</v>
      </c>
      <c r="I2011" s="0" t="n">
        <f aca="false">(G2011-Stats!$B$2)/H2011</f>
        <v>1.47478007855989</v>
      </c>
    </row>
    <row r="2012" customFormat="false" ht="15" hidden="false" customHeight="false" outlineLevel="0" collapsed="false">
      <c r="A2012" s="0" t="n">
        <v>0.623137853747825</v>
      </c>
      <c r="B2012" s="0" t="n">
        <v>0.356067299119145</v>
      </c>
      <c r="C2012" s="0" t="n">
        <v>0.788913962965867</v>
      </c>
      <c r="D2012" s="0" t="n">
        <f aca="false">A2012/SUM($A2012:$C2012)</f>
        <v>0.352429792861726</v>
      </c>
      <c r="E2012" s="0" t="n">
        <f aca="false">B2012/SUM($A2012:$C2012)</f>
        <v>0.201381963426953</v>
      </c>
      <c r="F2012" s="0" t="n">
        <f aca="false">C2012/SUM($A2012:$C2012)</f>
        <v>0.446188243711321</v>
      </c>
      <c r="G2012" s="0" t="n">
        <f aca="false">SUMPRODUCT(D2012:F2012,Stats!$B$6:$D$6)</f>
        <v>0.35576749278102</v>
      </c>
      <c r="H2012" s="0" t="n">
        <f aca="false">SQRT(SUMPRODUCT(MMULT(D2012:F2012,Stats!$B$12:$D$14),D2012:F2012))</f>
        <v>0.225805167987067</v>
      </c>
      <c r="I2012" s="0" t="n">
        <f aca="false">(G2012-Stats!$B$2)/H2012</f>
        <v>1.38954965281836</v>
      </c>
    </row>
    <row r="2013" customFormat="false" ht="15" hidden="false" customHeight="false" outlineLevel="0" collapsed="false">
      <c r="A2013" s="0" t="n">
        <v>0.233690448825364</v>
      </c>
      <c r="B2013" s="0" t="n">
        <v>0.63920182938996</v>
      </c>
      <c r="C2013" s="0" t="n">
        <v>0.235682534575885</v>
      </c>
      <c r="D2013" s="0" t="n">
        <f aca="false">A2013/SUM($A2013:$C2013)</f>
        <v>0.210802596386769</v>
      </c>
      <c r="E2013" s="0" t="n">
        <f aca="false">B2013/SUM($A2013:$C2013)</f>
        <v>0.576597828143466</v>
      </c>
      <c r="F2013" s="0" t="n">
        <f aca="false">C2013/SUM($A2013:$C2013)</f>
        <v>0.212599575469765</v>
      </c>
      <c r="G2013" s="0" t="n">
        <f aca="false">SUMPRODUCT(D2013:F2013,Stats!$B$6:$D$6)</f>
        <v>0.383798045688253</v>
      </c>
      <c r="H2013" s="0" t="n">
        <f aca="false">SQRT(SUMPRODUCT(MMULT(D2013:F2013,Stats!$B$12:$D$14),D2013:F2013))</f>
        <v>0.233404233426126</v>
      </c>
      <c r="I2013" s="0" t="n">
        <f aca="false">(G2013-Stats!$B$2)/H2013</f>
        <v>1.46440379709923</v>
      </c>
    </row>
    <row r="2014" customFormat="false" ht="15" hidden="false" customHeight="false" outlineLevel="0" collapsed="false">
      <c r="A2014" s="0" t="n">
        <v>0.713660283112154</v>
      </c>
      <c r="B2014" s="0" t="n">
        <v>0.873678034560749</v>
      </c>
      <c r="C2014" s="0" t="n">
        <v>0.12680179912676</v>
      </c>
      <c r="D2014" s="0" t="n">
        <f aca="false">A2014/SUM($A2014:$C2014)</f>
        <v>0.416337192110394</v>
      </c>
      <c r="E2014" s="0" t="n">
        <f aca="false">B2014/SUM($A2014:$C2014)</f>
        <v>0.509688808982503</v>
      </c>
      <c r="F2014" s="0" t="n">
        <f aca="false">C2014/SUM($A2014:$C2014)</f>
        <v>0.0739739989071032</v>
      </c>
      <c r="G2014" s="0" t="n">
        <f aca="false">SUMPRODUCT(D2014:F2014,Stats!$B$6:$D$6)</f>
        <v>0.383770734279896</v>
      </c>
      <c r="H2014" s="0" t="n">
        <f aca="false">SQRT(SUMPRODUCT(MMULT(D2014:F2014,Stats!$B$12:$D$14),D2014:F2014))</f>
        <v>0.229025513014046</v>
      </c>
      <c r="I2014" s="0" t="n">
        <f aca="false">(G2014-Stats!$B$2)/H2014</f>
        <v>1.49228236532292</v>
      </c>
    </row>
    <row r="2015" customFormat="false" ht="15" hidden="false" customHeight="false" outlineLevel="0" collapsed="false">
      <c r="A2015" s="0" t="n">
        <v>0.866595688595504</v>
      </c>
      <c r="B2015" s="0" t="n">
        <v>0.593575254414298</v>
      </c>
      <c r="C2015" s="0" t="n">
        <v>0.127110490867024</v>
      </c>
      <c r="D2015" s="0" t="n">
        <f aca="false">A2015/SUM($A2015:$C2015)</f>
        <v>0.545962215710483</v>
      </c>
      <c r="E2015" s="0" t="n">
        <f aca="false">B2015/SUM($A2015:$C2015)</f>
        <v>0.373957158287004</v>
      </c>
      <c r="F2015" s="0" t="n">
        <f aca="false">C2015/SUM($A2015:$C2015)</f>
        <v>0.0800806260025139</v>
      </c>
      <c r="G2015" s="0" t="n">
        <f aca="false">SUMPRODUCT(D2015:F2015,Stats!$B$6:$D$6)</f>
        <v>0.375792522879491</v>
      </c>
      <c r="H2015" s="0" t="n">
        <f aca="false">SQRT(SUMPRODUCT(MMULT(D2015:F2015,Stats!$B$12:$D$14),D2015:F2015))</f>
        <v>0.22582423959131</v>
      </c>
      <c r="I2015" s="0" t="n">
        <f aca="false">(G2015-Stats!$B$2)/H2015</f>
        <v>1.47810759147724</v>
      </c>
    </row>
    <row r="2016" customFormat="false" ht="15" hidden="false" customHeight="false" outlineLevel="0" collapsed="false">
      <c r="A2016" s="0" t="n">
        <v>0.427541855359712</v>
      </c>
      <c r="B2016" s="0" t="n">
        <v>0.160860293485098</v>
      </c>
      <c r="C2016" s="0" t="n">
        <v>0.70034788886657</v>
      </c>
      <c r="D2016" s="0" t="n">
        <f aca="false">A2016/SUM($A2016:$C2016)</f>
        <v>0.331749247603484</v>
      </c>
      <c r="E2016" s="0" t="n">
        <f aca="false">B2016/SUM($A2016:$C2016)</f>
        <v>0.124818846772459</v>
      </c>
      <c r="F2016" s="0" t="n">
        <f aca="false">C2016/SUM($A2016:$C2016)</f>
        <v>0.543431905624056</v>
      </c>
      <c r="G2016" s="0" t="n">
        <f aca="false">SUMPRODUCT(D2016:F2016,Stats!$B$6:$D$6)</f>
        <v>0.348680693567059</v>
      </c>
      <c r="H2016" s="0" t="n">
        <f aca="false">SQRT(SUMPRODUCT(MMULT(D2016:F2016,Stats!$B$12:$D$14),D2016:F2016))</f>
        <v>0.227765436326671</v>
      </c>
      <c r="I2016" s="0" t="n">
        <f aca="false">(G2016-Stats!$B$2)/H2016</f>
        <v>1.34647599966487</v>
      </c>
    </row>
    <row r="2017" customFormat="false" ht="15" hidden="false" customHeight="false" outlineLevel="0" collapsed="false">
      <c r="A2017" s="0" t="n">
        <v>0.75886813441795</v>
      </c>
      <c r="B2017" s="0" t="n">
        <v>0.105796520272799</v>
      </c>
      <c r="C2017" s="0" t="n">
        <v>0.506139852694644</v>
      </c>
      <c r="D2017" s="0" t="n">
        <f aca="false">A2017/SUM($A2017:$C2017)</f>
        <v>0.553593258797623</v>
      </c>
      <c r="E2017" s="0" t="n">
        <f aca="false">B2017/SUM($A2017:$C2017)</f>
        <v>0.0771784158155347</v>
      </c>
      <c r="F2017" s="0" t="n">
        <f aca="false">C2017/SUM($A2017:$C2017)</f>
        <v>0.369228325386843</v>
      </c>
      <c r="G2017" s="0" t="n">
        <f aca="false">SUMPRODUCT(D2017:F2017,Stats!$B$6:$D$6)</f>
        <v>0.350743121552422</v>
      </c>
      <c r="H2017" s="0" t="n">
        <f aca="false">SQRT(SUMPRODUCT(MMULT(D2017:F2017,Stats!$B$12:$D$14),D2017:F2017))</f>
        <v>0.221604357456702</v>
      </c>
      <c r="I2017" s="0" t="n">
        <f aca="false">(G2017-Stats!$B$2)/H2017</f>
        <v>1.39321773766451</v>
      </c>
    </row>
    <row r="2018" customFormat="false" ht="15" hidden="false" customHeight="false" outlineLevel="0" collapsed="false">
      <c r="A2018" s="0" t="n">
        <v>0.814625056025917</v>
      </c>
      <c r="B2018" s="0" t="n">
        <v>0.936163041550997</v>
      </c>
      <c r="C2018" s="0" t="n">
        <v>0.51351786674177</v>
      </c>
      <c r="D2018" s="0" t="n">
        <f aca="false">A2018/SUM($A2018:$C2018)</f>
        <v>0.35976810062903</v>
      </c>
      <c r="E2018" s="0" t="n">
        <f aca="false">B2018/SUM($A2018:$C2018)</f>
        <v>0.413443702531024</v>
      </c>
      <c r="F2018" s="0" t="n">
        <f aca="false">C2018/SUM($A2018:$C2018)</f>
        <v>0.226788196839946</v>
      </c>
      <c r="G2018" s="0" t="n">
        <f aca="false">SUMPRODUCT(D2018:F2018,Stats!$B$6:$D$6)</f>
        <v>0.374019122689714</v>
      </c>
      <c r="H2018" s="0" t="n">
        <f aca="false">SQRT(SUMPRODUCT(MMULT(D2018:F2018,Stats!$B$12:$D$14),D2018:F2018))</f>
        <v>0.226719819844534</v>
      </c>
      <c r="I2018" s="0" t="n">
        <f aca="false">(G2018-Stats!$B$2)/H2018</f>
        <v>1.46444683538204</v>
      </c>
    </row>
    <row r="2019" customFormat="false" ht="15" hidden="false" customHeight="false" outlineLevel="0" collapsed="false">
      <c r="A2019" s="0" t="n">
        <v>0.950279223611407</v>
      </c>
      <c r="B2019" s="0" t="n">
        <v>0.53568897045603</v>
      </c>
      <c r="C2019" s="0" t="n">
        <v>0.394190494599908</v>
      </c>
      <c r="D2019" s="0" t="n">
        <f aca="false">A2019/SUM($A2019:$C2019)</f>
        <v>0.505425009782001</v>
      </c>
      <c r="E2019" s="0" t="n">
        <f aca="false">B2019/SUM($A2019:$C2019)</f>
        <v>0.284916892220266</v>
      </c>
      <c r="F2019" s="0" t="n">
        <f aca="false">C2019/SUM($A2019:$C2019)</f>
        <v>0.209658097997733</v>
      </c>
      <c r="G2019" s="0" t="n">
        <f aca="false">SUMPRODUCT(D2019:F2019,Stats!$B$6:$D$6)</f>
        <v>0.36709621226042</v>
      </c>
      <c r="H2019" s="0" t="n">
        <f aca="false">SQRT(SUMPRODUCT(MMULT(D2019:F2019,Stats!$B$12:$D$14),D2019:F2019))</f>
        <v>0.223275282361224</v>
      </c>
      <c r="I2019" s="0" t="n">
        <f aca="false">(G2019-Stats!$B$2)/H2019</f>
        <v>1.4560331480601</v>
      </c>
    </row>
    <row r="2020" customFormat="false" ht="15" hidden="false" customHeight="false" outlineLevel="0" collapsed="false">
      <c r="A2020" s="0" t="n">
        <v>0.848203128552896</v>
      </c>
      <c r="B2020" s="0" t="n">
        <v>0.492982710458089</v>
      </c>
      <c r="C2020" s="0" t="n">
        <v>0.471902510564523</v>
      </c>
      <c r="D2020" s="0" t="n">
        <f aca="false">A2020/SUM($A2020:$C2020)</f>
        <v>0.46782228166183</v>
      </c>
      <c r="E2020" s="0" t="n">
        <f aca="false">B2020/SUM($A2020:$C2020)</f>
        <v>0.271902199676872</v>
      </c>
      <c r="F2020" s="0" t="n">
        <f aca="false">C2020/SUM($A2020:$C2020)</f>
        <v>0.260275518661299</v>
      </c>
      <c r="G2020" s="0" t="n">
        <f aca="false">SUMPRODUCT(D2020:F2020,Stats!$B$6:$D$6)</f>
        <v>0.364951607789746</v>
      </c>
      <c r="H2020" s="0" t="n">
        <f aca="false">SQRT(SUMPRODUCT(MMULT(D2020:F2020,Stats!$B$12:$D$14),D2020:F2020))</f>
        <v>0.223242480895272</v>
      </c>
      <c r="I2020" s="0" t="n">
        <f aca="false">(G2020-Stats!$B$2)/H2020</f>
        <v>1.44664047135926</v>
      </c>
    </row>
    <row r="2021" customFormat="false" ht="15" hidden="false" customHeight="false" outlineLevel="0" collapsed="false">
      <c r="A2021" s="0" t="n">
        <v>0.490312489409828</v>
      </c>
      <c r="B2021" s="0" t="n">
        <v>0.846785001869745</v>
      </c>
      <c r="C2021" s="0" t="n">
        <v>0.831941541688052</v>
      </c>
      <c r="D2021" s="0" t="n">
        <f aca="false">A2021/SUM($A2021:$C2021)</f>
        <v>0.226050560620384</v>
      </c>
      <c r="E2021" s="0" t="n">
        <f aca="false">B2021/SUM($A2021:$C2021)</f>
        <v>0.390396387063259</v>
      </c>
      <c r="F2021" s="0" t="n">
        <f aca="false">C2021/SUM($A2021:$C2021)</f>
        <v>0.383553052316357</v>
      </c>
      <c r="G2021" s="0" t="n">
        <f aca="false">SUMPRODUCT(D2021:F2021,Stats!$B$6:$D$6)</f>
        <v>0.368370279392427</v>
      </c>
      <c r="H2021" s="0" t="n">
        <f aca="false">SQRT(SUMPRODUCT(MMULT(D2021:F2021,Stats!$B$12:$D$14),D2021:F2021))</f>
        <v>0.230426080901126</v>
      </c>
      <c r="I2021" s="0" t="n">
        <f aca="false">(G2021-Stats!$B$2)/H2021</f>
        <v>1.41637733938837</v>
      </c>
    </row>
    <row r="2022" customFormat="false" ht="15" hidden="false" customHeight="false" outlineLevel="0" collapsed="false">
      <c r="A2022" s="0" t="n">
        <v>0.403519992440211</v>
      </c>
      <c r="B2022" s="0" t="n">
        <v>0.333299859870525</v>
      </c>
      <c r="C2022" s="0" t="n">
        <v>0.491928024039129</v>
      </c>
      <c r="D2022" s="0" t="n">
        <f aca="false">A2022/SUM($A2022:$C2022)</f>
        <v>0.328399340667764</v>
      </c>
      <c r="E2022" s="0" t="n">
        <f aca="false">B2022/SUM($A2022:$C2022)</f>
        <v>0.271251626379718</v>
      </c>
      <c r="F2022" s="0" t="n">
        <f aca="false">C2022/SUM($A2022:$C2022)</f>
        <v>0.400349032952518</v>
      </c>
      <c r="G2022" s="0" t="n">
        <f aca="false">SUMPRODUCT(D2022:F2022,Stats!$B$6:$D$6)</f>
        <v>0.361051701362774</v>
      </c>
      <c r="H2022" s="0" t="n">
        <f aca="false">SQRT(SUMPRODUCT(MMULT(D2022:F2022,Stats!$B$12:$D$14),D2022:F2022))</f>
        <v>0.22633751140327</v>
      </c>
      <c r="I2022" s="0" t="n">
        <f aca="false">(G2022-Stats!$B$2)/H2022</f>
        <v>1.40962803463149</v>
      </c>
    </row>
    <row r="2023" customFormat="false" ht="15" hidden="false" customHeight="false" outlineLevel="0" collapsed="false">
      <c r="A2023" s="0" t="n">
        <v>0.572772509737109</v>
      </c>
      <c r="B2023" s="0" t="n">
        <v>0.238337210627997</v>
      </c>
      <c r="C2023" s="0" t="n">
        <v>0.793955084715591</v>
      </c>
      <c r="D2023" s="0" t="n">
        <f aca="false">A2023/SUM($A2023:$C2023)</f>
        <v>0.356853198652195</v>
      </c>
      <c r="E2023" s="0" t="n">
        <f aca="false">B2023/SUM($A2023:$C2023)</f>
        <v>0.148490708832167</v>
      </c>
      <c r="F2023" s="0" t="n">
        <f aca="false">C2023/SUM($A2023:$C2023)</f>
        <v>0.494656092515637</v>
      </c>
      <c r="G2023" s="0" t="n">
        <f aca="false">SUMPRODUCT(D2023:F2023,Stats!$B$6:$D$6)</f>
        <v>0.351387716158383</v>
      </c>
      <c r="H2023" s="0" t="n">
        <f aca="false">SQRT(SUMPRODUCT(MMULT(D2023:F2023,Stats!$B$12:$D$14),D2023:F2023))</f>
        <v>0.226220679619758</v>
      </c>
      <c r="I2023" s="0" t="n">
        <f aca="false">(G2023-Stats!$B$2)/H2023</f>
        <v>1.36763675486439</v>
      </c>
    </row>
    <row r="2024" customFormat="false" ht="15" hidden="false" customHeight="false" outlineLevel="0" collapsed="false">
      <c r="A2024" s="0" t="n">
        <v>0.486482765732423</v>
      </c>
      <c r="B2024" s="0" t="n">
        <v>0.33404554841996</v>
      </c>
      <c r="C2024" s="0" t="n">
        <v>0.106820992963991</v>
      </c>
      <c r="D2024" s="0" t="n">
        <f aca="false">A2024/SUM($A2024:$C2024)</f>
        <v>0.524594952515961</v>
      </c>
      <c r="E2024" s="0" t="n">
        <f aca="false">B2024/SUM($A2024:$C2024)</f>
        <v>0.360215450485089</v>
      </c>
      <c r="F2024" s="0" t="n">
        <f aca="false">C2024/SUM($A2024:$C2024)</f>
        <v>0.11518959699895</v>
      </c>
      <c r="G2024" s="0" t="n">
        <f aca="false">SUMPRODUCT(D2024:F2024,Stats!$B$6:$D$6)</f>
        <v>0.374033726426507</v>
      </c>
      <c r="H2024" s="0" t="n">
        <f aca="false">SQRT(SUMPRODUCT(MMULT(D2024:F2024,Stats!$B$12:$D$14),D2024:F2024))</f>
        <v>0.225107993077696</v>
      </c>
      <c r="I2024" s="0" t="n">
        <f aca="false">(G2024-Stats!$B$2)/H2024</f>
        <v>1.47499749736521</v>
      </c>
    </row>
    <row r="2025" customFormat="false" ht="15" hidden="false" customHeight="false" outlineLevel="0" collapsed="false">
      <c r="A2025" s="0" t="n">
        <v>0.238845160403607</v>
      </c>
      <c r="B2025" s="0" t="n">
        <v>0.949281171755984</v>
      </c>
      <c r="C2025" s="0" t="n">
        <v>0.305099686819527</v>
      </c>
      <c r="D2025" s="0" t="n">
        <f aca="false">A2025/SUM($A2025:$C2025)</f>
        <v>0.159952450176899</v>
      </c>
      <c r="E2025" s="0" t="n">
        <f aca="false">B2025/SUM($A2025:$C2025)</f>
        <v>0.635725040744324</v>
      </c>
      <c r="F2025" s="0" t="n">
        <f aca="false">C2025/SUM($A2025:$C2025)</f>
        <v>0.204322509078777</v>
      </c>
      <c r="G2025" s="0" t="n">
        <f aca="false">SUMPRODUCT(D2025:F2025,Stats!$B$6:$D$6)</f>
        <v>0.387428385896657</v>
      </c>
      <c r="H2025" s="0" t="n">
        <f aca="false">SQRT(SUMPRODUCT(MMULT(D2025:F2025,Stats!$B$12:$D$14),D2025:F2025))</f>
        <v>0.236352998513254</v>
      </c>
      <c r="I2025" s="0" t="n">
        <f aca="false">(G2025-Stats!$B$2)/H2025</f>
        <v>1.4614935628891</v>
      </c>
    </row>
    <row r="2026" customFormat="false" ht="15" hidden="false" customHeight="false" outlineLevel="0" collapsed="false">
      <c r="A2026" s="0" t="n">
        <v>0.168859289367035</v>
      </c>
      <c r="B2026" s="0" t="n">
        <v>0.460672791654993</v>
      </c>
      <c r="C2026" s="0" t="n">
        <v>0.307087743360249</v>
      </c>
      <c r="D2026" s="0" t="n">
        <f aca="false">A2026/SUM($A2026:$C2026)</f>
        <v>0.180285837403027</v>
      </c>
      <c r="E2026" s="0" t="n">
        <f aca="false">B2026/SUM($A2026:$C2026)</f>
        <v>0.491846082757022</v>
      </c>
      <c r="F2026" s="0" t="n">
        <f aca="false">C2026/SUM($A2026:$C2026)</f>
        <v>0.32786807983995</v>
      </c>
      <c r="G2026" s="0" t="n">
        <f aca="false">SUMPRODUCT(D2026:F2026,Stats!$B$6:$D$6)</f>
        <v>0.375743055277345</v>
      </c>
      <c r="H2026" s="0" t="n">
        <f aca="false">SQRT(SUMPRODUCT(MMULT(D2026:F2026,Stats!$B$12:$D$14),D2026:F2026))</f>
        <v>0.233034906289487</v>
      </c>
      <c r="I2026" s="0" t="n">
        <f aca="false">(G2026-Stats!$B$2)/H2026</f>
        <v>1.43215907261015</v>
      </c>
    </row>
    <row r="2027" customFormat="false" ht="15" hidden="false" customHeight="false" outlineLevel="0" collapsed="false">
      <c r="A2027" s="0" t="n">
        <v>0.0351592502711942</v>
      </c>
      <c r="B2027" s="0" t="n">
        <v>0.323145217279417</v>
      </c>
      <c r="C2027" s="0" t="n">
        <v>0.544108623939469</v>
      </c>
      <c r="D2027" s="0" t="n">
        <f aca="false">A2027/SUM($A2027:$C2027)</f>
        <v>0.0389613699122412</v>
      </c>
      <c r="E2027" s="0" t="n">
        <f aca="false">B2027/SUM($A2027:$C2027)</f>
        <v>0.358090125605153</v>
      </c>
      <c r="F2027" s="0" t="n">
        <f aca="false">C2027/SUM($A2027:$C2027)</f>
        <v>0.602948504482606</v>
      </c>
      <c r="G2027" s="0" t="n">
        <f aca="false">SUMPRODUCT(D2027:F2027,Stats!$B$6:$D$6)</f>
        <v>0.360461673711747</v>
      </c>
      <c r="H2027" s="0" t="n">
        <f aca="false">SQRT(SUMPRODUCT(MMULT(D2027:F2027,Stats!$B$12:$D$14),D2027:F2027))</f>
        <v>0.242124913113539</v>
      </c>
      <c r="I2027" s="0" t="n">
        <f aca="false">(G2027-Stats!$B$2)/H2027</f>
        <v>1.31527842226798</v>
      </c>
    </row>
    <row r="2028" customFormat="false" ht="15" hidden="false" customHeight="false" outlineLevel="0" collapsed="false">
      <c r="A2028" s="0" t="n">
        <v>0.551712372019967</v>
      </c>
      <c r="B2028" s="0" t="n">
        <v>0.356558921176889</v>
      </c>
      <c r="C2028" s="0" t="n">
        <v>0.447302756252601</v>
      </c>
      <c r="D2028" s="0" t="n">
        <f aca="false">A2028/SUM($A2028:$C2028)</f>
        <v>0.40699537752588</v>
      </c>
      <c r="E2028" s="0" t="n">
        <f aca="false">B2028/SUM($A2028:$C2028)</f>
        <v>0.263031681169833</v>
      </c>
      <c r="F2028" s="0" t="n">
        <f aca="false">C2028/SUM($A2028:$C2028)</f>
        <v>0.329972941304287</v>
      </c>
      <c r="G2028" s="0" t="n">
        <f aca="false">SUMPRODUCT(D2028:F2028,Stats!$B$6:$D$6)</f>
        <v>0.362519330013396</v>
      </c>
      <c r="H2028" s="0" t="n">
        <f aca="false">SQRT(SUMPRODUCT(MMULT(D2028:F2028,Stats!$B$12:$D$14),D2028:F2028))</f>
        <v>0.224079643873728</v>
      </c>
      <c r="I2028" s="0" t="n">
        <f aca="false">(G2028-Stats!$B$2)/H2028</f>
        <v>1.43038128976148</v>
      </c>
    </row>
    <row r="2029" customFormat="false" ht="15" hidden="false" customHeight="false" outlineLevel="0" collapsed="false">
      <c r="A2029" s="0" t="n">
        <v>0.965517918234766</v>
      </c>
      <c r="B2029" s="0" t="n">
        <v>0.377348477230312</v>
      </c>
      <c r="C2029" s="0" t="n">
        <v>0.258226813259983</v>
      </c>
      <c r="D2029" s="0" t="n">
        <f aca="false">A2029/SUM($A2029:$C2029)</f>
        <v>0.603036670802946</v>
      </c>
      <c r="E2029" s="0" t="n">
        <f aca="false">B2029/SUM($A2029:$C2029)</f>
        <v>0.235681767416147</v>
      </c>
      <c r="F2029" s="0" t="n">
        <f aca="false">C2029/SUM($A2029:$C2029)</f>
        <v>0.161281561780908</v>
      </c>
      <c r="G2029" s="0" t="n">
        <f aca="false">SUMPRODUCT(D2029:F2029,Stats!$B$6:$D$6)</f>
        <v>0.365597251282551</v>
      </c>
      <c r="H2029" s="0" t="n">
        <f aca="false">SQRT(SUMPRODUCT(MMULT(D2029:F2029,Stats!$B$12:$D$14),D2029:F2029))</f>
        <v>0.22305466187741</v>
      </c>
      <c r="I2029" s="0" t="n">
        <f aca="false">(G2029-Stats!$B$2)/H2029</f>
        <v>1.45075314077228</v>
      </c>
    </row>
    <row r="2030" customFormat="false" ht="15" hidden="false" customHeight="false" outlineLevel="0" collapsed="false">
      <c r="A2030" s="0" t="n">
        <v>0.24346704406676</v>
      </c>
      <c r="B2030" s="0" t="n">
        <v>0.457764612704134</v>
      </c>
      <c r="C2030" s="0" t="n">
        <v>0.759520148716944</v>
      </c>
      <c r="D2030" s="0" t="n">
        <f aca="false">A2030/SUM($A2030:$C2030)</f>
        <v>0.166672423851943</v>
      </c>
      <c r="E2030" s="0" t="n">
        <f aca="false">B2030/SUM($A2030:$C2030)</f>
        <v>0.313376037588574</v>
      </c>
      <c r="F2030" s="0" t="n">
        <f aca="false">C2030/SUM($A2030:$C2030)</f>
        <v>0.519951538559483</v>
      </c>
      <c r="G2030" s="0" t="n">
        <f aca="false">SUMPRODUCT(D2030:F2030,Stats!$B$6:$D$6)</f>
        <v>0.360177492372603</v>
      </c>
      <c r="H2030" s="0" t="n">
        <f aca="false">SQRT(SUMPRODUCT(MMULT(D2030:F2030,Stats!$B$12:$D$14),D2030:F2030))</f>
        <v>0.23389642268706</v>
      </c>
      <c r="I2030" s="0" t="n">
        <f aca="false">(G2030-Stats!$B$2)/H2030</f>
        <v>1.36033500947685</v>
      </c>
    </row>
    <row r="2031" customFormat="false" ht="15" hidden="false" customHeight="false" outlineLevel="0" collapsed="false">
      <c r="A2031" s="0" t="n">
        <v>0.205988184188473</v>
      </c>
      <c r="B2031" s="0" t="n">
        <v>0.709296127140768</v>
      </c>
      <c r="C2031" s="0" t="n">
        <v>0.0211498233494163</v>
      </c>
      <c r="D2031" s="0" t="n">
        <f aca="false">A2031/SUM($A2031:$C2031)</f>
        <v>0.219970819687344</v>
      </c>
      <c r="E2031" s="0" t="n">
        <f aca="false">B2031/SUM($A2031:$C2031)</f>
        <v>0.757443690777213</v>
      </c>
      <c r="F2031" s="0" t="n">
        <f aca="false">C2031/SUM($A2031:$C2031)</f>
        <v>0.0225854895354428</v>
      </c>
      <c r="G2031" s="0" t="n">
        <f aca="false">SUMPRODUCT(D2031:F2031,Stats!$B$6:$D$6)</f>
        <v>0.399443247896358</v>
      </c>
      <c r="H2031" s="0" t="n">
        <f aca="false">SQRT(SUMPRODUCT(MMULT(D2031:F2031,Stats!$B$12:$D$14),D2031:F2031))</f>
        <v>0.239413912540091</v>
      </c>
      <c r="I2031" s="0" t="n">
        <f aca="false">(G2031-Stats!$B$2)/H2031</f>
        <v>1.49299280106165</v>
      </c>
    </row>
    <row r="2032" customFormat="false" ht="15" hidden="false" customHeight="false" outlineLevel="0" collapsed="false">
      <c r="A2032" s="0" t="n">
        <v>0.418932977983946</v>
      </c>
      <c r="B2032" s="0" t="n">
        <v>0.775865065202787</v>
      </c>
      <c r="C2032" s="0" t="n">
        <v>0.338732955774431</v>
      </c>
      <c r="D2032" s="0" t="n">
        <f aca="false">A2032/SUM($A2032:$C2032)</f>
        <v>0.27318194302413</v>
      </c>
      <c r="E2032" s="0" t="n">
        <f aca="false">B2032/SUM($A2032:$C2032)</f>
        <v>0.505933734452299</v>
      </c>
      <c r="F2032" s="0" t="n">
        <f aca="false">C2032/SUM($A2032:$C2032)</f>
        <v>0.220884322523571</v>
      </c>
      <c r="G2032" s="0" t="n">
        <f aca="false">SUMPRODUCT(D2032:F2032,Stats!$B$6:$D$6)</f>
        <v>0.379503676482483</v>
      </c>
      <c r="H2032" s="0" t="n">
        <f aca="false">SQRT(SUMPRODUCT(MMULT(D2032:F2032,Stats!$B$12:$D$14),D2032:F2032))</f>
        <v>0.230239029696169</v>
      </c>
      <c r="I2032" s="0" t="n">
        <f aca="false">(G2032-Stats!$B$2)/H2032</f>
        <v>1.46588385526061</v>
      </c>
    </row>
    <row r="2033" customFormat="false" ht="15" hidden="false" customHeight="false" outlineLevel="0" collapsed="false">
      <c r="A2033" s="0" t="n">
        <v>0.5637371014454</v>
      </c>
      <c r="B2033" s="0" t="n">
        <v>0.204979232825911</v>
      </c>
      <c r="C2033" s="0" t="n">
        <v>0.741995391126172</v>
      </c>
      <c r="D2033" s="0" t="n">
        <f aca="false">A2033/SUM($A2033:$C2033)</f>
        <v>0.373159943070591</v>
      </c>
      <c r="E2033" s="0" t="n">
        <f aca="false">B2033/SUM($A2033:$C2033)</f>
        <v>0.135683882887702</v>
      </c>
      <c r="F2033" s="0" t="n">
        <f aca="false">C2033/SUM($A2033:$C2033)</f>
        <v>0.491156174041706</v>
      </c>
      <c r="G2033" s="0" t="n">
        <f aca="false">SUMPRODUCT(D2033:F2033,Stats!$B$6:$D$6)</f>
        <v>0.350747336874869</v>
      </c>
      <c r="H2033" s="0" t="n">
        <f aca="false">SQRT(SUMPRODUCT(MMULT(D2033:F2033,Stats!$B$12:$D$14),D2033:F2033))</f>
        <v>0.22573010952379</v>
      </c>
      <c r="I2033" s="0" t="n">
        <f aca="false">(G2033-Stats!$B$2)/H2033</f>
        <v>1.36777205985597</v>
      </c>
    </row>
    <row r="2034" customFormat="false" ht="15" hidden="false" customHeight="false" outlineLevel="0" collapsed="false">
      <c r="A2034" s="0" t="n">
        <v>0.0522791032687596</v>
      </c>
      <c r="B2034" s="0" t="n">
        <v>0.8525426448755</v>
      </c>
      <c r="C2034" s="0" t="n">
        <v>0.198196386421668</v>
      </c>
      <c r="D2034" s="0" t="n">
        <f aca="false">A2034/SUM($A2034:$C2034)</f>
        <v>0.0473964131961739</v>
      </c>
      <c r="E2034" s="0" t="n">
        <f aca="false">B2034/SUM($A2034:$C2034)</f>
        <v>0.772918067399683</v>
      </c>
      <c r="F2034" s="0" t="n">
        <f aca="false">C2034/SUM($A2034:$C2034)</f>
        <v>0.179685519404143</v>
      </c>
      <c r="G2034" s="0" t="n">
        <f aca="false">SUMPRODUCT(D2034:F2034,Stats!$B$6:$D$6)</f>
        <v>0.39600165059934</v>
      </c>
      <c r="H2034" s="0" t="n">
        <f aca="false">SQRT(SUMPRODUCT(MMULT(D2034:F2034,Stats!$B$12:$D$14),D2034:F2034))</f>
        <v>0.24408245619825</v>
      </c>
      <c r="I2034" s="0" t="n">
        <f aca="false">(G2034-Stats!$B$2)/H2034</f>
        <v>1.45033631713297</v>
      </c>
    </row>
    <row r="2035" customFormat="false" ht="15" hidden="false" customHeight="false" outlineLevel="0" collapsed="false">
      <c r="A2035" s="0" t="n">
        <v>0.874398031708331</v>
      </c>
      <c r="B2035" s="0" t="n">
        <v>0.352529241300517</v>
      </c>
      <c r="C2035" s="0" t="n">
        <v>0.722683574474487</v>
      </c>
      <c r="D2035" s="0" t="n">
        <f aca="false">A2035/SUM($A2035:$C2035)</f>
        <v>0.448498751859661</v>
      </c>
      <c r="E2035" s="0" t="n">
        <f aca="false">B2035/SUM($A2035:$C2035)</f>
        <v>0.180820311784571</v>
      </c>
      <c r="F2035" s="0" t="n">
        <f aca="false">C2035/SUM($A2035:$C2035)</f>
        <v>0.370680936355769</v>
      </c>
      <c r="G2035" s="0" t="n">
        <f aca="false">SUMPRODUCT(D2035:F2035,Stats!$B$6:$D$6)</f>
        <v>0.356666486916635</v>
      </c>
      <c r="H2035" s="0" t="n">
        <f aca="false">SQRT(SUMPRODUCT(MMULT(D2035:F2035,Stats!$B$12:$D$14),D2035:F2035))</f>
        <v>0.22304607765877</v>
      </c>
      <c r="I2035" s="0" t="n">
        <f aca="false">(G2035-Stats!$B$2)/H2035</f>
        <v>1.41076897751159</v>
      </c>
    </row>
    <row r="2036" customFormat="false" ht="15" hidden="false" customHeight="false" outlineLevel="0" collapsed="false">
      <c r="A2036" s="0" t="n">
        <v>0.319225297786189</v>
      </c>
      <c r="B2036" s="0" t="n">
        <v>0.905911671234648</v>
      </c>
      <c r="C2036" s="0" t="n">
        <v>0.126637125518374</v>
      </c>
      <c r="D2036" s="0" t="n">
        <f aca="false">A2036/SUM($A2036:$C2036)</f>
        <v>0.236152844677058</v>
      </c>
      <c r="E2036" s="0" t="n">
        <f aca="false">B2036/SUM($A2036:$C2036)</f>
        <v>0.670164989027588</v>
      </c>
      <c r="F2036" s="0" t="n">
        <f aca="false">C2036/SUM($A2036:$C2036)</f>
        <v>0.0936821662953544</v>
      </c>
      <c r="G2036" s="0" t="n">
        <f aca="false">SUMPRODUCT(D2036:F2036,Stats!$B$6:$D$6)</f>
        <v>0.392460880843863</v>
      </c>
      <c r="H2036" s="0" t="n">
        <f aca="false">SQRT(SUMPRODUCT(MMULT(D2036:F2036,Stats!$B$12:$D$14),D2036:F2036))</f>
        <v>0.235681626034634</v>
      </c>
      <c r="I2036" s="0" t="n">
        <f aca="false">(G2036-Stats!$B$2)/H2036</f>
        <v>1.48700977136148</v>
      </c>
    </row>
    <row r="2037" customFormat="false" ht="15" hidden="false" customHeight="false" outlineLevel="0" collapsed="false">
      <c r="A2037" s="0" t="n">
        <v>0.178519789272599</v>
      </c>
      <c r="B2037" s="0" t="n">
        <v>0.493030125158802</v>
      </c>
      <c r="C2037" s="0" t="n">
        <v>0.0819384390381461</v>
      </c>
      <c r="D2037" s="0" t="n">
        <f aca="false">A2037/SUM($A2037:$C2037)</f>
        <v>0.236924417544848</v>
      </c>
      <c r="E2037" s="0" t="n">
        <f aca="false">B2037/SUM($A2037:$C2037)</f>
        <v>0.65433012055007</v>
      </c>
      <c r="F2037" s="0" t="n">
        <f aca="false">C2037/SUM($A2037:$C2037)</f>
        <v>0.108745461905083</v>
      </c>
      <c r="G2037" s="0" t="n">
        <f aca="false">SUMPRODUCT(D2037:F2037,Stats!$B$6:$D$6)</f>
        <v>0.391134398423546</v>
      </c>
      <c r="H2037" s="0" t="n">
        <f aca="false">SQRT(SUMPRODUCT(MMULT(D2037:F2037,Stats!$B$12:$D$14),D2037:F2037))</f>
        <v>0.235104508907964</v>
      </c>
      <c r="I2037" s="0" t="n">
        <f aca="false">(G2037-Stats!$B$2)/H2037</f>
        <v>1.48501787585971</v>
      </c>
    </row>
    <row r="2038" customFormat="false" ht="15" hidden="false" customHeight="false" outlineLevel="0" collapsed="false">
      <c r="A2038" s="0" t="n">
        <v>0.195980184701762</v>
      </c>
      <c r="B2038" s="0" t="n">
        <v>0.943766382212014</v>
      </c>
      <c r="C2038" s="0" t="n">
        <v>0.976489661147887</v>
      </c>
      <c r="D2038" s="0" t="n">
        <f aca="false">A2038/SUM($A2038:$C2038)</f>
        <v>0.0926078960859994</v>
      </c>
      <c r="E2038" s="0" t="n">
        <f aca="false">B2038/SUM($A2038:$C2038)</f>
        <v>0.445964571297621</v>
      </c>
      <c r="F2038" s="0" t="n">
        <f aca="false">C2038/SUM($A2038:$C2038)</f>
        <v>0.46142753261638</v>
      </c>
      <c r="G2038" s="0" t="n">
        <f aca="false">SUMPRODUCT(D2038:F2038,Stats!$B$6:$D$6)</f>
        <v>0.369420241950605</v>
      </c>
      <c r="H2038" s="0" t="n">
        <f aca="false">SQRT(SUMPRODUCT(MMULT(D2038:F2038,Stats!$B$12:$D$14),D2038:F2038))</f>
        <v>0.237414110351596</v>
      </c>
      <c r="I2038" s="0" t="n">
        <f aca="false">(G2038-Stats!$B$2)/H2038</f>
        <v>1.37911028736125</v>
      </c>
    </row>
    <row r="2039" customFormat="false" ht="15" hidden="false" customHeight="false" outlineLevel="0" collapsed="false">
      <c r="A2039" s="0" t="n">
        <v>0.376259329330422</v>
      </c>
      <c r="B2039" s="0" t="n">
        <v>0.923286021013936</v>
      </c>
      <c r="C2039" s="0" t="n">
        <v>0.544824675673432</v>
      </c>
      <c r="D2039" s="0" t="n">
        <f aca="false">A2039/SUM($A2039:$C2039)</f>
        <v>0.204004252955037</v>
      </c>
      <c r="E2039" s="0" t="n">
        <f aca="false">B2039/SUM($A2039:$C2039)</f>
        <v>0.500596956136518</v>
      </c>
      <c r="F2039" s="0" t="n">
        <f aca="false">C2039/SUM($A2039:$C2039)</f>
        <v>0.295398790908445</v>
      </c>
      <c r="G2039" s="0" t="n">
        <f aca="false">SUMPRODUCT(D2039:F2039,Stats!$B$6:$D$6)</f>
        <v>0.377141897359508</v>
      </c>
      <c r="H2039" s="0" t="n">
        <f aca="false">SQRT(SUMPRODUCT(MMULT(D2039:F2039,Stats!$B$12:$D$14),D2039:F2039))</f>
        <v>0.232211584697771</v>
      </c>
      <c r="I2039" s="0" t="n">
        <f aca="false">(G2039-Stats!$B$2)/H2039</f>
        <v>1.44326088552259</v>
      </c>
    </row>
    <row r="2040" customFormat="false" ht="15" hidden="false" customHeight="false" outlineLevel="0" collapsed="false">
      <c r="A2040" s="0" t="n">
        <v>0.269742465873767</v>
      </c>
      <c r="B2040" s="0" t="n">
        <v>0.702398721080599</v>
      </c>
      <c r="C2040" s="0" t="n">
        <v>0.658901806574857</v>
      </c>
      <c r="D2040" s="0" t="n">
        <f aca="false">A2040/SUM($A2040:$C2040)</f>
        <v>0.165380352905415</v>
      </c>
      <c r="E2040" s="0" t="n">
        <f aca="false">B2040/SUM($A2040:$C2040)</f>
        <v>0.430643903236886</v>
      </c>
      <c r="F2040" s="0" t="n">
        <f aca="false">C2040/SUM($A2040:$C2040)</f>
        <v>0.4039757438577</v>
      </c>
      <c r="G2040" s="0" t="n">
        <f aca="false">SUMPRODUCT(D2040:F2040,Stats!$B$6:$D$6)</f>
        <v>0.370122921517444</v>
      </c>
      <c r="H2040" s="0" t="n">
        <f aca="false">SQRT(SUMPRODUCT(MMULT(D2040:F2040,Stats!$B$12:$D$14),D2040:F2040))</f>
        <v>0.233352226164739</v>
      </c>
      <c r="I2040" s="0" t="n">
        <f aca="false">(G2040-Stats!$B$2)/H2040</f>
        <v>1.40612723911106</v>
      </c>
    </row>
    <row r="2041" customFormat="false" ht="15" hidden="false" customHeight="false" outlineLevel="0" collapsed="false">
      <c r="A2041" s="0" t="n">
        <v>0.989125319108733</v>
      </c>
      <c r="B2041" s="0" t="n">
        <v>0.265047287409283</v>
      </c>
      <c r="C2041" s="0" t="n">
        <v>0.672059502661735</v>
      </c>
      <c r="D2041" s="0" t="n">
        <f aca="false">A2041/SUM($A2041:$C2041)</f>
        <v>0.51350266377292</v>
      </c>
      <c r="E2041" s="0" t="n">
        <f aca="false">B2041/SUM($A2041:$C2041)</f>
        <v>0.137598831493962</v>
      </c>
      <c r="F2041" s="0" t="n">
        <f aca="false">C2041/SUM($A2041:$C2041)</f>
        <v>0.348898504733118</v>
      </c>
      <c r="G2041" s="0" t="n">
        <f aca="false">SUMPRODUCT(D2041:F2041,Stats!$B$6:$D$6)</f>
        <v>0.354780221055211</v>
      </c>
      <c r="H2041" s="0" t="n">
        <f aca="false">SQRT(SUMPRODUCT(MMULT(D2041:F2041,Stats!$B$12:$D$14),D2041:F2041))</f>
        <v>0.221961729730476</v>
      </c>
      <c r="I2041" s="0" t="n">
        <f aca="false">(G2041-Stats!$B$2)/H2041</f>
        <v>1.40916283827404</v>
      </c>
    </row>
    <row r="2042" customFormat="false" ht="15" hidden="false" customHeight="false" outlineLevel="0" collapsed="false">
      <c r="A2042" s="0" t="n">
        <v>0.0520237550294469</v>
      </c>
      <c r="B2042" s="0" t="n">
        <v>0.113646038696719</v>
      </c>
      <c r="C2042" s="0" t="n">
        <v>0.00391837495109326</v>
      </c>
      <c r="D2042" s="0" t="n">
        <f aca="false">A2042/SUM($A2042:$C2042)</f>
        <v>0.306765238608434</v>
      </c>
      <c r="E2042" s="0" t="n">
        <f aca="false">B2042/SUM($A2042:$C2042)</f>
        <v>0.67012952367566</v>
      </c>
      <c r="F2042" s="0" t="n">
        <f aca="false">C2042/SUM($A2042:$C2042)</f>
        <v>0.0231052377159061</v>
      </c>
      <c r="G2042" s="0" t="n">
        <f aca="false">SUMPRODUCT(D2042:F2042,Stats!$B$6:$D$6)</f>
        <v>0.394404971873679</v>
      </c>
      <c r="H2042" s="0" t="n">
        <f aca="false">SQRT(SUMPRODUCT(MMULT(D2042:F2042,Stats!$B$12:$D$14),D2042:F2042))</f>
        <v>0.235153235206849</v>
      </c>
      <c r="I2042" s="0" t="n">
        <f aca="false">(G2042-Stats!$B$2)/H2042</f>
        <v>1.49861842880321</v>
      </c>
    </row>
    <row r="2043" customFormat="false" ht="15" hidden="false" customHeight="false" outlineLevel="0" collapsed="false">
      <c r="A2043" s="0" t="n">
        <v>0.999460681059673</v>
      </c>
      <c r="B2043" s="0" t="n">
        <v>0.802273697147478</v>
      </c>
      <c r="C2043" s="0" t="n">
        <v>0.786723014733541</v>
      </c>
      <c r="D2043" s="0" t="n">
        <f aca="false">A2043/SUM($A2043:$C2043)</f>
        <v>0.386122129645799</v>
      </c>
      <c r="E2043" s="0" t="n">
        <f aca="false">B2043/SUM($A2043:$C2043)</f>
        <v>0.309942786516579</v>
      </c>
      <c r="F2043" s="0" t="n">
        <f aca="false">C2043/SUM($A2043:$C2043)</f>
        <v>0.303935083837622</v>
      </c>
      <c r="G2043" s="0" t="n">
        <f aca="false">SUMPRODUCT(D2043:F2043,Stats!$B$6:$D$6)</f>
        <v>0.365936518204149</v>
      </c>
      <c r="H2043" s="0" t="n">
        <f aca="false">SQRT(SUMPRODUCT(MMULT(D2043:F2043,Stats!$B$12:$D$14),D2043:F2043))</f>
        <v>0.224833224805831</v>
      </c>
      <c r="I2043" s="0" t="n">
        <f aca="false">(G2043-Stats!$B$2)/H2043</f>
        <v>1.44078580238266</v>
      </c>
    </row>
    <row r="2044" customFormat="false" ht="15" hidden="false" customHeight="false" outlineLevel="0" collapsed="false">
      <c r="A2044" s="0" t="n">
        <v>0.50972607528818</v>
      </c>
      <c r="B2044" s="0" t="n">
        <v>0.30006708290544</v>
      </c>
      <c r="C2044" s="0" t="n">
        <v>0.151264284462676</v>
      </c>
      <c r="D2044" s="0" t="n">
        <f aca="false">A2044/SUM($A2044:$C2044)</f>
        <v>0.53038044622945</v>
      </c>
      <c r="E2044" s="0" t="n">
        <f aca="false">B2044/SUM($A2044:$C2044)</f>
        <v>0.312225960267344</v>
      </c>
      <c r="F2044" s="0" t="n">
        <f aca="false">C2044/SUM($A2044:$C2044)</f>
        <v>0.157393593503206</v>
      </c>
      <c r="G2044" s="0" t="n">
        <f aca="false">SUMPRODUCT(D2044:F2044,Stats!$B$6:$D$6)</f>
        <v>0.370108714299865</v>
      </c>
      <c r="H2044" s="0" t="n">
        <f aca="false">SQRT(SUMPRODUCT(MMULT(D2044:F2044,Stats!$B$12:$D$14),D2044:F2044))</f>
        <v>0.223927134514618</v>
      </c>
      <c r="I2044" s="0" t="n">
        <f aca="false">(G2044-Stats!$B$2)/H2044</f>
        <v>1.46524767983599</v>
      </c>
    </row>
    <row r="2045" customFormat="false" ht="15" hidden="false" customHeight="false" outlineLevel="0" collapsed="false">
      <c r="A2045" s="0" t="n">
        <v>0.284674738846464</v>
      </c>
      <c r="B2045" s="0" t="n">
        <v>0.375971221929139</v>
      </c>
      <c r="C2045" s="0" t="n">
        <v>0.756310096980294</v>
      </c>
      <c r="D2045" s="0" t="n">
        <f aca="false">A2045/SUM($A2045:$C2045)</f>
        <v>0.20090583422701</v>
      </c>
      <c r="E2045" s="0" t="n">
        <f aca="false">B2045/SUM($A2045:$C2045)</f>
        <v>0.265337248724977</v>
      </c>
      <c r="F2045" s="0" t="n">
        <f aca="false">C2045/SUM($A2045:$C2045)</f>
        <v>0.533756917048013</v>
      </c>
      <c r="G2045" s="0" t="n">
        <f aca="false">SUMPRODUCT(D2045:F2045,Stats!$B$6:$D$6)</f>
        <v>0.357032724634786</v>
      </c>
      <c r="H2045" s="0" t="n">
        <f aca="false">SQRT(SUMPRODUCT(MMULT(D2045:F2045,Stats!$B$12:$D$14),D2045:F2045))</f>
        <v>0.232477666666391</v>
      </c>
      <c r="I2045" s="0" t="n">
        <f aca="false">(G2045-Stats!$B$2)/H2045</f>
        <v>1.35510962903315</v>
      </c>
    </row>
    <row r="2046" customFormat="false" ht="15" hidden="false" customHeight="false" outlineLevel="0" collapsed="false">
      <c r="A2046" s="0" t="n">
        <v>0.539661788903152</v>
      </c>
      <c r="B2046" s="0" t="n">
        <v>0.0774836265554827</v>
      </c>
      <c r="C2046" s="0" t="n">
        <v>0.0180290089589122</v>
      </c>
      <c r="D2046" s="0" t="n">
        <f aca="false">A2046/SUM($A2046:$C2046)</f>
        <v>0.849627705646398</v>
      </c>
      <c r="E2046" s="0" t="n">
        <f aca="false">B2046/SUM($A2046:$C2046)</f>
        <v>0.121987950989266</v>
      </c>
      <c r="F2046" s="0" t="n">
        <f aca="false">C2046/SUM($A2046:$C2046)</f>
        <v>0.0283843433643361</v>
      </c>
      <c r="G2046" s="0" t="n">
        <f aca="false">SUMPRODUCT(D2046:F2046,Stats!$B$6:$D$6)</f>
        <v>0.362720045919255</v>
      </c>
      <c r="H2046" s="0" t="n">
        <f aca="false">SQRT(SUMPRODUCT(MMULT(D2046:F2046,Stats!$B$12:$D$14),D2046:F2046))</f>
        <v>0.228256087727709</v>
      </c>
      <c r="I2046" s="0" t="n">
        <f aca="false">(G2046-Stats!$B$2)/H2046</f>
        <v>1.40508868399536</v>
      </c>
    </row>
    <row r="2047" customFormat="false" ht="15" hidden="false" customHeight="false" outlineLevel="0" collapsed="false">
      <c r="A2047" s="0" t="n">
        <v>0.102332179534063</v>
      </c>
      <c r="B2047" s="0" t="n">
        <v>0.410498713697379</v>
      </c>
      <c r="C2047" s="0" t="n">
        <v>0.933192917049018</v>
      </c>
      <c r="D2047" s="0" t="n">
        <f aca="false">A2047/SUM($A2047:$C2047)</f>
        <v>0.0707679768524804</v>
      </c>
      <c r="E2047" s="0" t="n">
        <f aca="false">B2047/SUM($A2047:$C2047)</f>
        <v>0.283881019647776</v>
      </c>
      <c r="F2047" s="0" t="n">
        <f aca="false">C2047/SUM($A2047:$C2047)</f>
        <v>0.645351003499744</v>
      </c>
      <c r="G2047" s="0" t="n">
        <f aca="false">SUMPRODUCT(D2047:F2047,Stats!$B$6:$D$6)</f>
        <v>0.355022545200387</v>
      </c>
      <c r="H2047" s="0" t="n">
        <f aca="false">SQRT(SUMPRODUCT(MMULT(D2047:F2047,Stats!$B$12:$D$14),D2047:F2047))</f>
        <v>0.241186412121444</v>
      </c>
      <c r="I2047" s="0" t="n">
        <f aca="false">(G2047-Stats!$B$2)/H2047</f>
        <v>1.2978448596962</v>
      </c>
    </row>
    <row r="2048" customFormat="false" ht="15" hidden="false" customHeight="false" outlineLevel="0" collapsed="false">
      <c r="A2048" s="0" t="n">
        <v>0.637402481209222</v>
      </c>
      <c r="B2048" s="0" t="n">
        <v>0.801825899875515</v>
      </c>
      <c r="C2048" s="0" t="n">
        <v>0.466374594504549</v>
      </c>
      <c r="D2048" s="0" t="n">
        <f aca="false">A2048/SUM($A2048:$C2048)</f>
        <v>0.334488605115718</v>
      </c>
      <c r="E2048" s="0" t="n">
        <f aca="false">B2048/SUM($A2048:$C2048)</f>
        <v>0.420772800077918</v>
      </c>
      <c r="F2048" s="0" t="n">
        <f aca="false">C2048/SUM($A2048:$C2048)</f>
        <v>0.244738594806364</v>
      </c>
      <c r="G2048" s="0" t="n">
        <f aca="false">SUMPRODUCT(D2048:F2048,Stats!$B$6:$D$6)</f>
        <v>0.373945854156859</v>
      </c>
      <c r="H2048" s="0" t="n">
        <f aca="false">SQRT(SUMPRODUCT(MMULT(D2048:F2048,Stats!$B$12:$D$14),D2048:F2048))</f>
        <v>0.227298101040671</v>
      </c>
      <c r="I2048" s="0" t="n">
        <f aca="false">(G2048-Stats!$B$2)/H2048</f>
        <v>1.4603987126908</v>
      </c>
    </row>
    <row r="2049" customFormat="false" ht="15" hidden="false" customHeight="false" outlineLevel="0" collapsed="false">
      <c r="A2049" s="0" t="n">
        <v>0.361666083195043</v>
      </c>
      <c r="B2049" s="0" t="n">
        <v>0.108400372716623</v>
      </c>
      <c r="C2049" s="0" t="n">
        <v>0.875933022186205</v>
      </c>
      <c r="D2049" s="0" t="n">
        <f aca="false">A2049/SUM($A2049:$C2049)</f>
        <v>0.268697045637892</v>
      </c>
      <c r="E2049" s="0" t="n">
        <f aca="false">B2049/SUM($A2049:$C2049)</f>
        <v>0.0805352264101998</v>
      </c>
      <c r="F2049" s="0" t="n">
        <f aca="false">C2049/SUM($A2049:$C2049)</f>
        <v>0.650767727951908</v>
      </c>
      <c r="G2049" s="0" t="n">
        <f aca="false">SUMPRODUCT(D2049:F2049,Stats!$B$6:$D$6)</f>
        <v>0.34317292734942</v>
      </c>
      <c r="H2049" s="0" t="n">
        <f aca="false">SQRT(SUMPRODUCT(MMULT(D2049:F2049,Stats!$B$12:$D$14),D2049:F2049))</f>
        <v>0.232449678144177</v>
      </c>
      <c r="I2049" s="0" t="n">
        <f aca="false">(G2049-Stats!$B$2)/H2049</f>
        <v>1.29564785700679</v>
      </c>
    </row>
    <row r="2050" customFormat="false" ht="15" hidden="false" customHeight="false" outlineLevel="0" collapsed="false">
      <c r="A2050" s="0" t="n">
        <v>0.783160029027903</v>
      </c>
      <c r="B2050" s="0" t="n">
        <v>0.168118097597725</v>
      </c>
      <c r="C2050" s="0" t="n">
        <v>0.512260563876261</v>
      </c>
      <c r="D2050" s="0" t="n">
        <f aca="false">A2050/SUM($A2050:$C2050)</f>
        <v>0.535113990569894</v>
      </c>
      <c r="E2050" s="0" t="n">
        <f aca="false">B2050/SUM($A2050:$C2050)</f>
        <v>0.114870962201944</v>
      </c>
      <c r="F2050" s="0" t="n">
        <f aca="false">C2050/SUM($A2050:$C2050)</f>
        <v>0.350015047228162</v>
      </c>
      <c r="G2050" s="0" t="n">
        <f aca="false">SUMPRODUCT(D2050:F2050,Stats!$B$6:$D$6)</f>
        <v>0.353441700642398</v>
      </c>
      <c r="H2050" s="0" t="n">
        <f aca="false">SQRT(SUMPRODUCT(MMULT(D2050:F2050,Stats!$B$12:$D$14),D2050:F2050))</f>
        <v>0.221717385257725</v>
      </c>
      <c r="I2050" s="0" t="n">
        <f aca="false">(G2050-Stats!$B$2)/H2050</f>
        <v>1.4046787548048</v>
      </c>
    </row>
    <row r="2051" customFormat="false" ht="15" hidden="false" customHeight="false" outlineLevel="0" collapsed="false">
      <c r="A2051" s="0" t="n">
        <v>0.487374807921245</v>
      </c>
      <c r="B2051" s="0" t="n">
        <v>0.625091552686529</v>
      </c>
      <c r="C2051" s="0" t="n">
        <v>0.946186893991261</v>
      </c>
      <c r="D2051" s="0" t="n">
        <f aca="false">A2051/SUM($A2051:$C2051)</f>
        <v>0.236744486635838</v>
      </c>
      <c r="E2051" s="0" t="n">
        <f aca="false">B2051/SUM($A2051:$C2051)</f>
        <v>0.303641009621253</v>
      </c>
      <c r="F2051" s="0" t="n">
        <f aca="false">C2051/SUM($A2051:$C2051)</f>
        <v>0.45961450374291</v>
      </c>
      <c r="G2051" s="0" t="n">
        <f aca="false">SUMPRODUCT(D2051:F2051,Stats!$B$6:$D$6)</f>
        <v>0.361281121991387</v>
      </c>
      <c r="H2051" s="0" t="n">
        <f aca="false">SQRT(SUMPRODUCT(MMULT(D2051:F2051,Stats!$B$12:$D$14),D2051:F2051))</f>
        <v>0.230108855991736</v>
      </c>
      <c r="I2051" s="0" t="n">
        <f aca="false">(G2051-Stats!$B$2)/H2051</f>
        <v>1.38752209520721</v>
      </c>
    </row>
    <row r="2052" customFormat="false" ht="15" hidden="false" customHeight="false" outlineLevel="0" collapsed="false">
      <c r="A2052" s="0" t="n">
        <v>0.57977144176248</v>
      </c>
      <c r="B2052" s="0" t="n">
        <v>0.540217266778619</v>
      </c>
      <c r="C2052" s="0" t="n">
        <v>0.0503229329346639</v>
      </c>
      <c r="D2052" s="0" t="n">
        <f aca="false">A2052/SUM($A2052:$C2052)</f>
        <v>0.495399192159952</v>
      </c>
      <c r="E2052" s="0" t="n">
        <f aca="false">B2052/SUM($A2052:$C2052)</f>
        <v>0.461601207433436</v>
      </c>
      <c r="F2052" s="0" t="n">
        <f aca="false">C2052/SUM($A2052:$C2052)</f>
        <v>0.042999600406612</v>
      </c>
      <c r="G2052" s="0" t="n">
        <f aca="false">SUMPRODUCT(D2052:F2052,Stats!$B$6:$D$6)</f>
        <v>0.381857943050598</v>
      </c>
      <c r="H2052" s="0" t="n">
        <f aca="false">SQRT(SUMPRODUCT(MMULT(D2052:F2052,Stats!$B$12:$D$14),D2052:F2052))</f>
        <v>0.228061921065055</v>
      </c>
      <c r="I2052" s="0" t="n">
        <f aca="false">(G2052-Stats!$B$2)/H2052</f>
        <v>1.49020029938998</v>
      </c>
    </row>
    <row r="2053" customFormat="false" ht="15" hidden="false" customHeight="false" outlineLevel="0" collapsed="false">
      <c r="A2053" s="0" t="n">
        <v>0.0629074760180239</v>
      </c>
      <c r="B2053" s="0" t="n">
        <v>0.187346791326789</v>
      </c>
      <c r="C2053" s="0" t="n">
        <v>0.0324707716917483</v>
      </c>
      <c r="D2053" s="0" t="n">
        <f aca="false">A2053/SUM($A2053:$C2053)</f>
        <v>0.222504084648438</v>
      </c>
      <c r="E2053" s="0" t="n">
        <f aca="false">B2053/SUM($A2053:$C2053)</f>
        <v>0.662646619362786</v>
      </c>
      <c r="F2053" s="0" t="n">
        <f aca="false">C2053/SUM($A2053:$C2053)</f>
        <v>0.114849295988776</v>
      </c>
      <c r="G2053" s="0" t="n">
        <f aca="false">SUMPRODUCT(D2053:F2053,Stats!$B$6:$D$6)</f>
        <v>0.391444608124196</v>
      </c>
      <c r="H2053" s="0" t="n">
        <f aca="false">SQRT(SUMPRODUCT(MMULT(D2053:F2053,Stats!$B$12:$D$14),D2053:F2053))</f>
        <v>0.235628985937796</v>
      </c>
      <c r="I2053" s="0" t="n">
        <f aca="false">(G2053-Stats!$B$2)/H2053</f>
        <v>1.48302895220389</v>
      </c>
    </row>
    <row r="2054" customFormat="false" ht="15" hidden="false" customHeight="false" outlineLevel="0" collapsed="false">
      <c r="A2054" s="0" t="n">
        <v>0.743352895570012</v>
      </c>
      <c r="B2054" s="0" t="n">
        <v>0.723330303993963</v>
      </c>
      <c r="C2054" s="0" t="n">
        <v>0.136056234431643</v>
      </c>
      <c r="D2054" s="0" t="n">
        <f aca="false">A2054/SUM($A2054:$C2054)</f>
        <v>0.463801463795546</v>
      </c>
      <c r="E2054" s="0" t="n">
        <f aca="false">B2054/SUM($A2054:$C2054)</f>
        <v>0.451308733441908</v>
      </c>
      <c r="F2054" s="0" t="n">
        <f aca="false">C2054/SUM($A2054:$C2054)</f>
        <v>0.0848898027625461</v>
      </c>
      <c r="G2054" s="0" t="n">
        <f aca="false">SUMPRODUCT(D2054:F2054,Stats!$B$6:$D$6)</f>
        <v>0.380110621200268</v>
      </c>
      <c r="H2054" s="0" t="n">
        <f aca="false">SQRT(SUMPRODUCT(MMULT(D2054:F2054,Stats!$B$12:$D$14),D2054:F2054))</f>
        <v>0.227322945056539</v>
      </c>
      <c r="I2054" s="0" t="n">
        <f aca="false">(G2054-Stats!$B$2)/H2054</f>
        <v>1.48735808924249</v>
      </c>
    </row>
    <row r="2055" customFormat="false" ht="15" hidden="false" customHeight="false" outlineLevel="0" collapsed="false">
      <c r="A2055" s="0" t="n">
        <v>0.836078900795281</v>
      </c>
      <c r="B2055" s="0" t="n">
        <v>0.154786034846112</v>
      </c>
      <c r="C2055" s="0" t="n">
        <v>0.301175586997359</v>
      </c>
      <c r="D2055" s="0" t="n">
        <f aca="false">A2055/SUM($A2055:$C2055)</f>
        <v>0.647099596448992</v>
      </c>
      <c r="E2055" s="0" t="n">
        <f aca="false">B2055/SUM($A2055:$C2055)</f>
        <v>0.119799675113897</v>
      </c>
      <c r="F2055" s="0" t="n">
        <f aca="false">C2055/SUM($A2055:$C2055)</f>
        <v>0.233100728437111</v>
      </c>
      <c r="G2055" s="0" t="n">
        <f aca="false">SUMPRODUCT(D2055:F2055,Stats!$B$6:$D$6)</f>
        <v>0.356949159777296</v>
      </c>
      <c r="H2055" s="0" t="n">
        <f aca="false">SQRT(SUMPRODUCT(MMULT(D2055:F2055,Stats!$B$12:$D$14),D2055:F2055))</f>
        <v>0.221795909369623</v>
      </c>
      <c r="I2055" s="0" t="n">
        <f aca="false">(G2055-Stats!$B$2)/H2055</f>
        <v>1.41999534920382</v>
      </c>
    </row>
    <row r="2056" customFormat="false" ht="15" hidden="false" customHeight="false" outlineLevel="0" collapsed="false">
      <c r="A2056" s="0" t="n">
        <v>0.248976899161365</v>
      </c>
      <c r="B2056" s="0" t="n">
        <v>0.372307098573048</v>
      </c>
      <c r="C2056" s="0" t="n">
        <v>0.254663765889962</v>
      </c>
      <c r="D2056" s="0" t="n">
        <f aca="false">A2056/SUM($A2056:$C2056)</f>
        <v>0.2842371537444</v>
      </c>
      <c r="E2056" s="0" t="n">
        <f aca="false">B2056/SUM($A2056:$C2056)</f>
        <v>0.425033448378893</v>
      </c>
      <c r="F2056" s="0" t="n">
        <f aca="false">C2056/SUM($A2056:$C2056)</f>
        <v>0.290729397876706</v>
      </c>
      <c r="G2056" s="0" t="n">
        <f aca="false">SUMPRODUCT(D2056:F2056,Stats!$B$6:$D$6)</f>
        <v>0.372922827639976</v>
      </c>
      <c r="H2056" s="0" t="n">
        <f aca="false">SQRT(SUMPRODUCT(MMULT(D2056:F2056,Stats!$B$12:$D$14),D2056:F2056))</f>
        <v>0.228586843614539</v>
      </c>
      <c r="I2056" s="0" t="n">
        <f aca="false">(G2056-Stats!$B$2)/H2056</f>
        <v>1.44768973755114</v>
      </c>
    </row>
    <row r="2057" customFormat="false" ht="15" hidden="false" customHeight="false" outlineLevel="0" collapsed="false">
      <c r="A2057" s="0" t="n">
        <v>0.488950926438452</v>
      </c>
      <c r="B2057" s="0" t="n">
        <v>0.407407881354685</v>
      </c>
      <c r="C2057" s="0" t="n">
        <v>0.986569490779327</v>
      </c>
      <c r="D2057" s="0" t="n">
        <f aca="false">A2057/SUM($A2057:$C2057)</f>
        <v>0.25967580752233</v>
      </c>
      <c r="E2057" s="0" t="n">
        <f aca="false">B2057/SUM($A2057:$C2057)</f>
        <v>0.2163693018282</v>
      </c>
      <c r="F2057" s="0" t="n">
        <f aca="false">C2057/SUM($A2057:$C2057)</f>
        <v>0.523954890649469</v>
      </c>
      <c r="G2057" s="0" t="n">
        <f aca="false">SUMPRODUCT(D2057:F2057,Stats!$B$6:$D$6)</f>
        <v>0.354485459456201</v>
      </c>
      <c r="H2057" s="0" t="n">
        <f aca="false">SQRT(SUMPRODUCT(MMULT(D2057:F2057,Stats!$B$12:$D$14),D2057:F2057))</f>
        <v>0.229883078863461</v>
      </c>
      <c r="I2057" s="0" t="n">
        <f aca="false">(G2057-Stats!$B$2)/H2057</f>
        <v>1.3593234482552</v>
      </c>
    </row>
    <row r="2058" customFormat="false" ht="15" hidden="false" customHeight="false" outlineLevel="0" collapsed="false">
      <c r="A2058" s="0" t="n">
        <v>0.0559263501282257</v>
      </c>
      <c r="B2058" s="0" t="n">
        <v>0.142181376387352</v>
      </c>
      <c r="C2058" s="0" t="n">
        <v>0.0528258939086025</v>
      </c>
      <c r="D2058" s="0" t="n">
        <f aca="false">A2058/SUM($A2058:$C2058)</f>
        <v>0.22287308505607</v>
      </c>
      <c r="E2058" s="0" t="n">
        <f aca="false">B2058/SUM($A2058:$C2058)</f>
        <v>0.56660951269506</v>
      </c>
      <c r="F2058" s="0" t="n">
        <f aca="false">C2058/SUM($A2058:$C2058)</f>
        <v>0.210517402248871</v>
      </c>
      <c r="G2058" s="0" t="n">
        <f aca="false">SUMPRODUCT(D2058:F2058,Stats!$B$6:$D$6)</f>
        <v>0.383280746070696</v>
      </c>
      <c r="H2058" s="0" t="n">
        <f aca="false">SQRT(SUMPRODUCT(MMULT(D2058:F2058,Stats!$B$12:$D$14),D2058:F2058))</f>
        <v>0.232841836660379</v>
      </c>
      <c r="I2058" s="0" t="n">
        <f aca="false">(G2058-Stats!$B$2)/H2058</f>
        <v>1.46571918073505</v>
      </c>
    </row>
    <row r="2059" customFormat="false" ht="15" hidden="false" customHeight="false" outlineLevel="0" collapsed="false">
      <c r="A2059" s="0" t="n">
        <v>0.625841194982376</v>
      </c>
      <c r="B2059" s="0" t="n">
        <v>0.0545092774137196</v>
      </c>
      <c r="C2059" s="0" t="n">
        <v>0.836439737376123</v>
      </c>
      <c r="D2059" s="0" t="n">
        <f aca="false">A2059/SUM($A2059:$C2059)</f>
        <v>0.412608936259129</v>
      </c>
      <c r="E2059" s="0" t="n">
        <f aca="false">B2059/SUM($A2059:$C2059)</f>
        <v>0.0359372555693812</v>
      </c>
      <c r="F2059" s="0" t="n">
        <f aca="false">C2059/SUM($A2059:$C2059)</f>
        <v>0.55145380817149</v>
      </c>
      <c r="G2059" s="0" t="n">
        <f aca="false">SUMPRODUCT(D2059:F2059,Stats!$B$6:$D$6)</f>
        <v>0.343345360969067</v>
      </c>
      <c r="H2059" s="0" t="n">
        <f aca="false">SQRT(SUMPRODUCT(MMULT(D2059:F2059,Stats!$B$12:$D$14),D2059:F2059))</f>
        <v>0.225938239272103</v>
      </c>
      <c r="I2059" s="0" t="n">
        <f aca="false">(G2059-Stats!$B$2)/H2059</f>
        <v>1.33375103718565</v>
      </c>
    </row>
    <row r="2060" customFormat="false" ht="15" hidden="false" customHeight="false" outlineLevel="0" collapsed="false">
      <c r="A2060" s="0" t="n">
        <v>0.511938630681928</v>
      </c>
      <c r="B2060" s="0" t="n">
        <v>0.527007624581534</v>
      </c>
      <c r="C2060" s="0" t="n">
        <v>0.561594507712194</v>
      </c>
      <c r="D2060" s="0" t="n">
        <f aca="false">A2060/SUM($A2060:$C2060)</f>
        <v>0.319853541080799</v>
      </c>
      <c r="E2060" s="0" t="n">
        <f aca="false">B2060/SUM($A2060:$C2060)</f>
        <v>0.329268480236482</v>
      </c>
      <c r="F2060" s="0" t="n">
        <f aca="false">C2060/SUM($A2060:$C2060)</f>
        <v>0.350877978682719</v>
      </c>
      <c r="G2060" s="0" t="n">
        <f aca="false">SUMPRODUCT(D2060:F2060,Stats!$B$6:$D$6)</f>
        <v>0.365754061337869</v>
      </c>
      <c r="H2060" s="0" t="n">
        <f aca="false">SQRT(SUMPRODUCT(MMULT(D2060:F2060,Stats!$B$12:$D$14),D2060:F2060))</f>
        <v>0.226696460990801</v>
      </c>
      <c r="I2060" s="0" t="n">
        <f aca="false">(G2060-Stats!$B$2)/H2060</f>
        <v>1.42813901868105</v>
      </c>
    </row>
    <row r="2061" customFormat="false" ht="15" hidden="false" customHeight="false" outlineLevel="0" collapsed="false">
      <c r="A2061" s="0" t="n">
        <v>0.170813706306211</v>
      </c>
      <c r="B2061" s="0" t="n">
        <v>0.197690303114488</v>
      </c>
      <c r="C2061" s="0" t="n">
        <v>0.318817322873005</v>
      </c>
      <c r="D2061" s="0" t="n">
        <f aca="false">A2061/SUM($A2061:$C2061)</f>
        <v>0.248520885764127</v>
      </c>
      <c r="E2061" s="0" t="n">
        <f aca="false">B2061/SUM($A2061:$C2061)</f>
        <v>0.287624279687003</v>
      </c>
      <c r="F2061" s="0" t="n">
        <f aca="false">C2061/SUM($A2061:$C2061)</f>
        <v>0.46385483454887</v>
      </c>
      <c r="G2061" s="0" t="n">
        <f aca="false">SUMPRODUCT(D2061:F2061,Stats!$B$6:$D$6)</f>
        <v>0.360242614589961</v>
      </c>
      <c r="H2061" s="0" t="n">
        <f aca="false">SQRT(SUMPRODUCT(MMULT(D2061:F2061,Stats!$B$12:$D$14),D2061:F2061))</f>
        <v>0.229644032650254</v>
      </c>
      <c r="I2061" s="0" t="n">
        <f aca="false">(G2061-Stats!$B$2)/H2061</f>
        <v>1.38580833526226</v>
      </c>
    </row>
    <row r="2062" customFormat="false" ht="15" hidden="false" customHeight="false" outlineLevel="0" collapsed="false">
      <c r="A2062" s="0" t="n">
        <v>0.593496415821851</v>
      </c>
      <c r="B2062" s="0" t="n">
        <v>0.210117775940215</v>
      </c>
      <c r="C2062" s="0" t="n">
        <v>0.116331727133261</v>
      </c>
      <c r="D2062" s="0" t="n">
        <f aca="false">A2062/SUM($A2062:$C2062)</f>
        <v>0.645142723753287</v>
      </c>
      <c r="E2062" s="0" t="n">
        <f aca="false">B2062/SUM($A2062:$C2062)</f>
        <v>0.228402313249592</v>
      </c>
      <c r="F2062" s="0" t="n">
        <f aca="false">C2062/SUM($A2062:$C2062)</f>
        <v>0.126454962997121</v>
      </c>
      <c r="G2062" s="0" t="n">
        <f aca="false">SUMPRODUCT(D2062:F2062,Stats!$B$6:$D$6)</f>
        <v>0.366138730977869</v>
      </c>
      <c r="H2062" s="0" t="n">
        <f aca="false">SQRT(SUMPRODUCT(MMULT(D2062:F2062,Stats!$B$12:$D$14),D2062:F2062))</f>
        <v>0.223664512363211</v>
      </c>
      <c r="I2062" s="0" t="n">
        <f aca="false">(G2062-Stats!$B$2)/H2062</f>
        <v>1.44921841893048</v>
      </c>
    </row>
    <row r="2063" customFormat="false" ht="15" hidden="false" customHeight="false" outlineLevel="0" collapsed="false">
      <c r="A2063" s="0" t="n">
        <v>0.970116886418432</v>
      </c>
      <c r="B2063" s="0" t="n">
        <v>0.0219818148096229</v>
      </c>
      <c r="C2063" s="0" t="n">
        <v>0.802697405336022</v>
      </c>
      <c r="D2063" s="0" t="n">
        <f aca="false">A2063/SUM($A2063:$C2063)</f>
        <v>0.54051648700955</v>
      </c>
      <c r="E2063" s="0" t="n">
        <f aca="false">B2063/SUM($A2063:$C2063)</f>
        <v>0.0122475275766585</v>
      </c>
      <c r="F2063" s="0" t="n">
        <f aca="false">C2063/SUM($A2063:$C2063)</f>
        <v>0.447235985413792</v>
      </c>
      <c r="G2063" s="0" t="n">
        <f aca="false">SUMPRODUCT(D2063:F2063,Stats!$B$6:$D$6)</f>
        <v>0.344856051059642</v>
      </c>
      <c r="H2063" s="0" t="n">
        <f aca="false">SQRT(SUMPRODUCT(MMULT(D2063:F2063,Stats!$B$12:$D$14),D2063:F2063))</f>
        <v>0.222361344816592</v>
      </c>
      <c r="I2063" s="0" t="n">
        <f aca="false">(G2063-Stats!$B$2)/H2063</f>
        <v>1.36199954767068</v>
      </c>
    </row>
    <row r="2064" customFormat="false" ht="15" hidden="false" customHeight="false" outlineLevel="0" collapsed="false">
      <c r="A2064" s="0" t="n">
        <v>0.788035149575022</v>
      </c>
      <c r="B2064" s="0" t="n">
        <v>0.297214113845096</v>
      </c>
      <c r="C2064" s="0" t="n">
        <v>0.135626616007313</v>
      </c>
      <c r="D2064" s="0" t="n">
        <f aca="false">A2064/SUM($A2064:$C2064)</f>
        <v>0.645467047759676</v>
      </c>
      <c r="E2064" s="0" t="n">
        <f aca="false">B2064/SUM($A2064:$C2064)</f>
        <v>0.243443349855093</v>
      </c>
      <c r="F2064" s="0" t="n">
        <f aca="false">C2064/SUM($A2064:$C2064)</f>
        <v>0.111089602385232</v>
      </c>
      <c r="G2064" s="0" t="n">
        <f aca="false">SUMPRODUCT(D2064:F2064,Stats!$B$6:$D$6)</f>
        <v>0.367427866665962</v>
      </c>
      <c r="H2064" s="0" t="n">
        <f aca="false">SQRT(SUMPRODUCT(MMULT(D2064:F2064,Stats!$B$12:$D$14),D2064:F2064))</f>
        <v>0.224048383889101</v>
      </c>
      <c r="I2064" s="0" t="n">
        <f aca="false">(G2064-Stats!$B$2)/H2064</f>
        <v>1.45248923923076</v>
      </c>
    </row>
    <row r="2065" customFormat="false" ht="15" hidden="false" customHeight="false" outlineLevel="0" collapsed="false">
      <c r="A2065" s="0" t="n">
        <v>0.145628646705423</v>
      </c>
      <c r="B2065" s="0" t="n">
        <v>0.697431617237193</v>
      </c>
      <c r="C2065" s="0" t="n">
        <v>0.642806591086174</v>
      </c>
      <c r="D2065" s="0" t="n">
        <f aca="false">A2065/SUM($A2065:$C2065)</f>
        <v>0.0980092167831563</v>
      </c>
      <c r="E2065" s="0" t="n">
        <f aca="false">B2065/SUM($A2065:$C2065)</f>
        <v>0.469376926254728</v>
      </c>
      <c r="F2065" s="0" t="n">
        <f aca="false">C2065/SUM($A2065:$C2065)</f>
        <v>0.432613856962116</v>
      </c>
      <c r="G2065" s="0" t="n">
        <f aca="false">SUMPRODUCT(D2065:F2065,Stats!$B$6:$D$6)</f>
        <v>0.371561884576663</v>
      </c>
      <c r="H2065" s="0" t="n">
        <f aca="false">SQRT(SUMPRODUCT(MMULT(D2065:F2065,Stats!$B$12:$D$14),D2065:F2065))</f>
        <v>0.237049390102666</v>
      </c>
      <c r="I2065" s="0" t="n">
        <f aca="false">(G2065-Stats!$B$2)/H2065</f>
        <v>1.39026674750747</v>
      </c>
    </row>
    <row r="2066" customFormat="false" ht="15" hidden="false" customHeight="false" outlineLevel="0" collapsed="false">
      <c r="A2066" s="0" t="n">
        <v>0.782745674251387</v>
      </c>
      <c r="B2066" s="0" t="n">
        <v>0.937481172399105</v>
      </c>
      <c r="C2066" s="0" t="n">
        <v>0.691927363266592</v>
      </c>
      <c r="D2066" s="0" t="n">
        <f aca="false">A2066/SUM($A2066:$C2066)</f>
        <v>0.324500677043485</v>
      </c>
      <c r="E2066" s="0" t="n">
        <f aca="false">B2066/SUM($A2066:$C2066)</f>
        <v>0.388648938175197</v>
      </c>
      <c r="F2066" s="0" t="n">
        <f aca="false">C2066/SUM($A2066:$C2066)</f>
        <v>0.286850384781318</v>
      </c>
      <c r="G2066" s="0" t="n">
        <f aca="false">SUMPRODUCT(D2066:F2066,Stats!$B$6:$D$6)</f>
        <v>0.370936272308564</v>
      </c>
      <c r="H2066" s="0" t="n">
        <f aca="false">SQRT(SUMPRODUCT(MMULT(D2066:F2066,Stats!$B$12:$D$14),D2066:F2066))</f>
        <v>0.227054114868751</v>
      </c>
      <c r="I2066" s="0" t="n">
        <f aca="false">(G2066-Stats!$B$2)/H2066</f>
        <v>1.44871310744008</v>
      </c>
    </row>
    <row r="2067" customFormat="false" ht="15" hidden="false" customHeight="false" outlineLevel="0" collapsed="false">
      <c r="A2067" s="0" t="n">
        <v>0.155851536551444</v>
      </c>
      <c r="B2067" s="0" t="n">
        <v>0.243442616765411</v>
      </c>
      <c r="C2067" s="0" t="n">
        <v>0.842193730873115</v>
      </c>
      <c r="D2067" s="0" t="n">
        <f aca="false">A2067/SUM($A2067:$C2067)</f>
        <v>0.125536091440096</v>
      </c>
      <c r="E2067" s="0" t="n">
        <f aca="false">B2067/SUM($A2067:$C2067)</f>
        <v>0.196089401971288</v>
      </c>
      <c r="F2067" s="0" t="n">
        <f aca="false">C2067/SUM($A2067:$C2067)</f>
        <v>0.678374506588616</v>
      </c>
      <c r="G2067" s="0" t="n">
        <f aca="false">SUMPRODUCT(D2067:F2067,Stats!$B$6:$D$6)</f>
        <v>0.34906051874958</v>
      </c>
      <c r="H2067" s="0" t="n">
        <f aca="false">SQRT(SUMPRODUCT(MMULT(D2067:F2067,Stats!$B$12:$D$14),D2067:F2067))</f>
        <v>0.239209726748157</v>
      </c>
      <c r="I2067" s="0" t="n">
        <f aca="false">(G2067-Stats!$B$2)/H2067</f>
        <v>1.28364562312659</v>
      </c>
    </row>
    <row r="2068" customFormat="false" ht="15" hidden="false" customHeight="false" outlineLevel="0" collapsed="false">
      <c r="A2068" s="0" t="n">
        <v>0.209306075834209</v>
      </c>
      <c r="B2068" s="0" t="n">
        <v>0.0725223169544814</v>
      </c>
      <c r="C2068" s="0" t="n">
        <v>0.703280054042251</v>
      </c>
      <c r="D2068" s="0" t="n">
        <f aca="false">A2068/SUM($A2068:$C2068)</f>
        <v>0.212470085407895</v>
      </c>
      <c r="E2068" s="0" t="n">
        <f aca="false">B2068/SUM($A2068:$C2068)</f>
        <v>0.0736186124358016</v>
      </c>
      <c r="F2068" s="0" t="n">
        <f aca="false">C2068/SUM($A2068:$C2068)</f>
        <v>0.713911302156304</v>
      </c>
      <c r="G2068" s="0" t="n">
        <f aca="false">SUMPRODUCT(D2068:F2068,Stats!$B$6:$D$6)</f>
        <v>0.341033794560941</v>
      </c>
      <c r="H2068" s="0" t="n">
        <f aca="false">SQRT(SUMPRODUCT(MMULT(D2068:F2068,Stats!$B$12:$D$14),D2068:F2068))</f>
        <v>0.236576999301779</v>
      </c>
      <c r="I2068" s="0" t="n">
        <f aca="false">(G2068-Stats!$B$2)/H2068</f>
        <v>1.26400197586196</v>
      </c>
    </row>
    <row r="2069" customFormat="false" ht="15" hidden="false" customHeight="false" outlineLevel="0" collapsed="false">
      <c r="A2069" s="0" t="n">
        <v>0.402526355490142</v>
      </c>
      <c r="B2069" s="0" t="n">
        <v>0.920040052545904</v>
      </c>
      <c r="C2069" s="0" t="n">
        <v>0.650255071093662</v>
      </c>
      <c r="D2069" s="0" t="n">
        <f aca="false">A2069/SUM($A2069:$C2069)</f>
        <v>0.204035874380135</v>
      </c>
      <c r="E2069" s="0" t="n">
        <f aca="false">B2069/SUM($A2069:$C2069)</f>
        <v>0.466357479518</v>
      </c>
      <c r="F2069" s="0" t="n">
        <f aca="false">C2069/SUM($A2069:$C2069)</f>
        <v>0.329606646101864</v>
      </c>
      <c r="G2069" s="0" t="n">
        <f aca="false">SUMPRODUCT(D2069:F2069,Stats!$B$6:$D$6)</f>
        <v>0.374228533740241</v>
      </c>
      <c r="H2069" s="0" t="n">
        <f aca="false">SQRT(SUMPRODUCT(MMULT(D2069:F2069,Stats!$B$12:$D$14),D2069:F2069))</f>
        <v>0.231809631613581</v>
      </c>
      <c r="I2069" s="0" t="n">
        <f aca="false">(G2069-Stats!$B$2)/H2069</f>
        <v>1.43319555545498</v>
      </c>
    </row>
    <row r="2070" customFormat="false" ht="15" hidden="false" customHeight="false" outlineLevel="0" collapsed="false">
      <c r="A2070" s="0" t="n">
        <v>0.0904189777916608</v>
      </c>
      <c r="B2070" s="0" t="n">
        <v>0.947856567253661</v>
      </c>
      <c r="C2070" s="0" t="n">
        <v>0.258557263640246</v>
      </c>
      <c r="D2070" s="0" t="n">
        <f aca="false">A2070/SUM($A2070:$C2070)</f>
        <v>0.0697229258745442</v>
      </c>
      <c r="E2070" s="0" t="n">
        <f aca="false">B2070/SUM($A2070:$C2070)</f>
        <v>0.730901131514695</v>
      </c>
      <c r="F2070" s="0" t="n">
        <f aca="false">C2070/SUM($A2070:$C2070)</f>
        <v>0.199375942610761</v>
      </c>
      <c r="G2070" s="0" t="n">
        <f aca="false">SUMPRODUCT(D2070:F2070,Stats!$B$6:$D$6)</f>
        <v>0.393041094643387</v>
      </c>
      <c r="H2070" s="0" t="n">
        <f aca="false">SQRT(SUMPRODUCT(MMULT(D2070:F2070,Stats!$B$12:$D$14),D2070:F2070))</f>
        <v>0.242020629879907</v>
      </c>
      <c r="I2070" s="0" t="n">
        <f aca="false">(G2070-Stats!$B$2)/H2070</f>
        <v>1.45045938777027</v>
      </c>
    </row>
    <row r="2071" customFormat="false" ht="15" hidden="false" customHeight="false" outlineLevel="0" collapsed="false">
      <c r="A2071" s="0" t="n">
        <v>0.337212490406286</v>
      </c>
      <c r="B2071" s="0" t="n">
        <v>0.402260413683542</v>
      </c>
      <c r="C2071" s="0" t="n">
        <v>0.0512242964043133</v>
      </c>
      <c r="D2071" s="0" t="n">
        <f aca="false">A2071/SUM($A2071:$C2071)</f>
        <v>0.426474875838117</v>
      </c>
      <c r="E2071" s="0" t="n">
        <f aca="false">B2071/SUM($A2071:$C2071)</f>
        <v>0.508741416350219</v>
      </c>
      <c r="F2071" s="0" t="n">
        <f aca="false">C2071/SUM($A2071:$C2071)</f>
        <v>0.0647837078116641</v>
      </c>
      <c r="G2071" s="0" t="n">
        <f aca="false">SUMPRODUCT(D2071:F2071,Stats!$B$6:$D$6)</f>
        <v>0.383969641276205</v>
      </c>
      <c r="H2071" s="0" t="n">
        <f aca="false">SQRT(SUMPRODUCT(MMULT(D2071:F2071,Stats!$B$12:$D$14),D2071:F2071))</f>
        <v>0.2290488065317</v>
      </c>
      <c r="I2071" s="0" t="n">
        <f aca="false">(G2071-Stats!$B$2)/H2071</f>
        <v>1.49299900948787</v>
      </c>
    </row>
    <row r="2072" customFormat="false" ht="15" hidden="false" customHeight="false" outlineLevel="0" collapsed="false">
      <c r="A2072" s="0" t="n">
        <v>0.496515422230605</v>
      </c>
      <c r="B2072" s="0" t="n">
        <v>0.123318491075292</v>
      </c>
      <c r="C2072" s="0" t="n">
        <v>0.400970326688352</v>
      </c>
      <c r="D2072" s="0" t="n">
        <f aca="false">A2072/SUM($A2072:$C2072)</f>
        <v>0.486396316529213</v>
      </c>
      <c r="E2072" s="0" t="n">
        <f aca="false">B2072/SUM($A2072:$C2072)</f>
        <v>0.120805230076226</v>
      </c>
      <c r="F2072" s="0" t="n">
        <f aca="false">C2072/SUM($A2072:$C2072)</f>
        <v>0.392798453394562</v>
      </c>
      <c r="G2072" s="0" t="n">
        <f aca="false">SUMPRODUCT(D2072:F2072,Stats!$B$6:$D$6)</f>
        <v>0.352603414765637</v>
      </c>
      <c r="H2072" s="0" t="n">
        <f aca="false">SQRT(SUMPRODUCT(MMULT(D2072:F2072,Stats!$B$12:$D$14),D2072:F2072))</f>
        <v>0.222451786755519</v>
      </c>
      <c r="I2072" s="0" t="n">
        <f aca="false">(G2072-Stats!$B$2)/H2072</f>
        <v>1.39627296006842</v>
      </c>
    </row>
    <row r="2073" customFormat="false" ht="15" hidden="false" customHeight="false" outlineLevel="0" collapsed="false">
      <c r="A2073" s="0" t="n">
        <v>0.350709787992084</v>
      </c>
      <c r="B2073" s="0" t="n">
        <v>0.772840083426503</v>
      </c>
      <c r="C2073" s="0" t="n">
        <v>0.803170511632731</v>
      </c>
      <c r="D2073" s="0" t="n">
        <f aca="false">A2073/SUM($A2073:$C2073)</f>
        <v>0.182024226803824</v>
      </c>
      <c r="E2073" s="0" t="n">
        <f aca="false">B2073/SUM($A2073:$C2073)</f>
        <v>0.401116887652669</v>
      </c>
      <c r="F2073" s="0" t="n">
        <f aca="false">C2073/SUM($A2073:$C2073)</f>
        <v>0.416858885543507</v>
      </c>
      <c r="G2073" s="0" t="n">
        <f aca="false">SUMPRODUCT(D2073:F2073,Stats!$B$6:$D$6)</f>
        <v>0.368068727579928</v>
      </c>
      <c r="H2073" s="0" t="n">
        <f aca="false">SQRT(SUMPRODUCT(MMULT(D2073:F2073,Stats!$B$12:$D$14),D2073:F2073))</f>
        <v>0.232495204000129</v>
      </c>
      <c r="I2073" s="0" t="n">
        <f aca="false">(G2073-Stats!$B$2)/H2073</f>
        <v>1.40247507032337</v>
      </c>
    </row>
    <row r="2074" customFormat="false" ht="15" hidden="false" customHeight="false" outlineLevel="0" collapsed="false">
      <c r="A2074" s="0" t="n">
        <v>0.153412882389088</v>
      </c>
      <c r="B2074" s="0" t="n">
        <v>0.366551187379226</v>
      </c>
      <c r="C2074" s="0" t="n">
        <v>0.373353161031832</v>
      </c>
      <c r="D2074" s="0" t="n">
        <f aca="false">A2074/SUM($A2074:$C2074)</f>
        <v>0.171733934037829</v>
      </c>
      <c r="E2074" s="0" t="n">
        <f aca="false">B2074/SUM($A2074:$C2074)</f>
        <v>0.410325889550911</v>
      </c>
      <c r="F2074" s="0" t="n">
        <f aca="false">C2074/SUM($A2074:$C2074)</f>
        <v>0.417940176411261</v>
      </c>
      <c r="G2074" s="0" t="n">
        <f aca="false">SUMPRODUCT(D2074:F2074,Stats!$B$6:$D$6)</f>
        <v>0.368568785450382</v>
      </c>
      <c r="H2074" s="0" t="n">
        <f aca="false">SQRT(SUMPRODUCT(MMULT(D2074:F2074,Stats!$B$12:$D$14),D2074:F2074))</f>
        <v>0.233014464215264</v>
      </c>
      <c r="I2074" s="0" t="n">
        <f aca="false">(G2074-Stats!$B$2)/H2074</f>
        <v>1.40149576787083</v>
      </c>
    </row>
    <row r="2075" customFormat="false" ht="15" hidden="false" customHeight="false" outlineLevel="0" collapsed="false">
      <c r="A2075" s="0" t="n">
        <v>0.151410443936085</v>
      </c>
      <c r="B2075" s="0" t="n">
        <v>0.798453505051191</v>
      </c>
      <c r="C2075" s="0" t="n">
        <v>0.707228328335423</v>
      </c>
      <c r="D2075" s="0" t="n">
        <f aca="false">A2075/SUM($A2075:$C2075)</f>
        <v>0.0913711601991852</v>
      </c>
      <c r="E2075" s="0" t="n">
        <f aca="false">B2075/SUM($A2075:$C2075)</f>
        <v>0.481840097849724</v>
      </c>
      <c r="F2075" s="0" t="n">
        <f aca="false">C2075/SUM($A2075:$C2075)</f>
        <v>0.426788741951091</v>
      </c>
      <c r="G2075" s="0" t="n">
        <f aca="false">SUMPRODUCT(D2075:F2075,Stats!$B$6:$D$6)</f>
        <v>0.372439624645444</v>
      </c>
      <c r="H2075" s="0" t="n">
        <f aca="false">SQRT(SUMPRODUCT(MMULT(D2075:F2075,Stats!$B$12:$D$14),D2075:F2075))</f>
        <v>0.237441363403586</v>
      </c>
      <c r="I2075" s="0" t="n">
        <f aca="false">(G2075-Stats!$B$2)/H2075</f>
        <v>1.39166832563957</v>
      </c>
    </row>
    <row r="2076" customFormat="false" ht="15" hidden="false" customHeight="false" outlineLevel="0" collapsed="false">
      <c r="A2076" s="0" t="n">
        <v>0.190381786297035</v>
      </c>
      <c r="B2076" s="0" t="n">
        <v>0.366721908593799</v>
      </c>
      <c r="C2076" s="0" t="n">
        <v>0.105805024856514</v>
      </c>
      <c r="D2076" s="0" t="n">
        <f aca="false">A2076/SUM($A2076:$C2076)</f>
        <v>0.287191555376726</v>
      </c>
      <c r="E2076" s="0" t="n">
        <f aca="false">B2076/SUM($A2076:$C2076)</f>
        <v>0.553201214088067</v>
      </c>
      <c r="F2076" s="0" t="n">
        <f aca="false">C2076/SUM($A2076:$C2076)</f>
        <v>0.159607230535207</v>
      </c>
      <c r="G2076" s="0" t="n">
        <f aca="false">SUMPRODUCT(D2076:F2076,Stats!$B$6:$D$6)</f>
        <v>0.383913078326794</v>
      </c>
      <c r="H2076" s="0" t="n">
        <f aca="false">SQRT(SUMPRODUCT(MMULT(D2076:F2076,Stats!$B$12:$D$14),D2076:F2076))</f>
        <v>0.23113148874798</v>
      </c>
      <c r="I2076" s="0" t="n">
        <f aca="false">(G2076-Stats!$B$2)/H2076</f>
        <v>1.47930115528139</v>
      </c>
    </row>
    <row r="2077" customFormat="false" ht="15" hidden="false" customHeight="false" outlineLevel="0" collapsed="false">
      <c r="A2077" s="0" t="n">
        <v>0.628206597093044</v>
      </c>
      <c r="B2077" s="0" t="n">
        <v>0.12137192454862</v>
      </c>
      <c r="C2077" s="0" t="n">
        <v>0.985934168624918</v>
      </c>
      <c r="D2077" s="0" t="n">
        <f aca="false">A2077/SUM($A2077:$C2077)</f>
        <v>0.36197176812147</v>
      </c>
      <c r="E2077" s="0" t="n">
        <f aca="false">B2077/SUM($A2077:$C2077)</f>
        <v>0.0699343342340968</v>
      </c>
      <c r="F2077" s="0" t="n">
        <f aca="false">C2077/SUM($A2077:$C2077)</f>
        <v>0.568093897644433</v>
      </c>
      <c r="G2077" s="0" t="n">
        <f aca="false">SUMPRODUCT(D2077:F2077,Stats!$B$6:$D$6)</f>
        <v>0.344842664806775</v>
      </c>
      <c r="H2077" s="0" t="n">
        <f aca="false">SQRT(SUMPRODUCT(MMULT(D2077:F2077,Stats!$B$12:$D$14),D2077:F2077))</f>
        <v>0.227462076928778</v>
      </c>
      <c r="I2077" s="0" t="n">
        <f aca="false">(G2077-Stats!$B$2)/H2077</f>
        <v>1.33139848583023</v>
      </c>
    </row>
    <row r="2078" customFormat="false" ht="15" hidden="false" customHeight="false" outlineLevel="0" collapsed="false">
      <c r="A2078" s="0" t="n">
        <v>0.780682074687862</v>
      </c>
      <c r="B2078" s="0" t="n">
        <v>0.390238549583995</v>
      </c>
      <c r="C2078" s="0" t="n">
        <v>0.578563932279354</v>
      </c>
      <c r="D2078" s="0" t="n">
        <f aca="false">A2078/SUM($A2078:$C2078)</f>
        <v>0.446235476480475</v>
      </c>
      <c r="E2078" s="0" t="n">
        <f aca="false">B2078/SUM($A2078:$C2078)</f>
        <v>0.22305915655139</v>
      </c>
      <c r="F2078" s="0" t="n">
        <f aca="false">C2078/SUM($A2078:$C2078)</f>
        <v>0.330705366968136</v>
      </c>
      <c r="G2078" s="0" t="n">
        <f aca="false">SUMPRODUCT(D2078:F2078,Stats!$B$6:$D$6)</f>
        <v>0.360199166326302</v>
      </c>
      <c r="H2078" s="0" t="n">
        <f aca="false">SQRT(SUMPRODUCT(MMULT(D2078:F2078,Stats!$B$12:$D$14),D2078:F2078))</f>
        <v>0.223141942794709</v>
      </c>
      <c r="I2078" s="0" t="n">
        <f aca="false">(G2078-Stats!$B$2)/H2078</f>
        <v>1.42599442462973</v>
      </c>
    </row>
    <row r="2079" customFormat="false" ht="15" hidden="false" customHeight="false" outlineLevel="0" collapsed="false">
      <c r="A2079" s="0" t="n">
        <v>0.911341816216409</v>
      </c>
      <c r="B2079" s="0" t="n">
        <v>0.554099280395826</v>
      </c>
      <c r="C2079" s="0" t="n">
        <v>0.174498486397955</v>
      </c>
      <c r="D2079" s="0" t="n">
        <f aca="false">A2079/SUM($A2079:$C2079)</f>
        <v>0.55571670179678</v>
      </c>
      <c r="E2079" s="0" t="n">
        <f aca="false">B2079/SUM($A2079:$C2079)</f>
        <v>0.337877862170233</v>
      </c>
      <c r="F2079" s="0" t="n">
        <f aca="false">C2079/SUM($A2079:$C2079)</f>
        <v>0.106405436032988</v>
      </c>
      <c r="G2079" s="0" t="n">
        <f aca="false">SUMPRODUCT(D2079:F2079,Stats!$B$6:$D$6)</f>
        <v>0.372990670365915</v>
      </c>
      <c r="H2079" s="0" t="n">
        <f aca="false">SQRT(SUMPRODUCT(MMULT(D2079:F2079,Stats!$B$12:$D$14),D2079:F2079))</f>
        <v>0.224884194678058</v>
      </c>
      <c r="I2079" s="0" t="n">
        <f aca="false">(G2079-Stats!$B$2)/H2079</f>
        <v>1.47182718127327</v>
      </c>
    </row>
    <row r="2080" customFormat="false" ht="15" hidden="false" customHeight="false" outlineLevel="0" collapsed="false">
      <c r="A2080" s="0" t="n">
        <v>0.378703355581159</v>
      </c>
      <c r="B2080" s="0" t="n">
        <v>0.843144865029745</v>
      </c>
      <c r="C2080" s="0" t="n">
        <v>0.644213015989618</v>
      </c>
      <c r="D2080" s="0" t="n">
        <f aca="false">A2080/SUM($A2080:$C2080)</f>
        <v>0.202942619541821</v>
      </c>
      <c r="E2080" s="0" t="n">
        <f aca="false">B2080/SUM($A2080:$C2080)</f>
        <v>0.451831294971721</v>
      </c>
      <c r="F2080" s="0" t="n">
        <f aca="false">C2080/SUM($A2080:$C2080)</f>
        <v>0.345226085486458</v>
      </c>
      <c r="G2080" s="0" t="n">
        <f aca="false">SUMPRODUCT(D2080:F2080,Stats!$B$6:$D$6)</f>
        <v>0.372962015848842</v>
      </c>
      <c r="H2080" s="0" t="n">
        <f aca="false">SQRT(SUMPRODUCT(MMULT(D2080:F2080,Stats!$B$12:$D$14),D2080:F2080))</f>
        <v>0.231727186479567</v>
      </c>
      <c r="I2080" s="0" t="n">
        <f aca="false">(G2080-Stats!$B$2)/H2080</f>
        <v>1.42823990951112</v>
      </c>
    </row>
    <row r="2081" customFormat="false" ht="15" hidden="false" customHeight="false" outlineLevel="0" collapsed="false">
      <c r="A2081" s="0" t="n">
        <v>0.6507243843338</v>
      </c>
      <c r="B2081" s="0" t="n">
        <v>0.866821485688489</v>
      </c>
      <c r="C2081" s="0" t="n">
        <v>0.893973057462505</v>
      </c>
      <c r="D2081" s="0" t="n">
        <f aca="false">A2081/SUM($A2081:$C2081)</f>
        <v>0.269840048492799</v>
      </c>
      <c r="E2081" s="0" t="n">
        <f aca="false">B2081/SUM($A2081:$C2081)</f>
        <v>0.359450417663767</v>
      </c>
      <c r="F2081" s="0" t="n">
        <f aca="false">C2081/SUM($A2081:$C2081)</f>
        <v>0.370709533843434</v>
      </c>
      <c r="G2081" s="0" t="n">
        <f aca="false">SUMPRODUCT(D2081:F2081,Stats!$B$6:$D$6)</f>
        <v>0.366943843447779</v>
      </c>
      <c r="H2081" s="0" t="n">
        <f aca="false">SQRT(SUMPRODUCT(MMULT(D2081:F2081,Stats!$B$12:$D$14),D2081:F2081))</f>
        <v>0.22855487156845</v>
      </c>
      <c r="I2081" s="0" t="n">
        <f aca="false">(G2081-Stats!$B$2)/H2081</f>
        <v>1.42173230094752</v>
      </c>
    </row>
    <row r="2082" customFormat="false" ht="15" hidden="false" customHeight="false" outlineLevel="0" collapsed="false">
      <c r="A2082" s="0" t="n">
        <v>0.919792571779436</v>
      </c>
      <c r="B2082" s="0" t="n">
        <v>0.0948491932531561</v>
      </c>
      <c r="C2082" s="0" t="n">
        <v>0.544126001963101</v>
      </c>
      <c r="D2082" s="0" t="n">
        <f aca="false">A2082/SUM($A2082:$C2082)</f>
        <v>0.590076720377794</v>
      </c>
      <c r="E2082" s="0" t="n">
        <f aca="false">B2082/SUM($A2082:$C2082)</f>
        <v>0.060848828966976</v>
      </c>
      <c r="F2082" s="0" t="n">
        <f aca="false">C2082/SUM($A2082:$C2082)</f>
        <v>0.34907445065523</v>
      </c>
      <c r="G2082" s="0" t="n">
        <f aca="false">SUMPRODUCT(D2082:F2082,Stats!$B$6:$D$6)</f>
        <v>0.350359273604263</v>
      </c>
      <c r="H2082" s="0" t="n">
        <f aca="false">SQRT(SUMPRODUCT(MMULT(D2082:F2082,Stats!$B$12:$D$14),D2082:F2082))</f>
        <v>0.221354844868457</v>
      </c>
      <c r="I2082" s="0" t="n">
        <f aca="false">(G2082-Stats!$B$2)/H2082</f>
        <v>1.39305409731379</v>
      </c>
    </row>
    <row r="2083" customFormat="false" ht="15" hidden="false" customHeight="false" outlineLevel="0" collapsed="false">
      <c r="A2083" s="0" t="n">
        <v>0.740509521218319</v>
      </c>
      <c r="B2083" s="0" t="n">
        <v>0.756926845127014</v>
      </c>
      <c r="C2083" s="0" t="n">
        <v>0.606716201970004</v>
      </c>
      <c r="D2083" s="0" t="n">
        <f aca="false">A2083/SUM($A2083:$C2083)</f>
        <v>0.351927675002768</v>
      </c>
      <c r="E2083" s="0" t="n">
        <f aca="false">B2083/SUM($A2083:$C2083)</f>
        <v>0.359730019830757</v>
      </c>
      <c r="F2083" s="0" t="n">
        <f aca="false">C2083/SUM($A2083:$C2083)</f>
        <v>0.288342305166476</v>
      </c>
      <c r="G2083" s="0" t="n">
        <f aca="false">SUMPRODUCT(D2083:F2083,Stats!$B$6:$D$6)</f>
        <v>0.369231176045251</v>
      </c>
      <c r="H2083" s="0" t="n">
        <f aca="false">SQRT(SUMPRODUCT(MMULT(D2083:F2083,Stats!$B$12:$D$14),D2083:F2083))</f>
        <v>0.226066590164859</v>
      </c>
      <c r="I2083" s="0" t="n">
        <f aca="false">(G2083-Stats!$B$2)/H2083</f>
        <v>1.44749905683373</v>
      </c>
    </row>
    <row r="2084" customFormat="false" ht="15" hidden="false" customHeight="false" outlineLevel="0" collapsed="false">
      <c r="A2084" s="0" t="n">
        <v>0.166787335183674</v>
      </c>
      <c r="B2084" s="0" t="n">
        <v>0.797420553941664</v>
      </c>
      <c r="C2084" s="0" t="n">
        <v>0.720111333514946</v>
      </c>
      <c r="D2084" s="0" t="n">
        <f aca="false">A2084/SUM($A2084:$C2084)</f>
        <v>0.0990235894370568</v>
      </c>
      <c r="E2084" s="0" t="n">
        <f aca="false">B2084/SUM($A2084:$C2084)</f>
        <v>0.473437898958164</v>
      </c>
      <c r="F2084" s="0" t="n">
        <f aca="false">C2084/SUM($A2084:$C2084)</f>
        <v>0.427538511604779</v>
      </c>
      <c r="G2084" s="0" t="n">
        <f aca="false">SUMPRODUCT(D2084:F2084,Stats!$B$6:$D$6)</f>
        <v>0.371935498386153</v>
      </c>
      <c r="H2084" s="0" t="n">
        <f aca="false">SQRT(SUMPRODUCT(MMULT(D2084:F2084,Stats!$B$12:$D$14),D2084:F2084))</f>
        <v>0.23699109035953</v>
      </c>
      <c r="I2084" s="0" t="n">
        <f aca="false">(G2084-Stats!$B$2)/H2084</f>
        <v>1.39218524158702</v>
      </c>
    </row>
    <row r="2085" customFormat="false" ht="15" hidden="false" customHeight="false" outlineLevel="0" collapsed="false">
      <c r="A2085" s="0" t="n">
        <v>0.0861357715490363</v>
      </c>
      <c r="B2085" s="0" t="n">
        <v>0.463809824674376</v>
      </c>
      <c r="C2085" s="0" t="n">
        <v>0.173977399521804</v>
      </c>
      <c r="D2085" s="0" t="n">
        <f aca="false">A2085/SUM($A2085:$C2085)</f>
        <v>0.118984715301614</v>
      </c>
      <c r="E2085" s="0" t="n">
        <f aca="false">B2085/SUM($A2085:$C2085)</f>
        <v>0.640689448187682</v>
      </c>
      <c r="F2085" s="0" t="n">
        <f aca="false">C2085/SUM($A2085:$C2085)</f>
        <v>0.240325836510704</v>
      </c>
      <c r="G2085" s="0" t="n">
        <f aca="false">SUMPRODUCT(D2085:F2085,Stats!$B$6:$D$6)</f>
        <v>0.386721253569314</v>
      </c>
      <c r="H2085" s="0" t="n">
        <f aca="false">SQRT(SUMPRODUCT(MMULT(D2085:F2085,Stats!$B$12:$D$14),D2085:F2085))</f>
        <v>0.237902371824598</v>
      </c>
      <c r="I2085" s="0" t="n">
        <f aca="false">(G2085-Stats!$B$2)/H2085</f>
        <v>1.44900301298161</v>
      </c>
    </row>
    <row r="2086" customFormat="false" ht="15" hidden="false" customHeight="false" outlineLevel="0" collapsed="false">
      <c r="A2086" s="0" t="n">
        <v>0.337477045712972</v>
      </c>
      <c r="B2086" s="0" t="n">
        <v>0.0180810922056854</v>
      </c>
      <c r="C2086" s="0" t="n">
        <v>0.400329868410758</v>
      </c>
      <c r="D2086" s="0" t="n">
        <f aca="false">A2086/SUM($A2086:$C2086)</f>
        <v>0.446464347743467</v>
      </c>
      <c r="E2086" s="0" t="n">
        <f aca="false">B2086/SUM($A2086:$C2086)</f>
        <v>0.0239203321845084</v>
      </c>
      <c r="F2086" s="0" t="n">
        <f aca="false">C2086/SUM($A2086:$C2086)</f>
        <v>0.529615320072025</v>
      </c>
      <c r="G2086" s="0" t="n">
        <f aca="false">SUMPRODUCT(D2086:F2086,Stats!$B$6:$D$6)</f>
        <v>0.343256110660519</v>
      </c>
      <c r="H2086" s="0" t="n">
        <f aca="false">SQRT(SUMPRODUCT(MMULT(D2086:F2086,Stats!$B$12:$D$14),D2086:F2086))</f>
        <v>0.224853955293209</v>
      </c>
      <c r="I2086" s="0" t="n">
        <f aca="false">(G2086-Stats!$B$2)/H2086</f>
        <v>1.33978568563618</v>
      </c>
    </row>
    <row r="2087" customFormat="false" ht="15" hidden="false" customHeight="false" outlineLevel="0" collapsed="false">
      <c r="A2087" s="0" t="n">
        <v>0.549876921156211</v>
      </c>
      <c r="B2087" s="0" t="n">
        <v>0.619582592827087</v>
      </c>
      <c r="C2087" s="0" t="n">
        <v>0.66349034512871</v>
      </c>
      <c r="D2087" s="0" t="n">
        <f aca="false">A2087/SUM($A2087:$C2087)</f>
        <v>0.299995615495235</v>
      </c>
      <c r="E2087" s="0" t="n">
        <f aca="false">B2087/SUM($A2087:$C2087)</f>
        <v>0.338024845440808</v>
      </c>
      <c r="F2087" s="0" t="n">
        <f aca="false">C2087/SUM($A2087:$C2087)</f>
        <v>0.361979539063957</v>
      </c>
      <c r="G2087" s="0" t="n">
        <f aca="false">SUMPRODUCT(D2087:F2087,Stats!$B$6:$D$6)</f>
        <v>0.365951770000956</v>
      </c>
      <c r="H2087" s="0" t="n">
        <f aca="false">SQRT(SUMPRODUCT(MMULT(D2087:F2087,Stats!$B$12:$D$14),D2087:F2087))</f>
        <v>0.227387994669869</v>
      </c>
      <c r="I2087" s="0" t="n">
        <f aca="false">(G2087-Stats!$B$2)/H2087</f>
        <v>1.42466523121101</v>
      </c>
    </row>
    <row r="2088" customFormat="false" ht="15" hidden="false" customHeight="false" outlineLevel="0" collapsed="false">
      <c r="A2088" s="0" t="n">
        <v>0.83629131310246</v>
      </c>
      <c r="B2088" s="0" t="n">
        <v>0.21546290727573</v>
      </c>
      <c r="C2088" s="0" t="n">
        <v>0.120481822438468</v>
      </c>
      <c r="D2088" s="0" t="n">
        <f aca="false">A2088/SUM($A2088:$C2088)</f>
        <v>0.713415457771639</v>
      </c>
      <c r="E2088" s="0" t="n">
        <f aca="false">B2088/SUM($A2088:$C2088)</f>
        <v>0.183805052400551</v>
      </c>
      <c r="F2088" s="0" t="n">
        <f aca="false">C2088/SUM($A2088:$C2088)</f>
        <v>0.102779489827811</v>
      </c>
      <c r="G2088" s="0" t="n">
        <f aca="false">SUMPRODUCT(D2088:F2088,Stats!$B$6:$D$6)</f>
        <v>0.364225504376299</v>
      </c>
      <c r="H2088" s="0" t="n">
        <f aca="false">SQRT(SUMPRODUCT(MMULT(D2088:F2088,Stats!$B$12:$D$14),D2088:F2088))</f>
        <v>0.224382481575433</v>
      </c>
      <c r="I2088" s="0" t="n">
        <f aca="false">(G2088-Stats!$B$2)/H2088</f>
        <v>1.43605464256341</v>
      </c>
    </row>
    <row r="2089" customFormat="false" ht="15" hidden="false" customHeight="false" outlineLevel="0" collapsed="false">
      <c r="A2089" s="0" t="n">
        <v>0.851537171897926</v>
      </c>
      <c r="B2089" s="0" t="n">
        <v>0.15661281489265</v>
      </c>
      <c r="C2089" s="0" t="n">
        <v>0.974760081336195</v>
      </c>
      <c r="D2089" s="0" t="n">
        <f aca="false">A2089/SUM($A2089:$C2089)</f>
        <v>0.429438120056731</v>
      </c>
      <c r="E2089" s="0" t="n">
        <f aca="false">B2089/SUM($A2089:$C2089)</f>
        <v>0.0789812999641481</v>
      </c>
      <c r="F2089" s="0" t="n">
        <f aca="false">C2089/SUM($A2089:$C2089)</f>
        <v>0.49158057997912</v>
      </c>
      <c r="G2089" s="0" t="n">
        <f aca="false">SUMPRODUCT(D2089:F2089,Stats!$B$6:$D$6)</f>
        <v>0.347473040811675</v>
      </c>
      <c r="H2089" s="0" t="n">
        <f aca="false">SQRT(SUMPRODUCT(MMULT(D2089:F2089,Stats!$B$12:$D$14),D2089:F2089))</f>
        <v>0.22445824666147</v>
      </c>
      <c r="I2089" s="0" t="n">
        <f aca="false">(G2089-Stats!$B$2)/H2089</f>
        <v>1.360934807944</v>
      </c>
    </row>
    <row r="2090" customFormat="false" ht="15" hidden="false" customHeight="false" outlineLevel="0" collapsed="false">
      <c r="A2090" s="0" t="n">
        <v>0.842538229398637</v>
      </c>
      <c r="B2090" s="0" t="n">
        <v>0.500876605889599</v>
      </c>
      <c r="C2090" s="0" t="n">
        <v>0.981421424922025</v>
      </c>
      <c r="D2090" s="0" t="n">
        <f aca="false">A2090/SUM($A2090:$C2090)</f>
        <v>0.36240755696164</v>
      </c>
      <c r="E2090" s="0" t="n">
        <f aca="false">B2090/SUM($A2090:$C2090)</f>
        <v>0.215445971168868</v>
      </c>
      <c r="F2090" s="0" t="n">
        <f aca="false">C2090/SUM($A2090:$C2090)</f>
        <v>0.422146471869492</v>
      </c>
      <c r="G2090" s="0" t="n">
        <f aca="false">SUMPRODUCT(D2090:F2090,Stats!$B$6:$D$6)</f>
        <v>0.357239660195388</v>
      </c>
      <c r="H2090" s="0" t="n">
        <f aca="false">SQRT(SUMPRODUCT(MMULT(D2090:F2090,Stats!$B$12:$D$14),D2090:F2090))</f>
        <v>0.225346873796606</v>
      </c>
      <c r="I2090" s="0" t="n">
        <f aca="false">(G2090-Stats!$B$2)/H2090</f>
        <v>1.39890851328125</v>
      </c>
    </row>
    <row r="2091" customFormat="false" ht="15" hidden="false" customHeight="false" outlineLevel="0" collapsed="false">
      <c r="A2091" s="0" t="n">
        <v>0.0973767291080042</v>
      </c>
      <c r="B2091" s="0" t="n">
        <v>0.303065761175102</v>
      </c>
      <c r="C2091" s="0" t="n">
        <v>0.638224415040611</v>
      </c>
      <c r="D2091" s="0" t="n">
        <f aca="false">A2091/SUM($A2091:$C2091)</f>
        <v>0.0937516431965792</v>
      </c>
      <c r="E2091" s="0" t="n">
        <f aca="false">B2091/SUM($A2091:$C2091)</f>
        <v>0.291783400069579</v>
      </c>
      <c r="F2091" s="0" t="n">
        <f aca="false">C2091/SUM($A2091:$C2091)</f>
        <v>0.614464956733842</v>
      </c>
      <c r="G2091" s="0" t="n">
        <f aca="false">SUMPRODUCT(D2091:F2091,Stats!$B$6:$D$6)</f>
        <v>0.356328908802178</v>
      </c>
      <c r="H2091" s="0" t="n">
        <f aca="false">SQRT(SUMPRODUCT(MMULT(D2091:F2091,Stats!$B$12:$D$14),D2091:F2091))</f>
        <v>0.239230440471427</v>
      </c>
      <c r="I2091" s="0" t="n">
        <f aca="false">(G2091-Stats!$B$2)/H2091</f>
        <v>1.31391685850163</v>
      </c>
    </row>
    <row r="2092" customFormat="false" ht="15" hidden="false" customHeight="false" outlineLevel="0" collapsed="false">
      <c r="A2092" s="0" t="n">
        <v>0.350006868473179</v>
      </c>
      <c r="B2092" s="0" t="n">
        <v>0.928372551980792</v>
      </c>
      <c r="C2092" s="0" t="n">
        <v>0.0656260881778176</v>
      </c>
      <c r="D2092" s="0" t="n">
        <f aca="false">A2092/SUM($A2092:$C2092)</f>
        <v>0.26042070975549</v>
      </c>
      <c r="E2092" s="0" t="n">
        <f aca="false">B2092/SUM($A2092:$C2092)</f>
        <v>0.690750555721967</v>
      </c>
      <c r="F2092" s="0" t="n">
        <f aca="false">C2092/SUM($A2092:$C2092)</f>
        <v>0.0488287345225435</v>
      </c>
      <c r="G2092" s="0" t="n">
        <f aca="false">SUMPRODUCT(D2092:F2092,Stats!$B$6:$D$6)</f>
        <v>0.394882163837678</v>
      </c>
      <c r="H2092" s="0" t="n">
        <f aca="false">SQRT(SUMPRODUCT(MMULT(D2092:F2092,Stats!$B$12:$D$14),D2092:F2092))</f>
        <v>0.236219848712476</v>
      </c>
      <c r="I2092" s="0" t="n">
        <f aca="false">(G2092-Stats!$B$2)/H2092</f>
        <v>1.49387177140733</v>
      </c>
    </row>
    <row r="2093" customFormat="false" ht="15" hidden="false" customHeight="false" outlineLevel="0" collapsed="false">
      <c r="A2093" s="0" t="n">
        <v>0.549411832060965</v>
      </c>
      <c r="B2093" s="0" t="n">
        <v>0.590866267395115</v>
      </c>
      <c r="C2093" s="0" t="n">
        <v>0.652728123777224</v>
      </c>
      <c r="D2093" s="0" t="n">
        <f aca="false">A2093/SUM($A2093:$C2093)</f>
        <v>0.306419367061771</v>
      </c>
      <c r="E2093" s="0" t="n">
        <f aca="false">B2093/SUM($A2093:$C2093)</f>
        <v>0.329539440376071</v>
      </c>
      <c r="F2093" s="0" t="n">
        <f aca="false">C2093/SUM($A2093:$C2093)</f>
        <v>0.364041192562159</v>
      </c>
      <c r="G2093" s="0" t="n">
        <f aca="false">SUMPRODUCT(D2093:F2093,Stats!$B$6:$D$6)</f>
        <v>0.365406681473717</v>
      </c>
      <c r="H2093" s="0" t="n">
        <f aca="false">SQRT(SUMPRODUCT(MMULT(D2093:F2093,Stats!$B$12:$D$14),D2093:F2093))</f>
        <v>0.227139429302154</v>
      </c>
      <c r="I2093" s="0" t="n">
        <f aca="false">(G2093-Stats!$B$2)/H2093</f>
        <v>1.42382448730864</v>
      </c>
    </row>
    <row r="2094" customFormat="false" ht="15" hidden="false" customHeight="false" outlineLevel="0" collapsed="false">
      <c r="A2094" s="0" t="n">
        <v>0.255666223331814</v>
      </c>
      <c r="B2094" s="0" t="n">
        <v>0.364566427519865</v>
      </c>
      <c r="C2094" s="0" t="n">
        <v>0.843680529664978</v>
      </c>
      <c r="D2094" s="0" t="n">
        <f aca="false">A2094/SUM($A2094:$C2094)</f>
        <v>0.174645755454967</v>
      </c>
      <c r="E2094" s="0" t="n">
        <f aca="false">B2094/SUM($A2094:$C2094)</f>
        <v>0.249035552361923</v>
      </c>
      <c r="F2094" s="0" t="n">
        <f aca="false">C2094/SUM($A2094:$C2094)</f>
        <v>0.576318692183111</v>
      </c>
      <c r="G2094" s="0" t="n">
        <f aca="false">SUMPRODUCT(D2094:F2094,Stats!$B$6:$D$6)</f>
        <v>0.354921121545698</v>
      </c>
      <c r="H2094" s="0" t="n">
        <f aca="false">SQRT(SUMPRODUCT(MMULT(D2094:F2094,Stats!$B$12:$D$14),D2094:F2094))</f>
        <v>0.234395074533338</v>
      </c>
      <c r="I2094" s="0" t="n">
        <f aca="false">(G2094-Stats!$B$2)/H2094</f>
        <v>1.33501577270213</v>
      </c>
    </row>
    <row r="2095" customFormat="false" ht="15" hidden="false" customHeight="false" outlineLevel="0" collapsed="false">
      <c r="A2095" s="0" t="n">
        <v>0.19494276897016</v>
      </c>
      <c r="B2095" s="0" t="n">
        <v>0.826867847173362</v>
      </c>
      <c r="C2095" s="0" t="n">
        <v>0.562655422902742</v>
      </c>
      <c r="D2095" s="0" t="n">
        <f aca="false">A2095/SUM($A2095:$C2095)</f>
        <v>0.123033731343022</v>
      </c>
      <c r="E2095" s="0" t="n">
        <f aca="false">B2095/SUM($A2095:$C2095)</f>
        <v>0.52185899021924</v>
      </c>
      <c r="F2095" s="0" t="n">
        <f aca="false">C2095/SUM($A2095:$C2095)</f>
        <v>0.355107278437739</v>
      </c>
      <c r="G2095" s="0" t="n">
        <f aca="false">SUMPRODUCT(D2095:F2095,Stats!$B$6:$D$6)</f>
        <v>0.376718848703187</v>
      </c>
      <c r="H2095" s="0" t="n">
        <f aca="false">SQRT(SUMPRODUCT(MMULT(D2095:F2095,Stats!$B$12:$D$14),D2095:F2095))</f>
        <v>0.235920624380452</v>
      </c>
      <c r="I2095" s="0" t="n">
        <f aca="false">(G2095-Stats!$B$2)/H2095</f>
        <v>1.4187773942282</v>
      </c>
    </row>
    <row r="2096" customFormat="false" ht="15" hidden="false" customHeight="false" outlineLevel="0" collapsed="false">
      <c r="A2096" s="0" t="n">
        <v>0.762187511194082</v>
      </c>
      <c r="B2096" s="0" t="n">
        <v>0.713607366263472</v>
      </c>
      <c r="C2096" s="0" t="n">
        <v>0.207511495384879</v>
      </c>
      <c r="D2096" s="0" t="n">
        <f aca="false">A2096/SUM($A2096:$C2096)</f>
        <v>0.452791912090876</v>
      </c>
      <c r="E2096" s="0" t="n">
        <f aca="false">B2096/SUM($A2096:$C2096)</f>
        <v>0.423931957828018</v>
      </c>
      <c r="F2096" s="0" t="n">
        <f aca="false">C2096/SUM($A2096:$C2096)</f>
        <v>0.123276130081106</v>
      </c>
      <c r="G2096" s="0" t="n">
        <f aca="false">SUMPRODUCT(D2096:F2096,Stats!$B$6:$D$6)</f>
        <v>0.377476908752861</v>
      </c>
      <c r="H2096" s="0" t="n">
        <f aca="false">SQRT(SUMPRODUCT(MMULT(D2096:F2096,Stats!$B$12:$D$14),D2096:F2096))</f>
        <v>0.22640451262487</v>
      </c>
      <c r="I2096" s="0" t="n">
        <f aca="false">(G2096-Stats!$B$2)/H2096</f>
        <v>1.4817589316725</v>
      </c>
    </row>
    <row r="2097" customFormat="false" ht="15" hidden="false" customHeight="false" outlineLevel="0" collapsed="false">
      <c r="A2097" s="0" t="n">
        <v>0.568812736433873</v>
      </c>
      <c r="B2097" s="0" t="n">
        <v>0.867723152805092</v>
      </c>
      <c r="C2097" s="0" t="n">
        <v>0.432116236801929</v>
      </c>
      <c r="D2097" s="0" t="n">
        <f aca="false">A2097/SUM($A2097:$C2097)</f>
        <v>0.304397339936682</v>
      </c>
      <c r="E2097" s="0" t="n">
        <f aca="false">B2097/SUM($A2097:$C2097)</f>
        <v>0.464357779980982</v>
      </c>
      <c r="F2097" s="0" t="n">
        <f aca="false">C2097/SUM($A2097:$C2097)</f>
        <v>0.231244880082336</v>
      </c>
      <c r="G2097" s="0" t="n">
        <f aca="false">SUMPRODUCT(D2097:F2097,Stats!$B$6:$D$6)</f>
        <v>0.376825761483105</v>
      </c>
      <c r="H2097" s="0" t="n">
        <f aca="false">SQRT(SUMPRODUCT(MMULT(D2097:F2097,Stats!$B$12:$D$14),D2097:F2097))</f>
        <v>0.228706019019122</v>
      </c>
      <c r="I2097" s="0" t="n">
        <f aca="false">(G2097-Stats!$B$2)/H2097</f>
        <v>1.46400065428584</v>
      </c>
    </row>
    <row r="2098" customFormat="false" ht="15" hidden="false" customHeight="false" outlineLevel="0" collapsed="false">
      <c r="A2098" s="0" t="n">
        <v>0.966590770223317</v>
      </c>
      <c r="B2098" s="0" t="n">
        <v>0.452215100101718</v>
      </c>
      <c r="C2098" s="0" t="n">
        <v>0.142785636667885</v>
      </c>
      <c r="D2098" s="0" t="n">
        <f aca="false">A2098/SUM($A2098:$C2098)</f>
        <v>0.618977988734476</v>
      </c>
      <c r="E2098" s="0" t="n">
        <f aca="false">B2098/SUM($A2098:$C2098)</f>
        <v>0.289586039675976</v>
      </c>
      <c r="F2098" s="0" t="n">
        <f aca="false">C2098/SUM($A2098:$C2098)</f>
        <v>0.0914359715895484</v>
      </c>
      <c r="G2098" s="0" t="n">
        <f aca="false">SUMPRODUCT(D2098:F2098,Stats!$B$6:$D$6)</f>
        <v>0.370624798626947</v>
      </c>
      <c r="H2098" s="0" t="n">
        <f aca="false">SQRT(SUMPRODUCT(MMULT(D2098:F2098,Stats!$B$12:$D$14),D2098:F2098))</f>
        <v>0.224699011118007</v>
      </c>
      <c r="I2098" s="0" t="n">
        <f aca="false">(G2098-Stats!$B$2)/H2098</f>
        <v>1.46251110315016</v>
      </c>
    </row>
    <row r="2099" customFormat="false" ht="15" hidden="false" customHeight="false" outlineLevel="0" collapsed="false">
      <c r="A2099" s="0" t="n">
        <v>0.389434680077673</v>
      </c>
      <c r="B2099" s="0" t="n">
        <v>0.951702406390537</v>
      </c>
      <c r="C2099" s="0" t="n">
        <v>0.319720849339854</v>
      </c>
      <c r="D2099" s="0" t="n">
        <f aca="false">A2099/SUM($A2099:$C2099)</f>
        <v>0.234478019872422</v>
      </c>
      <c r="E2099" s="0" t="n">
        <f aca="false">B2099/SUM($A2099:$C2099)</f>
        <v>0.573018550155225</v>
      </c>
      <c r="F2099" s="0" t="n">
        <f aca="false">C2099/SUM($A2099:$C2099)</f>
        <v>0.192503429972353</v>
      </c>
      <c r="G2099" s="0" t="n">
        <f aca="false">SUMPRODUCT(D2099:F2099,Stats!$B$6:$D$6)</f>
        <v>0.384146242148086</v>
      </c>
      <c r="H2099" s="0" t="n">
        <f aca="false">SQRT(SUMPRODUCT(MMULT(D2099:F2099,Stats!$B$12:$D$14),D2099:F2099))</f>
        <v>0.232705237309778</v>
      </c>
      <c r="I2099" s="0" t="n">
        <f aca="false">(G2099-Stats!$B$2)/H2099</f>
        <v>1.47029884717472</v>
      </c>
    </row>
    <row r="2100" customFormat="false" ht="15" hidden="false" customHeight="false" outlineLevel="0" collapsed="false">
      <c r="A2100" s="0" t="n">
        <v>0.868098159867063</v>
      </c>
      <c r="B2100" s="0" t="n">
        <v>0.88125068168189</v>
      </c>
      <c r="C2100" s="0" t="n">
        <v>0.350186524331961</v>
      </c>
      <c r="D2100" s="0" t="n">
        <f aca="false">A2100/SUM($A2100:$C2100)</f>
        <v>0.41347155850496</v>
      </c>
      <c r="E2100" s="0" t="n">
        <f aca="false">B2100/SUM($A2100:$C2100)</f>
        <v>0.419736050177054</v>
      </c>
      <c r="F2100" s="0" t="n">
        <f aca="false">C2100/SUM($A2100:$C2100)</f>
        <v>0.166792391317986</v>
      </c>
      <c r="G2100" s="0" t="n">
        <f aca="false">SUMPRODUCT(D2100:F2100,Stats!$B$6:$D$6)</f>
        <v>0.376035537490908</v>
      </c>
      <c r="H2100" s="0" t="n">
        <f aca="false">SQRT(SUMPRODUCT(MMULT(D2100:F2100,Stats!$B$12:$D$14),D2100:F2100))</f>
        <v>0.22631292435159</v>
      </c>
      <c r="I2100" s="0" t="n">
        <f aca="false">(G2100-Stats!$B$2)/H2100</f>
        <v>1.47598966540667</v>
      </c>
    </row>
    <row r="2101" customFormat="false" ht="15" hidden="false" customHeight="false" outlineLevel="0" collapsed="false">
      <c r="A2101" s="0" t="n">
        <v>0.0832576580506321</v>
      </c>
      <c r="B2101" s="0" t="n">
        <v>0.724557909158818</v>
      </c>
      <c r="C2101" s="0" t="n">
        <v>0.311512299013986</v>
      </c>
      <c r="D2101" s="0" t="n">
        <f aca="false">A2101/SUM($A2101:$C2101)</f>
        <v>0.0743818326720837</v>
      </c>
      <c r="E2101" s="0" t="n">
        <f aca="false">B2101/SUM($A2101:$C2101)</f>
        <v>0.647315171026203</v>
      </c>
      <c r="F2101" s="0" t="n">
        <f aca="false">C2101/SUM($A2101:$C2101)</f>
        <v>0.278302996301714</v>
      </c>
      <c r="G2101" s="0" t="n">
        <f aca="false">SUMPRODUCT(D2101:F2101,Stats!$B$6:$D$6)</f>
        <v>0.386055283511483</v>
      </c>
      <c r="H2101" s="0" t="n">
        <f aca="false">SQRT(SUMPRODUCT(MMULT(D2101:F2101,Stats!$B$12:$D$14),D2101:F2101))</f>
        <v>0.239912035900299</v>
      </c>
      <c r="I2101" s="0" t="n">
        <f aca="false">(G2101-Stats!$B$2)/H2101</f>
        <v>1.43408929952336</v>
      </c>
    </row>
    <row r="2102" customFormat="false" ht="15" hidden="false" customHeight="false" outlineLevel="0" collapsed="false">
      <c r="A2102" s="0" t="n">
        <v>0.782923614257572</v>
      </c>
      <c r="B2102" s="0" t="n">
        <v>0.442654848260433</v>
      </c>
      <c r="C2102" s="0" t="n">
        <v>0.485266742342622</v>
      </c>
      <c r="D2102" s="0" t="n">
        <f aca="false">A2102/SUM($A2102:$C2102)</f>
        <v>0.45762387621816</v>
      </c>
      <c r="E2102" s="0" t="n">
        <f aca="false">B2102/SUM($A2102:$C2102)</f>
        <v>0.258734599134288</v>
      </c>
      <c r="F2102" s="0" t="n">
        <f aca="false">C2102/SUM($A2102:$C2102)</f>
        <v>0.283641524647552</v>
      </c>
      <c r="G2102" s="0" t="n">
        <f aca="false">SUMPRODUCT(D2102:F2102,Stats!$B$6:$D$6)</f>
        <v>0.363549652468985</v>
      </c>
      <c r="H2102" s="0" t="n">
        <f aca="false">SQRT(SUMPRODUCT(MMULT(D2102:F2102,Stats!$B$12:$D$14),D2102:F2102))</f>
        <v>0.223206572415475</v>
      </c>
      <c r="I2102" s="0" t="n">
        <f aca="false">(G2102-Stats!$B$2)/H2102</f>
        <v>1.44059222355897</v>
      </c>
    </row>
    <row r="2103" customFormat="false" ht="15" hidden="false" customHeight="false" outlineLevel="0" collapsed="false">
      <c r="A2103" s="0" t="n">
        <v>0.777909406748537</v>
      </c>
      <c r="B2103" s="0" t="n">
        <v>0.382363331061628</v>
      </c>
      <c r="C2103" s="0" t="n">
        <v>0.443127345322915</v>
      </c>
      <c r="D2103" s="0" t="n">
        <f aca="false">A2103/SUM($A2103:$C2103)</f>
        <v>0.485162383943803</v>
      </c>
      <c r="E2103" s="0" t="n">
        <f aca="false">B2103/SUM($A2103:$C2103)</f>
        <v>0.238470320092838</v>
      </c>
      <c r="F2103" s="0" t="n">
        <f aca="false">C2103/SUM($A2103:$C2103)</f>
        <v>0.276367295963359</v>
      </c>
      <c r="G2103" s="0" t="n">
        <f aca="false">SUMPRODUCT(D2103:F2103,Stats!$B$6:$D$6)</f>
        <v>0.362584256138634</v>
      </c>
      <c r="H2103" s="0" t="n">
        <f aca="false">SQRT(SUMPRODUCT(MMULT(D2103:F2103,Stats!$B$12:$D$14),D2103:F2103))</f>
        <v>0.222735140070716</v>
      </c>
      <c r="I2103" s="0" t="n">
        <f aca="false">(G2103-Stats!$B$2)/H2103</f>
        <v>1.43930704439745</v>
      </c>
    </row>
    <row r="2104" customFormat="false" ht="15" hidden="false" customHeight="false" outlineLevel="0" collapsed="false">
      <c r="A2104" s="0" t="n">
        <v>0.376190468769622</v>
      </c>
      <c r="B2104" s="0" t="n">
        <v>0.36734051527728</v>
      </c>
      <c r="C2104" s="0" t="n">
        <v>0.525946576901459</v>
      </c>
      <c r="D2104" s="0" t="n">
        <f aca="false">A2104/SUM($A2104:$C2104)</f>
        <v>0.296334870612908</v>
      </c>
      <c r="E2104" s="0" t="n">
        <f aca="false">B2104/SUM($A2104:$C2104)</f>
        <v>0.289363535502635</v>
      </c>
      <c r="F2104" s="0" t="n">
        <f aca="false">C2104/SUM($A2104:$C2104)</f>
        <v>0.414301593884457</v>
      </c>
      <c r="G2104" s="0" t="n">
        <f aca="false">SUMPRODUCT(D2104:F2104,Stats!$B$6:$D$6)</f>
        <v>0.36170910067066</v>
      </c>
      <c r="H2104" s="0" t="n">
        <f aca="false">SQRT(SUMPRODUCT(MMULT(D2104:F2104,Stats!$B$12:$D$14),D2104:F2104))</f>
        <v>0.227507924713456</v>
      </c>
      <c r="I2104" s="0" t="n">
        <f aca="false">(G2104-Stats!$B$2)/H2104</f>
        <v>1.40526577732767</v>
      </c>
    </row>
    <row r="2105" customFormat="false" ht="15" hidden="false" customHeight="false" outlineLevel="0" collapsed="false">
      <c r="A2105" s="0" t="n">
        <v>0.808799444501151</v>
      </c>
      <c r="B2105" s="0" t="n">
        <v>0.361768311922566</v>
      </c>
      <c r="C2105" s="0" t="n">
        <v>0.524254720537737</v>
      </c>
      <c r="D2105" s="0" t="n">
        <f aca="false">A2105/SUM($A2105:$C2105)</f>
        <v>0.477217794486181</v>
      </c>
      <c r="E2105" s="0" t="n">
        <f aca="false">B2105/SUM($A2105:$C2105)</f>
        <v>0.213454988259985</v>
      </c>
      <c r="F2105" s="0" t="n">
        <f aca="false">C2105/SUM($A2105:$C2105)</f>
        <v>0.309327217253834</v>
      </c>
      <c r="G2105" s="0" t="n">
        <f aca="false">SUMPRODUCT(D2105:F2105,Stats!$B$6:$D$6)</f>
        <v>0.36023604916915</v>
      </c>
      <c r="H2105" s="0" t="n">
        <f aca="false">SQRT(SUMPRODUCT(MMULT(D2105:F2105,Stats!$B$12:$D$14),D2105:F2105))</f>
        <v>0.222628706950528</v>
      </c>
      <c r="I2105" s="0" t="n">
        <f aca="false">(G2105-Stats!$B$2)/H2105</f>
        <v>1.42944750265233</v>
      </c>
    </row>
    <row r="2106" customFormat="false" ht="15" hidden="false" customHeight="false" outlineLevel="0" collapsed="false">
      <c r="A2106" s="0" t="n">
        <v>0.670727325442601</v>
      </c>
      <c r="B2106" s="0" t="n">
        <v>0.269439446303655</v>
      </c>
      <c r="C2106" s="0" t="n">
        <v>0.277522804902393</v>
      </c>
      <c r="D2106" s="0" t="n">
        <f aca="false">A2106/SUM($A2106:$C2106)</f>
        <v>0.550819632774217</v>
      </c>
      <c r="E2106" s="0" t="n">
        <f aca="false">B2106/SUM($A2106:$C2106)</f>
        <v>0.221271045979725</v>
      </c>
      <c r="F2106" s="0" t="n">
        <f aca="false">C2106/SUM($A2106:$C2106)</f>
        <v>0.227909321246058</v>
      </c>
      <c r="G2106" s="0" t="n">
        <f aca="false">SUMPRODUCT(D2106:F2106,Stats!$B$6:$D$6)</f>
        <v>0.362930842181663</v>
      </c>
      <c r="H2106" s="0" t="n">
        <f aca="false">SQRT(SUMPRODUCT(MMULT(D2106:F2106,Stats!$B$12:$D$14),D2106:F2106))</f>
        <v>0.222347951047112</v>
      </c>
      <c r="I2106" s="0" t="n">
        <f aca="false">(G2106-Stats!$B$2)/H2106</f>
        <v>1.44337215913297</v>
      </c>
    </row>
    <row r="2107" customFormat="false" ht="15" hidden="false" customHeight="false" outlineLevel="0" collapsed="false">
      <c r="A2107" s="0" t="n">
        <v>0.933413127023455</v>
      </c>
      <c r="B2107" s="0" t="n">
        <v>0.723534573331089</v>
      </c>
      <c r="C2107" s="0" t="n">
        <v>0.577186676223309</v>
      </c>
      <c r="D2107" s="0" t="n">
        <f aca="false">A2107/SUM($A2107:$C2107)</f>
        <v>0.417796322732035</v>
      </c>
      <c r="E2107" s="0" t="n">
        <f aca="false">B2107/SUM($A2107:$C2107)</f>
        <v>0.32385454559782</v>
      </c>
      <c r="F2107" s="0" t="n">
        <f aca="false">C2107/SUM($A2107:$C2107)</f>
        <v>0.258349131670145</v>
      </c>
      <c r="G2107" s="0" t="n">
        <f aca="false">SUMPRODUCT(D2107:F2107,Stats!$B$6:$D$6)</f>
        <v>0.367993997913785</v>
      </c>
      <c r="H2107" s="0" t="n">
        <f aca="false">SQRT(SUMPRODUCT(MMULT(D2107:F2107,Stats!$B$12:$D$14),D2107:F2107))</f>
        <v>0.224447066746903</v>
      </c>
      <c r="I2107" s="0" t="n">
        <f aca="false">(G2107-Stats!$B$2)/H2107</f>
        <v>1.45243153603514</v>
      </c>
    </row>
    <row r="2108" customFormat="false" ht="15" hidden="false" customHeight="false" outlineLevel="0" collapsed="false">
      <c r="A2108" s="0" t="n">
        <v>0.647720054420612</v>
      </c>
      <c r="B2108" s="0" t="n">
        <v>0.0292994431034184</v>
      </c>
      <c r="C2108" s="0" t="n">
        <v>0.618102965561697</v>
      </c>
      <c r="D2108" s="0" t="n">
        <f aca="false">A2108/SUM($A2108:$C2108)</f>
        <v>0.500122631552054</v>
      </c>
      <c r="E2108" s="0" t="n">
        <f aca="false">B2108/SUM($A2108:$C2108)</f>
        <v>0.0226229132290781</v>
      </c>
      <c r="F2108" s="0" t="n">
        <f aca="false">C2108/SUM($A2108:$C2108)</f>
        <v>0.477254455218868</v>
      </c>
      <c r="G2108" s="0" t="n">
        <f aca="false">SUMPRODUCT(D2108:F2108,Stats!$B$6:$D$6)</f>
        <v>0.344625289562319</v>
      </c>
      <c r="H2108" s="0" t="n">
        <f aca="false">SQRT(SUMPRODUCT(MMULT(D2108:F2108,Stats!$B$12:$D$14),D2108:F2108))</f>
        <v>0.223158670244505</v>
      </c>
      <c r="I2108" s="0" t="n">
        <f aca="false">(G2108-Stats!$B$2)/H2108</f>
        <v>1.35609917925548</v>
      </c>
    </row>
    <row r="2109" customFormat="false" ht="15" hidden="false" customHeight="false" outlineLevel="0" collapsed="false">
      <c r="A2109" s="0" t="n">
        <v>0.509508873224202</v>
      </c>
      <c r="B2109" s="0" t="n">
        <v>0.545749679779436</v>
      </c>
      <c r="C2109" s="0" t="n">
        <v>0.359423826830817</v>
      </c>
      <c r="D2109" s="0" t="n">
        <f aca="false">A2109/SUM($A2109:$C2109)</f>
        <v>0.360157785582814</v>
      </c>
      <c r="E2109" s="0" t="n">
        <f aca="false">B2109/SUM($A2109:$C2109)</f>
        <v>0.385775413307473</v>
      </c>
      <c r="F2109" s="0" t="n">
        <f aca="false">C2109/SUM($A2109:$C2109)</f>
        <v>0.254066801109714</v>
      </c>
      <c r="G2109" s="0" t="n">
        <f aca="false">SUMPRODUCT(D2109:F2109,Stats!$B$6:$D$6)</f>
        <v>0.371674928117321</v>
      </c>
      <c r="H2109" s="0" t="n">
        <f aca="false">SQRT(SUMPRODUCT(MMULT(D2109:F2109,Stats!$B$12:$D$14),D2109:F2109))</f>
        <v>0.226244541950571</v>
      </c>
      <c r="I2109" s="0" t="n">
        <f aca="false">(G2109-Stats!$B$2)/H2109</f>
        <v>1.45716190664766</v>
      </c>
    </row>
    <row r="2110" customFormat="false" ht="15" hidden="false" customHeight="false" outlineLevel="0" collapsed="false">
      <c r="A2110" s="0" t="n">
        <v>0.0814738977129419</v>
      </c>
      <c r="B2110" s="0" t="n">
        <v>0.193339233612052</v>
      </c>
      <c r="C2110" s="0" t="n">
        <v>0.950744713212672</v>
      </c>
      <c r="D2110" s="0" t="n">
        <f aca="false">A2110/SUM($A2110:$C2110)</f>
        <v>0.0664790308152917</v>
      </c>
      <c r="E2110" s="0" t="n">
        <f aca="false">B2110/SUM($A2110:$C2110)</f>
        <v>0.157756106310093</v>
      </c>
      <c r="F2110" s="0" t="n">
        <f aca="false">C2110/SUM($A2110:$C2110)</f>
        <v>0.775764862874616</v>
      </c>
      <c r="G2110" s="0" t="n">
        <f aca="false">SUMPRODUCT(D2110:F2110,Stats!$B$6:$D$6)</f>
        <v>0.344169368914763</v>
      </c>
      <c r="H2110" s="0" t="n">
        <f aca="false">SQRT(SUMPRODUCT(MMULT(D2110:F2110,Stats!$B$12:$D$14),D2110:F2110))</f>
        <v>0.245485612419618</v>
      </c>
      <c r="I2110" s="0" t="n">
        <f aca="false">(G2110-Stats!$B$2)/H2110</f>
        <v>1.23090459736701</v>
      </c>
    </row>
    <row r="2111" customFormat="false" ht="15" hidden="false" customHeight="false" outlineLevel="0" collapsed="false">
      <c r="A2111" s="0" t="n">
        <v>0.408699562270934</v>
      </c>
      <c r="B2111" s="0" t="n">
        <v>0.466683155830864</v>
      </c>
      <c r="C2111" s="0" t="n">
        <v>0.052709789853439</v>
      </c>
      <c r="D2111" s="0" t="n">
        <f aca="false">A2111/SUM($A2111:$C2111)</f>
        <v>0.440365113140905</v>
      </c>
      <c r="E2111" s="0" t="n">
        <f aca="false">B2111/SUM($A2111:$C2111)</f>
        <v>0.502841205839551</v>
      </c>
      <c r="F2111" s="0" t="n">
        <f aca="false">C2111/SUM($A2111:$C2111)</f>
        <v>0.0567936810195447</v>
      </c>
      <c r="G2111" s="0" t="n">
        <f aca="false">SUMPRODUCT(D2111:F2111,Stats!$B$6:$D$6)</f>
        <v>0.383850472715581</v>
      </c>
      <c r="H2111" s="0" t="n">
        <f aca="false">SQRT(SUMPRODUCT(MMULT(D2111:F2111,Stats!$B$12:$D$14),D2111:F2111))</f>
        <v>0.228938150629365</v>
      </c>
      <c r="I2111" s="0" t="n">
        <f aca="false">(G2111-Stats!$B$2)/H2111</f>
        <v>1.4932001144231</v>
      </c>
    </row>
    <row r="2112" customFormat="false" ht="15" hidden="false" customHeight="false" outlineLevel="0" collapsed="false">
      <c r="A2112" s="0" t="n">
        <v>0.0375662295439806</v>
      </c>
      <c r="B2112" s="0" t="n">
        <v>0.717181447046758</v>
      </c>
      <c r="C2112" s="0" t="n">
        <v>0.538094664121111</v>
      </c>
      <c r="D2112" s="0" t="n">
        <f aca="false">A2112/SUM($A2112:$C2112)</f>
        <v>0.0290570848130611</v>
      </c>
      <c r="E2112" s="0" t="n">
        <f aca="false">B2112/SUM($A2112:$C2112)</f>
        <v>0.554732332367667</v>
      </c>
      <c r="F2112" s="0" t="n">
        <f aca="false">C2112/SUM($A2112:$C2112)</f>
        <v>0.416210582819272</v>
      </c>
      <c r="G2112" s="0" t="n">
        <f aca="false">SUMPRODUCT(D2112:F2112,Stats!$B$6:$D$6)</f>
        <v>0.376925438146519</v>
      </c>
      <c r="H2112" s="0" t="n">
        <f aca="false">SQRT(SUMPRODUCT(MMULT(D2112:F2112,Stats!$B$12:$D$14),D2112:F2112))</f>
        <v>0.241353194831019</v>
      </c>
      <c r="I2112" s="0" t="n">
        <f aca="false">(G2112-Stats!$B$2)/H2112</f>
        <v>1.38769838278302</v>
      </c>
    </row>
    <row r="2113" customFormat="false" ht="15" hidden="false" customHeight="false" outlineLevel="0" collapsed="false">
      <c r="A2113" s="0" t="n">
        <v>0.508705984216267</v>
      </c>
      <c r="B2113" s="0" t="n">
        <v>0.243124530422669</v>
      </c>
      <c r="C2113" s="0" t="n">
        <v>0.744750731629922</v>
      </c>
      <c r="D2113" s="0" t="n">
        <f aca="false">A2113/SUM($A2113:$C2113)</f>
        <v>0.33991203984717</v>
      </c>
      <c r="E2113" s="0" t="n">
        <f aca="false">B2113/SUM($A2113:$C2113)</f>
        <v>0.162453278783765</v>
      </c>
      <c r="F2113" s="0" t="n">
        <f aca="false">C2113/SUM($A2113:$C2113)</f>
        <v>0.497634681369066</v>
      </c>
      <c r="G2113" s="0" t="n">
        <f aca="false">SUMPRODUCT(D2113:F2113,Stats!$B$6:$D$6)</f>
        <v>0.35210897091999</v>
      </c>
      <c r="H2113" s="0" t="n">
        <f aca="false">SQRT(SUMPRODUCT(MMULT(D2113:F2113,Stats!$B$12:$D$14),D2113:F2113))</f>
        <v>0.226752812113306</v>
      </c>
      <c r="I2113" s="0" t="n">
        <f aca="false">(G2113-Stats!$B$2)/H2113</f>
        <v>1.36760804873737</v>
      </c>
    </row>
    <row r="2114" customFormat="false" ht="15" hidden="false" customHeight="false" outlineLevel="0" collapsed="false">
      <c r="A2114" s="0" t="n">
        <v>0.168236579108492</v>
      </c>
      <c r="B2114" s="0" t="n">
        <v>0.18993474366102</v>
      </c>
      <c r="C2114" s="0" t="n">
        <v>0.460712171348276</v>
      </c>
      <c r="D2114" s="0" t="n">
        <f aca="false">A2114/SUM($A2114:$C2114)</f>
        <v>0.205446294029579</v>
      </c>
      <c r="E2114" s="0" t="n">
        <f aca="false">B2114/SUM($A2114:$C2114)</f>
        <v>0.231943548777526</v>
      </c>
      <c r="F2114" s="0" t="n">
        <f aca="false">C2114/SUM($A2114:$C2114)</f>
        <v>0.562610157192895</v>
      </c>
      <c r="G2114" s="0" t="n">
        <f aca="false">SUMPRODUCT(D2114:F2114,Stats!$B$6:$D$6)</f>
        <v>0.354315677360974</v>
      </c>
      <c r="H2114" s="0" t="n">
        <f aca="false">SQRT(SUMPRODUCT(MMULT(D2114:F2114,Stats!$B$12:$D$14),D2114:F2114))</f>
        <v>0.232753159534849</v>
      </c>
      <c r="I2114" s="0" t="n">
        <f aca="false">(G2114-Stats!$B$2)/H2114</f>
        <v>1.34183217097946</v>
      </c>
    </row>
    <row r="2115" customFormat="false" ht="15" hidden="false" customHeight="false" outlineLevel="0" collapsed="false">
      <c r="A2115" s="0" t="n">
        <v>0.286279862111941</v>
      </c>
      <c r="B2115" s="0" t="n">
        <v>0.247462981233146</v>
      </c>
      <c r="C2115" s="0" t="n">
        <v>0.645237644553332</v>
      </c>
      <c r="D2115" s="0" t="n">
        <f aca="false">A2115/SUM($A2115:$C2115)</f>
        <v>0.242819847360024</v>
      </c>
      <c r="E2115" s="0" t="n">
        <f aca="false">B2115/SUM($A2115:$C2115)</f>
        <v>0.209895739389427</v>
      </c>
      <c r="F2115" s="0" t="n">
        <f aca="false">C2115/SUM($A2115:$C2115)</f>
        <v>0.547284413250549</v>
      </c>
      <c r="G2115" s="0" t="n">
        <f aca="false">SUMPRODUCT(D2115:F2115,Stats!$B$6:$D$6)</f>
        <v>0.353469676439324</v>
      </c>
      <c r="H2115" s="0" t="n">
        <f aca="false">SQRT(SUMPRODUCT(MMULT(D2115:F2115,Stats!$B$12:$D$14),D2115:F2115))</f>
        <v>0.230923152372762</v>
      </c>
      <c r="I2115" s="0" t="n">
        <f aca="false">(G2115-Stats!$B$2)/H2115</f>
        <v>1.34880228872219</v>
      </c>
    </row>
    <row r="2116" customFormat="false" ht="15" hidden="false" customHeight="false" outlineLevel="0" collapsed="false">
      <c r="A2116" s="0" t="n">
        <v>0.650971745218545</v>
      </c>
      <c r="B2116" s="0" t="n">
        <v>0.824517069799929</v>
      </c>
      <c r="C2116" s="0" t="n">
        <v>0.417708566972976</v>
      </c>
      <c r="D2116" s="0" t="n">
        <f aca="false">A2116/SUM($A2116:$C2116)</f>
        <v>0.343847794958278</v>
      </c>
      <c r="E2116" s="0" t="n">
        <f aca="false">B2116/SUM($A2116:$C2116)</f>
        <v>0.435515640177266</v>
      </c>
      <c r="F2116" s="0" t="n">
        <f aca="false">C2116/SUM($A2116:$C2116)</f>
        <v>0.220636564864457</v>
      </c>
      <c r="G2116" s="0" t="n">
        <f aca="false">SUMPRODUCT(D2116:F2116,Stats!$B$6:$D$6)</f>
        <v>0.375458742300411</v>
      </c>
      <c r="H2116" s="0" t="n">
        <f aca="false">SQRT(SUMPRODUCT(MMULT(D2116:F2116,Stats!$B$12:$D$14),D2116:F2116))</f>
        <v>0.227398516172817</v>
      </c>
      <c r="I2116" s="0" t="n">
        <f aca="false">(G2116-Stats!$B$2)/H2116</f>
        <v>1.4664068522197</v>
      </c>
    </row>
    <row r="2117" customFormat="false" ht="15" hidden="false" customHeight="false" outlineLevel="0" collapsed="false">
      <c r="A2117" s="0" t="n">
        <v>0.0730850910261502</v>
      </c>
      <c r="B2117" s="0" t="n">
        <v>0.273666384921458</v>
      </c>
      <c r="C2117" s="0" t="n">
        <v>0.980005463196817</v>
      </c>
      <c r="D2117" s="0" t="n">
        <f aca="false">A2117/SUM($A2117:$C2117)</f>
        <v>0.0550855163216859</v>
      </c>
      <c r="E2117" s="0" t="n">
        <f aca="false">B2117/SUM($A2117:$C2117)</f>
        <v>0.20626715930194</v>
      </c>
      <c r="F2117" s="0" t="n">
        <f aca="false">C2117/SUM($A2117:$C2117)</f>
        <v>0.738647324376374</v>
      </c>
      <c r="G2117" s="0" t="n">
        <f aca="false">SUMPRODUCT(D2117:F2117,Stats!$B$6:$D$6)</f>
        <v>0.34798413396522</v>
      </c>
      <c r="H2117" s="0" t="n">
        <f aca="false">SQRT(SUMPRODUCT(MMULT(D2117:F2117,Stats!$B$12:$D$14),D2117:F2117))</f>
        <v>0.244751558492899</v>
      </c>
      <c r="I2117" s="0" t="n">
        <f aca="false">(G2117-Stats!$B$2)/H2117</f>
        <v>1.2501825763618</v>
      </c>
    </row>
    <row r="2118" customFormat="false" ht="15" hidden="false" customHeight="false" outlineLevel="0" collapsed="false">
      <c r="A2118" s="0" t="n">
        <v>0.596258575232702</v>
      </c>
      <c r="B2118" s="0" t="n">
        <v>0.70973708480102</v>
      </c>
      <c r="C2118" s="0" t="n">
        <v>0.00735782962541454</v>
      </c>
      <c r="D2118" s="0" t="n">
        <f aca="false">A2118/SUM($A2118:$C2118)</f>
        <v>0.453997023594503</v>
      </c>
      <c r="E2118" s="0" t="n">
        <f aca="false">B2118/SUM($A2118:$C2118)</f>
        <v>0.54040065404267</v>
      </c>
      <c r="F2118" s="0" t="n">
        <f aca="false">C2118/SUM($A2118:$C2118)</f>
        <v>0.00560232236282721</v>
      </c>
      <c r="G2118" s="0" t="n">
        <f aca="false">SUMPRODUCT(D2118:F2118,Stats!$B$6:$D$6)</f>
        <v>0.387423176778674</v>
      </c>
      <c r="H2118" s="0" t="n">
        <f aca="false">SQRT(SUMPRODUCT(MMULT(D2118:F2118,Stats!$B$12:$D$14),D2118:F2118))</f>
        <v>0.230596775247123</v>
      </c>
      <c r="I2118" s="0" t="n">
        <f aca="false">(G2118-Stats!$B$2)/H2118</f>
        <v>1.49795319734413</v>
      </c>
    </row>
    <row r="2119" customFormat="false" ht="15" hidden="false" customHeight="false" outlineLevel="0" collapsed="false">
      <c r="A2119" s="0" t="n">
        <v>0.518205732182521</v>
      </c>
      <c r="B2119" s="0" t="n">
        <v>0.0375286575318031</v>
      </c>
      <c r="C2119" s="0" t="n">
        <v>0.569230212091448</v>
      </c>
      <c r="D2119" s="0" t="n">
        <f aca="false">A2119/SUM($A2119:$C2119)</f>
        <v>0.460641811618523</v>
      </c>
      <c r="E2119" s="0" t="n">
        <f aca="false">B2119/SUM($A2119:$C2119)</f>
        <v>0.0333598563648695</v>
      </c>
      <c r="F2119" s="0" t="n">
        <f aca="false">C2119/SUM($A2119:$C2119)</f>
        <v>0.505998332016608</v>
      </c>
      <c r="G2119" s="0" t="n">
        <f aca="false">SUMPRODUCT(D2119:F2119,Stats!$B$6:$D$6)</f>
        <v>0.344450478026577</v>
      </c>
      <c r="H2119" s="0" t="n">
        <f aca="false">SQRT(SUMPRODUCT(MMULT(D2119:F2119,Stats!$B$12:$D$14),D2119:F2119))</f>
        <v>0.224167710580108</v>
      </c>
      <c r="I2119" s="0" t="n">
        <f aca="false">(G2119-Stats!$B$2)/H2119</f>
        <v>1.34921518020542</v>
      </c>
    </row>
    <row r="2120" customFormat="false" ht="15" hidden="false" customHeight="false" outlineLevel="0" collapsed="false">
      <c r="A2120" s="0" t="n">
        <v>0.920770849636075</v>
      </c>
      <c r="B2120" s="0" t="n">
        <v>0.968419130500408</v>
      </c>
      <c r="C2120" s="0" t="n">
        <v>0.540552675388924</v>
      </c>
      <c r="D2120" s="0" t="n">
        <f aca="false">A2120/SUM($A2120:$C2120)</f>
        <v>0.378958177954434</v>
      </c>
      <c r="E2120" s="0" t="n">
        <f aca="false">B2120/SUM($A2120:$C2120)</f>
        <v>0.398568600793238</v>
      </c>
      <c r="F2120" s="0" t="n">
        <f aca="false">C2120/SUM($A2120:$C2120)</f>
        <v>0.222473221252329</v>
      </c>
      <c r="G2120" s="0" t="n">
        <f aca="false">SUMPRODUCT(D2120:F2120,Stats!$B$6:$D$6)</f>
        <v>0.373282212380391</v>
      </c>
      <c r="H2120" s="0" t="n">
        <f aca="false">SQRT(SUMPRODUCT(MMULT(D2120:F2120,Stats!$B$12:$D$14),D2120:F2120))</f>
        <v>0.226163925782887</v>
      </c>
      <c r="I2120" s="0" t="n">
        <f aca="false">(G2120-Stats!$B$2)/H2120</f>
        <v>1.46478803475677</v>
      </c>
    </row>
    <row r="2121" customFormat="false" ht="15" hidden="false" customHeight="false" outlineLevel="0" collapsed="false">
      <c r="A2121" s="0" t="n">
        <v>0.458204805252216</v>
      </c>
      <c r="B2121" s="0" t="n">
        <v>0.945017094248494</v>
      </c>
      <c r="C2121" s="0" t="n">
        <v>0.673609831996695</v>
      </c>
      <c r="D2121" s="0" t="n">
        <f aca="false">A2121/SUM($A2121:$C2121)</f>
        <v>0.220626831872339</v>
      </c>
      <c r="E2121" s="0" t="n">
        <f aca="false">B2121/SUM($A2121:$C2121)</f>
        <v>0.455028243220808</v>
      </c>
      <c r="F2121" s="0" t="n">
        <f aca="false">C2121/SUM($A2121:$C2121)</f>
        <v>0.324344924906853</v>
      </c>
      <c r="G2121" s="0" t="n">
        <f aca="false">SUMPRODUCT(D2121:F2121,Stats!$B$6:$D$6)</f>
        <v>0.373721754085032</v>
      </c>
      <c r="H2121" s="0" t="n">
        <f aca="false">SQRT(SUMPRODUCT(MMULT(D2121:F2121,Stats!$B$12:$D$14),D2121:F2121))</f>
        <v>0.231053057768362</v>
      </c>
      <c r="I2121" s="0" t="n">
        <f aca="false">(G2121-Stats!$B$2)/H2121</f>
        <v>1.43569514850391</v>
      </c>
    </row>
    <row r="2122" customFormat="false" ht="15" hidden="false" customHeight="false" outlineLevel="0" collapsed="false">
      <c r="A2122" s="0" t="n">
        <v>0.0648992795384095</v>
      </c>
      <c r="B2122" s="0" t="n">
        <v>0.465725577667498</v>
      </c>
      <c r="C2122" s="0" t="n">
        <v>0.240245018464304</v>
      </c>
      <c r="D2122" s="0" t="n">
        <f aca="false">A2122/SUM($A2122:$C2122)</f>
        <v>0.0841896688231391</v>
      </c>
      <c r="E2122" s="0" t="n">
        <f aca="false">B2122/SUM($A2122:$C2122)</f>
        <v>0.604155892409968</v>
      </c>
      <c r="F2122" s="0" t="n">
        <f aca="false">C2122/SUM($A2122:$C2122)</f>
        <v>0.311654438766893</v>
      </c>
      <c r="G2122" s="0" t="n">
        <f aca="false">SUMPRODUCT(D2122:F2122,Stats!$B$6:$D$6)</f>
        <v>0.382652301281528</v>
      </c>
      <c r="H2122" s="0" t="n">
        <f aca="false">SQRT(SUMPRODUCT(MMULT(D2122:F2122,Stats!$B$12:$D$14),D2122:F2122))</f>
        <v>0.238746881058435</v>
      </c>
      <c r="I2122" s="0" t="n">
        <f aca="false">(G2122-Stats!$B$2)/H2122</f>
        <v>1.42683456123622</v>
      </c>
    </row>
    <row r="2123" customFormat="false" ht="15" hidden="false" customHeight="false" outlineLevel="0" collapsed="false">
      <c r="A2123" s="0" t="n">
        <v>0.469804321448682</v>
      </c>
      <c r="B2123" s="0" t="n">
        <v>0.455465572006362</v>
      </c>
      <c r="C2123" s="0" t="n">
        <v>0.582144802814742</v>
      </c>
      <c r="D2123" s="0" t="n">
        <f aca="false">A2123/SUM($A2123:$C2123)</f>
        <v>0.311662293469242</v>
      </c>
      <c r="E2123" s="0" t="n">
        <f aca="false">B2123/SUM($A2123:$C2123)</f>
        <v>0.302150146959192</v>
      </c>
      <c r="F2123" s="0" t="n">
        <f aca="false">C2123/SUM($A2123:$C2123)</f>
        <v>0.386187559571566</v>
      </c>
      <c r="G2123" s="0" t="n">
        <f aca="false">SUMPRODUCT(D2123:F2123,Stats!$B$6:$D$6)</f>
        <v>0.363220059427435</v>
      </c>
      <c r="H2123" s="0" t="n">
        <f aca="false">SQRT(SUMPRODUCT(MMULT(D2123:F2123,Stats!$B$12:$D$14),D2123:F2123))</f>
        <v>0.226910352897433</v>
      </c>
      <c r="I2123" s="0" t="n">
        <f aca="false">(G2123-Stats!$B$2)/H2123</f>
        <v>1.41562540151102</v>
      </c>
    </row>
    <row r="2124" customFormat="false" ht="15" hidden="false" customHeight="false" outlineLevel="0" collapsed="false">
      <c r="A2124" s="0" t="n">
        <v>0.356770490349251</v>
      </c>
      <c r="B2124" s="0" t="n">
        <v>0.164270449455928</v>
      </c>
      <c r="C2124" s="0" t="n">
        <v>0.503719434589956</v>
      </c>
      <c r="D2124" s="0" t="n">
        <f aca="false">A2124/SUM($A2124:$C2124)</f>
        <v>0.348150161992588</v>
      </c>
      <c r="E2124" s="0" t="n">
        <f aca="false">B2124/SUM($A2124:$C2124)</f>
        <v>0.160301328545114</v>
      </c>
      <c r="F2124" s="0" t="n">
        <f aca="false">C2124/SUM($A2124:$C2124)</f>
        <v>0.491548509462299</v>
      </c>
      <c r="G2124" s="0" t="n">
        <f aca="false">SUMPRODUCT(D2124:F2124,Stats!$B$6:$D$6)</f>
        <v>0.352152974337937</v>
      </c>
      <c r="H2124" s="0" t="n">
        <f aca="false">SQRT(SUMPRODUCT(MMULT(D2124:F2124,Stats!$B$12:$D$14),D2124:F2124))</f>
        <v>0.226425528708503</v>
      </c>
      <c r="I2124" s="0" t="n">
        <f aca="false">(G2124-Stats!$B$2)/H2124</f>
        <v>1.36977917687552</v>
      </c>
    </row>
    <row r="2125" customFormat="false" ht="15" hidden="false" customHeight="false" outlineLevel="0" collapsed="false">
      <c r="A2125" s="0" t="n">
        <v>0.830202884345762</v>
      </c>
      <c r="B2125" s="0" t="n">
        <v>0.664012228067602</v>
      </c>
      <c r="C2125" s="0" t="n">
        <v>0.338367865925216</v>
      </c>
      <c r="D2125" s="0" t="n">
        <f aca="false">A2125/SUM($A2125:$C2125)</f>
        <v>0.453023352371429</v>
      </c>
      <c r="E2125" s="0" t="n">
        <f aca="false">B2125/SUM($A2125:$C2125)</f>
        <v>0.362336786882958</v>
      </c>
      <c r="F2125" s="0" t="n">
        <f aca="false">C2125/SUM($A2125:$C2125)</f>
        <v>0.184639860745613</v>
      </c>
      <c r="G2125" s="0" t="n">
        <f aca="false">SUMPRODUCT(D2125:F2125,Stats!$B$6:$D$6)</f>
        <v>0.37224072106641</v>
      </c>
      <c r="H2125" s="0" t="n">
        <f aca="false">SQRT(SUMPRODUCT(MMULT(D2125:F2125,Stats!$B$12:$D$14),D2125:F2125))</f>
        <v>0.22484444311494</v>
      </c>
      <c r="I2125" s="0" t="n">
        <f aca="false">(G2125-Stats!$B$2)/H2125</f>
        <v>1.46875198021946</v>
      </c>
    </row>
    <row r="2126" customFormat="false" ht="15" hidden="false" customHeight="false" outlineLevel="0" collapsed="false">
      <c r="A2126" s="0" t="n">
        <v>0.935523022758857</v>
      </c>
      <c r="B2126" s="0" t="n">
        <v>0.912207571249182</v>
      </c>
      <c r="C2126" s="0" t="n">
        <v>0.209348399384099</v>
      </c>
      <c r="D2126" s="0" t="n">
        <f aca="false">A2126/SUM($A2126:$C2126)</f>
        <v>0.454782254723321</v>
      </c>
      <c r="E2126" s="0" t="n">
        <f aca="false">B2126/SUM($A2126:$C2126)</f>
        <v>0.443448002813419</v>
      </c>
      <c r="F2126" s="0" t="n">
        <f aca="false">C2126/SUM($A2126:$C2126)</f>
        <v>0.101769742463259</v>
      </c>
      <c r="G2126" s="0" t="n">
        <f aca="false">SUMPRODUCT(D2126:F2126,Stats!$B$6:$D$6)</f>
        <v>0.379192867088969</v>
      </c>
      <c r="H2126" s="0" t="n">
        <f aca="false">SQRT(SUMPRODUCT(MMULT(D2126:F2126,Stats!$B$12:$D$14),D2126:F2126))</f>
        <v>0.227004558120514</v>
      </c>
      <c r="I2126" s="0" t="n">
        <f aca="false">(G2126-Stats!$B$2)/H2126</f>
        <v>1.48540130595068</v>
      </c>
    </row>
    <row r="2127" customFormat="false" ht="15" hidden="false" customHeight="false" outlineLevel="0" collapsed="false">
      <c r="A2127" s="0" t="n">
        <v>0.039417585120363</v>
      </c>
      <c r="B2127" s="0" t="n">
        <v>0.741308708350762</v>
      </c>
      <c r="C2127" s="0" t="n">
        <v>0.827610261349153</v>
      </c>
      <c r="D2127" s="0" t="n">
        <f aca="false">A2127/SUM($A2127:$C2127)</f>
        <v>0.0245082939899775</v>
      </c>
      <c r="E2127" s="0" t="n">
        <f aca="false">B2127/SUM($A2127:$C2127)</f>
        <v>0.460916408402841</v>
      </c>
      <c r="F2127" s="0" t="n">
        <f aca="false">C2127/SUM($A2127:$C2127)</f>
        <v>0.514575297607181</v>
      </c>
      <c r="G2127" s="0" t="n">
        <f aca="false">SUMPRODUCT(D2127:F2127,Stats!$B$6:$D$6)</f>
        <v>0.368815022127939</v>
      </c>
      <c r="H2127" s="0" t="n">
        <f aca="false">SQRT(SUMPRODUCT(MMULT(D2127:F2127,Stats!$B$12:$D$14),D2127:F2127))</f>
        <v>0.24186431524768</v>
      </c>
      <c r="I2127" s="0" t="n">
        <f aca="false">(G2127-Stats!$B$2)/H2127</f>
        <v>1.35123290839025</v>
      </c>
    </row>
    <row r="2128" customFormat="false" ht="15" hidden="false" customHeight="false" outlineLevel="0" collapsed="false">
      <c r="A2128" s="0" t="n">
        <v>0.967864565951355</v>
      </c>
      <c r="B2128" s="0" t="n">
        <v>0.889836394088311</v>
      </c>
      <c r="C2128" s="0" t="n">
        <v>0.600534768206415</v>
      </c>
      <c r="D2128" s="0" t="n">
        <f aca="false">A2128/SUM($A2128:$C2128)</f>
        <v>0.393723252343222</v>
      </c>
      <c r="E2128" s="0" t="n">
        <f aca="false">B2128/SUM($A2128:$C2128)</f>
        <v>0.361981718784633</v>
      </c>
      <c r="F2128" s="0" t="n">
        <f aca="false">C2128/SUM($A2128:$C2128)</f>
        <v>0.244295028872145</v>
      </c>
      <c r="G2128" s="0" t="n">
        <f aca="false">SUMPRODUCT(D2128:F2128,Stats!$B$6:$D$6)</f>
        <v>0.370575322591083</v>
      </c>
      <c r="H2128" s="0" t="n">
        <f aca="false">SQRT(SUMPRODUCT(MMULT(D2128:F2128,Stats!$B$12:$D$14),D2128:F2128))</f>
        <v>0.225331447059027</v>
      </c>
      <c r="I2128" s="0" t="n">
        <f aca="false">(G2128-Stats!$B$2)/H2128</f>
        <v>1.45818671507936</v>
      </c>
    </row>
    <row r="2129" customFormat="false" ht="15" hidden="false" customHeight="false" outlineLevel="0" collapsed="false">
      <c r="A2129" s="0" t="n">
        <v>0.530052339212381</v>
      </c>
      <c r="B2129" s="0" t="n">
        <v>0.0278410512625863</v>
      </c>
      <c r="C2129" s="0" t="n">
        <v>0.246656446844778</v>
      </c>
      <c r="D2129" s="0" t="n">
        <f aca="false">A2129/SUM($A2129:$C2129)</f>
        <v>0.658818527610648</v>
      </c>
      <c r="E2129" s="0" t="n">
        <f aca="false">B2129/SUM($A2129:$C2129)</f>
        <v>0.0346045079759573</v>
      </c>
      <c r="F2129" s="0" t="n">
        <f aca="false">C2129/SUM($A2129:$C2129)</f>
        <v>0.306576964413395</v>
      </c>
      <c r="G2129" s="0" t="n">
        <f aca="false">SUMPRODUCT(D2129:F2129,Stats!$B$6:$D$6)</f>
        <v>0.350021061179526</v>
      </c>
      <c r="H2129" s="0" t="n">
        <f aca="false">SQRT(SUMPRODUCT(MMULT(D2129:F2129,Stats!$B$12:$D$14),D2129:F2129))</f>
        <v>0.221377595462868</v>
      </c>
      <c r="I2129" s="0" t="n">
        <f aca="false">(G2129-Stats!$B$2)/H2129</f>
        <v>1.39138317287935</v>
      </c>
    </row>
    <row r="2130" customFormat="false" ht="15" hidden="false" customHeight="false" outlineLevel="0" collapsed="false">
      <c r="A2130" s="0" t="n">
        <v>0.459614751732926</v>
      </c>
      <c r="B2130" s="0" t="n">
        <v>0.628503900083568</v>
      </c>
      <c r="C2130" s="0" t="n">
        <v>0.557251833318411</v>
      </c>
      <c r="D2130" s="0" t="n">
        <f aca="false">A2130/SUM($A2130:$C2130)</f>
        <v>0.279338152644231</v>
      </c>
      <c r="E2130" s="0" t="n">
        <f aca="false">B2130/SUM($A2130:$C2130)</f>
        <v>0.381983210323623</v>
      </c>
      <c r="F2130" s="0" t="n">
        <f aca="false">C2130/SUM($A2130:$C2130)</f>
        <v>0.338678637032146</v>
      </c>
      <c r="G2130" s="0" t="n">
        <f aca="false">SUMPRODUCT(D2130:F2130,Stats!$B$6:$D$6)</f>
        <v>0.369123590833644</v>
      </c>
      <c r="H2130" s="0" t="n">
        <f aca="false">SQRT(SUMPRODUCT(MMULT(D2130:F2130,Stats!$B$12:$D$14),D2130:F2130))</f>
        <v>0.228324360213156</v>
      </c>
      <c r="I2130" s="0" t="n">
        <f aca="false">(G2130-Stats!$B$2)/H2130</f>
        <v>1.43271436533646</v>
      </c>
    </row>
    <row r="2131" customFormat="false" ht="15" hidden="false" customHeight="false" outlineLevel="0" collapsed="false">
      <c r="A2131" s="0" t="n">
        <v>0.742635989681691</v>
      </c>
      <c r="B2131" s="0" t="n">
        <v>0.279766930887041</v>
      </c>
      <c r="C2131" s="0" t="n">
        <v>0.564952607652473</v>
      </c>
      <c r="D2131" s="0" t="n">
        <f aca="false">A2131/SUM($A2131:$C2131)</f>
        <v>0.467844774833708</v>
      </c>
      <c r="E2131" s="0" t="n">
        <f aca="false">B2131/SUM($A2131:$C2131)</f>
        <v>0.176247177089904</v>
      </c>
      <c r="F2131" s="0" t="n">
        <f aca="false">C2131/SUM($A2131:$C2131)</f>
        <v>0.355908048076388</v>
      </c>
      <c r="G2131" s="0" t="n">
        <f aca="false">SUMPRODUCT(D2131:F2131,Stats!$B$6:$D$6)</f>
        <v>0.356810711377548</v>
      </c>
      <c r="H2131" s="0" t="n">
        <f aca="false">SQRT(SUMPRODUCT(MMULT(D2131:F2131,Stats!$B$12:$D$14),D2131:F2131))</f>
        <v>0.222666523787005</v>
      </c>
      <c r="I2131" s="0" t="n">
        <f aca="false">(G2131-Stats!$B$2)/H2131</f>
        <v>1.41382146729288</v>
      </c>
    </row>
    <row r="2132" customFormat="false" ht="15" hidden="false" customHeight="false" outlineLevel="0" collapsed="false">
      <c r="A2132" s="0" t="n">
        <v>0.0881422433907921</v>
      </c>
      <c r="B2132" s="0" t="n">
        <v>0.413665523583207</v>
      </c>
      <c r="C2132" s="0" t="n">
        <v>0.750160832954601</v>
      </c>
      <c r="D2132" s="0" t="n">
        <f aca="false">A2132/SUM($A2132:$C2132)</f>
        <v>0.0704029185682603</v>
      </c>
      <c r="E2132" s="0" t="n">
        <f aca="false">B2132/SUM($A2132:$C2132)</f>
        <v>0.330412059541109</v>
      </c>
      <c r="F2132" s="0" t="n">
        <f aca="false">C2132/SUM($A2132:$C2132)</f>
        <v>0.599185021890631</v>
      </c>
      <c r="G2132" s="0" t="n">
        <f aca="false">SUMPRODUCT(D2132:F2132,Stats!$B$6:$D$6)</f>
        <v>0.358972890198404</v>
      </c>
      <c r="H2132" s="0" t="n">
        <f aca="false">SQRT(SUMPRODUCT(MMULT(D2132:F2132,Stats!$B$12:$D$14),D2132:F2132))</f>
        <v>0.240219842644562</v>
      </c>
      <c r="I2132" s="0" t="n">
        <f aca="false">(G2132-Stats!$B$2)/H2132</f>
        <v>1.31951168858024</v>
      </c>
    </row>
    <row r="2133" customFormat="false" ht="15" hidden="false" customHeight="false" outlineLevel="0" collapsed="false">
      <c r="A2133" s="0" t="n">
        <v>0.693400853429044</v>
      </c>
      <c r="B2133" s="0" t="n">
        <v>0.990642737172179</v>
      </c>
      <c r="C2133" s="0" t="n">
        <v>0.277891125987756</v>
      </c>
      <c r="D2133" s="0" t="n">
        <f aca="false">A2133/SUM($A2133:$C2133)</f>
        <v>0.353427077652508</v>
      </c>
      <c r="E2133" s="0" t="n">
        <f aca="false">B2133/SUM($A2133:$C2133)</f>
        <v>0.50493154986039</v>
      </c>
      <c r="F2133" s="0" t="n">
        <f aca="false">C2133/SUM($A2133:$C2133)</f>
        <v>0.141641372487102</v>
      </c>
      <c r="G2133" s="0" t="n">
        <f aca="false">SUMPRODUCT(D2133:F2133,Stats!$B$6:$D$6)</f>
        <v>0.381631105946981</v>
      </c>
      <c r="H2133" s="0" t="n">
        <f aca="false">SQRT(SUMPRODUCT(MMULT(D2133:F2133,Stats!$B$12:$D$14),D2133:F2133))</f>
        <v>0.228970284266182</v>
      </c>
      <c r="I2133" s="0" t="n">
        <f aca="false">(G2133-Stats!$B$2)/H2133</f>
        <v>1.48329774335326</v>
      </c>
    </row>
    <row r="2134" customFormat="false" ht="15" hidden="false" customHeight="false" outlineLevel="0" collapsed="false">
      <c r="A2134" s="0" t="n">
        <v>0.498189299173979</v>
      </c>
      <c r="B2134" s="0" t="n">
        <v>0.329530413773997</v>
      </c>
      <c r="C2134" s="0" t="n">
        <v>0.440603114059175</v>
      </c>
      <c r="D2134" s="0" t="n">
        <f aca="false">A2134/SUM($A2134:$C2134)</f>
        <v>0.392793765566415</v>
      </c>
      <c r="E2134" s="0" t="n">
        <f aca="false">B2134/SUM($A2134:$C2134)</f>
        <v>0.259815881853665</v>
      </c>
      <c r="F2134" s="0" t="n">
        <f aca="false">C2134/SUM($A2134:$C2134)</f>
        <v>0.34739035257992</v>
      </c>
      <c r="G2134" s="0" t="n">
        <f aca="false">SUMPRODUCT(D2134:F2134,Stats!$B$6:$D$6)</f>
        <v>0.361854018666034</v>
      </c>
      <c r="H2134" s="0" t="n">
        <f aca="false">SQRT(SUMPRODUCT(MMULT(D2134:F2134,Stats!$B$12:$D$14),D2134:F2134))</f>
        <v>0.224392707282896</v>
      </c>
      <c r="I2134" s="0" t="n">
        <f aca="false">(G2134-Stats!$B$2)/H2134</f>
        <v>1.4254207391098</v>
      </c>
    </row>
    <row r="2135" customFormat="false" ht="15" hidden="false" customHeight="false" outlineLevel="0" collapsed="false">
      <c r="A2135" s="0" t="n">
        <v>0.856950129869388</v>
      </c>
      <c r="B2135" s="0" t="n">
        <v>0.684209075188487</v>
      </c>
      <c r="C2135" s="0" t="n">
        <v>0.882441191347582</v>
      </c>
      <c r="D2135" s="0" t="n">
        <f aca="false">A2135/SUM($A2135:$C2135)</f>
        <v>0.353585570930079</v>
      </c>
      <c r="E2135" s="0" t="n">
        <f aca="false">B2135/SUM($A2135:$C2135)</f>
        <v>0.28231100977012</v>
      </c>
      <c r="F2135" s="0" t="n">
        <f aca="false">C2135/SUM($A2135:$C2135)</f>
        <v>0.364103419299802</v>
      </c>
      <c r="G2135" s="0" t="n">
        <f aca="false">SUMPRODUCT(D2135:F2135,Stats!$B$6:$D$6)</f>
        <v>0.362687502824855</v>
      </c>
      <c r="H2135" s="0" t="n">
        <f aca="false">SQRT(SUMPRODUCT(MMULT(D2135:F2135,Stats!$B$12:$D$14),D2135:F2135))</f>
        <v>0.225512345162085</v>
      </c>
      <c r="I2135" s="0" t="n">
        <f aca="false">(G2135-Stats!$B$2)/H2135</f>
        <v>1.42203967855669</v>
      </c>
    </row>
    <row r="2136" customFormat="false" ht="15" hidden="false" customHeight="false" outlineLevel="0" collapsed="false">
      <c r="A2136" s="0" t="n">
        <v>0.203511108331887</v>
      </c>
      <c r="B2136" s="0" t="n">
        <v>0.873361117841438</v>
      </c>
      <c r="C2136" s="0" t="n">
        <v>0.0597622741783844</v>
      </c>
      <c r="D2136" s="0" t="n">
        <f aca="false">A2136/SUM($A2136:$C2136)</f>
        <v>0.179047097610458</v>
      </c>
      <c r="E2136" s="0" t="n">
        <f aca="false">B2136/SUM($A2136:$C2136)</f>
        <v>0.768374633684965</v>
      </c>
      <c r="F2136" s="0" t="n">
        <f aca="false">C2136/SUM($A2136:$C2136)</f>
        <v>0.0525782687045767</v>
      </c>
      <c r="G2136" s="0" t="n">
        <f aca="false">SUMPRODUCT(D2136:F2136,Stats!$B$6:$D$6)</f>
        <v>0.399245160853868</v>
      </c>
      <c r="H2136" s="0" t="n">
        <f aca="false">SQRT(SUMPRODUCT(MMULT(D2136:F2136,Stats!$B$12:$D$14),D2136:F2136))</f>
        <v>0.240378312975893</v>
      </c>
      <c r="I2136" s="0" t="n">
        <f aca="false">(G2136-Stats!$B$2)/H2136</f>
        <v>1.4861788338189</v>
      </c>
    </row>
    <row r="2137" customFormat="false" ht="15" hidden="false" customHeight="false" outlineLevel="0" collapsed="false">
      <c r="A2137" s="0" t="n">
        <v>0.888599280437152</v>
      </c>
      <c r="B2137" s="0" t="n">
        <v>0.329073779460728</v>
      </c>
      <c r="C2137" s="0" t="n">
        <v>0.314587633414067</v>
      </c>
      <c r="D2137" s="0" t="n">
        <f aca="false">A2137/SUM($A2137:$C2137)</f>
        <v>0.579926956500114</v>
      </c>
      <c r="E2137" s="0" t="n">
        <f aca="false">B2137/SUM($A2137:$C2137)</f>
        <v>0.214763571823697</v>
      </c>
      <c r="F2137" s="0" t="n">
        <f aca="false">C2137/SUM($A2137:$C2137)</f>
        <v>0.205309471676189</v>
      </c>
      <c r="G2137" s="0" t="n">
        <f aca="false">SUMPRODUCT(D2137:F2137,Stats!$B$6:$D$6)</f>
        <v>0.363179592700714</v>
      </c>
      <c r="H2137" s="0" t="n">
        <f aca="false">SQRT(SUMPRODUCT(MMULT(D2137:F2137,Stats!$B$12:$D$14),D2137:F2137))</f>
        <v>0.222407634983835</v>
      </c>
      <c r="I2137" s="0" t="n">
        <f aca="false">(G2137-Stats!$B$2)/H2137</f>
        <v>1.44410326886511</v>
      </c>
    </row>
    <row r="2138" customFormat="false" ht="15" hidden="false" customHeight="false" outlineLevel="0" collapsed="false">
      <c r="A2138" s="0" t="n">
        <v>0.512088576698664</v>
      </c>
      <c r="B2138" s="0" t="n">
        <v>0.940690187723232</v>
      </c>
      <c r="C2138" s="0" t="n">
        <v>0.0477813646814054</v>
      </c>
      <c r="D2138" s="0" t="n">
        <f aca="false">A2138/SUM($A2138:$C2138)</f>
        <v>0.341264949512337</v>
      </c>
      <c r="E2138" s="0" t="n">
        <f aca="false">B2138/SUM($A2138:$C2138)</f>
        <v>0.626892697918987</v>
      </c>
      <c r="F2138" s="0" t="n">
        <f aca="false">C2138/SUM($A2138:$C2138)</f>
        <v>0.0318423525686761</v>
      </c>
      <c r="G2138" s="0" t="n">
        <f aca="false">SUMPRODUCT(D2138:F2138,Stats!$B$6:$D$6)</f>
        <v>0.391676258298375</v>
      </c>
      <c r="H2138" s="0" t="n">
        <f aca="false">SQRT(SUMPRODUCT(MMULT(D2138:F2138,Stats!$B$12:$D$14),D2138:F2138))</f>
        <v>0.233326107469078</v>
      </c>
      <c r="I2138" s="0" t="n">
        <f aca="false">(G2138-Stats!$B$2)/H2138</f>
        <v>1.49865894601921</v>
      </c>
    </row>
    <row r="2139" customFormat="false" ht="15" hidden="false" customHeight="false" outlineLevel="0" collapsed="false">
      <c r="A2139" s="0" t="n">
        <v>0.352230975070745</v>
      </c>
      <c r="B2139" s="0" t="n">
        <v>0.856571988683336</v>
      </c>
      <c r="C2139" s="0" t="n">
        <v>0.396054477435467</v>
      </c>
      <c r="D2139" s="0" t="n">
        <f aca="false">A2139/SUM($A2139:$C2139)</f>
        <v>0.219478045856625</v>
      </c>
      <c r="E2139" s="0" t="n">
        <f aca="false">B2139/SUM($A2139:$C2139)</f>
        <v>0.533737120007638</v>
      </c>
      <c r="F2139" s="0" t="n">
        <f aca="false">C2139/SUM($A2139:$C2139)</f>
        <v>0.246784834135738</v>
      </c>
      <c r="G2139" s="0" t="n">
        <f aca="false">SUMPRODUCT(D2139:F2139,Stats!$B$6:$D$6)</f>
        <v>0.380389250656274</v>
      </c>
      <c r="H2139" s="0" t="n">
        <f aca="false">SQRT(SUMPRODUCT(MMULT(D2139:F2139,Stats!$B$12:$D$14),D2139:F2139))</f>
        <v>0.232238773389194</v>
      </c>
      <c r="I2139" s="0" t="n">
        <f aca="false">(G2139-Stats!$B$2)/H2139</f>
        <v>1.45707474130166</v>
      </c>
    </row>
    <row r="2140" customFormat="false" ht="15" hidden="false" customHeight="false" outlineLevel="0" collapsed="false">
      <c r="A2140" s="0" t="n">
        <v>0.199156897597067</v>
      </c>
      <c r="B2140" s="0" t="n">
        <v>0.424794181331412</v>
      </c>
      <c r="C2140" s="0" t="n">
        <v>0.385552501491669</v>
      </c>
      <c r="D2140" s="0" t="n">
        <f aca="false">A2140/SUM($A2140:$C2140)</f>
        <v>0.197282012129347</v>
      </c>
      <c r="E2140" s="0" t="n">
        <f aca="false">B2140/SUM($A2140:$C2140)</f>
        <v>0.420795121058031</v>
      </c>
      <c r="F2140" s="0" t="n">
        <f aca="false">C2140/SUM($A2140:$C2140)</f>
        <v>0.381922866812622</v>
      </c>
      <c r="G2140" s="0" t="n">
        <f aca="false">SUMPRODUCT(D2140:F2140,Stats!$B$6:$D$6)</f>
        <v>0.370164334940438</v>
      </c>
      <c r="H2140" s="0" t="n">
        <f aca="false">SQRT(SUMPRODUCT(MMULT(D2140:F2140,Stats!$B$12:$D$14),D2140:F2140))</f>
        <v>0.231797209853999</v>
      </c>
      <c r="I2140" s="0" t="n">
        <f aca="false">(G2140-Stats!$B$2)/H2140</f>
        <v>1.41573893467974</v>
      </c>
    </row>
    <row r="2141" customFormat="false" ht="15" hidden="false" customHeight="false" outlineLevel="0" collapsed="false">
      <c r="A2141" s="0" t="n">
        <v>0.915416201466703</v>
      </c>
      <c r="B2141" s="0" t="n">
        <v>0.761934375743097</v>
      </c>
      <c r="C2141" s="0" t="n">
        <v>0.505115555744006</v>
      </c>
      <c r="D2141" s="0" t="n">
        <f aca="false">A2141/SUM($A2141:$C2141)</f>
        <v>0.419441194364723</v>
      </c>
      <c r="E2141" s="0" t="n">
        <f aca="false">B2141/SUM($A2141:$C2141)</f>
        <v>0.349116242510428</v>
      </c>
      <c r="F2141" s="0" t="n">
        <f aca="false">C2141/SUM($A2141:$C2141)</f>
        <v>0.231442563124849</v>
      </c>
      <c r="G2141" s="0" t="n">
        <f aca="false">SUMPRODUCT(D2141:F2141,Stats!$B$6:$D$6)</f>
        <v>0.370189461537388</v>
      </c>
      <c r="H2141" s="0" t="n">
        <f aca="false">SQRT(SUMPRODUCT(MMULT(D2141:F2141,Stats!$B$12:$D$14),D2141:F2141))</f>
        <v>0.224807679504486</v>
      </c>
      <c r="I2141" s="0" t="n">
        <f aca="false">(G2141-Stats!$B$2)/H2141</f>
        <v>1.4598676622648</v>
      </c>
    </row>
    <row r="2142" customFormat="false" ht="15" hidden="false" customHeight="false" outlineLevel="0" collapsed="false">
      <c r="A2142" s="0" t="n">
        <v>0.988370566721571</v>
      </c>
      <c r="B2142" s="0" t="n">
        <v>0.465277531275923</v>
      </c>
      <c r="C2142" s="0" t="n">
        <v>0.0582378308202752</v>
      </c>
      <c r="D2142" s="0" t="n">
        <f aca="false">A2142/SUM($A2142:$C2142)</f>
        <v>0.6537335574612</v>
      </c>
      <c r="E2142" s="0" t="n">
        <f aca="false">B2142/SUM($A2142:$C2142)</f>
        <v>0.307746452564547</v>
      </c>
      <c r="F2142" s="0" t="n">
        <f aca="false">C2142/SUM($A2142:$C2142)</f>
        <v>0.0385199899742534</v>
      </c>
      <c r="G2142" s="0" t="n">
        <f aca="false">SUMPRODUCT(D2142:F2142,Stats!$B$6:$D$6)</f>
        <v>0.373128863120479</v>
      </c>
      <c r="H2142" s="0" t="n">
        <f aca="false">SQRT(SUMPRODUCT(MMULT(D2142:F2142,Stats!$B$12:$D$14),D2142:F2142))</f>
        <v>0.226218531152258</v>
      </c>
      <c r="I2142" s="0" t="n">
        <f aca="false">(G2142-Stats!$B$2)/H2142</f>
        <v>1.46375657835746</v>
      </c>
    </row>
    <row r="2143" customFormat="false" ht="15" hidden="false" customHeight="false" outlineLevel="0" collapsed="false">
      <c r="A2143" s="0" t="n">
        <v>0.262274321814985</v>
      </c>
      <c r="B2143" s="0" t="n">
        <v>0.436070480219313</v>
      </c>
      <c r="C2143" s="0" t="n">
        <v>0.15690262414612</v>
      </c>
      <c r="D2143" s="0" t="n">
        <f aca="false">A2143/SUM($A2143:$C2143)</f>
        <v>0.306664847839784</v>
      </c>
      <c r="E2143" s="0" t="n">
        <f aca="false">B2143/SUM($A2143:$C2143)</f>
        <v>0.509876401694452</v>
      </c>
      <c r="F2143" s="0" t="n">
        <f aca="false">C2143/SUM($A2143:$C2143)</f>
        <v>0.183458750465764</v>
      </c>
      <c r="G2143" s="0" t="n">
        <f aca="false">SUMPRODUCT(D2143:F2143,Stats!$B$6:$D$6)</f>
        <v>0.380762528207564</v>
      </c>
      <c r="H2143" s="0" t="n">
        <f aca="false">SQRT(SUMPRODUCT(MMULT(D2143:F2143,Stats!$B$12:$D$14),D2143:F2143))</f>
        <v>0.229669429514729</v>
      </c>
      <c r="I2143" s="0" t="n">
        <f aca="false">(G2143-Stats!$B$2)/H2143</f>
        <v>1.47500052106778</v>
      </c>
    </row>
    <row r="2144" customFormat="false" ht="15" hidden="false" customHeight="false" outlineLevel="0" collapsed="false">
      <c r="A2144" s="0" t="n">
        <v>0.947565126324043</v>
      </c>
      <c r="B2144" s="0" t="n">
        <v>0.766848897817773</v>
      </c>
      <c r="C2144" s="0" t="n">
        <v>0.268287200427773</v>
      </c>
      <c r="D2144" s="0" t="n">
        <f aca="false">A2144/SUM($A2144:$C2144)</f>
        <v>0.477916246069674</v>
      </c>
      <c r="E2144" s="0" t="n">
        <f aca="false">B2144/SUM($A2144:$C2144)</f>
        <v>0.386769770611426</v>
      </c>
      <c r="F2144" s="0" t="n">
        <f aca="false">C2144/SUM($A2144:$C2144)</f>
        <v>0.1353139833189</v>
      </c>
      <c r="G2144" s="0" t="n">
        <f aca="false">SUMPRODUCT(D2144:F2144,Stats!$B$6:$D$6)</f>
        <v>0.375006705425465</v>
      </c>
      <c r="H2144" s="0" t="n">
        <f aca="false">SQRT(SUMPRODUCT(MMULT(D2144:F2144,Stats!$B$12:$D$14),D2144:F2144))</f>
        <v>0.225467342978636</v>
      </c>
      <c r="I2144" s="0" t="n">
        <f aca="false">(G2144-Stats!$B$2)/H2144</f>
        <v>1.47696203373017</v>
      </c>
    </row>
    <row r="2145" customFormat="false" ht="15" hidden="false" customHeight="false" outlineLevel="0" collapsed="false">
      <c r="A2145" s="0" t="n">
        <v>0.590804533517916</v>
      </c>
      <c r="B2145" s="0" t="n">
        <v>0.721449157109572</v>
      </c>
      <c r="C2145" s="0" t="n">
        <v>0.941278928906798</v>
      </c>
      <c r="D2145" s="0" t="n">
        <f aca="false">A2145/SUM($A2145:$C2145)</f>
        <v>0.262168174712293</v>
      </c>
      <c r="E2145" s="0" t="n">
        <f aca="false">B2145/SUM($A2145:$C2145)</f>
        <v>0.320141430772219</v>
      </c>
      <c r="F2145" s="0" t="n">
        <f aca="false">C2145/SUM($A2145:$C2145)</f>
        <v>0.417690394515488</v>
      </c>
      <c r="G2145" s="0" t="n">
        <f aca="false">SUMPRODUCT(D2145:F2145,Stats!$B$6:$D$6)</f>
        <v>0.363386576055422</v>
      </c>
      <c r="H2145" s="0" t="n">
        <f aca="false">SQRT(SUMPRODUCT(MMULT(D2145:F2145,Stats!$B$12:$D$14),D2145:F2145))</f>
        <v>0.228851757999643</v>
      </c>
      <c r="I2145" s="0" t="n">
        <f aca="false">(G2145-Stats!$B$2)/H2145</f>
        <v>1.40434392492595</v>
      </c>
    </row>
    <row r="2146" customFormat="false" ht="15" hidden="false" customHeight="false" outlineLevel="0" collapsed="false">
      <c r="A2146" s="0" t="n">
        <v>0.881635349175411</v>
      </c>
      <c r="B2146" s="0" t="n">
        <v>0.515192226138214</v>
      </c>
      <c r="C2146" s="0" t="n">
        <v>0.774652619793018</v>
      </c>
      <c r="D2146" s="0" t="n">
        <f aca="false">A2146/SUM($A2146:$C2146)</f>
        <v>0.406006626798691</v>
      </c>
      <c r="E2146" s="0" t="n">
        <f aca="false">B2146/SUM($A2146:$C2146)</f>
        <v>0.237253937336929</v>
      </c>
      <c r="F2146" s="0" t="n">
        <f aca="false">C2146/SUM($A2146:$C2146)</f>
        <v>0.35673943586438</v>
      </c>
      <c r="G2146" s="0" t="n">
        <f aca="false">SUMPRODUCT(D2146:F2146,Stats!$B$6:$D$6)</f>
        <v>0.360298036204172</v>
      </c>
      <c r="H2146" s="0" t="n">
        <f aca="false">SQRT(SUMPRODUCT(MMULT(D2146:F2146,Stats!$B$12:$D$14),D2146:F2146))</f>
        <v>0.224020637704761</v>
      </c>
      <c r="I2146" s="0" t="n">
        <f aca="false">(G2146-Stats!$B$2)/H2146</f>
        <v>1.42084246998556</v>
      </c>
    </row>
    <row r="2147" customFormat="false" ht="15" hidden="false" customHeight="false" outlineLevel="0" collapsed="false">
      <c r="A2147" s="0" t="n">
        <v>0.562144753827585</v>
      </c>
      <c r="B2147" s="0" t="n">
        <v>0.55270389004554</v>
      </c>
      <c r="C2147" s="0" t="n">
        <v>0.114741958338192</v>
      </c>
      <c r="D2147" s="0" t="n">
        <f aca="false">A2147/SUM($A2147:$C2147)</f>
        <v>0.457180424782537</v>
      </c>
      <c r="E2147" s="0" t="n">
        <f aca="false">B2147/SUM($A2147:$C2147)</f>
        <v>0.449502370180406</v>
      </c>
      <c r="F2147" s="0" t="n">
        <f aca="false">C2147/SUM($A2147:$C2147)</f>
        <v>0.093317205037057</v>
      </c>
      <c r="G2147" s="0" t="n">
        <f aca="false">SUMPRODUCT(D2147:F2147,Stats!$B$6:$D$6)</f>
        <v>0.379774303019761</v>
      </c>
      <c r="H2147" s="0" t="n">
        <f aca="false">SQRT(SUMPRODUCT(MMULT(D2147:F2147,Stats!$B$12:$D$14),D2147:F2147))</f>
        <v>0.227213426835899</v>
      </c>
      <c r="I2147" s="0" t="n">
        <f aca="false">(G2147-Stats!$B$2)/H2147</f>
        <v>1.48659481846429</v>
      </c>
    </row>
    <row r="2148" customFormat="false" ht="15" hidden="false" customHeight="false" outlineLevel="0" collapsed="false">
      <c r="A2148" s="0" t="n">
        <v>0.126137658016152</v>
      </c>
      <c r="B2148" s="0" t="n">
        <v>0.529533615022457</v>
      </c>
      <c r="C2148" s="0" t="n">
        <v>0.268861544979007</v>
      </c>
      <c r="D2148" s="0" t="n">
        <f aca="false">A2148/SUM($A2148:$C2148)</f>
        <v>0.136433943239156</v>
      </c>
      <c r="E2148" s="0" t="n">
        <f aca="false">B2148/SUM($A2148:$C2148)</f>
        <v>0.572758051096427</v>
      </c>
      <c r="F2148" s="0" t="n">
        <f aca="false">C2148/SUM($A2148:$C2148)</f>
        <v>0.290808005664417</v>
      </c>
      <c r="G2148" s="0" t="n">
        <f aca="false">SUMPRODUCT(D2148:F2148,Stats!$B$6:$D$6)</f>
        <v>0.381420542504619</v>
      </c>
      <c r="H2148" s="0" t="n">
        <f aca="false">SQRT(SUMPRODUCT(MMULT(D2148:F2148,Stats!$B$12:$D$14),D2148:F2148))</f>
        <v>0.235924960178178</v>
      </c>
      <c r="I2148" s="0" t="n">
        <f aca="false">(G2148-Stats!$B$2)/H2148</f>
        <v>1.43868008814446</v>
      </c>
    </row>
    <row r="2149" customFormat="false" ht="15" hidden="false" customHeight="false" outlineLevel="0" collapsed="false">
      <c r="A2149" s="0" t="n">
        <v>0.0210369024604686</v>
      </c>
      <c r="B2149" s="0" t="n">
        <v>0.722839203900212</v>
      </c>
      <c r="C2149" s="0" t="n">
        <v>0.032486596690165</v>
      </c>
      <c r="D2149" s="0" t="n">
        <f aca="false">A2149/SUM($A2149:$C2149)</f>
        <v>0.0270967453457007</v>
      </c>
      <c r="E2149" s="0" t="n">
        <f aca="false">B2149/SUM($A2149:$C2149)</f>
        <v>0.93105864186893</v>
      </c>
      <c r="F2149" s="0" t="n">
        <f aca="false">C2149/SUM($A2149:$C2149)</f>
        <v>0.0418446127853689</v>
      </c>
      <c r="G2149" s="0" t="n">
        <f aca="false">SUMPRODUCT(D2149:F2149,Stats!$B$6:$D$6)</f>
        <v>0.408901764560573</v>
      </c>
      <c r="H2149" s="0" t="n">
        <f aca="false">SQRT(SUMPRODUCT(MMULT(D2149:F2149,Stats!$B$12:$D$14),D2149:F2149))</f>
        <v>0.250673390774922</v>
      </c>
      <c r="I2149" s="0" t="n">
        <f aca="false">(G2149-Stats!$B$2)/H2149</f>
        <v>1.46366458532494</v>
      </c>
    </row>
    <row r="2150" customFormat="false" ht="15" hidden="false" customHeight="false" outlineLevel="0" collapsed="false">
      <c r="A2150" s="0" t="n">
        <v>0.595276841104055</v>
      </c>
      <c r="B2150" s="0" t="n">
        <v>0.539193794127314</v>
      </c>
      <c r="C2150" s="0" t="n">
        <v>0.968814690577804</v>
      </c>
      <c r="D2150" s="0" t="n">
        <f aca="false">A2150/SUM($A2150:$C2150)</f>
        <v>0.283022390637866</v>
      </c>
      <c r="E2150" s="0" t="n">
        <f aca="false">B2150/SUM($A2150:$C2150)</f>
        <v>0.256357892821734</v>
      </c>
      <c r="F2150" s="0" t="n">
        <f aca="false">C2150/SUM($A2150:$C2150)</f>
        <v>0.4606197165404</v>
      </c>
      <c r="G2150" s="0" t="n">
        <f aca="false">SUMPRODUCT(D2150:F2150,Stats!$B$6:$D$6)</f>
        <v>0.358532794291818</v>
      </c>
      <c r="H2150" s="0" t="n">
        <f aca="false">SQRT(SUMPRODUCT(MMULT(D2150:F2150,Stats!$B$12:$D$14),D2150:F2150))</f>
        <v>0.228258322475656</v>
      </c>
      <c r="I2150" s="0" t="n">
        <f aca="false">(G2150-Stats!$B$2)/H2150</f>
        <v>1.38673057288229</v>
      </c>
    </row>
    <row r="2151" customFormat="false" ht="15" hidden="false" customHeight="false" outlineLevel="0" collapsed="false">
      <c r="A2151" s="0" t="n">
        <v>0.484213139347642</v>
      </c>
      <c r="B2151" s="0" t="n">
        <v>0.0636014363777974</v>
      </c>
      <c r="C2151" s="0" t="n">
        <v>0.551687967806462</v>
      </c>
      <c r="D2151" s="0" t="n">
        <f aca="false">A2151/SUM($A2151:$C2151)</f>
        <v>0.440392923323504</v>
      </c>
      <c r="E2151" s="0" t="n">
        <f aca="false">B2151/SUM($A2151:$C2151)</f>
        <v>0.0578456473356508</v>
      </c>
      <c r="F2151" s="0" t="n">
        <f aca="false">C2151/SUM($A2151:$C2151)</f>
        <v>0.501761429340845</v>
      </c>
      <c r="G2151" s="0" t="n">
        <f aca="false">SUMPRODUCT(D2151:F2151,Stats!$B$6:$D$6)</f>
        <v>0.345976189709382</v>
      </c>
      <c r="H2151" s="0" t="n">
        <f aca="false">SQRT(SUMPRODUCT(MMULT(D2151:F2151,Stats!$B$12:$D$14),D2151:F2151))</f>
        <v>0.224424238231995</v>
      </c>
      <c r="I2151" s="0" t="n">
        <f aca="false">(G2151-Stats!$B$2)/H2151</f>
        <v>1.35447129999903</v>
      </c>
    </row>
    <row r="2152" customFormat="false" ht="15" hidden="false" customHeight="false" outlineLevel="0" collapsed="false">
      <c r="A2152" s="0" t="n">
        <v>0.841096170616101</v>
      </c>
      <c r="B2152" s="0" t="n">
        <v>0.99684928428144</v>
      </c>
      <c r="C2152" s="0" t="n">
        <v>0.430343173689073</v>
      </c>
      <c r="D2152" s="0" t="n">
        <f aca="false">A2152/SUM($A2152:$C2152)</f>
        <v>0.370806501437251</v>
      </c>
      <c r="E2152" s="0" t="n">
        <f aca="false">B2152/SUM($A2152:$C2152)</f>
        <v>0.439471975355528</v>
      </c>
      <c r="F2152" s="0" t="n">
        <f aca="false">C2152/SUM($A2152:$C2152)</f>
        <v>0.189721523207222</v>
      </c>
      <c r="G2152" s="0" t="n">
        <f aca="false">SUMPRODUCT(D2152:F2152,Stats!$B$6:$D$6)</f>
        <v>0.376538855089132</v>
      </c>
      <c r="H2152" s="0" t="n">
        <f aca="false">SQRT(SUMPRODUCT(MMULT(D2152:F2152,Stats!$B$12:$D$14),D2152:F2152))</f>
        <v>0.22711249324315</v>
      </c>
      <c r="I2152" s="0" t="n">
        <f aca="false">(G2152-Stats!$B$2)/H2152</f>
        <v>1.47300947786686</v>
      </c>
    </row>
    <row r="2153" customFormat="false" ht="15" hidden="false" customHeight="false" outlineLevel="0" collapsed="false">
      <c r="A2153" s="0" t="n">
        <v>0.320298742496743</v>
      </c>
      <c r="B2153" s="0" t="n">
        <v>0.906653296951999</v>
      </c>
      <c r="C2153" s="0" t="n">
        <v>0.191242129076121</v>
      </c>
      <c r="D2153" s="0" t="n">
        <f aca="false">A2153/SUM($A2153:$C2153)</f>
        <v>0.225849710572355</v>
      </c>
      <c r="E2153" s="0" t="n">
        <f aca="false">B2153/SUM($A2153:$C2153)</f>
        <v>0.639301244550354</v>
      </c>
      <c r="F2153" s="0" t="n">
        <f aca="false">C2153/SUM($A2153:$C2153)</f>
        <v>0.134849044877291</v>
      </c>
      <c r="G2153" s="0" t="n">
        <f aca="false">SUMPRODUCT(D2153:F2153,Stats!$B$6:$D$6)</f>
        <v>0.389549860089523</v>
      </c>
      <c r="H2153" s="0" t="n">
        <f aca="false">SQRT(SUMPRODUCT(MMULT(D2153:F2153,Stats!$B$12:$D$14),D2153:F2153))</f>
        <v>0.234791872264878</v>
      </c>
      <c r="I2153" s="0" t="n">
        <f aca="false">(G2153-Stats!$B$2)/H2153</f>
        <v>1.48024655511686</v>
      </c>
    </row>
    <row r="2154" customFormat="false" ht="15" hidden="false" customHeight="false" outlineLevel="0" collapsed="false">
      <c r="A2154" s="0" t="n">
        <v>0.615428915032927</v>
      </c>
      <c r="B2154" s="0" t="n">
        <v>0.405714424180948</v>
      </c>
      <c r="C2154" s="0" t="n">
        <v>0.0410823649555553</v>
      </c>
      <c r="D2154" s="0" t="n">
        <f aca="false">A2154/SUM($A2154:$C2154)</f>
        <v>0.57937678651275</v>
      </c>
      <c r="E2154" s="0" t="n">
        <f aca="false">B2154/SUM($A2154:$C2154)</f>
        <v>0.38194747367574</v>
      </c>
      <c r="F2154" s="0" t="n">
        <f aca="false">C2154/SUM($A2154:$C2154)</f>
        <v>0.0386757398115104</v>
      </c>
      <c r="G2154" s="0" t="n">
        <f aca="false">SUMPRODUCT(D2154:F2154,Stats!$B$6:$D$6)</f>
        <v>0.377393999096857</v>
      </c>
      <c r="H2154" s="0" t="n">
        <f aca="false">SQRT(SUMPRODUCT(MMULT(D2154:F2154,Stats!$B$12:$D$14),D2154:F2154))</f>
        <v>0.226779825515057</v>
      </c>
      <c r="I2154" s="0" t="n">
        <f aca="false">(G2154-Stats!$B$2)/H2154</f>
        <v>1.47894107571129</v>
      </c>
    </row>
    <row r="2155" customFormat="false" ht="15" hidden="false" customHeight="false" outlineLevel="0" collapsed="false">
      <c r="A2155" s="0" t="n">
        <v>0.347288474305698</v>
      </c>
      <c r="B2155" s="0" t="n">
        <v>0.265228522502675</v>
      </c>
      <c r="C2155" s="0" t="n">
        <v>0.686091153943487</v>
      </c>
      <c r="D2155" s="0" t="n">
        <f aca="false">A2155/SUM($A2155:$C2155)</f>
        <v>0.267431306437301</v>
      </c>
      <c r="E2155" s="0" t="n">
        <f aca="false">B2155/SUM($A2155:$C2155)</f>
        <v>0.204240611264541</v>
      </c>
      <c r="F2155" s="0" t="n">
        <f aca="false">C2155/SUM($A2155:$C2155)</f>
        <v>0.528328082298158</v>
      </c>
      <c r="G2155" s="0" t="n">
        <f aca="false">SUMPRODUCT(D2155:F2155,Stats!$B$6:$D$6)</f>
        <v>0.353667001221331</v>
      </c>
      <c r="H2155" s="0" t="n">
        <f aca="false">SQRT(SUMPRODUCT(MMULT(D2155:F2155,Stats!$B$12:$D$14),D2155:F2155))</f>
        <v>0.229656442999062</v>
      </c>
      <c r="I2155" s="0" t="n">
        <f aca="false">(G2155-Stats!$B$2)/H2155</f>
        <v>1.35710105560854</v>
      </c>
    </row>
    <row r="2156" customFormat="false" ht="15" hidden="false" customHeight="false" outlineLevel="0" collapsed="false">
      <c r="A2156" s="0" t="n">
        <v>0.948790497691918</v>
      </c>
      <c r="B2156" s="0" t="n">
        <v>0.268047187378638</v>
      </c>
      <c r="C2156" s="0" t="n">
        <v>0.811465939151682</v>
      </c>
      <c r="D2156" s="0" t="n">
        <f aca="false">A2156/SUM($A2156:$C2156)</f>
        <v>0.46777537956416</v>
      </c>
      <c r="E2156" s="0" t="n">
        <f aca="false">B2156/SUM($A2156:$C2156)</f>
        <v>0.132153383831487</v>
      </c>
      <c r="F2156" s="0" t="n">
        <f aca="false">C2156/SUM($A2156:$C2156)</f>
        <v>0.400071236604353</v>
      </c>
      <c r="G2156" s="0" t="n">
        <f aca="false">SUMPRODUCT(D2156:F2156,Stats!$B$6:$D$6)</f>
        <v>0.353055828645336</v>
      </c>
      <c r="H2156" s="0" t="n">
        <f aca="false">SQRT(SUMPRODUCT(MMULT(D2156:F2156,Stats!$B$12:$D$14),D2156:F2156))</f>
        <v>0.222787296671434</v>
      </c>
      <c r="I2156" s="0" t="n">
        <f aca="false">(G2156-Stats!$B$2)/H2156</f>
        <v>1.39620092030687</v>
      </c>
    </row>
    <row r="2157" customFormat="false" ht="15" hidden="false" customHeight="false" outlineLevel="0" collapsed="false">
      <c r="A2157" s="0" t="n">
        <v>0.0553598169384095</v>
      </c>
      <c r="B2157" s="0" t="n">
        <v>0.538121010039813</v>
      </c>
      <c r="C2157" s="0" t="n">
        <v>0.0705500637098946</v>
      </c>
      <c r="D2157" s="0" t="n">
        <f aca="false">A2157/SUM($A2157:$C2157)</f>
        <v>0.0833693397622536</v>
      </c>
      <c r="E2157" s="0" t="n">
        <f aca="false">B2157/SUM($A2157:$C2157)</f>
        <v>0.810385507038947</v>
      </c>
      <c r="F2157" s="0" t="n">
        <f aca="false">C2157/SUM($A2157:$C2157)</f>
        <v>0.1062451531988</v>
      </c>
      <c r="G2157" s="0" t="n">
        <f aca="false">SUMPRODUCT(D2157:F2157,Stats!$B$6:$D$6)</f>
        <v>0.400182568434488</v>
      </c>
      <c r="H2157" s="0" t="n">
        <f aca="false">SQRT(SUMPRODUCT(MMULT(D2157:F2157,Stats!$B$12:$D$14),D2157:F2157))</f>
        <v>0.244141228513712</v>
      </c>
      <c r="I2157" s="0" t="n">
        <f aca="false">(G2157-Stats!$B$2)/H2157</f>
        <v>1.46711217361787</v>
      </c>
    </row>
    <row r="2158" customFormat="false" ht="15" hidden="false" customHeight="false" outlineLevel="0" collapsed="false">
      <c r="A2158" s="0" t="n">
        <v>0.934032991130639</v>
      </c>
      <c r="B2158" s="0" t="n">
        <v>0.76635128055739</v>
      </c>
      <c r="C2158" s="0" t="n">
        <v>0.657949911204592</v>
      </c>
      <c r="D2158" s="0" t="n">
        <f aca="false">A2158/SUM($A2158:$C2158)</f>
        <v>0.396056249324682</v>
      </c>
      <c r="E2158" s="0" t="n">
        <f aca="false">B2158/SUM($A2158:$C2158)</f>
        <v>0.324954489536093</v>
      </c>
      <c r="F2158" s="0" t="n">
        <f aca="false">C2158/SUM($A2158:$C2158)</f>
        <v>0.278989261139226</v>
      </c>
      <c r="G2158" s="0" t="n">
        <f aca="false">SUMPRODUCT(D2158:F2158,Stats!$B$6:$D$6)</f>
        <v>0.367488143632865</v>
      </c>
      <c r="H2158" s="0" t="n">
        <f aca="false">SQRT(SUMPRODUCT(MMULT(D2158:F2158,Stats!$B$12:$D$14),D2158:F2158))</f>
        <v>0.224793255046027</v>
      </c>
      <c r="I2158" s="0" t="n">
        <f aca="false">(G2158-Stats!$B$2)/H2158</f>
        <v>1.44794443928587</v>
      </c>
    </row>
    <row r="2159" customFormat="false" ht="15" hidden="false" customHeight="false" outlineLevel="0" collapsed="false">
      <c r="A2159" s="0" t="n">
        <v>0.823896381624664</v>
      </c>
      <c r="B2159" s="0" t="n">
        <v>0.647519795570163</v>
      </c>
      <c r="C2159" s="0" t="n">
        <v>0.968944397174291</v>
      </c>
      <c r="D2159" s="0" t="n">
        <f aca="false">A2159/SUM($A2159:$C2159)</f>
        <v>0.337612560323246</v>
      </c>
      <c r="E2159" s="0" t="n">
        <f aca="false">B2159/SUM($A2159:$C2159)</f>
        <v>0.265337754744526</v>
      </c>
      <c r="F2159" s="0" t="n">
        <f aca="false">C2159/SUM($A2159:$C2159)</f>
        <v>0.397049684932229</v>
      </c>
      <c r="G2159" s="0" t="n">
        <f aca="false">SUMPRODUCT(D2159:F2159,Stats!$B$6:$D$6)</f>
        <v>0.360802403095723</v>
      </c>
      <c r="H2159" s="0" t="n">
        <f aca="false">SQRT(SUMPRODUCT(MMULT(D2159:F2159,Stats!$B$12:$D$14),D2159:F2159))</f>
        <v>0.22602485053628</v>
      </c>
      <c r="I2159" s="0" t="n">
        <f aca="false">(G2159-Stats!$B$2)/H2159</f>
        <v>1.41047500900593</v>
      </c>
    </row>
    <row r="2160" customFormat="false" ht="15" hidden="false" customHeight="false" outlineLevel="0" collapsed="false">
      <c r="A2160" s="0" t="n">
        <v>0.713957947864772</v>
      </c>
      <c r="B2160" s="0" t="n">
        <v>0.924658609582247</v>
      </c>
      <c r="C2160" s="0" t="n">
        <v>0.517131892010638</v>
      </c>
      <c r="D2160" s="0" t="n">
        <f aca="false">A2160/SUM($A2160:$C2160)</f>
        <v>0.331187967707637</v>
      </c>
      <c r="E2160" s="0" t="n">
        <f aca="false">B2160/SUM($A2160:$C2160)</f>
        <v>0.428926951015492</v>
      </c>
      <c r="F2160" s="0" t="n">
        <f aca="false">C2160/SUM($A2160:$C2160)</f>
        <v>0.239885081276871</v>
      </c>
      <c r="G2160" s="0" t="n">
        <f aca="false">SUMPRODUCT(D2160:F2160,Stats!$B$6:$D$6)</f>
        <v>0.374548867216912</v>
      </c>
      <c r="H2160" s="0" t="n">
        <f aca="false">SQRT(SUMPRODUCT(MMULT(D2160:F2160,Stats!$B$12:$D$14),D2160:F2160))</f>
        <v>0.227504344624794</v>
      </c>
      <c r="I2160" s="0" t="n">
        <f aca="false">(G2160-Stats!$B$2)/H2160</f>
        <v>1.46172534755484</v>
      </c>
    </row>
    <row r="2161" customFormat="false" ht="15" hidden="false" customHeight="false" outlineLevel="0" collapsed="false">
      <c r="A2161" s="0" t="n">
        <v>0.117064412981863</v>
      </c>
      <c r="B2161" s="0" t="n">
        <v>0.528177721423017</v>
      </c>
      <c r="C2161" s="0" t="n">
        <v>0.126872828063093</v>
      </c>
      <c r="D2161" s="0" t="n">
        <f aca="false">A2161/SUM($A2161:$C2161)</f>
        <v>0.151615262845937</v>
      </c>
      <c r="E2161" s="0" t="n">
        <f aca="false">B2161/SUM($A2161:$C2161)</f>
        <v>0.684066165140435</v>
      </c>
      <c r="F2161" s="0" t="n">
        <f aca="false">C2161/SUM($A2161:$C2161)</f>
        <v>0.164318572013628</v>
      </c>
      <c r="G2161" s="0" t="n">
        <f aca="false">SUMPRODUCT(D2161:F2161,Stats!$B$6:$D$6)</f>
        <v>0.391312964805965</v>
      </c>
      <c r="H2161" s="0" t="n">
        <f aca="false">SQRT(SUMPRODUCT(MMULT(D2161:F2161,Stats!$B$12:$D$14),D2161:F2161))</f>
        <v>0.23793858963372</v>
      </c>
      <c r="I2161" s="0" t="n">
        <f aca="false">(G2161-Stats!$B$2)/H2161</f>
        <v>1.46808033679486</v>
      </c>
    </row>
    <row r="2162" customFormat="false" ht="15" hidden="false" customHeight="false" outlineLevel="0" collapsed="false">
      <c r="A2162" s="0" t="n">
        <v>0.592493479176405</v>
      </c>
      <c r="B2162" s="0" t="n">
        <v>0.482493060527663</v>
      </c>
      <c r="C2162" s="0" t="n">
        <v>0.622575397832782</v>
      </c>
      <c r="D2162" s="0" t="n">
        <f aca="false">A2162/SUM($A2162:$C2162)</f>
        <v>0.349026133347517</v>
      </c>
      <c r="E2162" s="0" t="n">
        <f aca="false">B2162/SUM($A2162:$C2162)</f>
        <v>0.284227072873557</v>
      </c>
      <c r="F2162" s="0" t="n">
        <f aca="false">C2162/SUM($A2162:$C2162)</f>
        <v>0.366746793778926</v>
      </c>
      <c r="G2162" s="0" t="n">
        <f aca="false">SUMPRODUCT(D2162:F2162,Stats!$B$6:$D$6)</f>
        <v>0.362724860581349</v>
      </c>
      <c r="H2162" s="0" t="n">
        <f aca="false">SQRT(SUMPRODUCT(MMULT(D2162:F2162,Stats!$B$12:$D$14),D2162:F2162))</f>
        <v>0.225653293368045</v>
      </c>
      <c r="I2162" s="0" t="n">
        <f aca="false">(G2162-Stats!$B$2)/H2162</f>
        <v>1.42131699384613</v>
      </c>
    </row>
    <row r="2163" customFormat="false" ht="15" hidden="false" customHeight="false" outlineLevel="0" collapsed="false">
      <c r="A2163" s="0" t="n">
        <v>0.0100469810548316</v>
      </c>
      <c r="B2163" s="0" t="n">
        <v>0.194840491655364</v>
      </c>
      <c r="C2163" s="0" t="n">
        <v>0.491330431912131</v>
      </c>
      <c r="D2163" s="0" t="n">
        <f aca="false">A2163/SUM($A2163:$C2163)</f>
        <v>0.0144307995932419</v>
      </c>
      <c r="E2163" s="0" t="n">
        <f aca="false">B2163/SUM($A2163:$C2163)</f>
        <v>0.27985561756137</v>
      </c>
      <c r="F2163" s="0" t="n">
        <f aca="false">C2163/SUM($A2163:$C2163)</f>
        <v>0.705713582845388</v>
      </c>
      <c r="G2163" s="0" t="n">
        <f aca="false">SUMPRODUCT(D2163:F2163,Stats!$B$6:$D$6)</f>
        <v>0.353126453865523</v>
      </c>
      <c r="H2163" s="0" t="n">
        <f aca="false">SQRT(SUMPRODUCT(MMULT(D2163:F2163,Stats!$B$12:$D$14),D2163:F2163))</f>
        <v>0.246024925735506</v>
      </c>
      <c r="I2163" s="0" t="n">
        <f aca="false">(G2163-Stats!$B$2)/H2163</f>
        <v>1.26461354651523</v>
      </c>
    </row>
    <row r="2164" customFormat="false" ht="15" hidden="false" customHeight="false" outlineLevel="0" collapsed="false">
      <c r="A2164" s="0" t="n">
        <v>0.950503561589135</v>
      </c>
      <c r="B2164" s="0" t="n">
        <v>0.383609040355158</v>
      </c>
      <c r="C2164" s="0" t="n">
        <v>0.424372026053635</v>
      </c>
      <c r="D2164" s="0" t="n">
        <f aca="false">A2164/SUM($A2164:$C2164)</f>
        <v>0.540524236865979</v>
      </c>
      <c r="E2164" s="0" t="n">
        <f aca="false">B2164/SUM($A2164:$C2164)</f>
        <v>0.218147508512432</v>
      </c>
      <c r="F2164" s="0" t="n">
        <f aca="false">C2164/SUM($A2164:$C2164)</f>
        <v>0.241328254621589</v>
      </c>
      <c r="G2164" s="0" t="n">
        <f aca="false">SUMPRODUCT(D2164:F2164,Stats!$B$6:$D$6)</f>
        <v>0.362381095951873</v>
      </c>
      <c r="H2164" s="0" t="n">
        <f aca="false">SQRT(SUMPRODUCT(MMULT(D2164:F2164,Stats!$B$12:$D$14),D2164:F2164))</f>
        <v>0.222289484870669</v>
      </c>
      <c r="I2164" s="0" t="n">
        <f aca="false">(G2164-Stats!$B$2)/H2164</f>
        <v>1.44127868278733</v>
      </c>
    </row>
    <row r="2165" customFormat="false" ht="15" hidden="false" customHeight="false" outlineLevel="0" collapsed="false">
      <c r="A2165" s="0" t="n">
        <v>0.714696089006622</v>
      </c>
      <c r="B2165" s="0" t="n">
        <v>0.603792757286118</v>
      </c>
      <c r="C2165" s="0" t="n">
        <v>0.298926150098333</v>
      </c>
      <c r="D2165" s="0" t="n">
        <f aca="false">A2165/SUM($A2165:$C2165)</f>
        <v>0.441875517786912</v>
      </c>
      <c r="E2165" s="0" t="n">
        <f aca="false">B2165/SUM($A2165:$C2165)</f>
        <v>0.37330725795999</v>
      </c>
      <c r="F2165" s="0" t="n">
        <f aca="false">C2165/SUM($A2165:$C2165)</f>
        <v>0.184817224253098</v>
      </c>
      <c r="G2165" s="0" t="n">
        <f aca="false">SUMPRODUCT(D2165:F2165,Stats!$B$6:$D$6)</f>
        <v>0.372867057042878</v>
      </c>
      <c r="H2165" s="0" t="n">
        <f aca="false">SQRT(SUMPRODUCT(MMULT(D2165:F2165,Stats!$B$12:$D$14),D2165:F2165))</f>
        <v>0.22511684677575</v>
      </c>
      <c r="I2165" s="0" t="n">
        <f aca="false">(G2165-Stats!$B$2)/H2165</f>
        <v>1.4697569807935</v>
      </c>
    </row>
    <row r="2166" customFormat="false" ht="15" hidden="false" customHeight="false" outlineLevel="0" collapsed="false">
      <c r="A2166" s="0" t="n">
        <v>0.410816395567428</v>
      </c>
      <c r="B2166" s="0" t="n">
        <v>0.217699798857233</v>
      </c>
      <c r="C2166" s="0" t="n">
        <v>0.966021459130209</v>
      </c>
      <c r="D2166" s="0" t="n">
        <f aca="false">A2166/SUM($A2166:$C2166)</f>
        <v>0.257639820954715</v>
      </c>
      <c r="E2166" s="0" t="n">
        <f aca="false">B2166/SUM($A2166:$C2166)</f>
        <v>0.136528477939603</v>
      </c>
      <c r="F2166" s="0" t="n">
        <f aca="false">C2166/SUM($A2166:$C2166)</f>
        <v>0.605831701105682</v>
      </c>
      <c r="G2166" s="0" t="n">
        <f aca="false">SUMPRODUCT(D2166:F2166,Stats!$B$6:$D$6)</f>
        <v>0.347633800228755</v>
      </c>
      <c r="H2166" s="0" t="n">
        <f aca="false">SQRT(SUMPRODUCT(MMULT(D2166:F2166,Stats!$B$12:$D$14),D2166:F2166))</f>
        <v>0.231597605507423</v>
      </c>
      <c r="I2166" s="0" t="n">
        <f aca="false">(G2166-Stats!$B$2)/H2166</f>
        <v>1.31967599388224</v>
      </c>
    </row>
    <row r="2167" customFormat="false" ht="15" hidden="false" customHeight="false" outlineLevel="0" collapsed="false">
      <c r="A2167" s="0" t="n">
        <v>0.13063438155736</v>
      </c>
      <c r="B2167" s="0" t="n">
        <v>0.371836784566419</v>
      </c>
      <c r="C2167" s="0" t="n">
        <v>0.0258389722200112</v>
      </c>
      <c r="D2167" s="0" t="n">
        <f aca="false">A2167/SUM($A2167:$C2167)</f>
        <v>0.247268360147106</v>
      </c>
      <c r="E2167" s="0" t="n">
        <f aca="false">B2167/SUM($A2167:$C2167)</f>
        <v>0.70382292062783</v>
      </c>
      <c r="F2167" s="0" t="n">
        <f aca="false">C2167/SUM($A2167:$C2167)</f>
        <v>0.0489087192250641</v>
      </c>
      <c r="G2167" s="0" t="n">
        <f aca="false">SUMPRODUCT(D2167:F2167,Stats!$B$6:$D$6)</f>
        <v>0.395632125247723</v>
      </c>
      <c r="H2167" s="0" t="n">
        <f aca="false">SQRT(SUMPRODUCT(MMULT(D2167:F2167,Stats!$B$12:$D$14),D2167:F2167))</f>
        <v>0.236867169613448</v>
      </c>
      <c r="I2167" s="0" t="n">
        <f aca="false">(G2167-Stats!$B$2)/H2167</f>
        <v>1.49295542233577</v>
      </c>
    </row>
    <row r="2168" customFormat="false" ht="15" hidden="false" customHeight="false" outlineLevel="0" collapsed="false">
      <c r="A2168" s="0" t="n">
        <v>0.221779491933546</v>
      </c>
      <c r="B2168" s="0" t="n">
        <v>0.780471138380155</v>
      </c>
      <c r="C2168" s="0" t="n">
        <v>0.20117523228888</v>
      </c>
      <c r="D2168" s="0" t="n">
        <f aca="false">A2168/SUM($A2168:$C2168)</f>
        <v>0.184290116097319</v>
      </c>
      <c r="E2168" s="0" t="n">
        <f aca="false">B2168/SUM($A2168:$C2168)</f>
        <v>0.648541104719384</v>
      </c>
      <c r="F2168" s="0" t="n">
        <f aca="false">C2168/SUM($A2168:$C2168)</f>
        <v>0.167168779183297</v>
      </c>
      <c r="G2168" s="0" t="n">
        <f aca="false">SUMPRODUCT(D2168:F2168,Stats!$B$6:$D$6)</f>
        <v>0.389190305442067</v>
      </c>
      <c r="H2168" s="0" t="n">
        <f aca="false">SQRT(SUMPRODUCT(MMULT(D2168:F2168,Stats!$B$12:$D$14),D2168:F2168))</f>
        <v>0.23600471817984</v>
      </c>
      <c r="I2168" s="0" t="n">
        <f aca="false">(G2168-Stats!$B$2)/H2168</f>
        <v>1.47111595106968</v>
      </c>
    </row>
    <row r="2169" customFormat="false" ht="15" hidden="false" customHeight="false" outlineLevel="0" collapsed="false">
      <c r="A2169" s="0" t="n">
        <v>0.0800634025289656</v>
      </c>
      <c r="B2169" s="0" t="n">
        <v>0.474453179844523</v>
      </c>
      <c r="C2169" s="0" t="n">
        <v>0.0099692347345185</v>
      </c>
      <c r="D2169" s="0" t="n">
        <f aca="false">A2169/SUM($A2169:$C2169)</f>
        <v>0.141834214611714</v>
      </c>
      <c r="E2169" s="0" t="n">
        <f aca="false">B2169/SUM($A2169:$C2169)</f>
        <v>0.84050504984387</v>
      </c>
      <c r="F2169" s="0" t="n">
        <f aca="false">C2169/SUM($A2169:$C2169)</f>
        <v>0.0176607355444167</v>
      </c>
      <c r="G2169" s="0" t="n">
        <f aca="false">SUMPRODUCT(D2169:F2169,Stats!$B$6:$D$6)</f>
        <v>0.404358289189983</v>
      </c>
      <c r="H2169" s="0" t="n">
        <f aca="false">SQRT(SUMPRODUCT(MMULT(D2169:F2169,Stats!$B$12:$D$14),D2169:F2169))</f>
        <v>0.244124135271823</v>
      </c>
      <c r="I2169" s="0" t="n">
        <f aca="false">(G2169-Stats!$B$2)/H2169</f>
        <v>1.4843198063416</v>
      </c>
    </row>
    <row r="2170" customFormat="false" ht="15" hidden="false" customHeight="false" outlineLevel="0" collapsed="false">
      <c r="A2170" s="0" t="n">
        <v>0.0847661544263332</v>
      </c>
      <c r="B2170" s="0" t="n">
        <v>0.807625869562975</v>
      </c>
      <c r="C2170" s="0" t="n">
        <v>0.771473344859606</v>
      </c>
      <c r="D2170" s="0" t="n">
        <f aca="false">A2170/SUM($A2170:$C2170)</f>
        <v>0.0509453204648256</v>
      </c>
      <c r="E2170" s="0" t="n">
        <f aca="false">B2170/SUM($A2170:$C2170)</f>
        <v>0.485391357187572</v>
      </c>
      <c r="F2170" s="0" t="n">
        <f aca="false">C2170/SUM($A2170:$C2170)</f>
        <v>0.463663322347602</v>
      </c>
      <c r="G2170" s="0" t="n">
        <f aca="false">SUMPRODUCT(D2170:F2170,Stats!$B$6:$D$6)</f>
        <v>0.371627157139714</v>
      </c>
      <c r="H2170" s="0" t="n">
        <f aca="false">SQRT(SUMPRODUCT(MMULT(D2170:F2170,Stats!$B$12:$D$14),D2170:F2170))</f>
        <v>0.239932851660201</v>
      </c>
      <c r="I2170" s="0" t="n">
        <f aca="false">(G2170-Stats!$B$2)/H2170</f>
        <v>1.3738308650061</v>
      </c>
    </row>
    <row r="2171" customFormat="false" ht="15" hidden="false" customHeight="false" outlineLevel="0" collapsed="false">
      <c r="A2171" s="0" t="n">
        <v>0.915138820404896</v>
      </c>
      <c r="B2171" s="0" t="n">
        <v>0.85451543591075</v>
      </c>
      <c r="C2171" s="0" t="n">
        <v>0.683175563239818</v>
      </c>
      <c r="D2171" s="0" t="n">
        <f aca="false">A2171/SUM($A2171:$C2171)</f>
        <v>0.373095113696371</v>
      </c>
      <c r="E2171" s="0" t="n">
        <f aca="false">B2171/SUM($A2171:$C2171)</f>
        <v>0.348379422452397</v>
      </c>
      <c r="F2171" s="0" t="n">
        <f aca="false">C2171/SUM($A2171:$C2171)</f>
        <v>0.278525463851232</v>
      </c>
      <c r="G2171" s="0" t="n">
        <f aca="false">SUMPRODUCT(D2171:F2171,Stats!$B$6:$D$6)</f>
        <v>0.368848772986403</v>
      </c>
      <c r="H2171" s="0" t="n">
        <f aca="false">SQRT(SUMPRODUCT(MMULT(D2171:F2171,Stats!$B$12:$D$14),D2171:F2171))</f>
        <v>0.225490249624864</v>
      </c>
      <c r="I2171" s="0" t="n">
        <f aca="false">(G2171-Stats!$B$2)/H2171</f>
        <v>1.44950290990481</v>
      </c>
    </row>
    <row r="2172" customFormat="false" ht="15" hidden="false" customHeight="false" outlineLevel="0" collapsed="false">
      <c r="A2172" s="0" t="n">
        <v>0.0523328573006628</v>
      </c>
      <c r="B2172" s="0" t="n">
        <v>0.782848617986658</v>
      </c>
      <c r="C2172" s="0" t="n">
        <v>0.845510810840561</v>
      </c>
      <c r="D2172" s="0" t="n">
        <f aca="false">A2172/SUM($A2172:$C2172)</f>
        <v>0.031137679236472</v>
      </c>
      <c r="E2172" s="0" t="n">
        <f aca="false">B2172/SUM($A2172:$C2172)</f>
        <v>0.465789380035919</v>
      </c>
      <c r="F2172" s="0" t="n">
        <f aca="false">C2172/SUM($A2172:$C2172)</f>
        <v>0.503072940727609</v>
      </c>
      <c r="G2172" s="0" t="n">
        <f aca="false">SUMPRODUCT(D2172:F2172,Stats!$B$6:$D$6)</f>
        <v>0.369412579675658</v>
      </c>
      <c r="H2172" s="0" t="n">
        <f aca="false">SQRT(SUMPRODUCT(MMULT(D2172:F2172,Stats!$B$12:$D$14),D2172:F2172))</f>
        <v>0.241360102451213</v>
      </c>
      <c r="I2172" s="0" t="n">
        <f aca="false">(G2172-Stats!$B$2)/H2172</f>
        <v>1.35653149112265</v>
      </c>
    </row>
    <row r="2173" customFormat="false" ht="15" hidden="false" customHeight="false" outlineLevel="0" collapsed="false">
      <c r="A2173" s="0" t="n">
        <v>0.799082145771955</v>
      </c>
      <c r="B2173" s="0" t="n">
        <v>0.508479035308026</v>
      </c>
      <c r="C2173" s="0" t="n">
        <v>0.232901838649482</v>
      </c>
      <c r="D2173" s="0" t="n">
        <f aca="false">A2173/SUM($A2173:$C2173)</f>
        <v>0.518728548194744</v>
      </c>
      <c r="E2173" s="0" t="n">
        <f aca="false">B2173/SUM($A2173:$C2173)</f>
        <v>0.330081948606157</v>
      </c>
      <c r="F2173" s="0" t="n">
        <f aca="false">C2173/SUM($A2173:$C2173)</f>
        <v>0.151189503199099</v>
      </c>
      <c r="G2173" s="0" t="n">
        <f aca="false">SUMPRODUCT(D2173:F2173,Stats!$B$6:$D$6)</f>
        <v>0.371307200162244</v>
      </c>
      <c r="H2173" s="0" t="n">
        <f aca="false">SQRT(SUMPRODUCT(MMULT(D2173:F2173,Stats!$B$12:$D$14),D2173:F2173))</f>
        <v>0.224261817348511</v>
      </c>
      <c r="I2173" s="0" t="n">
        <f aca="false">(G2173-Stats!$B$2)/H2173</f>
        <v>1.46840511708905</v>
      </c>
    </row>
    <row r="2174" customFormat="false" ht="15" hidden="false" customHeight="false" outlineLevel="0" collapsed="false">
      <c r="A2174" s="0" t="n">
        <v>0.845329975688727</v>
      </c>
      <c r="B2174" s="0" t="n">
        <v>0.727162809740139</v>
      </c>
      <c r="C2174" s="0" t="n">
        <v>0.980761174388852</v>
      </c>
      <c r="D2174" s="0" t="n">
        <f aca="false">A2174/SUM($A2174:$C2174)</f>
        <v>0.331079473092867</v>
      </c>
      <c r="E2174" s="0" t="n">
        <f aca="false">B2174/SUM($A2174:$C2174)</f>
        <v>0.2847984654813</v>
      </c>
      <c r="F2174" s="0" t="n">
        <f aca="false">C2174/SUM($A2174:$C2174)</f>
        <v>0.384122061425833</v>
      </c>
      <c r="G2174" s="0" t="n">
        <f aca="false">SUMPRODUCT(D2174:F2174,Stats!$B$6:$D$6)</f>
        <v>0.362278621449975</v>
      </c>
      <c r="H2174" s="0" t="n">
        <f aca="false">SQRT(SUMPRODUCT(MMULT(D2174:F2174,Stats!$B$12:$D$14),D2174:F2174))</f>
        <v>0.226231355494235</v>
      </c>
      <c r="I2174" s="0" t="n">
        <f aca="false">(G2174-Stats!$B$2)/H2174</f>
        <v>1.41571278106114</v>
      </c>
    </row>
    <row r="2175" customFormat="false" ht="15" hidden="false" customHeight="false" outlineLevel="0" collapsed="false">
      <c r="A2175" s="0" t="n">
        <v>0.155692597755933</v>
      </c>
      <c r="B2175" s="0" t="n">
        <v>0.225664583052055</v>
      </c>
      <c r="C2175" s="0" t="n">
        <v>0.211798149881503</v>
      </c>
      <c r="D2175" s="0" t="n">
        <f aca="false">A2175/SUM($A2175:$C2175)</f>
        <v>0.262482000414552</v>
      </c>
      <c r="E2175" s="0" t="n">
        <f aca="false">B2175/SUM($A2175:$C2175)</f>
        <v>0.380447702947793</v>
      </c>
      <c r="F2175" s="0" t="n">
        <f aca="false">C2175/SUM($A2175:$C2175)</f>
        <v>0.357070296637655</v>
      </c>
      <c r="G2175" s="0" t="n">
        <f aca="false">SUMPRODUCT(D2175:F2175,Stats!$B$6:$D$6)</f>
        <v>0.36852809678679</v>
      </c>
      <c r="H2175" s="0" t="n">
        <f aca="false">SQRT(SUMPRODUCT(MMULT(D2175:F2175,Stats!$B$12:$D$14),D2175:F2175))</f>
        <v>0.228918488501865</v>
      </c>
      <c r="I2175" s="0" t="n">
        <f aca="false">(G2175-Stats!$B$2)/H2175</f>
        <v>1.42639460413932</v>
      </c>
    </row>
    <row r="2176" customFormat="false" ht="15" hidden="false" customHeight="false" outlineLevel="0" collapsed="false">
      <c r="A2176" s="0" t="n">
        <v>0.792539767621337</v>
      </c>
      <c r="B2176" s="0" t="n">
        <v>0.186907296450118</v>
      </c>
      <c r="C2176" s="0" t="n">
        <v>0.0666598298233061</v>
      </c>
      <c r="D2176" s="0" t="n">
        <f aca="false">A2176/SUM($A2176:$C2176)</f>
        <v>0.75760877998866</v>
      </c>
      <c r="E2176" s="0" t="n">
        <f aca="false">B2176/SUM($A2176:$C2176)</f>
        <v>0.178669405144864</v>
      </c>
      <c r="F2176" s="0" t="n">
        <f aca="false">C2176/SUM($A2176:$C2176)</f>
        <v>0.0637218148664759</v>
      </c>
      <c r="G2176" s="0" t="n">
        <f aca="false">SUMPRODUCT(D2176:F2176,Stats!$B$6:$D$6)</f>
        <v>0.365007006244832</v>
      </c>
      <c r="H2176" s="0" t="n">
        <f aca="false">SQRT(SUMPRODUCT(MMULT(D2176:F2176,Stats!$B$12:$D$14),D2176:F2176))</f>
        <v>0.225794176515515</v>
      </c>
      <c r="I2176" s="0" t="n">
        <f aca="false">(G2176-Stats!$B$2)/H2176</f>
        <v>1.43053736473419</v>
      </c>
    </row>
    <row r="2177" customFormat="false" ht="15" hidden="false" customHeight="false" outlineLevel="0" collapsed="false">
      <c r="A2177" s="0" t="n">
        <v>0.998560806585629</v>
      </c>
      <c r="B2177" s="0" t="n">
        <v>0.0248172114451492</v>
      </c>
      <c r="C2177" s="0" t="n">
        <v>0.835244060158866</v>
      </c>
      <c r="D2177" s="0" t="n">
        <f aca="false">A2177/SUM($A2177:$C2177)</f>
        <v>0.537258659683123</v>
      </c>
      <c r="E2177" s="0" t="n">
        <f aca="false">B2177/SUM($A2177:$C2177)</f>
        <v>0.0133524785572987</v>
      </c>
      <c r="F2177" s="0" t="n">
        <f aca="false">C2177/SUM($A2177:$C2177)</f>
        <v>0.449388861759578</v>
      </c>
      <c r="G2177" s="0" t="n">
        <f aca="false">SUMPRODUCT(D2177:F2177,Stats!$B$6:$D$6)</f>
        <v>0.344860263771762</v>
      </c>
      <c r="H2177" s="0" t="n">
        <f aca="false">SQRT(SUMPRODUCT(MMULT(D2177:F2177,Stats!$B$12:$D$14),D2177:F2177))</f>
        <v>0.222412745505602</v>
      </c>
      <c r="I2177" s="0" t="n">
        <f aca="false">(G2177-Stats!$B$2)/H2177</f>
        <v>1.36170372378293</v>
      </c>
    </row>
    <row r="2178" customFormat="false" ht="15" hidden="false" customHeight="false" outlineLevel="0" collapsed="false">
      <c r="A2178" s="0" t="n">
        <v>0.365366841550653</v>
      </c>
      <c r="B2178" s="0" t="n">
        <v>0.841615459757815</v>
      </c>
      <c r="C2178" s="0" t="n">
        <v>0.554620491211145</v>
      </c>
      <c r="D2178" s="0" t="n">
        <f aca="false">A2178/SUM($A2178:$C2178)</f>
        <v>0.207405916420052</v>
      </c>
      <c r="E2178" s="0" t="n">
        <f aca="false">B2178/SUM($A2178:$C2178)</f>
        <v>0.477755520899269</v>
      </c>
      <c r="F2178" s="0" t="n">
        <f aca="false">C2178/SUM($A2178:$C2178)</f>
        <v>0.314838562680679</v>
      </c>
      <c r="G2178" s="0" t="n">
        <f aca="false">SUMPRODUCT(D2178:F2178,Stats!$B$6:$D$6)</f>
        <v>0.375291586509358</v>
      </c>
      <c r="H2178" s="0" t="n">
        <f aca="false">SQRT(SUMPRODUCT(MMULT(D2178:F2178,Stats!$B$12:$D$14),D2178:F2178))</f>
        <v>0.231797860315895</v>
      </c>
      <c r="I2178" s="0" t="n">
        <f aca="false">(G2178-Stats!$B$2)/H2178</f>
        <v>1.43785445670269</v>
      </c>
    </row>
    <row r="2179" customFormat="false" ht="15" hidden="false" customHeight="false" outlineLevel="0" collapsed="false">
      <c r="A2179" s="0" t="n">
        <v>0.90163122948636</v>
      </c>
      <c r="B2179" s="0" t="n">
        <v>0.926192986414627</v>
      </c>
      <c r="C2179" s="0" t="n">
        <v>0.009098181280776</v>
      </c>
      <c r="D2179" s="0" t="n">
        <f aca="false">A2179/SUM($A2179:$C2179)</f>
        <v>0.490837953127284</v>
      </c>
      <c r="E2179" s="0" t="n">
        <f aca="false">B2179/SUM($A2179:$C2179)</f>
        <v>0.504209098781531</v>
      </c>
      <c r="F2179" s="0" t="n">
        <f aca="false">C2179/SUM($A2179:$C2179)</f>
        <v>0.00495294809118479</v>
      </c>
      <c r="G2179" s="0" t="n">
        <f aca="false">SUMPRODUCT(D2179:F2179,Stats!$B$6:$D$6)</f>
        <v>0.385358667776539</v>
      </c>
      <c r="H2179" s="0" t="n">
        <f aca="false">SQRT(SUMPRODUCT(MMULT(D2179:F2179,Stats!$B$12:$D$14),D2179:F2179))</f>
        <v>0.22967936316671</v>
      </c>
      <c r="I2179" s="0" t="n">
        <f aca="false">(G2179-Stats!$B$2)/H2179</f>
        <v>1.49494783964251</v>
      </c>
    </row>
    <row r="2180" customFormat="false" ht="15" hidden="false" customHeight="false" outlineLevel="0" collapsed="false">
      <c r="A2180" s="0" t="n">
        <v>0.0754121759927883</v>
      </c>
      <c r="B2180" s="0" t="n">
        <v>0.250358729570856</v>
      </c>
      <c r="C2180" s="0" t="n">
        <v>0.669315416363502</v>
      </c>
      <c r="D2180" s="0" t="n">
        <f aca="false">A2180/SUM($A2180:$C2180)</f>
        <v>0.0757845569083297</v>
      </c>
      <c r="E2180" s="0" t="n">
        <f aca="false">B2180/SUM($A2180:$C2180)</f>
        <v>0.251594986338467</v>
      </c>
      <c r="F2180" s="0" t="n">
        <f aca="false">C2180/SUM($A2180:$C2180)</f>
        <v>0.672620456753203</v>
      </c>
      <c r="G2180" s="0" t="n">
        <f aca="false">SUMPRODUCT(D2180:F2180,Stats!$B$6:$D$6)</f>
        <v>0.352412903945683</v>
      </c>
      <c r="H2180" s="0" t="n">
        <f aca="false">SQRT(SUMPRODUCT(MMULT(D2180:F2180,Stats!$B$12:$D$14),D2180:F2180))</f>
        <v>0.241609863064204</v>
      </c>
      <c r="I2180" s="0" t="n">
        <f aca="false">(G2180-Stats!$B$2)/H2180</f>
        <v>1.28476917295051</v>
      </c>
    </row>
    <row r="2181" customFormat="false" ht="15" hidden="false" customHeight="false" outlineLevel="0" collapsed="false">
      <c r="A2181" s="0" t="n">
        <v>0.888272196511506</v>
      </c>
      <c r="B2181" s="0" t="n">
        <v>0.459941951293963</v>
      </c>
      <c r="C2181" s="0" t="n">
        <v>0.606973116274265</v>
      </c>
      <c r="D2181" s="0" t="n">
        <f aca="false">A2181/SUM($A2181:$C2181)</f>
        <v>0.454315662151982</v>
      </c>
      <c r="E2181" s="0" t="n">
        <f aca="false">B2181/SUM($A2181:$C2181)</f>
        <v>0.23524189203966</v>
      </c>
      <c r="F2181" s="0" t="n">
        <f aca="false">C2181/SUM($A2181:$C2181)</f>
        <v>0.310442445808358</v>
      </c>
      <c r="G2181" s="0" t="n">
        <f aca="false">SUMPRODUCT(D2181:F2181,Stats!$B$6:$D$6)</f>
        <v>0.361458887415943</v>
      </c>
      <c r="H2181" s="0" t="n">
        <f aca="false">SQRT(SUMPRODUCT(MMULT(D2181:F2181,Stats!$B$12:$D$14),D2181:F2181))</f>
        <v>0.223070124993914</v>
      </c>
      <c r="I2181" s="0" t="n">
        <f aca="false">(G2181-Stats!$B$2)/H2181</f>
        <v>1.43210072359379</v>
      </c>
    </row>
    <row r="2182" customFormat="false" ht="15" hidden="false" customHeight="false" outlineLevel="0" collapsed="false">
      <c r="A2182" s="0" t="n">
        <v>0.188499852795561</v>
      </c>
      <c r="B2182" s="0" t="n">
        <v>0.804966833881685</v>
      </c>
      <c r="C2182" s="0" t="n">
        <v>0.96732811135347</v>
      </c>
      <c r="D2182" s="0" t="n">
        <f aca="false">A2182/SUM($A2182:$C2182)</f>
        <v>0.0961344108954578</v>
      </c>
      <c r="E2182" s="0" t="n">
        <f aca="false">B2182/SUM($A2182:$C2182)</f>
        <v>0.410530890172769</v>
      </c>
      <c r="F2182" s="0" t="n">
        <f aca="false">C2182/SUM($A2182:$C2182)</f>
        <v>0.493334698931773</v>
      </c>
      <c r="G2182" s="0" t="n">
        <f aca="false">SUMPRODUCT(D2182:F2182,Stats!$B$6:$D$6)</f>
        <v>0.366501605960592</v>
      </c>
      <c r="H2182" s="0" t="n">
        <f aca="false">SQRT(SUMPRODUCT(MMULT(D2182:F2182,Stats!$B$12:$D$14),D2182:F2182))</f>
        <v>0.237378881153203</v>
      </c>
      <c r="I2182" s="0" t="n">
        <f aca="false">(G2182-Stats!$B$2)/H2182</f>
        <v>1.36701969604095</v>
      </c>
    </row>
    <row r="2183" customFormat="false" ht="15" hidden="false" customHeight="false" outlineLevel="0" collapsed="false">
      <c r="A2183" s="0" t="n">
        <v>0.268598932914598</v>
      </c>
      <c r="B2183" s="0" t="n">
        <v>0.494825951600546</v>
      </c>
      <c r="C2183" s="0" t="n">
        <v>0.0861161105063738</v>
      </c>
      <c r="D2183" s="0" t="n">
        <f aca="false">A2183/SUM($A2183:$C2183)</f>
        <v>0.316169477975332</v>
      </c>
      <c r="E2183" s="0" t="n">
        <f aca="false">B2183/SUM($A2183:$C2183)</f>
        <v>0.58246271162937</v>
      </c>
      <c r="F2183" s="0" t="n">
        <f aca="false">C2183/SUM($A2183:$C2183)</f>
        <v>0.101367810395298</v>
      </c>
      <c r="G2183" s="0" t="n">
        <f aca="false">SUMPRODUCT(D2183:F2183,Stats!$B$6:$D$6)</f>
        <v>0.387202676633204</v>
      </c>
      <c r="H2183" s="0" t="n">
        <f aca="false">SQRT(SUMPRODUCT(MMULT(D2183:F2183,Stats!$B$12:$D$14),D2183:F2183))</f>
        <v>0.231708398851273</v>
      </c>
      <c r="I2183" s="0" t="n">
        <f aca="false">(G2183-Stats!$B$2)/H2183</f>
        <v>1.48981512256179</v>
      </c>
    </row>
    <row r="2184" customFormat="false" ht="15" hidden="false" customHeight="false" outlineLevel="0" collapsed="false">
      <c r="A2184" s="0" t="n">
        <v>0.559136656462968</v>
      </c>
      <c r="B2184" s="0" t="n">
        <v>0.502783441846681</v>
      </c>
      <c r="C2184" s="0" t="n">
        <v>0.144436484155078</v>
      </c>
      <c r="D2184" s="0" t="n">
        <f aca="false">A2184/SUM($A2184:$C2184)</f>
        <v>0.463492025981727</v>
      </c>
      <c r="E2184" s="0" t="n">
        <f aca="false">B2184/SUM($A2184:$C2184)</f>
        <v>0.41677846264944</v>
      </c>
      <c r="F2184" s="0" t="n">
        <f aca="false">C2184/SUM($A2184:$C2184)</f>
        <v>0.119729511368833</v>
      </c>
      <c r="G2184" s="0" t="n">
        <f aca="false">SUMPRODUCT(D2184:F2184,Stats!$B$6:$D$6)</f>
        <v>0.377163102545763</v>
      </c>
      <c r="H2184" s="0" t="n">
        <f aca="false">SQRT(SUMPRODUCT(MMULT(D2184:F2184,Stats!$B$12:$D$14),D2184:F2184))</f>
        <v>0.226241192655015</v>
      </c>
      <c r="I2184" s="0" t="n">
        <f aca="false">(G2184-Stats!$B$2)/H2184</f>
        <v>1.48144154745877</v>
      </c>
    </row>
    <row r="2185" customFormat="false" ht="15" hidden="false" customHeight="false" outlineLevel="0" collapsed="false">
      <c r="A2185" s="0" t="n">
        <v>0.442066213118075</v>
      </c>
      <c r="B2185" s="0" t="n">
        <v>0.334104652086563</v>
      </c>
      <c r="C2185" s="0" t="n">
        <v>0.521830875305189</v>
      </c>
      <c r="D2185" s="0" t="n">
        <f aca="false">A2185/SUM($A2185:$C2185)</f>
        <v>0.340574437862033</v>
      </c>
      <c r="E2185" s="0" t="n">
        <f aca="false">B2185/SUM($A2185:$C2185)</f>
        <v>0.257399232727788</v>
      </c>
      <c r="F2185" s="0" t="n">
        <f aca="false">C2185/SUM($A2185:$C2185)</f>
        <v>0.402026329410179</v>
      </c>
      <c r="G2185" s="0" t="n">
        <f aca="false">SUMPRODUCT(D2185:F2185,Stats!$B$6:$D$6)</f>
        <v>0.360208401756146</v>
      </c>
      <c r="H2185" s="0" t="n">
        <f aca="false">SQRT(SUMPRODUCT(MMULT(D2185:F2185,Stats!$B$12:$D$14),D2185:F2185))</f>
        <v>0.225938864560385</v>
      </c>
      <c r="I2185" s="0" t="n">
        <f aca="false">(G2185-Stats!$B$2)/H2185</f>
        <v>1.40838276042191</v>
      </c>
    </row>
    <row r="2186" customFormat="false" ht="15" hidden="false" customHeight="false" outlineLevel="0" collapsed="false">
      <c r="A2186" s="0" t="n">
        <v>0.585654335428799</v>
      </c>
      <c r="B2186" s="0" t="n">
        <v>0.00849557860720951</v>
      </c>
      <c r="C2186" s="0" t="n">
        <v>0.761005982949555</v>
      </c>
      <c r="D2186" s="0" t="n">
        <f aca="false">A2186/SUM($A2186:$C2186)</f>
        <v>0.432167499496951</v>
      </c>
      <c r="E2186" s="0" t="n">
        <f aca="false">B2186/SUM($A2186:$C2186)</f>
        <v>0.00626907843304763</v>
      </c>
      <c r="F2186" s="0" t="n">
        <f aca="false">C2186/SUM($A2186:$C2186)</f>
        <v>0.561563422070001</v>
      </c>
      <c r="G2186" s="0" t="n">
        <f aca="false">SUMPRODUCT(D2186:F2186,Stats!$B$6:$D$6)</f>
        <v>0.341359523740523</v>
      </c>
      <c r="H2186" s="0" t="n">
        <f aca="false">SQRT(SUMPRODUCT(MMULT(D2186:F2186,Stats!$B$12:$D$14),D2186:F2186))</f>
        <v>0.225815822735393</v>
      </c>
      <c r="I2186" s="0" t="n">
        <f aca="false">(G2186-Stats!$B$2)/H2186</f>
        <v>1.32568001707882</v>
      </c>
    </row>
    <row r="2187" customFormat="false" ht="15" hidden="false" customHeight="false" outlineLevel="0" collapsed="false">
      <c r="A2187" s="0" t="n">
        <v>0.713014291861741</v>
      </c>
      <c r="B2187" s="0" t="n">
        <v>0.366286386206522</v>
      </c>
      <c r="C2187" s="0" t="n">
        <v>0.0529359355688183</v>
      </c>
      <c r="D2187" s="0" t="n">
        <f aca="false">A2187/SUM($A2187:$C2187)</f>
        <v>0.629739652713867</v>
      </c>
      <c r="E2187" s="0" t="n">
        <f aca="false">B2187/SUM($A2187:$C2187)</f>
        <v>0.323506925844679</v>
      </c>
      <c r="F2187" s="0" t="n">
        <f aca="false">C2187/SUM($A2187:$C2187)</f>
        <v>0.0467534214414532</v>
      </c>
      <c r="G2187" s="0" t="n">
        <f aca="false">SUMPRODUCT(D2187:F2187,Stats!$B$6:$D$6)</f>
        <v>0.373808666648672</v>
      </c>
      <c r="H2187" s="0" t="n">
        <f aca="false">SQRT(SUMPRODUCT(MMULT(D2187:F2187,Stats!$B$12:$D$14),D2187:F2187))</f>
        <v>0.226043525735906</v>
      </c>
      <c r="I2187" s="0" t="n">
        <f aca="false">(G2187-Stats!$B$2)/H2187</f>
        <v>1.46789723602318</v>
      </c>
    </row>
    <row r="2188" customFormat="false" ht="15" hidden="false" customHeight="false" outlineLevel="0" collapsed="false">
      <c r="A2188" s="0" t="n">
        <v>0.75493253978505</v>
      </c>
      <c r="B2188" s="0" t="n">
        <v>0.955175160478132</v>
      </c>
      <c r="C2188" s="0" t="n">
        <v>0.240151596022014</v>
      </c>
      <c r="D2188" s="0" t="n">
        <f aca="false">A2188/SUM($A2188:$C2188)</f>
        <v>0.387093419435573</v>
      </c>
      <c r="E2188" s="0" t="n">
        <f aca="false">B2188/SUM($A2188:$C2188)</f>
        <v>0.489768289938433</v>
      </c>
      <c r="F2188" s="0" t="n">
        <f aca="false">C2188/SUM($A2188:$C2188)</f>
        <v>0.123138290625995</v>
      </c>
      <c r="G2188" s="0" t="n">
        <f aca="false">SUMPRODUCT(D2188:F2188,Stats!$B$6:$D$6)</f>
        <v>0.381268846962156</v>
      </c>
      <c r="H2188" s="0" t="n">
        <f aca="false">SQRT(SUMPRODUCT(MMULT(D2188:F2188,Stats!$B$12:$D$14),D2188:F2188))</f>
        <v>0.228340270621361</v>
      </c>
      <c r="I2188" s="0" t="n">
        <f aca="false">(G2188-Stats!$B$2)/H2188</f>
        <v>1.48580382268505</v>
      </c>
    </row>
    <row r="2189" customFormat="false" ht="15" hidden="false" customHeight="false" outlineLevel="0" collapsed="false">
      <c r="A2189" s="0" t="n">
        <v>0.323524613737038</v>
      </c>
      <c r="B2189" s="0" t="n">
        <v>0.183812889481815</v>
      </c>
      <c r="C2189" s="0" t="n">
        <v>0.57693612334484</v>
      </c>
      <c r="D2189" s="0" t="n">
        <f aca="false">A2189/SUM($A2189:$C2189)</f>
        <v>0.298379122954747</v>
      </c>
      <c r="E2189" s="0" t="n">
        <f aca="false">B2189/SUM($A2189:$C2189)</f>
        <v>0.169526293897196</v>
      </c>
      <c r="F2189" s="0" t="n">
        <f aca="false">C2189/SUM($A2189:$C2189)</f>
        <v>0.532094583148057</v>
      </c>
      <c r="G2189" s="0" t="n">
        <f aca="false">SUMPRODUCT(D2189:F2189,Stats!$B$6:$D$6)</f>
        <v>0.351565724517612</v>
      </c>
      <c r="H2189" s="0" t="n">
        <f aca="false">SQRT(SUMPRODUCT(MMULT(D2189:F2189,Stats!$B$12:$D$14),D2189:F2189))</f>
        <v>0.22861565358688</v>
      </c>
      <c r="I2189" s="0" t="n">
        <f aca="false">(G2189-Stats!$B$2)/H2189</f>
        <v>1.35408804979301</v>
      </c>
    </row>
    <row r="2190" customFormat="false" ht="15" hidden="false" customHeight="false" outlineLevel="0" collapsed="false">
      <c r="A2190" s="0" t="n">
        <v>0.154841394647455</v>
      </c>
      <c r="B2190" s="0" t="n">
        <v>0.356193943461379</v>
      </c>
      <c r="C2190" s="0" t="n">
        <v>0.697013013934263</v>
      </c>
      <c r="D2190" s="0" t="n">
        <f aca="false">A2190/SUM($A2190:$C2190)</f>
        <v>0.128174832063287</v>
      </c>
      <c r="E2190" s="0" t="n">
        <f aca="false">B2190/SUM($A2190:$C2190)</f>
        <v>0.294850734127463</v>
      </c>
      <c r="F2190" s="0" t="n">
        <f aca="false">C2190/SUM($A2190:$C2190)</f>
        <v>0.57697443380925</v>
      </c>
      <c r="G2190" s="0" t="n">
        <f aca="false">SUMPRODUCT(D2190:F2190,Stats!$B$6:$D$6)</f>
        <v>0.357539185983928</v>
      </c>
      <c r="H2190" s="0" t="n">
        <f aca="false">SQRT(SUMPRODUCT(MMULT(D2190:F2190,Stats!$B$12:$D$14),D2190:F2190))</f>
        <v>0.236684152872077</v>
      </c>
      <c r="I2190" s="0" t="n">
        <f aca="false">(G2190-Stats!$B$2)/H2190</f>
        <v>1.33316566468424</v>
      </c>
    </row>
    <row r="2191" customFormat="false" ht="15" hidden="false" customHeight="false" outlineLevel="0" collapsed="false">
      <c r="A2191" s="0" t="n">
        <v>0.560115983009348</v>
      </c>
      <c r="B2191" s="0" t="n">
        <v>0.386462564327935</v>
      </c>
      <c r="C2191" s="0" t="n">
        <v>0.420249601807542</v>
      </c>
      <c r="D2191" s="0" t="n">
        <f aca="false">A2191/SUM($A2191:$C2191)</f>
        <v>0.409792542946816</v>
      </c>
      <c r="E2191" s="0" t="n">
        <f aca="false">B2191/SUM($A2191:$C2191)</f>
        <v>0.282744077644092</v>
      </c>
      <c r="F2191" s="0" t="n">
        <f aca="false">C2191/SUM($A2191:$C2191)</f>
        <v>0.307463379409092</v>
      </c>
      <c r="G2191" s="0" t="n">
        <f aca="false">SUMPRODUCT(D2191:F2191,Stats!$B$6:$D$6)</f>
        <v>0.364274248304897</v>
      </c>
      <c r="H2191" s="0" t="n">
        <f aca="false">SQRT(SUMPRODUCT(MMULT(D2191:F2191,Stats!$B$12:$D$14),D2191:F2191))</f>
        <v>0.224144992524278</v>
      </c>
      <c r="I2191" s="0" t="n">
        <f aca="false">(G2191-Stats!$B$2)/H2191</f>
        <v>1.43779365613082</v>
      </c>
    </row>
    <row r="2192" customFormat="false" ht="15" hidden="false" customHeight="false" outlineLevel="0" collapsed="false">
      <c r="A2192" s="0" t="n">
        <v>0.56211088262323</v>
      </c>
      <c r="B2192" s="0" t="n">
        <v>0.0058647278871613</v>
      </c>
      <c r="C2192" s="0" t="n">
        <v>0.0785098684536099</v>
      </c>
      <c r="D2192" s="0" t="n">
        <f aca="false">A2192/SUM($A2192:$C2192)</f>
        <v>0.869487252094228</v>
      </c>
      <c r="E2192" s="0" t="n">
        <f aca="false">B2192/SUM($A2192:$C2192)</f>
        <v>0.00907170861217113</v>
      </c>
      <c r="F2192" s="0" t="n">
        <f aca="false">C2192/SUM($A2192:$C2192)</f>
        <v>0.121441039293601</v>
      </c>
      <c r="G2192" s="0" t="n">
        <f aca="false">SUMPRODUCT(D2192:F2192,Stats!$B$6:$D$6)</f>
        <v>0.353656988878747</v>
      </c>
      <c r="H2192" s="0" t="n">
        <f aca="false">SQRT(SUMPRODUCT(MMULT(D2192:F2192,Stats!$B$12:$D$14),D2192:F2192))</f>
        <v>0.226415047590828</v>
      </c>
      <c r="I2192" s="0" t="n">
        <f aca="false">(G2192-Stats!$B$2)/H2192</f>
        <v>1.37648531842268</v>
      </c>
    </row>
    <row r="2193" customFormat="false" ht="15" hidden="false" customHeight="false" outlineLevel="0" collapsed="false">
      <c r="A2193" s="0" t="n">
        <v>0.881258067763012</v>
      </c>
      <c r="B2193" s="0" t="n">
        <v>0.0778789890912908</v>
      </c>
      <c r="C2193" s="0" t="n">
        <v>0.706803596210505</v>
      </c>
      <c r="D2193" s="0" t="n">
        <f aca="false">A2193/SUM($A2193:$C2193)</f>
        <v>0.528985270958947</v>
      </c>
      <c r="E2193" s="0" t="n">
        <f aca="false">B2193/SUM($A2193:$C2193)</f>
        <v>0.0467477571593069</v>
      </c>
      <c r="F2193" s="0" t="n">
        <f aca="false">C2193/SUM($A2193:$C2193)</f>
        <v>0.424266971881747</v>
      </c>
      <c r="G2193" s="0" t="n">
        <f aca="false">SUMPRODUCT(D2193:F2193,Stats!$B$6:$D$6)</f>
        <v>0.347474511330853</v>
      </c>
      <c r="H2193" s="0" t="n">
        <f aca="false">SQRT(SUMPRODUCT(MMULT(D2193:F2193,Stats!$B$12:$D$14),D2193:F2193))</f>
        <v>0.222183809964549</v>
      </c>
      <c r="I2193" s="0" t="n">
        <f aca="false">(G2193-Stats!$B$2)/H2193</f>
        <v>1.37487295487279</v>
      </c>
    </row>
    <row r="2194" customFormat="false" ht="15" hidden="false" customHeight="false" outlineLevel="0" collapsed="false">
      <c r="A2194" s="0" t="n">
        <v>0.920038164109053</v>
      </c>
      <c r="B2194" s="0" t="n">
        <v>0.270683604301731</v>
      </c>
      <c r="C2194" s="0" t="n">
        <v>0.370491437059514</v>
      </c>
      <c r="D2194" s="0" t="n">
        <f aca="false">A2194/SUM($A2194:$C2194)</f>
        <v>0.589309750190014</v>
      </c>
      <c r="E2194" s="0" t="n">
        <f aca="false">B2194/SUM($A2194:$C2194)</f>
        <v>0.173380293833853</v>
      </c>
      <c r="F2194" s="0" t="n">
        <f aca="false">C2194/SUM($A2194:$C2194)</f>
        <v>0.237309955976133</v>
      </c>
      <c r="G2194" s="0" t="n">
        <f aca="false">SUMPRODUCT(D2194:F2194,Stats!$B$6:$D$6)</f>
        <v>0.35991605139997</v>
      </c>
      <c r="H2194" s="0" t="n">
        <f aca="false">SQRT(SUMPRODUCT(MMULT(D2194:F2194,Stats!$B$12:$D$14),D2194:F2194))</f>
        <v>0.221895505220222</v>
      </c>
      <c r="I2194" s="0" t="n">
        <f aca="false">(G2194-Stats!$B$2)/H2194</f>
        <v>1.43272866696624</v>
      </c>
    </row>
    <row r="2195" customFormat="false" ht="15" hidden="false" customHeight="false" outlineLevel="0" collapsed="false">
      <c r="A2195" s="0" t="n">
        <v>0.568921405844716</v>
      </c>
      <c r="B2195" s="0" t="n">
        <v>0.881708969638585</v>
      </c>
      <c r="C2195" s="0" t="n">
        <v>0.94190558726042</v>
      </c>
      <c r="D2195" s="0" t="n">
        <f aca="false">A2195/SUM($A2195:$C2195)</f>
        <v>0.237790116722963</v>
      </c>
      <c r="E2195" s="0" t="n">
        <f aca="false">B2195/SUM($A2195:$C2195)</f>
        <v>0.368524855370389</v>
      </c>
      <c r="F2195" s="0" t="n">
        <f aca="false">C2195/SUM($A2195:$C2195)</f>
        <v>0.393685027906648</v>
      </c>
      <c r="G2195" s="0" t="n">
        <f aca="false">SUMPRODUCT(D2195:F2195,Stats!$B$6:$D$6)</f>
        <v>0.366832434436649</v>
      </c>
      <c r="H2195" s="0" t="n">
        <f aca="false">SQRT(SUMPRODUCT(MMULT(D2195:F2195,Stats!$B$12:$D$14),D2195:F2195))</f>
        <v>0.229877243068661</v>
      </c>
      <c r="I2195" s="0" t="n">
        <f aca="false">(G2195-Stats!$B$2)/H2195</f>
        <v>1.41306912376545</v>
      </c>
    </row>
    <row r="2196" customFormat="false" ht="15" hidden="false" customHeight="false" outlineLevel="0" collapsed="false">
      <c r="A2196" s="0" t="n">
        <v>0.739563248111268</v>
      </c>
      <c r="B2196" s="0" t="n">
        <v>0.086619760854694</v>
      </c>
      <c r="C2196" s="0" t="n">
        <v>0.669154155534851</v>
      </c>
      <c r="D2196" s="0" t="n">
        <f aca="false">A2196/SUM($A2196:$C2196)</f>
        <v>0.49457959426706</v>
      </c>
      <c r="E2196" s="0" t="n">
        <f aca="false">B2196/SUM($A2196:$C2196)</f>
        <v>0.0579265752975586</v>
      </c>
      <c r="F2196" s="0" t="n">
        <f aca="false">C2196/SUM($A2196:$C2196)</f>
        <v>0.447493830435381</v>
      </c>
      <c r="G2196" s="0" t="n">
        <f aca="false">SUMPRODUCT(D2196:F2196,Stats!$B$6:$D$6)</f>
        <v>0.34747725436697</v>
      </c>
      <c r="H2196" s="0" t="n">
        <f aca="false">SQRT(SUMPRODUCT(MMULT(D2196:F2196,Stats!$B$12:$D$14),D2196:F2196))</f>
        <v>0.222807600433691</v>
      </c>
      <c r="I2196" s="0" t="n">
        <f aca="false">(G2196-Stats!$B$2)/H2196</f>
        <v>1.37103605878957</v>
      </c>
    </row>
    <row r="2197" customFormat="false" ht="15" hidden="false" customHeight="false" outlineLevel="0" collapsed="false">
      <c r="A2197" s="0" t="n">
        <v>0.410303721872662</v>
      </c>
      <c r="B2197" s="0" t="n">
        <v>0.470700999491062</v>
      </c>
      <c r="C2197" s="0" t="n">
        <v>0.049148390345177</v>
      </c>
      <c r="D2197" s="0" t="n">
        <f aca="false">A2197/SUM($A2197:$C2197)</f>
        <v>0.441114174330763</v>
      </c>
      <c r="E2197" s="0" t="n">
        <f aca="false">B2197/SUM($A2197:$C2197)</f>
        <v>0.506046793335215</v>
      </c>
      <c r="F2197" s="0" t="n">
        <f aca="false">C2197/SUM($A2197:$C2197)</f>
        <v>0.0528390323340212</v>
      </c>
      <c r="G2197" s="0" t="n">
        <f aca="false">SUMPRODUCT(D2197:F2197,Stats!$B$6:$D$6)</f>
        <v>0.384143965987637</v>
      </c>
      <c r="H2197" s="0" t="n">
        <f aca="false">SQRT(SUMPRODUCT(MMULT(D2197:F2197,Stats!$B$12:$D$14),D2197:F2197))</f>
        <v>0.22906441801731</v>
      </c>
      <c r="I2197" s="0" t="n">
        <f aca="false">(G2197-Stats!$B$2)/H2197</f>
        <v>1.49365828594899</v>
      </c>
    </row>
    <row r="2198" customFormat="false" ht="15" hidden="false" customHeight="false" outlineLevel="0" collapsed="false">
      <c r="A2198" s="0" t="n">
        <v>0.191062139346358</v>
      </c>
      <c r="B2198" s="0" t="n">
        <v>0.790513607533648</v>
      </c>
      <c r="C2198" s="0" t="n">
        <v>0.45395883304786</v>
      </c>
      <c r="D2198" s="0" t="n">
        <f aca="false">A2198/SUM($A2198:$C2198)</f>
        <v>0.133094766240991</v>
      </c>
      <c r="E2198" s="0" t="n">
        <f aca="false">B2198/SUM($A2198:$C2198)</f>
        <v>0.550675419865797</v>
      </c>
      <c r="F2198" s="0" t="n">
        <f aca="false">C2198/SUM($A2198:$C2198)</f>
        <v>0.316229813893212</v>
      </c>
      <c r="G2198" s="0" t="n">
        <f aca="false">SUMPRODUCT(D2198:F2198,Stats!$B$6:$D$6)</f>
        <v>0.379448939900431</v>
      </c>
      <c r="H2198" s="0" t="n">
        <f aca="false">SQRT(SUMPRODUCT(MMULT(D2198:F2198,Stats!$B$12:$D$14),D2198:F2198))</f>
        <v>0.235754821841067</v>
      </c>
      <c r="I2198" s="0" t="n">
        <f aca="false">(G2198-Stats!$B$2)/H2198</f>
        <v>1.43135541095283</v>
      </c>
    </row>
    <row r="2199" customFormat="false" ht="15" hidden="false" customHeight="false" outlineLevel="0" collapsed="false">
      <c r="A2199" s="0" t="n">
        <v>0.301662241631149</v>
      </c>
      <c r="B2199" s="0" t="n">
        <v>0.384019073964958</v>
      </c>
      <c r="C2199" s="0" t="n">
        <v>0.85439951332568</v>
      </c>
      <c r="D2199" s="0" t="n">
        <f aca="false">A2199/SUM($A2199:$C2199)</f>
        <v>0.195874291768402</v>
      </c>
      <c r="E2199" s="0" t="n">
        <f aca="false">B2199/SUM($A2199:$C2199)</f>
        <v>0.249349947582823</v>
      </c>
      <c r="F2199" s="0" t="n">
        <f aca="false">C2199/SUM($A2199:$C2199)</f>
        <v>0.554775760648775</v>
      </c>
      <c r="G2199" s="0" t="n">
        <f aca="false">SUMPRODUCT(D2199:F2199,Stats!$B$6:$D$6)</f>
        <v>0.355533249491007</v>
      </c>
      <c r="H2199" s="0" t="n">
        <f aca="false">SQRT(SUMPRODUCT(MMULT(D2199:F2199,Stats!$B$12:$D$14),D2199:F2199))</f>
        <v>0.233037254521504</v>
      </c>
      <c r="I2199" s="0" t="n">
        <f aca="false">(G2199-Stats!$B$2)/H2199</f>
        <v>1.34542114364841</v>
      </c>
    </row>
    <row r="2200" customFormat="false" ht="15" hidden="false" customHeight="false" outlineLevel="0" collapsed="false">
      <c r="A2200" s="0" t="n">
        <v>0.748999017404957</v>
      </c>
      <c r="B2200" s="0" t="n">
        <v>0.272315397181083</v>
      </c>
      <c r="C2200" s="0" t="n">
        <v>0.117501840212373</v>
      </c>
      <c r="D2200" s="0" t="n">
        <f aca="false">A2200/SUM($A2200:$C2200)</f>
        <v>0.657699619450498</v>
      </c>
      <c r="E2200" s="0" t="n">
        <f aca="false">B2200/SUM($A2200:$C2200)</f>
        <v>0.239121452678322</v>
      </c>
      <c r="F2200" s="0" t="n">
        <f aca="false">C2200/SUM($A2200:$C2200)</f>
        <v>0.10317892787118</v>
      </c>
      <c r="G2200" s="0" t="n">
        <f aca="false">SUMPRODUCT(D2200:F2200,Stats!$B$6:$D$6)</f>
        <v>0.367397324103252</v>
      </c>
      <c r="H2200" s="0" t="n">
        <f aca="false">SQRT(SUMPRODUCT(MMULT(D2200:F2200,Stats!$B$12:$D$14),D2200:F2200))</f>
        <v>0.224236161953094</v>
      </c>
      <c r="I2200" s="0" t="n">
        <f aca="false">(G2200-Stats!$B$2)/H2200</f>
        <v>1.45113670011583</v>
      </c>
    </row>
    <row r="2201" customFormat="false" ht="15" hidden="false" customHeight="false" outlineLevel="0" collapsed="false">
      <c r="A2201" s="0" t="n">
        <v>0.251998221644072</v>
      </c>
      <c r="B2201" s="0" t="n">
        <v>0.920756451054734</v>
      </c>
      <c r="C2201" s="0" t="n">
        <v>0.581588837849755</v>
      </c>
      <c r="D2201" s="0" t="n">
        <f aca="false">A2201/SUM($A2201:$C2201)</f>
        <v>0.143642462339246</v>
      </c>
      <c r="E2201" s="0" t="n">
        <f aca="false">B2201/SUM($A2201:$C2201)</f>
        <v>0.524843877791542</v>
      </c>
      <c r="F2201" s="0" t="n">
        <f aca="false">C2201/SUM($A2201:$C2201)</f>
        <v>0.331513659869212</v>
      </c>
      <c r="G2201" s="0" t="n">
        <f aca="false">SUMPRODUCT(D2201:F2201,Stats!$B$6:$D$6)</f>
        <v>0.377541180228278</v>
      </c>
      <c r="H2201" s="0" t="n">
        <f aca="false">SQRT(SUMPRODUCT(MMULT(D2201:F2201,Stats!$B$12:$D$14),D2201:F2201))</f>
        <v>0.23497721977411</v>
      </c>
      <c r="I2201" s="0" t="n">
        <f aca="false">(G2201-Stats!$B$2)/H2201</f>
        <v>1.42797323311103</v>
      </c>
    </row>
    <row r="2202" customFormat="false" ht="15" hidden="false" customHeight="false" outlineLevel="0" collapsed="false">
      <c r="A2202" s="0" t="n">
        <v>0.533480208744783</v>
      </c>
      <c r="B2202" s="0" t="n">
        <v>0.596393599692462</v>
      </c>
      <c r="C2202" s="0" t="n">
        <v>0.366028265746515</v>
      </c>
      <c r="D2202" s="0" t="n">
        <f aca="false">A2202/SUM($A2202:$C2202)</f>
        <v>0.35662776190472</v>
      </c>
      <c r="E2202" s="0" t="n">
        <f aca="false">B2202/SUM($A2202:$C2202)</f>
        <v>0.398684920614128</v>
      </c>
      <c r="F2202" s="0" t="n">
        <f aca="false">C2202/SUM($A2202:$C2202)</f>
        <v>0.244687317481152</v>
      </c>
      <c r="G2202" s="0" t="n">
        <f aca="false">SUMPRODUCT(D2202:F2202,Stats!$B$6:$D$6)</f>
        <v>0.372676360112816</v>
      </c>
      <c r="H2202" s="0" t="n">
        <f aca="false">SQRT(SUMPRODUCT(MMULT(D2202:F2202,Stats!$B$12:$D$14),D2202:F2202))</f>
        <v>0.22651317652852</v>
      </c>
      <c r="I2202" s="0" t="n">
        <f aca="false">(G2202-Stats!$B$2)/H2202</f>
        <v>1.45985485339384</v>
      </c>
    </row>
    <row r="2203" customFormat="false" ht="15" hidden="false" customHeight="false" outlineLevel="0" collapsed="false">
      <c r="A2203" s="0" t="n">
        <v>0.807107020319513</v>
      </c>
      <c r="B2203" s="0" t="n">
        <v>0.52328624930025</v>
      </c>
      <c r="C2203" s="0" t="n">
        <v>0.116747902768796</v>
      </c>
      <c r="D2203" s="0" t="n">
        <f aca="false">A2203/SUM($A2203:$C2203)</f>
        <v>0.557725145078523</v>
      </c>
      <c r="E2203" s="0" t="n">
        <f aca="false">B2203/SUM($A2203:$C2203)</f>
        <v>0.361600000942926</v>
      </c>
      <c r="F2203" s="0" t="n">
        <f aca="false">C2203/SUM($A2203:$C2203)</f>
        <v>0.0806748539785507</v>
      </c>
      <c r="G2203" s="0" t="n">
        <f aca="false">SUMPRODUCT(D2203:F2203,Stats!$B$6:$D$6)</f>
        <v>0.375065122431581</v>
      </c>
      <c r="H2203" s="0" t="n">
        <f aca="false">SQRT(SUMPRODUCT(MMULT(D2203:F2203,Stats!$B$12:$D$14),D2203:F2203))</f>
        <v>0.22563438336109</v>
      </c>
      <c r="I2203" s="0" t="n">
        <f aca="false">(G2203-Stats!$B$2)/H2203</f>
        <v>1.47612751864403</v>
      </c>
    </row>
    <row r="2204" customFormat="false" ht="15" hidden="false" customHeight="false" outlineLevel="0" collapsed="false">
      <c r="A2204" s="0" t="n">
        <v>0.129065124829063</v>
      </c>
      <c r="B2204" s="0" t="n">
        <v>0.536859146502618</v>
      </c>
      <c r="C2204" s="0" t="n">
        <v>0.936570218070839</v>
      </c>
      <c r="D2204" s="0" t="n">
        <f aca="false">A2204/SUM($A2204:$C2204)</f>
        <v>0.0805401364451394</v>
      </c>
      <c r="E2204" s="0" t="n">
        <f aca="false">B2204/SUM($A2204:$C2204)</f>
        <v>0.335014659989741</v>
      </c>
      <c r="F2204" s="0" t="n">
        <f aca="false">C2204/SUM($A2204:$C2204)</f>
        <v>0.58444520356512</v>
      </c>
      <c r="G2204" s="0" t="n">
        <f aca="false">SUMPRODUCT(D2204:F2204,Stats!$B$6:$D$6)</f>
        <v>0.359644162692283</v>
      </c>
      <c r="H2204" s="0" t="n">
        <f aca="false">SQRT(SUMPRODUCT(MMULT(D2204:F2204,Stats!$B$12:$D$14),D2204:F2204))</f>
        <v>0.239380838065521</v>
      </c>
      <c r="I2204" s="0" t="n">
        <f aca="false">(G2204-Stats!$B$2)/H2204</f>
        <v>1.32694064094361</v>
      </c>
    </row>
    <row r="2205" customFormat="false" ht="15" hidden="false" customHeight="false" outlineLevel="0" collapsed="false">
      <c r="A2205" s="0" t="n">
        <v>0.308352121676199</v>
      </c>
      <c r="B2205" s="0" t="n">
        <v>0.869541168859218</v>
      </c>
      <c r="C2205" s="0" t="n">
        <v>0.764095586578879</v>
      </c>
      <c r="D2205" s="0" t="n">
        <f aca="false">A2205/SUM($A2205:$C2205)</f>
        <v>0.158781610600363</v>
      </c>
      <c r="E2205" s="0" t="n">
        <f aca="false">B2205/SUM($A2205:$C2205)</f>
        <v>0.447758058301197</v>
      </c>
      <c r="F2205" s="0" t="n">
        <f aca="false">C2205/SUM($A2205:$C2205)</f>
        <v>0.39346033109844</v>
      </c>
      <c r="G2205" s="0" t="n">
        <f aca="false">SUMPRODUCT(D2205:F2205,Stats!$B$6:$D$6)</f>
        <v>0.371397606311823</v>
      </c>
      <c r="H2205" s="0" t="n">
        <f aca="false">SQRT(SUMPRODUCT(MMULT(D2205:F2205,Stats!$B$12:$D$14),D2205:F2205))</f>
        <v>0.233723473751769</v>
      </c>
      <c r="I2205" s="0" t="n">
        <f aca="false">(G2205-Stats!$B$2)/H2205</f>
        <v>1.40934755514402</v>
      </c>
    </row>
    <row r="2206" customFormat="false" ht="15" hidden="false" customHeight="false" outlineLevel="0" collapsed="false">
      <c r="A2206" s="0" t="n">
        <v>0.247812442906907</v>
      </c>
      <c r="B2206" s="0" t="n">
        <v>0.0363407483162425</v>
      </c>
      <c r="C2206" s="0" t="n">
        <v>0.101847265142383</v>
      </c>
      <c r="D2206" s="0" t="n">
        <f aca="false">A2206/SUM($A2206:$C2206)</f>
        <v>0.642000388393933</v>
      </c>
      <c r="E2206" s="0" t="n">
        <f aca="false">B2206/SUM($A2206:$C2206)</f>
        <v>0.0941469050539898</v>
      </c>
      <c r="F2206" s="0" t="n">
        <f aca="false">C2206/SUM($A2206:$C2206)</f>
        <v>0.263852706552078</v>
      </c>
      <c r="G2206" s="0" t="n">
        <f aca="false">SUMPRODUCT(D2206:F2206,Stats!$B$6:$D$6)</f>
        <v>0.354625158621092</v>
      </c>
      <c r="H2206" s="0" t="n">
        <f aca="false">SQRT(SUMPRODUCT(MMULT(D2206:F2206,Stats!$B$12:$D$14),D2206:F2206))</f>
        <v>0.221513218120547</v>
      </c>
      <c r="I2206" s="0" t="n">
        <f aca="false">(G2206-Stats!$B$2)/H2206</f>
        <v>1.4113160436817</v>
      </c>
    </row>
    <row r="2207" customFormat="false" ht="15" hidden="false" customHeight="false" outlineLevel="0" collapsed="false">
      <c r="A2207" s="0" t="n">
        <v>0.72849393384744</v>
      </c>
      <c r="B2207" s="0" t="n">
        <v>0.199669738040647</v>
      </c>
      <c r="C2207" s="0" t="n">
        <v>0.371270920505394</v>
      </c>
      <c r="D2207" s="0" t="n">
        <f aca="false">A2207/SUM($A2207:$C2207)</f>
        <v>0.560623780613381</v>
      </c>
      <c r="E2207" s="0" t="n">
        <f aca="false">B2207/SUM($A2207:$C2207)</f>
        <v>0.153658936901831</v>
      </c>
      <c r="F2207" s="0" t="n">
        <f aca="false">C2207/SUM($A2207:$C2207)</f>
        <v>0.285717282484788</v>
      </c>
      <c r="G2207" s="0" t="n">
        <f aca="false">SUMPRODUCT(D2207:F2207,Stats!$B$6:$D$6)</f>
        <v>0.357446496636914</v>
      </c>
      <c r="H2207" s="0" t="n">
        <f aca="false">SQRT(SUMPRODUCT(MMULT(D2207:F2207,Stats!$B$12:$D$14),D2207:F2207))</f>
        <v>0.221660974598786</v>
      </c>
      <c r="I2207" s="0" t="n">
        <f aca="false">(G2207-Stats!$B$2)/H2207</f>
        <v>1.42310344528568</v>
      </c>
    </row>
    <row r="2208" customFormat="false" ht="15" hidden="false" customHeight="false" outlineLevel="0" collapsed="false">
      <c r="A2208" s="0" t="n">
        <v>0.501699166006425</v>
      </c>
      <c r="B2208" s="0" t="n">
        <v>0.725468168450163</v>
      </c>
      <c r="C2208" s="0" t="n">
        <v>0.113231223259125</v>
      </c>
      <c r="D2208" s="0" t="n">
        <f aca="false">A2208/SUM($A2208:$C2208)</f>
        <v>0.37429103688489</v>
      </c>
      <c r="E2208" s="0" t="n">
        <f aca="false">B2208/SUM($A2208:$C2208)</f>
        <v>0.541233175964091</v>
      </c>
      <c r="F2208" s="0" t="n">
        <f aca="false">C2208/SUM($A2208:$C2208)</f>
        <v>0.084475787151019</v>
      </c>
      <c r="G2208" s="0" t="n">
        <f aca="false">SUMPRODUCT(D2208:F2208,Stats!$B$6:$D$6)</f>
        <v>0.385296173557315</v>
      </c>
      <c r="H2208" s="0" t="n">
        <f aca="false">SQRT(SUMPRODUCT(MMULT(D2208:F2208,Stats!$B$12:$D$14),D2208:F2208))</f>
        <v>0.230049029186915</v>
      </c>
      <c r="I2208" s="0" t="n">
        <f aca="false">(G2208-Stats!$B$2)/H2208</f>
        <v>1.49227395034294</v>
      </c>
    </row>
    <row r="2209" customFormat="false" ht="15" hidden="false" customHeight="false" outlineLevel="0" collapsed="false">
      <c r="A2209" s="0" t="n">
        <v>0.406366405277462</v>
      </c>
      <c r="B2209" s="0" t="n">
        <v>0.485072909142695</v>
      </c>
      <c r="C2209" s="0" t="n">
        <v>0.54082706397154</v>
      </c>
      <c r="D2209" s="0" t="n">
        <f aca="false">A2209/SUM($A2209:$C2209)</f>
        <v>0.283722645038819</v>
      </c>
      <c r="E2209" s="0" t="n">
        <f aca="false">B2209/SUM($A2209:$C2209)</f>
        <v>0.338675065239881</v>
      </c>
      <c r="F2209" s="0" t="n">
        <f aca="false">C2209/SUM($A2209:$C2209)</f>
        <v>0.377602289721301</v>
      </c>
      <c r="G2209" s="0" t="n">
        <f aca="false">SUMPRODUCT(D2209:F2209,Stats!$B$6:$D$6)</f>
        <v>0.365558391466082</v>
      </c>
      <c r="H2209" s="0" t="n">
        <f aca="false">SQRT(SUMPRODUCT(MMULT(D2209:F2209,Stats!$B$12:$D$14),D2209:F2209))</f>
        <v>0.227976289968991</v>
      </c>
      <c r="I2209" s="0" t="n">
        <f aca="false">(G2209-Stats!$B$2)/H2209</f>
        <v>1.41926334317525</v>
      </c>
    </row>
    <row r="2210" customFormat="false" ht="15" hidden="false" customHeight="false" outlineLevel="0" collapsed="false">
      <c r="A2210" s="0" t="n">
        <v>0.818360641395217</v>
      </c>
      <c r="B2210" s="0" t="n">
        <v>0.171678195043217</v>
      </c>
      <c r="C2210" s="0" t="n">
        <v>0.807831451826622</v>
      </c>
      <c r="D2210" s="0" t="n">
        <f aca="false">A2210/SUM($A2210:$C2210)</f>
        <v>0.455183361523225</v>
      </c>
      <c r="E2210" s="0" t="n">
        <f aca="false">B2210/SUM($A2210:$C2210)</f>
        <v>0.0954897559427862</v>
      </c>
      <c r="F2210" s="0" t="n">
        <f aca="false">C2210/SUM($A2210:$C2210)</f>
        <v>0.449326882533989</v>
      </c>
      <c r="G2210" s="0" t="n">
        <f aca="false">SUMPRODUCT(D2210:F2210,Stats!$B$6:$D$6)</f>
        <v>0.349588045457633</v>
      </c>
      <c r="H2210" s="0" t="n">
        <f aca="false">SQRT(SUMPRODUCT(MMULT(D2210:F2210,Stats!$B$12:$D$14),D2210:F2210))</f>
        <v>0.223415355859639</v>
      </c>
      <c r="I2210" s="0" t="n">
        <f aca="false">(G2210-Stats!$B$2)/H2210</f>
        <v>1.3767542713173</v>
      </c>
    </row>
    <row r="2211" customFormat="false" ht="15" hidden="false" customHeight="false" outlineLevel="0" collapsed="false">
      <c r="A2211" s="0" t="n">
        <v>0.692878427696652</v>
      </c>
      <c r="B2211" s="0" t="n">
        <v>0.555870814198959</v>
      </c>
      <c r="C2211" s="0" t="n">
        <v>0.699527870402572</v>
      </c>
      <c r="D2211" s="0" t="n">
        <f aca="false">A2211/SUM($A2211:$C2211)</f>
        <v>0.355636486885243</v>
      </c>
      <c r="E2211" s="0" t="n">
        <f aca="false">B2211/SUM($A2211:$C2211)</f>
        <v>0.285314040128129</v>
      </c>
      <c r="F2211" s="0" t="n">
        <f aca="false">C2211/SUM($A2211:$C2211)</f>
        <v>0.359049472986628</v>
      </c>
      <c r="G2211" s="0" t="n">
        <f aca="false">SUMPRODUCT(D2211:F2211,Stats!$B$6:$D$6)</f>
        <v>0.362999653930645</v>
      </c>
      <c r="H2211" s="0" t="n">
        <f aca="false">SQRT(SUMPRODUCT(MMULT(D2211:F2211,Stats!$B$12:$D$14),D2211:F2211))</f>
        <v>0.225458514739643</v>
      </c>
      <c r="I2211" s="0" t="n">
        <f aca="false">(G2211-Stats!$B$2)/H2211</f>
        <v>1.42376372123861</v>
      </c>
    </row>
    <row r="2212" customFormat="false" ht="15" hidden="false" customHeight="false" outlineLevel="0" collapsed="false">
      <c r="A2212" s="0" t="n">
        <v>0.412017738951656</v>
      </c>
      <c r="B2212" s="0" t="n">
        <v>0.138397585968125</v>
      </c>
      <c r="C2212" s="0" t="n">
        <v>0.665765240265367</v>
      </c>
      <c r="D2212" s="0" t="n">
        <f aca="false">A2212/SUM($A2212:$C2212)</f>
        <v>0.338780071599756</v>
      </c>
      <c r="E2212" s="0" t="n">
        <f aca="false">B2212/SUM($A2212:$C2212)</f>
        <v>0.113796906421585</v>
      </c>
      <c r="F2212" s="0" t="n">
        <f aca="false">C2212/SUM($A2212:$C2212)</f>
        <v>0.547423021978659</v>
      </c>
      <c r="G2212" s="0" t="n">
        <f aca="false">SUMPRODUCT(D2212:F2212,Stats!$B$6:$D$6)</f>
        <v>0.347936451886274</v>
      </c>
      <c r="H2212" s="0" t="n">
        <f aca="false">SQRT(SUMPRODUCT(MMULT(D2212:F2212,Stats!$B$12:$D$14),D2212:F2212))</f>
        <v>0.227639690729889</v>
      </c>
      <c r="I2212" s="0" t="n">
        <f aca="false">(G2212-Stats!$B$2)/H2212</f>
        <v>1.34395039329626</v>
      </c>
    </row>
    <row r="2213" customFormat="false" ht="15" hidden="false" customHeight="false" outlineLevel="0" collapsed="false">
      <c r="A2213" s="0" t="n">
        <v>0.524672306685622</v>
      </c>
      <c r="B2213" s="0" t="n">
        <v>0.639374800542776</v>
      </c>
      <c r="C2213" s="0" t="n">
        <v>0.33799878102849</v>
      </c>
      <c r="D2213" s="0" t="n">
        <f aca="false">A2213/SUM($A2213:$C2213)</f>
        <v>0.349305111639765</v>
      </c>
      <c r="E2213" s="0" t="n">
        <f aca="false">B2213/SUM($A2213:$C2213)</f>
        <v>0.425669285833048</v>
      </c>
      <c r="F2213" s="0" t="n">
        <f aca="false">C2213/SUM($A2213:$C2213)</f>
        <v>0.225025602527187</v>
      </c>
      <c r="G2213" s="0" t="n">
        <f aca="false">SUMPRODUCT(D2213:F2213,Stats!$B$6:$D$6)</f>
        <v>0.374771169789894</v>
      </c>
      <c r="H2213" s="0" t="n">
        <f aca="false">SQRT(SUMPRODUCT(MMULT(D2213:F2213,Stats!$B$12:$D$14),D2213:F2213))</f>
        <v>0.227117803349336</v>
      </c>
      <c r="I2213" s="0" t="n">
        <f aca="false">(G2213-Stats!$B$2)/H2213</f>
        <v>1.46519191750922</v>
      </c>
    </row>
    <row r="2214" customFormat="false" ht="15" hidden="false" customHeight="false" outlineLevel="0" collapsed="false">
      <c r="A2214" s="0" t="n">
        <v>0.906866577339836</v>
      </c>
      <c r="B2214" s="0" t="n">
        <v>0.587369868575577</v>
      </c>
      <c r="C2214" s="0" t="n">
        <v>0.0854024842908738</v>
      </c>
      <c r="D2214" s="0" t="n">
        <f aca="false">A2214/SUM($A2214:$C2214)</f>
        <v>0.574097383901147</v>
      </c>
      <c r="E2214" s="0" t="n">
        <f aca="false">B2214/SUM($A2214:$C2214)</f>
        <v>0.371838055737758</v>
      </c>
      <c r="F2214" s="0" t="n">
        <f aca="false">C2214/SUM($A2214:$C2214)</f>
        <v>0.0540645603610953</v>
      </c>
      <c r="G2214" s="0" t="n">
        <f aca="false">SUMPRODUCT(D2214:F2214,Stats!$B$6:$D$6)</f>
        <v>0.376387975465265</v>
      </c>
      <c r="H2214" s="0" t="n">
        <f aca="false">SQRT(SUMPRODUCT(MMULT(D2214:F2214,Stats!$B$12:$D$14),D2214:F2214))</f>
        <v>0.226300850293832</v>
      </c>
      <c r="I2214" s="0" t="n">
        <f aca="false">(G2214-Stats!$B$2)/H2214</f>
        <v>1.47762580224993</v>
      </c>
    </row>
    <row r="2215" customFormat="false" ht="15" hidden="false" customHeight="false" outlineLevel="0" collapsed="false">
      <c r="A2215" s="0" t="n">
        <v>0.449803990704429</v>
      </c>
      <c r="B2215" s="0" t="n">
        <v>0.756356054743634</v>
      </c>
      <c r="C2215" s="0" t="n">
        <v>0.794134561732272</v>
      </c>
      <c r="D2215" s="0" t="n">
        <f aca="false">A2215/SUM($A2215:$C2215)</f>
        <v>0.224868871360146</v>
      </c>
      <c r="E2215" s="0" t="n">
        <f aca="false">B2215/SUM($A2215:$C2215)</f>
        <v>0.378122328595293</v>
      </c>
      <c r="F2215" s="0" t="n">
        <f aca="false">C2215/SUM($A2215:$C2215)</f>
        <v>0.397008800044561</v>
      </c>
      <c r="G2215" s="0" t="n">
        <f aca="false">SUMPRODUCT(D2215:F2215,Stats!$B$6:$D$6)</f>
        <v>0.367293008885931</v>
      </c>
      <c r="H2215" s="0" t="n">
        <f aca="false">SQRT(SUMPRODUCT(MMULT(D2215:F2215,Stats!$B$12:$D$14),D2215:F2215))</f>
        <v>0.230455084428877</v>
      </c>
      <c r="I2215" s="0" t="n">
        <f aca="false">(G2215-Stats!$B$2)/H2215</f>
        <v>1.4115245480137</v>
      </c>
    </row>
    <row r="2216" customFormat="false" ht="15" hidden="false" customHeight="false" outlineLevel="0" collapsed="false">
      <c r="A2216" s="0" t="n">
        <v>0.494597052763759</v>
      </c>
      <c r="B2216" s="0" t="n">
        <v>0.894747570831301</v>
      </c>
      <c r="C2216" s="0" t="n">
        <v>0.267668437194298</v>
      </c>
      <c r="D2216" s="0" t="n">
        <f aca="false">A2216/SUM($A2216:$C2216)</f>
        <v>0.298487117855393</v>
      </c>
      <c r="E2216" s="0" t="n">
        <f aca="false">B2216/SUM($A2216:$C2216)</f>
        <v>0.539976172791943</v>
      </c>
      <c r="F2216" s="0" t="n">
        <f aca="false">C2216/SUM($A2216:$C2216)</f>
        <v>0.161536709352663</v>
      </c>
      <c r="G2216" s="0" t="n">
        <f aca="false">SUMPRODUCT(D2216:F2216,Stats!$B$6:$D$6)</f>
        <v>0.383098921931176</v>
      </c>
      <c r="H2216" s="0" t="n">
        <f aca="false">SQRT(SUMPRODUCT(MMULT(D2216:F2216,Stats!$B$12:$D$14),D2216:F2216))</f>
        <v>0.23058892469747</v>
      </c>
      <c r="I2216" s="0" t="n">
        <f aca="false">(G2216-Stats!$B$2)/H2216</f>
        <v>1.47925110617821</v>
      </c>
    </row>
    <row r="2217" customFormat="false" ht="15" hidden="false" customHeight="false" outlineLevel="0" collapsed="false">
      <c r="A2217" s="0" t="n">
        <v>0.410598697238267</v>
      </c>
      <c r="B2217" s="0" t="n">
        <v>0.89859691056897</v>
      </c>
      <c r="C2217" s="0" t="n">
        <v>0.896256716471579</v>
      </c>
      <c r="D2217" s="0" t="n">
        <f aca="false">A2217/SUM($A2217:$C2217)</f>
        <v>0.186174370090967</v>
      </c>
      <c r="E2217" s="0" t="n">
        <f aca="false">B2217/SUM($A2217:$C2217)</f>
        <v>0.407443362378197</v>
      </c>
      <c r="F2217" s="0" t="n">
        <f aca="false">C2217/SUM($A2217:$C2217)</f>
        <v>0.406382267530837</v>
      </c>
      <c r="G2217" s="0" t="n">
        <f aca="false">SUMPRODUCT(D2217:F2217,Stats!$B$6:$D$6)</f>
        <v>0.368721633459619</v>
      </c>
      <c r="H2217" s="0" t="n">
        <f aca="false">SQRT(SUMPRODUCT(MMULT(D2217:F2217,Stats!$B$12:$D$14),D2217:F2217))</f>
        <v>0.232291716034522</v>
      </c>
      <c r="I2217" s="0" t="n">
        <f aca="false">(G2217-Stats!$B$2)/H2217</f>
        <v>1.40651435633229</v>
      </c>
    </row>
    <row r="2218" customFormat="false" ht="15" hidden="false" customHeight="false" outlineLevel="0" collapsed="false">
      <c r="A2218" s="0" t="n">
        <v>0.685712768824681</v>
      </c>
      <c r="B2218" s="0" t="n">
        <v>0.85898054712222</v>
      </c>
      <c r="C2218" s="0" t="n">
        <v>0.0887732669562327</v>
      </c>
      <c r="D2218" s="0" t="n">
        <f aca="false">A2218/SUM($A2218:$C2218)</f>
        <v>0.419789897143763</v>
      </c>
      <c r="E2218" s="0" t="n">
        <f aca="false">B2218/SUM($A2218:$C2218)</f>
        <v>0.525863556752761</v>
      </c>
      <c r="F2218" s="0" t="n">
        <f aca="false">C2218/SUM($A2218:$C2218)</f>
        <v>0.0543465461034761</v>
      </c>
      <c r="G2218" s="0" t="n">
        <f aca="false">SUMPRODUCT(D2218:F2218,Stats!$B$6:$D$6)</f>
        <v>0.385242627793975</v>
      </c>
      <c r="H2218" s="0" t="n">
        <f aca="false">SQRT(SUMPRODUCT(MMULT(D2218:F2218,Stats!$B$12:$D$14),D2218:F2218))</f>
        <v>0.229638911128773</v>
      </c>
      <c r="I2218" s="0" t="n">
        <f aca="false">(G2218-Stats!$B$2)/H2218</f>
        <v>1.49470586716681</v>
      </c>
    </row>
    <row r="2219" customFormat="false" ht="15" hidden="false" customHeight="false" outlineLevel="0" collapsed="false">
      <c r="A2219" s="0" t="n">
        <v>0.864994976207776</v>
      </c>
      <c r="B2219" s="0" t="n">
        <v>0.320619906550227</v>
      </c>
      <c r="C2219" s="0" t="n">
        <v>0.178331512428216</v>
      </c>
      <c r="D2219" s="0" t="n">
        <f aca="false">A2219/SUM($A2219:$C2219)</f>
        <v>0.634185463050899</v>
      </c>
      <c r="E2219" s="0" t="n">
        <f aca="false">B2219/SUM($A2219:$C2219)</f>
        <v>0.235067820613619</v>
      </c>
      <c r="F2219" s="0" t="n">
        <f aca="false">C2219/SUM($A2219:$C2219)</f>
        <v>0.130746716335482</v>
      </c>
      <c r="G2219" s="0" t="n">
        <f aca="false">SUMPRODUCT(D2219:F2219,Stats!$B$6:$D$6)</f>
        <v>0.366403912196988</v>
      </c>
      <c r="H2219" s="0" t="n">
        <f aca="false">SQRT(SUMPRODUCT(MMULT(D2219:F2219,Stats!$B$12:$D$14),D2219:F2219))</f>
        <v>0.223589882703416</v>
      </c>
      <c r="I2219" s="0" t="n">
        <f aca="false">(G2219-Stats!$B$2)/H2219</f>
        <v>1.4508881541268</v>
      </c>
    </row>
    <row r="2220" customFormat="false" ht="15" hidden="false" customHeight="false" outlineLevel="0" collapsed="false">
      <c r="A2220" s="0" t="n">
        <v>0.239369836342046</v>
      </c>
      <c r="B2220" s="0" t="n">
        <v>0.417968508013887</v>
      </c>
      <c r="C2220" s="0" t="n">
        <v>0.251192004604467</v>
      </c>
      <c r="D2220" s="0" t="n">
        <f aca="false">A2220/SUM($A2220:$C2220)</f>
        <v>0.263469279387253</v>
      </c>
      <c r="E2220" s="0" t="n">
        <f aca="false">B2220/SUM($A2220:$C2220)</f>
        <v>0.460049032475529</v>
      </c>
      <c r="F2220" s="0" t="n">
        <f aca="false">C2220/SUM($A2220:$C2220)</f>
        <v>0.276481688137218</v>
      </c>
      <c r="G2220" s="0" t="n">
        <f aca="false">SUMPRODUCT(D2220:F2220,Stats!$B$6:$D$6)</f>
        <v>0.375330454145222</v>
      </c>
      <c r="H2220" s="0" t="n">
        <f aca="false">SQRT(SUMPRODUCT(MMULT(D2220:F2220,Stats!$B$12:$D$14),D2220:F2220))</f>
        <v>0.229670805381489</v>
      </c>
      <c r="I2220" s="0" t="n">
        <f aca="false">(G2220-Stats!$B$2)/H2220</f>
        <v>1.45134011957485</v>
      </c>
    </row>
    <row r="2221" customFormat="false" ht="15" hidden="false" customHeight="false" outlineLevel="0" collapsed="false">
      <c r="A2221" s="0" t="n">
        <v>0.320567586016499</v>
      </c>
      <c r="B2221" s="0" t="n">
        <v>0.134978486071642</v>
      </c>
      <c r="C2221" s="0" t="n">
        <v>0.296176765558999</v>
      </c>
      <c r="D2221" s="0" t="n">
        <f aca="false">A2221/SUM($A2221:$C2221)</f>
        <v>0.426443856647833</v>
      </c>
      <c r="E2221" s="0" t="n">
        <f aca="false">B2221/SUM($A2221:$C2221)</f>
        <v>0.179558847106626</v>
      </c>
      <c r="F2221" s="0" t="n">
        <f aca="false">C2221/SUM($A2221:$C2221)</f>
        <v>0.393997296245541</v>
      </c>
      <c r="G2221" s="0" t="n">
        <f aca="false">SUMPRODUCT(D2221:F2221,Stats!$B$6:$D$6)</f>
        <v>0.355950964215731</v>
      </c>
      <c r="H2221" s="0" t="n">
        <f aca="false">SQRT(SUMPRODUCT(MMULT(D2221:F2221,Stats!$B$12:$D$14),D2221:F2221))</f>
        <v>0.223570894113072</v>
      </c>
      <c r="I2221" s="0" t="n">
        <f aca="false">(G2221-Stats!$B$2)/H2221</f>
        <v>1.40425687100821</v>
      </c>
    </row>
    <row r="2222" customFormat="false" ht="15" hidden="false" customHeight="false" outlineLevel="0" collapsed="false">
      <c r="A2222" s="0" t="n">
        <v>0.572283814542001</v>
      </c>
      <c r="B2222" s="0" t="n">
        <v>0.441853708091064</v>
      </c>
      <c r="C2222" s="0" t="n">
        <v>0.346718761235911</v>
      </c>
      <c r="D2222" s="0" t="n">
        <f aca="false">A2222/SUM($A2222:$C2222)</f>
        <v>0.420532146800228</v>
      </c>
      <c r="E2222" s="0" t="n">
        <f aca="false">B2222/SUM($A2222:$C2222)</f>
        <v>0.324688002200242</v>
      </c>
      <c r="F2222" s="0" t="n">
        <f aca="false">C2222/SUM($A2222:$C2222)</f>
        <v>0.25477985099953</v>
      </c>
      <c r="G2222" s="0" t="n">
        <f aca="false">SUMPRODUCT(D2222:F2222,Stats!$B$6:$D$6)</f>
        <v>0.368140375469642</v>
      </c>
      <c r="H2222" s="0" t="n">
        <f aca="false">SQRT(SUMPRODUCT(MMULT(D2222:F2222,Stats!$B$12:$D$14),D2222:F2222))</f>
        <v>0.224423063585932</v>
      </c>
      <c r="I2222" s="0" t="n">
        <f aca="false">(G2222-Stats!$B$2)/H2222</f>
        <v>1.45323912016183</v>
      </c>
    </row>
    <row r="2223" customFormat="false" ht="15" hidden="false" customHeight="false" outlineLevel="0" collapsed="false">
      <c r="A2223" s="0" t="n">
        <v>0.746452128857114</v>
      </c>
      <c r="B2223" s="0" t="n">
        <v>0.893509971393318</v>
      </c>
      <c r="C2223" s="0" t="n">
        <v>0.756789222902397</v>
      </c>
      <c r="D2223" s="0" t="n">
        <f aca="false">A2223/SUM($A2223:$C2223)</f>
        <v>0.311443294782534</v>
      </c>
      <c r="E2223" s="0" t="n">
        <f aca="false">B2223/SUM($A2223:$C2223)</f>
        <v>0.372800449826368</v>
      </c>
      <c r="F2223" s="0" t="n">
        <f aca="false">C2223/SUM($A2223:$C2223)</f>
        <v>0.315756255391098</v>
      </c>
      <c r="G2223" s="0" t="n">
        <f aca="false">SUMPRODUCT(D2223:F2223,Stats!$B$6:$D$6)</f>
        <v>0.369227302536987</v>
      </c>
      <c r="H2223" s="0" t="n">
        <f aca="false">SQRT(SUMPRODUCT(MMULT(D2223:F2223,Stats!$B$12:$D$14),D2223:F2223))</f>
        <v>0.227239518487851</v>
      </c>
      <c r="I2223" s="0" t="n">
        <f aca="false">(G2223-Stats!$B$2)/H2223</f>
        <v>1.44001054356433</v>
      </c>
    </row>
    <row r="2224" customFormat="false" ht="15" hidden="false" customHeight="false" outlineLevel="0" collapsed="false">
      <c r="A2224" s="0" t="n">
        <v>0.332000702117679</v>
      </c>
      <c r="B2224" s="0" t="n">
        <v>0.744442167837554</v>
      </c>
      <c r="C2224" s="0" t="n">
        <v>0.151980182474051</v>
      </c>
      <c r="D2224" s="0" t="n">
        <f aca="false">A2224/SUM($A2224:$C2224)</f>
        <v>0.270265769973241</v>
      </c>
      <c r="E2224" s="0" t="n">
        <f aca="false">B2224/SUM($A2224:$C2224)</f>
        <v>0.606014488547225</v>
      </c>
      <c r="F2224" s="0" t="n">
        <f aca="false">C2224/SUM($A2224:$C2224)</f>
        <v>0.123719741479534</v>
      </c>
      <c r="G2224" s="0" t="n">
        <f aca="false">SUMPRODUCT(D2224:F2224,Stats!$B$6:$D$6)</f>
        <v>0.387941469491946</v>
      </c>
      <c r="H2224" s="0" t="n">
        <f aca="false">SQRT(SUMPRODUCT(MMULT(D2224:F2224,Stats!$B$12:$D$14),D2224:F2224))</f>
        <v>0.232985875687147</v>
      </c>
      <c r="I2224" s="0" t="n">
        <f aca="false">(G2224-Stats!$B$2)/H2224</f>
        <v>1.48481734556508</v>
      </c>
    </row>
    <row r="2225" customFormat="false" ht="15" hidden="false" customHeight="false" outlineLevel="0" collapsed="false">
      <c r="A2225" s="0" t="n">
        <v>0.130317988091291</v>
      </c>
      <c r="B2225" s="0" t="n">
        <v>0.345627037036159</v>
      </c>
      <c r="C2225" s="0" t="n">
        <v>0.807702369044057</v>
      </c>
      <c r="D2225" s="0" t="n">
        <f aca="false">A2225/SUM($A2225:$C2225)</f>
        <v>0.101521639574083</v>
      </c>
      <c r="E2225" s="0" t="n">
        <f aca="false">B2225/SUM($A2225:$C2225)</f>
        <v>0.269253876575065</v>
      </c>
      <c r="F2225" s="0" t="n">
        <f aca="false">C2225/SUM($A2225:$C2225)</f>
        <v>0.629224483850852</v>
      </c>
      <c r="G2225" s="0" t="n">
        <f aca="false">SUMPRODUCT(D2225:F2225,Stats!$B$6:$D$6)</f>
        <v>0.354625600896256</v>
      </c>
      <c r="H2225" s="0" t="n">
        <f aca="false">SQRT(SUMPRODUCT(MMULT(D2225:F2225,Stats!$B$12:$D$14),D2225:F2225))</f>
        <v>0.239141850133503</v>
      </c>
      <c r="I2225" s="0" t="n">
        <f aca="false">(G2225-Stats!$B$2)/H2225</f>
        <v>1.30728101635799</v>
      </c>
    </row>
    <row r="2226" customFormat="false" ht="15" hidden="false" customHeight="false" outlineLevel="0" collapsed="false">
      <c r="A2226" s="0" t="n">
        <v>0.246348247242302</v>
      </c>
      <c r="B2226" s="0" t="n">
        <v>0.0632534088986796</v>
      </c>
      <c r="C2226" s="0" t="n">
        <v>0.131709535206355</v>
      </c>
      <c r="D2226" s="0" t="n">
        <f aca="false">A2226/SUM($A2226:$C2226)</f>
        <v>0.558218898755305</v>
      </c>
      <c r="E2226" s="0" t="n">
        <f aca="false">B2226/SUM($A2226:$C2226)</f>
        <v>0.143330625052959</v>
      </c>
      <c r="F2226" s="0" t="n">
        <f aca="false">C2226/SUM($A2226:$C2226)</f>
        <v>0.298450476191736</v>
      </c>
      <c r="G2226" s="0" t="n">
        <f aca="false">SUMPRODUCT(D2226:F2226,Stats!$B$6:$D$6)</f>
        <v>0.356501106021778</v>
      </c>
      <c r="H2226" s="0" t="n">
        <f aca="false">SQRT(SUMPRODUCT(MMULT(D2226:F2226,Stats!$B$12:$D$14),D2226:F2226))</f>
        <v>0.221608428138268</v>
      </c>
      <c r="I2226" s="0" t="n">
        <f aca="false">(G2226-Stats!$B$2)/H2226</f>
        <v>1.41917484214793</v>
      </c>
    </row>
    <row r="2227" customFormat="false" ht="15" hidden="false" customHeight="false" outlineLevel="0" collapsed="false">
      <c r="A2227" s="0" t="n">
        <v>0.85874496852958</v>
      </c>
      <c r="B2227" s="0" t="n">
        <v>0.633783284747288</v>
      </c>
      <c r="C2227" s="0" t="n">
        <v>0.253201163369977</v>
      </c>
      <c r="D2227" s="0" t="n">
        <f aca="false">A2227/SUM($A2227:$C2227)</f>
        <v>0.491911839452781</v>
      </c>
      <c r="E2227" s="0" t="n">
        <f aca="false">B2227/SUM($A2227:$C2227)</f>
        <v>0.363047834735261</v>
      </c>
      <c r="F2227" s="0" t="n">
        <f aca="false">C2227/SUM($A2227:$C2227)</f>
        <v>0.145040325811957</v>
      </c>
      <c r="G2227" s="0" t="n">
        <f aca="false">SUMPRODUCT(D2227:F2227,Stats!$B$6:$D$6)</f>
        <v>0.373373575784554</v>
      </c>
      <c r="H2227" s="0" t="n">
        <f aca="false">SQRT(SUMPRODUCT(MMULT(D2227:F2227,Stats!$B$12:$D$14),D2227:F2227))</f>
        <v>0.224913978436132</v>
      </c>
      <c r="I2227" s="0" t="n">
        <f aca="false">(G2227-Stats!$B$2)/H2227</f>
        <v>1.47333473040962</v>
      </c>
    </row>
    <row r="2228" customFormat="false" ht="15" hidden="false" customHeight="false" outlineLevel="0" collapsed="false">
      <c r="A2228" s="0" t="n">
        <v>0.555295825328181</v>
      </c>
      <c r="B2228" s="0" t="n">
        <v>0.52757962242535</v>
      </c>
      <c r="C2228" s="0" t="n">
        <v>0.655435978440661</v>
      </c>
      <c r="D2228" s="0" t="n">
        <f aca="false">A2228/SUM($A2228:$C2228)</f>
        <v>0.31944553603029</v>
      </c>
      <c r="E2228" s="0" t="n">
        <f aca="false">B2228/SUM($A2228:$C2228)</f>
        <v>0.303501210701018</v>
      </c>
      <c r="F2228" s="0" t="n">
        <f aca="false">C2228/SUM($A2228:$C2228)</f>
        <v>0.377053253268693</v>
      </c>
      <c r="G2228" s="0" t="n">
        <f aca="false">SUMPRODUCT(D2228:F2228,Stats!$B$6:$D$6)</f>
        <v>0.363549672869555</v>
      </c>
      <c r="H2228" s="0" t="n">
        <f aca="false">SQRT(SUMPRODUCT(MMULT(D2228:F2228,Stats!$B$12:$D$14),D2228:F2228))</f>
        <v>0.226638544385439</v>
      </c>
      <c r="I2228" s="0" t="n">
        <f aca="false">(G2228-Stats!$B$2)/H2228</f>
        <v>1.41877752410333</v>
      </c>
    </row>
    <row r="2229" customFormat="false" ht="15" hidden="false" customHeight="false" outlineLevel="0" collapsed="false">
      <c r="A2229" s="0" t="n">
        <v>0.233187554421616</v>
      </c>
      <c r="B2229" s="0" t="n">
        <v>0.864402987194398</v>
      </c>
      <c r="C2229" s="0" t="n">
        <v>0.309368562080013</v>
      </c>
      <c r="D2229" s="0" t="n">
        <f aca="false">A2229/SUM($A2229:$C2229)</f>
        <v>0.165738686937695</v>
      </c>
      <c r="E2229" s="0" t="n">
        <f aca="false">B2229/SUM($A2229:$C2229)</f>
        <v>0.614376768254063</v>
      </c>
      <c r="F2229" s="0" t="n">
        <f aca="false">C2229/SUM($A2229:$C2229)</f>
        <v>0.219884544808242</v>
      </c>
      <c r="G2229" s="0" t="n">
        <f aca="false">SUMPRODUCT(D2229:F2229,Stats!$B$6:$D$6)</f>
        <v>0.38577091677833</v>
      </c>
      <c r="H2229" s="0" t="n">
        <f aca="false">SQRT(SUMPRODUCT(MMULT(D2229:F2229,Stats!$B$12:$D$14),D2229:F2229))</f>
        <v>0.235648425009906</v>
      </c>
      <c r="I2229" s="0" t="n">
        <f aca="false">(G2229-Stats!$B$2)/H2229</f>
        <v>1.45882968139456</v>
      </c>
    </row>
    <row r="2230" customFormat="false" ht="15" hidden="false" customHeight="false" outlineLevel="0" collapsed="false">
      <c r="A2230" s="0" t="n">
        <v>0.694131653976237</v>
      </c>
      <c r="B2230" s="0" t="n">
        <v>0.0161246463722149</v>
      </c>
      <c r="C2230" s="0" t="n">
        <v>0.372657129894147</v>
      </c>
      <c r="D2230" s="0" t="n">
        <f aca="false">A2230/SUM($A2230:$C2230)</f>
        <v>0.640985359116596</v>
      </c>
      <c r="E2230" s="0" t="n">
        <f aca="false">B2230/SUM($A2230:$C2230)</f>
        <v>0.0148900603888554</v>
      </c>
      <c r="F2230" s="0" t="n">
        <f aca="false">C2230/SUM($A2230:$C2230)</f>
        <v>0.344124580494549</v>
      </c>
      <c r="G2230" s="0" t="n">
        <f aca="false">SUMPRODUCT(D2230:F2230,Stats!$B$6:$D$6)</f>
        <v>0.347851356309409</v>
      </c>
      <c r="H2230" s="0" t="n">
        <f aca="false">SQRT(SUMPRODUCT(MMULT(D2230:F2230,Stats!$B$12:$D$14),D2230:F2230))</f>
        <v>0.221340377824985</v>
      </c>
      <c r="I2230" s="0" t="n">
        <f aca="false">(G2230-Stats!$B$2)/H2230</f>
        <v>1.38181455780855</v>
      </c>
    </row>
    <row r="2231" customFormat="false" ht="15" hidden="false" customHeight="false" outlineLevel="0" collapsed="false">
      <c r="A2231" s="0" t="n">
        <v>0.351709817958808</v>
      </c>
      <c r="B2231" s="0" t="n">
        <v>0.543484428583015</v>
      </c>
      <c r="C2231" s="0" t="n">
        <v>0.0727362617771965</v>
      </c>
      <c r="D2231" s="0" t="n">
        <f aca="false">A2231/SUM($A2231:$C2231)</f>
        <v>0.363362674216782</v>
      </c>
      <c r="E2231" s="0" t="n">
        <f aca="false">B2231/SUM($A2231:$C2231)</f>
        <v>0.561491164822225</v>
      </c>
      <c r="F2231" s="0" t="n">
        <f aca="false">C2231/SUM($A2231:$C2231)</f>
        <v>0.0751461609609927</v>
      </c>
      <c r="G2231" s="0" t="n">
        <f aca="false">SUMPRODUCT(D2231:F2231,Stats!$B$6:$D$6)</f>
        <v>0.386719052870637</v>
      </c>
      <c r="H2231" s="0" t="n">
        <f aca="false">SQRT(SUMPRODUCT(MMULT(D2231:F2231,Stats!$B$12:$D$14),D2231:F2231))</f>
        <v>0.230779090544038</v>
      </c>
      <c r="I2231" s="0" t="n">
        <f aca="false">(G2231-Stats!$B$2)/H2231</f>
        <v>1.49371874227426</v>
      </c>
    </row>
    <row r="2232" customFormat="false" ht="15" hidden="false" customHeight="false" outlineLevel="0" collapsed="false">
      <c r="A2232" s="0" t="n">
        <v>0.790131373726108</v>
      </c>
      <c r="B2232" s="0" t="n">
        <v>0.217780801767569</v>
      </c>
      <c r="C2232" s="0" t="n">
        <v>0.67703781488201</v>
      </c>
      <c r="D2232" s="0" t="n">
        <f aca="false">A2232/SUM($A2232:$C2232)</f>
        <v>0.468934614225515</v>
      </c>
      <c r="E2232" s="0" t="n">
        <f aca="false">B2232/SUM($A2232:$C2232)</f>
        <v>0.129250602695342</v>
      </c>
      <c r="F2232" s="0" t="n">
        <f aca="false">C2232/SUM($A2232:$C2232)</f>
        <v>0.401814783079143</v>
      </c>
      <c r="G2232" s="0" t="n">
        <f aca="false">SUMPRODUCT(D2232:F2232,Stats!$B$6:$D$6)</f>
        <v>0.352840728752319</v>
      </c>
      <c r="H2232" s="0" t="n">
        <f aca="false">SQRT(SUMPRODUCT(MMULT(D2232:F2232,Stats!$B$12:$D$14),D2232:F2232))</f>
        <v>0.222777417802491</v>
      </c>
      <c r="I2232" s="0" t="n">
        <f aca="false">(G2232-Stats!$B$2)/H2232</f>
        <v>1.39529729637096</v>
      </c>
    </row>
    <row r="2233" customFormat="false" ht="15" hidden="false" customHeight="false" outlineLevel="0" collapsed="false">
      <c r="A2233" s="0" t="n">
        <v>0.803212123244093</v>
      </c>
      <c r="B2233" s="0" t="n">
        <v>0.561876956241513</v>
      </c>
      <c r="C2233" s="0" t="n">
        <v>0.740883206721986</v>
      </c>
      <c r="D2233" s="0" t="n">
        <f aca="false">A2233/SUM($A2233:$C2233)</f>
        <v>0.381397290222896</v>
      </c>
      <c r="E2233" s="0" t="n">
        <f aca="false">B2233/SUM($A2233:$C2233)</f>
        <v>0.266801685815787</v>
      </c>
      <c r="F2233" s="0" t="n">
        <f aca="false">C2233/SUM($A2233:$C2233)</f>
        <v>0.351801023961317</v>
      </c>
      <c r="G2233" s="0" t="n">
        <f aca="false">SUMPRODUCT(D2233:F2233,Stats!$B$6:$D$6)</f>
        <v>0.362134350217557</v>
      </c>
      <c r="H2233" s="0" t="n">
        <f aca="false">SQRT(SUMPRODUCT(MMULT(D2233:F2233,Stats!$B$12:$D$14),D2233:F2233))</f>
        <v>0.224700272653199</v>
      </c>
      <c r="I2233" s="0" t="n">
        <f aca="false">(G2233-Stats!$B$2)/H2233</f>
        <v>1.42471723081374</v>
      </c>
    </row>
    <row r="2234" customFormat="false" ht="15" hidden="false" customHeight="false" outlineLevel="0" collapsed="false">
      <c r="A2234" s="0" t="n">
        <v>0.661860312215006</v>
      </c>
      <c r="B2234" s="0" t="n">
        <v>0.355529797152008</v>
      </c>
      <c r="C2234" s="0" t="n">
        <v>0.808858539033565</v>
      </c>
      <c r="D2234" s="0" t="n">
        <f aca="false">A2234/SUM($A2234:$C2234)</f>
        <v>0.362415223575749</v>
      </c>
      <c r="E2234" s="0" t="n">
        <f aca="false">B2234/SUM($A2234:$C2234)</f>
        <v>0.194677651076363</v>
      </c>
      <c r="F2234" s="0" t="n">
        <f aca="false">C2234/SUM($A2234:$C2234)</f>
        <v>0.442907125347888</v>
      </c>
      <c r="G2234" s="0" t="n">
        <f aca="false">SUMPRODUCT(D2234:F2234,Stats!$B$6:$D$6)</f>
        <v>0.355472210902476</v>
      </c>
      <c r="H2234" s="0" t="n">
        <f aca="false">SQRT(SUMPRODUCT(MMULT(D2234:F2234,Stats!$B$12:$D$14),D2234:F2234))</f>
        <v>0.225486872619561</v>
      </c>
      <c r="I2234" s="0" t="n">
        <f aca="false">(G2234-Stats!$B$2)/H2234</f>
        <v>1.39020159914747</v>
      </c>
    </row>
    <row r="2235" customFormat="false" ht="15" hidden="false" customHeight="false" outlineLevel="0" collapsed="false">
      <c r="A2235" s="0" t="n">
        <v>0.294701369885528</v>
      </c>
      <c r="B2235" s="0" t="n">
        <v>0.571212917751517</v>
      </c>
      <c r="C2235" s="0" t="n">
        <v>0.74539773914154</v>
      </c>
      <c r="D2235" s="0" t="n">
        <f aca="false">A2235/SUM($A2235:$C2235)</f>
        <v>0.182895283463321</v>
      </c>
      <c r="E2235" s="0" t="n">
        <f aca="false">B2235/SUM($A2235:$C2235)</f>
        <v>0.354501740357214</v>
      </c>
      <c r="F2235" s="0" t="n">
        <f aca="false">C2235/SUM($A2235:$C2235)</f>
        <v>0.462602976179465</v>
      </c>
      <c r="G2235" s="0" t="n">
        <f aca="false">SUMPRODUCT(D2235:F2235,Stats!$B$6:$D$6)</f>
        <v>0.364125176632167</v>
      </c>
      <c r="H2235" s="0" t="n">
        <f aca="false">SQRT(SUMPRODUCT(MMULT(D2235:F2235,Stats!$B$12:$D$14),D2235:F2235))</f>
        <v>0.232590409511929</v>
      </c>
      <c r="I2235" s="0" t="n">
        <f aca="false">(G2235-Stats!$B$2)/H2235</f>
        <v>1.38494608315158</v>
      </c>
    </row>
    <row r="2236" customFormat="false" ht="15" hidden="false" customHeight="false" outlineLevel="0" collapsed="false">
      <c r="A2236" s="0" t="n">
        <v>0.378955909812508</v>
      </c>
      <c r="B2236" s="0" t="n">
        <v>0.302767607617425</v>
      </c>
      <c r="C2236" s="0" t="n">
        <v>0.459346010172823</v>
      </c>
      <c r="D2236" s="0" t="n">
        <f aca="false">A2236/SUM($A2236:$C2236)</f>
        <v>0.33210588894495</v>
      </c>
      <c r="E2236" s="0" t="n">
        <f aca="false">B2236/SUM($A2236:$C2236)</f>
        <v>0.265336686585174</v>
      </c>
      <c r="F2236" s="0" t="n">
        <f aca="false">C2236/SUM($A2236:$C2236)</f>
        <v>0.402557424469876</v>
      </c>
      <c r="G2236" s="0" t="n">
        <f aca="false">SUMPRODUCT(D2236:F2236,Stats!$B$6:$D$6)</f>
        <v>0.360650467835854</v>
      </c>
      <c r="H2236" s="0" t="n">
        <f aca="false">SQRT(SUMPRODUCT(MMULT(D2236:F2236,Stats!$B$12:$D$14),D2236:F2236))</f>
        <v>0.226217859633647</v>
      </c>
      <c r="I2236" s="0" t="n">
        <f aca="false">(G2236-Stats!$B$2)/H2236</f>
        <v>1.40859995913629</v>
      </c>
    </row>
    <row r="2237" customFormat="false" ht="15" hidden="false" customHeight="false" outlineLevel="0" collapsed="false">
      <c r="A2237" s="0" t="n">
        <v>0.817963494349154</v>
      </c>
      <c r="B2237" s="0" t="n">
        <v>0.929921763145665</v>
      </c>
      <c r="C2237" s="0" t="n">
        <v>0.54508341285989</v>
      </c>
      <c r="D2237" s="0" t="n">
        <f aca="false">A2237/SUM($A2237:$C2237)</f>
        <v>0.356726851493623</v>
      </c>
      <c r="E2237" s="0" t="n">
        <f aca="false">B2237/SUM($A2237:$C2237)</f>
        <v>0.405553627996937</v>
      </c>
      <c r="F2237" s="0" t="n">
        <f aca="false">C2237/SUM($A2237:$C2237)</f>
        <v>0.23771952050944</v>
      </c>
      <c r="G2237" s="0" t="n">
        <f aca="false">SUMPRODUCT(D2237:F2237,Stats!$B$6:$D$6)</f>
        <v>0.373263710967168</v>
      </c>
      <c r="H2237" s="0" t="n">
        <f aca="false">SQRT(SUMPRODUCT(MMULT(D2237:F2237,Stats!$B$12:$D$14),D2237:F2237))</f>
        <v>0.226627669010289</v>
      </c>
      <c r="I2237" s="0" t="n">
        <f aca="false">(G2237-Stats!$B$2)/H2237</f>
        <v>1.4617090332078</v>
      </c>
    </row>
    <row r="2238" customFormat="false" ht="15" hidden="false" customHeight="false" outlineLevel="0" collapsed="false">
      <c r="A2238" s="0" t="n">
        <v>0.661466205323652</v>
      </c>
      <c r="B2238" s="0" t="n">
        <v>0.903273622238914</v>
      </c>
      <c r="C2238" s="0" t="n">
        <v>0.0985468514129424</v>
      </c>
      <c r="D2238" s="0" t="n">
        <f aca="false">A2238/SUM($A2238:$C2238)</f>
        <v>0.397686227927394</v>
      </c>
      <c r="E2238" s="0" t="n">
        <f aca="false">B2238/SUM($A2238:$C2238)</f>
        <v>0.543065506179176</v>
      </c>
      <c r="F2238" s="0" t="n">
        <f aca="false">C2238/SUM($A2238:$C2238)</f>
        <v>0.0592482658934308</v>
      </c>
      <c r="G2238" s="0" t="n">
        <f aca="false">SUMPRODUCT(D2238:F2238,Stats!$B$6:$D$6)</f>
        <v>0.386097242662016</v>
      </c>
      <c r="H2238" s="0" t="n">
        <f aca="false">SQRT(SUMPRODUCT(MMULT(D2238:F2238,Stats!$B$12:$D$14),D2238:F2238))</f>
        <v>0.230162840073733</v>
      </c>
      <c r="I2238" s="0" t="n">
        <f aca="false">(G2238-Stats!$B$2)/H2238</f>
        <v>1.49501649593733</v>
      </c>
    </row>
    <row r="2239" customFormat="false" ht="15" hidden="false" customHeight="false" outlineLevel="0" collapsed="false">
      <c r="A2239" s="0" t="n">
        <v>0.232078577866165</v>
      </c>
      <c r="B2239" s="0" t="n">
        <v>0.708900006251582</v>
      </c>
      <c r="C2239" s="0" t="n">
        <v>0.8237444619123</v>
      </c>
      <c r="D2239" s="0" t="n">
        <f aca="false">A2239/SUM($A2239:$C2239)</f>
        <v>0.13150991504772</v>
      </c>
      <c r="E2239" s="0" t="n">
        <f aca="false">B2239/SUM($A2239:$C2239)</f>
        <v>0.401706096515449</v>
      </c>
      <c r="F2239" s="0" t="n">
        <f aca="false">C2239/SUM($A2239:$C2239)</f>
        <v>0.466783988436832</v>
      </c>
      <c r="G2239" s="0" t="n">
        <f aca="false">SUMPRODUCT(D2239:F2239,Stats!$B$6:$D$6)</f>
        <v>0.366725964385214</v>
      </c>
      <c r="H2239" s="0" t="n">
        <f aca="false">SQRT(SUMPRODUCT(MMULT(D2239:F2239,Stats!$B$12:$D$14),D2239:F2239))</f>
        <v>0.235252344125645</v>
      </c>
      <c r="I2239" s="0" t="n">
        <f aca="false">(G2239-Stats!$B$2)/H2239</f>
        <v>1.38033040900023</v>
      </c>
    </row>
    <row r="2240" customFormat="false" ht="15" hidden="false" customHeight="false" outlineLevel="0" collapsed="false">
      <c r="A2240" s="0" t="n">
        <v>0.857029028330578</v>
      </c>
      <c r="B2240" s="0" t="n">
        <v>0.415107176854933</v>
      </c>
      <c r="C2240" s="0" t="n">
        <v>0.0893399022918668</v>
      </c>
      <c r="D2240" s="0" t="n">
        <f aca="false">A2240/SUM($A2240:$C2240)</f>
        <v>0.629485176878007</v>
      </c>
      <c r="E2240" s="0" t="n">
        <f aca="false">B2240/SUM($A2240:$C2240)</f>
        <v>0.304894940553946</v>
      </c>
      <c r="F2240" s="0" t="n">
        <f aca="false">C2240/SUM($A2240:$C2240)</f>
        <v>0.0656198825680467</v>
      </c>
      <c r="G2240" s="0" t="n">
        <f aca="false">SUMPRODUCT(D2240:F2240,Stats!$B$6:$D$6)</f>
        <v>0.372217521694921</v>
      </c>
      <c r="H2240" s="0" t="n">
        <f aca="false">SQRT(SUMPRODUCT(MMULT(D2240:F2240,Stats!$B$12:$D$14),D2240:F2240))</f>
        <v>0.225423711629198</v>
      </c>
      <c r="I2240" s="0" t="n">
        <f aca="false">(G2240-Stats!$B$2)/H2240</f>
        <v>1.4648748319702</v>
      </c>
    </row>
    <row r="2241" customFormat="false" ht="15" hidden="false" customHeight="false" outlineLevel="0" collapsed="false">
      <c r="A2241" s="0" t="n">
        <v>0.43778147729962</v>
      </c>
      <c r="B2241" s="0" t="n">
        <v>0.230734590207054</v>
      </c>
      <c r="C2241" s="0" t="n">
        <v>0.291196454996624</v>
      </c>
      <c r="D2241" s="0" t="n">
        <f aca="false">A2241/SUM($A2241:$C2241)</f>
        <v>0.456158971602994</v>
      </c>
      <c r="E2241" s="0" t="n">
        <f aca="false">B2241/SUM($A2241:$C2241)</f>
        <v>0.240420526769005</v>
      </c>
      <c r="F2241" s="0" t="n">
        <f aca="false">C2241/SUM($A2241:$C2241)</f>
        <v>0.303420501628</v>
      </c>
      <c r="G2241" s="0" t="n">
        <f aca="false">SUMPRODUCT(D2241:F2241,Stats!$B$6:$D$6)</f>
        <v>0.361950486765685</v>
      </c>
      <c r="H2241" s="0" t="n">
        <f aca="false">SQRT(SUMPRODUCT(MMULT(D2241:F2241,Stats!$B$12:$D$14),D2241:F2241))</f>
        <v>0.223077064149189</v>
      </c>
      <c r="I2241" s="0" t="n">
        <f aca="false">(G2241-Stats!$B$2)/H2241</f>
        <v>1.43425989572693</v>
      </c>
    </row>
    <row r="2242" customFormat="false" ht="15" hidden="false" customHeight="false" outlineLevel="0" collapsed="false">
      <c r="A2242" s="0" t="n">
        <v>0.772267556837506</v>
      </c>
      <c r="B2242" s="0" t="n">
        <v>0.0755270860258869</v>
      </c>
      <c r="C2242" s="0" t="n">
        <v>0.827581217480702</v>
      </c>
      <c r="D2242" s="0" t="n">
        <f aca="false">A2242/SUM($A2242:$C2242)</f>
        <v>0.46095182288164</v>
      </c>
      <c r="E2242" s="0" t="n">
        <f aca="false">B2242/SUM($A2242:$C2242)</f>
        <v>0.0450806817822807</v>
      </c>
      <c r="F2242" s="0" t="n">
        <f aca="false">C2242/SUM($A2242:$C2242)</f>
        <v>0.49396749533608</v>
      </c>
      <c r="G2242" s="0" t="n">
        <f aca="false">SUMPRODUCT(D2242:F2242,Stats!$B$6:$D$6)</f>
        <v>0.34545662484529</v>
      </c>
      <c r="H2242" s="0" t="n">
        <f aca="false">SQRT(SUMPRODUCT(MMULT(D2242:F2242,Stats!$B$12:$D$14),D2242:F2242))</f>
        <v>0.223950485520627</v>
      </c>
      <c r="I2242" s="0" t="n">
        <f aca="false">(G2242-Stats!$B$2)/H2242</f>
        <v>1.35501659726181</v>
      </c>
    </row>
    <row r="2243" customFormat="false" ht="15" hidden="false" customHeight="false" outlineLevel="0" collapsed="false">
      <c r="A2243" s="0" t="n">
        <v>0.427669085824169</v>
      </c>
      <c r="B2243" s="0" t="n">
        <v>0.596063931100595</v>
      </c>
      <c r="C2243" s="0" t="n">
        <v>0.089652231235679</v>
      </c>
      <c r="D2243" s="0" t="n">
        <f aca="false">A2243/SUM($A2243:$C2243)</f>
        <v>0.384115998061563</v>
      </c>
      <c r="E2243" s="0" t="n">
        <f aca="false">B2243/SUM($A2243:$C2243)</f>
        <v>0.535361800495761</v>
      </c>
      <c r="F2243" s="0" t="n">
        <f aca="false">C2243/SUM($A2243:$C2243)</f>
        <v>0.080522201442676</v>
      </c>
      <c r="G2243" s="0" t="n">
        <f aca="false">SUMPRODUCT(D2243:F2243,Stats!$B$6:$D$6)</f>
        <v>0.385067360817319</v>
      </c>
      <c r="H2243" s="0" t="n">
        <f aca="false">SQRT(SUMPRODUCT(MMULT(D2243:F2243,Stats!$B$12:$D$14),D2243:F2243))</f>
        <v>0.229845009230735</v>
      </c>
      <c r="I2243" s="0" t="n">
        <f aca="false">(G2243-Stats!$B$2)/H2243</f>
        <v>1.49260304570252</v>
      </c>
    </row>
    <row r="2244" customFormat="false" ht="15" hidden="false" customHeight="false" outlineLevel="0" collapsed="false">
      <c r="A2244" s="0" t="n">
        <v>0.33735907835728</v>
      </c>
      <c r="B2244" s="0" t="n">
        <v>0.0897009190148458</v>
      </c>
      <c r="C2244" s="0" t="n">
        <v>0.96154372288111</v>
      </c>
      <c r="D2244" s="0" t="n">
        <f aca="false">A2244/SUM($A2244:$C2244)</f>
        <v>0.242948418931037</v>
      </c>
      <c r="E2244" s="0" t="n">
        <f aca="false">B2244/SUM($A2244:$C2244)</f>
        <v>0.0645979250282344</v>
      </c>
      <c r="F2244" s="0" t="n">
        <f aca="false">C2244/SUM($A2244:$C2244)</f>
        <v>0.692453656040729</v>
      </c>
      <c r="G2244" s="0" t="n">
        <f aca="false">SUMPRODUCT(D2244:F2244,Stats!$B$6:$D$6)</f>
        <v>0.341106442221349</v>
      </c>
      <c r="H2244" s="0" t="n">
        <f aca="false">SQRT(SUMPRODUCT(MMULT(D2244:F2244,Stats!$B$12:$D$14),D2244:F2244))</f>
        <v>0.234695219439681</v>
      </c>
      <c r="I2244" s="0" t="n">
        <f aca="false">(G2244-Stats!$B$2)/H2244</f>
        <v>1.27444624963152</v>
      </c>
    </row>
    <row r="2245" customFormat="false" ht="15" hidden="false" customHeight="false" outlineLevel="0" collapsed="false">
      <c r="A2245" s="0" t="n">
        <v>0.80726164932625</v>
      </c>
      <c r="B2245" s="0" t="n">
        <v>0.45963275435646</v>
      </c>
      <c r="C2245" s="0" t="n">
        <v>0.223602548323671</v>
      </c>
      <c r="D2245" s="0" t="n">
        <f aca="false">A2245/SUM($A2245:$C2245)</f>
        <v>0.5416057028762</v>
      </c>
      <c r="E2245" s="0" t="n">
        <f aca="false">B2245/SUM($A2245:$C2245)</f>
        <v>0.308375507737699</v>
      </c>
      <c r="F2245" s="0" t="n">
        <f aca="false">C2245/SUM($A2245:$C2245)</f>
        <v>0.150018789386101</v>
      </c>
      <c r="G2245" s="0" t="n">
        <f aca="false">SUMPRODUCT(D2245:F2245,Stats!$B$6:$D$6)</f>
        <v>0.370090521631883</v>
      </c>
      <c r="H2245" s="0" t="n">
        <f aca="false">SQRT(SUMPRODUCT(MMULT(D2245:F2245,Stats!$B$12:$D$14),D2245:F2245))</f>
        <v>0.223934532760483</v>
      </c>
      <c r="I2245" s="0" t="n">
        <f aca="false">(G2245-Stats!$B$2)/H2245</f>
        <v>1.46511803064694</v>
      </c>
    </row>
    <row r="2246" customFormat="false" ht="15" hidden="false" customHeight="false" outlineLevel="0" collapsed="false">
      <c r="A2246" s="0" t="n">
        <v>0.933455105249852</v>
      </c>
      <c r="B2246" s="0" t="n">
        <v>0.344596595726972</v>
      </c>
      <c r="C2246" s="0" t="n">
        <v>0.160984431687375</v>
      </c>
      <c r="D2246" s="0" t="n">
        <f aca="false">A2246/SUM($A2246:$C2246)</f>
        <v>0.648666898670344</v>
      </c>
      <c r="E2246" s="0" t="n">
        <f aca="false">B2246/SUM($A2246:$C2246)</f>
        <v>0.239463476910058</v>
      </c>
      <c r="F2246" s="0" t="n">
        <f aca="false">C2246/SUM($A2246:$C2246)</f>
        <v>0.111869624419598</v>
      </c>
      <c r="G2246" s="0" t="n">
        <f aca="false">SUMPRODUCT(D2246:F2246,Stats!$B$6:$D$6)</f>
        <v>0.367177361120168</v>
      </c>
      <c r="H2246" s="0" t="n">
        <f aca="false">SQRT(SUMPRODUCT(MMULT(D2246:F2246,Stats!$B$12:$D$14),D2246:F2246))</f>
        <v>0.224021505504679</v>
      </c>
      <c r="I2246" s="0" t="n">
        <f aca="false">(G2246-Stats!$B$2)/H2246</f>
        <v>1.45154528975958</v>
      </c>
    </row>
    <row r="2247" customFormat="false" ht="15" hidden="false" customHeight="false" outlineLevel="0" collapsed="false">
      <c r="A2247" s="0" t="n">
        <v>0.563164388453955</v>
      </c>
      <c r="B2247" s="0" t="n">
        <v>0.943774120344816</v>
      </c>
      <c r="C2247" s="0" t="n">
        <v>0.00383029050032258</v>
      </c>
      <c r="D2247" s="0" t="n">
        <f aca="false">A2247/SUM($A2247:$C2247)</f>
        <v>0.372766758696122</v>
      </c>
      <c r="E2247" s="0" t="n">
        <f aca="false">B2247/SUM($A2247:$C2247)</f>
        <v>0.624697915910542</v>
      </c>
      <c r="F2247" s="0" t="n">
        <f aca="false">C2247/SUM($A2247:$C2247)</f>
        <v>0.0025353253933359</v>
      </c>
      <c r="G2247" s="0" t="n">
        <f aca="false">SUMPRODUCT(D2247:F2247,Stats!$B$6:$D$6)</f>
        <v>0.392358103384544</v>
      </c>
      <c r="H2247" s="0" t="n">
        <f aca="false">SQRT(SUMPRODUCT(MMULT(D2247:F2247,Stats!$B$12:$D$14),D2247:F2247))</f>
        <v>0.233371461767084</v>
      </c>
      <c r="I2247" s="0" t="n">
        <f aca="false">(G2247-Stats!$B$2)/H2247</f>
        <v>1.50128940673226</v>
      </c>
    </row>
    <row r="2248" customFormat="false" ht="15" hidden="false" customHeight="false" outlineLevel="0" collapsed="false">
      <c r="A2248" s="0" t="n">
        <v>0.238124843253999</v>
      </c>
      <c r="B2248" s="0" t="n">
        <v>0.938447640410408</v>
      </c>
      <c r="C2248" s="0" t="n">
        <v>0.171085966857162</v>
      </c>
      <c r="D2248" s="0" t="n">
        <f aca="false">A2248/SUM($A2248:$C2248)</f>
        <v>0.176695247346863</v>
      </c>
      <c r="E2248" s="0" t="n">
        <f aca="false">B2248/SUM($A2248:$C2248)</f>
        <v>0.696354213522878</v>
      </c>
      <c r="F2248" s="0" t="n">
        <f aca="false">C2248/SUM($A2248:$C2248)</f>
        <v>0.126950539130259</v>
      </c>
      <c r="G2248" s="0" t="n">
        <f aca="false">SUMPRODUCT(D2248:F2248,Stats!$B$6:$D$6)</f>
        <v>0.393050412340039</v>
      </c>
      <c r="H2248" s="0" t="n">
        <f aca="false">SQRT(SUMPRODUCT(MMULT(D2248:F2248,Stats!$B$12:$D$14),D2248:F2248))</f>
        <v>0.237692567959386</v>
      </c>
      <c r="I2248" s="0" t="n">
        <f aca="false">(G2248-Stats!$B$2)/H2248</f>
        <v>1.47690950269855</v>
      </c>
    </row>
    <row r="2249" customFormat="false" ht="15" hidden="false" customHeight="false" outlineLevel="0" collapsed="false">
      <c r="A2249" s="0" t="n">
        <v>0.11324345163982</v>
      </c>
      <c r="B2249" s="0" t="n">
        <v>0.570187215799805</v>
      </c>
      <c r="C2249" s="0" t="n">
        <v>0.86184382329483</v>
      </c>
      <c r="D2249" s="0" t="n">
        <f aca="false">A2249/SUM($A2249:$C2249)</f>
        <v>0.0732837125823493</v>
      </c>
      <c r="E2249" s="0" t="n">
        <f aca="false">B2249/SUM($A2249:$C2249)</f>
        <v>0.368987658321338</v>
      </c>
      <c r="F2249" s="0" t="n">
        <f aca="false">C2249/SUM($A2249:$C2249)</f>
        <v>0.557728629096313</v>
      </c>
      <c r="G2249" s="0" t="n">
        <f aca="false">SUMPRODUCT(D2249:F2249,Stats!$B$6:$D$6)</f>
        <v>0.362335624311134</v>
      </c>
      <c r="H2249" s="0" t="n">
        <f aca="false">SQRT(SUMPRODUCT(MMULT(D2249:F2249,Stats!$B$12:$D$14),D2249:F2249))</f>
        <v>0.239374659286769</v>
      </c>
      <c r="I2249" s="0" t="n">
        <f aca="false">(G2249-Stats!$B$2)/H2249</f>
        <v>1.33821861205189</v>
      </c>
    </row>
    <row r="2250" customFormat="false" ht="15" hidden="false" customHeight="false" outlineLevel="0" collapsed="false">
      <c r="A2250" s="0" t="n">
        <v>0.477109817693926</v>
      </c>
      <c r="B2250" s="0" t="n">
        <v>0.994564256684525</v>
      </c>
      <c r="C2250" s="0" t="n">
        <v>0.679171699537993</v>
      </c>
      <c r="D2250" s="0" t="n">
        <f aca="false">A2250/SUM($A2250:$C2250)</f>
        <v>0.221824281164132</v>
      </c>
      <c r="E2250" s="0" t="n">
        <f aca="false">B2250/SUM($A2250:$C2250)</f>
        <v>0.462406123556473</v>
      </c>
      <c r="F2250" s="0" t="n">
        <f aca="false">C2250/SUM($A2250:$C2250)</f>
        <v>0.315769595279395</v>
      </c>
      <c r="G2250" s="0" t="n">
        <f aca="false">SUMPRODUCT(D2250:F2250,Stats!$B$6:$D$6)</f>
        <v>0.374382729186774</v>
      </c>
      <c r="H2250" s="0" t="n">
        <f aca="false">SQRT(SUMPRODUCT(MMULT(D2250:F2250,Stats!$B$12:$D$14),D2250:F2250))</f>
        <v>0.231085067890207</v>
      </c>
      <c r="I2250" s="0" t="n">
        <f aca="false">(G2250-Stats!$B$2)/H2250</f>
        <v>1.43835658539692</v>
      </c>
    </row>
    <row r="2251" customFormat="false" ht="15" hidden="false" customHeight="false" outlineLevel="0" collapsed="false">
      <c r="A2251" s="0" t="n">
        <v>0.0740749072104477</v>
      </c>
      <c r="B2251" s="0" t="n">
        <v>0.992832131681975</v>
      </c>
      <c r="C2251" s="0" t="n">
        <v>0.40789423678019</v>
      </c>
      <c r="D2251" s="0" t="n">
        <f aca="false">A2251/SUM($A2251:$C2251)</f>
        <v>0.0502270430818989</v>
      </c>
      <c r="E2251" s="0" t="n">
        <f aca="false">B2251/SUM($A2251:$C2251)</f>
        <v>0.673197228710813</v>
      </c>
      <c r="F2251" s="0" t="n">
        <f aca="false">C2251/SUM($A2251:$C2251)</f>
        <v>0.276575728207288</v>
      </c>
      <c r="G2251" s="0" t="n">
        <f aca="false">SUMPRODUCT(D2251:F2251,Stats!$B$6:$D$6)</f>
        <v>0.387592132365526</v>
      </c>
      <c r="H2251" s="0" t="n">
        <f aca="false">SQRT(SUMPRODUCT(MMULT(D2251:F2251,Stats!$B$12:$D$14),D2251:F2251))</f>
        <v>0.241520030504383</v>
      </c>
      <c r="I2251" s="0" t="n">
        <f aca="false">(G2251-Stats!$B$2)/H2251</f>
        <v>1.43090464026442</v>
      </c>
    </row>
    <row r="2252" customFormat="false" ht="15" hidden="false" customHeight="false" outlineLevel="0" collapsed="false">
      <c r="A2252" s="0" t="n">
        <v>0.287402533845483</v>
      </c>
      <c r="B2252" s="0" t="n">
        <v>0.557879183577886</v>
      </c>
      <c r="C2252" s="0" t="n">
        <v>0.304307591820864</v>
      </c>
      <c r="D2252" s="0" t="n">
        <f aca="false">A2252/SUM($A2252:$C2252)</f>
        <v>0.25000452903866</v>
      </c>
      <c r="E2252" s="0" t="n">
        <f aca="false">B2252/SUM($A2252:$C2252)</f>
        <v>0.485285639916614</v>
      </c>
      <c r="F2252" s="0" t="n">
        <f aca="false">C2252/SUM($A2252:$C2252)</f>
        <v>0.264709831044726</v>
      </c>
      <c r="G2252" s="0" t="n">
        <f aca="false">SUMPRODUCT(D2252:F2252,Stats!$B$6:$D$6)</f>
        <v>0.377107140305911</v>
      </c>
      <c r="H2252" s="0" t="n">
        <f aca="false">SQRT(SUMPRODUCT(MMULT(D2252:F2252,Stats!$B$12:$D$14),D2252:F2252))</f>
        <v>0.230460650701783</v>
      </c>
      <c r="I2252" s="0" t="n">
        <f aca="false">(G2252-Stats!$B$2)/H2252</f>
        <v>1.45407530216315</v>
      </c>
    </row>
    <row r="2253" customFormat="false" ht="15" hidden="false" customHeight="false" outlineLevel="0" collapsed="false">
      <c r="A2253" s="0" t="n">
        <v>0.0864575071201523</v>
      </c>
      <c r="B2253" s="0" t="n">
        <v>0.00142834307917672</v>
      </c>
      <c r="C2253" s="0" t="n">
        <v>0.449583352920262</v>
      </c>
      <c r="D2253" s="0" t="n">
        <f aca="false">A2253/SUM($A2253:$C2253)</f>
        <v>0.160860392778477</v>
      </c>
      <c r="E2253" s="0" t="n">
        <f aca="false">B2253/SUM($A2253:$C2253)</f>
        <v>0.00265753474038382</v>
      </c>
      <c r="F2253" s="0" t="n">
        <f aca="false">C2253/SUM($A2253:$C2253)</f>
        <v>0.83648207248114</v>
      </c>
      <c r="G2253" s="0" t="n">
        <f aca="false">SUMPRODUCT(D2253:F2253,Stats!$B$6:$D$6)</f>
        <v>0.333570944144962</v>
      </c>
      <c r="H2253" s="0" t="n">
        <f aca="false">SQRT(SUMPRODUCT(MMULT(D2253:F2253,Stats!$B$12:$D$14),D2253:F2253))</f>
        <v>0.243739912916417</v>
      </c>
      <c r="I2253" s="0" t="n">
        <f aca="false">(G2253-Stats!$B$2)/H2253</f>
        <v>1.19623799260545</v>
      </c>
    </row>
    <row r="2254" customFormat="false" ht="15" hidden="false" customHeight="false" outlineLevel="0" collapsed="false">
      <c r="A2254" s="0" t="n">
        <v>0.836863422226592</v>
      </c>
      <c r="B2254" s="0" t="n">
        <v>0.572315185630077</v>
      </c>
      <c r="C2254" s="0" t="n">
        <v>0.999207298943441</v>
      </c>
      <c r="D2254" s="0" t="n">
        <f aca="false">A2254/SUM($A2254:$C2254)</f>
        <v>0.347478956700293</v>
      </c>
      <c r="E2254" s="0" t="n">
        <f aca="false">B2254/SUM($A2254:$C2254)</f>
        <v>0.237634335931853</v>
      </c>
      <c r="F2254" s="0" t="n">
        <f aca="false">C2254/SUM($A2254:$C2254)</f>
        <v>0.414886707367854</v>
      </c>
      <c r="G2254" s="0" t="n">
        <f aca="false">SUMPRODUCT(D2254:F2254,Stats!$B$6:$D$6)</f>
        <v>0.358716535199892</v>
      </c>
      <c r="H2254" s="0" t="n">
        <f aca="false">SQRT(SUMPRODUCT(MMULT(D2254:F2254,Stats!$B$12:$D$14),D2254:F2254))</f>
        <v>0.225762378913355</v>
      </c>
      <c r="I2254" s="0" t="n">
        <f aca="false">(G2254-Stats!$B$2)/H2254</f>
        <v>1.40287561073869</v>
      </c>
    </row>
    <row r="2255" customFormat="false" ht="15" hidden="false" customHeight="false" outlineLevel="0" collapsed="false">
      <c r="A2255" s="0" t="n">
        <v>0.2868466456472</v>
      </c>
      <c r="B2255" s="0" t="n">
        <v>0.280455064760055</v>
      </c>
      <c r="C2255" s="0" t="n">
        <v>0.159749460233944</v>
      </c>
      <c r="D2255" s="0" t="n">
        <f aca="false">A2255/SUM($A2255:$C2255)</f>
        <v>0.394534328848167</v>
      </c>
      <c r="E2255" s="0" t="n">
        <f aca="false">B2255/SUM($A2255:$C2255)</f>
        <v>0.385743227003839</v>
      </c>
      <c r="F2255" s="0" t="n">
        <f aca="false">C2255/SUM($A2255:$C2255)</f>
        <v>0.219722444147993</v>
      </c>
      <c r="G2255" s="0" t="n">
        <f aca="false">SUMPRODUCT(D2255:F2255,Stats!$B$6:$D$6)</f>
        <v>0.372620108592753</v>
      </c>
      <c r="H2255" s="0" t="n">
        <f aca="false">SQRT(SUMPRODUCT(MMULT(D2255:F2255,Stats!$B$12:$D$14),D2255:F2255))</f>
        <v>0.22572944731152</v>
      </c>
      <c r="I2255" s="0" t="n">
        <f aca="false">(G2255-Stats!$B$2)/H2255</f>
        <v>1.46467424844432</v>
      </c>
    </row>
    <row r="2256" customFormat="false" ht="15" hidden="false" customHeight="false" outlineLevel="0" collapsed="false">
      <c r="A2256" s="0" t="n">
        <v>0.164063588265335</v>
      </c>
      <c r="B2256" s="0" t="n">
        <v>0.285186596010048</v>
      </c>
      <c r="C2256" s="0" t="n">
        <v>0.792840045273527</v>
      </c>
      <c r="D2256" s="0" t="n">
        <f aca="false">A2256/SUM($A2256:$C2256)</f>
        <v>0.132086690936228</v>
      </c>
      <c r="E2256" s="0" t="n">
        <f aca="false">B2256/SUM($A2256:$C2256)</f>
        <v>0.22960215709419</v>
      </c>
      <c r="F2256" s="0" t="n">
        <f aca="false">C2256/SUM($A2256:$C2256)</f>
        <v>0.638311151969582</v>
      </c>
      <c r="G2256" s="0" t="n">
        <f aca="false">SUMPRODUCT(D2256:F2256,Stats!$B$6:$D$6)</f>
        <v>0.352093530899085</v>
      </c>
      <c r="H2256" s="0" t="n">
        <f aca="false">SQRT(SUMPRODUCT(MMULT(D2256:F2256,Stats!$B$12:$D$14),D2256:F2256))</f>
        <v>0.237799733643822</v>
      </c>
      <c r="I2256" s="0" t="n">
        <f aca="false">(G2256-Stats!$B$2)/H2256</f>
        <v>1.30401126253381</v>
      </c>
    </row>
    <row r="2257" customFormat="false" ht="15" hidden="false" customHeight="false" outlineLevel="0" collapsed="false">
      <c r="A2257" s="0" t="n">
        <v>0.905756790636448</v>
      </c>
      <c r="B2257" s="0" t="n">
        <v>0.975087169707681</v>
      </c>
      <c r="C2257" s="0" t="n">
        <v>0.232289654096453</v>
      </c>
      <c r="D2257" s="0" t="n">
        <f aca="false">A2257/SUM($A2257:$C2257)</f>
        <v>0.42863204884289</v>
      </c>
      <c r="E2257" s="0" t="n">
        <f aca="false">B2257/SUM($A2257:$C2257)</f>
        <v>0.461441322519409</v>
      </c>
      <c r="F2257" s="0" t="n">
        <f aca="false">C2257/SUM($A2257:$C2257)</f>
        <v>0.109926628637701</v>
      </c>
      <c r="G2257" s="0" t="n">
        <f aca="false">SUMPRODUCT(D2257:F2257,Stats!$B$6:$D$6)</f>
        <v>0.380003256417596</v>
      </c>
      <c r="H2257" s="0" t="n">
        <f aca="false">SQRT(SUMPRODUCT(MMULT(D2257:F2257,Stats!$B$12:$D$14),D2257:F2257))</f>
        <v>0.227460464455044</v>
      </c>
      <c r="I2257" s="0" t="n">
        <f aca="false">(G2257-Stats!$B$2)/H2257</f>
        <v>1.48598683831669</v>
      </c>
    </row>
    <row r="2258" customFormat="false" ht="15" hidden="false" customHeight="false" outlineLevel="0" collapsed="false">
      <c r="A2258" s="0" t="n">
        <v>0.881297545614092</v>
      </c>
      <c r="B2258" s="0" t="n">
        <v>0.328255089277337</v>
      </c>
      <c r="C2258" s="0" t="n">
        <v>0.112840544516884</v>
      </c>
      <c r="D2258" s="0" t="n">
        <f aca="false">A2258/SUM($A2258:$C2258)</f>
        <v>0.666441387733425</v>
      </c>
      <c r="E2258" s="0" t="n">
        <f aca="false">B2258/SUM($A2258:$C2258)</f>
        <v>0.248228056820597</v>
      </c>
      <c r="F2258" s="0" t="n">
        <f aca="false">C2258/SUM($A2258:$C2258)</f>
        <v>0.0853305554459782</v>
      </c>
      <c r="G2258" s="0" t="n">
        <f aca="false">SUMPRODUCT(D2258:F2258,Stats!$B$6:$D$6)</f>
        <v>0.368413468323931</v>
      </c>
      <c r="H2258" s="0" t="n">
        <f aca="false">SQRT(SUMPRODUCT(MMULT(D2258:F2258,Stats!$B$12:$D$14),D2258:F2258))</f>
        <v>0.224722396010426</v>
      </c>
      <c r="I2258" s="0" t="n">
        <f aca="false">(G2258-Stats!$B$2)/H2258</f>
        <v>1.45251863685535</v>
      </c>
    </row>
    <row r="2259" customFormat="false" ht="15" hidden="false" customHeight="false" outlineLevel="0" collapsed="false">
      <c r="A2259" s="0" t="n">
        <v>0.870024925520166</v>
      </c>
      <c r="B2259" s="0" t="n">
        <v>0.636105634643619</v>
      </c>
      <c r="C2259" s="0" t="n">
        <v>0.164730896081062</v>
      </c>
      <c r="D2259" s="0" t="n">
        <f aca="false">A2259/SUM($A2259:$C2259)</f>
        <v>0.52070440805756</v>
      </c>
      <c r="E2259" s="0" t="n">
        <f aca="false">B2259/SUM($A2259:$C2259)</f>
        <v>0.380705193878387</v>
      </c>
      <c r="F2259" s="0" t="n">
        <f aca="false">C2259/SUM($A2259:$C2259)</f>
        <v>0.0985903980640525</v>
      </c>
      <c r="G2259" s="0" t="n">
        <f aca="false">SUMPRODUCT(D2259:F2259,Stats!$B$6:$D$6)</f>
        <v>0.375670396268243</v>
      </c>
      <c r="H2259" s="0" t="n">
        <f aca="false">SQRT(SUMPRODUCT(MMULT(D2259:F2259,Stats!$B$12:$D$14),D2259:F2259))</f>
        <v>0.225664159441547</v>
      </c>
      <c r="I2259" s="0" t="n">
        <f aca="false">(G2259-Stats!$B$2)/H2259</f>
        <v>1.47861493421898</v>
      </c>
    </row>
    <row r="2260" customFormat="false" ht="15" hidden="false" customHeight="false" outlineLevel="0" collapsed="false">
      <c r="A2260" s="0" t="n">
        <v>0.429831257513003</v>
      </c>
      <c r="B2260" s="0" t="n">
        <v>0.287257694877068</v>
      </c>
      <c r="C2260" s="0" t="n">
        <v>0.736794568710197</v>
      </c>
      <c r="D2260" s="0" t="n">
        <f aca="false">A2260/SUM($A2260:$C2260)</f>
        <v>0.295643530774539</v>
      </c>
      <c r="E2260" s="0" t="n">
        <f aca="false">B2260/SUM($A2260:$C2260)</f>
        <v>0.19757957959361</v>
      </c>
      <c r="F2260" s="0" t="n">
        <f aca="false">C2260/SUM($A2260:$C2260)</f>
        <v>0.506776889631851</v>
      </c>
      <c r="G2260" s="0" t="n">
        <f aca="false">SUMPRODUCT(D2260:F2260,Stats!$B$6:$D$6)</f>
        <v>0.353877999928939</v>
      </c>
      <c r="H2260" s="0" t="n">
        <f aca="false">SQRT(SUMPRODUCT(MMULT(D2260:F2260,Stats!$B$12:$D$14),D2260:F2260))</f>
        <v>0.228313927685949</v>
      </c>
      <c r="I2260" s="0" t="n">
        <f aca="false">(G2260-Stats!$B$2)/H2260</f>
        <v>1.36600514515231</v>
      </c>
    </row>
    <row r="2261" customFormat="false" ht="15" hidden="false" customHeight="false" outlineLevel="0" collapsed="false">
      <c r="A2261" s="0" t="n">
        <v>0.453416230624268</v>
      </c>
      <c r="B2261" s="0" t="n">
        <v>0.989279945106385</v>
      </c>
      <c r="C2261" s="0" t="n">
        <v>0.0547449822595951</v>
      </c>
      <c r="D2261" s="0" t="n">
        <f aca="false">A2261/SUM($A2261:$C2261)</f>
        <v>0.302794021791687</v>
      </c>
      <c r="E2261" s="0" t="n">
        <f aca="false">B2261/SUM($A2261:$C2261)</f>
        <v>0.660646957529952</v>
      </c>
      <c r="F2261" s="0" t="n">
        <f aca="false">C2261/SUM($A2261:$C2261)</f>
        <v>0.0365590206783615</v>
      </c>
      <c r="G2261" s="0" t="n">
        <f aca="false">SUMPRODUCT(D2261:F2261,Stats!$B$6:$D$6)</f>
        <v>0.393488374400108</v>
      </c>
      <c r="H2261" s="0" t="n">
        <f aca="false">SQRT(SUMPRODUCT(MMULT(D2261:F2261,Stats!$B$12:$D$14),D2261:F2261))</f>
        <v>0.234755902057633</v>
      </c>
      <c r="I2261" s="0" t="n">
        <f aca="false">(G2261-Stats!$B$2)/H2261</f>
        <v>1.49725042616316</v>
      </c>
    </row>
    <row r="2262" customFormat="false" ht="15" hidden="false" customHeight="false" outlineLevel="0" collapsed="false">
      <c r="A2262" s="0" t="n">
        <v>0.355015266136247</v>
      </c>
      <c r="B2262" s="0" t="n">
        <v>0.481900167109977</v>
      </c>
      <c r="C2262" s="0" t="n">
        <v>0.50313355474832</v>
      </c>
      <c r="D2262" s="0" t="n">
        <f aca="false">A2262/SUM($A2262:$C2262)</f>
        <v>0.26492708051483</v>
      </c>
      <c r="E2262" s="0" t="n">
        <f aca="false">B2262/SUM($A2262:$C2262)</f>
        <v>0.359613843544009</v>
      </c>
      <c r="F2262" s="0" t="n">
        <f aca="false">C2262/SUM($A2262:$C2262)</f>
        <v>0.375459075941161</v>
      </c>
      <c r="G2262" s="0" t="n">
        <f aca="false">SUMPRODUCT(D2262:F2262,Stats!$B$6:$D$6)</f>
        <v>0.366822279964835</v>
      </c>
      <c r="H2262" s="0" t="n">
        <f aca="false">SQRT(SUMPRODUCT(MMULT(D2262:F2262,Stats!$B$12:$D$14),D2262:F2262))</f>
        <v>0.228744807732608</v>
      </c>
      <c r="I2262" s="0" t="n">
        <f aca="false">(G2262-Stats!$B$2)/H2262</f>
        <v>1.4200203413777</v>
      </c>
    </row>
    <row r="2263" customFormat="false" ht="15" hidden="false" customHeight="false" outlineLevel="0" collapsed="false">
      <c r="A2263" s="0" t="n">
        <v>0.315935822385637</v>
      </c>
      <c r="B2263" s="0" t="n">
        <v>0.729240249097568</v>
      </c>
      <c r="C2263" s="0" t="n">
        <v>0.874747073488975</v>
      </c>
      <c r="D2263" s="0" t="n">
        <f aca="false">A2263/SUM($A2263:$C2263)</f>
        <v>0.16455649446854</v>
      </c>
      <c r="E2263" s="0" t="n">
        <f aca="false">B2263/SUM($A2263:$C2263)</f>
        <v>0.379827833737655</v>
      </c>
      <c r="F2263" s="0" t="n">
        <f aca="false">C2263/SUM($A2263:$C2263)</f>
        <v>0.455615671793805</v>
      </c>
      <c r="G2263" s="0" t="n">
        <f aca="false">SUMPRODUCT(D2263:F2263,Stats!$B$6:$D$6)</f>
        <v>0.365775079497333</v>
      </c>
      <c r="H2263" s="0" t="n">
        <f aca="false">SQRT(SUMPRODUCT(MMULT(D2263:F2263,Stats!$B$12:$D$14),D2263:F2263))</f>
        <v>0.233466820528494</v>
      </c>
      <c r="I2263" s="0" t="n">
        <f aca="false">(G2263-Stats!$B$2)/H2263</f>
        <v>1.3868141038817</v>
      </c>
    </row>
    <row r="2264" customFormat="false" ht="15" hidden="false" customHeight="false" outlineLevel="0" collapsed="false">
      <c r="A2264" s="0" t="n">
        <v>0.938719301977863</v>
      </c>
      <c r="B2264" s="0" t="n">
        <v>0.805093376799526</v>
      </c>
      <c r="C2264" s="0" t="n">
        <v>0.850580197306599</v>
      </c>
      <c r="D2264" s="0" t="n">
        <f aca="false">A2264/SUM($A2264:$C2264)</f>
        <v>0.361826194726058</v>
      </c>
      <c r="E2264" s="0" t="n">
        <f aca="false">B2264/SUM($A2264:$C2264)</f>
        <v>0.310320531720988</v>
      </c>
      <c r="F2264" s="0" t="n">
        <f aca="false">C2264/SUM($A2264:$C2264)</f>
        <v>0.327853273552954</v>
      </c>
      <c r="G2264" s="0" t="n">
        <f aca="false">SUMPRODUCT(D2264:F2264,Stats!$B$6:$D$6)</f>
        <v>0.365298718292324</v>
      </c>
      <c r="H2264" s="0" t="n">
        <f aca="false">SQRT(SUMPRODUCT(MMULT(D2264:F2264,Stats!$B$12:$D$14),D2264:F2264))</f>
        <v>0.225397942644491</v>
      </c>
      <c r="I2264" s="0" t="n">
        <f aca="false">(G2264-Stats!$B$2)/H2264</f>
        <v>1.43434635870766</v>
      </c>
    </row>
    <row r="2265" customFormat="false" ht="15" hidden="false" customHeight="false" outlineLevel="0" collapsed="false">
      <c r="A2265" s="0" t="n">
        <v>0.550545300619996</v>
      </c>
      <c r="B2265" s="0" t="n">
        <v>0.825888226426815</v>
      </c>
      <c r="C2265" s="0" t="n">
        <v>0.303503909147952</v>
      </c>
      <c r="D2265" s="0" t="n">
        <f aca="false">A2265/SUM($A2265:$C2265)</f>
        <v>0.327717740410047</v>
      </c>
      <c r="E2265" s="0" t="n">
        <f aca="false">B2265/SUM($A2265:$C2265)</f>
        <v>0.491618442825787</v>
      </c>
      <c r="F2265" s="0" t="n">
        <f aca="false">C2265/SUM($A2265:$C2265)</f>
        <v>0.180663816764165</v>
      </c>
      <c r="G2265" s="0" t="n">
        <f aca="false">SUMPRODUCT(D2265:F2265,Stats!$B$6:$D$6)</f>
        <v>0.379789058106909</v>
      </c>
      <c r="H2265" s="0" t="n">
        <f aca="false">SQRT(SUMPRODUCT(MMULT(D2265:F2265,Stats!$B$12:$D$14),D2265:F2265))</f>
        <v>0.228894782805231</v>
      </c>
      <c r="I2265" s="0" t="n">
        <f aca="false">(G2265-Stats!$B$2)/H2265</f>
        <v>1.47573943786363</v>
      </c>
    </row>
    <row r="2266" customFormat="false" ht="15" hidden="false" customHeight="false" outlineLevel="0" collapsed="false">
      <c r="A2266" s="0" t="n">
        <v>0.398478762109214</v>
      </c>
      <c r="B2266" s="0" t="n">
        <v>0.316913013818544</v>
      </c>
      <c r="C2266" s="0" t="n">
        <v>0.467387335447925</v>
      </c>
      <c r="D2266" s="0" t="n">
        <f aca="false">A2266/SUM($A2266:$C2266)</f>
        <v>0.336900405389935</v>
      </c>
      <c r="E2266" s="0" t="n">
        <f aca="false">B2266/SUM($A2266:$C2266)</f>
        <v>0.267939305632431</v>
      </c>
      <c r="F2266" s="0" t="n">
        <f aca="false">C2266/SUM($A2266:$C2266)</f>
        <v>0.395160288977635</v>
      </c>
      <c r="G2266" s="0" t="n">
        <f aca="false">SUMPRODUCT(D2266:F2266,Stats!$B$6:$D$6)</f>
        <v>0.361004192333439</v>
      </c>
      <c r="H2266" s="0" t="n">
        <f aca="false">SQRT(SUMPRODUCT(MMULT(D2266:F2266,Stats!$B$12:$D$14),D2266:F2266))</f>
        <v>0.226045179363092</v>
      </c>
      <c r="I2266" s="0" t="n">
        <f aca="false">(G2266-Stats!$B$2)/H2266</f>
        <v>1.4112408556213</v>
      </c>
    </row>
    <row r="2267" customFormat="false" ht="15" hidden="false" customHeight="false" outlineLevel="0" collapsed="false">
      <c r="A2267" s="0" t="n">
        <v>0.285579616238636</v>
      </c>
      <c r="B2267" s="0" t="n">
        <v>0.961611442254447</v>
      </c>
      <c r="C2267" s="0" t="n">
        <v>0.312844628005668</v>
      </c>
      <c r="D2267" s="0" t="n">
        <f aca="false">A2267/SUM($A2267:$C2267)</f>
        <v>0.18305966889743</v>
      </c>
      <c r="E2267" s="0" t="n">
        <f aca="false">B2267/SUM($A2267:$C2267)</f>
        <v>0.616403490366704</v>
      </c>
      <c r="F2267" s="0" t="n">
        <f aca="false">C2267/SUM($A2267:$C2267)</f>
        <v>0.200536840735866</v>
      </c>
      <c r="G2267" s="0" t="n">
        <f aca="false">SUMPRODUCT(D2267:F2267,Stats!$B$6:$D$6)</f>
        <v>0.386421037243833</v>
      </c>
      <c r="H2267" s="0" t="n">
        <f aca="false">SQRT(SUMPRODUCT(MMULT(D2267:F2267,Stats!$B$12:$D$14),D2267:F2267))</f>
        <v>0.235164003118212</v>
      </c>
      <c r="I2267" s="0" t="n">
        <f aca="false">(G2267-Stats!$B$2)/H2267</f>
        <v>1.46459931229654</v>
      </c>
    </row>
    <row r="2268" customFormat="false" ht="15" hidden="false" customHeight="false" outlineLevel="0" collapsed="false">
      <c r="A2268" s="0" t="n">
        <v>0.0980445381109398</v>
      </c>
      <c r="B2268" s="0" t="n">
        <v>0.526817166050413</v>
      </c>
      <c r="C2268" s="0" t="n">
        <v>0.0570990784451764</v>
      </c>
      <c r="D2268" s="0" t="n">
        <f aca="false">A2268/SUM($A2268:$C2268)</f>
        <v>0.143768587009069</v>
      </c>
      <c r="E2268" s="0" t="n">
        <f aca="false">B2268/SUM($A2268:$C2268)</f>
        <v>0.772503609425838</v>
      </c>
      <c r="F2268" s="0" t="n">
        <f aca="false">C2268/SUM($A2268:$C2268)</f>
        <v>0.0837278035650927</v>
      </c>
      <c r="G2268" s="0" t="n">
        <f aca="false">SUMPRODUCT(D2268:F2268,Stats!$B$6:$D$6)</f>
        <v>0.398623800330932</v>
      </c>
      <c r="H2268" s="0" t="n">
        <f aca="false">SQRT(SUMPRODUCT(MMULT(D2268:F2268,Stats!$B$12:$D$14),D2268:F2268))</f>
        <v>0.241189251919053</v>
      </c>
      <c r="I2268" s="0" t="n">
        <f aca="false">(G2268-Stats!$B$2)/H2268</f>
        <v>1.4786056903175</v>
      </c>
    </row>
    <row r="2269" customFormat="false" ht="15" hidden="false" customHeight="false" outlineLevel="0" collapsed="false">
      <c r="A2269" s="0" t="n">
        <v>0.110543166308581</v>
      </c>
      <c r="B2269" s="0" t="n">
        <v>0.219389389196246</v>
      </c>
      <c r="C2269" s="0" t="n">
        <v>0.464350249882142</v>
      </c>
      <c r="D2269" s="0" t="n">
        <f aca="false">A2269/SUM($A2269:$C2269)</f>
        <v>0.139173560800834</v>
      </c>
      <c r="E2269" s="0" t="n">
        <f aca="false">B2269/SUM($A2269:$C2269)</f>
        <v>0.276210674218689</v>
      </c>
      <c r="F2269" s="0" t="n">
        <f aca="false">C2269/SUM($A2269:$C2269)</f>
        <v>0.584615764980477</v>
      </c>
      <c r="G2269" s="0" t="n">
        <f aca="false">SUMPRODUCT(D2269:F2269,Stats!$B$6:$D$6)</f>
        <v>0.356255954294099</v>
      </c>
      <c r="H2269" s="0" t="n">
        <f aca="false">SQRT(SUMPRODUCT(MMULT(D2269:F2269,Stats!$B$12:$D$14),D2269:F2269))</f>
        <v>0.236266215083929</v>
      </c>
      <c r="I2269" s="0" t="n">
        <f aca="false">(G2269-Stats!$B$2)/H2269</f>
        <v>1.33009264224454</v>
      </c>
    </row>
    <row r="2270" customFormat="false" ht="15" hidden="false" customHeight="false" outlineLevel="0" collapsed="false">
      <c r="A2270" s="0" t="n">
        <v>0.433250932309028</v>
      </c>
      <c r="B2270" s="0" t="n">
        <v>0.799691862002791</v>
      </c>
      <c r="C2270" s="0" t="n">
        <v>0.739474653884113</v>
      </c>
      <c r="D2270" s="0" t="n">
        <f aca="false">A2270/SUM($A2270:$C2270)</f>
        <v>0.219654785910204</v>
      </c>
      <c r="E2270" s="0" t="n">
        <f aca="false">B2270/SUM($A2270:$C2270)</f>
        <v>0.405437430465963</v>
      </c>
      <c r="F2270" s="0" t="n">
        <f aca="false">C2270/SUM($A2270:$C2270)</f>
        <v>0.374907783623833</v>
      </c>
      <c r="G2270" s="0" t="n">
        <f aca="false">SUMPRODUCT(D2270:F2270,Stats!$B$6:$D$6)</f>
        <v>0.369474111521628</v>
      </c>
      <c r="H2270" s="0" t="n">
        <f aca="false">SQRT(SUMPRODUCT(MMULT(D2270:F2270,Stats!$B$12:$D$14),D2270:F2270))</f>
        <v>0.230750636402485</v>
      </c>
      <c r="I2270" s="0" t="n">
        <f aca="false">(G2270-Stats!$B$2)/H2270</f>
        <v>1.41916883362538</v>
      </c>
    </row>
    <row r="2271" customFormat="false" ht="15" hidden="false" customHeight="false" outlineLevel="0" collapsed="false">
      <c r="A2271" s="0" t="n">
        <v>0.426318293990701</v>
      </c>
      <c r="B2271" s="0" t="n">
        <v>0.33370420757563</v>
      </c>
      <c r="C2271" s="0" t="n">
        <v>0.316468784061499</v>
      </c>
      <c r="D2271" s="0" t="n">
        <f aca="false">A2271/SUM($A2271:$C2271)</f>
        <v>0.396025773438625</v>
      </c>
      <c r="E2271" s="0" t="n">
        <f aca="false">B2271/SUM($A2271:$C2271)</f>
        <v>0.309992483943804</v>
      </c>
      <c r="F2271" s="0" t="n">
        <f aca="false">C2271/SUM($A2271:$C2271)</f>
        <v>0.293981742617571</v>
      </c>
      <c r="G2271" s="0" t="n">
        <f aca="false">SUMPRODUCT(D2271:F2271,Stats!$B$6:$D$6)</f>
        <v>0.366213837285676</v>
      </c>
      <c r="H2271" s="0" t="n">
        <f aca="false">SQRT(SUMPRODUCT(MMULT(D2271:F2271,Stats!$B$12:$D$14),D2271:F2271))</f>
        <v>0.224637328518171</v>
      </c>
      <c r="I2271" s="0" t="n">
        <f aca="false">(G2271-Stats!$B$2)/H2271</f>
        <v>1.44327676715337</v>
      </c>
    </row>
    <row r="2272" customFormat="false" ht="15" hidden="false" customHeight="false" outlineLevel="0" collapsed="false">
      <c r="A2272" s="0" t="n">
        <v>0.773995087294009</v>
      </c>
      <c r="B2272" s="0" t="n">
        <v>0.0520724062212697</v>
      </c>
      <c r="C2272" s="0" t="n">
        <v>0.0128216495106058</v>
      </c>
      <c r="D2272" s="0" t="n">
        <f aca="false">A2272/SUM($A2272:$C2272)</f>
        <v>0.922642870906874</v>
      </c>
      <c r="E2272" s="0" t="n">
        <f aca="false">B2272/SUM($A2272:$C2272)</f>
        <v>0.0620730482140273</v>
      </c>
      <c r="F2272" s="0" t="n">
        <f aca="false">C2272/SUM($A2272:$C2272)</f>
        <v>0.0152840808790992</v>
      </c>
      <c r="G2272" s="0" t="n">
        <f aca="false">SUMPRODUCT(D2272:F2272,Stats!$B$6:$D$6)</f>
        <v>0.359633854659313</v>
      </c>
      <c r="H2272" s="0" t="n">
        <f aca="false">SQRT(SUMPRODUCT(MMULT(D2272:F2272,Stats!$B$12:$D$14),D2272:F2272))</f>
        <v>0.230446193834046</v>
      </c>
      <c r="I2272" s="0" t="n">
        <f aca="false">(G2272-Stats!$B$2)/H2272</f>
        <v>1.37834281128572</v>
      </c>
    </row>
    <row r="2273" customFormat="false" ht="15" hidden="false" customHeight="false" outlineLevel="0" collapsed="false">
      <c r="A2273" s="0" t="n">
        <v>0.795544391926648</v>
      </c>
      <c r="B2273" s="0" t="n">
        <v>0.477146375989049</v>
      </c>
      <c r="C2273" s="0" t="n">
        <v>0.130881138553576</v>
      </c>
      <c r="D2273" s="0" t="n">
        <f aca="false">A2273/SUM($A2273:$C2273)</f>
        <v>0.56679988268493</v>
      </c>
      <c r="E2273" s="0" t="n">
        <f aca="false">B2273/SUM($A2273:$C2273)</f>
        <v>0.339951500731676</v>
      </c>
      <c r="F2273" s="0" t="n">
        <f aca="false">C2273/SUM($A2273:$C2273)</f>
        <v>0.0932486165833936</v>
      </c>
      <c r="G2273" s="0" t="n">
        <f aca="false">SUMPRODUCT(D2273:F2273,Stats!$B$6:$D$6)</f>
        <v>0.373472779080827</v>
      </c>
      <c r="H2273" s="0" t="n">
        <f aca="false">SQRT(SUMPRODUCT(MMULT(D2273:F2273,Stats!$B$12:$D$14),D2273:F2273))</f>
        <v>0.225127220117522</v>
      </c>
      <c r="I2273" s="0" t="n">
        <f aca="false">(G2273-Stats!$B$2)/H2273</f>
        <v>1.47237983442336</v>
      </c>
    </row>
    <row r="2274" customFormat="false" ht="15" hidden="false" customHeight="false" outlineLevel="0" collapsed="false">
      <c r="A2274" s="0" t="n">
        <v>0.235565934594501</v>
      </c>
      <c r="B2274" s="0" t="n">
        <v>0.932503953097383</v>
      </c>
      <c r="C2274" s="0" t="n">
        <v>0.859502975624898</v>
      </c>
      <c r="D2274" s="0" t="n">
        <f aca="false">A2274/SUM($A2274:$C2274)</f>
        <v>0.116181242537027</v>
      </c>
      <c r="E2274" s="0" t="n">
        <f aca="false">B2274/SUM($A2274:$C2274)</f>
        <v>0.459911438927012</v>
      </c>
      <c r="F2274" s="0" t="n">
        <f aca="false">C2274/SUM($A2274:$C2274)</f>
        <v>0.423907318535961</v>
      </c>
      <c r="G2274" s="0" t="n">
        <f aca="false">SUMPRODUCT(D2274:F2274,Stats!$B$6:$D$6)</f>
        <v>0.371257332135157</v>
      </c>
      <c r="H2274" s="0" t="n">
        <f aca="false">SQRT(SUMPRODUCT(MMULT(D2274:F2274,Stats!$B$12:$D$14),D2274:F2274))</f>
        <v>0.236005497247167</v>
      </c>
      <c r="I2274" s="0" t="n">
        <f aca="false">(G2274-Stats!$B$2)/H2274</f>
        <v>1.39512568976446</v>
      </c>
    </row>
    <row r="2275" customFormat="false" ht="15" hidden="false" customHeight="false" outlineLevel="0" collapsed="false">
      <c r="A2275" s="0" t="n">
        <v>0.709785050223973</v>
      </c>
      <c r="B2275" s="0" t="n">
        <v>0.482225230337327</v>
      </c>
      <c r="C2275" s="0" t="n">
        <v>0.520323626191386</v>
      </c>
      <c r="D2275" s="0" t="n">
        <f aca="false">A2275/SUM($A2275:$C2275)</f>
        <v>0.414513225151295</v>
      </c>
      <c r="E2275" s="0" t="n">
        <f aca="false">B2275/SUM($A2275:$C2275)</f>
        <v>0.281618689226234</v>
      </c>
      <c r="F2275" s="0" t="n">
        <f aca="false">C2275/SUM($A2275:$C2275)</f>
        <v>0.303868085622471</v>
      </c>
      <c r="G2275" s="0" t="n">
        <f aca="false">SUMPRODUCT(D2275:F2275,Stats!$B$6:$D$6)</f>
        <v>0.364308633755238</v>
      </c>
      <c r="H2275" s="0" t="n">
        <f aca="false">SQRT(SUMPRODUCT(MMULT(D2275:F2275,Stats!$B$12:$D$14),D2275:F2275))</f>
        <v>0.224049106603116</v>
      </c>
      <c r="I2275" s="0" t="n">
        <f aca="false">(G2275-Stats!$B$2)/H2275</f>
        <v>1.43856245910492</v>
      </c>
    </row>
    <row r="2276" customFormat="false" ht="15" hidden="false" customHeight="false" outlineLevel="0" collapsed="false">
      <c r="A2276" s="0" t="n">
        <v>0.975244535283959</v>
      </c>
      <c r="B2276" s="0" t="n">
        <v>0.965770443884287</v>
      </c>
      <c r="C2276" s="0" t="n">
        <v>0.215269045785834</v>
      </c>
      <c r="D2276" s="0" t="n">
        <f aca="false">A2276/SUM($A2276:$C2276)</f>
        <v>0.452280183870827</v>
      </c>
      <c r="E2276" s="0" t="n">
        <f aca="false">B2276/SUM($A2276:$C2276)</f>
        <v>0.44788647168355</v>
      </c>
      <c r="F2276" s="0" t="n">
        <f aca="false">C2276/SUM($A2276:$C2276)</f>
        <v>0.0998333444456227</v>
      </c>
      <c r="G2276" s="0" t="n">
        <f aca="false">SUMPRODUCT(D2276:F2276,Stats!$B$6:$D$6)</f>
        <v>0.379501646273717</v>
      </c>
      <c r="H2276" s="0" t="n">
        <f aca="false">SQRT(SUMPRODUCT(MMULT(D2276:F2276,Stats!$B$12:$D$14),D2276:F2276))</f>
        <v>0.227130704388704</v>
      </c>
      <c r="I2276" s="0" t="n">
        <f aca="false">(G2276-Stats!$B$2)/H2276</f>
        <v>1.48593580591433</v>
      </c>
    </row>
    <row r="2277" customFormat="false" ht="15" hidden="false" customHeight="false" outlineLevel="0" collapsed="false">
      <c r="A2277" s="0" t="n">
        <v>0.811104566305318</v>
      </c>
      <c r="B2277" s="0" t="n">
        <v>0.197242666167017</v>
      </c>
      <c r="C2277" s="0" t="n">
        <v>0.213537477883951</v>
      </c>
      <c r="D2277" s="0" t="n">
        <f aca="false">A2277/SUM($A2277:$C2277)</f>
        <v>0.663814318511941</v>
      </c>
      <c r="E2277" s="0" t="n">
        <f aca="false">B2277/SUM($A2277:$C2277)</f>
        <v>0.161424940090709</v>
      </c>
      <c r="F2277" s="0" t="n">
        <f aca="false">C2277/SUM($A2277:$C2277)</f>
        <v>0.17476074139735</v>
      </c>
      <c r="G2277" s="0" t="n">
        <f aca="false">SUMPRODUCT(D2277:F2277,Stats!$B$6:$D$6)</f>
        <v>0.360952926353418</v>
      </c>
      <c r="H2277" s="0" t="n">
        <f aca="false">SQRT(SUMPRODUCT(MMULT(D2277:F2277,Stats!$B$12:$D$14),D2277:F2277))</f>
        <v>0.222651218932921</v>
      </c>
      <c r="I2277" s="0" t="n">
        <f aca="false">(G2277-Stats!$B$2)/H2277</f>
        <v>1.43252270471293</v>
      </c>
    </row>
    <row r="2278" customFormat="false" ht="15" hidden="false" customHeight="false" outlineLevel="0" collapsed="false">
      <c r="A2278" s="0" t="n">
        <v>0.676093034164577</v>
      </c>
      <c r="B2278" s="0" t="n">
        <v>0.405001098587548</v>
      </c>
      <c r="C2278" s="0" t="n">
        <v>0.93154440710652</v>
      </c>
      <c r="D2278" s="0" t="n">
        <f aca="false">A2278/SUM($A2278:$C2278)</f>
        <v>0.335923724392191</v>
      </c>
      <c r="E2278" s="0" t="n">
        <f aca="false">B2278/SUM($A2278:$C2278)</f>
        <v>0.201228929371487</v>
      </c>
      <c r="F2278" s="0" t="n">
        <f aca="false">C2278/SUM($A2278:$C2278)</f>
        <v>0.462847346236322</v>
      </c>
      <c r="G2278" s="0" t="n">
        <f aca="false">SUMPRODUCT(D2278:F2278,Stats!$B$6:$D$6)</f>
        <v>0.355299319054838</v>
      </c>
      <c r="H2278" s="0" t="n">
        <f aca="false">SQRT(SUMPRODUCT(MMULT(D2278:F2278,Stats!$B$12:$D$14),D2278:F2278))</f>
        <v>0.226458559674263</v>
      </c>
      <c r="I2278" s="0" t="n">
        <f aca="false">(G2278-Stats!$B$2)/H2278</f>
        <v>1.38347307121217</v>
      </c>
    </row>
    <row r="2279" customFormat="false" ht="15" hidden="false" customHeight="false" outlineLevel="0" collapsed="false">
      <c r="A2279" s="0" t="n">
        <v>0.0890097348960088</v>
      </c>
      <c r="B2279" s="0" t="n">
        <v>0.511525640809493</v>
      </c>
      <c r="C2279" s="0" t="n">
        <v>0.918521530443121</v>
      </c>
      <c r="D2279" s="0" t="n">
        <f aca="false">A2279/SUM($A2279:$C2279)</f>
        <v>0.0585953920065324</v>
      </c>
      <c r="E2279" s="0" t="n">
        <f aca="false">B2279/SUM($A2279:$C2279)</f>
        <v>0.336738958717749</v>
      </c>
      <c r="F2279" s="0" t="n">
        <f aca="false">C2279/SUM($A2279:$C2279)</f>
        <v>0.604665649275718</v>
      </c>
      <c r="G2279" s="0" t="n">
        <f aca="false">SUMPRODUCT(D2279:F2279,Stats!$B$6:$D$6)</f>
        <v>0.359185805596099</v>
      </c>
      <c r="H2279" s="0" t="n">
        <f aca="false">SQRT(SUMPRODUCT(MMULT(D2279:F2279,Stats!$B$12:$D$14),D2279:F2279))</f>
        <v>0.241000689180732</v>
      </c>
      <c r="I2279" s="0" t="n">
        <f aca="false">(G2279-Stats!$B$2)/H2279</f>
        <v>1.31611991100255</v>
      </c>
    </row>
    <row r="2280" customFormat="false" ht="15" hidden="false" customHeight="false" outlineLevel="0" collapsed="false">
      <c r="A2280" s="0" t="n">
        <v>0.904113660479505</v>
      </c>
      <c r="B2280" s="0" t="n">
        <v>0.156529213415741</v>
      </c>
      <c r="C2280" s="0" t="n">
        <v>0.366637700096457</v>
      </c>
      <c r="D2280" s="0" t="n">
        <f aca="false">A2280/SUM($A2280:$C2280)</f>
        <v>0.633451948379675</v>
      </c>
      <c r="E2280" s="0" t="n">
        <f aca="false">B2280/SUM($A2280:$C2280)</f>
        <v>0.109669546596555</v>
      </c>
      <c r="F2280" s="0" t="n">
        <f aca="false">C2280/SUM($A2280:$C2280)</f>
        <v>0.25687850502377</v>
      </c>
      <c r="G2280" s="0" t="n">
        <f aca="false">SUMPRODUCT(D2280:F2280,Stats!$B$6:$D$6)</f>
        <v>0.355710622249613</v>
      </c>
      <c r="H2280" s="0" t="n">
        <f aca="false">SQRT(SUMPRODUCT(MMULT(D2280:F2280,Stats!$B$12:$D$14),D2280:F2280))</f>
        <v>0.221562406191749</v>
      </c>
      <c r="I2280" s="0" t="n">
        <f aca="false">(G2280-Stats!$B$2)/H2280</f>
        <v>1.41590185646439</v>
      </c>
    </row>
    <row r="2281" customFormat="false" ht="15" hidden="false" customHeight="false" outlineLevel="0" collapsed="false">
      <c r="A2281" s="0" t="n">
        <v>0.619121400046696</v>
      </c>
      <c r="B2281" s="0" t="n">
        <v>0.159394884771402</v>
      </c>
      <c r="C2281" s="0" t="n">
        <v>0.968022172045739</v>
      </c>
      <c r="D2281" s="0" t="n">
        <f aca="false">A2281/SUM($A2281:$C2281)</f>
        <v>0.354484836914738</v>
      </c>
      <c r="E2281" s="0" t="n">
        <f aca="false">B2281/SUM($A2281:$C2281)</f>
        <v>0.0912633123794015</v>
      </c>
      <c r="F2281" s="0" t="n">
        <f aca="false">C2281/SUM($A2281:$C2281)</f>
        <v>0.55425185070586</v>
      </c>
      <c r="G2281" s="0" t="n">
        <f aca="false">SUMPRODUCT(D2281:F2281,Stats!$B$6:$D$6)</f>
        <v>0.3464515957241</v>
      </c>
      <c r="H2281" s="0" t="n">
        <f aca="false">SQRT(SUMPRODUCT(MMULT(D2281:F2281,Stats!$B$12:$D$14),D2281:F2281))</f>
        <v>0.227347479271063</v>
      </c>
      <c r="I2281" s="0" t="n">
        <f aca="false">(G2281-Stats!$B$2)/H2281</f>
        <v>1.33914656410642</v>
      </c>
    </row>
    <row r="2282" customFormat="false" ht="15" hidden="false" customHeight="false" outlineLevel="0" collapsed="false">
      <c r="A2282" s="0" t="n">
        <v>0.91474932872766</v>
      </c>
      <c r="B2282" s="0" t="n">
        <v>0.166950179034469</v>
      </c>
      <c r="C2282" s="0" t="n">
        <v>0.121155461260985</v>
      </c>
      <c r="D2282" s="0" t="n">
        <f aca="false">A2282/SUM($A2282:$C2282)</f>
        <v>0.760481813921893</v>
      </c>
      <c r="E2282" s="0" t="n">
        <f aca="false">B2282/SUM($A2282:$C2282)</f>
        <v>0.13879493649185</v>
      </c>
      <c r="F2282" s="0" t="n">
        <f aca="false">C2282/SUM($A2282:$C2282)</f>
        <v>0.100723249586258</v>
      </c>
      <c r="G2282" s="0" t="n">
        <f aca="false">SUMPRODUCT(D2282:F2282,Stats!$B$6:$D$6)</f>
        <v>0.361692380596154</v>
      </c>
      <c r="H2282" s="0" t="n">
        <f aca="false">SQRT(SUMPRODUCT(MMULT(D2282:F2282,Stats!$B$12:$D$14),D2282:F2282))</f>
        <v>0.224844470507337</v>
      </c>
      <c r="I2282" s="0" t="n">
        <f aca="false">(G2282-Stats!$B$2)/H2282</f>
        <v>1.42183785918685</v>
      </c>
    </row>
    <row r="2283" customFormat="false" ht="15" hidden="false" customHeight="false" outlineLevel="0" collapsed="false">
      <c r="A2283" s="0" t="n">
        <v>0.0854084828082653</v>
      </c>
      <c r="B2283" s="0" t="n">
        <v>0.909443664036631</v>
      </c>
      <c r="C2283" s="0" t="n">
        <v>0.193623809795461</v>
      </c>
      <c r="D2283" s="0" t="n">
        <f aca="false">A2283/SUM($A2283:$C2283)</f>
        <v>0.0718638709778381</v>
      </c>
      <c r="E2283" s="0" t="n">
        <f aca="false">B2283/SUM($A2283:$C2283)</f>
        <v>0.765218395000175</v>
      </c>
      <c r="F2283" s="0" t="n">
        <f aca="false">C2283/SUM($A2283:$C2283)</f>
        <v>0.162917734021987</v>
      </c>
      <c r="G2283" s="0" t="n">
        <f aca="false">SUMPRODUCT(D2283:F2283,Stats!$B$6:$D$6)</f>
        <v>0.396020986647647</v>
      </c>
      <c r="H2283" s="0" t="n">
        <f aca="false">SQRT(SUMPRODUCT(MMULT(D2283:F2283,Stats!$B$12:$D$14),D2283:F2283))</f>
        <v>0.242950647696449</v>
      </c>
      <c r="I2283" s="0" t="n">
        <f aca="false">(G2283-Stats!$B$2)/H2283</f>
        <v>1.45717243400797</v>
      </c>
    </row>
    <row r="2284" customFormat="false" ht="15" hidden="false" customHeight="false" outlineLevel="0" collapsed="false">
      <c r="A2284" s="0" t="n">
        <v>0.416284928544355</v>
      </c>
      <c r="B2284" s="0" t="n">
        <v>0.448851365652003</v>
      </c>
      <c r="C2284" s="0" t="n">
        <v>0.599011044213568</v>
      </c>
      <c r="D2284" s="0" t="n">
        <f aca="false">A2284/SUM($A2284:$C2284)</f>
        <v>0.284319014639909</v>
      </c>
      <c r="E2284" s="0" t="n">
        <f aca="false">B2284/SUM($A2284:$C2284)</f>
        <v>0.306561610212985</v>
      </c>
      <c r="F2284" s="0" t="n">
        <f aca="false">C2284/SUM($A2284:$C2284)</f>
        <v>0.409119375147106</v>
      </c>
      <c r="G2284" s="0" t="n">
        <f aca="false">SUMPRODUCT(D2284:F2284,Stats!$B$6:$D$6)</f>
        <v>0.362841553318957</v>
      </c>
      <c r="H2284" s="0" t="n">
        <f aca="false">SQRT(SUMPRODUCT(MMULT(D2284:F2284,Stats!$B$12:$D$14),D2284:F2284))</f>
        <v>0.227951327316444</v>
      </c>
      <c r="I2284" s="0" t="n">
        <f aca="false">(G2284-Stats!$B$2)/H2284</f>
        <v>1.40750026374518</v>
      </c>
    </row>
    <row r="2285" customFormat="false" ht="15" hidden="false" customHeight="false" outlineLevel="0" collapsed="false">
      <c r="A2285" s="0" t="n">
        <v>0.071735343747425</v>
      </c>
      <c r="B2285" s="0" t="n">
        <v>0.226758617400516</v>
      </c>
      <c r="C2285" s="0" t="n">
        <v>0.931490386918926</v>
      </c>
      <c r="D2285" s="0" t="n">
        <f aca="false">A2285/SUM($A2285:$C2285)</f>
        <v>0.0583221598390008</v>
      </c>
      <c r="E2285" s="0" t="n">
        <f aca="false">B2285/SUM($A2285:$C2285)</f>
        <v>0.184358945507645</v>
      </c>
      <c r="F2285" s="0" t="n">
        <f aca="false">C2285/SUM($A2285:$C2285)</f>
        <v>0.757318894653354</v>
      </c>
      <c r="G2285" s="0" t="n">
        <f aca="false">SUMPRODUCT(D2285:F2285,Stats!$B$6:$D$6)</f>
        <v>0.346208702329818</v>
      </c>
      <c r="H2285" s="0" t="n">
        <f aca="false">SQRT(SUMPRODUCT(MMULT(D2285:F2285,Stats!$B$12:$D$14),D2285:F2285))</f>
        <v>0.245230127479716</v>
      </c>
      <c r="I2285" s="0" t="n">
        <f aca="false">(G2285-Stats!$B$2)/H2285</f>
        <v>1.24050297349774</v>
      </c>
    </row>
    <row r="2286" customFormat="false" ht="15" hidden="false" customHeight="false" outlineLevel="0" collapsed="false">
      <c r="A2286" s="0" t="n">
        <v>0.90841010726857</v>
      </c>
      <c r="B2286" s="0" t="n">
        <v>0.781290647405692</v>
      </c>
      <c r="C2286" s="0" t="n">
        <v>0.0194012456182154</v>
      </c>
      <c r="D2286" s="0" t="n">
        <f aca="false">A2286/SUM($A2286:$C2286)</f>
        <v>0.531513102853495</v>
      </c>
      <c r="E2286" s="0" t="n">
        <f aca="false">B2286/SUM($A2286:$C2286)</f>
        <v>0.457135178164902</v>
      </c>
      <c r="F2286" s="0" t="n">
        <f aca="false">C2286/SUM($A2286:$C2286)</f>
        <v>0.0113517189816028</v>
      </c>
      <c r="G2286" s="0" t="n">
        <f aca="false">SUMPRODUCT(D2286:F2286,Stats!$B$6:$D$6)</f>
        <v>0.382473651664635</v>
      </c>
      <c r="H2286" s="0" t="n">
        <f aca="false">SQRT(SUMPRODUCT(MMULT(D2286:F2286,Stats!$B$12:$D$14),D2286:F2286))</f>
        <v>0.228561039257354</v>
      </c>
      <c r="I2286" s="0" t="n">
        <f aca="false">(G2286-Stats!$B$2)/H2286</f>
        <v>1.48963993500778</v>
      </c>
    </row>
    <row r="2287" customFormat="false" ht="15" hidden="false" customHeight="false" outlineLevel="0" collapsed="false">
      <c r="A2287" s="0" t="n">
        <v>0.327006768496102</v>
      </c>
      <c r="B2287" s="0" t="n">
        <v>0.627958735342908</v>
      </c>
      <c r="C2287" s="0" t="n">
        <v>0.275190211773476</v>
      </c>
      <c r="D2287" s="0" t="n">
        <f aca="false">A2287/SUM($A2287:$C2287)</f>
        <v>0.265825508385569</v>
      </c>
      <c r="E2287" s="0" t="n">
        <f aca="false">B2287/SUM($A2287:$C2287)</f>
        <v>0.510470932560153</v>
      </c>
      <c r="F2287" s="0" t="n">
        <f aca="false">C2287/SUM($A2287:$C2287)</f>
        <v>0.223703559054278</v>
      </c>
      <c r="G2287" s="0" t="n">
        <f aca="false">SUMPRODUCT(D2287:F2287,Stats!$B$6:$D$6)</f>
        <v>0.379687001626229</v>
      </c>
      <c r="H2287" s="0" t="n">
        <f aca="false">SQRT(SUMPRODUCT(MMULT(D2287:F2287,Stats!$B$12:$D$14),D2287:F2287))</f>
        <v>0.230508039240969</v>
      </c>
      <c r="I2287" s="0" t="n">
        <f aca="false">(G2287-Stats!$B$2)/H2287</f>
        <v>1.46496843553998</v>
      </c>
    </row>
    <row r="2288" customFormat="false" ht="15" hidden="false" customHeight="false" outlineLevel="0" collapsed="false">
      <c r="A2288" s="0" t="n">
        <v>0.909586695053777</v>
      </c>
      <c r="B2288" s="0" t="n">
        <v>0.633889461832442</v>
      </c>
      <c r="C2288" s="0" t="n">
        <v>0.0719067173164456</v>
      </c>
      <c r="D2288" s="0" t="n">
        <f aca="false">A2288/SUM($A2288:$C2288)</f>
        <v>0.563078084817966</v>
      </c>
      <c r="E2288" s="0" t="n">
        <f aca="false">B2288/SUM($A2288:$C2288)</f>
        <v>0.392408185053542</v>
      </c>
      <c r="F2288" s="0" t="n">
        <f aca="false">C2288/SUM($A2288:$C2288)</f>
        <v>0.0445137301284923</v>
      </c>
      <c r="G2288" s="0" t="n">
        <f aca="false">SUMPRODUCT(D2288:F2288,Stats!$B$6:$D$6)</f>
        <v>0.37783491455292</v>
      </c>
      <c r="H2288" s="0" t="n">
        <f aca="false">SQRT(SUMPRODUCT(MMULT(D2288:F2288,Stats!$B$12:$D$14),D2288:F2288))</f>
        <v>0.226782476336502</v>
      </c>
      <c r="I2288" s="0" t="n">
        <f aca="false">(G2288-Stats!$B$2)/H2288</f>
        <v>1.48086801051861</v>
      </c>
    </row>
    <row r="2289" customFormat="false" ht="15" hidden="false" customHeight="false" outlineLevel="0" collapsed="false">
      <c r="A2289" s="0" t="n">
        <v>0.909005588835703</v>
      </c>
      <c r="B2289" s="0" t="n">
        <v>0.957766658176223</v>
      </c>
      <c r="C2289" s="0" t="n">
        <v>0.0777124183917255</v>
      </c>
      <c r="D2289" s="0" t="n">
        <f aca="false">A2289/SUM($A2289:$C2289)</f>
        <v>0.46747891871238</v>
      </c>
      <c r="E2289" s="0" t="n">
        <f aca="false">B2289/SUM($A2289:$C2289)</f>
        <v>0.492555521376355</v>
      </c>
      <c r="F2289" s="0" t="n">
        <f aca="false">C2289/SUM($A2289:$C2289)</f>
        <v>0.0399655599112649</v>
      </c>
      <c r="G2289" s="0" t="n">
        <f aca="false">SUMPRODUCT(D2289:F2289,Stats!$B$6:$D$6)</f>
        <v>0.383722676711195</v>
      </c>
      <c r="H2289" s="0" t="n">
        <f aca="false">SQRT(SUMPRODUCT(MMULT(D2289:F2289,Stats!$B$12:$D$14),D2289:F2289))</f>
        <v>0.228843020541934</v>
      </c>
      <c r="I2289" s="0" t="n">
        <f aca="false">(G2289-Stats!$B$2)/H2289</f>
        <v>1.49326239402865</v>
      </c>
    </row>
    <row r="2290" customFormat="false" ht="15" hidden="false" customHeight="false" outlineLevel="0" collapsed="false">
      <c r="A2290" s="0" t="n">
        <v>0.532360234861315</v>
      </c>
      <c r="B2290" s="0" t="n">
        <v>0.30336428221417</v>
      </c>
      <c r="C2290" s="0" t="n">
        <v>0.392839076481402</v>
      </c>
      <c r="D2290" s="0" t="n">
        <f aca="false">A2290/SUM($A2290:$C2290)</f>
        <v>0.433319233658916</v>
      </c>
      <c r="E2290" s="0" t="n">
        <f aca="false">B2290/SUM($A2290:$C2290)</f>
        <v>0.246925990486078</v>
      </c>
      <c r="F2290" s="0" t="n">
        <f aca="false">C2290/SUM($A2290:$C2290)</f>
        <v>0.319754775855005</v>
      </c>
      <c r="G2290" s="0" t="n">
        <f aca="false">SUMPRODUCT(D2290:F2290,Stats!$B$6:$D$6)</f>
        <v>0.361874391398791</v>
      </c>
      <c r="H2290" s="0" t="n">
        <f aca="false">SQRT(SUMPRODUCT(MMULT(D2290:F2290,Stats!$B$12:$D$14),D2290:F2290))</f>
        <v>0.223480811561922</v>
      </c>
      <c r="I2290" s="0" t="n">
        <f aca="false">(G2290-Stats!$B$2)/H2290</f>
        <v>1.43132821633843</v>
      </c>
    </row>
    <row r="2291" customFormat="false" ht="15" hidden="false" customHeight="false" outlineLevel="0" collapsed="false">
      <c r="A2291" s="0" t="n">
        <v>0.179651217955342</v>
      </c>
      <c r="B2291" s="0" t="n">
        <v>0.578072102012413</v>
      </c>
      <c r="C2291" s="0" t="n">
        <v>0.957979353248891</v>
      </c>
      <c r="D2291" s="0" t="n">
        <f aca="false">A2291/SUM($A2291:$C2291)</f>
        <v>0.104709994779298</v>
      </c>
      <c r="E2291" s="0" t="n">
        <f aca="false">B2291/SUM($A2291:$C2291)</f>
        <v>0.336930233330364</v>
      </c>
      <c r="F2291" s="0" t="n">
        <f aca="false">C2291/SUM($A2291:$C2291)</f>
        <v>0.558359771890339</v>
      </c>
      <c r="G2291" s="0" t="n">
        <f aca="false">SUMPRODUCT(D2291:F2291,Stats!$B$6:$D$6)</f>
        <v>0.360473678048472</v>
      </c>
      <c r="H2291" s="0" t="n">
        <f aca="false">SQRT(SUMPRODUCT(MMULT(D2291:F2291,Stats!$B$12:$D$14),D2291:F2291))</f>
        <v>0.23762169084387</v>
      </c>
      <c r="I2291" s="0" t="n">
        <f aca="false">(G2291-Stats!$B$2)/H2291</f>
        <v>1.34025507906063</v>
      </c>
    </row>
    <row r="2292" customFormat="false" ht="15" hidden="false" customHeight="false" outlineLevel="0" collapsed="false">
      <c r="A2292" s="0" t="n">
        <v>0.503072600271609</v>
      </c>
      <c r="B2292" s="0" t="n">
        <v>0.0829145813944812</v>
      </c>
      <c r="C2292" s="0" t="n">
        <v>0.620001333477408</v>
      </c>
      <c r="D2292" s="0" t="n">
        <f aca="false">A2292/SUM($A2292:$C2292)</f>
        <v>0.417145432111971</v>
      </c>
      <c r="E2292" s="0" t="n">
        <f aca="false">B2292/SUM($A2292:$C2292)</f>
        <v>0.0687523806017467</v>
      </c>
      <c r="F2292" s="0" t="n">
        <f aca="false">C2292/SUM($A2292:$C2292)</f>
        <v>0.514102187286282</v>
      </c>
      <c r="G2292" s="0" t="n">
        <f aca="false">SUMPRODUCT(D2292:F2292,Stats!$B$6:$D$6)</f>
        <v>0.346263457371365</v>
      </c>
      <c r="H2292" s="0" t="n">
        <f aca="false">SQRT(SUMPRODUCT(MMULT(D2292:F2292,Stats!$B$12:$D$14),D2292:F2292))</f>
        <v>0.225084202260222</v>
      </c>
      <c r="I2292" s="0" t="n">
        <f aca="false">(G2292-Stats!$B$2)/H2292</f>
        <v>1.35177615450596</v>
      </c>
    </row>
    <row r="2293" customFormat="false" ht="15" hidden="false" customHeight="false" outlineLevel="0" collapsed="false">
      <c r="A2293" s="0" t="n">
        <v>0.340222994451257</v>
      </c>
      <c r="B2293" s="0" t="n">
        <v>0.855925189591298</v>
      </c>
      <c r="C2293" s="0" t="n">
        <v>0.43467814831647</v>
      </c>
      <c r="D2293" s="0" t="n">
        <f aca="false">A2293/SUM($A2293:$C2293)</f>
        <v>0.208620003062568</v>
      </c>
      <c r="E2293" s="0" t="n">
        <f aca="false">B2293/SUM($A2293:$C2293)</f>
        <v>0.524841408682176</v>
      </c>
      <c r="F2293" s="0" t="n">
        <f aca="false">C2293/SUM($A2293:$C2293)</f>
        <v>0.266538588255255</v>
      </c>
      <c r="G2293" s="0" t="n">
        <f aca="false">SUMPRODUCT(D2293:F2293,Stats!$B$6:$D$6)</f>
        <v>0.379332700767949</v>
      </c>
      <c r="H2293" s="0" t="n">
        <f aca="false">SQRT(SUMPRODUCT(MMULT(D2293:F2293,Stats!$B$12:$D$14),D2293:F2293))</f>
        <v>0.232423852383461</v>
      </c>
      <c r="I2293" s="0" t="n">
        <f aca="false">(G2293-Stats!$B$2)/H2293</f>
        <v>1.45136868401702</v>
      </c>
    </row>
    <row r="2294" customFormat="false" ht="15" hidden="false" customHeight="false" outlineLevel="0" collapsed="false">
      <c r="A2294" s="0" t="n">
        <v>0.192839608942246</v>
      </c>
      <c r="B2294" s="0" t="n">
        <v>0.191105622691145</v>
      </c>
      <c r="C2294" s="0" t="n">
        <v>0.76876418072116</v>
      </c>
      <c r="D2294" s="0" t="n">
        <f aca="false">A2294/SUM($A2294:$C2294)</f>
        <v>0.167292473606463</v>
      </c>
      <c r="E2294" s="0" t="n">
        <f aca="false">B2294/SUM($A2294:$C2294)</f>
        <v>0.165788203551482</v>
      </c>
      <c r="F2294" s="0" t="n">
        <f aca="false">C2294/SUM($A2294:$C2294)</f>
        <v>0.666919322842055</v>
      </c>
      <c r="G2294" s="0" t="n">
        <f aca="false">SUMPRODUCT(D2294:F2294,Stats!$B$6:$D$6)</f>
        <v>0.347632899296494</v>
      </c>
      <c r="H2294" s="0" t="n">
        <f aca="false">SQRT(SUMPRODUCT(MMULT(D2294:F2294,Stats!$B$12:$D$14),D2294:F2294))</f>
        <v>0.236920924223025</v>
      </c>
      <c r="I2294" s="0" t="n">
        <f aca="false">(G2294-Stats!$B$2)/H2294</f>
        <v>1.29002071175777</v>
      </c>
    </row>
    <row r="2295" customFormat="false" ht="15" hidden="false" customHeight="false" outlineLevel="0" collapsed="false">
      <c r="A2295" s="0" t="n">
        <v>0.26558759830736</v>
      </c>
      <c r="B2295" s="0" t="n">
        <v>0.767233394159223</v>
      </c>
      <c r="C2295" s="0" t="n">
        <v>0.205887310766599</v>
      </c>
      <c r="D2295" s="0" t="n">
        <f aca="false">A2295/SUM($A2295:$C2295)</f>
        <v>0.214406892739916</v>
      </c>
      <c r="E2295" s="0" t="n">
        <f aca="false">B2295/SUM($A2295:$C2295)</f>
        <v>0.619381812616133</v>
      </c>
      <c r="F2295" s="0" t="n">
        <f aca="false">C2295/SUM($A2295:$C2295)</f>
        <v>0.166211294643951</v>
      </c>
      <c r="G2295" s="0" t="n">
        <f aca="false">SUMPRODUCT(D2295:F2295,Stats!$B$6:$D$6)</f>
        <v>0.387538919782484</v>
      </c>
      <c r="H2295" s="0" t="n">
        <f aca="false">SQRT(SUMPRODUCT(MMULT(D2295:F2295,Stats!$B$12:$D$14),D2295:F2295))</f>
        <v>0.234426721222535</v>
      </c>
      <c r="I2295" s="0" t="n">
        <f aca="false">(G2295-Stats!$B$2)/H2295</f>
        <v>1.47397411856677</v>
      </c>
    </row>
    <row r="2296" customFormat="false" ht="15" hidden="false" customHeight="false" outlineLevel="0" collapsed="false">
      <c r="A2296" s="0" t="n">
        <v>0.321686368701309</v>
      </c>
      <c r="B2296" s="0" t="n">
        <v>0.465486972439699</v>
      </c>
      <c r="C2296" s="0" t="n">
        <v>0.943195849693451</v>
      </c>
      <c r="D2296" s="0" t="n">
        <f aca="false">A2296/SUM($A2296:$C2296)</f>
        <v>0.185906204528629</v>
      </c>
      <c r="E2296" s="0" t="n">
        <f aca="false">B2296/SUM($A2296:$C2296)</f>
        <v>0.269010205975305</v>
      </c>
      <c r="F2296" s="0" t="n">
        <f aca="false">C2296/SUM($A2296:$C2296)</f>
        <v>0.545083589496066</v>
      </c>
      <c r="G2296" s="0" t="n">
        <f aca="false">SUMPRODUCT(D2296:F2296,Stats!$B$6:$D$6)</f>
        <v>0.356931733204867</v>
      </c>
      <c r="H2296" s="0" t="n">
        <f aca="false">SQRT(SUMPRODUCT(MMULT(D2296:F2296,Stats!$B$12:$D$14),D2296:F2296))</f>
        <v>0.233331788057777</v>
      </c>
      <c r="I2296" s="0" t="n">
        <f aca="false">(G2296-Stats!$B$2)/H2296</f>
        <v>1.34971636666532</v>
      </c>
    </row>
    <row r="2297" customFormat="false" ht="15" hidden="false" customHeight="false" outlineLevel="0" collapsed="false">
      <c r="A2297" s="0" t="n">
        <v>0.931731424753825</v>
      </c>
      <c r="B2297" s="0" t="n">
        <v>0.206871875422288</v>
      </c>
      <c r="C2297" s="0" t="n">
        <v>0.358219041243073</v>
      </c>
      <c r="D2297" s="0" t="n">
        <f aca="false">A2297/SUM($A2297:$C2297)</f>
        <v>0.622472954185345</v>
      </c>
      <c r="E2297" s="0" t="n">
        <f aca="false">B2297/SUM($A2297:$C2297)</f>
        <v>0.138207367499703</v>
      </c>
      <c r="F2297" s="0" t="n">
        <f aca="false">C2297/SUM($A2297:$C2297)</f>
        <v>0.239319678314952</v>
      </c>
      <c r="G2297" s="0" t="n">
        <f aca="false">SUMPRODUCT(D2297:F2297,Stats!$B$6:$D$6)</f>
        <v>0.357836829421617</v>
      </c>
      <c r="H2297" s="0" t="n">
        <f aca="false">SQRT(SUMPRODUCT(MMULT(D2297:F2297,Stats!$B$12:$D$14),D2297:F2297))</f>
        <v>0.221740000494366</v>
      </c>
      <c r="I2297" s="0" t="n">
        <f aca="false">(G2297-Stats!$B$2)/H2297</f>
        <v>1.42435658301373</v>
      </c>
    </row>
    <row r="2298" customFormat="false" ht="15" hidden="false" customHeight="false" outlineLevel="0" collapsed="false">
      <c r="A2298" s="0" t="n">
        <v>0.149399388453772</v>
      </c>
      <c r="B2298" s="0" t="n">
        <v>0.509985079313497</v>
      </c>
      <c r="C2298" s="0" t="n">
        <v>0.460582550694667</v>
      </c>
      <c r="D2298" s="0" t="n">
        <f aca="false">A2298/SUM($A2298:$C2298)</f>
        <v>0.133396239345462</v>
      </c>
      <c r="E2298" s="0" t="n">
        <f aca="false">B2298/SUM($A2298:$C2298)</f>
        <v>0.455357230085102</v>
      </c>
      <c r="F2298" s="0" t="n">
        <f aca="false">C2298/SUM($A2298:$C2298)</f>
        <v>0.411246530569436</v>
      </c>
      <c r="G2298" s="0" t="n">
        <f aca="false">SUMPRODUCT(D2298:F2298,Stats!$B$6:$D$6)</f>
        <v>0.371344405211373</v>
      </c>
      <c r="H2298" s="0" t="n">
        <f aca="false">SQRT(SUMPRODUCT(MMULT(D2298:F2298,Stats!$B$12:$D$14),D2298:F2298))</f>
        <v>0.235055154617873</v>
      </c>
      <c r="I2298" s="0" t="n">
        <f aca="false">(G2298-Stats!$B$2)/H2298</f>
        <v>1.40113670660312</v>
      </c>
    </row>
    <row r="2299" customFormat="false" ht="15" hidden="false" customHeight="false" outlineLevel="0" collapsed="false">
      <c r="A2299" s="0" t="n">
        <v>0.900760162450732</v>
      </c>
      <c r="B2299" s="0" t="n">
        <v>0.930005377791073</v>
      </c>
      <c r="C2299" s="0" t="n">
        <v>0.383567391007292</v>
      </c>
      <c r="D2299" s="0" t="n">
        <f aca="false">A2299/SUM($A2299:$C2299)</f>
        <v>0.406786237850248</v>
      </c>
      <c r="E2299" s="0" t="n">
        <f aca="false">B2299/SUM($A2299:$C2299)</f>
        <v>0.419993472827259</v>
      </c>
      <c r="F2299" s="0" t="n">
        <f aca="false">C2299/SUM($A2299:$C2299)</f>
        <v>0.173220289322493</v>
      </c>
      <c r="G2299" s="0" t="n">
        <f aca="false">SUMPRODUCT(D2299:F2299,Stats!$B$6:$D$6)</f>
        <v>0.375873102441851</v>
      </c>
      <c r="H2299" s="0" t="n">
        <f aca="false">SQRT(SUMPRODUCT(MMULT(D2299:F2299,Stats!$B$12:$D$14),D2299:F2299))</f>
        <v>0.226354047990284</v>
      </c>
      <c r="I2299" s="0" t="n">
        <f aca="false">(G2299-Stats!$B$2)/H2299</f>
        <v>1.47500389503165</v>
      </c>
    </row>
    <row r="2300" customFormat="false" ht="15" hidden="false" customHeight="false" outlineLevel="0" collapsed="false">
      <c r="A2300" s="0" t="n">
        <v>0.491737943018989</v>
      </c>
      <c r="B2300" s="0" t="n">
        <v>0.896236249146133</v>
      </c>
      <c r="C2300" s="0" t="n">
        <v>0.806707807745062</v>
      </c>
      <c r="D2300" s="0" t="n">
        <f aca="false">A2300/SUM($A2300:$C2300)</f>
        <v>0.224058858203199</v>
      </c>
      <c r="E2300" s="0" t="n">
        <f aca="false">B2300/SUM($A2300:$C2300)</f>
        <v>0.408367248276885</v>
      </c>
      <c r="F2300" s="0" t="n">
        <f aca="false">C2300/SUM($A2300:$C2300)</f>
        <v>0.367573893519916</v>
      </c>
      <c r="G2300" s="0" t="n">
        <f aca="false">SUMPRODUCT(D2300:F2300,Stats!$B$6:$D$6)</f>
        <v>0.369844918645333</v>
      </c>
      <c r="H2300" s="0" t="n">
        <f aca="false">SQRT(SUMPRODUCT(MMULT(D2300:F2300,Stats!$B$12:$D$14),D2300:F2300))</f>
        <v>0.230576399757374</v>
      </c>
      <c r="I2300" s="0" t="n">
        <f aca="false">(G2300-Stats!$B$2)/H2300</f>
        <v>1.42184941299418</v>
      </c>
    </row>
    <row r="2301" customFormat="false" ht="15" hidden="false" customHeight="false" outlineLevel="0" collapsed="false">
      <c r="A2301" s="0" t="n">
        <v>0.00365631134464928</v>
      </c>
      <c r="B2301" s="0" t="n">
        <v>0.320059564183583</v>
      </c>
      <c r="C2301" s="0" t="n">
        <v>0.421774241936126</v>
      </c>
      <c r="D2301" s="0" t="n">
        <f aca="false">A2301/SUM($A2301:$C2301)</f>
        <v>0.00490457386220695</v>
      </c>
      <c r="E2301" s="0" t="n">
        <f aca="false">B2301/SUM($A2301:$C2301)</f>
        <v>0.429327708960387</v>
      </c>
      <c r="F2301" s="0" t="n">
        <f aca="false">C2301/SUM($A2301:$C2301)</f>
        <v>0.565767717177406</v>
      </c>
      <c r="G2301" s="0" t="n">
        <f aca="false">SUMPRODUCT(D2301:F2301,Stats!$B$6:$D$6)</f>
        <v>0.365585837966465</v>
      </c>
      <c r="H2301" s="0" t="n">
        <f aca="false">SQRT(SUMPRODUCT(MMULT(D2301:F2301,Stats!$B$12:$D$14),D2301:F2301))</f>
        <v>0.243655108176204</v>
      </c>
      <c r="I2301" s="0" t="n">
        <f aca="false">(G2301-Stats!$B$2)/H2301</f>
        <v>1.32804865200059</v>
      </c>
    </row>
    <row r="2302" customFormat="false" ht="15" hidden="false" customHeight="false" outlineLevel="0" collapsed="false">
      <c r="A2302" s="0" t="n">
        <v>0.229716283683232</v>
      </c>
      <c r="B2302" s="0" t="n">
        <v>0.199571615895939</v>
      </c>
      <c r="C2302" s="0" t="n">
        <v>0.0377845065956797</v>
      </c>
      <c r="D2302" s="0" t="n">
        <f aca="false">A2302/SUM($A2302:$C2302)</f>
        <v>0.491821569089304</v>
      </c>
      <c r="E2302" s="0" t="n">
        <f aca="false">B2302/SUM($A2302:$C2302)</f>
        <v>0.427281965831286</v>
      </c>
      <c r="F2302" s="0" t="n">
        <f aca="false">C2302/SUM($A2302:$C2302)</f>
        <v>0.0808964650794098</v>
      </c>
      <c r="G2302" s="0" t="n">
        <f aca="false">SUMPRODUCT(D2302:F2302,Stats!$B$6:$D$6)</f>
        <v>0.378838266839884</v>
      </c>
      <c r="H2302" s="0" t="n">
        <f aca="false">SQRT(SUMPRODUCT(MMULT(D2302:F2302,Stats!$B$12:$D$14),D2302:F2302))</f>
        <v>0.226800089630319</v>
      </c>
      <c r="I2302" s="0" t="n">
        <f aca="false">(G2302-Stats!$B$2)/H2302</f>
        <v>1.48517695645061</v>
      </c>
    </row>
    <row r="2303" customFormat="false" ht="15" hidden="false" customHeight="false" outlineLevel="0" collapsed="false">
      <c r="A2303" s="0" t="n">
        <v>0.643369725069761</v>
      </c>
      <c r="B2303" s="0" t="n">
        <v>0.262510290483166</v>
      </c>
      <c r="C2303" s="0" t="n">
        <v>0.0523471784313131</v>
      </c>
      <c r="D2303" s="0" t="n">
        <f aca="false">A2303/SUM($A2303:$C2303)</f>
        <v>0.671416683964766</v>
      </c>
      <c r="E2303" s="0" t="n">
        <f aca="false">B2303/SUM($A2303:$C2303)</f>
        <v>0.273954122916995</v>
      </c>
      <c r="F2303" s="0" t="n">
        <f aca="false">C2303/SUM($A2303:$C2303)</f>
        <v>0.0546291931182388</v>
      </c>
      <c r="G2303" s="0" t="n">
        <f aca="false">SUMPRODUCT(D2303:F2303,Stats!$B$6:$D$6)</f>
        <v>0.370740291128345</v>
      </c>
      <c r="H2303" s="0" t="n">
        <f aca="false">SQRT(SUMPRODUCT(MMULT(D2303:F2303,Stats!$B$12:$D$14),D2303:F2303))</f>
        <v>0.225650862053109</v>
      </c>
      <c r="I2303" s="0" t="n">
        <f aca="false">(G2303-Stats!$B$2)/H2303</f>
        <v>1.4568536904192</v>
      </c>
    </row>
    <row r="2304" customFormat="false" ht="15" hidden="false" customHeight="false" outlineLevel="0" collapsed="false">
      <c r="A2304" s="0" t="n">
        <v>0.230979310528064</v>
      </c>
      <c r="B2304" s="0" t="n">
        <v>0.801913952836127</v>
      </c>
      <c r="C2304" s="0" t="n">
        <v>0.851489181646547</v>
      </c>
      <c r="D2304" s="0" t="n">
        <f aca="false">A2304/SUM($A2304:$C2304)</f>
        <v>0.122575600902898</v>
      </c>
      <c r="E2304" s="0" t="n">
        <f aca="false">B2304/SUM($A2304:$C2304)</f>
        <v>0.425557961951592</v>
      </c>
      <c r="F2304" s="0" t="n">
        <f aca="false">C2304/SUM($A2304:$C2304)</f>
        <v>0.45186643714551</v>
      </c>
      <c r="G2304" s="0" t="n">
        <f aca="false">SUMPRODUCT(D2304:F2304,Stats!$B$6:$D$6)</f>
        <v>0.368509715590811</v>
      </c>
      <c r="H2304" s="0" t="n">
        <f aca="false">SQRT(SUMPRODUCT(MMULT(D2304:F2304,Stats!$B$12:$D$14),D2304:F2304))</f>
        <v>0.235681963869213</v>
      </c>
      <c r="I2304" s="0" t="n">
        <f aca="false">(G2304-Stats!$B$2)/H2304</f>
        <v>1.3853827006126</v>
      </c>
    </row>
    <row r="2305" customFormat="false" ht="15" hidden="false" customHeight="false" outlineLevel="0" collapsed="false">
      <c r="A2305" s="0" t="n">
        <v>0.483066245193303</v>
      </c>
      <c r="B2305" s="0" t="n">
        <v>0.416070670408686</v>
      </c>
      <c r="C2305" s="0" t="n">
        <v>0.977853693501782</v>
      </c>
      <c r="D2305" s="0" t="n">
        <f aca="false">A2305/SUM($A2305:$C2305)</f>
        <v>0.257362100188641</v>
      </c>
      <c r="E2305" s="0" t="n">
        <f aca="false">B2305/SUM($A2305:$C2305)</f>
        <v>0.221669020820169</v>
      </c>
      <c r="F2305" s="0" t="n">
        <f aca="false">C2305/SUM($A2305:$C2305)</f>
        <v>0.52096887899119</v>
      </c>
      <c r="G2305" s="0" t="n">
        <f aca="false">SUMPRODUCT(D2305:F2305,Stats!$B$6:$D$6)</f>
        <v>0.354872736550704</v>
      </c>
      <c r="H2305" s="0" t="n">
        <f aca="false">SQRT(SUMPRODUCT(MMULT(D2305:F2305,Stats!$B$12:$D$14),D2305:F2305))</f>
        <v>0.229927881431627</v>
      </c>
      <c r="I2305" s="0" t="n">
        <f aca="false">(G2305-Stats!$B$2)/H2305</f>
        <v>1.36074291905196</v>
      </c>
    </row>
    <row r="2306" customFormat="false" ht="15" hidden="false" customHeight="false" outlineLevel="0" collapsed="false">
      <c r="A2306" s="0" t="n">
        <v>0.20056465958807</v>
      </c>
      <c r="B2306" s="0" t="n">
        <v>0.215359282854609</v>
      </c>
      <c r="C2306" s="0" t="n">
        <v>0.2918671770364</v>
      </c>
      <c r="D2306" s="0" t="n">
        <f aca="false">A2306/SUM($A2306:$C2306)</f>
        <v>0.283367018981083</v>
      </c>
      <c r="E2306" s="0" t="n">
        <f aca="false">B2306/SUM($A2306:$C2306)</f>
        <v>0.30426954637847</v>
      </c>
      <c r="F2306" s="0" t="n">
        <f aca="false">C2306/SUM($A2306:$C2306)</f>
        <v>0.412363434640447</v>
      </c>
      <c r="G2306" s="0" t="n">
        <f aca="false">SUMPRODUCT(D2306:F2306,Stats!$B$6:$D$6)</f>
        <v>0.362620217239682</v>
      </c>
      <c r="H2306" s="0" t="n">
        <f aca="false">SQRT(SUMPRODUCT(MMULT(D2306:F2306,Stats!$B$12:$D$14),D2306:F2306))</f>
        <v>0.227994851930093</v>
      </c>
      <c r="I2306" s="0" t="n">
        <f aca="false">(G2306-Stats!$B$2)/H2306</f>
        <v>1.40626077530026</v>
      </c>
    </row>
    <row r="2307" customFormat="false" ht="15" hidden="false" customHeight="false" outlineLevel="0" collapsed="false">
      <c r="A2307" s="0" t="n">
        <v>0.172757318281087</v>
      </c>
      <c r="B2307" s="0" t="n">
        <v>0.379365598204187</v>
      </c>
      <c r="C2307" s="0" t="n">
        <v>0.910834226989754</v>
      </c>
      <c r="D2307" s="0" t="n">
        <f aca="false">A2307/SUM($A2307:$C2307)</f>
        <v>0.118087750589008</v>
      </c>
      <c r="E2307" s="0" t="n">
        <f aca="false">B2307/SUM($A2307:$C2307)</f>
        <v>0.259314225229498</v>
      </c>
      <c r="F2307" s="0" t="n">
        <f aca="false">C2307/SUM($A2307:$C2307)</f>
        <v>0.622598024181493</v>
      </c>
      <c r="G2307" s="0" t="n">
        <f aca="false">SUMPRODUCT(D2307:F2307,Stats!$B$6:$D$6)</f>
        <v>0.354236408299184</v>
      </c>
      <c r="H2307" s="0" t="n">
        <f aca="false">SQRT(SUMPRODUCT(MMULT(D2307:F2307,Stats!$B$12:$D$14),D2307:F2307))</f>
        <v>0.238128269161404</v>
      </c>
      <c r="I2307" s="0" t="n">
        <f aca="false">(G2307-Stats!$B$2)/H2307</f>
        <v>1.31121100992654</v>
      </c>
    </row>
    <row r="2308" customFormat="false" ht="15" hidden="false" customHeight="false" outlineLevel="0" collapsed="false">
      <c r="A2308" s="0" t="n">
        <v>0.615347840628574</v>
      </c>
      <c r="B2308" s="0" t="n">
        <v>0.411946548612264</v>
      </c>
      <c r="C2308" s="0" t="n">
        <v>0.934410794571215</v>
      </c>
      <c r="D2308" s="0" t="n">
        <f aca="false">A2308/SUM($A2308:$C2308)</f>
        <v>0.313680080832946</v>
      </c>
      <c r="E2308" s="0" t="n">
        <f aca="false">B2308/SUM($A2308:$C2308)</f>
        <v>0.209994117368725</v>
      </c>
      <c r="F2308" s="0" t="n">
        <f aca="false">C2308/SUM($A2308:$C2308)</f>
        <v>0.476325801798329</v>
      </c>
      <c r="G2308" s="0" t="n">
        <f aca="false">SUMPRODUCT(D2308:F2308,Stats!$B$6:$D$6)</f>
        <v>0.355431993399602</v>
      </c>
      <c r="H2308" s="0" t="n">
        <f aca="false">SQRT(SUMPRODUCT(MMULT(D2308:F2308,Stats!$B$12:$D$14),D2308:F2308))</f>
        <v>0.227318371663213</v>
      </c>
      <c r="I2308" s="0" t="n">
        <f aca="false">(G2308-Stats!$B$2)/H2308</f>
        <v>1.37882385443079</v>
      </c>
    </row>
    <row r="2309" customFormat="false" ht="15" hidden="false" customHeight="false" outlineLevel="0" collapsed="false">
      <c r="A2309" s="0" t="n">
        <v>0.0484642324758223</v>
      </c>
      <c r="B2309" s="0" t="n">
        <v>0.210276177901861</v>
      </c>
      <c r="C2309" s="0" t="n">
        <v>0.565888605101759</v>
      </c>
      <c r="D2309" s="0" t="n">
        <f aca="false">A2309/SUM($A2309:$C2309)</f>
        <v>0.0587709522295247</v>
      </c>
      <c r="E2309" s="0" t="n">
        <f aca="false">B2309/SUM($A2309:$C2309)</f>
        <v>0.254994881279561</v>
      </c>
      <c r="F2309" s="0" t="n">
        <f aca="false">C2309/SUM($A2309:$C2309)</f>
        <v>0.686234166490915</v>
      </c>
      <c r="G2309" s="0" t="n">
        <f aca="false">SUMPRODUCT(D2309:F2309,Stats!$B$6:$D$6)</f>
        <v>0.352233136690286</v>
      </c>
      <c r="H2309" s="0" t="n">
        <f aca="false">SQRT(SUMPRODUCT(MMULT(D2309:F2309,Stats!$B$12:$D$14),D2309:F2309))</f>
        <v>0.242920366242521</v>
      </c>
      <c r="I2309" s="0" t="n">
        <f aca="false">(G2309-Stats!$B$2)/H2309</f>
        <v>1.27709809386901</v>
      </c>
    </row>
    <row r="2310" customFormat="false" ht="15" hidden="false" customHeight="false" outlineLevel="0" collapsed="false">
      <c r="A2310" s="0" t="n">
        <v>0.615552623193179</v>
      </c>
      <c r="B2310" s="0" t="n">
        <v>0.0395575065626131</v>
      </c>
      <c r="C2310" s="0" t="n">
        <v>0.403038757907132</v>
      </c>
      <c r="D2310" s="0" t="n">
        <f aca="false">A2310/SUM($A2310:$C2310)</f>
        <v>0.581725908678803</v>
      </c>
      <c r="E2310" s="0" t="n">
        <f aca="false">B2310/SUM($A2310:$C2310)</f>
        <v>0.0373836867607371</v>
      </c>
      <c r="F2310" s="0" t="n">
        <f aca="false">C2310/SUM($A2310:$C2310)</f>
        <v>0.38089040456046</v>
      </c>
      <c r="G2310" s="0" t="n">
        <f aca="false">SUMPRODUCT(D2310:F2310,Stats!$B$6:$D$6)</f>
        <v>0.348131807000178</v>
      </c>
      <c r="H2310" s="0" t="n">
        <f aca="false">SQRT(SUMPRODUCT(MMULT(D2310:F2310,Stats!$B$12:$D$14),D2310:F2310))</f>
        <v>0.221512991339043</v>
      </c>
      <c r="I2310" s="0" t="n">
        <f aca="false">(G2310-Stats!$B$2)/H2310</f>
        <v>1.3820038506528</v>
      </c>
    </row>
    <row r="2311" customFormat="false" ht="15" hidden="false" customHeight="false" outlineLevel="0" collapsed="false">
      <c r="A2311" s="0" t="n">
        <v>0.649153964830873</v>
      </c>
      <c r="B2311" s="0" t="n">
        <v>0.698070546403402</v>
      </c>
      <c r="C2311" s="0" t="n">
        <v>0.638139902516269</v>
      </c>
      <c r="D2311" s="0" t="n">
        <f aca="false">A2311/SUM($A2311:$C2311)</f>
        <v>0.326969678883565</v>
      </c>
      <c r="E2311" s="0" t="n">
        <f aca="false">B2311/SUM($A2311:$C2311)</f>
        <v>0.351608269780901</v>
      </c>
      <c r="F2311" s="0" t="n">
        <f aca="false">C2311/SUM($A2311:$C2311)</f>
        <v>0.321422051335534</v>
      </c>
      <c r="G2311" s="0" t="n">
        <f aca="false">SUMPRODUCT(D2311:F2311,Stats!$B$6:$D$6)</f>
        <v>0.367851699781685</v>
      </c>
      <c r="H2311" s="0" t="n">
        <f aca="false">SQRT(SUMPRODUCT(MMULT(D2311:F2311,Stats!$B$12:$D$14),D2311:F2311))</f>
        <v>0.226620042755768</v>
      </c>
      <c r="I2311" s="0" t="n">
        <f aca="false">(G2311-Stats!$B$2)/H2311</f>
        <v>1.43787679068113</v>
      </c>
    </row>
    <row r="2312" customFormat="false" ht="15" hidden="false" customHeight="false" outlineLevel="0" collapsed="false">
      <c r="A2312" s="0" t="n">
        <v>0.320563224360925</v>
      </c>
      <c r="B2312" s="0" t="n">
        <v>0.0935201235979095</v>
      </c>
      <c r="C2312" s="0" t="n">
        <v>0.427112446419334</v>
      </c>
      <c r="D2312" s="0" t="n">
        <f aca="false">A2312/SUM($A2312:$C2312)</f>
        <v>0.381080393534174</v>
      </c>
      <c r="E2312" s="0" t="n">
        <f aca="false">B2312/SUM($A2312:$C2312)</f>
        <v>0.111175215357611</v>
      </c>
      <c r="F2312" s="0" t="n">
        <f aca="false">C2312/SUM($A2312:$C2312)</f>
        <v>0.507744391108215</v>
      </c>
      <c r="G2312" s="0" t="n">
        <f aca="false">SUMPRODUCT(D2312:F2312,Stats!$B$6:$D$6)</f>
        <v>0.34887972616069</v>
      </c>
      <c r="H2312" s="0" t="n">
        <f aca="false">SQRT(SUMPRODUCT(MMULT(D2312:F2312,Stats!$B$12:$D$14),D2312:F2312))</f>
        <v>0.225783707658556</v>
      </c>
      <c r="I2312" s="0" t="n">
        <f aca="false">(G2312-Stats!$B$2)/H2312</f>
        <v>1.35917568784357</v>
      </c>
    </row>
    <row r="2313" customFormat="false" ht="15" hidden="false" customHeight="false" outlineLevel="0" collapsed="false">
      <c r="A2313" s="0" t="n">
        <v>0.128754437368056</v>
      </c>
      <c r="B2313" s="0" t="n">
        <v>0.947623658520667</v>
      </c>
      <c r="C2313" s="0" t="n">
        <v>0.475170866022628</v>
      </c>
      <c r="D2313" s="0" t="n">
        <f aca="false">A2313/SUM($A2313:$C2313)</f>
        <v>0.0829844500746165</v>
      </c>
      <c r="E2313" s="0" t="n">
        <f aca="false">B2313/SUM($A2313:$C2313)</f>
        <v>0.610759751566777</v>
      </c>
      <c r="F2313" s="0" t="n">
        <f aca="false">C2313/SUM($A2313:$C2313)</f>
        <v>0.306255798358607</v>
      </c>
      <c r="G2313" s="0" t="n">
        <f aca="false">SUMPRODUCT(D2313:F2313,Stats!$B$6:$D$6)</f>
        <v>0.383181144223036</v>
      </c>
      <c r="H2313" s="0" t="n">
        <f aca="false">SQRT(SUMPRODUCT(MMULT(D2313:F2313,Stats!$B$12:$D$14),D2313:F2313))</f>
        <v>0.238901311246435</v>
      </c>
      <c r="I2313" s="0" t="n">
        <f aca="false">(G2313-Stats!$B$2)/H2313</f>
        <v>1.42812587525355</v>
      </c>
    </row>
    <row r="2314" customFormat="false" ht="15" hidden="false" customHeight="false" outlineLevel="0" collapsed="false">
      <c r="A2314" s="0" t="n">
        <v>0.317259174356868</v>
      </c>
      <c r="B2314" s="0" t="n">
        <v>0.7663040711189</v>
      </c>
      <c r="C2314" s="0" t="n">
        <v>0.497948592582264</v>
      </c>
      <c r="D2314" s="0" t="n">
        <f aca="false">A2314/SUM($A2314:$C2314)</f>
        <v>0.20060499499418</v>
      </c>
      <c r="E2314" s="0" t="n">
        <f aca="false">B2314/SUM($A2314:$C2314)</f>
        <v>0.48453894095403</v>
      </c>
      <c r="F2314" s="0" t="n">
        <f aca="false">C2314/SUM($A2314:$C2314)</f>
        <v>0.31485606405179</v>
      </c>
      <c r="G2314" s="0" t="n">
        <f aca="false">SUMPRODUCT(D2314:F2314,Stats!$B$6:$D$6)</f>
        <v>0.375681413126123</v>
      </c>
      <c r="H2314" s="0" t="n">
        <f aca="false">SQRT(SUMPRODUCT(MMULT(D2314:F2314,Stats!$B$12:$D$14),D2314:F2314))</f>
        <v>0.232136912107828</v>
      </c>
      <c r="I2314" s="0" t="n">
        <f aca="false">(G2314-Stats!$B$2)/H2314</f>
        <v>1.43743366833073</v>
      </c>
    </row>
    <row r="2315" customFormat="false" ht="15" hidden="false" customHeight="false" outlineLevel="0" collapsed="false">
      <c r="A2315" s="0" t="n">
        <v>0.31003402401245</v>
      </c>
      <c r="B2315" s="0" t="n">
        <v>0.811967742390802</v>
      </c>
      <c r="C2315" s="0" t="n">
        <v>0.867152151001122</v>
      </c>
      <c r="D2315" s="0" t="n">
        <f aca="false">A2315/SUM($A2315:$C2315)</f>
        <v>0.155862259476135</v>
      </c>
      <c r="E2315" s="0" t="n">
        <f aca="false">B2315/SUM($A2315:$C2315)</f>
        <v>0.408197543330548</v>
      </c>
      <c r="F2315" s="0" t="n">
        <f aca="false">C2315/SUM($A2315:$C2315)</f>
        <v>0.435940197193317</v>
      </c>
      <c r="G2315" s="0" t="n">
        <f aca="false">SUMPRODUCT(D2315:F2315,Stats!$B$6:$D$6)</f>
        <v>0.367949979513634</v>
      </c>
      <c r="H2315" s="0" t="n">
        <f aca="false">SQRT(SUMPRODUCT(MMULT(D2315:F2315,Stats!$B$12:$D$14),D2315:F2315))</f>
        <v>0.233852151145972</v>
      </c>
      <c r="I2315" s="0" t="n">
        <f aca="false">(G2315-Stats!$B$2)/H2315</f>
        <v>1.39382929734169</v>
      </c>
    </row>
    <row r="2316" customFormat="false" ht="15" hidden="false" customHeight="false" outlineLevel="0" collapsed="false">
      <c r="A2316" s="0" t="n">
        <v>0.673008166288677</v>
      </c>
      <c r="B2316" s="0" t="n">
        <v>0.0469644224076673</v>
      </c>
      <c r="C2316" s="0" t="n">
        <v>0.566322880166532</v>
      </c>
      <c r="D2316" s="0" t="n">
        <f aca="false">A2316/SUM($A2316:$C2316)</f>
        <v>0.523214286748313</v>
      </c>
      <c r="E2316" s="0" t="n">
        <f aca="false">B2316/SUM($A2316:$C2316)</f>
        <v>0.0365113798069935</v>
      </c>
      <c r="F2316" s="0" t="n">
        <f aca="false">C2316/SUM($A2316:$C2316)</f>
        <v>0.440274333444693</v>
      </c>
      <c r="G2316" s="0" t="n">
        <f aca="false">SUMPRODUCT(D2316:F2316,Stats!$B$6:$D$6)</f>
        <v>0.346444126588342</v>
      </c>
      <c r="H2316" s="0" t="n">
        <f aca="false">SQRT(SUMPRODUCT(MMULT(D2316:F2316,Stats!$B$12:$D$14),D2316:F2316))</f>
        <v>0.222411597084471</v>
      </c>
      <c r="I2316" s="0" t="n">
        <f aca="false">(G2316-Stats!$B$2)/H2316</f>
        <v>1.36883206891732</v>
      </c>
    </row>
    <row r="2317" customFormat="false" ht="15" hidden="false" customHeight="false" outlineLevel="0" collapsed="false">
      <c r="A2317" s="0" t="n">
        <v>0.763294911997282</v>
      </c>
      <c r="B2317" s="0" t="n">
        <v>0.136503012083582</v>
      </c>
      <c r="C2317" s="0" t="n">
        <v>0.228670751384603</v>
      </c>
      <c r="D2317" s="0" t="n">
        <f aca="false">A2317/SUM($A2317:$C2317)</f>
        <v>0.676398847918787</v>
      </c>
      <c r="E2317" s="0" t="n">
        <f aca="false">B2317/SUM($A2317:$C2317)</f>
        <v>0.120963049352945</v>
      </c>
      <c r="F2317" s="0" t="n">
        <f aca="false">C2317/SUM($A2317:$C2317)</f>
        <v>0.202638102728268</v>
      </c>
      <c r="G2317" s="0" t="n">
        <f aca="false">SUMPRODUCT(D2317:F2317,Stats!$B$6:$D$6)</f>
        <v>0.357856094012664</v>
      </c>
      <c r="H2317" s="0" t="n">
        <f aca="false">SQRT(SUMPRODUCT(MMULT(D2317:F2317,Stats!$B$12:$D$14),D2317:F2317))</f>
        <v>0.222244847777492</v>
      </c>
      <c r="I2317" s="0" t="n">
        <f aca="false">(G2317-Stats!$B$2)/H2317</f>
        <v>1.42120772279452</v>
      </c>
    </row>
    <row r="2318" customFormat="false" ht="15" hidden="false" customHeight="false" outlineLevel="0" collapsed="false">
      <c r="A2318" s="0" t="n">
        <v>0.882495105068136</v>
      </c>
      <c r="B2318" s="0" t="n">
        <v>0.020121721853074</v>
      </c>
      <c r="C2318" s="0" t="n">
        <v>0.752727137825976</v>
      </c>
      <c r="D2318" s="0" t="n">
        <f aca="false">A2318/SUM($A2318:$C2318)</f>
        <v>0.533118870677078</v>
      </c>
      <c r="E2318" s="0" t="n">
        <f aca="false">B2318/SUM($A2318:$C2318)</f>
        <v>0.0121556137465044</v>
      </c>
      <c r="F2318" s="0" t="n">
        <f aca="false">C2318/SUM($A2318:$C2318)</f>
        <v>0.454725515576418</v>
      </c>
      <c r="G2318" s="0" t="n">
        <f aca="false">SUMPRODUCT(D2318:F2318,Stats!$B$6:$D$6)</f>
        <v>0.344644241543207</v>
      </c>
      <c r="H2318" s="0" t="n">
        <f aca="false">SQRT(SUMPRODUCT(MMULT(D2318:F2318,Stats!$B$12:$D$14),D2318:F2318))</f>
        <v>0.222516182786034</v>
      </c>
      <c r="I2318" s="0" t="n">
        <f aca="false">(G2318-Stats!$B$2)/H2318</f>
        <v>1.36009991612261</v>
      </c>
    </row>
    <row r="2319" customFormat="false" ht="15" hidden="false" customHeight="false" outlineLevel="0" collapsed="false">
      <c r="A2319" s="0" t="n">
        <v>0.473773292514423</v>
      </c>
      <c r="B2319" s="0" t="n">
        <v>0.446772158839607</v>
      </c>
      <c r="C2319" s="0" t="n">
        <v>0.00709653249488718</v>
      </c>
      <c r="D2319" s="0" t="n">
        <f aca="false">A2319/SUM($A2319:$C2319)</f>
        <v>0.510728600864604</v>
      </c>
      <c r="E2319" s="0" t="n">
        <f aca="false">B2319/SUM($A2319:$C2319)</f>
        <v>0.481621322253965</v>
      </c>
      <c r="F2319" s="0" t="n">
        <f aca="false">C2319/SUM($A2319:$C2319)</f>
        <v>0.00765007688143077</v>
      </c>
      <c r="G2319" s="0" t="n">
        <f aca="false">SUMPRODUCT(D2319:F2319,Stats!$B$6:$D$6)</f>
        <v>0.383984624060909</v>
      </c>
      <c r="H2319" s="0" t="n">
        <f aca="false">SQRT(SUMPRODUCT(MMULT(D2319:F2319,Stats!$B$12:$D$14),D2319:F2319))</f>
        <v>0.229123803247192</v>
      </c>
      <c r="I2319" s="0" t="n">
        <f aca="false">(G2319-Stats!$B$2)/H2319</f>
        <v>1.49257571327915</v>
      </c>
    </row>
    <row r="2320" customFormat="false" ht="15" hidden="false" customHeight="false" outlineLevel="0" collapsed="false">
      <c r="A2320" s="0" t="n">
        <v>0.819398230966493</v>
      </c>
      <c r="B2320" s="0" t="n">
        <v>0.359824900636567</v>
      </c>
      <c r="C2320" s="0" t="n">
        <v>0.540765631300543</v>
      </c>
      <c r="D2320" s="0" t="n">
        <f aca="false">A2320/SUM($A2320:$C2320)</f>
        <v>0.476397432726958</v>
      </c>
      <c r="E2320" s="0" t="n">
        <f aca="false">B2320/SUM($A2320:$C2320)</f>
        <v>0.209201890382776</v>
      </c>
      <c r="F2320" s="0" t="n">
        <f aca="false">C2320/SUM($A2320:$C2320)</f>
        <v>0.314400676890266</v>
      </c>
      <c r="G2320" s="0" t="n">
        <f aca="false">SUMPRODUCT(D2320:F2320,Stats!$B$6:$D$6)</f>
        <v>0.359851432723853</v>
      </c>
      <c r="H2320" s="0" t="n">
        <f aca="false">SQRT(SUMPRODUCT(MMULT(D2320:F2320,Stats!$B$12:$D$14),D2320:F2320))</f>
        <v>0.222616576019751</v>
      </c>
      <c r="I2320" s="0" t="n">
        <f aca="false">(G2320-Stats!$B$2)/H2320</f>
        <v>1.42779768877432</v>
      </c>
    </row>
    <row r="2321" customFormat="false" ht="15" hidden="false" customHeight="false" outlineLevel="0" collapsed="false">
      <c r="A2321" s="0" t="n">
        <v>0.677300686335659</v>
      </c>
      <c r="B2321" s="0" t="n">
        <v>0.702629576437916</v>
      </c>
      <c r="C2321" s="0" t="n">
        <v>0.955980058826072</v>
      </c>
      <c r="D2321" s="0" t="n">
        <f aca="false">A2321/SUM($A2321:$C2321)</f>
        <v>0.289951493459663</v>
      </c>
      <c r="E2321" s="0" t="n">
        <f aca="false">B2321/SUM($A2321:$C2321)</f>
        <v>0.300794756519912</v>
      </c>
      <c r="F2321" s="0" t="n">
        <f aca="false">C2321/SUM($A2321:$C2321)</f>
        <v>0.409253750020425</v>
      </c>
      <c r="G2321" s="0" t="n">
        <f aca="false">SUMPRODUCT(D2321:F2321,Stats!$B$6:$D$6)</f>
        <v>0.362506030685902</v>
      </c>
      <c r="H2321" s="0" t="n">
        <f aca="false">SQRT(SUMPRODUCT(MMULT(D2321:F2321,Stats!$B$12:$D$14),D2321:F2321))</f>
        <v>0.227735613364305</v>
      </c>
      <c r="I2321" s="0" t="n">
        <f aca="false">(G2321-Stats!$B$2)/H2321</f>
        <v>1.40736016625206</v>
      </c>
    </row>
    <row r="2322" customFormat="false" ht="15" hidden="false" customHeight="false" outlineLevel="0" collapsed="false">
      <c r="A2322" s="0" t="n">
        <v>0.531339953236609</v>
      </c>
      <c r="B2322" s="0" t="n">
        <v>0.399719550974428</v>
      </c>
      <c r="C2322" s="0" t="n">
        <v>0.953703626491708</v>
      </c>
      <c r="D2322" s="0" t="n">
        <f aca="false">A2322/SUM($A2322:$C2322)</f>
        <v>0.281913384542118</v>
      </c>
      <c r="E2322" s="0" t="n">
        <f aca="false">B2322/SUM($A2322:$C2322)</f>
        <v>0.212079462115428</v>
      </c>
      <c r="F2322" s="0" t="n">
        <f aca="false">C2322/SUM($A2322:$C2322)</f>
        <v>0.506007153342454</v>
      </c>
      <c r="G2322" s="0" t="n">
        <f aca="false">SUMPRODUCT(D2322:F2322,Stats!$B$6:$D$6)</f>
        <v>0.354733529584537</v>
      </c>
      <c r="H2322" s="0" t="n">
        <f aca="false">SQRT(SUMPRODUCT(MMULT(D2322:F2322,Stats!$B$12:$D$14),D2322:F2322))</f>
        <v>0.228792277016484</v>
      </c>
      <c r="I2322" s="0" t="n">
        <f aca="false">(G2322-Stats!$B$2)/H2322</f>
        <v>1.36688848794492</v>
      </c>
    </row>
    <row r="2323" customFormat="false" ht="15" hidden="false" customHeight="false" outlineLevel="0" collapsed="false">
      <c r="A2323" s="0" t="n">
        <v>0.642110235025521</v>
      </c>
      <c r="B2323" s="0" t="n">
        <v>0.298150356276556</v>
      </c>
      <c r="C2323" s="0" t="n">
        <v>0.126464245403571</v>
      </c>
      <c r="D2323" s="0" t="n">
        <f aca="false">A2323/SUM($A2323:$C2323)</f>
        <v>0.601945518591788</v>
      </c>
      <c r="E2323" s="0" t="n">
        <f aca="false">B2323/SUM($A2323:$C2323)</f>
        <v>0.279500716602165</v>
      </c>
      <c r="F2323" s="0" t="n">
        <f aca="false">C2323/SUM($A2323:$C2323)</f>
        <v>0.118553764806048</v>
      </c>
      <c r="G2323" s="0" t="n">
        <f aca="false">SUMPRODUCT(D2323:F2323,Stats!$B$6:$D$6)</f>
        <v>0.369296739472565</v>
      </c>
      <c r="H2323" s="0" t="n">
        <f aca="false">SQRT(SUMPRODUCT(MMULT(D2323:F2323,Stats!$B$12:$D$14),D2323:F2323))</f>
        <v>0.224066950448964</v>
      </c>
      <c r="I2323" s="0" t="n">
        <f aca="false">(G2323-Stats!$B$2)/H2323</f>
        <v>1.46070957281634</v>
      </c>
    </row>
    <row r="2324" customFormat="false" ht="15" hidden="false" customHeight="false" outlineLevel="0" collapsed="false">
      <c r="A2324" s="0" t="n">
        <v>0.842554501465181</v>
      </c>
      <c r="B2324" s="0" t="n">
        <v>0.362181602794152</v>
      </c>
      <c r="C2324" s="0" t="n">
        <v>0.660469721364431</v>
      </c>
      <c r="D2324" s="0" t="n">
        <f aca="false">A2324/SUM($A2324:$C2324)</f>
        <v>0.451721997588879</v>
      </c>
      <c r="E2324" s="0" t="n">
        <f aca="false">B2324/SUM($A2324:$C2324)</f>
        <v>0.194177820923881</v>
      </c>
      <c r="F2324" s="0" t="n">
        <f aca="false">C2324/SUM($A2324:$C2324)</f>
        <v>0.35410018148724</v>
      </c>
      <c r="G2324" s="0" t="n">
        <f aca="false">SUMPRODUCT(D2324:F2324,Stats!$B$6:$D$6)</f>
        <v>0.357892268642431</v>
      </c>
      <c r="H2324" s="0" t="n">
        <f aca="false">SQRT(SUMPRODUCT(MMULT(D2324:F2324,Stats!$B$12:$D$14),D2324:F2324))</f>
        <v>0.222976031557777</v>
      </c>
      <c r="I2324" s="0" t="n">
        <f aca="false">(G2324-Stats!$B$2)/H2324</f>
        <v>1.41670952898172</v>
      </c>
    </row>
    <row r="2325" customFormat="false" ht="15" hidden="false" customHeight="false" outlineLevel="0" collapsed="false">
      <c r="A2325" s="0" t="n">
        <v>0.470816419365898</v>
      </c>
      <c r="B2325" s="0" t="n">
        <v>0.198929779795038</v>
      </c>
      <c r="C2325" s="0" t="n">
        <v>0.601686608620465</v>
      </c>
      <c r="D2325" s="0" t="n">
        <f aca="false">A2325/SUM($A2325:$C2325)</f>
        <v>0.370303815100897</v>
      </c>
      <c r="E2325" s="0" t="n">
        <f aca="false">B2325/SUM($A2325:$C2325)</f>
        <v>0.156461103235304</v>
      </c>
      <c r="F2325" s="0" t="n">
        <f aca="false">C2325/SUM($A2325:$C2325)</f>
        <v>0.473235081663799</v>
      </c>
      <c r="G2325" s="0" t="n">
        <f aca="false">SUMPRODUCT(D2325:F2325,Stats!$B$6:$D$6)</f>
        <v>0.352436998471746</v>
      </c>
      <c r="H2325" s="0" t="n">
        <f aca="false">SQRT(SUMPRODUCT(MMULT(D2325:F2325,Stats!$B$12:$D$14),D2325:F2325))</f>
        <v>0.225570959573448</v>
      </c>
      <c r="I2325" s="0" t="n">
        <f aca="false">(G2325-Stats!$B$2)/H2325</f>
        <v>1.37622768045487</v>
      </c>
    </row>
    <row r="2326" customFormat="false" ht="15" hidden="false" customHeight="false" outlineLevel="0" collapsed="false">
      <c r="A2326" s="0" t="n">
        <v>0.0606830689506823</v>
      </c>
      <c r="B2326" s="0" t="n">
        <v>0.413342459871192</v>
      </c>
      <c r="C2326" s="0" t="n">
        <v>0.546614939663671</v>
      </c>
      <c r="D2326" s="0" t="n">
        <f aca="false">A2326/SUM($A2326:$C2326)</f>
        <v>0.0594558719004406</v>
      </c>
      <c r="E2326" s="0" t="n">
        <f aca="false">B2326/SUM($A2326:$C2326)</f>
        <v>0.404983412508149</v>
      </c>
      <c r="F2326" s="0" t="n">
        <f aca="false">C2326/SUM($A2326:$C2326)</f>
        <v>0.53556071559141</v>
      </c>
      <c r="G2326" s="0" t="n">
        <f aca="false">SUMPRODUCT(D2326:F2326,Stats!$B$6:$D$6)</f>
        <v>0.36501804510732</v>
      </c>
      <c r="H2326" s="0" t="n">
        <f aca="false">SQRT(SUMPRODUCT(MMULT(D2326:F2326,Stats!$B$12:$D$14),D2326:F2326))</f>
        <v>0.239906946708886</v>
      </c>
      <c r="I2326" s="0" t="n">
        <f aca="false">(G2326-Stats!$B$2)/H2326</f>
        <v>1.34643056209325</v>
      </c>
    </row>
    <row r="2327" customFormat="false" ht="15" hidden="false" customHeight="false" outlineLevel="0" collapsed="false">
      <c r="A2327" s="0" t="n">
        <v>0.436046974118579</v>
      </c>
      <c r="B2327" s="0" t="n">
        <v>0.748672175250991</v>
      </c>
      <c r="C2327" s="0" t="n">
        <v>0.827924954545313</v>
      </c>
      <c r="D2327" s="0" t="n">
        <f aca="false">A2327/SUM($A2327:$C2327)</f>
        <v>0.216653790538727</v>
      </c>
      <c r="E2327" s="0" t="n">
        <f aca="false">B2327/SUM($A2327:$C2327)</f>
        <v>0.371984383028632</v>
      </c>
      <c r="F2327" s="0" t="n">
        <f aca="false">C2327/SUM($A2327:$C2327)</f>
        <v>0.411361826432641</v>
      </c>
      <c r="G2327" s="0" t="n">
        <f aca="false">SUMPRODUCT(D2327:F2327,Stats!$B$6:$D$6)</f>
        <v>0.366544060260025</v>
      </c>
      <c r="H2327" s="0" t="n">
        <f aca="false">SQRT(SUMPRODUCT(MMULT(D2327:F2327,Stats!$B$12:$D$14),D2327:F2327))</f>
        <v>0.230828346083024</v>
      </c>
      <c r="I2327" s="0" t="n">
        <f aca="false">(G2327-Stats!$B$2)/H2327</f>
        <v>1.40599742521784</v>
      </c>
    </row>
    <row r="2328" customFormat="false" ht="15" hidden="false" customHeight="false" outlineLevel="0" collapsed="false">
      <c r="A2328" s="0" t="n">
        <v>0.771243074033178</v>
      </c>
      <c r="B2328" s="0" t="n">
        <v>0.0388129478118021</v>
      </c>
      <c r="C2328" s="0" t="n">
        <v>0.194128770445972</v>
      </c>
      <c r="D2328" s="0" t="n">
        <f aca="false">A2328/SUM($A2328:$C2328)</f>
        <v>0.768029032060583</v>
      </c>
      <c r="E2328" s="0" t="n">
        <f aca="false">B2328/SUM($A2328:$C2328)</f>
        <v>0.038651200565639</v>
      </c>
      <c r="F2328" s="0" t="n">
        <f aca="false">C2328/SUM($A2328:$C2328)</f>
        <v>0.193319767373778</v>
      </c>
      <c r="G2328" s="0" t="n">
        <f aca="false">SUMPRODUCT(D2328:F2328,Stats!$B$6:$D$6)</f>
        <v>0.353376926280964</v>
      </c>
      <c r="H2328" s="0" t="n">
        <f aca="false">SQRT(SUMPRODUCT(MMULT(D2328:F2328,Stats!$B$12:$D$14),D2328:F2328))</f>
        <v>0.223232786404174</v>
      </c>
      <c r="I2328" s="0" t="n">
        <f aca="false">(G2328-Stats!$B$2)/H2328</f>
        <v>1.39485302000934</v>
      </c>
    </row>
    <row r="2329" customFormat="false" ht="15" hidden="false" customHeight="false" outlineLevel="0" collapsed="false">
      <c r="A2329" s="0" t="n">
        <v>0.536607509263774</v>
      </c>
      <c r="B2329" s="0" t="n">
        <v>0.934822040443801</v>
      </c>
      <c r="C2329" s="0" t="n">
        <v>0.834956775052117</v>
      </c>
      <c r="D2329" s="0" t="n">
        <f aca="false">A2329/SUM($A2329:$C2329)</f>
        <v>0.232661589909351</v>
      </c>
      <c r="E2329" s="0" t="n">
        <f aca="false">B2329/SUM($A2329:$C2329)</f>
        <v>0.405318931355181</v>
      </c>
      <c r="F2329" s="0" t="n">
        <f aca="false">C2329/SUM($A2329:$C2329)</f>
        <v>0.362019478735469</v>
      </c>
      <c r="G2329" s="0" t="n">
        <f aca="false">SUMPRODUCT(D2329:F2329,Stats!$B$6:$D$6)</f>
        <v>0.369822683286358</v>
      </c>
      <c r="H2329" s="0" t="n">
        <f aca="false">SQRT(SUMPRODUCT(MMULT(D2329:F2329,Stats!$B$12:$D$14),D2329:F2329))</f>
        <v>0.230207127657748</v>
      </c>
      <c r="I2329" s="0" t="n">
        <f aca="false">(G2329-Stats!$B$2)/H2329</f>
        <v>1.4240335936676</v>
      </c>
    </row>
    <row r="2330" customFormat="false" ht="15" hidden="false" customHeight="false" outlineLevel="0" collapsed="false">
      <c r="A2330" s="0" t="n">
        <v>0.842534508351802</v>
      </c>
      <c r="B2330" s="0" t="n">
        <v>0.303208193759675</v>
      </c>
      <c r="C2330" s="0" t="n">
        <v>0.429447897078703</v>
      </c>
      <c r="D2330" s="0" t="n">
        <f aca="false">A2330/SUM($A2330:$C2330)</f>
        <v>0.534877816554363</v>
      </c>
      <c r="E2330" s="0" t="n">
        <f aca="false">B2330/SUM($A2330:$C2330)</f>
        <v>0.192489844667405</v>
      </c>
      <c r="F2330" s="0" t="n">
        <f aca="false">C2330/SUM($A2330:$C2330)</f>
        <v>0.272632338778232</v>
      </c>
      <c r="G2330" s="0" t="n">
        <f aca="false">SUMPRODUCT(D2330:F2330,Stats!$B$6:$D$6)</f>
        <v>0.360041589101859</v>
      </c>
      <c r="H2330" s="0" t="n">
        <f aca="false">SQRT(SUMPRODUCT(MMULT(D2330:F2330,Stats!$B$12:$D$14),D2330:F2330))</f>
        <v>0.222023709459347</v>
      </c>
      <c r="I2330" s="0" t="n">
        <f aca="false">(G2330-Stats!$B$2)/H2330</f>
        <v>1.43246678418411</v>
      </c>
    </row>
    <row r="2331" customFormat="false" ht="15" hidden="false" customHeight="false" outlineLevel="0" collapsed="false">
      <c r="A2331" s="0" t="n">
        <v>0.470705947315937</v>
      </c>
      <c r="B2331" s="0" t="n">
        <v>0.15737158334991</v>
      </c>
      <c r="C2331" s="0" t="n">
        <v>0.0310681302444563</v>
      </c>
      <c r="D2331" s="0" t="n">
        <f aca="false">A2331/SUM($A2331:$C2331)</f>
        <v>0.714115217971511</v>
      </c>
      <c r="E2331" s="0" t="n">
        <f aca="false">B2331/SUM($A2331:$C2331)</f>
        <v>0.238750844741319</v>
      </c>
      <c r="F2331" s="0" t="n">
        <f aca="false">C2331/SUM($A2331:$C2331)</f>
        <v>0.0471339372871697</v>
      </c>
      <c r="G2331" s="0" t="n">
        <f aca="false">SUMPRODUCT(D2331:F2331,Stats!$B$6:$D$6)</f>
        <v>0.368921418861543</v>
      </c>
      <c r="H2331" s="0" t="n">
        <f aca="false">SQRT(SUMPRODUCT(MMULT(D2331:F2331,Stats!$B$12:$D$14),D2331:F2331))</f>
        <v>0.225975919698579</v>
      </c>
      <c r="I2331" s="0" t="n">
        <f aca="false">(G2331-Stats!$B$2)/H2331</f>
        <v>1.44670909757823</v>
      </c>
    </row>
    <row r="2332" customFormat="false" ht="15" hidden="false" customHeight="false" outlineLevel="0" collapsed="false">
      <c r="A2332" s="0" t="n">
        <v>0.946902899460517</v>
      </c>
      <c r="B2332" s="0" t="n">
        <v>0.240712585663507</v>
      </c>
      <c r="C2332" s="0" t="n">
        <v>0.239948903723631</v>
      </c>
      <c r="D2332" s="0" t="n">
        <f aca="false">A2332/SUM($A2332:$C2332)</f>
        <v>0.663299607960147</v>
      </c>
      <c r="E2332" s="0" t="n">
        <f aca="false">B2332/SUM($A2332:$C2332)</f>
        <v>0.168617673251021</v>
      </c>
      <c r="F2332" s="0" t="n">
        <f aca="false">C2332/SUM($A2332:$C2332)</f>
        <v>0.168082718788832</v>
      </c>
      <c r="G2332" s="0" t="n">
        <f aca="false">SUMPRODUCT(D2332:F2332,Stats!$B$6:$D$6)</f>
        <v>0.361550930815017</v>
      </c>
      <c r="H2332" s="0" t="n">
        <f aca="false">SQRT(SUMPRODUCT(MMULT(D2332:F2332,Stats!$B$12:$D$14),D2332:F2332))</f>
        <v>0.222771429065404</v>
      </c>
      <c r="I2332" s="0" t="n">
        <f aca="false">(G2332-Stats!$B$2)/H2332</f>
        <v>1.43443408409972</v>
      </c>
    </row>
    <row r="2333" customFormat="false" ht="15" hidden="false" customHeight="false" outlineLevel="0" collapsed="false">
      <c r="A2333" s="0" t="n">
        <v>0.0833790537687595</v>
      </c>
      <c r="B2333" s="0" t="n">
        <v>0.928507751943779</v>
      </c>
      <c r="C2333" s="0" t="n">
        <v>0.579737114939772</v>
      </c>
      <c r="D2333" s="0" t="n">
        <f aca="false">A2333/SUM($A2333:$C2333)</f>
        <v>0.0523861527128767</v>
      </c>
      <c r="E2333" s="0" t="n">
        <f aca="false">B2333/SUM($A2333:$C2333)</f>
        <v>0.583371322770293</v>
      </c>
      <c r="F2333" s="0" t="n">
        <f aca="false">C2333/SUM($A2333:$C2333)</f>
        <v>0.36424252451683</v>
      </c>
      <c r="G2333" s="0" t="n">
        <f aca="false">SUMPRODUCT(D2333:F2333,Stats!$B$6:$D$6)</f>
        <v>0.38000628780729</v>
      </c>
      <c r="H2333" s="0" t="n">
        <f aca="false">SQRT(SUMPRODUCT(MMULT(D2333:F2333,Stats!$B$12:$D$14),D2333:F2333))</f>
        <v>0.240155001587065</v>
      </c>
      <c r="I2333" s="0" t="n">
        <f aca="false">(G2333-Stats!$B$2)/H2333</f>
        <v>1.40745054474641</v>
      </c>
    </row>
    <row r="2334" customFormat="false" ht="15" hidden="false" customHeight="false" outlineLevel="0" collapsed="false">
      <c r="A2334" s="0" t="n">
        <v>0.667036857125354</v>
      </c>
      <c r="B2334" s="0" t="n">
        <v>0.911576887263053</v>
      </c>
      <c r="C2334" s="0" t="n">
        <v>0.34562016890079</v>
      </c>
      <c r="D2334" s="0" t="n">
        <f aca="false">A2334/SUM($A2334:$C2334)</f>
        <v>0.346650608597347</v>
      </c>
      <c r="E2334" s="0" t="n">
        <f aca="false">B2334/SUM($A2334:$C2334)</f>
        <v>0.473734965883044</v>
      </c>
      <c r="F2334" s="0" t="n">
        <f aca="false">C2334/SUM($A2334:$C2334)</f>
        <v>0.17961442551961</v>
      </c>
      <c r="G2334" s="0" t="n">
        <f aca="false">SUMPRODUCT(D2334:F2334,Stats!$B$6:$D$6)</f>
        <v>0.378789002549706</v>
      </c>
      <c r="H2334" s="0" t="n">
        <f aca="false">SQRT(SUMPRODUCT(MMULT(D2334:F2334,Stats!$B$12:$D$14),D2334:F2334))</f>
        <v>0.228204011198802</v>
      </c>
      <c r="I2334" s="0" t="n">
        <f aca="false">(G2334-Stats!$B$2)/H2334</f>
        <v>1.47582420125082</v>
      </c>
    </row>
    <row r="2335" customFormat="false" ht="15" hidden="false" customHeight="false" outlineLevel="0" collapsed="false">
      <c r="A2335" s="0" t="n">
        <v>0.621507311138084</v>
      </c>
      <c r="B2335" s="0" t="n">
        <v>0.0387994547288875</v>
      </c>
      <c r="C2335" s="0" t="n">
        <v>0.186772528231129</v>
      </c>
      <c r="D2335" s="0" t="n">
        <f aca="false">A2335/SUM($A2335:$C2335)</f>
        <v>0.733706177766762</v>
      </c>
      <c r="E2335" s="0" t="n">
        <f aca="false">B2335/SUM($A2335:$C2335)</f>
        <v>0.045803804908486</v>
      </c>
      <c r="F2335" s="0" t="n">
        <f aca="false">C2335/SUM($A2335:$C2335)</f>
        <v>0.220490017324752</v>
      </c>
      <c r="G2335" s="0" t="n">
        <f aca="false">SUMPRODUCT(D2335:F2335,Stats!$B$6:$D$6)</f>
        <v>0.353039268685246</v>
      </c>
      <c r="H2335" s="0" t="n">
        <f aca="false">SQRT(SUMPRODUCT(MMULT(D2335:F2335,Stats!$B$12:$D$14),D2335:F2335))</f>
        <v>0.222468336159736</v>
      </c>
      <c r="I2335" s="0" t="n">
        <f aca="false">(G2335-Stats!$B$2)/H2335</f>
        <v>1.39812826424842</v>
      </c>
    </row>
    <row r="2336" customFormat="false" ht="15" hidden="false" customHeight="false" outlineLevel="0" collapsed="false">
      <c r="A2336" s="0" t="n">
        <v>0.831245805089943</v>
      </c>
      <c r="B2336" s="0" t="n">
        <v>0.766768356338336</v>
      </c>
      <c r="C2336" s="0" t="n">
        <v>0.350642691457147</v>
      </c>
      <c r="D2336" s="0" t="n">
        <f aca="false">A2336/SUM($A2336:$C2336)</f>
        <v>0.426573721206531</v>
      </c>
      <c r="E2336" s="0" t="n">
        <f aca="false">B2336/SUM($A2336:$C2336)</f>
        <v>0.393485571973825</v>
      </c>
      <c r="F2336" s="0" t="n">
        <f aca="false">C2336/SUM($A2336:$C2336)</f>
        <v>0.179940706819644</v>
      </c>
      <c r="G2336" s="0" t="n">
        <f aca="false">SUMPRODUCT(D2336:F2336,Stats!$B$6:$D$6)</f>
        <v>0.374162559207573</v>
      </c>
      <c r="H2336" s="0" t="n">
        <f aca="false">SQRT(SUMPRODUCT(MMULT(D2336:F2336,Stats!$B$12:$D$14),D2336:F2336))</f>
        <v>0.225629968677528</v>
      </c>
      <c r="I2336" s="0" t="n">
        <f aca="false">(G2336-Stats!$B$2)/H2336</f>
        <v>1.47215620847913</v>
      </c>
    </row>
    <row r="2337" customFormat="false" ht="15" hidden="false" customHeight="false" outlineLevel="0" collapsed="false">
      <c r="A2337" s="0" t="n">
        <v>0.376810627774213</v>
      </c>
      <c r="B2337" s="0" t="n">
        <v>0.53355443355358</v>
      </c>
      <c r="C2337" s="0" t="n">
        <v>0.000241004685134549</v>
      </c>
      <c r="D2337" s="0" t="n">
        <f aca="false">A2337/SUM($A2337:$C2337)</f>
        <v>0.413802018060424</v>
      </c>
      <c r="E2337" s="0" t="n">
        <f aca="false">B2337/SUM($A2337:$C2337)</f>
        <v>0.585933317894245</v>
      </c>
      <c r="F2337" s="0" t="n">
        <f aca="false">C2337/SUM($A2337:$C2337)</f>
        <v>0.000264664045331681</v>
      </c>
      <c r="G2337" s="0" t="n">
        <f aca="false">SUMPRODUCT(D2337:F2337,Stats!$B$6:$D$6)</f>
        <v>0.390190251200053</v>
      </c>
      <c r="H2337" s="0" t="n">
        <f aca="false">SQRT(SUMPRODUCT(MMULT(D2337:F2337,Stats!$B$12:$D$14),D2337:F2337))</f>
        <v>0.232041210481215</v>
      </c>
      <c r="I2337" s="0" t="n">
        <f aca="false">(G2337-Stats!$B$2)/H2337</f>
        <v>1.50055350287979</v>
      </c>
    </row>
    <row r="2338" customFormat="false" ht="15" hidden="false" customHeight="false" outlineLevel="0" collapsed="false">
      <c r="A2338" s="0" t="n">
        <v>0.241244336038028</v>
      </c>
      <c r="B2338" s="0" t="n">
        <v>0.208231808608214</v>
      </c>
      <c r="C2338" s="0" t="n">
        <v>0.250482946749764</v>
      </c>
      <c r="D2338" s="0" t="n">
        <f aca="false">A2338/SUM($A2338:$C2338)</f>
        <v>0.344654907698802</v>
      </c>
      <c r="E2338" s="0" t="n">
        <f aca="false">B2338/SUM($A2338:$C2338)</f>
        <v>0.297491397951436</v>
      </c>
      <c r="F2338" s="0" t="n">
        <f aca="false">C2338/SUM($A2338:$C2338)</f>
        <v>0.357853694349762</v>
      </c>
      <c r="G2338" s="0" t="n">
        <f aca="false">SUMPRODUCT(D2338:F2338,Stats!$B$6:$D$6)</f>
        <v>0.363733296474943</v>
      </c>
      <c r="H2338" s="0" t="n">
        <f aca="false">SQRT(SUMPRODUCT(MMULT(D2338:F2338,Stats!$B$12:$D$14),D2338:F2338))</f>
        <v>0.225816120467365</v>
      </c>
      <c r="I2338" s="0" t="n">
        <f aca="false">(G2338-Stats!$B$2)/H2338</f>
        <v>1.42475787737856</v>
      </c>
    </row>
    <row r="2339" customFormat="false" ht="15" hidden="false" customHeight="false" outlineLevel="0" collapsed="false">
      <c r="A2339" s="0" t="n">
        <v>0.805905842533441</v>
      </c>
      <c r="B2339" s="0" t="n">
        <v>0.279673856546443</v>
      </c>
      <c r="C2339" s="0" t="n">
        <v>0.191521322050148</v>
      </c>
      <c r="D2339" s="0" t="n">
        <f aca="false">A2339/SUM($A2339:$C2339)</f>
        <v>0.631043143180907</v>
      </c>
      <c r="E2339" s="0" t="n">
        <f aca="false">B2339/SUM($A2339:$C2339)</f>
        <v>0.218991177611757</v>
      </c>
      <c r="F2339" s="0" t="n">
        <f aca="false">C2339/SUM($A2339:$C2339)</f>
        <v>0.149965679207336</v>
      </c>
      <c r="G2339" s="0" t="n">
        <f aca="false">SUMPRODUCT(D2339:F2339,Stats!$B$6:$D$6)</f>
        <v>0.364948927457063</v>
      </c>
      <c r="H2339" s="0" t="n">
        <f aca="false">SQRT(SUMPRODUCT(MMULT(D2339:F2339,Stats!$B$12:$D$14),D2339:F2339))</f>
        <v>0.223163235169654</v>
      </c>
      <c r="I2339" s="0" t="n">
        <f aca="false">(G2339-Stats!$B$2)/H2339</f>
        <v>1.44714216574047</v>
      </c>
    </row>
    <row r="2340" customFormat="false" ht="15" hidden="false" customHeight="false" outlineLevel="0" collapsed="false">
      <c r="A2340" s="0" t="n">
        <v>0.504263460793032</v>
      </c>
      <c r="B2340" s="0" t="n">
        <v>0.865645036372732</v>
      </c>
      <c r="C2340" s="0" t="n">
        <v>0.2413497038375</v>
      </c>
      <c r="D2340" s="0" t="n">
        <f aca="false">A2340/SUM($A2340:$C2340)</f>
        <v>0.312962540999976</v>
      </c>
      <c r="E2340" s="0" t="n">
        <f aca="false">B2340/SUM($A2340:$C2340)</f>
        <v>0.537247869915406</v>
      </c>
      <c r="F2340" s="0" t="n">
        <f aca="false">C2340/SUM($A2340:$C2340)</f>
        <v>0.149789589084618</v>
      </c>
      <c r="G2340" s="0" t="n">
        <f aca="false">SUMPRODUCT(D2340:F2340,Stats!$B$6:$D$6)</f>
        <v>0.383265861238045</v>
      </c>
      <c r="H2340" s="0" t="n">
        <f aca="false">SQRT(SUMPRODUCT(MMULT(D2340:F2340,Stats!$B$12:$D$14),D2340:F2340))</f>
        <v>0.230313573086933</v>
      </c>
      <c r="I2340" s="0" t="n">
        <f aca="false">(G2340-Stats!$B$2)/H2340</f>
        <v>1.48174446110144</v>
      </c>
    </row>
    <row r="2341" customFormat="false" ht="15" hidden="false" customHeight="false" outlineLevel="0" collapsed="false">
      <c r="A2341" s="0" t="n">
        <v>0.0785362427927987</v>
      </c>
      <c r="B2341" s="0" t="n">
        <v>0.356404735849665</v>
      </c>
      <c r="C2341" s="0" t="n">
        <v>0.747651824564978</v>
      </c>
      <c r="D2341" s="0" t="n">
        <f aca="false">A2341/SUM($A2341:$C2341)</f>
        <v>0.0664102154011016</v>
      </c>
      <c r="E2341" s="0" t="n">
        <f aca="false">B2341/SUM($A2341:$C2341)</f>
        <v>0.301375701664191</v>
      </c>
      <c r="F2341" s="0" t="n">
        <f aca="false">C2341/SUM($A2341:$C2341)</f>
        <v>0.632214082934708</v>
      </c>
      <c r="G2341" s="0" t="n">
        <f aca="false">SUMPRODUCT(D2341:F2341,Stats!$B$6:$D$6)</f>
        <v>0.356391412092543</v>
      </c>
      <c r="H2341" s="0" t="n">
        <f aca="false">SQRT(SUMPRODUCT(MMULT(D2341:F2341,Stats!$B$12:$D$14),D2341:F2341))</f>
        <v>0.241125226379518</v>
      </c>
      <c r="I2341" s="0" t="n">
        <f aca="false">(G2341-Stats!$B$2)/H2341</f>
        <v>1.30385118476864</v>
      </c>
    </row>
    <row r="2342" customFormat="false" ht="15" hidden="false" customHeight="false" outlineLevel="0" collapsed="false">
      <c r="A2342" s="0" t="n">
        <v>0.550690544694795</v>
      </c>
      <c r="B2342" s="0" t="n">
        <v>0.816793369574347</v>
      </c>
      <c r="C2342" s="0" t="n">
        <v>0.959592147609234</v>
      </c>
      <c r="D2342" s="0" t="n">
        <f aca="false">A2342/SUM($A2342:$C2342)</f>
        <v>0.236644841015762</v>
      </c>
      <c r="E2342" s="0" t="n">
        <f aca="false">B2342/SUM($A2342:$C2342)</f>
        <v>0.350995561750159</v>
      </c>
      <c r="F2342" s="0" t="n">
        <f aca="false">C2342/SUM($A2342:$C2342)</f>
        <v>0.412359597234079</v>
      </c>
      <c r="G2342" s="0" t="n">
        <f aca="false">SUMPRODUCT(D2342:F2342,Stats!$B$6:$D$6)</f>
        <v>0.365308877502875</v>
      </c>
      <c r="H2342" s="0" t="n">
        <f aca="false">SQRT(SUMPRODUCT(MMULT(D2342:F2342,Stats!$B$12:$D$14),D2342:F2342))</f>
        <v>0.229927121084516</v>
      </c>
      <c r="I2342" s="0" t="n">
        <f aca="false">(G2342-Stats!$B$2)/H2342</f>
        <v>1.40613632692784</v>
      </c>
    </row>
    <row r="2343" customFormat="false" ht="15" hidden="false" customHeight="false" outlineLevel="0" collapsed="false">
      <c r="A2343" s="0" t="n">
        <v>0.792662476751617</v>
      </c>
      <c r="B2343" s="0" t="n">
        <v>0.603803078843753</v>
      </c>
      <c r="C2343" s="0" t="n">
        <v>0.493341588052381</v>
      </c>
      <c r="D2343" s="0" t="n">
        <f aca="false">A2343/SUM($A2343:$C2343)</f>
        <v>0.419440935767446</v>
      </c>
      <c r="E2343" s="0" t="n">
        <f aca="false">B2343/SUM($A2343:$C2343)</f>
        <v>0.319505130919485</v>
      </c>
      <c r="F2343" s="0" t="n">
        <f aca="false">C2343/SUM($A2343:$C2343)</f>
        <v>0.261053933313069</v>
      </c>
      <c r="G2343" s="0" t="n">
        <f aca="false">SUMPRODUCT(D2343:F2343,Stats!$B$6:$D$6)</f>
        <v>0.367669154357549</v>
      </c>
      <c r="H2343" s="0" t="n">
        <f aca="false">SQRT(SUMPRODUCT(MMULT(D2343:F2343,Stats!$B$12:$D$14),D2343:F2343))</f>
        <v>0.224367713569622</v>
      </c>
      <c r="I2343" s="0" t="n">
        <f aca="false">(G2343-Stats!$B$2)/H2343</f>
        <v>1.4514974065397</v>
      </c>
    </row>
    <row r="2344" customFormat="false" ht="15" hidden="false" customHeight="false" outlineLevel="0" collapsed="false">
      <c r="A2344" s="0" t="n">
        <v>0.0400690863482667</v>
      </c>
      <c r="B2344" s="0" t="n">
        <v>0.984321978814041</v>
      </c>
      <c r="C2344" s="0" t="n">
        <v>0.383481122575043</v>
      </c>
      <c r="D2344" s="0" t="n">
        <f aca="false">A2344/SUM($A2344:$C2344)</f>
        <v>0.0284607414630893</v>
      </c>
      <c r="E2344" s="0" t="n">
        <f aca="false">B2344/SUM($A2344:$C2344)</f>
        <v>0.699155780892288</v>
      </c>
      <c r="F2344" s="0" t="n">
        <f aca="false">C2344/SUM($A2344:$C2344)</f>
        <v>0.272383477644623</v>
      </c>
      <c r="G2344" s="0" t="n">
        <f aca="false">SUMPRODUCT(D2344:F2344,Stats!$B$6:$D$6)</f>
        <v>0.389201353557392</v>
      </c>
      <c r="H2344" s="0" t="n">
        <f aca="false">SQRT(SUMPRODUCT(MMULT(D2344:F2344,Stats!$B$12:$D$14),D2344:F2344))</f>
        <v>0.243070717573234</v>
      </c>
      <c r="I2344" s="0" t="n">
        <f aca="false">(G2344-Stats!$B$2)/H2344</f>
        <v>1.42839646430379</v>
      </c>
    </row>
    <row r="2345" customFormat="false" ht="15" hidden="false" customHeight="false" outlineLevel="0" collapsed="false">
      <c r="A2345" s="0" t="n">
        <v>0.152228213916867</v>
      </c>
      <c r="B2345" s="0" t="n">
        <v>0.666708855396457</v>
      </c>
      <c r="C2345" s="0" t="n">
        <v>0.284288289095459</v>
      </c>
      <c r="D2345" s="0" t="n">
        <f aca="false">A2345/SUM($A2345:$C2345)</f>
        <v>0.137984694384138</v>
      </c>
      <c r="E2345" s="0" t="n">
        <f aca="false">B2345/SUM($A2345:$C2345)</f>
        <v>0.604326985701337</v>
      </c>
      <c r="F2345" s="0" t="n">
        <f aca="false">C2345/SUM($A2345:$C2345)</f>
        <v>0.257688319914525</v>
      </c>
      <c r="G2345" s="0" t="n">
        <f aca="false">SUMPRODUCT(D2345:F2345,Stats!$B$6:$D$6)</f>
        <v>0.384150240738966</v>
      </c>
      <c r="H2345" s="0" t="n">
        <f aca="false">SQRT(SUMPRODUCT(MMULT(D2345:F2345,Stats!$B$12:$D$14),D2345:F2345))</f>
        <v>0.236418556033013</v>
      </c>
      <c r="I2345" s="0" t="n">
        <f aca="false">(G2345-Stats!$B$2)/H2345</f>
        <v>1.44722244514169</v>
      </c>
    </row>
    <row r="2346" customFormat="false" ht="15" hidden="false" customHeight="false" outlineLevel="0" collapsed="false">
      <c r="A2346" s="0" t="n">
        <v>0.585778270931048</v>
      </c>
      <c r="B2346" s="0" t="n">
        <v>0.586767907844591</v>
      </c>
      <c r="C2346" s="0" t="n">
        <v>0.445729820902869</v>
      </c>
      <c r="D2346" s="0" t="n">
        <f aca="false">A2346/SUM($A2346:$C2346)</f>
        <v>0.361976740090949</v>
      </c>
      <c r="E2346" s="0" t="n">
        <f aca="false">B2346/SUM($A2346:$C2346)</f>
        <v>0.362588277871735</v>
      </c>
      <c r="F2346" s="0" t="n">
        <f aca="false">C2346/SUM($A2346:$C2346)</f>
        <v>0.275434982037316</v>
      </c>
      <c r="G2346" s="0" t="n">
        <f aca="false">SUMPRODUCT(D2346:F2346,Stats!$B$6:$D$6)</f>
        <v>0.369751550984426</v>
      </c>
      <c r="H2346" s="0" t="n">
        <f aca="false">SQRT(SUMPRODUCT(MMULT(D2346:F2346,Stats!$B$12:$D$14),D2346:F2346))</f>
        <v>0.225886052973057</v>
      </c>
      <c r="I2346" s="0" t="n">
        <f aca="false">(G2346-Stats!$B$2)/H2346</f>
        <v>1.45095966161098</v>
      </c>
    </row>
    <row r="2347" customFormat="false" ht="15" hidden="false" customHeight="false" outlineLevel="0" collapsed="false">
      <c r="A2347" s="0" t="n">
        <v>0.836118615545043</v>
      </c>
      <c r="B2347" s="0" t="n">
        <v>0.264967061555443</v>
      </c>
      <c r="C2347" s="0" t="n">
        <v>0.448632591617734</v>
      </c>
      <c r="D2347" s="0" t="n">
        <f aca="false">A2347/SUM($A2347:$C2347)</f>
        <v>0.53952943087946</v>
      </c>
      <c r="E2347" s="0" t="n">
        <f aca="false">B2347/SUM($A2347:$C2347)</f>
        <v>0.170977568570963</v>
      </c>
      <c r="F2347" s="0" t="n">
        <f aca="false">C2347/SUM($A2347:$C2347)</f>
        <v>0.289493000549578</v>
      </c>
      <c r="G2347" s="0" t="n">
        <f aca="false">SUMPRODUCT(D2347:F2347,Stats!$B$6:$D$6)</f>
        <v>0.358338874314671</v>
      </c>
      <c r="H2347" s="0" t="n">
        <f aca="false">SQRT(SUMPRODUCT(MMULT(D2347:F2347,Stats!$B$12:$D$14),D2347:F2347))</f>
        <v>0.2218411675687</v>
      </c>
      <c r="I2347" s="0" t="n">
        <f aca="false">(G2347-Stats!$B$2)/H2347</f>
        <v>1.42597011087542</v>
      </c>
    </row>
    <row r="2348" customFormat="false" ht="15" hidden="false" customHeight="false" outlineLevel="0" collapsed="false">
      <c r="A2348" s="0" t="n">
        <v>0.537692128590972</v>
      </c>
      <c r="B2348" s="0" t="n">
        <v>0.6636247207673</v>
      </c>
      <c r="C2348" s="0" t="n">
        <v>0.78397185050559</v>
      </c>
      <c r="D2348" s="0" t="n">
        <f aca="false">A2348/SUM($A2348:$C2348)</f>
        <v>0.27083825572968</v>
      </c>
      <c r="E2348" s="0" t="n">
        <f aca="false">B2348/SUM($A2348:$C2348)</f>
        <v>0.334271141931552</v>
      </c>
      <c r="F2348" s="0" t="n">
        <f aca="false">C2348/SUM($A2348:$C2348)</f>
        <v>0.394890602338768</v>
      </c>
      <c r="G2348" s="0" t="n">
        <f aca="false">SUMPRODUCT(D2348:F2348,Stats!$B$6:$D$6)</f>
        <v>0.364828276847815</v>
      </c>
      <c r="H2348" s="0" t="n">
        <f aca="false">SQRT(SUMPRODUCT(MMULT(D2348:F2348,Stats!$B$12:$D$14),D2348:F2348))</f>
        <v>0.228473457735309</v>
      </c>
      <c r="I2348" s="0" t="n">
        <f aca="false">(G2348-Stats!$B$2)/H2348</f>
        <v>1.41297934581888</v>
      </c>
    </row>
    <row r="2349" customFormat="false" ht="15" hidden="false" customHeight="false" outlineLevel="0" collapsed="false">
      <c r="A2349" s="0" t="n">
        <v>0.394807282878256</v>
      </c>
      <c r="B2349" s="0" t="n">
        <v>0.646046944096596</v>
      </c>
      <c r="C2349" s="0" t="n">
        <v>0.150610953068519</v>
      </c>
      <c r="D2349" s="0" t="n">
        <f aca="false">A2349/SUM($A2349:$C2349)</f>
        <v>0.331362837530749</v>
      </c>
      <c r="E2349" s="0" t="n">
        <f aca="false">B2349/SUM($A2349:$C2349)</f>
        <v>0.542228975649191</v>
      </c>
      <c r="F2349" s="0" t="n">
        <f aca="false">C2349/SUM($A2349:$C2349)</f>
        <v>0.12640818682006</v>
      </c>
      <c r="G2349" s="0" t="n">
        <f aca="false">SUMPRODUCT(D2349:F2349,Stats!$B$6:$D$6)</f>
        <v>0.384197200789533</v>
      </c>
      <c r="H2349" s="0" t="n">
        <f aca="false">SQRT(SUMPRODUCT(MMULT(D2349:F2349,Stats!$B$12:$D$14),D2349:F2349))</f>
        <v>0.230270408723522</v>
      </c>
      <c r="I2349" s="0" t="n">
        <f aca="false">(G2349-Stats!$B$2)/H2349</f>
        <v>1.48606676249226</v>
      </c>
    </row>
    <row r="2350" customFormat="false" ht="15" hidden="false" customHeight="false" outlineLevel="0" collapsed="false">
      <c r="A2350" s="0" t="n">
        <v>0.932648100542479</v>
      </c>
      <c r="B2350" s="0" t="n">
        <v>0.383058806421004</v>
      </c>
      <c r="C2350" s="0" t="n">
        <v>0.729521421976438</v>
      </c>
      <c r="D2350" s="0" t="n">
        <f aca="false">A2350/SUM($A2350:$C2350)</f>
        <v>0.45601172609705</v>
      </c>
      <c r="E2350" s="0" t="n">
        <f aca="false">B2350/SUM($A2350:$C2350)</f>
        <v>0.187293907971415</v>
      </c>
      <c r="F2350" s="0" t="n">
        <f aca="false">C2350/SUM($A2350:$C2350)</f>
        <v>0.356694365931535</v>
      </c>
      <c r="G2350" s="0" t="n">
        <f aca="false">SUMPRODUCT(D2350:F2350,Stats!$B$6:$D$6)</f>
        <v>0.357424643562545</v>
      </c>
      <c r="H2350" s="0" t="n">
        <f aca="false">SQRT(SUMPRODUCT(MMULT(D2350:F2350,Stats!$B$12:$D$14),D2350:F2350))</f>
        <v>0.222889575044918</v>
      </c>
      <c r="I2350" s="0" t="n">
        <f aca="false">(G2350-Stats!$B$2)/H2350</f>
        <v>1.41516104330577</v>
      </c>
    </row>
    <row r="2351" customFormat="false" ht="15" hidden="false" customHeight="false" outlineLevel="0" collapsed="false">
      <c r="A2351" s="0" t="n">
        <v>0.0203410818821777</v>
      </c>
      <c r="B2351" s="0" t="n">
        <v>0.205187142904807</v>
      </c>
      <c r="C2351" s="0" t="n">
        <v>0.487082544323578</v>
      </c>
      <c r="D2351" s="0" t="n">
        <f aca="false">A2351/SUM($A2351:$C2351)</f>
        <v>0.0285444491774467</v>
      </c>
      <c r="E2351" s="0" t="n">
        <f aca="false">B2351/SUM($A2351:$C2351)</f>
        <v>0.287937190678312</v>
      </c>
      <c r="F2351" s="0" t="n">
        <f aca="false">C2351/SUM($A2351:$C2351)</f>
        <v>0.683518360144241</v>
      </c>
      <c r="G2351" s="0" t="n">
        <f aca="false">SUMPRODUCT(D2351:F2351,Stats!$B$6:$D$6)</f>
        <v>0.354203481852149</v>
      </c>
      <c r="H2351" s="0" t="n">
        <f aca="false">SQRT(SUMPRODUCT(MMULT(D2351:F2351,Stats!$B$12:$D$14),D2351:F2351))</f>
        <v>0.24457000152588</v>
      </c>
      <c r="I2351" s="0" t="n">
        <f aca="false">(G2351-Stats!$B$2)/H2351</f>
        <v>1.27654037659689</v>
      </c>
    </row>
    <row r="2352" customFormat="false" ht="15" hidden="false" customHeight="false" outlineLevel="0" collapsed="false">
      <c r="A2352" s="0" t="n">
        <v>0.878252467732347</v>
      </c>
      <c r="B2352" s="0" t="n">
        <v>0.527255149950677</v>
      </c>
      <c r="C2352" s="0" t="n">
        <v>0.929870482293879</v>
      </c>
      <c r="D2352" s="0" t="n">
        <f aca="false">A2352/SUM($A2352:$C2352)</f>
        <v>0.376064358803841</v>
      </c>
      <c r="E2352" s="0" t="n">
        <f aca="false">B2352/SUM($A2352:$C2352)</f>
        <v>0.225768645323809</v>
      </c>
      <c r="F2352" s="0" t="n">
        <f aca="false">C2352/SUM($A2352:$C2352)</f>
        <v>0.39816699587235</v>
      </c>
      <c r="G2352" s="0" t="n">
        <f aca="false">SUMPRODUCT(D2352:F2352,Stats!$B$6:$D$6)</f>
        <v>0.358494838333517</v>
      </c>
      <c r="H2352" s="0" t="n">
        <f aca="false">SQRT(SUMPRODUCT(MMULT(D2352:F2352,Stats!$B$12:$D$14),D2352:F2352))</f>
        <v>0.224854933792679</v>
      </c>
      <c r="I2352" s="0" t="n">
        <f aca="false">(G2352-Stats!$B$2)/H2352</f>
        <v>1.40755122867498</v>
      </c>
    </row>
    <row r="2353" customFormat="false" ht="15" hidden="false" customHeight="false" outlineLevel="0" collapsed="false">
      <c r="A2353" s="0" t="n">
        <v>0.483796896582796</v>
      </c>
      <c r="B2353" s="0" t="n">
        <v>0.49044909673595</v>
      </c>
      <c r="C2353" s="0" t="n">
        <v>0.119746788500532</v>
      </c>
      <c r="D2353" s="0" t="n">
        <f aca="false">A2353/SUM($A2353:$C2353)</f>
        <v>0.442230428411288</v>
      </c>
      <c r="E2353" s="0" t="n">
        <f aca="false">B2353/SUM($A2353:$C2353)</f>
        <v>0.448311090243527</v>
      </c>
      <c r="F2353" s="0" t="n">
        <f aca="false">C2353/SUM($A2353:$C2353)</f>
        <v>0.109458481345184</v>
      </c>
      <c r="G2353" s="0" t="n">
        <f aca="false">SUMPRODUCT(D2353:F2353,Stats!$B$6:$D$6)</f>
        <v>0.379260668828101</v>
      </c>
      <c r="H2353" s="0" t="n">
        <f aca="false">SQRT(SUMPRODUCT(MMULT(D2353:F2353,Stats!$B$12:$D$14),D2353:F2353))</f>
        <v>0.227096040663362</v>
      </c>
      <c r="I2353" s="0" t="n">
        <f aca="false">(G2353-Stats!$B$2)/H2353</f>
        <v>1.4851014920513</v>
      </c>
    </row>
    <row r="2354" customFormat="false" ht="15" hidden="false" customHeight="false" outlineLevel="0" collapsed="false">
      <c r="A2354" s="0" t="n">
        <v>0.80265624415222</v>
      </c>
      <c r="B2354" s="0" t="n">
        <v>0.246965412467063</v>
      </c>
      <c r="C2354" s="0" t="n">
        <v>0.899612489372315</v>
      </c>
      <c r="D2354" s="0" t="n">
        <f aca="false">A2354/SUM($A2354:$C2354)</f>
        <v>0.411780311668971</v>
      </c>
      <c r="E2354" s="0" t="n">
        <f aca="false">B2354/SUM($A2354:$C2354)</f>
        <v>0.126698689828988</v>
      </c>
      <c r="F2354" s="0" t="n">
        <f aca="false">C2354/SUM($A2354:$C2354)</f>
        <v>0.461520998502041</v>
      </c>
      <c r="G2354" s="0" t="n">
        <f aca="false">SUMPRODUCT(D2354:F2354,Stats!$B$6:$D$6)</f>
        <v>0.351047519062797</v>
      </c>
      <c r="H2354" s="0" t="n">
        <f aca="false">SQRT(SUMPRODUCT(MMULT(D2354:F2354,Stats!$B$12:$D$14),D2354:F2354))</f>
        <v>0.224412882750454</v>
      </c>
      <c r="I2354" s="0" t="n">
        <f aca="false">(G2354-Stats!$B$2)/H2354</f>
        <v>1.37713804695632</v>
      </c>
    </row>
    <row r="2355" customFormat="false" ht="15" hidden="false" customHeight="false" outlineLevel="0" collapsed="false">
      <c r="A2355" s="0" t="n">
        <v>0.910824220330396</v>
      </c>
      <c r="B2355" s="0" t="n">
        <v>0.94331011187415</v>
      </c>
      <c r="C2355" s="0" t="n">
        <v>0.52023048910309</v>
      </c>
      <c r="D2355" s="0" t="n">
        <f aca="false">A2355/SUM($A2355:$C2355)</f>
        <v>0.3836075282773</v>
      </c>
      <c r="E2355" s="0" t="n">
        <f aca="false">B2355/SUM($A2355:$C2355)</f>
        <v>0.397289457546225</v>
      </c>
      <c r="F2355" s="0" t="n">
        <f aca="false">C2355/SUM($A2355:$C2355)</f>
        <v>0.219103014176475</v>
      </c>
      <c r="G2355" s="0" t="n">
        <f aca="false">SUMPRODUCT(D2355:F2355,Stats!$B$6:$D$6)</f>
        <v>0.373301544297387</v>
      </c>
      <c r="H2355" s="0" t="n">
        <f aca="false">SQRT(SUMPRODUCT(MMULT(D2355:F2355,Stats!$B$12:$D$14),D2355:F2355))</f>
        <v>0.226079382879146</v>
      </c>
      <c r="I2355" s="0" t="n">
        <f aca="false">(G2355-Stats!$B$2)/H2355</f>
        <v>1.46542130502227</v>
      </c>
    </row>
    <row r="2356" customFormat="false" ht="15" hidden="false" customHeight="false" outlineLevel="0" collapsed="false">
      <c r="A2356" s="0" t="n">
        <v>0.677093784783644</v>
      </c>
      <c r="B2356" s="0" t="n">
        <v>0.778515880061664</v>
      </c>
      <c r="C2356" s="0" t="n">
        <v>0.131014618650466</v>
      </c>
      <c r="D2356" s="0" t="n">
        <f aca="false">A2356/SUM($A2356:$C2356)</f>
        <v>0.426751179738545</v>
      </c>
      <c r="E2356" s="0" t="n">
        <f aca="false">B2356/SUM($A2356:$C2356)</f>
        <v>0.490674375880834</v>
      </c>
      <c r="F2356" s="0" t="n">
        <f aca="false">C2356/SUM($A2356:$C2356)</f>
        <v>0.0825744443806218</v>
      </c>
      <c r="G2356" s="0" t="n">
        <f aca="false">SUMPRODUCT(D2356:F2356,Stats!$B$6:$D$6)</f>
        <v>0.382439514433098</v>
      </c>
      <c r="H2356" s="0" t="n">
        <f aca="false">SQRT(SUMPRODUCT(MMULT(D2356:F2356,Stats!$B$12:$D$14),D2356:F2356))</f>
        <v>0.228410760907974</v>
      </c>
      <c r="I2356" s="0" t="n">
        <f aca="false">(G2356-Stats!$B$2)/H2356</f>
        <v>1.49047055874158</v>
      </c>
    </row>
    <row r="2357" customFormat="false" ht="15" hidden="false" customHeight="false" outlineLevel="0" collapsed="false">
      <c r="A2357" s="0" t="n">
        <v>0.600957194997497</v>
      </c>
      <c r="B2357" s="0" t="n">
        <v>0.0342979013033117</v>
      </c>
      <c r="C2357" s="0" t="n">
        <v>0.497566083388726</v>
      </c>
      <c r="D2357" s="0" t="n">
        <f aca="false">A2357/SUM($A2357:$C2357)</f>
        <v>0.530496079851012</v>
      </c>
      <c r="E2357" s="0" t="n">
        <f aca="false">B2357/SUM($A2357:$C2357)</f>
        <v>0.0302765360660996</v>
      </c>
      <c r="F2357" s="0" t="n">
        <f aca="false">C2357/SUM($A2357:$C2357)</f>
        <v>0.439227384082888</v>
      </c>
      <c r="G2357" s="0" t="n">
        <f aca="false">SUMPRODUCT(D2357:F2357,Stats!$B$6:$D$6)</f>
        <v>0.346114250975065</v>
      </c>
      <c r="H2357" s="0" t="n">
        <f aca="false">SQRT(SUMPRODUCT(MMULT(D2357:F2357,Stats!$B$12:$D$14),D2357:F2357))</f>
        <v>0.222335818345424</v>
      </c>
      <c r="I2357" s="0" t="n">
        <f aca="false">(G2357-Stats!$B$2)/H2357</f>
        <v>1.36781492625983</v>
      </c>
    </row>
    <row r="2358" customFormat="false" ht="15" hidden="false" customHeight="false" outlineLevel="0" collapsed="false">
      <c r="A2358" s="0" t="n">
        <v>0.154842681620227</v>
      </c>
      <c r="B2358" s="0" t="n">
        <v>0.182922925962085</v>
      </c>
      <c r="C2358" s="0" t="n">
        <v>0.365047566692602</v>
      </c>
      <c r="D2358" s="0" t="n">
        <f aca="false">A2358/SUM($A2358:$C2358)</f>
        <v>0.220318410763966</v>
      </c>
      <c r="E2358" s="0" t="n">
        <f aca="false">B2358/SUM($A2358:$C2358)</f>
        <v>0.260272477320598</v>
      </c>
      <c r="F2358" s="0" t="n">
        <f aca="false">C2358/SUM($A2358:$C2358)</f>
        <v>0.519409111915436</v>
      </c>
      <c r="G2358" s="0" t="n">
        <f aca="false">SUMPRODUCT(D2358:F2358,Stats!$B$6:$D$6)</f>
        <v>0.357136939451458</v>
      </c>
      <c r="H2358" s="0" t="n">
        <f aca="false">SQRT(SUMPRODUCT(MMULT(D2358:F2358,Stats!$B$12:$D$14),D2358:F2358))</f>
        <v>0.23142225252642</v>
      </c>
      <c r="I2358" s="0" t="n">
        <f aca="false">(G2358-Stats!$B$2)/H2358</f>
        <v>1.36174000560072</v>
      </c>
    </row>
    <row r="2359" customFormat="false" ht="15" hidden="false" customHeight="false" outlineLevel="0" collapsed="false">
      <c r="A2359" s="0" t="n">
        <v>0.432437166716503</v>
      </c>
      <c r="B2359" s="0" t="n">
        <v>0.623172424532187</v>
      </c>
      <c r="C2359" s="0" t="n">
        <v>0.0744284184385157</v>
      </c>
      <c r="D2359" s="0" t="n">
        <f aca="false">A2359/SUM($A2359:$C2359)</f>
        <v>0.382674886162636</v>
      </c>
      <c r="E2359" s="0" t="n">
        <f aca="false">B2359/SUM($A2359:$C2359)</f>
        <v>0.551461472260284</v>
      </c>
      <c r="F2359" s="0" t="n">
        <f aca="false">C2359/SUM($A2359:$C2359)</f>
        <v>0.0658636415770806</v>
      </c>
      <c r="G2359" s="0" t="n">
        <f aca="false">SUMPRODUCT(D2359:F2359,Stats!$B$6:$D$6)</f>
        <v>0.386397919243567</v>
      </c>
      <c r="H2359" s="0" t="n">
        <f aca="false">SQRT(SUMPRODUCT(MMULT(D2359:F2359,Stats!$B$12:$D$14),D2359:F2359))</f>
        <v>0.230427247625776</v>
      </c>
      <c r="I2359" s="0" t="n">
        <f aca="false">(G2359-Stats!$B$2)/H2359</f>
        <v>1.49460588012961</v>
      </c>
    </row>
    <row r="2360" customFormat="false" ht="15" hidden="false" customHeight="false" outlineLevel="0" collapsed="false">
      <c r="A2360" s="0" t="n">
        <v>0.503691761237445</v>
      </c>
      <c r="B2360" s="0" t="n">
        <v>0.182625130253101</v>
      </c>
      <c r="C2360" s="0" t="n">
        <v>0.573975175031742</v>
      </c>
      <c r="D2360" s="0" t="n">
        <f aca="false">A2360/SUM($A2360:$C2360)</f>
        <v>0.399662724710596</v>
      </c>
      <c r="E2360" s="0" t="n">
        <f aca="false">B2360/SUM($A2360:$C2360)</f>
        <v>0.144906990295548</v>
      </c>
      <c r="F2360" s="0" t="n">
        <f aca="false">C2360/SUM($A2360:$C2360)</f>
        <v>0.455430284993857</v>
      </c>
      <c r="G2360" s="0" t="n">
        <f aca="false">SUMPRODUCT(D2360:F2360,Stats!$B$6:$D$6)</f>
        <v>0.352263150187477</v>
      </c>
      <c r="H2360" s="0" t="n">
        <f aca="false">SQRT(SUMPRODUCT(MMULT(D2360:F2360,Stats!$B$12:$D$14),D2360:F2360))</f>
        <v>0.22462472733033</v>
      </c>
      <c r="I2360" s="0" t="n">
        <f aca="false">(G2360-Stats!$B$2)/H2360</f>
        <v>1.38125109321205</v>
      </c>
    </row>
    <row r="2361" customFormat="false" ht="15" hidden="false" customHeight="false" outlineLevel="0" collapsed="false">
      <c r="A2361" s="0" t="n">
        <v>0.637404612261184</v>
      </c>
      <c r="B2361" s="0" t="n">
        <v>0.556709256552854</v>
      </c>
      <c r="C2361" s="0" t="n">
        <v>0.738295510478308</v>
      </c>
      <c r="D2361" s="0" t="n">
        <f aca="false">A2361/SUM($A2361:$C2361)</f>
        <v>0.329849678381608</v>
      </c>
      <c r="E2361" s="0" t="n">
        <f aca="false">B2361/SUM($A2361:$C2361)</f>
        <v>0.288090744393262</v>
      </c>
      <c r="F2361" s="0" t="n">
        <f aca="false">C2361/SUM($A2361:$C2361)</f>
        <v>0.382059577225129</v>
      </c>
      <c r="G2361" s="0" t="n">
        <f aca="false">SUMPRODUCT(D2361:F2361,Stats!$B$6:$D$6)</f>
        <v>0.362524927126017</v>
      </c>
      <c r="H2361" s="0" t="n">
        <f aca="false">SQRT(SUMPRODUCT(MMULT(D2361:F2361,Stats!$B$12:$D$14),D2361:F2361))</f>
        <v>0.226273445231077</v>
      </c>
      <c r="I2361" s="0" t="n">
        <f aca="false">(G2361-Stats!$B$2)/H2361</f>
        <v>1.41653797156219</v>
      </c>
    </row>
    <row r="2362" customFormat="false" ht="15" hidden="false" customHeight="false" outlineLevel="0" collapsed="false">
      <c r="A2362" s="0" t="n">
        <v>0.335609244240901</v>
      </c>
      <c r="B2362" s="0" t="n">
        <v>0.765106591633131</v>
      </c>
      <c r="C2362" s="0" t="n">
        <v>0.432767081708194</v>
      </c>
      <c r="D2362" s="0" t="n">
        <f aca="false">A2362/SUM($A2362:$C2362)</f>
        <v>0.218854243756456</v>
      </c>
      <c r="E2362" s="0" t="n">
        <f aca="false">B2362/SUM($A2362:$C2362)</f>
        <v>0.498933886292937</v>
      </c>
      <c r="F2362" s="0" t="n">
        <f aca="false">C2362/SUM($A2362:$C2362)</f>
        <v>0.282211869950608</v>
      </c>
      <c r="G2362" s="0" t="n">
        <f aca="false">SUMPRODUCT(D2362:F2362,Stats!$B$6:$D$6)</f>
        <v>0.377409830746634</v>
      </c>
      <c r="H2362" s="0" t="n">
        <f aca="false">SQRT(SUMPRODUCT(MMULT(D2362:F2362,Stats!$B$12:$D$14),D2362:F2362))</f>
        <v>0.231663903343535</v>
      </c>
      <c r="I2362" s="0" t="n">
        <f aca="false">(G2362-Stats!$B$2)/H2362</f>
        <v>1.44782948877993</v>
      </c>
    </row>
    <row r="2363" customFormat="false" ht="15" hidden="false" customHeight="false" outlineLevel="0" collapsed="false">
      <c r="A2363" s="0" t="n">
        <v>0.484184498322597</v>
      </c>
      <c r="B2363" s="0" t="n">
        <v>0.648102127261071</v>
      </c>
      <c r="C2363" s="0" t="n">
        <v>0.018358383999224</v>
      </c>
      <c r="D2363" s="0" t="n">
        <f aca="false">A2363/SUM($A2363:$C2363)</f>
        <v>0.420793984495803</v>
      </c>
      <c r="E2363" s="0" t="n">
        <f aca="false">B2363/SUM($A2363:$C2363)</f>
        <v>0.563251152061232</v>
      </c>
      <c r="F2363" s="0" t="n">
        <f aca="false">C2363/SUM($A2363:$C2363)</f>
        <v>0.0159548634429648</v>
      </c>
      <c r="G2363" s="0" t="n">
        <f aca="false">SUMPRODUCT(D2363:F2363,Stats!$B$6:$D$6)</f>
        <v>0.388452497521353</v>
      </c>
      <c r="H2363" s="0" t="n">
        <f aca="false">SQRT(SUMPRODUCT(MMULT(D2363:F2363,Stats!$B$12:$D$14),D2363:F2363))</f>
        <v>0.231141654189006</v>
      </c>
      <c r="I2363" s="0" t="n">
        <f aca="false">(G2363-Stats!$B$2)/H2363</f>
        <v>1.49887521890821</v>
      </c>
    </row>
    <row r="2364" customFormat="false" ht="15" hidden="false" customHeight="false" outlineLevel="0" collapsed="false">
      <c r="A2364" s="0" t="n">
        <v>0.653994221420248</v>
      </c>
      <c r="B2364" s="0" t="n">
        <v>0.618585149072115</v>
      </c>
      <c r="C2364" s="0" t="n">
        <v>0.30984711675328</v>
      </c>
      <c r="D2364" s="0" t="n">
        <f aca="false">A2364/SUM($A2364:$C2364)</f>
        <v>0.413285689219336</v>
      </c>
      <c r="E2364" s="0" t="n">
        <f aca="false">B2364/SUM($A2364:$C2364)</f>
        <v>0.390909248586213</v>
      </c>
      <c r="F2364" s="0" t="n">
        <f aca="false">C2364/SUM($A2364:$C2364)</f>
        <v>0.195805062194451</v>
      </c>
      <c r="G2364" s="0" t="n">
        <f aca="false">SUMPRODUCT(D2364:F2364,Stats!$B$6:$D$6)</f>
        <v>0.373576867396612</v>
      </c>
      <c r="H2364" s="0" t="n">
        <f aca="false">SQRT(SUMPRODUCT(MMULT(D2364:F2364,Stats!$B$12:$D$14),D2364:F2364))</f>
        <v>0.225653462506259</v>
      </c>
      <c r="I2364" s="0" t="n">
        <f aca="false">(G2364-Stats!$B$2)/H2364</f>
        <v>1.46940739891113</v>
      </c>
    </row>
    <row r="2365" customFormat="false" ht="15" hidden="false" customHeight="false" outlineLevel="0" collapsed="false">
      <c r="A2365" s="0" t="n">
        <v>0.0857942848994895</v>
      </c>
      <c r="B2365" s="0" t="n">
        <v>0.0909354499130411</v>
      </c>
      <c r="C2365" s="0" t="n">
        <v>0.923223746985229</v>
      </c>
      <c r="D2365" s="0" t="n">
        <f aca="false">A2365/SUM($A2365:$C2365)</f>
        <v>0.0779981029372876</v>
      </c>
      <c r="E2365" s="0" t="n">
        <f aca="false">B2365/SUM($A2365:$C2365)</f>
        <v>0.0826720869726387</v>
      </c>
      <c r="F2365" s="0" t="n">
        <f aca="false">C2365/SUM($A2365:$C2365)</f>
        <v>0.839329810090074</v>
      </c>
      <c r="G2365" s="0" t="n">
        <f aca="false">SUMPRODUCT(D2365:F2365,Stats!$B$6:$D$6)</f>
        <v>0.338096352650328</v>
      </c>
      <c r="H2365" s="0" t="n">
        <f aca="false">SQRT(SUMPRODUCT(MMULT(D2365:F2365,Stats!$B$12:$D$14),D2365:F2365))</f>
        <v>0.247563846863525</v>
      </c>
      <c r="I2365" s="0" t="n">
        <f aca="false">(G2365-Stats!$B$2)/H2365</f>
        <v>1.19604036050368</v>
      </c>
    </row>
    <row r="2366" customFormat="false" ht="15" hidden="false" customHeight="false" outlineLevel="0" collapsed="false">
      <c r="A2366" s="0" t="n">
        <v>0.689279321225837</v>
      </c>
      <c r="B2366" s="0" t="n">
        <v>0.12710261377074</v>
      </c>
      <c r="C2366" s="0" t="n">
        <v>0.356723169308906</v>
      </c>
      <c r="D2366" s="0" t="n">
        <f aca="false">A2366/SUM($A2366:$C2366)</f>
        <v>0.587568256839111</v>
      </c>
      <c r="E2366" s="0" t="n">
        <f aca="false">B2366/SUM($A2366:$C2366)</f>
        <v>0.10834716625497</v>
      </c>
      <c r="F2366" s="0" t="n">
        <f aca="false">C2366/SUM($A2366:$C2366)</f>
        <v>0.304084576905918</v>
      </c>
      <c r="G2366" s="0" t="n">
        <f aca="false">SUMPRODUCT(D2366:F2366,Stats!$B$6:$D$6)</f>
        <v>0.354332844920541</v>
      </c>
      <c r="H2366" s="0" t="n">
        <f aca="false">SQRT(SUMPRODUCT(MMULT(D2366:F2366,Stats!$B$12:$D$14),D2366:F2366))</f>
        <v>0.221393256850433</v>
      </c>
      <c r="I2366" s="0" t="n">
        <f aca="false">(G2366-Stats!$B$2)/H2366</f>
        <v>1.41076042406994</v>
      </c>
    </row>
    <row r="2367" customFormat="false" ht="15" hidden="false" customHeight="false" outlineLevel="0" collapsed="false">
      <c r="A2367" s="0" t="n">
        <v>0.592482993901596</v>
      </c>
      <c r="B2367" s="0" t="n">
        <v>0.835571705090649</v>
      </c>
      <c r="C2367" s="0" t="n">
        <v>0.0436609287130085</v>
      </c>
      <c r="D2367" s="0" t="n">
        <f aca="false">A2367/SUM($A2367:$C2367)</f>
        <v>0.402579807367688</v>
      </c>
      <c r="E2367" s="0" t="n">
        <f aca="false">B2367/SUM($A2367:$C2367)</f>
        <v>0.567753504386917</v>
      </c>
      <c r="F2367" s="0" t="n">
        <f aca="false">C2367/SUM($A2367:$C2367)</f>
        <v>0.0296666882453957</v>
      </c>
      <c r="G2367" s="0" t="n">
        <f aca="false">SUMPRODUCT(D2367:F2367,Stats!$B$6:$D$6)</f>
        <v>0.38833345875181</v>
      </c>
      <c r="H2367" s="0" t="n">
        <f aca="false">SQRT(SUMPRODUCT(MMULT(D2367:F2367,Stats!$B$12:$D$14),D2367:F2367))</f>
        <v>0.231161959324715</v>
      </c>
      <c r="I2367" s="0" t="n">
        <f aca="false">(G2367-Stats!$B$2)/H2367</f>
        <v>1.49822860025733</v>
      </c>
    </row>
    <row r="2368" customFormat="false" ht="15" hidden="false" customHeight="false" outlineLevel="0" collapsed="false">
      <c r="A2368" s="0" t="n">
        <v>0.236633131470009</v>
      </c>
      <c r="B2368" s="0" t="n">
        <v>0.88974899029538</v>
      </c>
      <c r="C2368" s="0" t="n">
        <v>0.00916555018381648</v>
      </c>
      <c r="D2368" s="0" t="n">
        <f aca="false">A2368/SUM($A2368:$C2368)</f>
        <v>0.208386787552318</v>
      </c>
      <c r="E2368" s="0" t="n">
        <f aca="false">B2368/SUM($A2368:$C2368)</f>
        <v>0.783541732570414</v>
      </c>
      <c r="F2368" s="0" t="n">
        <f aca="false">C2368/SUM($A2368:$C2368)</f>
        <v>0.00807147987726795</v>
      </c>
      <c r="G2368" s="0" t="n">
        <f aca="false">SUMPRODUCT(D2368:F2368,Stats!$B$6:$D$6)</f>
        <v>0.401345113677047</v>
      </c>
      <c r="H2368" s="0" t="n">
        <f aca="false">SQRT(SUMPRODUCT(MMULT(D2368:F2368,Stats!$B$12:$D$14),D2368:F2368))</f>
        <v>0.240701307755857</v>
      </c>
      <c r="I2368" s="0" t="n">
        <f aca="false">(G2368-Stats!$B$2)/H2368</f>
        <v>1.49290885466036</v>
      </c>
    </row>
    <row r="2369" customFormat="false" ht="15" hidden="false" customHeight="false" outlineLevel="0" collapsed="false">
      <c r="A2369" s="0" t="n">
        <v>0.201399102793887</v>
      </c>
      <c r="B2369" s="0" t="n">
        <v>0.959024175972966</v>
      </c>
      <c r="C2369" s="0" t="n">
        <v>0.613401846522171</v>
      </c>
      <c r="D2369" s="0" t="n">
        <f aca="false">A2369/SUM($A2369:$C2369)</f>
        <v>0.11353943515772</v>
      </c>
      <c r="E2369" s="0" t="n">
        <f aca="false">B2369/SUM($A2369:$C2369)</f>
        <v>0.540653169413588</v>
      </c>
      <c r="F2369" s="0" t="n">
        <f aca="false">C2369/SUM($A2369:$C2369)</f>
        <v>0.345807395428692</v>
      </c>
      <c r="G2369" s="0" t="n">
        <f aca="false">SUMPRODUCT(D2369:F2369,Stats!$B$6:$D$6)</f>
        <v>0.378056682146251</v>
      </c>
      <c r="H2369" s="0" t="n">
        <f aca="false">SQRT(SUMPRODUCT(MMULT(D2369:F2369,Stats!$B$12:$D$14),D2369:F2369))</f>
        <v>0.236557313517401</v>
      </c>
      <c r="I2369" s="0" t="n">
        <f aca="false">(G2369-Stats!$B$2)/H2369</f>
        <v>1.42061421458243</v>
      </c>
    </row>
    <row r="2370" customFormat="false" ht="15" hidden="false" customHeight="false" outlineLevel="0" collapsed="false">
      <c r="A2370" s="0" t="n">
        <v>0.261671366637507</v>
      </c>
      <c r="B2370" s="0" t="n">
        <v>0.0669910943958476</v>
      </c>
      <c r="C2370" s="0" t="n">
        <v>0.0281913404472222</v>
      </c>
      <c r="D2370" s="0" t="n">
        <f aca="false">A2370/SUM($A2370:$C2370)</f>
        <v>0.733273305627793</v>
      </c>
      <c r="E2370" s="0" t="n">
        <f aca="false">B2370/SUM($A2370:$C2370)</f>
        <v>0.187727002256676</v>
      </c>
      <c r="F2370" s="0" t="n">
        <f aca="false">C2370/SUM($A2370:$C2370)</f>
        <v>0.0789996921155305</v>
      </c>
      <c r="G2370" s="0" t="n">
        <f aca="false">SUMPRODUCT(D2370:F2370,Stats!$B$6:$D$6)</f>
        <v>0.365106887070665</v>
      </c>
      <c r="H2370" s="0" t="n">
        <f aca="false">SQRT(SUMPRODUCT(MMULT(D2370:F2370,Stats!$B$12:$D$14),D2370:F2370))</f>
        <v>0.225145131230826</v>
      </c>
      <c r="I2370" s="0" t="n">
        <f aca="false">(G2370-Stats!$B$2)/H2370</f>
        <v>1.43510492678345</v>
      </c>
    </row>
    <row r="2371" customFormat="false" ht="15" hidden="false" customHeight="false" outlineLevel="0" collapsed="false">
      <c r="A2371" s="0" t="n">
        <v>0.244745079636927</v>
      </c>
      <c r="B2371" s="0" t="n">
        <v>0.881485819588911</v>
      </c>
      <c r="C2371" s="0" t="n">
        <v>0.41591365429751</v>
      </c>
      <c r="D2371" s="0" t="n">
        <f aca="false">A2371/SUM($A2371:$C2371)</f>
        <v>0.158704369883975</v>
      </c>
      <c r="E2371" s="0" t="n">
        <f aca="false">B2371/SUM($A2371:$C2371)</f>
        <v>0.571597401537343</v>
      </c>
      <c r="F2371" s="0" t="n">
        <f aca="false">C2371/SUM($A2371:$C2371)</f>
        <v>0.269698228578682</v>
      </c>
      <c r="G2371" s="0" t="n">
        <f aca="false">SUMPRODUCT(D2371:F2371,Stats!$B$6:$D$6)</f>
        <v>0.381935854215081</v>
      </c>
      <c r="H2371" s="0" t="n">
        <f aca="false">SQRT(SUMPRODUCT(MMULT(D2371:F2371,Stats!$B$12:$D$14),D2371:F2371))</f>
        <v>0.235016953402182</v>
      </c>
      <c r="I2371" s="0" t="n">
        <f aca="false">(G2371-Stats!$B$2)/H2371</f>
        <v>1.44643120121361</v>
      </c>
    </row>
    <row r="2372" customFormat="false" ht="15" hidden="false" customHeight="false" outlineLevel="0" collapsed="false">
      <c r="A2372" s="0" t="n">
        <v>0.720333369165993</v>
      </c>
      <c r="B2372" s="0" t="n">
        <v>0.918285035379958</v>
      </c>
      <c r="C2372" s="0" t="n">
        <v>0.408040461602817</v>
      </c>
      <c r="D2372" s="0" t="n">
        <f aca="false">A2372/SUM($A2372:$C2372)</f>
        <v>0.351955756320767</v>
      </c>
      <c r="E2372" s="0" t="n">
        <f aca="false">B2372/SUM($A2372:$C2372)</f>
        <v>0.448675180103615</v>
      </c>
      <c r="F2372" s="0" t="n">
        <f aca="false">C2372/SUM($A2372:$C2372)</f>
        <v>0.199369063575618</v>
      </c>
      <c r="G2372" s="0" t="n">
        <f aca="false">SUMPRODUCT(D2372:F2372,Stats!$B$6:$D$6)</f>
        <v>0.376802368363842</v>
      </c>
      <c r="H2372" s="0" t="n">
        <f aca="false">SQRT(SUMPRODUCT(MMULT(D2372:F2372,Stats!$B$12:$D$14),D2372:F2372))</f>
        <v>0.227550968184779</v>
      </c>
      <c r="I2372" s="0" t="n">
        <f aca="false">(G2372-Stats!$B$2)/H2372</f>
        <v>1.47132913137935</v>
      </c>
    </row>
    <row r="2373" customFormat="false" ht="15" hidden="false" customHeight="false" outlineLevel="0" collapsed="false">
      <c r="A2373" s="0" t="n">
        <v>0.191277371037397</v>
      </c>
      <c r="B2373" s="0" t="n">
        <v>0.51711793085692</v>
      </c>
      <c r="C2373" s="0" t="n">
        <v>0.908083687059854</v>
      </c>
      <c r="D2373" s="0" t="n">
        <f aca="false">A2373/SUM($A2373:$C2373)</f>
        <v>0.118329636416215</v>
      </c>
      <c r="E2373" s="0" t="n">
        <f aca="false">B2373/SUM($A2373:$C2373)</f>
        <v>0.319903898776615</v>
      </c>
      <c r="F2373" s="0" t="n">
        <f aca="false">C2373/SUM($A2373:$C2373)</f>
        <v>0.561766464807171</v>
      </c>
      <c r="G2373" s="0" t="n">
        <f aca="false">SUMPRODUCT(D2373:F2373,Stats!$B$6:$D$6)</f>
        <v>0.359400066548104</v>
      </c>
      <c r="H2373" s="0" t="n">
        <f aca="false">SQRT(SUMPRODUCT(MMULT(D2373:F2373,Stats!$B$12:$D$14),D2373:F2373))</f>
        <v>0.23694288754976</v>
      </c>
      <c r="I2373" s="0" t="n">
        <f aca="false">(G2373-Stats!$B$2)/H2373</f>
        <v>1.33956359623349</v>
      </c>
    </row>
    <row r="2374" customFormat="false" ht="15" hidden="false" customHeight="false" outlineLevel="0" collapsed="false">
      <c r="A2374" s="0" t="n">
        <v>0.804374414137701</v>
      </c>
      <c r="B2374" s="0" t="n">
        <v>0.0658298433631538</v>
      </c>
      <c r="C2374" s="0" t="n">
        <v>0.692572800077582</v>
      </c>
      <c r="D2374" s="0" t="n">
        <f aca="false">A2374/SUM($A2374:$C2374)</f>
        <v>0.514708358583213</v>
      </c>
      <c r="E2374" s="0" t="n">
        <f aca="false">B2374/SUM($A2374:$C2374)</f>
        <v>0.0421236305229351</v>
      </c>
      <c r="F2374" s="0" t="n">
        <f aca="false">C2374/SUM($A2374:$C2374)</f>
        <v>0.443168010893852</v>
      </c>
      <c r="G2374" s="0" t="n">
        <f aca="false">SUMPRODUCT(D2374:F2374,Stats!$B$6:$D$6)</f>
        <v>0.346687256188049</v>
      </c>
      <c r="H2374" s="0" t="n">
        <f aca="false">SQRT(SUMPRODUCT(MMULT(D2374:F2374,Stats!$B$12:$D$14),D2374:F2374))</f>
        <v>0.222528077179659</v>
      </c>
      <c r="I2374" s="0" t="n">
        <f aca="false">(G2374-Stats!$B$2)/H2374</f>
        <v>1.36920814689851</v>
      </c>
    </row>
    <row r="2375" customFormat="false" ht="15" hidden="false" customHeight="false" outlineLevel="0" collapsed="false">
      <c r="A2375" s="0" t="n">
        <v>0.571897522458954</v>
      </c>
      <c r="B2375" s="0" t="n">
        <v>0.907463176346426</v>
      </c>
      <c r="C2375" s="0" t="n">
        <v>0.122481416850297</v>
      </c>
      <c r="D2375" s="0" t="n">
        <f aca="false">A2375/SUM($A2375:$C2375)</f>
        <v>0.357024900812313</v>
      </c>
      <c r="E2375" s="0" t="n">
        <f aca="false">B2375/SUM($A2375:$C2375)</f>
        <v>0.566512247041886</v>
      </c>
      <c r="F2375" s="0" t="n">
        <f aca="false">C2375/SUM($A2375:$C2375)</f>
        <v>0.0764628521458011</v>
      </c>
      <c r="G2375" s="0" t="n">
        <f aca="false">SUMPRODUCT(D2375:F2375,Stats!$B$6:$D$6)</f>
        <v>0.386971652189902</v>
      </c>
      <c r="H2375" s="0" t="n">
        <f aca="false">SQRT(SUMPRODUCT(MMULT(D2375:F2375,Stats!$B$12:$D$14),D2375:F2375))</f>
        <v>0.230967364981257</v>
      </c>
      <c r="I2375" s="0" t="n">
        <f aca="false">(G2375-Stats!$B$2)/H2375</f>
        <v>1.49359478650976</v>
      </c>
    </row>
    <row r="2376" customFormat="false" ht="15" hidden="false" customHeight="false" outlineLevel="0" collapsed="false">
      <c r="A2376" s="0" t="n">
        <v>0.534036113204657</v>
      </c>
      <c r="B2376" s="0" t="n">
        <v>0.879462693511892</v>
      </c>
      <c r="C2376" s="0" t="n">
        <v>0.410023786741743</v>
      </c>
      <c r="D2376" s="0" t="n">
        <f aca="false">A2376/SUM($A2376:$C2376)</f>
        <v>0.292859608715822</v>
      </c>
      <c r="E2376" s="0" t="n">
        <f aca="false">B2376/SUM($A2376:$C2376)</f>
        <v>0.482287796524638</v>
      </c>
      <c r="F2376" s="0" t="n">
        <f aca="false">C2376/SUM($A2376:$C2376)</f>
        <v>0.22485259475954</v>
      </c>
      <c r="G2376" s="0" t="n">
        <f aca="false">SUMPRODUCT(D2376:F2376,Stats!$B$6:$D$6)</f>
        <v>0.378033696237835</v>
      </c>
      <c r="H2376" s="0" t="n">
        <f aca="false">SQRT(SUMPRODUCT(MMULT(D2376:F2376,Stats!$B$12:$D$14),D2376:F2376))</f>
        <v>0.229308342405148</v>
      </c>
      <c r="I2376" s="0" t="n">
        <f aca="false">(G2376-Stats!$B$2)/H2376</f>
        <v>1.46542290050713</v>
      </c>
    </row>
    <row r="2377" customFormat="false" ht="15" hidden="false" customHeight="false" outlineLevel="0" collapsed="false">
      <c r="A2377" s="0" t="n">
        <v>0.481994917732867</v>
      </c>
      <c r="B2377" s="0" t="n">
        <v>0.0704606776669583</v>
      </c>
      <c r="C2377" s="0" t="n">
        <v>0.278143640448911</v>
      </c>
      <c r="D2377" s="0" t="n">
        <f aca="false">A2377/SUM($A2377:$C2377)</f>
        <v>0.580297810219326</v>
      </c>
      <c r="E2377" s="0" t="n">
        <f aca="false">B2377/SUM($A2377:$C2377)</f>
        <v>0.084831137118684</v>
      </c>
      <c r="F2377" s="0" t="n">
        <f aca="false">C2377/SUM($A2377:$C2377)</f>
        <v>0.33487105266199</v>
      </c>
      <c r="G2377" s="0" t="n">
        <f aca="false">SUMPRODUCT(D2377:F2377,Stats!$B$6:$D$6)</f>
        <v>0.352130837812368</v>
      </c>
      <c r="H2377" s="0" t="n">
        <f aca="false">SQRT(SUMPRODUCT(MMULT(D2377:F2377,Stats!$B$12:$D$14),D2377:F2377))</f>
        <v>0.22137631700217</v>
      </c>
      <c r="I2377" s="0" t="n">
        <f aca="false">(G2377-Stats!$B$2)/H2377</f>
        <v>1.40092148072609</v>
      </c>
    </row>
    <row r="2378" customFormat="false" ht="15" hidden="false" customHeight="false" outlineLevel="0" collapsed="false">
      <c r="A2378" s="0" t="n">
        <v>0.324506649168947</v>
      </c>
      <c r="B2378" s="0" t="n">
        <v>0.945122448744887</v>
      </c>
      <c r="C2378" s="0" t="n">
        <v>0.282667360541159</v>
      </c>
      <c r="D2378" s="0" t="n">
        <f aca="false">A2378/SUM($A2378:$C2378)</f>
        <v>0.209049403805205</v>
      </c>
      <c r="E2378" s="0" t="n">
        <f aca="false">B2378/SUM($A2378:$C2378)</f>
        <v>0.608854348405569</v>
      </c>
      <c r="F2378" s="0" t="n">
        <f aca="false">C2378/SUM($A2378:$C2378)</f>
        <v>0.182096247789226</v>
      </c>
      <c r="G2378" s="0" t="n">
        <f aca="false">SUMPRODUCT(D2378:F2378,Stats!$B$6:$D$6)</f>
        <v>0.386495161643932</v>
      </c>
      <c r="H2378" s="0" t="n">
        <f aca="false">SQRT(SUMPRODUCT(MMULT(D2378:F2378,Stats!$B$12:$D$14),D2378:F2378))</f>
        <v>0.23426258648099</v>
      </c>
      <c r="I2378" s="0" t="n">
        <f aca="false">(G2378-Stats!$B$2)/H2378</f>
        <v>1.47055134504752</v>
      </c>
    </row>
    <row r="2379" customFormat="false" ht="15" hidden="false" customHeight="false" outlineLevel="0" collapsed="false">
      <c r="A2379" s="0" t="n">
        <v>0.460868735269652</v>
      </c>
      <c r="B2379" s="0" t="n">
        <v>0.67130442356428</v>
      </c>
      <c r="C2379" s="0" t="n">
        <v>0.162183372407877</v>
      </c>
      <c r="D2379" s="0" t="n">
        <f aca="false">A2379/SUM($A2379:$C2379)</f>
        <v>0.356060114926367</v>
      </c>
      <c r="E2379" s="0" t="n">
        <f aca="false">B2379/SUM($A2379:$C2379)</f>
        <v>0.518639499520452</v>
      </c>
      <c r="F2379" s="0" t="n">
        <f aca="false">C2379/SUM($A2379:$C2379)</f>
        <v>0.125300385553182</v>
      </c>
      <c r="G2379" s="0" t="n">
        <f aca="false">SUMPRODUCT(D2379:F2379,Stats!$B$6:$D$6)</f>
        <v>0.382870440058198</v>
      </c>
      <c r="H2379" s="0" t="n">
        <f aca="false">SQRT(SUMPRODUCT(MMULT(D2379:F2379,Stats!$B$12:$D$14),D2379:F2379))</f>
        <v>0.229361289695788</v>
      </c>
      <c r="I2379" s="0" t="n">
        <f aca="false">(G2379-Stats!$B$2)/H2379</f>
        <v>1.48617249454042</v>
      </c>
    </row>
    <row r="2380" customFormat="false" ht="15" hidden="false" customHeight="false" outlineLevel="0" collapsed="false">
      <c r="A2380" s="0" t="n">
        <v>0.486442387141875</v>
      </c>
      <c r="B2380" s="0" t="n">
        <v>0.738539039475908</v>
      </c>
      <c r="C2380" s="0" t="n">
        <v>0.866855213027066</v>
      </c>
      <c r="D2380" s="0" t="n">
        <f aca="false">A2380/SUM($A2380:$C2380)</f>
        <v>0.232543200517065</v>
      </c>
      <c r="E2380" s="0" t="n">
        <f aca="false">B2380/SUM($A2380:$C2380)</f>
        <v>0.353057703206354</v>
      </c>
      <c r="F2380" s="0" t="n">
        <f aca="false">C2380/SUM($A2380:$C2380)</f>
        <v>0.414399096276581</v>
      </c>
      <c r="G2380" s="0" t="n">
        <f aca="false">SUMPRODUCT(D2380:F2380,Stats!$B$6:$D$6)</f>
        <v>0.365371292051623</v>
      </c>
      <c r="H2380" s="0" t="n">
        <f aca="false">SQRT(SUMPRODUCT(MMULT(D2380:F2380,Stats!$B$12:$D$14),D2380:F2380))</f>
        <v>0.230110749902583</v>
      </c>
      <c r="I2380" s="0" t="n">
        <f aca="false">(G2380-Stats!$B$2)/H2380</f>
        <v>1.40528546444928</v>
      </c>
    </row>
    <row r="2381" customFormat="false" ht="15" hidden="false" customHeight="false" outlineLevel="0" collapsed="false">
      <c r="A2381" s="0" t="n">
        <v>0.626259274662427</v>
      </c>
      <c r="B2381" s="0" t="n">
        <v>0.669053515316948</v>
      </c>
      <c r="C2381" s="0" t="n">
        <v>0.126283472584569</v>
      </c>
      <c r="D2381" s="0" t="n">
        <f aca="false">A2381/SUM($A2381:$C2381)</f>
        <v>0.440532443109358</v>
      </c>
      <c r="E2381" s="0" t="n">
        <f aca="false">B2381/SUM($A2381:$C2381)</f>
        <v>0.470635392717103</v>
      </c>
      <c r="F2381" s="0" t="n">
        <f aca="false">C2381/SUM($A2381:$C2381)</f>
        <v>0.0888321641735385</v>
      </c>
      <c r="G2381" s="0" t="n">
        <f aca="false">SUMPRODUCT(D2381:F2381,Stats!$B$6:$D$6)</f>
        <v>0.381113943061361</v>
      </c>
      <c r="H2381" s="0" t="n">
        <f aca="false">SQRT(SUMPRODUCT(MMULT(D2381:F2381,Stats!$B$12:$D$14),D2381:F2381))</f>
        <v>0.227805035965947</v>
      </c>
      <c r="I2381" s="0" t="n">
        <f aca="false">(G2381-Stats!$B$2)/H2381</f>
        <v>1.48861477808618</v>
      </c>
    </row>
    <row r="2382" customFormat="false" ht="15" hidden="false" customHeight="false" outlineLevel="0" collapsed="false">
      <c r="A2382" s="0" t="n">
        <v>0.945776497246347</v>
      </c>
      <c r="B2382" s="0" t="n">
        <v>0.132574077484482</v>
      </c>
      <c r="C2382" s="0" t="n">
        <v>0.774672937181798</v>
      </c>
      <c r="D2382" s="0" t="n">
        <f aca="false">A2382/SUM($A2382:$C2382)</f>
        <v>0.510396382542469</v>
      </c>
      <c r="E2382" s="0" t="n">
        <f aca="false">B2382/SUM($A2382:$C2382)</f>
        <v>0.0715447357425292</v>
      </c>
      <c r="F2382" s="0" t="n">
        <f aca="false">C2382/SUM($A2382:$C2382)</f>
        <v>0.418058881715002</v>
      </c>
      <c r="G2382" s="0" t="n">
        <f aca="false">SUMPRODUCT(D2382:F2382,Stats!$B$6:$D$6)</f>
        <v>0.349072483083021</v>
      </c>
      <c r="H2382" s="0" t="n">
        <f aca="false">SQRT(SUMPRODUCT(MMULT(D2382:F2382,Stats!$B$12:$D$14),D2382:F2382))</f>
        <v>0.222312200871377</v>
      </c>
      <c r="I2382" s="0" t="n">
        <f aca="false">(G2382-Stats!$B$2)/H2382</f>
        <v>1.3812668934922</v>
      </c>
    </row>
    <row r="2383" customFormat="false" ht="15" hidden="false" customHeight="false" outlineLevel="0" collapsed="false">
      <c r="A2383" s="0" t="n">
        <v>0.264816321778319</v>
      </c>
      <c r="B2383" s="0" t="n">
        <v>0.933593143701252</v>
      </c>
      <c r="C2383" s="0" t="n">
        <v>0.71995953936948</v>
      </c>
      <c r="D2383" s="0" t="n">
        <f aca="false">A2383/SUM($A2383:$C2383)</f>
        <v>0.138042431413844</v>
      </c>
      <c r="E2383" s="0" t="n">
        <f aca="false">B2383/SUM($A2383:$C2383)</f>
        <v>0.486659835173219</v>
      </c>
      <c r="F2383" s="0" t="n">
        <f aca="false">C2383/SUM($A2383:$C2383)</f>
        <v>0.375297733412937</v>
      </c>
      <c r="G2383" s="0" t="n">
        <f aca="false">SUMPRODUCT(D2383:F2383,Stats!$B$6:$D$6)</f>
        <v>0.37413679084893</v>
      </c>
      <c r="H2383" s="0" t="n">
        <f aca="false">SQRT(SUMPRODUCT(MMULT(D2383:F2383,Stats!$B$12:$D$14),D2383:F2383))</f>
        <v>0.234928709774858</v>
      </c>
      <c r="I2383" s="0" t="n">
        <f aca="false">(G2383-Stats!$B$2)/H2383</f>
        <v>1.41377693329705</v>
      </c>
    </row>
    <row r="2384" customFormat="false" ht="15" hidden="false" customHeight="false" outlineLevel="0" collapsed="false">
      <c r="A2384" s="0" t="n">
        <v>0.753813712978369</v>
      </c>
      <c r="B2384" s="0" t="n">
        <v>0.219059173059883</v>
      </c>
      <c r="C2384" s="0" t="n">
        <v>0.443039976635161</v>
      </c>
      <c r="D2384" s="0" t="n">
        <f aca="false">A2384/SUM($A2384:$C2384)</f>
        <v>0.532387078930181</v>
      </c>
      <c r="E2384" s="0" t="n">
        <f aca="false">B2384/SUM($A2384:$C2384)</f>
        <v>0.154712326467798</v>
      </c>
      <c r="F2384" s="0" t="n">
        <f aca="false">C2384/SUM($A2384:$C2384)</f>
        <v>0.312900594602021</v>
      </c>
      <c r="G2384" s="0" t="n">
        <f aca="false">SUMPRODUCT(D2384:F2384,Stats!$B$6:$D$6)</f>
        <v>0.356757537932784</v>
      </c>
      <c r="H2384" s="0" t="n">
        <f aca="false">SQRT(SUMPRODUCT(MMULT(D2384:F2384,Stats!$B$12:$D$14),D2384:F2384))</f>
        <v>0.221799527416152</v>
      </c>
      <c r="I2384" s="0" t="n">
        <f aca="false">(G2384-Stats!$B$2)/H2384</f>
        <v>1.41910824427601</v>
      </c>
    </row>
    <row r="2385" customFormat="false" ht="15" hidden="false" customHeight="false" outlineLevel="0" collapsed="false">
      <c r="A2385" s="0" t="n">
        <v>0.617813194589286</v>
      </c>
      <c r="B2385" s="0" t="n">
        <v>0.769973618206601</v>
      </c>
      <c r="C2385" s="0" t="n">
        <v>0.10395937591239</v>
      </c>
      <c r="D2385" s="0" t="n">
        <f aca="false">A2385/SUM($A2385:$C2385)</f>
        <v>0.414154364372306</v>
      </c>
      <c r="E2385" s="0" t="n">
        <f aca="false">B2385/SUM($A2385:$C2385)</f>
        <v>0.516155914481224</v>
      </c>
      <c r="F2385" s="0" t="n">
        <f aca="false">C2385/SUM($A2385:$C2385)</f>
        <v>0.0696897211464703</v>
      </c>
      <c r="G2385" s="0" t="n">
        <f aca="false">SUMPRODUCT(D2385:F2385,Stats!$B$6:$D$6)</f>
        <v>0.384260980471511</v>
      </c>
      <c r="H2385" s="0" t="n">
        <f aca="false">SQRT(SUMPRODUCT(MMULT(D2385:F2385,Stats!$B$12:$D$14),D2385:F2385))</f>
        <v>0.229246788026345</v>
      </c>
      <c r="I2385" s="0" t="n">
        <f aca="false">(G2385-Stats!$B$2)/H2385</f>
        <v>1.49298048368808</v>
      </c>
    </row>
    <row r="2386" customFormat="false" ht="15" hidden="false" customHeight="false" outlineLevel="0" collapsed="false">
      <c r="A2386" s="0" t="n">
        <v>0.962365316454528</v>
      </c>
      <c r="B2386" s="0" t="n">
        <v>0.890220670554556</v>
      </c>
      <c r="C2386" s="0" t="n">
        <v>0.270348590495584</v>
      </c>
      <c r="D2386" s="0" t="n">
        <f aca="false">A2386/SUM($A2386:$C2386)</f>
        <v>0.453318404934413</v>
      </c>
      <c r="E2386" s="0" t="n">
        <f aca="false">B2386/SUM($A2386:$C2386)</f>
        <v>0.419334952658285</v>
      </c>
      <c r="F2386" s="0" t="n">
        <f aca="false">C2386/SUM($A2386:$C2386)</f>
        <v>0.127346642407302</v>
      </c>
      <c r="G2386" s="0" t="n">
        <f aca="false">SUMPRODUCT(D2386:F2386,Stats!$B$6:$D$6)</f>
        <v>0.377100160213388</v>
      </c>
      <c r="H2386" s="0" t="n">
        <f aca="false">SQRT(SUMPRODUCT(MMULT(D2386:F2386,Stats!$B$12:$D$14),D2386:F2386))</f>
        <v>0.226274021767842</v>
      </c>
      <c r="I2386" s="0" t="n">
        <f aca="false">(G2386-Stats!$B$2)/H2386</f>
        <v>1.48094844293351</v>
      </c>
    </row>
    <row r="2387" customFormat="false" ht="15" hidden="false" customHeight="false" outlineLevel="0" collapsed="false">
      <c r="A2387" s="0" t="n">
        <v>0.822760243032332</v>
      </c>
      <c r="B2387" s="0" t="n">
        <v>0.518323923039823</v>
      </c>
      <c r="C2387" s="0" t="n">
        <v>0.461806481562019</v>
      </c>
      <c r="D2387" s="0" t="n">
        <f aca="false">A2387/SUM($A2387:$C2387)</f>
        <v>0.456356154552131</v>
      </c>
      <c r="E2387" s="0" t="n">
        <f aca="false">B2387/SUM($A2387:$C2387)</f>
        <v>0.287496040716606</v>
      </c>
      <c r="F2387" s="0" t="n">
        <f aca="false">C2387/SUM($A2387:$C2387)</f>
        <v>0.256147804731263</v>
      </c>
      <c r="G2387" s="0" t="n">
        <f aca="false">SUMPRODUCT(D2387:F2387,Stats!$B$6:$D$6)</f>
        <v>0.365962677344477</v>
      </c>
      <c r="H2387" s="0" t="n">
        <f aca="false">SQRT(SUMPRODUCT(MMULT(D2387:F2387,Stats!$B$12:$D$14),D2387:F2387))</f>
        <v>0.223537508548276</v>
      </c>
      <c r="I2387" s="0" t="n">
        <f aca="false">(G2387-Stats!$B$2)/H2387</f>
        <v>1.44925421889326</v>
      </c>
    </row>
    <row r="2388" customFormat="false" ht="15" hidden="false" customHeight="false" outlineLevel="0" collapsed="false">
      <c r="A2388" s="0" t="n">
        <v>0.314434105811405</v>
      </c>
      <c r="B2388" s="0" t="n">
        <v>0.580968586631593</v>
      </c>
      <c r="C2388" s="0" t="n">
        <v>0.729889117703598</v>
      </c>
      <c r="D2388" s="0" t="n">
        <f aca="false">A2388/SUM($A2388:$C2388)</f>
        <v>0.193463170027938</v>
      </c>
      <c r="E2388" s="0" t="n">
        <f aca="false">B2388/SUM($A2388:$C2388)</f>
        <v>0.357454940094229</v>
      </c>
      <c r="F2388" s="0" t="n">
        <f aca="false">C2388/SUM($A2388:$C2388)</f>
        <v>0.449081889877833</v>
      </c>
      <c r="G2388" s="0" t="n">
        <f aca="false">SUMPRODUCT(D2388:F2388,Stats!$B$6:$D$6)</f>
        <v>0.364667938677068</v>
      </c>
      <c r="H2388" s="0" t="n">
        <f aca="false">SQRT(SUMPRODUCT(MMULT(D2388:F2388,Stats!$B$12:$D$14),D2388:F2388))</f>
        <v>0.232011623890009</v>
      </c>
      <c r="I2388" s="0" t="n">
        <f aca="false">(G2388-Stats!$B$2)/H2388</f>
        <v>1.39074040027424</v>
      </c>
    </row>
    <row r="2389" customFormat="false" ht="15" hidden="false" customHeight="false" outlineLevel="0" collapsed="false">
      <c r="A2389" s="0" t="n">
        <v>0.410932904962758</v>
      </c>
      <c r="B2389" s="0" t="n">
        <v>0.629219193008292</v>
      </c>
      <c r="C2389" s="0" t="n">
        <v>0.699312921155304</v>
      </c>
      <c r="D2389" s="0" t="n">
        <f aca="false">A2389/SUM($A2389:$C2389)</f>
        <v>0.236240970898713</v>
      </c>
      <c r="E2389" s="0" t="n">
        <f aca="false">B2389/SUM($A2389:$C2389)</f>
        <v>0.361731443915048</v>
      </c>
      <c r="F2389" s="0" t="n">
        <f aca="false">C2389/SUM($A2389:$C2389)</f>
        <v>0.402027585186239</v>
      </c>
      <c r="G2389" s="0" t="n">
        <f aca="false">SUMPRODUCT(D2389:F2389,Stats!$B$6:$D$6)</f>
        <v>0.366211507525781</v>
      </c>
      <c r="H2389" s="0" t="n">
        <f aca="false">SQRT(SUMPRODUCT(MMULT(D2389:F2389,Stats!$B$12:$D$14),D2389:F2389))</f>
        <v>0.229940317354615</v>
      </c>
      <c r="I2389" s="0" t="n">
        <f aca="false">(G2389-Stats!$B$2)/H2389</f>
        <v>1.40998112577961</v>
      </c>
    </row>
    <row r="2390" customFormat="false" ht="15" hidden="false" customHeight="false" outlineLevel="0" collapsed="false">
      <c r="A2390" s="0" t="n">
        <v>0.711121817015286</v>
      </c>
      <c r="B2390" s="0" t="n">
        <v>0.0519660981311803</v>
      </c>
      <c r="C2390" s="0" t="n">
        <v>0.859747805685067</v>
      </c>
      <c r="D2390" s="0" t="n">
        <f aca="false">A2390/SUM($A2390:$C2390)</f>
        <v>0.438197044769825</v>
      </c>
      <c r="E2390" s="0" t="n">
        <f aca="false">B2390/SUM($A2390:$C2390)</f>
        <v>0.0320217859787761</v>
      </c>
      <c r="F2390" s="0" t="n">
        <f aca="false">C2390/SUM($A2390:$C2390)</f>
        <v>0.529781169251399</v>
      </c>
      <c r="G2390" s="0" t="n">
        <f aca="false">SUMPRODUCT(D2390:F2390,Stats!$B$6:$D$6)</f>
        <v>0.343717684599003</v>
      </c>
      <c r="H2390" s="0" t="n">
        <f aca="false">SQRT(SUMPRODUCT(MMULT(D2390:F2390,Stats!$B$12:$D$14),D2390:F2390))</f>
        <v>0.224995611468337</v>
      </c>
      <c r="I2390" s="0" t="n">
        <f aca="false">(G2390-Stats!$B$2)/H2390</f>
        <v>1.34099364263139</v>
      </c>
    </row>
    <row r="2391" customFormat="false" ht="15" hidden="false" customHeight="false" outlineLevel="0" collapsed="false">
      <c r="A2391" s="0" t="n">
        <v>0.458253314765048</v>
      </c>
      <c r="B2391" s="0" t="n">
        <v>0.262416081696214</v>
      </c>
      <c r="C2391" s="0" t="n">
        <v>0.241764507479682</v>
      </c>
      <c r="D2391" s="0" t="n">
        <f aca="false">A2391/SUM($A2391:$C2391)</f>
        <v>0.476140037137726</v>
      </c>
      <c r="E2391" s="0" t="n">
        <f aca="false">B2391/SUM($A2391:$C2391)</f>
        <v>0.272658808694999</v>
      </c>
      <c r="F2391" s="0" t="n">
        <f aca="false">C2391/SUM($A2391:$C2391)</f>
        <v>0.251201154167275</v>
      </c>
      <c r="G2391" s="0" t="n">
        <f aca="false">SUMPRODUCT(D2391:F2391,Stats!$B$6:$D$6)</f>
        <v>0.365245364204128</v>
      </c>
      <c r="H2391" s="0" t="n">
        <f aca="false">SQRT(SUMPRODUCT(MMULT(D2391:F2391,Stats!$B$12:$D$14),D2391:F2391))</f>
        <v>0.223187829189853</v>
      </c>
      <c r="I2391" s="0" t="n">
        <f aca="false">(G2391-Stats!$B$2)/H2391</f>
        <v>1.44831089301541</v>
      </c>
    </row>
    <row r="2392" customFormat="false" ht="15" hidden="false" customHeight="false" outlineLevel="0" collapsed="false">
      <c r="A2392" s="0" t="n">
        <v>0.483014112843951</v>
      </c>
      <c r="B2392" s="0" t="n">
        <v>0.886831539468959</v>
      </c>
      <c r="C2392" s="0" t="n">
        <v>0.378347581682647</v>
      </c>
      <c r="D2392" s="0" t="n">
        <f aca="false">A2392/SUM($A2392:$C2392)</f>
        <v>0.276293320126863</v>
      </c>
      <c r="E2392" s="0" t="n">
        <f aca="false">B2392/SUM($A2392:$C2392)</f>
        <v>0.507284619470855</v>
      </c>
      <c r="F2392" s="0" t="n">
        <f aca="false">C2392/SUM($A2392:$C2392)</f>
        <v>0.216422060402282</v>
      </c>
      <c r="G2392" s="0" t="n">
        <f aca="false">SUMPRODUCT(D2392:F2392,Stats!$B$6:$D$6)</f>
        <v>0.379704449819753</v>
      </c>
      <c r="H2392" s="0" t="n">
        <f aca="false">SQRT(SUMPRODUCT(MMULT(D2392:F2392,Stats!$B$12:$D$14),D2392:F2392))</f>
        <v>0.230197184894668</v>
      </c>
      <c r="I2392" s="0" t="n">
        <f aca="false">(G2392-Stats!$B$2)/H2392</f>
        <v>1.46702250061953</v>
      </c>
    </row>
    <row r="2393" customFormat="false" ht="15" hidden="false" customHeight="false" outlineLevel="0" collapsed="false">
      <c r="A2393" s="0" t="n">
        <v>0.749725746783543</v>
      </c>
      <c r="B2393" s="0" t="n">
        <v>0.0968187309872186</v>
      </c>
      <c r="C2393" s="0" t="n">
        <v>0.476056702151062</v>
      </c>
      <c r="D2393" s="0" t="n">
        <f aca="false">A2393/SUM($A2393:$C2393)</f>
        <v>0.566857007361704</v>
      </c>
      <c r="E2393" s="0" t="n">
        <f aca="false">B2393/SUM($A2393:$C2393)</f>
        <v>0.0732032697815538</v>
      </c>
      <c r="F2393" s="0" t="n">
        <f aca="false">C2393/SUM($A2393:$C2393)</f>
        <v>0.359939722856742</v>
      </c>
      <c r="G2393" s="0" t="n">
        <f aca="false">SUMPRODUCT(D2393:F2393,Stats!$B$6:$D$6)</f>
        <v>0.350770526436741</v>
      </c>
      <c r="H2393" s="0" t="n">
        <f aca="false">SQRT(SUMPRODUCT(MMULT(D2393:F2393,Stats!$B$12:$D$14),D2393:F2393))</f>
        <v>0.221486792648952</v>
      </c>
      <c r="I2393" s="0" t="n">
        <f aca="false">(G2393-Stats!$B$2)/H2393</f>
        <v>1.39408098669851</v>
      </c>
    </row>
    <row r="2394" customFormat="false" ht="15" hidden="false" customHeight="false" outlineLevel="0" collapsed="false">
      <c r="A2394" s="0" t="n">
        <v>0.991686140392736</v>
      </c>
      <c r="B2394" s="0" t="n">
        <v>0.770437802792337</v>
      </c>
      <c r="C2394" s="0" t="n">
        <v>0.210528488440613</v>
      </c>
      <c r="D2394" s="0" t="n">
        <f aca="false">A2394/SUM($A2394:$C2394)</f>
        <v>0.502717115541472</v>
      </c>
      <c r="E2394" s="0" t="n">
        <f aca="false">B2394/SUM($A2394:$C2394)</f>
        <v>0.390559325322916</v>
      </c>
      <c r="F2394" s="0" t="n">
        <f aca="false">C2394/SUM($A2394:$C2394)</f>
        <v>0.106723559135612</v>
      </c>
      <c r="G2394" s="0" t="n">
        <f aca="false">SUMPRODUCT(D2394:F2394,Stats!$B$6:$D$6)</f>
        <v>0.376013121449239</v>
      </c>
      <c r="H2394" s="0" t="n">
        <f aca="false">SQRT(SUMPRODUCT(MMULT(D2394:F2394,Stats!$B$12:$D$14),D2394:F2394))</f>
        <v>0.225758562916772</v>
      </c>
      <c r="I2394" s="0" t="n">
        <f aca="false">(G2394-Stats!$B$2)/H2394</f>
        <v>1.4795147397017</v>
      </c>
    </row>
    <row r="2395" customFormat="false" ht="15" hidden="false" customHeight="false" outlineLevel="0" collapsed="false">
      <c r="A2395" s="0" t="n">
        <v>0.501441473697911</v>
      </c>
      <c r="B2395" s="0" t="n">
        <v>0.233624763648567</v>
      </c>
      <c r="C2395" s="0" t="n">
        <v>0.409560927262509</v>
      </c>
      <c r="D2395" s="0" t="n">
        <f aca="false">A2395/SUM($A2395:$C2395)</f>
        <v>0.438082800410566</v>
      </c>
      <c r="E2395" s="0" t="n">
        <f aca="false">B2395/SUM($A2395:$C2395)</f>
        <v>0.204105555828194</v>
      </c>
      <c r="F2395" s="0" t="n">
        <f aca="false">C2395/SUM($A2395:$C2395)</f>
        <v>0.35781164376124</v>
      </c>
      <c r="G2395" s="0" t="n">
        <f aca="false">SUMPRODUCT(D2395:F2395,Stats!$B$6:$D$6)</f>
        <v>0.358361155514907</v>
      </c>
      <c r="H2395" s="0" t="n">
        <f aca="false">SQRT(SUMPRODUCT(MMULT(D2395:F2395,Stats!$B$12:$D$14),D2395:F2395))</f>
        <v>0.22325945434176</v>
      </c>
      <c r="I2395" s="0" t="n">
        <f aca="false">(G2395-Stats!$B$2)/H2395</f>
        <v>1.41701123675878</v>
      </c>
    </row>
    <row r="2396" customFormat="false" ht="15" hidden="false" customHeight="false" outlineLevel="0" collapsed="false">
      <c r="A2396" s="0" t="n">
        <v>0.780084023734965</v>
      </c>
      <c r="B2396" s="0" t="n">
        <v>0.771224815290404</v>
      </c>
      <c r="C2396" s="0" t="n">
        <v>0.228100377902385</v>
      </c>
      <c r="D2396" s="0" t="n">
        <f aca="false">A2396/SUM($A2396:$C2396)</f>
        <v>0.438394955086173</v>
      </c>
      <c r="E2396" s="0" t="n">
        <f aca="false">B2396/SUM($A2396:$C2396)</f>
        <v>0.433416219244927</v>
      </c>
      <c r="F2396" s="0" t="n">
        <f aca="false">C2396/SUM($A2396:$C2396)</f>
        <v>0.1281888256689</v>
      </c>
      <c r="G2396" s="0" t="n">
        <f aca="false">SUMPRODUCT(D2396:F2396,Stats!$B$6:$D$6)</f>
        <v>0.377887155188239</v>
      </c>
      <c r="H2396" s="0" t="n">
        <f aca="false">SQRT(SUMPRODUCT(MMULT(D2396:F2396,Stats!$B$12:$D$14),D2396:F2396))</f>
        <v>0.226641516357396</v>
      </c>
      <c r="I2396" s="0" t="n">
        <f aca="false">(G2396-Stats!$B$2)/H2396</f>
        <v>1.48201953722623</v>
      </c>
    </row>
    <row r="2397" customFormat="false" ht="15" hidden="false" customHeight="false" outlineLevel="0" collapsed="false">
      <c r="A2397" s="0" t="n">
        <v>0.92222331815486</v>
      </c>
      <c r="B2397" s="0" t="n">
        <v>0.592568182764827</v>
      </c>
      <c r="C2397" s="0" t="n">
        <v>0.379924290962015</v>
      </c>
      <c r="D2397" s="0" t="n">
        <f aca="false">A2397/SUM($A2397:$C2397)</f>
        <v>0.48673438101182</v>
      </c>
      <c r="E2397" s="0" t="n">
        <f aca="false">B2397/SUM($A2397:$C2397)</f>
        <v>0.312747793259447</v>
      </c>
      <c r="F2397" s="0" t="n">
        <f aca="false">C2397/SUM($A2397:$C2397)</f>
        <v>0.200517825728734</v>
      </c>
      <c r="G2397" s="0" t="n">
        <f aca="false">SUMPRODUCT(D2397:F2397,Stats!$B$6:$D$6)</f>
        <v>0.368949605777668</v>
      </c>
      <c r="H2397" s="0" t="n">
        <f aca="false">SQRT(SUMPRODUCT(MMULT(D2397:F2397,Stats!$B$12:$D$14),D2397:F2397))</f>
        <v>0.2237848358891</v>
      </c>
      <c r="I2397" s="0" t="n">
        <f aca="false">(G2397-Stats!$B$2)/H2397</f>
        <v>1.46099982368642</v>
      </c>
    </row>
    <row r="2398" customFormat="false" ht="15" hidden="false" customHeight="false" outlineLevel="0" collapsed="false">
      <c r="A2398" s="0" t="n">
        <v>0.501935580780861</v>
      </c>
      <c r="B2398" s="0" t="n">
        <v>0.605071253437744</v>
      </c>
      <c r="C2398" s="0" t="n">
        <v>0.559890531845785</v>
      </c>
      <c r="D2398" s="0" t="n">
        <f aca="false">A2398/SUM($A2398:$C2398)</f>
        <v>0.301119667592943</v>
      </c>
      <c r="E2398" s="0" t="n">
        <f aca="false">B2398/SUM($A2398:$C2398)</f>
        <v>0.362992506771032</v>
      </c>
      <c r="F2398" s="0" t="n">
        <f aca="false">C2398/SUM($A2398:$C2398)</f>
        <v>0.335887825636025</v>
      </c>
      <c r="G2398" s="0" t="n">
        <f aca="false">SUMPRODUCT(D2398:F2398,Stats!$B$6:$D$6)</f>
        <v>0.368107845881261</v>
      </c>
      <c r="H2398" s="0" t="n">
        <f aca="false">SQRT(SUMPRODUCT(MMULT(D2398:F2398,Stats!$B$12:$D$14),D2398:F2398))</f>
        <v>0.227477378416154</v>
      </c>
      <c r="I2398" s="0" t="n">
        <f aca="false">(G2398-Stats!$B$2)/H2398</f>
        <v>1.43358362994965</v>
      </c>
    </row>
    <row r="2399" customFormat="false" ht="15" hidden="false" customHeight="false" outlineLevel="0" collapsed="false">
      <c r="A2399" s="0" t="n">
        <v>0.486405035536178</v>
      </c>
      <c r="B2399" s="0" t="n">
        <v>0.5049328040894</v>
      </c>
      <c r="C2399" s="0" t="n">
        <v>0.176411910427886</v>
      </c>
      <c r="D2399" s="0" t="n">
        <f aca="false">A2399/SUM($A2399:$C2399)</f>
        <v>0.416531911493801</v>
      </c>
      <c r="E2399" s="0" t="n">
        <f aca="false">B2399/SUM($A2399:$C2399)</f>
        <v>0.432398126453277</v>
      </c>
      <c r="F2399" s="0" t="n">
        <f aca="false">C2399/SUM($A2399:$C2399)</f>
        <v>0.151069962052922</v>
      </c>
      <c r="G2399" s="0" t="n">
        <f aca="false">SUMPRODUCT(D2399:F2399,Stats!$B$6:$D$6)</f>
        <v>0.377197636911457</v>
      </c>
      <c r="H2399" s="0" t="n">
        <f aca="false">SQRT(SUMPRODUCT(MMULT(D2399:F2399,Stats!$B$12:$D$14),D2399:F2399))</f>
        <v>0.226625557085155</v>
      </c>
      <c r="I2399" s="0" t="n">
        <f aca="false">(G2399-Stats!$B$2)/H2399</f>
        <v>1.4790813587962</v>
      </c>
    </row>
    <row r="2400" customFormat="false" ht="15" hidden="false" customHeight="false" outlineLevel="0" collapsed="false">
      <c r="A2400" s="0" t="n">
        <v>0.812732904304679</v>
      </c>
      <c r="B2400" s="0" t="n">
        <v>0.541760319941015</v>
      </c>
      <c r="C2400" s="0" t="n">
        <v>0.131079861704703</v>
      </c>
      <c r="D2400" s="0" t="n">
        <f aca="false">A2400/SUM($A2400:$C2400)</f>
        <v>0.547083756424365</v>
      </c>
      <c r="E2400" s="0" t="n">
        <f aca="false">B2400/SUM($A2400:$C2400)</f>
        <v>0.364681027856952</v>
      </c>
      <c r="F2400" s="0" t="n">
        <f aca="false">C2400/SUM($A2400:$C2400)</f>
        <v>0.0882352157186831</v>
      </c>
      <c r="G2400" s="0" t="n">
        <f aca="false">SUMPRODUCT(D2400:F2400,Stats!$B$6:$D$6)</f>
        <v>0.375033926665403</v>
      </c>
      <c r="H2400" s="0" t="n">
        <f aca="false">SQRT(SUMPRODUCT(MMULT(D2400:F2400,Stats!$B$12:$D$14),D2400:F2400))</f>
        <v>0.225549835593076</v>
      </c>
      <c r="I2400" s="0" t="n">
        <f aca="false">(G2400-Stats!$B$2)/H2400</f>
        <v>1.47654253788171</v>
      </c>
    </row>
    <row r="2401" customFormat="false" ht="15" hidden="false" customHeight="false" outlineLevel="0" collapsed="false">
      <c r="A2401" s="0" t="n">
        <v>0.766157101582778</v>
      </c>
      <c r="B2401" s="0" t="n">
        <v>0.932443978377351</v>
      </c>
      <c r="C2401" s="0" t="n">
        <v>0.947306899236962</v>
      </c>
      <c r="D2401" s="0" t="n">
        <f aca="false">A2401/SUM($A2401:$C2401)</f>
        <v>0.289563018671296</v>
      </c>
      <c r="E2401" s="0" t="n">
        <f aca="false">B2401/SUM($A2401:$C2401)</f>
        <v>0.352409828954182</v>
      </c>
      <c r="F2401" s="0" t="n">
        <f aca="false">C2401/SUM($A2401:$C2401)</f>
        <v>0.358027152374523</v>
      </c>
      <c r="G2401" s="0" t="n">
        <f aca="false">SUMPRODUCT(D2401:F2401,Stats!$B$6:$D$6)</f>
        <v>0.366888448876989</v>
      </c>
      <c r="H2401" s="0" t="n">
        <f aca="false">SQRT(SUMPRODUCT(MMULT(D2401:F2401,Stats!$B$12:$D$14),D2401:F2401))</f>
        <v>0.227806825122866</v>
      </c>
      <c r="I2401" s="0" t="n">
        <f aca="false">(G2401-Stats!$B$2)/H2401</f>
        <v>1.42615766099968</v>
      </c>
    </row>
    <row r="2402" customFormat="false" ht="15" hidden="false" customHeight="false" outlineLevel="0" collapsed="false">
      <c r="A2402" s="0" t="n">
        <v>0.369017732411173</v>
      </c>
      <c r="B2402" s="0" t="n">
        <v>0.135516873560754</v>
      </c>
      <c r="C2402" s="0" t="n">
        <v>0.518399626633065</v>
      </c>
      <c r="D2402" s="0" t="n">
        <f aca="false">A2402/SUM($A2402:$C2402)</f>
        <v>0.360744337855853</v>
      </c>
      <c r="E2402" s="0" t="n">
        <f aca="false">B2402/SUM($A2402:$C2402)</f>
        <v>0.132478579014458</v>
      </c>
      <c r="F2402" s="0" t="n">
        <f aca="false">C2402/SUM($A2402:$C2402)</f>
        <v>0.50677708312969</v>
      </c>
      <c r="G2402" s="0" t="n">
        <f aca="false">SUMPRODUCT(D2402:F2402,Stats!$B$6:$D$6)</f>
        <v>0.350132167278562</v>
      </c>
      <c r="H2402" s="0" t="n">
        <f aca="false">SQRT(SUMPRODUCT(MMULT(D2402:F2402,Stats!$B$12:$D$14),D2402:F2402))</f>
        <v>0.226295555327207</v>
      </c>
      <c r="I2402" s="0" t="n">
        <f aca="false">(G2402-Stats!$B$2)/H2402</f>
        <v>1.3616359668798</v>
      </c>
    </row>
    <row r="2403" customFormat="false" ht="15" hidden="false" customHeight="false" outlineLevel="0" collapsed="false">
      <c r="A2403" s="0" t="n">
        <v>0.112609229349221</v>
      </c>
      <c r="B2403" s="0" t="n">
        <v>0.933987418512617</v>
      </c>
      <c r="C2403" s="0" t="n">
        <v>0.183579627355146</v>
      </c>
      <c r="D2403" s="0" t="n">
        <f aca="false">A2403/SUM($A2403:$C2403)</f>
        <v>0.0915391002231434</v>
      </c>
      <c r="E2403" s="0" t="n">
        <f aca="false">B2403/SUM($A2403:$C2403)</f>
        <v>0.759230556895496</v>
      </c>
      <c r="F2403" s="0" t="n">
        <f aca="false">C2403/SUM($A2403:$C2403)</f>
        <v>0.149230342881361</v>
      </c>
      <c r="G2403" s="0" t="n">
        <f aca="false">SUMPRODUCT(D2403:F2403,Stats!$B$6:$D$6)</f>
        <v>0.396053878739267</v>
      </c>
      <c r="H2403" s="0" t="n">
        <f aca="false">SQRT(SUMPRODUCT(MMULT(D2403:F2403,Stats!$B$12:$D$14),D2403:F2403))</f>
        <v>0.242102440090755</v>
      </c>
      <c r="I2403" s="0" t="n">
        <f aca="false">(G2403-Stats!$B$2)/H2403</f>
        <v>1.46241350812716</v>
      </c>
    </row>
    <row r="2404" customFormat="false" ht="15" hidden="false" customHeight="false" outlineLevel="0" collapsed="false">
      <c r="A2404" s="0" t="n">
        <v>0.252765859951164</v>
      </c>
      <c r="B2404" s="0" t="n">
        <v>0.40663652688497</v>
      </c>
      <c r="C2404" s="0" t="n">
        <v>0.383164468559126</v>
      </c>
      <c r="D2404" s="0" t="n">
        <f aca="false">A2404/SUM($A2404:$C2404)</f>
        <v>0.242445708534763</v>
      </c>
      <c r="E2404" s="0" t="n">
        <f aca="false">B2404/SUM($A2404:$C2404)</f>
        <v>0.390034005762446</v>
      </c>
      <c r="F2404" s="0" t="n">
        <f aca="false">C2404/SUM($A2404:$C2404)</f>
        <v>0.36752028570279</v>
      </c>
      <c r="G2404" s="0" t="n">
        <f aca="false">SUMPRODUCT(D2404:F2404,Stats!$B$6:$D$6)</f>
        <v>0.368791525814242</v>
      </c>
      <c r="H2404" s="0" t="n">
        <f aca="false">SQRT(SUMPRODUCT(MMULT(D2404:F2404,Stats!$B$12:$D$14),D2404:F2404))</f>
        <v>0.229740745210042</v>
      </c>
      <c r="I2404" s="0" t="n">
        <f aca="false">(G2404-Stats!$B$2)/H2404</f>
        <v>1.42243608340119</v>
      </c>
    </row>
    <row r="2405" customFormat="false" ht="15" hidden="false" customHeight="false" outlineLevel="0" collapsed="false">
      <c r="A2405" s="0" t="n">
        <v>0.794662892397889</v>
      </c>
      <c r="B2405" s="0" t="n">
        <v>0.456316820550962</v>
      </c>
      <c r="C2405" s="0" t="n">
        <v>0.170768260003337</v>
      </c>
      <c r="D2405" s="0" t="n">
        <f aca="false">A2405/SUM($A2405:$C2405)</f>
        <v>0.55893372631143</v>
      </c>
      <c r="E2405" s="0" t="n">
        <f aca="false">B2405/SUM($A2405:$C2405)</f>
        <v>0.32095478891624</v>
      </c>
      <c r="F2405" s="0" t="n">
        <f aca="false">C2405/SUM($A2405:$C2405)</f>
        <v>0.120111484772329</v>
      </c>
      <c r="G2405" s="0" t="n">
        <f aca="false">SUMPRODUCT(D2405:F2405,Stats!$B$6:$D$6)</f>
        <v>0.371638999611622</v>
      </c>
      <c r="H2405" s="0" t="n">
        <f aca="false">SQRT(SUMPRODUCT(MMULT(D2405:F2405,Stats!$B$12:$D$14),D2405:F2405))</f>
        <v>0.224460486436326</v>
      </c>
      <c r="I2405" s="0" t="n">
        <f aca="false">(G2405-Stats!$B$2)/H2405</f>
        <v>1.46858364625852</v>
      </c>
    </row>
    <row r="2406" customFormat="false" ht="15" hidden="false" customHeight="false" outlineLevel="0" collapsed="false">
      <c r="A2406" s="0" t="n">
        <v>0.267209895486074</v>
      </c>
      <c r="B2406" s="0" t="n">
        <v>0.509113385187522</v>
      </c>
      <c r="C2406" s="0" t="n">
        <v>0.147453917426135</v>
      </c>
      <c r="D2406" s="0" t="n">
        <f aca="false">A2406/SUM($A2406:$C2406)</f>
        <v>0.289257946651792</v>
      </c>
      <c r="E2406" s="0" t="n">
        <f aca="false">B2406/SUM($A2406:$C2406)</f>
        <v>0.551121402687576</v>
      </c>
      <c r="F2406" s="0" t="n">
        <f aca="false">C2406/SUM($A2406:$C2406)</f>
        <v>0.159620650660632</v>
      </c>
      <c r="G2406" s="0" t="n">
        <f aca="false">SUMPRODUCT(D2406:F2406,Stats!$B$6:$D$6)</f>
        <v>0.38379303861586</v>
      </c>
      <c r="H2406" s="0" t="n">
        <f aca="false">SQRT(SUMPRODUCT(MMULT(D2406:F2406,Stats!$B$12:$D$14),D2406:F2406))</f>
        <v>0.231040598239257</v>
      </c>
      <c r="I2406" s="0" t="n">
        <f aca="false">(G2406-Stats!$B$2)/H2406</f>
        <v>1.47936354571724</v>
      </c>
    </row>
    <row r="2407" customFormat="false" ht="15" hidden="false" customHeight="false" outlineLevel="0" collapsed="false">
      <c r="A2407" s="0" t="n">
        <v>0.611655675646014</v>
      </c>
      <c r="B2407" s="0" t="n">
        <v>0.565747306551146</v>
      </c>
      <c r="C2407" s="0" t="n">
        <v>0.714702316382258</v>
      </c>
      <c r="D2407" s="0" t="n">
        <f aca="false">A2407/SUM($A2407:$C2407)</f>
        <v>0.323267249505216</v>
      </c>
      <c r="E2407" s="0" t="n">
        <f aca="false">B2407/SUM($A2407:$C2407)</f>
        <v>0.299004134165211</v>
      </c>
      <c r="F2407" s="0" t="n">
        <f aca="false">C2407/SUM($A2407:$C2407)</f>
        <v>0.377728616329573</v>
      </c>
      <c r="G2407" s="0" t="n">
        <f aca="false">SUMPRODUCT(D2407:F2407,Stats!$B$6:$D$6)</f>
        <v>0.363272294029491</v>
      </c>
      <c r="H2407" s="0" t="n">
        <f aca="false">SQRT(SUMPRODUCT(MMULT(D2407:F2407,Stats!$B$12:$D$14),D2407:F2407))</f>
        <v>0.226503374102272</v>
      </c>
      <c r="I2407" s="0" t="n">
        <f aca="false">(G2407-Stats!$B$2)/H2407</f>
        <v>1.41839959472051</v>
      </c>
    </row>
    <row r="2408" customFormat="false" ht="15" hidden="false" customHeight="false" outlineLevel="0" collapsed="false">
      <c r="A2408" s="0" t="n">
        <v>0.937704615379368</v>
      </c>
      <c r="B2408" s="0" t="n">
        <v>0.912254561101156</v>
      </c>
      <c r="C2408" s="0" t="n">
        <v>0.946075618068831</v>
      </c>
      <c r="D2408" s="0" t="n">
        <f aca="false">A2408/SUM($A2408:$C2408)</f>
        <v>0.335369437178446</v>
      </c>
      <c r="E2408" s="0" t="n">
        <f aca="false">B2408/SUM($A2408:$C2408)</f>
        <v>0.326267242052754</v>
      </c>
      <c r="F2408" s="0" t="n">
        <f aca="false">C2408/SUM($A2408:$C2408)</f>
        <v>0.338363320768801</v>
      </c>
      <c r="G2408" s="0" t="n">
        <f aca="false">SUMPRODUCT(D2408:F2408,Stats!$B$6:$D$6)</f>
        <v>0.36592646085579</v>
      </c>
      <c r="H2408" s="0" t="n">
        <f aca="false">SQRT(SUMPRODUCT(MMULT(D2408:F2408,Stats!$B$12:$D$14),D2408:F2408))</f>
        <v>0.226211412559908</v>
      </c>
      <c r="I2408" s="0" t="n">
        <f aca="false">(G2408-Stats!$B$2)/H2408</f>
        <v>1.43196338854037</v>
      </c>
    </row>
    <row r="2409" customFormat="false" ht="15" hidden="false" customHeight="false" outlineLevel="0" collapsed="false">
      <c r="A2409" s="0" t="n">
        <v>0.244715597023701</v>
      </c>
      <c r="B2409" s="0" t="n">
        <v>0.131565306639355</v>
      </c>
      <c r="C2409" s="0" t="n">
        <v>0.302276700496449</v>
      </c>
      <c r="D2409" s="0" t="n">
        <f aca="false">A2409/SUM($A2409:$C2409)</f>
        <v>0.360640858673772</v>
      </c>
      <c r="E2409" s="0" t="n">
        <f aca="false">B2409/SUM($A2409:$C2409)</f>
        <v>0.193889665126247</v>
      </c>
      <c r="F2409" s="0" t="n">
        <f aca="false">C2409/SUM($A2409:$C2409)</f>
        <v>0.445469476199981</v>
      </c>
      <c r="G2409" s="0" t="n">
        <f aca="false">SUMPRODUCT(D2409:F2409,Stats!$B$6:$D$6)</f>
        <v>0.355356215371562</v>
      </c>
      <c r="H2409" s="0" t="n">
        <f aca="false">SQRT(SUMPRODUCT(MMULT(D2409:F2409,Stats!$B$12:$D$14),D2409:F2409))</f>
        <v>0.225558786032999</v>
      </c>
      <c r="I2409" s="0" t="n">
        <f aca="false">(G2409-Stats!$B$2)/H2409</f>
        <v>1.38924411184638</v>
      </c>
    </row>
    <row r="2410" customFormat="false" ht="15" hidden="false" customHeight="false" outlineLevel="0" collapsed="false">
      <c r="A2410" s="0" t="n">
        <v>0.895085172766315</v>
      </c>
      <c r="B2410" s="0" t="n">
        <v>0.972053474623488</v>
      </c>
      <c r="C2410" s="0" t="n">
        <v>0.859324951070476</v>
      </c>
      <c r="D2410" s="0" t="n">
        <f aca="false">A2410/SUM($A2410:$C2410)</f>
        <v>0.328295295514599</v>
      </c>
      <c r="E2410" s="0" t="n">
        <f aca="false">B2410/SUM($A2410:$C2410)</f>
        <v>0.356525381513415</v>
      </c>
      <c r="F2410" s="0" t="n">
        <f aca="false">C2410/SUM($A2410:$C2410)</f>
        <v>0.315179322971986</v>
      </c>
      <c r="G2410" s="0" t="n">
        <f aca="false">SUMPRODUCT(D2410:F2410,Stats!$B$6:$D$6)</f>
        <v>0.368306764860226</v>
      </c>
      <c r="H2410" s="0" t="n">
        <f aca="false">SQRT(SUMPRODUCT(MMULT(D2410:F2410,Stats!$B$12:$D$14),D2410:F2410))</f>
        <v>0.226623519039741</v>
      </c>
      <c r="I2410" s="0" t="n">
        <f aca="false">(G2410-Stats!$B$2)/H2410</f>
        <v>1.43986275671151</v>
      </c>
    </row>
    <row r="2411" customFormat="false" ht="15" hidden="false" customHeight="false" outlineLevel="0" collapsed="false">
      <c r="A2411" s="0" t="n">
        <v>0.110017721127544</v>
      </c>
      <c r="B2411" s="0" t="n">
        <v>0.947427998059793</v>
      </c>
      <c r="C2411" s="0" t="n">
        <v>0.423358027350786</v>
      </c>
      <c r="D2411" s="0" t="n">
        <f aca="false">A2411/SUM($A2411:$C2411)</f>
        <v>0.0742959500100855</v>
      </c>
      <c r="E2411" s="0" t="n">
        <f aca="false">B2411/SUM($A2411:$C2411)</f>
        <v>0.63980659170719</v>
      </c>
      <c r="F2411" s="0" t="n">
        <f aca="false">C2411/SUM($A2411:$C2411)</f>
        <v>0.285897458282725</v>
      </c>
      <c r="G2411" s="0" t="n">
        <f aca="false">SUMPRODUCT(D2411:F2411,Stats!$B$6:$D$6)</f>
        <v>0.385413835207489</v>
      </c>
      <c r="H2411" s="0" t="n">
        <f aca="false">SQRT(SUMPRODUCT(MMULT(D2411:F2411,Stats!$B$12:$D$14),D2411:F2411))</f>
        <v>0.239781470387933</v>
      </c>
      <c r="I2411" s="0" t="n">
        <f aca="false">(G2411-Stats!$B$2)/H2411</f>
        <v>1.43219505098494</v>
      </c>
    </row>
    <row r="2412" customFormat="false" ht="15" hidden="false" customHeight="false" outlineLevel="0" collapsed="false">
      <c r="A2412" s="0" t="n">
        <v>0.00931029076235368</v>
      </c>
      <c r="B2412" s="0" t="n">
        <v>0.442393740748194</v>
      </c>
      <c r="C2412" s="0" t="n">
        <v>0.0460691696754676</v>
      </c>
      <c r="D2412" s="0" t="n">
        <f aca="false">A2412/SUM($A2412:$C2412)</f>
        <v>0.018703881085142</v>
      </c>
      <c r="E2412" s="0" t="n">
        <f aca="false">B2412/SUM($A2412:$C2412)</f>
        <v>0.888745596778067</v>
      </c>
      <c r="F2412" s="0" t="n">
        <f aca="false">C2412/SUM($A2412:$C2412)</f>
        <v>0.092550522136791</v>
      </c>
      <c r="G2412" s="0" t="n">
        <f aca="false">SUMPRODUCT(D2412:F2412,Stats!$B$6:$D$6)</f>
        <v>0.4050689307629</v>
      </c>
      <c r="H2412" s="0" t="n">
        <f aca="false">SQRT(SUMPRODUCT(MMULT(D2412:F2412,Stats!$B$12:$D$14),D2412:F2412))</f>
        <v>0.249133120480703</v>
      </c>
      <c r="I2412" s="0" t="n">
        <f aca="false">(G2412-Stats!$B$2)/H2412</f>
        <v>1.4573290378347</v>
      </c>
    </row>
    <row r="2413" customFormat="false" ht="15" hidden="false" customHeight="false" outlineLevel="0" collapsed="false">
      <c r="A2413" s="0" t="n">
        <v>0.543877921161118</v>
      </c>
      <c r="B2413" s="0" t="n">
        <v>0.338554027437051</v>
      </c>
      <c r="C2413" s="0" t="n">
        <v>0.473434933594049</v>
      </c>
      <c r="D2413" s="0" t="n">
        <f aca="false">A2413/SUM($A2413:$C2413)</f>
        <v>0.401129291012518</v>
      </c>
      <c r="E2413" s="0" t="n">
        <f aca="false">B2413/SUM($A2413:$C2413)</f>
        <v>0.249695624167517</v>
      </c>
      <c r="F2413" s="0" t="n">
        <f aca="false">C2413/SUM($A2413:$C2413)</f>
        <v>0.349175084819965</v>
      </c>
      <c r="G2413" s="0" t="n">
        <f aca="false">SUMPRODUCT(D2413:F2413,Stats!$B$6:$D$6)</f>
        <v>0.361222498832091</v>
      </c>
      <c r="H2413" s="0" t="n">
        <f aca="false">SQRT(SUMPRODUCT(MMULT(D2413:F2413,Stats!$B$12:$D$14),D2413:F2413))</f>
        <v>0.224163092452008</v>
      </c>
      <c r="I2413" s="0" t="n">
        <f aca="false">(G2413-Stats!$B$2)/H2413</f>
        <v>1.42406359289692</v>
      </c>
    </row>
    <row r="2414" customFormat="false" ht="15" hidden="false" customHeight="false" outlineLevel="0" collapsed="false">
      <c r="A2414" s="0" t="n">
        <v>0.613170360743117</v>
      </c>
      <c r="B2414" s="0" t="n">
        <v>0.86880109581782</v>
      </c>
      <c r="C2414" s="0" t="n">
        <v>0.661901576471929</v>
      </c>
      <c r="D2414" s="0" t="n">
        <f aca="false">A2414/SUM($A2414:$C2414)</f>
        <v>0.28601057585751</v>
      </c>
      <c r="E2414" s="0" t="n">
        <f aca="false">B2414/SUM($A2414:$C2414)</f>
        <v>0.405248390381009</v>
      </c>
      <c r="F2414" s="0" t="n">
        <f aca="false">C2414/SUM($A2414:$C2414)</f>
        <v>0.308741033761481</v>
      </c>
      <c r="G2414" s="0" t="n">
        <f aca="false">SUMPRODUCT(D2414:F2414,Stats!$B$6:$D$6)</f>
        <v>0.371287757078194</v>
      </c>
      <c r="H2414" s="0" t="n">
        <f aca="false">SQRT(SUMPRODUCT(MMULT(D2414:F2414,Stats!$B$12:$D$14),D2414:F2414))</f>
        <v>0.228307934897547</v>
      </c>
      <c r="I2414" s="0" t="n">
        <f aca="false">(G2414-Stats!$B$2)/H2414</f>
        <v>1.44229659484223</v>
      </c>
    </row>
    <row r="2415" customFormat="false" ht="15" hidden="false" customHeight="false" outlineLevel="0" collapsed="false">
      <c r="A2415" s="0" t="n">
        <v>0.434048868478181</v>
      </c>
      <c r="B2415" s="0" t="n">
        <v>0.819427853670365</v>
      </c>
      <c r="C2415" s="0" t="n">
        <v>0.905582137573132</v>
      </c>
      <c r="D2415" s="0" t="n">
        <f aca="false">A2415/SUM($A2415:$C2415)</f>
        <v>0.20103614430138</v>
      </c>
      <c r="E2415" s="0" t="n">
        <f aca="false">B2415/SUM($A2415:$C2415)</f>
        <v>0.37953011330872</v>
      </c>
      <c r="F2415" s="0" t="n">
        <f aca="false">C2415/SUM($A2415:$C2415)</f>
        <v>0.419433742389899</v>
      </c>
      <c r="G2415" s="0" t="n">
        <f aca="false">SUMPRODUCT(D2415:F2415,Stats!$B$6:$D$6)</f>
        <v>0.366755651836195</v>
      </c>
      <c r="H2415" s="0" t="n">
        <f aca="false">SQRT(SUMPRODUCT(MMULT(D2415:F2415,Stats!$B$12:$D$14),D2415:F2415))</f>
        <v>0.231568526991591</v>
      </c>
      <c r="I2415" s="0" t="n">
        <f aca="false">(G2415-Stats!$B$2)/H2415</f>
        <v>1.40241705578577</v>
      </c>
    </row>
    <row r="2416" customFormat="false" ht="15" hidden="false" customHeight="false" outlineLevel="0" collapsed="false">
      <c r="A2416" s="0" t="n">
        <v>0.119759966432197</v>
      </c>
      <c r="B2416" s="0" t="n">
        <v>0.531932977552792</v>
      </c>
      <c r="C2416" s="0" t="n">
        <v>0.284511959742444</v>
      </c>
      <c r="D2416" s="0" t="n">
        <f aca="false">A2416/SUM($A2416:$C2416)</f>
        <v>0.127920678427748</v>
      </c>
      <c r="E2416" s="0" t="n">
        <f aca="false">B2416/SUM($A2416:$C2416)</f>
        <v>0.568180080487657</v>
      </c>
      <c r="F2416" s="0" t="n">
        <f aca="false">C2416/SUM($A2416:$C2416)</f>
        <v>0.303899241084596</v>
      </c>
      <c r="G2416" s="0" t="n">
        <f aca="false">SUMPRODUCT(D2416:F2416,Stats!$B$6:$D$6)</f>
        <v>0.380796146219384</v>
      </c>
      <c r="H2416" s="0" t="n">
        <f aca="false">SQRT(SUMPRODUCT(MMULT(D2416:F2416,Stats!$B$12:$D$14),D2416:F2416))</f>
        <v>0.236220914592037</v>
      </c>
      <c r="I2416" s="0" t="n">
        <f aca="false">(G2416-Stats!$B$2)/H2416</f>
        <v>1.43423433443435</v>
      </c>
    </row>
    <row r="2417" customFormat="false" ht="15" hidden="false" customHeight="false" outlineLevel="0" collapsed="false">
      <c r="A2417" s="0" t="n">
        <v>0.0470611978769474</v>
      </c>
      <c r="B2417" s="0" t="n">
        <v>0.668546695113985</v>
      </c>
      <c r="C2417" s="0" t="n">
        <v>0.862770777459226</v>
      </c>
      <c r="D2417" s="0" t="n">
        <f aca="false">A2417/SUM($A2417:$C2417)</f>
        <v>0.0298161643704457</v>
      </c>
      <c r="E2417" s="0" t="n">
        <f aca="false">B2417/SUM($A2417:$C2417)</f>
        <v>0.423565464758412</v>
      </c>
      <c r="F2417" s="0" t="n">
        <f aca="false">C2417/SUM($A2417:$C2417)</f>
        <v>0.546618370871143</v>
      </c>
      <c r="G2417" s="0" t="n">
        <f aca="false">SUMPRODUCT(D2417:F2417,Stats!$B$6:$D$6)</f>
        <v>0.36578232175218</v>
      </c>
      <c r="H2417" s="0" t="n">
        <f aca="false">SQRT(SUMPRODUCT(MMULT(D2417:F2417,Stats!$B$12:$D$14),D2417:F2417))</f>
        <v>0.241841150175127</v>
      </c>
      <c r="I2417" s="0" t="n">
        <f aca="false">(G2417-Stats!$B$2)/H2417</f>
        <v>1.33882228693386</v>
      </c>
    </row>
    <row r="2418" customFormat="false" ht="15" hidden="false" customHeight="false" outlineLevel="0" collapsed="false">
      <c r="A2418" s="0" t="n">
        <v>0.162902654477394</v>
      </c>
      <c r="B2418" s="0" t="n">
        <v>0.812413657623901</v>
      </c>
      <c r="C2418" s="0" t="n">
        <v>0.853395733536942</v>
      </c>
      <c r="D2418" s="0" t="n">
        <f aca="false">A2418/SUM($A2418:$C2418)</f>
        <v>0.08908053887759</v>
      </c>
      <c r="E2418" s="0" t="n">
        <f aca="false">B2418/SUM($A2418:$C2418)</f>
        <v>0.444254555856202</v>
      </c>
      <c r="F2418" s="0" t="n">
        <f aca="false">C2418/SUM($A2418:$C2418)</f>
        <v>0.466664905266208</v>
      </c>
      <c r="G2418" s="0" t="n">
        <f aca="false">SUMPRODUCT(D2418:F2418,Stats!$B$6:$D$6)</f>
        <v>0.369177431338916</v>
      </c>
      <c r="H2418" s="0" t="n">
        <f aca="false">SQRT(SUMPRODUCT(MMULT(D2418:F2418,Stats!$B$12:$D$14),D2418:F2418))</f>
        <v>0.237638806425046</v>
      </c>
      <c r="I2418" s="0" t="n">
        <f aca="false">(G2418-Stats!$B$2)/H2418</f>
        <v>1.37678452547738</v>
      </c>
    </row>
    <row r="2419" customFormat="false" ht="15" hidden="false" customHeight="false" outlineLevel="0" collapsed="false">
      <c r="A2419" s="0" t="n">
        <v>0.914340442666484</v>
      </c>
      <c r="B2419" s="0" t="n">
        <v>0.265285089086052</v>
      </c>
      <c r="C2419" s="0" t="n">
        <v>0.903953065189889</v>
      </c>
      <c r="D2419" s="0" t="n">
        <f aca="false">A2419/SUM($A2419:$C2419)</f>
        <v>0.438831750339653</v>
      </c>
      <c r="E2419" s="0" t="n">
        <f aca="false">B2419/SUM($A2419:$C2419)</f>
        <v>0.127321853600987</v>
      </c>
      <c r="F2419" s="0" t="n">
        <f aca="false">C2419/SUM($A2419:$C2419)</f>
        <v>0.43384639605936</v>
      </c>
      <c r="G2419" s="0" t="n">
        <f aca="false">SUMPRODUCT(D2419:F2419,Stats!$B$6:$D$6)</f>
        <v>0.351846491617837</v>
      </c>
      <c r="H2419" s="0" t="n">
        <f aca="false">SQRT(SUMPRODUCT(MMULT(D2419:F2419,Stats!$B$12:$D$14),D2419:F2419))</f>
        <v>0.223561408416697</v>
      </c>
      <c r="I2419" s="0" t="n">
        <f aca="false">(G2419-Stats!$B$2)/H2419</f>
        <v>1.38595696731483</v>
      </c>
    </row>
    <row r="2420" customFormat="false" ht="15" hidden="false" customHeight="false" outlineLevel="0" collapsed="false">
      <c r="A2420" s="0" t="n">
        <v>0.320662754736432</v>
      </c>
      <c r="B2420" s="0" t="n">
        <v>0.552338013455503</v>
      </c>
      <c r="C2420" s="0" t="n">
        <v>0.0505074708322821</v>
      </c>
      <c r="D2420" s="0" t="n">
        <f aca="false">A2420/SUM($A2420:$C2420)</f>
        <v>0.347222408189066</v>
      </c>
      <c r="E2420" s="0" t="n">
        <f aca="false">B2420/SUM($A2420:$C2420)</f>
        <v>0.598086719874969</v>
      </c>
      <c r="F2420" s="0" t="n">
        <f aca="false">C2420/SUM($A2420:$C2420)</f>
        <v>0.0546908719359651</v>
      </c>
      <c r="G2420" s="0" t="n">
        <f aca="false">SUMPRODUCT(D2420:F2420,Stats!$B$6:$D$6)</f>
        <v>0.38938876047102</v>
      </c>
      <c r="H2420" s="0" t="n">
        <f aca="false">SQRT(SUMPRODUCT(MMULT(D2420:F2420,Stats!$B$12:$D$14),D2420:F2420))</f>
        <v>0.232165890347469</v>
      </c>
      <c r="I2420" s="0" t="n">
        <f aca="false">(G2420-Stats!$B$2)/H2420</f>
        <v>1.49629542888968</v>
      </c>
    </row>
    <row r="2421" customFormat="false" ht="15" hidden="false" customHeight="false" outlineLevel="0" collapsed="false">
      <c r="A2421" s="0" t="n">
        <v>0.0438810883687436</v>
      </c>
      <c r="B2421" s="0" t="n">
        <v>0.720373212732203</v>
      </c>
      <c r="C2421" s="0" t="n">
        <v>0.444479977977791</v>
      </c>
      <c r="D2421" s="0" t="n">
        <f aca="false">A2421/SUM($A2421:$C2421)</f>
        <v>0.0363033374069514</v>
      </c>
      <c r="E2421" s="0" t="n">
        <f aca="false">B2421/SUM($A2421:$C2421)</f>
        <v>0.595973180541592</v>
      </c>
      <c r="F2421" s="0" t="n">
        <f aca="false">C2421/SUM($A2421:$C2421)</f>
        <v>0.367723482051457</v>
      </c>
      <c r="G2421" s="0" t="n">
        <f aca="false">SUMPRODUCT(D2421:F2421,Stats!$B$6:$D$6)</f>
        <v>0.380635396328015</v>
      </c>
      <c r="H2421" s="0" t="n">
        <f aca="false">SQRT(SUMPRODUCT(MMULT(D2421:F2421,Stats!$B$12:$D$14),D2421:F2421))</f>
        <v>0.241173172644895</v>
      </c>
      <c r="I2421" s="0" t="n">
        <f aca="false">(G2421-Stats!$B$2)/H2421</f>
        <v>1.40411718523363</v>
      </c>
    </row>
    <row r="2422" customFormat="false" ht="15" hidden="false" customHeight="false" outlineLevel="0" collapsed="false">
      <c r="A2422" s="0" t="n">
        <v>0.256292375369218</v>
      </c>
      <c r="B2422" s="0" t="n">
        <v>0.19041349602491</v>
      </c>
      <c r="C2422" s="0" t="n">
        <v>0.669953490859218</v>
      </c>
      <c r="D2422" s="0" t="n">
        <f aca="false">A2422/SUM($A2422:$C2422)</f>
        <v>0.229517061364207</v>
      </c>
      <c r="E2422" s="0" t="n">
        <f aca="false">B2422/SUM($A2422:$C2422)</f>
        <v>0.170520664099989</v>
      </c>
      <c r="F2422" s="0" t="n">
        <f aca="false">C2422/SUM($A2422:$C2422)</f>
        <v>0.599962274535804</v>
      </c>
      <c r="G2422" s="0" t="n">
        <f aca="false">SUMPRODUCT(D2422:F2422,Stats!$B$6:$D$6)</f>
        <v>0.349751513805362</v>
      </c>
      <c r="H2422" s="0" t="n">
        <f aca="false">SQRT(SUMPRODUCT(MMULT(D2422:F2422,Stats!$B$12:$D$14),D2422:F2422))</f>
        <v>0.232527861480812</v>
      </c>
      <c r="I2422" s="0" t="n">
        <f aca="false">(G2422-Stats!$B$2)/H2422</f>
        <v>1.32350382378052</v>
      </c>
    </row>
    <row r="2423" customFormat="false" ht="15" hidden="false" customHeight="false" outlineLevel="0" collapsed="false">
      <c r="A2423" s="0" t="n">
        <v>0.000401544025339873</v>
      </c>
      <c r="B2423" s="0" t="n">
        <v>0.805891169196854</v>
      </c>
      <c r="C2423" s="0" t="n">
        <v>0.0792496061299288</v>
      </c>
      <c r="D2423" s="0" t="n">
        <f aca="false">A2423/SUM($A2423:$C2423)</f>
        <v>0.000453444196358282</v>
      </c>
      <c r="E2423" s="0" t="n">
        <f aca="false">B2423/SUM($A2423:$C2423)</f>
        <v>0.910053818530612</v>
      </c>
      <c r="F2423" s="0" t="n">
        <f aca="false">C2423/SUM($A2423:$C2423)</f>
        <v>0.0894927372730296</v>
      </c>
      <c r="G2423" s="0" t="n">
        <f aca="false">SUMPRODUCT(D2423:F2423,Stats!$B$6:$D$6)</f>
        <v>0.406379295505382</v>
      </c>
      <c r="H2423" s="0" t="n">
        <f aca="false">SQRT(SUMPRODUCT(MMULT(D2423:F2423,Stats!$B$12:$D$14),D2423:F2423))</f>
        <v>0.25058603755732</v>
      </c>
      <c r="I2423" s="0" t="n">
        <f aca="false">(G2423-Stats!$B$2)/H2423</f>
        <v>1.4541085331701</v>
      </c>
    </row>
    <row r="2424" customFormat="false" ht="15" hidden="false" customHeight="false" outlineLevel="0" collapsed="false">
      <c r="A2424" s="0" t="n">
        <v>0.191489614908119</v>
      </c>
      <c r="B2424" s="0" t="n">
        <v>0.38623639529909</v>
      </c>
      <c r="C2424" s="0" t="n">
        <v>0.484858739716104</v>
      </c>
      <c r="D2424" s="0" t="n">
        <f aca="false">A2424/SUM($A2424:$C2424)</f>
        <v>0.180211145437519</v>
      </c>
      <c r="E2424" s="0" t="n">
        <f aca="false">B2424/SUM($A2424:$C2424)</f>
        <v>0.363487613883942</v>
      </c>
      <c r="F2424" s="0" t="n">
        <f aca="false">C2424/SUM($A2424:$C2424)</f>
        <v>0.45630124067854</v>
      </c>
      <c r="G2424" s="0" t="n">
        <f aca="false">SUMPRODUCT(D2424:F2424,Stats!$B$6:$D$6)</f>
        <v>0.36481598009737</v>
      </c>
      <c r="H2424" s="0" t="n">
        <f aca="false">SQRT(SUMPRODUCT(MMULT(D2424:F2424,Stats!$B$12:$D$14),D2424:F2424))</f>
        <v>0.232687872878115</v>
      </c>
      <c r="I2424" s="0" t="n">
        <f aca="false">(G2424-Stats!$B$2)/H2424</f>
        <v>1.38733478502537</v>
      </c>
    </row>
    <row r="2425" customFormat="false" ht="15" hidden="false" customHeight="false" outlineLevel="0" collapsed="false">
      <c r="A2425" s="0" t="n">
        <v>0.354995115813942</v>
      </c>
      <c r="B2425" s="0" t="n">
        <v>0.320712164984294</v>
      </c>
      <c r="C2425" s="0" t="n">
        <v>0.963916012073188</v>
      </c>
      <c r="D2425" s="0" t="n">
        <f aca="false">A2425/SUM($A2425:$C2425)</f>
        <v>0.216510168742632</v>
      </c>
      <c r="E2425" s="0" t="n">
        <f aca="false">B2425/SUM($A2425:$C2425)</f>
        <v>0.195601127636239</v>
      </c>
      <c r="F2425" s="0" t="n">
        <f aca="false">C2425/SUM($A2425:$C2425)</f>
        <v>0.587888703621129</v>
      </c>
      <c r="G2425" s="0" t="n">
        <f aca="false">SUMPRODUCT(D2425:F2425,Stats!$B$6:$D$6)</f>
        <v>0.351527535290461</v>
      </c>
      <c r="H2425" s="0" t="n">
        <f aca="false">SQRT(SUMPRODUCT(MMULT(D2425:F2425,Stats!$B$12:$D$14),D2425:F2425))</f>
        <v>0.232785849057065</v>
      </c>
      <c r="I2425" s="0" t="n">
        <f aca="false">(G2425-Stats!$B$2)/H2425</f>
        <v>1.32966645758</v>
      </c>
    </row>
    <row r="2426" customFormat="false" ht="15" hidden="false" customHeight="false" outlineLevel="0" collapsed="false">
      <c r="A2426" s="0" t="n">
        <v>0.641579681243394</v>
      </c>
      <c r="B2426" s="0" t="n">
        <v>0.0234329553673882</v>
      </c>
      <c r="C2426" s="0" t="n">
        <v>0.430175908444313</v>
      </c>
      <c r="D2426" s="0" t="n">
        <f aca="false">A2426/SUM($A2426:$C2426)</f>
        <v>0.585816646951068</v>
      </c>
      <c r="E2426" s="0" t="n">
        <f aca="false">B2426/SUM($A2426:$C2426)</f>
        <v>0.0213962750735394</v>
      </c>
      <c r="F2426" s="0" t="n">
        <f aca="false">C2426/SUM($A2426:$C2426)</f>
        <v>0.392787077975393</v>
      </c>
      <c r="G2426" s="0" t="n">
        <f aca="false">SUMPRODUCT(D2426:F2426,Stats!$B$6:$D$6)</f>
        <v>0.346883865830083</v>
      </c>
      <c r="H2426" s="0" t="n">
        <f aca="false">SQRT(SUMPRODUCT(MMULT(D2426:F2426,Stats!$B$12:$D$14),D2426:F2426))</f>
        <v>0.221581761418927</v>
      </c>
      <c r="I2426" s="0" t="n">
        <f aca="false">(G2426-Stats!$B$2)/H2426</f>
        <v>1.37594296515075</v>
      </c>
    </row>
    <row r="2427" customFormat="false" ht="15" hidden="false" customHeight="false" outlineLevel="0" collapsed="false">
      <c r="A2427" s="0" t="n">
        <v>0.87500869974397</v>
      </c>
      <c r="B2427" s="0" t="n">
        <v>0.301456186410668</v>
      </c>
      <c r="C2427" s="0" t="n">
        <v>0.0945563447743882</v>
      </c>
      <c r="D2427" s="0" t="n">
        <f aca="false">A2427/SUM($A2427:$C2427)</f>
        <v>0.688429648892962</v>
      </c>
      <c r="E2427" s="0" t="n">
        <f aca="false">B2427/SUM($A2427:$C2427)</f>
        <v>0.237176357935677</v>
      </c>
      <c r="F2427" s="0" t="n">
        <f aca="false">C2427/SUM($A2427:$C2427)</f>
        <v>0.0743939931713605</v>
      </c>
      <c r="G2427" s="0" t="n">
        <f aca="false">SUMPRODUCT(D2427:F2427,Stats!$B$6:$D$6)</f>
        <v>0.368079139372326</v>
      </c>
      <c r="H2427" s="0" t="n">
        <f aca="false">SQRT(SUMPRODUCT(MMULT(D2427:F2427,Stats!$B$12:$D$14),D2427:F2427))</f>
        <v>0.225057375459655</v>
      </c>
      <c r="I2427" s="0" t="n">
        <f aca="false">(G2427-Stats!$B$2)/H2427</f>
        <v>1.4488711543283</v>
      </c>
    </row>
    <row r="2428" customFormat="false" ht="15" hidden="false" customHeight="false" outlineLevel="0" collapsed="false">
      <c r="A2428" s="0" t="n">
        <v>0.758384771589918</v>
      </c>
      <c r="B2428" s="0" t="n">
        <v>0.606013831936081</v>
      </c>
      <c r="C2428" s="0" t="n">
        <v>0.570312507826504</v>
      </c>
      <c r="D2428" s="0" t="n">
        <f aca="false">A2428/SUM($A2428:$C2428)</f>
        <v>0.391988637032095</v>
      </c>
      <c r="E2428" s="0" t="n">
        <f aca="false">B2428/SUM($A2428:$C2428)</f>
        <v>0.313232207320314</v>
      </c>
      <c r="F2428" s="0" t="n">
        <f aca="false">C2428/SUM($A2428:$C2428)</f>
        <v>0.294779155647591</v>
      </c>
      <c r="G2428" s="0" t="n">
        <f aca="false">SUMPRODUCT(D2428:F2428,Stats!$B$6:$D$6)</f>
        <v>0.366378258418067</v>
      </c>
      <c r="H2428" s="0" t="n">
        <f aca="false">SQRT(SUMPRODUCT(MMULT(D2428:F2428,Stats!$B$12:$D$14),D2428:F2428))</f>
        <v>0.224745286773106</v>
      </c>
      <c r="I2428" s="0" t="n">
        <f aca="false">(G2428-Stats!$B$2)/H2428</f>
        <v>1.44331506602648</v>
      </c>
    </row>
    <row r="2429" customFormat="false" ht="15" hidden="false" customHeight="false" outlineLevel="0" collapsed="false">
      <c r="A2429" s="0" t="n">
        <v>0.0535765596074079</v>
      </c>
      <c r="B2429" s="0" t="n">
        <v>0.140499009795517</v>
      </c>
      <c r="C2429" s="0" t="n">
        <v>0.622549396213114</v>
      </c>
      <c r="D2429" s="0" t="n">
        <f aca="false">A2429/SUM($A2429:$C2429)</f>
        <v>0.0656073006131906</v>
      </c>
      <c r="E2429" s="0" t="n">
        <f aca="false">B2429/SUM($A2429:$C2429)</f>
        <v>0.172048389054</v>
      </c>
      <c r="F2429" s="0" t="n">
        <f aca="false">C2429/SUM($A2429:$C2429)</f>
        <v>0.76234431033281</v>
      </c>
      <c r="G2429" s="0" t="n">
        <f aca="false">SUMPRODUCT(D2429:F2429,Stats!$B$6:$D$6)</f>
        <v>0.345361794940232</v>
      </c>
      <c r="H2429" s="0" t="n">
        <f aca="false">SQRT(SUMPRODUCT(MMULT(D2429:F2429,Stats!$B$12:$D$14),D2429:F2429))</f>
        <v>0.245027453935845</v>
      </c>
      <c r="I2429" s="0" t="n">
        <f aca="false">(G2429-Stats!$B$2)/H2429</f>
        <v>1.23807267335709</v>
      </c>
    </row>
    <row r="2430" customFormat="false" ht="15" hidden="false" customHeight="false" outlineLevel="0" collapsed="false">
      <c r="A2430" s="0" t="n">
        <v>0.207823841458836</v>
      </c>
      <c r="B2430" s="0" t="n">
        <v>0.504070079748424</v>
      </c>
      <c r="C2430" s="0" t="n">
        <v>0.544881686029394</v>
      </c>
      <c r="D2430" s="0" t="n">
        <f aca="false">A2430/SUM($A2430:$C2430)</f>
        <v>0.165362726856062</v>
      </c>
      <c r="E2430" s="0" t="n">
        <f aca="false">B2430/SUM($A2430:$C2430)</f>
        <v>0.401082004493032</v>
      </c>
      <c r="F2430" s="0" t="n">
        <f aca="false">C2430/SUM($A2430:$C2430)</f>
        <v>0.433555268650907</v>
      </c>
      <c r="G2430" s="0" t="n">
        <f aca="false">SUMPRODUCT(D2430:F2430,Stats!$B$6:$D$6)</f>
        <v>0.36760632410565</v>
      </c>
      <c r="H2430" s="0" t="n">
        <f aca="false">SQRT(SUMPRODUCT(MMULT(D2430:F2430,Stats!$B$12:$D$14),D2430:F2430))</f>
        <v>0.233355913992399</v>
      </c>
      <c r="I2430" s="0" t="n">
        <f aca="false">(G2430-Stats!$B$2)/H2430</f>
        <v>1.39532064362533</v>
      </c>
    </row>
    <row r="2431" customFormat="false" ht="15" hidden="false" customHeight="false" outlineLevel="0" collapsed="false">
      <c r="A2431" s="0" t="n">
        <v>0.283507190270939</v>
      </c>
      <c r="B2431" s="0" t="n">
        <v>0.948425155541493</v>
      </c>
      <c r="C2431" s="0" t="n">
        <v>0.842464106835575</v>
      </c>
      <c r="D2431" s="0" t="n">
        <f aca="false">A2431/SUM($A2431:$C2431)</f>
        <v>0.136669723817276</v>
      </c>
      <c r="E2431" s="0" t="n">
        <f aca="false">B2431/SUM($A2431:$C2431)</f>
        <v>0.457205349696202</v>
      </c>
      <c r="F2431" s="0" t="n">
        <f aca="false">C2431/SUM($A2431:$C2431)</f>
        <v>0.406124926486523</v>
      </c>
      <c r="G2431" s="0" t="n">
        <f aca="false">SUMPRODUCT(D2431:F2431,Stats!$B$6:$D$6)</f>
        <v>0.371591969884535</v>
      </c>
      <c r="H2431" s="0" t="n">
        <f aca="false">SQRT(SUMPRODUCT(MMULT(D2431:F2431,Stats!$B$12:$D$14),D2431:F2431))</f>
        <v>0.234884171615223</v>
      </c>
      <c r="I2431" s="0" t="n">
        <f aca="false">(G2431-Stats!$B$2)/H2431</f>
        <v>1.4032106447107</v>
      </c>
    </row>
    <row r="2432" customFormat="false" ht="15" hidden="false" customHeight="false" outlineLevel="0" collapsed="false">
      <c r="A2432" s="0" t="n">
        <v>0.722373507632799</v>
      </c>
      <c r="B2432" s="0" t="n">
        <v>0.0779938664094091</v>
      </c>
      <c r="C2432" s="0" t="n">
        <v>0.106130019309019</v>
      </c>
      <c r="D2432" s="0" t="n">
        <f aca="false">A2432/SUM($A2432:$C2432)</f>
        <v>0.796884263464077</v>
      </c>
      <c r="E2432" s="0" t="n">
        <f aca="false">B2432/SUM($A2432:$C2432)</f>
        <v>0.0860387100740288</v>
      </c>
      <c r="F2432" s="0" t="n">
        <f aca="false">C2432/SUM($A2432:$C2432)</f>
        <v>0.117077026461894</v>
      </c>
      <c r="G2432" s="0" t="n">
        <f aca="false">SUMPRODUCT(D2432:F2432,Stats!$B$6:$D$6)</f>
        <v>0.358205906501768</v>
      </c>
      <c r="H2432" s="0" t="n">
        <f aca="false">SQRT(SUMPRODUCT(MMULT(D2432:F2432,Stats!$B$12:$D$14),D2432:F2432))</f>
        <v>0.224983093516774</v>
      </c>
      <c r="I2432" s="0" t="n">
        <f aca="false">(G2432-Stats!$B$2)/H2432</f>
        <v>1.40546519100198</v>
      </c>
    </row>
    <row r="2433" customFormat="false" ht="15" hidden="false" customHeight="false" outlineLevel="0" collapsed="false">
      <c r="A2433" s="0" t="n">
        <v>0.492781345864956</v>
      </c>
      <c r="B2433" s="0" t="n">
        <v>0.160713349190986</v>
      </c>
      <c r="C2433" s="0" t="n">
        <v>0.978265463529474</v>
      </c>
      <c r="D2433" s="0" t="n">
        <f aca="false">A2433/SUM($A2433:$C2433)</f>
        <v>0.30199373558192</v>
      </c>
      <c r="E2433" s="0" t="n">
        <f aca="false">B2433/SUM($A2433:$C2433)</f>
        <v>0.0984907912755446</v>
      </c>
      <c r="F2433" s="0" t="n">
        <f aca="false">C2433/SUM($A2433:$C2433)</f>
        <v>0.599515473142536</v>
      </c>
      <c r="G2433" s="0" t="n">
        <f aca="false">SUMPRODUCT(D2433:F2433,Stats!$B$6:$D$6)</f>
        <v>0.345619328526054</v>
      </c>
      <c r="H2433" s="0" t="n">
        <f aca="false">SQRT(SUMPRODUCT(MMULT(D2433:F2433,Stats!$B$12:$D$14),D2433:F2433))</f>
        <v>0.229932004508327</v>
      </c>
      <c r="I2433" s="0" t="n">
        <f aca="false">(G2433-Stats!$B$2)/H2433</f>
        <v>1.32047441231723</v>
      </c>
    </row>
    <row r="2434" customFormat="false" ht="15" hidden="false" customHeight="false" outlineLevel="0" collapsed="false">
      <c r="A2434" s="0" t="n">
        <v>0.158520234027409</v>
      </c>
      <c r="B2434" s="0" t="n">
        <v>0.487467835463974</v>
      </c>
      <c r="C2434" s="0" t="n">
        <v>0.364121056841505</v>
      </c>
      <c r="D2434" s="0" t="n">
        <f aca="false">A2434/SUM($A2434:$C2434)</f>
        <v>0.156933770713371</v>
      </c>
      <c r="E2434" s="0" t="n">
        <f aca="false">B2434/SUM($A2434:$C2434)</f>
        <v>0.482589279470905</v>
      </c>
      <c r="F2434" s="0" t="n">
        <f aca="false">C2434/SUM($A2434:$C2434)</f>
        <v>0.360476949815724</v>
      </c>
      <c r="G2434" s="0" t="n">
        <f aca="false">SUMPRODUCT(D2434:F2434,Stats!$B$6:$D$6)</f>
        <v>0.374311253749556</v>
      </c>
      <c r="H2434" s="0" t="n">
        <f aca="false">SQRT(SUMPRODUCT(MMULT(D2434:F2434,Stats!$B$12:$D$14),D2434:F2434))</f>
        <v>0.233989151924426</v>
      </c>
      <c r="I2434" s="0" t="n">
        <f aca="false">(G2434-Stats!$B$2)/H2434</f>
        <v>1.42019940247865</v>
      </c>
    </row>
    <row r="2435" customFormat="false" ht="15" hidden="false" customHeight="false" outlineLevel="0" collapsed="false">
      <c r="A2435" s="0" t="n">
        <v>0.639386421454098</v>
      </c>
      <c r="B2435" s="0" t="n">
        <v>0.129036408889425</v>
      </c>
      <c r="C2435" s="0" t="n">
        <v>0.430316428042391</v>
      </c>
      <c r="D2435" s="0" t="n">
        <f aca="false">A2435/SUM($A2435:$C2435)</f>
        <v>0.533382399033984</v>
      </c>
      <c r="E2435" s="0" t="n">
        <f aca="false">B2435/SUM($A2435:$C2435)</f>
        <v>0.107643432870607</v>
      </c>
      <c r="F2435" s="0" t="n">
        <f aca="false">C2435/SUM($A2435:$C2435)</f>
        <v>0.358974168095409</v>
      </c>
      <c r="G2435" s="0" t="n">
        <f aca="false">SUMPRODUCT(D2435:F2435,Stats!$B$6:$D$6)</f>
        <v>0.352778793647026</v>
      </c>
      <c r="H2435" s="0" t="n">
        <f aca="false">SQRT(SUMPRODUCT(MMULT(D2435:F2435,Stats!$B$12:$D$14),D2435:F2435))</f>
        <v>0.221747829889509</v>
      </c>
      <c r="I2435" s="0" t="n">
        <f aca="false">(G2435-Stats!$B$2)/H2435</f>
        <v>1.40149643765118</v>
      </c>
    </row>
    <row r="2436" customFormat="false" ht="15" hidden="false" customHeight="false" outlineLevel="0" collapsed="false">
      <c r="A2436" s="0" t="n">
        <v>0.274705032807144</v>
      </c>
      <c r="B2436" s="0" t="n">
        <v>0.887751524671688</v>
      </c>
      <c r="C2436" s="0" t="n">
        <v>0.0405857121346951</v>
      </c>
      <c r="D2436" s="0" t="n">
        <f aca="false">A2436/SUM($A2436:$C2436)</f>
        <v>0.228341962494295</v>
      </c>
      <c r="E2436" s="0" t="n">
        <f aca="false">B2436/SUM($A2436:$C2436)</f>
        <v>0.737922138809699</v>
      </c>
      <c r="F2436" s="0" t="n">
        <f aca="false">C2436/SUM($A2436:$C2436)</f>
        <v>0.033735898696006</v>
      </c>
      <c r="G2436" s="0" t="n">
        <f aca="false">SUMPRODUCT(D2436:F2436,Stats!$B$6:$D$6)</f>
        <v>0.398012534818468</v>
      </c>
      <c r="H2436" s="0" t="n">
        <f aca="false">SQRT(SUMPRODUCT(MMULT(D2436:F2436,Stats!$B$12:$D$14),D2436:F2436))</f>
        <v>0.238480512709435</v>
      </c>
      <c r="I2436" s="0" t="n">
        <f aca="false">(G2436-Stats!$B$2)/H2436</f>
        <v>1.49283700698947</v>
      </c>
    </row>
    <row r="2437" customFormat="false" ht="15" hidden="false" customHeight="false" outlineLevel="0" collapsed="false">
      <c r="A2437" s="0" t="n">
        <v>0.913727494006459</v>
      </c>
      <c r="B2437" s="0" t="n">
        <v>0.832994138553</v>
      </c>
      <c r="C2437" s="0" t="n">
        <v>0.297570716440816</v>
      </c>
      <c r="D2437" s="0" t="n">
        <f aca="false">A2437/SUM($A2437:$C2437)</f>
        <v>0.446965178171949</v>
      </c>
      <c r="E2437" s="0" t="n">
        <f aca="false">B2437/SUM($A2437:$C2437)</f>
        <v>0.407473098923626</v>
      </c>
      <c r="F2437" s="0" t="n">
        <f aca="false">C2437/SUM($A2437:$C2437)</f>
        <v>0.145561722904426</v>
      </c>
      <c r="G2437" s="0" t="n">
        <f aca="false">SUMPRODUCT(D2437:F2437,Stats!$B$6:$D$6)</f>
        <v>0.375915370663173</v>
      </c>
      <c r="H2437" s="0" t="n">
        <f aca="false">SQRT(SUMPRODUCT(MMULT(D2437:F2437,Stats!$B$12:$D$14),D2437:F2437))</f>
        <v>0.225935380742828</v>
      </c>
      <c r="I2437" s="0" t="n">
        <f aca="false">(G2437-Stats!$B$2)/H2437</f>
        <v>1.47792421693906</v>
      </c>
    </row>
    <row r="2438" customFormat="false" ht="15" hidden="false" customHeight="false" outlineLevel="0" collapsed="false">
      <c r="A2438" s="0" t="n">
        <v>0.789290654677105</v>
      </c>
      <c r="B2438" s="0" t="n">
        <v>0.0312135603387476</v>
      </c>
      <c r="C2438" s="0" t="n">
        <v>0.966865550293394</v>
      </c>
      <c r="D2438" s="0" t="n">
        <f aca="false">A2438/SUM($A2438:$C2438)</f>
        <v>0.441593379275129</v>
      </c>
      <c r="E2438" s="0" t="n">
        <f aca="false">B2438/SUM($A2438:$C2438)</f>
        <v>0.0174634040166541</v>
      </c>
      <c r="F2438" s="0" t="n">
        <f aca="false">C2438/SUM($A2438:$C2438)</f>
        <v>0.540943216708217</v>
      </c>
      <c r="G2438" s="0" t="n">
        <f aca="false">SUMPRODUCT(D2438:F2438,Stats!$B$6:$D$6)</f>
        <v>0.342572224977975</v>
      </c>
      <c r="H2438" s="0" t="n">
        <f aca="false">SQRT(SUMPRODUCT(MMULT(D2438:F2438,Stats!$B$12:$D$14),D2438:F2438))</f>
        <v>0.225177530686544</v>
      </c>
      <c r="I2438" s="0" t="n">
        <f aca="false">(G2438-Stats!$B$2)/H2438</f>
        <v>1.33482334610189</v>
      </c>
    </row>
    <row r="2439" customFormat="false" ht="15" hidden="false" customHeight="false" outlineLevel="0" collapsed="false">
      <c r="A2439" s="0" t="n">
        <v>0.526594942589789</v>
      </c>
      <c r="B2439" s="0" t="n">
        <v>0.303281026065445</v>
      </c>
      <c r="C2439" s="0" t="n">
        <v>0.362583212594677</v>
      </c>
      <c r="D2439" s="0" t="n">
        <f aca="false">A2439/SUM($A2439:$C2439)</f>
        <v>0.441604166305989</v>
      </c>
      <c r="E2439" s="0" t="n">
        <f aca="false">B2439/SUM($A2439:$C2439)</f>
        <v>0.254332417271971</v>
      </c>
      <c r="F2439" s="0" t="n">
        <f aca="false">C2439/SUM($A2439:$C2439)</f>
        <v>0.30406341642204</v>
      </c>
      <c r="G2439" s="0" t="n">
        <f aca="false">SUMPRODUCT(D2439:F2439,Stats!$B$6:$D$6)</f>
        <v>0.362733230811251</v>
      </c>
      <c r="H2439" s="0" t="n">
        <f aca="false">SQRT(SUMPRODUCT(MMULT(D2439:F2439,Stats!$B$12:$D$14),D2439:F2439))</f>
        <v>0.223389453803277</v>
      </c>
      <c r="I2439" s="0" t="n">
        <f aca="false">(G2439-Stats!$B$2)/H2439</f>
        <v>1.43575815845674</v>
      </c>
    </row>
    <row r="2440" customFormat="false" ht="15" hidden="false" customHeight="false" outlineLevel="0" collapsed="false">
      <c r="A2440" s="0" t="n">
        <v>0.0664053534604974</v>
      </c>
      <c r="B2440" s="0" t="n">
        <v>0.989349514042039</v>
      </c>
      <c r="C2440" s="0" t="n">
        <v>0.0392919451506925</v>
      </c>
      <c r="D2440" s="0" t="n">
        <f aca="false">A2440/SUM($A2440:$C2440)</f>
        <v>0.0606415659067592</v>
      </c>
      <c r="E2440" s="0" t="n">
        <f aca="false">B2440/SUM($A2440:$C2440)</f>
        <v>0.903476913142104</v>
      </c>
      <c r="F2440" s="0" t="n">
        <f aca="false">C2440/SUM($A2440:$C2440)</f>
        <v>0.0358815209511368</v>
      </c>
      <c r="G2440" s="0" t="n">
        <f aca="false">SUMPRODUCT(D2440:F2440,Stats!$B$6:$D$6)</f>
        <v>0.407479177551768</v>
      </c>
      <c r="H2440" s="0" t="n">
        <f aca="false">SQRT(SUMPRODUCT(MMULT(D2440:F2440,Stats!$B$12:$D$14),D2440:F2440))</f>
        <v>0.248581269248699</v>
      </c>
      <c r="I2440" s="0" t="n">
        <f aca="false">(G2440-Stats!$B$2)/H2440</f>
        <v>1.47026032434534</v>
      </c>
    </row>
    <row r="2441" customFormat="false" ht="15" hidden="false" customHeight="false" outlineLevel="0" collapsed="false">
      <c r="A2441" s="0" t="n">
        <v>0.654907123147859</v>
      </c>
      <c r="B2441" s="0" t="n">
        <v>0.442735927706458</v>
      </c>
      <c r="C2441" s="0" t="n">
        <v>0.948916218188715</v>
      </c>
      <c r="D2441" s="0" t="n">
        <f aca="false">A2441/SUM($A2441:$C2441)</f>
        <v>0.320003985740463</v>
      </c>
      <c r="E2441" s="0" t="n">
        <f aca="false">B2441/SUM($A2441:$C2441)</f>
        <v>0.216331837735382</v>
      </c>
      <c r="F2441" s="0" t="n">
        <f aca="false">C2441/SUM($A2441:$C2441)</f>
        <v>0.463664176524155</v>
      </c>
      <c r="G2441" s="0" t="n">
        <f aca="false">SUMPRODUCT(D2441:F2441,Stats!$B$6:$D$6)</f>
        <v>0.356145797073767</v>
      </c>
      <c r="H2441" s="0" t="n">
        <f aca="false">SQRT(SUMPRODUCT(MMULT(D2441:F2441,Stats!$B$12:$D$14),D2441:F2441))</f>
        <v>0.226979051794118</v>
      </c>
      <c r="I2441" s="0" t="n">
        <f aca="false">(G2441-Stats!$B$2)/H2441</f>
        <v>1.38402991197053</v>
      </c>
    </row>
    <row r="2442" customFormat="false" ht="15" hidden="false" customHeight="false" outlineLevel="0" collapsed="false">
      <c r="A2442" s="0" t="n">
        <v>0.245999740306795</v>
      </c>
      <c r="B2442" s="0" t="n">
        <v>0.532086823938011</v>
      </c>
      <c r="C2442" s="0" t="n">
        <v>0.482356208582753</v>
      </c>
      <c r="D2442" s="0" t="n">
        <f aca="false">A2442/SUM($A2442:$C2442)</f>
        <v>0.195169305271149</v>
      </c>
      <c r="E2442" s="0" t="n">
        <f aca="false">B2442/SUM($A2442:$C2442)</f>
        <v>0.422142786176938</v>
      </c>
      <c r="F2442" s="0" t="n">
        <f aca="false">C2442/SUM($A2442:$C2442)</f>
        <v>0.382687908551913</v>
      </c>
      <c r="G2442" s="0" t="n">
        <f aca="false">SUMPRODUCT(D2442:F2442,Stats!$B$6:$D$6)</f>
        <v>0.37022078211542</v>
      </c>
      <c r="H2442" s="0" t="n">
        <f aca="false">SQRT(SUMPRODUCT(MMULT(D2442:F2442,Stats!$B$12:$D$14),D2442:F2442))</f>
        <v>0.231898429260654</v>
      </c>
      <c r="I2442" s="0" t="n">
        <f aca="false">(G2442-Stats!$B$2)/H2442</f>
        <v>1.41536440398438</v>
      </c>
    </row>
    <row r="2443" customFormat="false" ht="15" hidden="false" customHeight="false" outlineLevel="0" collapsed="false">
      <c r="A2443" s="0" t="n">
        <v>0.702866444050101</v>
      </c>
      <c r="B2443" s="0" t="n">
        <v>0.0680102319524205</v>
      </c>
      <c r="C2443" s="0" t="n">
        <v>0.193789130023355</v>
      </c>
      <c r="D2443" s="0" t="n">
        <f aca="false">A2443/SUM($A2443:$C2443)</f>
        <v>0.728611338413344</v>
      </c>
      <c r="E2443" s="0" t="n">
        <f aca="false">B2443/SUM($A2443:$C2443)</f>
        <v>0.0705013399745157</v>
      </c>
      <c r="F2443" s="0" t="n">
        <f aca="false">C2443/SUM($A2443:$C2443)</f>
        <v>0.20088732161214</v>
      </c>
      <c r="G2443" s="0" t="n">
        <f aca="false">SUMPRODUCT(D2443:F2443,Stats!$B$6:$D$6)</f>
        <v>0.355000869682233</v>
      </c>
      <c r="H2443" s="0" t="n">
        <f aca="false">SQRT(SUMPRODUCT(MMULT(D2443:F2443,Stats!$B$12:$D$14),D2443:F2443))</f>
        <v>0.222638268022127</v>
      </c>
      <c r="I2443" s="0" t="n">
        <f aca="false">(G2443-Stats!$B$2)/H2443</f>
        <v>1.40587183175143</v>
      </c>
    </row>
    <row r="2444" customFormat="false" ht="15" hidden="false" customHeight="false" outlineLevel="0" collapsed="false">
      <c r="A2444" s="0" t="n">
        <v>0.21456482009285</v>
      </c>
      <c r="B2444" s="0" t="n">
        <v>0.73815075484169</v>
      </c>
      <c r="C2444" s="0" t="n">
        <v>0.18913869632674</v>
      </c>
      <c r="D2444" s="0" t="n">
        <f aca="false">A2444/SUM($A2444:$C2444)</f>
        <v>0.187909110201816</v>
      </c>
      <c r="E2444" s="0" t="n">
        <f aca="false">B2444/SUM($A2444:$C2444)</f>
        <v>0.646449177815254</v>
      </c>
      <c r="F2444" s="0" t="n">
        <f aca="false">C2444/SUM($A2444:$C2444)</f>
        <v>0.165641711982931</v>
      </c>
      <c r="G2444" s="0" t="n">
        <f aca="false">SUMPRODUCT(D2444:F2444,Stats!$B$6:$D$6)</f>
        <v>0.389112046966241</v>
      </c>
      <c r="H2444" s="0" t="n">
        <f aca="false">SQRT(SUMPRODUCT(MMULT(D2444:F2444,Stats!$B$12:$D$14),D2444:F2444))</f>
        <v>0.235851253104058</v>
      </c>
      <c r="I2444" s="0" t="n">
        <f aca="false">(G2444-Stats!$B$2)/H2444</f>
        <v>1.4717413725722</v>
      </c>
    </row>
    <row r="2445" customFormat="false" ht="15" hidden="false" customHeight="false" outlineLevel="0" collapsed="false">
      <c r="A2445" s="0" t="n">
        <v>0.573491763890977</v>
      </c>
      <c r="B2445" s="0" t="n">
        <v>0.215243820500954</v>
      </c>
      <c r="C2445" s="0" t="n">
        <v>0.861624950083978</v>
      </c>
      <c r="D2445" s="0" t="n">
        <f aca="false">A2445/SUM($A2445:$C2445)</f>
        <v>0.347494836377129</v>
      </c>
      <c r="E2445" s="0" t="n">
        <f aca="false">B2445/SUM($A2445:$C2445)</f>
        <v>0.130422302281548</v>
      </c>
      <c r="F2445" s="0" t="n">
        <f aca="false">C2445/SUM($A2445:$C2445)</f>
        <v>0.522082861341323</v>
      </c>
      <c r="G2445" s="0" t="n">
        <f aca="false">SUMPRODUCT(D2445:F2445,Stats!$B$6:$D$6)</f>
        <v>0.349591800829463</v>
      </c>
      <c r="H2445" s="0" t="n">
        <f aca="false">SQRT(SUMPRODUCT(MMULT(D2445:F2445,Stats!$B$12:$D$14),D2445:F2445))</f>
        <v>0.22691671826231</v>
      </c>
      <c r="I2445" s="0" t="n">
        <f aca="false">(G2445-Stats!$B$2)/H2445</f>
        <v>1.35552727531471</v>
      </c>
    </row>
    <row r="2446" customFormat="false" ht="15" hidden="false" customHeight="false" outlineLevel="0" collapsed="false">
      <c r="A2446" s="0" t="n">
        <v>0.942185454489639</v>
      </c>
      <c r="B2446" s="0" t="n">
        <v>0.51849297494224</v>
      </c>
      <c r="C2446" s="0" t="n">
        <v>0.352308884209178</v>
      </c>
      <c r="D2446" s="0" t="n">
        <f aca="false">A2446/SUM($A2446:$C2446)</f>
        <v>0.519686733271966</v>
      </c>
      <c r="E2446" s="0" t="n">
        <f aca="false">B2446/SUM($A2446:$C2446)</f>
        <v>0.28598819806463</v>
      </c>
      <c r="F2446" s="0" t="n">
        <f aca="false">C2446/SUM($A2446:$C2446)</f>
        <v>0.194325068663404</v>
      </c>
      <c r="G2446" s="0" t="n">
        <f aca="false">SUMPRODUCT(D2446:F2446,Stats!$B$6:$D$6)</f>
        <v>0.367580656198642</v>
      </c>
      <c r="H2446" s="0" t="n">
        <f aca="false">SQRT(SUMPRODUCT(MMULT(D2446:F2446,Stats!$B$12:$D$14),D2446:F2446))</f>
        <v>0.223317896266411</v>
      </c>
      <c r="I2446" s="0" t="n">
        <f aca="false">(G2446-Stats!$B$2)/H2446</f>
        <v>1.45792460721658</v>
      </c>
    </row>
    <row r="2447" customFormat="false" ht="15" hidden="false" customHeight="false" outlineLevel="0" collapsed="false">
      <c r="A2447" s="0" t="n">
        <v>0.234057775017499</v>
      </c>
      <c r="B2447" s="0" t="n">
        <v>0.0497810015230438</v>
      </c>
      <c r="C2447" s="0" t="n">
        <v>0.268500076197495</v>
      </c>
      <c r="D2447" s="0" t="n">
        <f aca="false">A2447/SUM($A2447:$C2447)</f>
        <v>0.423757578988396</v>
      </c>
      <c r="E2447" s="0" t="n">
        <f aca="false">B2447/SUM($A2447:$C2447)</f>
        <v>0.0901276476863267</v>
      </c>
      <c r="F2447" s="0" t="n">
        <f aca="false">C2447/SUM($A2447:$C2447)</f>
        <v>0.486114773325278</v>
      </c>
      <c r="G2447" s="0" t="n">
        <f aca="false">SUMPRODUCT(D2447:F2447,Stats!$B$6:$D$6)</f>
        <v>0.348265104749394</v>
      </c>
      <c r="H2447" s="0" t="n">
        <f aca="false">SQRT(SUMPRODUCT(MMULT(D2447:F2447,Stats!$B$12:$D$14),D2447:F2447))</f>
        <v>0.224486182641942</v>
      </c>
      <c r="I2447" s="0" t="n">
        <f aca="false">(G2447-Stats!$B$2)/H2447</f>
        <v>1.36429378924355</v>
      </c>
    </row>
    <row r="2448" customFormat="false" ht="15" hidden="false" customHeight="false" outlineLevel="0" collapsed="false">
      <c r="A2448" s="0" t="n">
        <v>0.654235779945318</v>
      </c>
      <c r="B2448" s="0" t="n">
        <v>0.533616931309211</v>
      </c>
      <c r="C2448" s="0" t="n">
        <v>0.944041278280927</v>
      </c>
      <c r="D2448" s="0" t="n">
        <f aca="false">A2448/SUM($A2448:$C2448)</f>
        <v>0.306880071502935</v>
      </c>
      <c r="E2448" s="0" t="n">
        <f aca="false">B2448/SUM($A2448:$C2448)</f>
        <v>0.250301813283637</v>
      </c>
      <c r="F2448" s="0" t="n">
        <f aca="false">C2448/SUM($A2448:$C2448)</f>
        <v>0.442818115213429</v>
      </c>
      <c r="G2448" s="0" t="n">
        <f aca="false">SUMPRODUCT(D2448:F2448,Stats!$B$6:$D$6)</f>
        <v>0.358675207623161</v>
      </c>
      <c r="H2448" s="0" t="n">
        <f aca="false">SQRT(SUMPRODUCT(MMULT(D2448:F2448,Stats!$B$12:$D$14),D2448:F2448))</f>
        <v>0.227260255871795</v>
      </c>
      <c r="I2448" s="0" t="n">
        <f aca="false">(G2448-Stats!$B$2)/H2448</f>
        <v>1.39344737780198</v>
      </c>
    </row>
    <row r="2449" customFormat="false" ht="15" hidden="false" customHeight="false" outlineLevel="0" collapsed="false">
      <c r="A2449" s="0" t="n">
        <v>0.396277262491701</v>
      </c>
      <c r="B2449" s="0" t="n">
        <v>0.693863342328395</v>
      </c>
      <c r="C2449" s="0" t="n">
        <v>0.489322747475121</v>
      </c>
      <c r="D2449" s="0" t="n">
        <f aca="false">A2449/SUM($A2449:$C2449)</f>
        <v>0.250893610108677</v>
      </c>
      <c r="E2449" s="0" t="n">
        <f aca="false">B2449/SUM($A2449:$C2449)</f>
        <v>0.439303223667772</v>
      </c>
      <c r="F2449" s="0" t="n">
        <f aca="false">C2449/SUM($A2449:$C2449)</f>
        <v>0.309803166223551</v>
      </c>
      <c r="G2449" s="0" t="n">
        <f aca="false">SUMPRODUCT(D2449:F2449,Stats!$B$6:$D$6)</f>
        <v>0.373217940215082</v>
      </c>
      <c r="H2449" s="0" t="n">
        <f aca="false">SQRT(SUMPRODUCT(MMULT(D2449:F2449,Stats!$B$12:$D$14),D2449:F2449))</f>
        <v>0.22980217997131</v>
      </c>
      <c r="I2449" s="0" t="n">
        <f aca="false">(G2449-Stats!$B$2)/H2449</f>
        <v>1.44131765963418</v>
      </c>
    </row>
    <row r="2450" customFormat="false" ht="15" hidden="false" customHeight="false" outlineLevel="0" collapsed="false">
      <c r="A2450" s="0" t="n">
        <v>0.512576215924212</v>
      </c>
      <c r="B2450" s="0" t="n">
        <v>0.267774314604118</v>
      </c>
      <c r="C2450" s="0" t="n">
        <v>0.454950776842</v>
      </c>
      <c r="D2450" s="0" t="n">
        <f aca="false">A2450/SUM($A2450:$C2450)</f>
        <v>0.414940235929458</v>
      </c>
      <c r="E2450" s="0" t="n">
        <f aca="false">B2450/SUM($A2450:$C2450)</f>
        <v>0.216768421604076</v>
      </c>
      <c r="F2450" s="0" t="n">
        <f aca="false">C2450/SUM($A2450:$C2450)</f>
        <v>0.368291342466467</v>
      </c>
      <c r="G2450" s="0" t="n">
        <f aca="false">SUMPRODUCT(D2450:F2450,Stats!$B$6:$D$6)</f>
        <v>0.358800786761332</v>
      </c>
      <c r="H2450" s="0" t="n">
        <f aca="false">SQRT(SUMPRODUCT(MMULT(D2450:F2450,Stats!$B$12:$D$14),D2450:F2450))</f>
        <v>0.223789729441322</v>
      </c>
      <c r="I2450" s="0" t="n">
        <f aca="false">(G2450-Stats!$B$2)/H2450</f>
        <v>1.41561807841766</v>
      </c>
    </row>
    <row r="2451" customFormat="false" ht="15" hidden="false" customHeight="false" outlineLevel="0" collapsed="false">
      <c r="A2451" s="0" t="n">
        <v>0.470784997012707</v>
      </c>
      <c r="B2451" s="0" t="n">
        <v>0.706642521748934</v>
      </c>
      <c r="C2451" s="0" t="n">
        <v>0.940639999186114</v>
      </c>
      <c r="D2451" s="0" t="n">
        <f aca="false">A2451/SUM($A2451:$C2451)</f>
        <v>0.222271005538512</v>
      </c>
      <c r="E2451" s="0" t="n">
        <f aca="false">B2451/SUM($A2451:$C2451)</f>
        <v>0.333626060435324</v>
      </c>
      <c r="F2451" s="0" t="n">
        <f aca="false">C2451/SUM($A2451:$C2451)</f>
        <v>0.444102934026165</v>
      </c>
      <c r="G2451" s="0" t="n">
        <f aca="false">SUMPRODUCT(D2451:F2451,Stats!$B$6:$D$6)</f>
        <v>0.363434148575213</v>
      </c>
      <c r="H2451" s="0" t="n">
        <f aca="false">SQRT(SUMPRODUCT(MMULT(D2451:F2451,Stats!$B$12:$D$14),D2451:F2451))</f>
        <v>0.230654698169945</v>
      </c>
      <c r="I2451" s="0" t="n">
        <f aca="false">(G2451-Stats!$B$2)/H2451</f>
        <v>1.39357295179993</v>
      </c>
    </row>
    <row r="2452" customFormat="false" ht="15" hidden="false" customHeight="false" outlineLevel="0" collapsed="false">
      <c r="A2452" s="0" t="n">
        <v>0.329321277482504</v>
      </c>
      <c r="B2452" s="0" t="n">
        <v>0.0422004685812984</v>
      </c>
      <c r="C2452" s="0" t="n">
        <v>0.49629512550064</v>
      </c>
      <c r="D2452" s="0" t="n">
        <f aca="false">A2452/SUM($A2452:$C2452)</f>
        <v>0.379482455657754</v>
      </c>
      <c r="E2452" s="0" t="n">
        <f aca="false">B2452/SUM($A2452:$C2452)</f>
        <v>0.0486283108384632</v>
      </c>
      <c r="F2452" s="0" t="n">
        <f aca="false">C2452/SUM($A2452:$C2452)</f>
        <v>0.571889233503783</v>
      </c>
      <c r="G2452" s="0" t="n">
        <f aca="false">SUMPRODUCT(D2452:F2452,Stats!$B$6:$D$6)</f>
        <v>0.343512088869878</v>
      </c>
      <c r="H2452" s="0" t="n">
        <f aca="false">SQRT(SUMPRODUCT(MMULT(D2452:F2452,Stats!$B$12:$D$14),D2452:F2452))</f>
        <v>0.227127495018513</v>
      </c>
      <c r="I2452" s="0" t="n">
        <f aca="false">(G2452-Stats!$B$2)/H2452</f>
        <v>1.32750149357876</v>
      </c>
    </row>
    <row r="2453" customFormat="false" ht="15" hidden="false" customHeight="false" outlineLevel="0" collapsed="false">
      <c r="A2453" s="0" t="n">
        <v>0.544461332149169</v>
      </c>
      <c r="B2453" s="0" t="n">
        <v>0.168440551131915</v>
      </c>
      <c r="C2453" s="0" t="n">
        <v>0.760464606276067</v>
      </c>
      <c r="D2453" s="0" t="n">
        <f aca="false">A2453/SUM($A2453:$C2453)</f>
        <v>0.369535574487524</v>
      </c>
      <c r="E2453" s="0" t="n">
        <f aca="false">B2453/SUM($A2453:$C2453)</f>
        <v>0.114323593162855</v>
      </c>
      <c r="F2453" s="0" t="n">
        <f aca="false">C2453/SUM($A2453:$C2453)</f>
        <v>0.516140832349621</v>
      </c>
      <c r="G2453" s="0" t="n">
        <f aca="false">SUMPRODUCT(D2453:F2453,Stats!$B$6:$D$6)</f>
        <v>0.348829351106947</v>
      </c>
      <c r="H2453" s="0" t="n">
        <f aca="false">SQRT(SUMPRODUCT(MMULT(D2453:F2453,Stats!$B$12:$D$14),D2453:F2453))</f>
        <v>0.226217012321841</v>
      </c>
      <c r="I2453" s="0" t="n">
        <f aca="false">(G2453-Stats!$B$2)/H2453</f>
        <v>1.35634958643348</v>
      </c>
    </row>
    <row r="2454" customFormat="false" ht="15" hidden="false" customHeight="false" outlineLevel="0" collapsed="false">
      <c r="A2454" s="0" t="n">
        <v>0.984929108441492</v>
      </c>
      <c r="B2454" s="0" t="n">
        <v>0.945774717008461</v>
      </c>
      <c r="C2454" s="0" t="n">
        <v>0.197106038823652</v>
      </c>
      <c r="D2454" s="0" t="n">
        <f aca="false">A2454/SUM($A2454:$C2454)</f>
        <v>0.46288398459781</v>
      </c>
      <c r="E2454" s="0" t="n">
        <f aca="false">B2454/SUM($A2454:$C2454)</f>
        <v>0.444482720419821</v>
      </c>
      <c r="F2454" s="0" t="n">
        <f aca="false">C2454/SUM($A2454:$C2454)</f>
        <v>0.0926332949823694</v>
      </c>
      <c r="G2454" s="0" t="n">
        <f aca="false">SUMPRODUCT(D2454:F2454,Stats!$B$6:$D$6)</f>
        <v>0.379504337426055</v>
      </c>
      <c r="H2454" s="0" t="n">
        <f aca="false">SQRT(SUMPRODUCT(MMULT(D2454:F2454,Stats!$B$12:$D$14),D2454:F2454))</f>
        <v>0.227091300923296</v>
      </c>
      <c r="I2454" s="0" t="n">
        <f aca="false">(G2454-Stats!$B$2)/H2454</f>
        <v>1.48620548675289</v>
      </c>
    </row>
    <row r="2455" customFormat="false" ht="15" hidden="false" customHeight="false" outlineLevel="0" collapsed="false">
      <c r="A2455" s="0" t="n">
        <v>0.875363239900761</v>
      </c>
      <c r="B2455" s="0" t="n">
        <v>0.704493636411685</v>
      </c>
      <c r="C2455" s="0" t="n">
        <v>0.453846563806912</v>
      </c>
      <c r="D2455" s="0" t="n">
        <f aca="false">A2455/SUM($A2455:$C2455)</f>
        <v>0.430428165007867</v>
      </c>
      <c r="E2455" s="0" t="n">
        <f aca="false">B2455/SUM($A2455:$C2455)</f>
        <v>0.346409226888232</v>
      </c>
      <c r="F2455" s="0" t="n">
        <f aca="false">C2455/SUM($A2455:$C2455)</f>
        <v>0.223162608103901</v>
      </c>
      <c r="G2455" s="0" t="n">
        <f aca="false">SUMPRODUCT(D2455:F2455,Stats!$B$6:$D$6)</f>
        <v>0.370262019937174</v>
      </c>
      <c r="H2455" s="0" t="n">
        <f aca="false">SQRT(SUMPRODUCT(MMULT(D2455:F2455,Stats!$B$12:$D$14),D2455:F2455))</f>
        <v>0.224657685621934</v>
      </c>
      <c r="I2455" s="0" t="n">
        <f aca="false">(G2455-Stats!$B$2)/H2455</f>
        <v>1.4611653237165</v>
      </c>
    </row>
    <row r="2456" customFormat="false" ht="15" hidden="false" customHeight="false" outlineLevel="0" collapsed="false">
      <c r="A2456" s="0" t="n">
        <v>0.540610994324729</v>
      </c>
      <c r="B2456" s="0" t="n">
        <v>0.849600174982458</v>
      </c>
      <c r="C2456" s="0" t="n">
        <v>0.480134939638373</v>
      </c>
      <c r="D2456" s="0" t="n">
        <f aca="false">A2456/SUM($A2456:$C2456)</f>
        <v>0.289043290832149</v>
      </c>
      <c r="E2456" s="0" t="n">
        <f aca="false">B2456/SUM($A2456:$C2456)</f>
        <v>0.454247569965237</v>
      </c>
      <c r="F2456" s="0" t="n">
        <f aca="false">C2456/SUM($A2456:$C2456)</f>
        <v>0.256709139202614</v>
      </c>
      <c r="G2456" s="0" t="n">
        <f aca="false">SUMPRODUCT(D2456:F2456,Stats!$B$6:$D$6)</f>
        <v>0.375541865933015</v>
      </c>
      <c r="H2456" s="0" t="n">
        <f aca="false">SQRT(SUMPRODUCT(MMULT(D2456:F2456,Stats!$B$12:$D$14),D2456:F2456))</f>
        <v>0.228881511660628</v>
      </c>
      <c r="I2456" s="0" t="n">
        <f aca="false">(G2456-Stats!$B$2)/H2456</f>
        <v>1.4572687130255</v>
      </c>
    </row>
    <row r="2457" customFormat="false" ht="15" hidden="false" customHeight="false" outlineLevel="0" collapsed="false">
      <c r="A2457" s="0" t="n">
        <v>0.373207369105127</v>
      </c>
      <c r="B2457" s="0" t="n">
        <v>0.493247493025986</v>
      </c>
      <c r="C2457" s="0" t="n">
        <v>0.579129804035049</v>
      </c>
      <c r="D2457" s="0" t="n">
        <f aca="false">A2457/SUM($A2457:$C2457)</f>
        <v>0.258170536697038</v>
      </c>
      <c r="E2457" s="0" t="n">
        <f aca="false">B2457/SUM($A2457:$C2457)</f>
        <v>0.34120968807322</v>
      </c>
      <c r="F2457" s="0" t="n">
        <f aca="false">C2457/SUM($A2457:$C2457)</f>
        <v>0.400619775229742</v>
      </c>
      <c r="G2457" s="0" t="n">
        <f aca="false">SUMPRODUCT(D2457:F2457,Stats!$B$6:$D$6)</f>
        <v>0.365069532073509</v>
      </c>
      <c r="H2457" s="0" t="n">
        <f aca="false">SQRT(SUMPRODUCT(MMULT(D2457:F2457,Stats!$B$12:$D$14),D2457:F2457))</f>
        <v>0.228995560056434</v>
      </c>
      <c r="I2457" s="0" t="n">
        <f aca="false">(G2457-Stats!$B$2)/H2457</f>
        <v>1.41081133622805</v>
      </c>
    </row>
    <row r="2458" customFormat="false" ht="15" hidden="false" customHeight="false" outlineLevel="0" collapsed="false">
      <c r="A2458" s="0" t="n">
        <v>0.189077653778349</v>
      </c>
      <c r="B2458" s="0" t="n">
        <v>0.900907730266991</v>
      </c>
      <c r="C2458" s="0" t="n">
        <v>0.674186948829614</v>
      </c>
      <c r="D2458" s="0" t="n">
        <f aca="false">A2458/SUM($A2458:$C2458)</f>
        <v>0.107176408027112</v>
      </c>
      <c r="E2458" s="0" t="n">
        <f aca="false">B2458/SUM($A2458:$C2458)</f>
        <v>0.5106687784854</v>
      </c>
      <c r="F2458" s="0" t="n">
        <f aca="false">C2458/SUM($A2458:$C2458)</f>
        <v>0.382154813487488</v>
      </c>
      <c r="G2458" s="0" t="n">
        <f aca="false">SUMPRODUCT(D2458:F2458,Stats!$B$6:$D$6)</f>
        <v>0.375329153027262</v>
      </c>
      <c r="H2458" s="0" t="n">
        <f aca="false">SQRT(SUMPRODUCT(MMULT(D2458:F2458,Stats!$B$12:$D$14),D2458:F2458))</f>
        <v>0.236651931545111</v>
      </c>
      <c r="I2458" s="0" t="n">
        <f aca="false">(G2458-Stats!$B$2)/H2458</f>
        <v>1.40852073697832</v>
      </c>
    </row>
    <row r="2459" customFormat="false" ht="15" hidden="false" customHeight="false" outlineLevel="0" collapsed="false">
      <c r="A2459" s="0" t="n">
        <v>0.633268917337489</v>
      </c>
      <c r="B2459" s="0" t="n">
        <v>0.0994962261806381</v>
      </c>
      <c r="C2459" s="0" t="n">
        <v>0.604173938172592</v>
      </c>
      <c r="D2459" s="0" t="n">
        <f aca="false">A2459/SUM($A2459:$C2459)</f>
        <v>0.473670734897393</v>
      </c>
      <c r="E2459" s="0" t="n">
        <f aca="false">B2459/SUM($A2459:$C2459)</f>
        <v>0.0744209123237039</v>
      </c>
      <c r="F2459" s="0" t="n">
        <f aca="false">C2459/SUM($A2459:$C2459)</f>
        <v>0.451908352778903</v>
      </c>
      <c r="G2459" s="0" t="n">
        <f aca="false">SUMPRODUCT(D2459:F2459,Stats!$B$6:$D$6)</f>
        <v>0.348304588415544</v>
      </c>
      <c r="H2459" s="0" t="n">
        <f aca="false">SQRT(SUMPRODUCT(MMULT(D2459:F2459,Stats!$B$12:$D$14),D2459:F2459))</f>
        <v>0.223147603783423</v>
      </c>
      <c r="I2459" s="0" t="n">
        <f aca="false">(G2459-Stats!$B$2)/H2459</f>
        <v>1.37265461614739</v>
      </c>
    </row>
    <row r="2460" customFormat="false" ht="15" hidden="false" customHeight="false" outlineLevel="0" collapsed="false">
      <c r="A2460" s="0" t="n">
        <v>0.120960662238492</v>
      </c>
      <c r="B2460" s="0" t="n">
        <v>0.0786976751953991</v>
      </c>
      <c r="C2460" s="0" t="n">
        <v>0.527310895642393</v>
      </c>
      <c r="D2460" s="0" t="n">
        <f aca="false">A2460/SUM($A2460:$C2460)</f>
        <v>0.166390346021424</v>
      </c>
      <c r="E2460" s="0" t="n">
        <f aca="false">B2460/SUM($A2460:$C2460)</f>
        <v>0.108254478476864</v>
      </c>
      <c r="F2460" s="0" t="n">
        <f aca="false">C2460/SUM($A2460:$C2460)</f>
        <v>0.725355175501712</v>
      </c>
      <c r="G2460" s="0" t="n">
        <f aca="false">SUMPRODUCT(D2460:F2460,Stats!$B$6:$D$6)</f>
        <v>0.342711137058665</v>
      </c>
      <c r="H2460" s="0" t="n">
        <f aca="false">SQRT(SUMPRODUCT(MMULT(D2460:F2460,Stats!$B$12:$D$14),D2460:F2460))</f>
        <v>0.238863666214507</v>
      </c>
      <c r="I2460" s="0" t="n">
        <f aca="false">(G2460-Stats!$B$2)/H2460</f>
        <v>1.25892372759873</v>
      </c>
    </row>
    <row r="2461" customFormat="false" ht="15" hidden="false" customHeight="false" outlineLevel="0" collapsed="false">
      <c r="A2461" s="0" t="n">
        <v>0.402785534046495</v>
      </c>
      <c r="B2461" s="0" t="n">
        <v>0.588810270156223</v>
      </c>
      <c r="C2461" s="0" t="n">
        <v>0.0892221680572386</v>
      </c>
      <c r="D2461" s="0" t="n">
        <f aca="false">A2461/SUM($A2461:$C2461)</f>
        <v>0.372667317147108</v>
      </c>
      <c r="E2461" s="0" t="n">
        <f aca="false">B2461/SUM($A2461:$C2461)</f>
        <v>0.544782086594137</v>
      </c>
      <c r="F2461" s="0" t="n">
        <f aca="false">C2461/SUM($A2461:$C2461)</f>
        <v>0.0825505962587556</v>
      </c>
      <c r="G2461" s="0" t="n">
        <f aca="false">SUMPRODUCT(D2461:F2461,Stats!$B$6:$D$6)</f>
        <v>0.38555345968009</v>
      </c>
      <c r="H2461" s="0" t="n">
        <f aca="false">SQRT(SUMPRODUCT(MMULT(D2461:F2461,Stats!$B$12:$D$14),D2461:F2461))</f>
        <v>0.230174840498902</v>
      </c>
      <c r="I2461" s="0" t="n">
        <f aca="false">(G2461-Stats!$B$2)/H2461</f>
        <v>1.49257607362925</v>
      </c>
    </row>
    <row r="2462" customFormat="false" ht="15" hidden="false" customHeight="false" outlineLevel="0" collapsed="false">
      <c r="A2462" s="0" t="n">
        <v>0.430983062847258</v>
      </c>
      <c r="B2462" s="0" t="n">
        <v>0.174786715045158</v>
      </c>
      <c r="C2462" s="0" t="n">
        <v>0.987100085924117</v>
      </c>
      <c r="D2462" s="0" t="n">
        <f aca="false">A2462/SUM($A2462:$C2462)</f>
        <v>0.270570165609523</v>
      </c>
      <c r="E2462" s="0" t="n">
        <f aca="false">B2462/SUM($A2462:$C2462)</f>
        <v>0.109730693646477</v>
      </c>
      <c r="F2462" s="0" t="n">
        <f aca="false">C2462/SUM($A2462:$C2462)</f>
        <v>0.619699140743999</v>
      </c>
      <c r="G2462" s="0" t="n">
        <f aca="false">SUMPRODUCT(D2462:F2462,Stats!$B$6:$D$6)</f>
        <v>0.345709501089893</v>
      </c>
      <c r="H2462" s="0" t="n">
        <f aca="false">SQRT(SUMPRODUCT(MMULT(D2462:F2462,Stats!$B$12:$D$14),D2462:F2462))</f>
        <v>0.231496766425848</v>
      </c>
      <c r="I2462" s="0" t="n">
        <f aca="false">(G2462-Stats!$B$2)/H2462</f>
        <v>1.3119384161557</v>
      </c>
    </row>
    <row r="2463" customFormat="false" ht="15" hidden="false" customHeight="false" outlineLevel="0" collapsed="false">
      <c r="A2463" s="0" t="n">
        <v>0.561150212435174</v>
      </c>
      <c r="B2463" s="0" t="n">
        <v>0.687436860940867</v>
      </c>
      <c r="C2463" s="0" t="n">
        <v>0.325418280682608</v>
      </c>
      <c r="D2463" s="0" t="n">
        <f aca="false">A2463/SUM($A2463:$C2463)</f>
        <v>0.356510993427196</v>
      </c>
      <c r="E2463" s="0" t="n">
        <f aca="false">B2463/SUM($A2463:$C2463)</f>
        <v>0.436743661111621</v>
      </c>
      <c r="F2463" s="0" t="n">
        <f aca="false">C2463/SUM($A2463:$C2463)</f>
        <v>0.206745345461183</v>
      </c>
      <c r="G2463" s="0" t="n">
        <f aca="false">SUMPRODUCT(D2463:F2463,Stats!$B$6:$D$6)</f>
        <v>0.375912446067779</v>
      </c>
      <c r="H2463" s="0" t="n">
        <f aca="false">SQRT(SUMPRODUCT(MMULT(D2463:F2463,Stats!$B$12:$D$14),D2463:F2463))</f>
        <v>0.227230479022481</v>
      </c>
      <c r="I2463" s="0" t="n">
        <f aca="false">(G2463-Stats!$B$2)/H2463</f>
        <v>1.46948792919079</v>
      </c>
    </row>
    <row r="2464" customFormat="false" ht="15" hidden="false" customHeight="false" outlineLevel="0" collapsed="false">
      <c r="A2464" s="0" t="n">
        <v>0.0947389147793442</v>
      </c>
      <c r="B2464" s="0" t="n">
        <v>0.975870862783537</v>
      </c>
      <c r="C2464" s="0" t="n">
        <v>0.286259035383183</v>
      </c>
      <c r="D2464" s="0" t="n">
        <f aca="false">A2464/SUM($A2464:$C2464)</f>
        <v>0.0698217203280285</v>
      </c>
      <c r="E2464" s="0" t="n">
        <f aca="false">B2464/SUM($A2464:$C2464)</f>
        <v>0.719207968723744</v>
      </c>
      <c r="F2464" s="0" t="n">
        <f aca="false">C2464/SUM($A2464:$C2464)</f>
        <v>0.210970310948227</v>
      </c>
      <c r="G2464" s="0" t="n">
        <f aca="false">SUMPRODUCT(D2464:F2464,Stats!$B$6:$D$6)</f>
        <v>0.392048574943083</v>
      </c>
      <c r="H2464" s="0" t="n">
        <f aca="false">SQRT(SUMPRODUCT(MMULT(D2464:F2464,Stats!$B$12:$D$14),D2464:F2464))</f>
        <v>0.241704294904309</v>
      </c>
      <c r="I2464" s="0" t="n">
        <f aca="false">(G2464-Stats!$B$2)/H2464</f>
        <v>1.44825136467545</v>
      </c>
    </row>
    <row r="2465" customFormat="false" ht="15" hidden="false" customHeight="false" outlineLevel="0" collapsed="false">
      <c r="A2465" s="0" t="n">
        <v>0.423808185173574</v>
      </c>
      <c r="B2465" s="0" t="n">
        <v>0.649863921702575</v>
      </c>
      <c r="C2465" s="0" t="n">
        <v>0.0246972976861113</v>
      </c>
      <c r="D2465" s="0" t="n">
        <f aca="false">A2465/SUM($A2465:$C2465)</f>
        <v>0.385852139920519</v>
      </c>
      <c r="E2465" s="0" t="n">
        <f aca="false">B2465/SUM($A2465:$C2465)</f>
        <v>0.59166243979781</v>
      </c>
      <c r="F2465" s="0" t="n">
        <f aca="false">C2465/SUM($A2465:$C2465)</f>
        <v>0.0224854202816711</v>
      </c>
      <c r="G2465" s="0" t="n">
        <f aca="false">SUMPRODUCT(D2465:F2465,Stats!$B$6:$D$6)</f>
        <v>0.389907168652662</v>
      </c>
      <c r="H2465" s="0" t="n">
        <f aca="false">SQRT(SUMPRODUCT(MMULT(D2465:F2465,Stats!$B$12:$D$14),D2465:F2465))</f>
        <v>0.232033866859755</v>
      </c>
      <c r="I2465" s="0" t="n">
        <f aca="false">(G2465-Stats!$B$2)/H2465</f>
        <v>1.49938098847847</v>
      </c>
    </row>
    <row r="2466" customFormat="false" ht="15" hidden="false" customHeight="false" outlineLevel="0" collapsed="false">
      <c r="A2466" s="0" t="n">
        <v>0.810259130517287</v>
      </c>
      <c r="B2466" s="0" t="n">
        <v>0.53657819002862</v>
      </c>
      <c r="C2466" s="0" t="n">
        <v>0.278217187068822</v>
      </c>
      <c r="D2466" s="0" t="n">
        <f aca="false">A2466/SUM($A2466:$C2466)</f>
        <v>0.498604278638378</v>
      </c>
      <c r="E2466" s="0" t="n">
        <f aca="false">B2466/SUM($A2466:$C2466)</f>
        <v>0.330190887452886</v>
      </c>
      <c r="F2466" s="0" t="n">
        <f aca="false">C2466/SUM($A2466:$C2466)</f>
        <v>0.171204833908736</v>
      </c>
      <c r="G2466" s="0" t="n">
        <f aca="false">SUMPRODUCT(D2466:F2466,Stats!$B$6:$D$6)</f>
        <v>0.370761553316471</v>
      </c>
      <c r="H2466" s="0" t="n">
        <f aca="false">SQRT(SUMPRODUCT(MMULT(D2466:F2466,Stats!$B$12:$D$14),D2466:F2466))</f>
        <v>0.224158264478637</v>
      </c>
      <c r="I2466" s="0" t="n">
        <f aca="false">(G2466-Stats!$B$2)/H2466</f>
        <v>1.46664926265881</v>
      </c>
    </row>
    <row r="2467" customFormat="false" ht="15" hidden="false" customHeight="false" outlineLevel="0" collapsed="false">
      <c r="A2467" s="0" t="n">
        <v>0.0616079852924693</v>
      </c>
      <c r="B2467" s="0" t="n">
        <v>0.162498415474441</v>
      </c>
      <c r="C2467" s="0" t="n">
        <v>0.895033858853437</v>
      </c>
      <c r="D2467" s="0" t="n">
        <f aca="false">A2467/SUM($A2467:$C2467)</f>
        <v>0.0550493870297981</v>
      </c>
      <c r="E2467" s="0" t="n">
        <f aca="false">B2467/SUM($A2467:$C2467)</f>
        <v>0.14519932964396</v>
      </c>
      <c r="F2467" s="0" t="n">
        <f aca="false">C2467/SUM($A2467:$C2467)</f>
        <v>0.799751283326242</v>
      </c>
      <c r="G2467" s="0" t="n">
        <f aca="false">SUMPRODUCT(D2467:F2467,Stats!$B$6:$D$6)</f>
        <v>0.34278545191902</v>
      </c>
      <c r="H2467" s="0" t="n">
        <f aca="false">SQRT(SUMPRODUCT(MMULT(D2467:F2467,Stats!$B$12:$D$14),D2467:F2467))</f>
        <v>0.247026439659928</v>
      </c>
      <c r="I2467" s="0" t="n">
        <f aca="false">(G2467-Stats!$B$2)/H2467</f>
        <v>1.21762452769469</v>
      </c>
    </row>
    <row r="2468" customFormat="false" ht="15" hidden="false" customHeight="false" outlineLevel="0" collapsed="false">
      <c r="A2468" s="0" t="n">
        <v>0.686024223935891</v>
      </c>
      <c r="B2468" s="0" t="n">
        <v>0.24990172163689</v>
      </c>
      <c r="C2468" s="0" t="n">
        <v>0.0656007649450295</v>
      </c>
      <c r="D2468" s="0" t="n">
        <f aca="false">A2468/SUM($A2468:$C2468)</f>
        <v>0.684978460116358</v>
      </c>
      <c r="E2468" s="0" t="n">
        <f aca="false">B2468/SUM($A2468:$C2468)</f>
        <v>0.249520775644301</v>
      </c>
      <c r="F2468" s="0" t="n">
        <f aca="false">C2468/SUM($A2468:$C2468)</f>
        <v>0.0655007642393407</v>
      </c>
      <c r="G2468" s="0" t="n">
        <f aca="false">SUMPRODUCT(D2468:F2468,Stats!$B$6:$D$6)</f>
        <v>0.369034648557498</v>
      </c>
      <c r="H2468" s="0" t="n">
        <f aca="false">SQRT(SUMPRODUCT(MMULT(D2468:F2468,Stats!$B$12:$D$14),D2468:F2468))</f>
        <v>0.225317010974287</v>
      </c>
      <c r="I2468" s="0" t="n">
        <f aca="false">(G2468-Stats!$B$2)/H2468</f>
        <v>1.45144233514982</v>
      </c>
    </row>
    <row r="2469" customFormat="false" ht="15" hidden="false" customHeight="false" outlineLevel="0" collapsed="false">
      <c r="A2469" s="0" t="n">
        <v>0.690615312386636</v>
      </c>
      <c r="B2469" s="0" t="n">
        <v>0.572407725967765</v>
      </c>
      <c r="C2469" s="0" t="n">
        <v>0.404519524458235</v>
      </c>
      <c r="D2469" s="0" t="n">
        <f aca="false">A2469/SUM($A2469:$C2469)</f>
        <v>0.414151535191869</v>
      </c>
      <c r="E2469" s="0" t="n">
        <f aca="false">B2469/SUM($A2469:$C2469)</f>
        <v>0.343264237287166</v>
      </c>
      <c r="F2469" s="0" t="n">
        <f aca="false">C2469/SUM($A2469:$C2469)</f>
        <v>0.242584227520966</v>
      </c>
      <c r="G2469" s="0" t="n">
        <f aca="false">SUMPRODUCT(D2469:F2469,Stats!$B$6:$D$6)</f>
        <v>0.369545517620531</v>
      </c>
      <c r="H2469" s="0" t="n">
        <f aca="false">SQRT(SUMPRODUCT(MMULT(D2469:F2469,Stats!$B$12:$D$14),D2469:F2469))</f>
        <v>0.224772973629816</v>
      </c>
      <c r="I2469" s="0" t="n">
        <f aca="false">(G2469-Stats!$B$2)/H2469</f>
        <v>1.45722820822744</v>
      </c>
    </row>
    <row r="2470" customFormat="false" ht="15" hidden="false" customHeight="false" outlineLevel="0" collapsed="false">
      <c r="A2470" s="0" t="n">
        <v>0.363611449190064</v>
      </c>
      <c r="B2470" s="0" t="n">
        <v>0.216814275929108</v>
      </c>
      <c r="C2470" s="0" t="n">
        <v>0.669611256537518</v>
      </c>
      <c r="D2470" s="0" t="n">
        <f aca="false">A2470/SUM($A2470:$C2470)</f>
        <v>0.290880553556236</v>
      </c>
      <c r="E2470" s="0" t="n">
        <f aca="false">B2470/SUM($A2470:$C2470)</f>
        <v>0.173446289278387</v>
      </c>
      <c r="F2470" s="0" t="n">
        <f aca="false">C2470/SUM($A2470:$C2470)</f>
        <v>0.535673157165377</v>
      </c>
      <c r="G2470" s="0" t="n">
        <f aca="false">SUMPRODUCT(D2470:F2470,Stats!$B$6:$D$6)</f>
        <v>0.351692598176159</v>
      </c>
      <c r="H2470" s="0" t="n">
        <f aca="false">SQRT(SUMPRODUCT(MMULT(D2470:F2470,Stats!$B$12:$D$14),D2470:F2470))</f>
        <v>0.228933950447623</v>
      </c>
      <c r="I2470" s="0" t="n">
        <f aca="false">(G2470-Stats!$B$2)/H2470</f>
        <v>1.35275959537951</v>
      </c>
    </row>
    <row r="2471" customFormat="false" ht="15" hidden="false" customHeight="false" outlineLevel="0" collapsed="false">
      <c r="A2471" s="0" t="n">
        <v>0.970668027793871</v>
      </c>
      <c r="B2471" s="0" t="n">
        <v>0.175715245836826</v>
      </c>
      <c r="C2471" s="0" t="n">
        <v>0.597116620015503</v>
      </c>
      <c r="D2471" s="0" t="n">
        <f aca="false">A2471/SUM($A2471:$C2471)</f>
        <v>0.556735352454712</v>
      </c>
      <c r="E2471" s="0" t="n">
        <f aca="false">B2471/SUM($A2471:$C2471)</f>
        <v>0.100783055093483</v>
      </c>
      <c r="F2471" s="0" t="n">
        <f aca="false">C2471/SUM($A2471:$C2471)</f>
        <v>0.342481592451805</v>
      </c>
      <c r="G2471" s="0" t="n">
        <f aca="false">SUMPRODUCT(D2471:F2471,Stats!$B$6:$D$6)</f>
        <v>0.352838832818938</v>
      </c>
      <c r="H2471" s="0" t="n">
        <f aca="false">SQRT(SUMPRODUCT(MMULT(D2471:F2471,Stats!$B$12:$D$14),D2471:F2471))</f>
        <v>0.221523055888789</v>
      </c>
      <c r="I2471" s="0" t="n">
        <f aca="false">(G2471-Stats!$B$2)/H2471</f>
        <v>1.40318953064185</v>
      </c>
    </row>
    <row r="2472" customFormat="false" ht="15" hidden="false" customHeight="false" outlineLevel="0" collapsed="false">
      <c r="A2472" s="0" t="n">
        <v>0.424185055745976</v>
      </c>
      <c r="B2472" s="0" t="n">
        <v>0.446688721744665</v>
      </c>
      <c r="C2472" s="0" t="n">
        <v>0.254147280127814</v>
      </c>
      <c r="D2472" s="0" t="n">
        <f aca="false">A2472/SUM($A2472:$C2472)</f>
        <v>0.377046325376281</v>
      </c>
      <c r="E2472" s="0" t="n">
        <f aca="false">B2472/SUM($A2472:$C2472)</f>
        <v>0.397049209630134</v>
      </c>
      <c r="F2472" s="0" t="n">
        <f aca="false">C2472/SUM($A2472:$C2472)</f>
        <v>0.225904464993585</v>
      </c>
      <c r="G2472" s="0" t="n">
        <f aca="false">SUMPRODUCT(D2472:F2472,Stats!$B$6:$D$6)</f>
        <v>0.373100173352936</v>
      </c>
      <c r="H2472" s="0" t="n">
        <f aca="false">SQRT(SUMPRODUCT(MMULT(D2472:F2472,Stats!$B$12:$D$14),D2472:F2472))</f>
        <v>0.226161898123628</v>
      </c>
      <c r="I2472" s="0" t="n">
        <f aca="false">(G2472-Stats!$B$2)/H2472</f>
        <v>1.46399626152742</v>
      </c>
    </row>
    <row r="2473" customFormat="false" ht="15" hidden="false" customHeight="false" outlineLevel="0" collapsed="false">
      <c r="A2473" s="0" t="n">
        <v>0.825134875661419</v>
      </c>
      <c r="B2473" s="0" t="n">
        <v>0.485255604147241</v>
      </c>
      <c r="C2473" s="0" t="n">
        <v>0.543405852198264</v>
      </c>
      <c r="D2473" s="0" t="n">
        <f aca="false">A2473/SUM($A2473:$C2473)</f>
        <v>0.445105463537155</v>
      </c>
      <c r="E2473" s="0" t="n">
        <f aca="false">B2473/SUM($A2473:$C2473)</f>
        <v>0.261763169863381</v>
      </c>
      <c r="F2473" s="0" t="n">
        <f aca="false">C2473/SUM($A2473:$C2473)</f>
        <v>0.293131366599464</v>
      </c>
      <c r="G2473" s="0" t="n">
        <f aca="false">SUMPRODUCT(D2473:F2473,Stats!$B$6:$D$6)</f>
        <v>0.363462233767096</v>
      </c>
      <c r="H2473" s="0" t="n">
        <f aca="false">SQRT(SUMPRODUCT(MMULT(D2473:F2473,Stats!$B$12:$D$14),D2473:F2473))</f>
        <v>0.223395801725847</v>
      </c>
      <c r="I2473" s="0" t="n">
        <f aca="false">(G2473-Stats!$B$2)/H2473</f>
        <v>1.43898064011783</v>
      </c>
    </row>
    <row r="2474" customFormat="false" ht="15" hidden="false" customHeight="false" outlineLevel="0" collapsed="false">
      <c r="A2474" s="0" t="n">
        <v>0.304760912797326</v>
      </c>
      <c r="B2474" s="0" t="n">
        <v>0.18180846566695</v>
      </c>
      <c r="C2474" s="0" t="n">
        <v>0.0859103882028205</v>
      </c>
      <c r="D2474" s="0" t="n">
        <f aca="false">A2474/SUM($A2474:$C2474)</f>
        <v>0.532352286564825</v>
      </c>
      <c r="E2474" s="0" t="n">
        <f aca="false">B2474/SUM($A2474:$C2474)</f>
        <v>0.317580596298478</v>
      </c>
      <c r="F2474" s="0" t="n">
        <f aca="false">C2474/SUM($A2474:$C2474)</f>
        <v>0.150067117136698</v>
      </c>
      <c r="G2474" s="0" t="n">
        <f aca="false">SUMPRODUCT(D2474:F2474,Stats!$B$6:$D$6)</f>
        <v>0.370618837894622</v>
      </c>
      <c r="H2474" s="0" t="n">
        <f aca="false">SQRT(SUMPRODUCT(MMULT(D2474:F2474,Stats!$B$12:$D$14),D2474:F2474))</f>
        <v>0.224069516822155</v>
      </c>
      <c r="I2474" s="0" t="n">
        <f aca="false">(G2474-Stats!$B$2)/H2474</f>
        <v>1.46659323657777</v>
      </c>
    </row>
    <row r="2475" customFormat="false" ht="15" hidden="false" customHeight="false" outlineLevel="0" collapsed="false">
      <c r="A2475" s="0" t="n">
        <v>0.714119140924916</v>
      </c>
      <c r="B2475" s="0" t="n">
        <v>0.196234281687856</v>
      </c>
      <c r="C2475" s="0" t="n">
        <v>0.690075354188798</v>
      </c>
      <c r="D2475" s="0" t="n">
        <f aca="false">A2475/SUM($A2475:$C2475)</f>
        <v>0.446204886637987</v>
      </c>
      <c r="E2475" s="0" t="n">
        <f aca="false">B2475/SUM($A2475:$C2475)</f>
        <v>0.122613567396624</v>
      </c>
      <c r="F2475" s="0" t="n">
        <f aca="false">C2475/SUM($A2475:$C2475)</f>
        <v>0.431181545965389</v>
      </c>
      <c r="G2475" s="0" t="n">
        <f aca="false">SUMPRODUCT(D2475:F2475,Stats!$B$6:$D$6)</f>
        <v>0.35164906513984</v>
      </c>
      <c r="H2475" s="0" t="n">
        <f aca="false">SQRT(SUMPRODUCT(MMULT(D2475:F2475,Stats!$B$12:$D$14),D2475:F2475))</f>
        <v>0.223395767201504</v>
      </c>
      <c r="I2475" s="0" t="n">
        <f aca="false">(G2475-Stats!$B$2)/H2475</f>
        <v>1.38610086045424</v>
      </c>
    </row>
    <row r="2476" customFormat="false" ht="15" hidden="false" customHeight="false" outlineLevel="0" collapsed="false">
      <c r="A2476" s="0" t="n">
        <v>0.390376446046954</v>
      </c>
      <c r="B2476" s="0" t="n">
        <v>0.415774800989652</v>
      </c>
      <c r="C2476" s="0" t="n">
        <v>0.469177496092772</v>
      </c>
      <c r="D2476" s="0" t="n">
        <f aca="false">A2476/SUM($A2476:$C2476)</f>
        <v>0.306098680947985</v>
      </c>
      <c r="E2476" s="0" t="n">
        <f aca="false">B2476/SUM($A2476:$C2476)</f>
        <v>0.32601382445865</v>
      </c>
      <c r="F2476" s="0" t="n">
        <f aca="false">C2476/SUM($A2476:$C2476)</f>
        <v>0.367887494593365</v>
      </c>
      <c r="G2476" s="0" t="n">
        <f aca="false">SUMPRODUCT(D2476:F2476,Stats!$B$6:$D$6)</f>
        <v>0.365097761797799</v>
      </c>
      <c r="H2476" s="0" t="n">
        <f aca="false">SQRT(SUMPRODUCT(MMULT(D2476:F2476,Stats!$B$12:$D$14),D2476:F2476))</f>
        <v>0.227140389699996</v>
      </c>
      <c r="I2476" s="0" t="n">
        <f aca="false">(G2476-Stats!$B$2)/H2476</f>
        <v>1.42245842857161</v>
      </c>
    </row>
    <row r="2477" customFormat="false" ht="15" hidden="false" customHeight="false" outlineLevel="0" collapsed="false">
      <c r="A2477" s="0" t="n">
        <v>0.367708508127543</v>
      </c>
      <c r="B2477" s="0" t="n">
        <v>0.10061997722259</v>
      </c>
      <c r="C2477" s="0" t="n">
        <v>0.309631810002846</v>
      </c>
      <c r="D2477" s="0" t="n">
        <f aca="false">A2477/SUM($A2477:$C2477)</f>
        <v>0.472657165570005</v>
      </c>
      <c r="E2477" s="0" t="n">
        <f aca="false">B2477/SUM($A2477:$C2477)</f>
        <v>0.129338190938056</v>
      </c>
      <c r="F2477" s="0" t="n">
        <f aca="false">C2477/SUM($A2477:$C2477)</f>
        <v>0.398004643491939</v>
      </c>
      <c r="G2477" s="0" t="n">
        <f aca="false">SUMPRODUCT(D2477:F2477,Stats!$B$6:$D$6)</f>
        <v>0.352950831600102</v>
      </c>
      <c r="H2477" s="0" t="n">
        <f aca="false">SQRT(SUMPRODUCT(MMULT(D2477:F2477,Stats!$B$12:$D$14),D2477:F2477))</f>
        <v>0.222694394470548</v>
      </c>
      <c r="I2477" s="0" t="n">
        <f aca="false">(G2477-Stats!$B$2)/H2477</f>
        <v>1.39631189343307</v>
      </c>
    </row>
    <row r="2478" customFormat="false" ht="15" hidden="false" customHeight="false" outlineLevel="0" collapsed="false">
      <c r="A2478" s="0" t="n">
        <v>0.663734360693938</v>
      </c>
      <c r="B2478" s="0" t="n">
        <v>0.665784401468871</v>
      </c>
      <c r="C2478" s="0" t="n">
        <v>0.286224307239994</v>
      </c>
      <c r="D2478" s="0" t="n">
        <f aca="false">A2478/SUM($A2478:$C2478)</f>
        <v>0.410792020874496</v>
      </c>
      <c r="E2478" s="0" t="n">
        <f aca="false">B2478/SUM($A2478:$C2478)</f>
        <v>0.41206081219024</v>
      </c>
      <c r="F2478" s="0" t="n">
        <f aca="false">C2478/SUM($A2478:$C2478)</f>
        <v>0.177147166935264</v>
      </c>
      <c r="G2478" s="0" t="n">
        <f aca="false">SUMPRODUCT(D2478:F2478,Stats!$B$6:$D$6)</f>
        <v>0.375308385276023</v>
      </c>
      <c r="H2478" s="0" t="n">
        <f aca="false">SQRT(SUMPRODUCT(MMULT(D2478:F2478,Stats!$B$12:$D$14),D2478:F2478))</f>
        <v>0.226142156869085</v>
      </c>
      <c r="I2478" s="0" t="n">
        <f aca="false">(G2478-Stats!$B$2)/H2478</f>
        <v>1.47388876930619</v>
      </c>
    </row>
    <row r="2479" customFormat="false" ht="15" hidden="false" customHeight="false" outlineLevel="0" collapsed="false">
      <c r="A2479" s="0" t="n">
        <v>0.460102626557688</v>
      </c>
      <c r="B2479" s="0" t="n">
        <v>0.193447228011938</v>
      </c>
      <c r="C2479" s="0" t="n">
        <v>0.210372081529836</v>
      </c>
      <c r="D2479" s="0" t="n">
        <f aca="false">A2479/SUM($A2479:$C2479)</f>
        <v>0.532574307159064</v>
      </c>
      <c r="E2479" s="0" t="n">
        <f aca="false">B2479/SUM($A2479:$C2479)</f>
        <v>0.223917485977189</v>
      </c>
      <c r="F2479" s="0" t="n">
        <f aca="false">C2479/SUM($A2479:$C2479)</f>
        <v>0.243508206863746</v>
      </c>
      <c r="G2479" s="0" t="n">
        <f aca="false">SUMPRODUCT(D2479:F2479,Stats!$B$6:$D$6)</f>
        <v>0.362652981642636</v>
      </c>
      <c r="H2479" s="0" t="n">
        <f aca="false">SQRT(SUMPRODUCT(MMULT(D2479:F2479,Stats!$B$12:$D$14),D2479:F2479))</f>
        <v>0.22236176424027</v>
      </c>
      <c r="I2479" s="0" t="n">
        <f aca="false">(G2479-Stats!$B$2)/H2479</f>
        <v>1.44203290857217</v>
      </c>
    </row>
    <row r="2480" customFormat="false" ht="15" hidden="false" customHeight="false" outlineLevel="0" collapsed="false">
      <c r="A2480" s="0" t="n">
        <v>0.0230470884066074</v>
      </c>
      <c r="B2480" s="0" t="n">
        <v>0.896746549907745</v>
      </c>
      <c r="C2480" s="0" t="n">
        <v>0.210706665074906</v>
      </c>
      <c r="D2480" s="0" t="n">
        <f aca="false">A2480/SUM($A2480:$C2480)</f>
        <v>0.0203866273520775</v>
      </c>
      <c r="E2480" s="0" t="n">
        <f aca="false">B2480/SUM($A2480:$C2480)</f>
        <v>0.793229818001184</v>
      </c>
      <c r="F2480" s="0" t="n">
        <f aca="false">C2480/SUM($A2480:$C2480)</f>
        <v>0.186383554646738</v>
      </c>
      <c r="G2480" s="0" t="n">
        <f aca="false">SUMPRODUCT(D2480:F2480,Stats!$B$6:$D$6)</f>
        <v>0.396985666694352</v>
      </c>
      <c r="H2480" s="0" t="n">
        <f aca="false">SQRT(SUMPRODUCT(MMULT(D2480:F2480,Stats!$B$12:$D$14),D2480:F2480))</f>
        <v>0.245760748187605</v>
      </c>
      <c r="I2480" s="0" t="n">
        <f aca="false">(G2480-Stats!$B$2)/H2480</f>
        <v>1.44443597813011</v>
      </c>
    </row>
    <row r="2481" customFormat="false" ht="15" hidden="false" customHeight="false" outlineLevel="0" collapsed="false">
      <c r="A2481" s="0" t="n">
        <v>0.227533876936463</v>
      </c>
      <c r="B2481" s="0" t="n">
        <v>0.279601432645132</v>
      </c>
      <c r="C2481" s="0" t="n">
        <v>0.127408071695429</v>
      </c>
      <c r="D2481" s="0" t="n">
        <f aca="false">A2481/SUM($A2481:$C2481)</f>
        <v>0.358578914618177</v>
      </c>
      <c r="E2481" s="0" t="n">
        <f aca="false">B2481/SUM($A2481:$C2481)</f>
        <v>0.440634069939287</v>
      </c>
      <c r="F2481" s="0" t="n">
        <f aca="false">C2481/SUM($A2481:$C2481)</f>
        <v>0.200787015442536</v>
      </c>
      <c r="G2481" s="0" t="n">
        <f aca="false">SUMPRODUCT(D2481:F2481,Stats!$B$6:$D$6)</f>
        <v>0.376300593815035</v>
      </c>
      <c r="H2481" s="0" t="n">
        <f aca="false">SQRT(SUMPRODUCT(MMULT(D2481:F2481,Stats!$B$12:$D$14),D2481:F2481))</f>
        <v>0.227285785656112</v>
      </c>
      <c r="I2481" s="0" t="n">
        <f aca="false">(G2481-Stats!$B$2)/H2481</f>
        <v>1.47083810300763</v>
      </c>
    </row>
    <row r="2482" customFormat="false" ht="15" hidden="false" customHeight="false" outlineLevel="0" collapsed="false">
      <c r="A2482" s="0" t="n">
        <v>0.639262883181363</v>
      </c>
      <c r="B2482" s="0" t="n">
        <v>0.0751429531775866</v>
      </c>
      <c r="C2482" s="0" t="n">
        <v>0.13420242632635</v>
      </c>
      <c r="D2482" s="0" t="n">
        <f aca="false">A2482/SUM($A2482:$C2482)</f>
        <v>0.753307399056553</v>
      </c>
      <c r="E2482" s="0" t="n">
        <f aca="false">B2482/SUM($A2482:$C2482)</f>
        <v>0.0885484580833651</v>
      </c>
      <c r="F2482" s="0" t="n">
        <f aca="false">C2482/SUM($A2482:$C2482)</f>
        <v>0.158144142860082</v>
      </c>
      <c r="G2482" s="0" t="n">
        <f aca="false">SUMPRODUCT(D2482:F2482,Stats!$B$6:$D$6)</f>
        <v>0.357217904214486</v>
      </c>
      <c r="H2482" s="0" t="n">
        <f aca="false">SQRT(SUMPRODUCT(MMULT(D2482:F2482,Stats!$B$12:$D$14),D2482:F2482))</f>
        <v>0.223562197333368</v>
      </c>
      <c r="I2482" s="0" t="n">
        <f aca="false">(G2482-Stats!$B$2)/H2482</f>
        <v>1.40997855618875</v>
      </c>
    </row>
    <row r="2483" customFormat="false" ht="15" hidden="false" customHeight="false" outlineLevel="0" collapsed="false">
      <c r="A2483" s="0" t="n">
        <v>0.644756726590093</v>
      </c>
      <c r="B2483" s="0" t="n">
        <v>0.339660620481443</v>
      </c>
      <c r="C2483" s="0" t="n">
        <v>0.707947826701189</v>
      </c>
      <c r="D2483" s="0" t="n">
        <f aca="false">A2483/SUM($A2483:$C2483)</f>
        <v>0.380979670689371</v>
      </c>
      <c r="E2483" s="0" t="n">
        <f aca="false">B2483/SUM($A2483:$C2483)</f>
        <v>0.200701731367025</v>
      </c>
      <c r="F2483" s="0" t="n">
        <f aca="false">C2483/SUM($A2483:$C2483)</f>
        <v>0.418318597943603</v>
      </c>
      <c r="G2483" s="0" t="n">
        <f aca="false">SUMPRODUCT(D2483:F2483,Stats!$B$6:$D$6)</f>
        <v>0.356496847871515</v>
      </c>
      <c r="H2483" s="0" t="n">
        <f aca="false">SQRT(SUMPRODUCT(MMULT(D2483:F2483,Stats!$B$12:$D$14),D2483:F2483))</f>
        <v>0.224803171295139</v>
      </c>
      <c r="I2483" s="0" t="n">
        <f aca="false">(G2483-Stats!$B$2)/H2483</f>
        <v>1.39898759461279</v>
      </c>
    </row>
    <row r="2484" customFormat="false" ht="15" hidden="false" customHeight="false" outlineLevel="0" collapsed="false">
      <c r="A2484" s="0" t="n">
        <v>0.557424744670142</v>
      </c>
      <c r="B2484" s="0" t="n">
        <v>0.256021173061513</v>
      </c>
      <c r="C2484" s="0" t="n">
        <v>0.650827950489328</v>
      </c>
      <c r="D2484" s="0" t="n">
        <f aca="false">A2484/SUM($A2484:$C2484)</f>
        <v>0.380683393160177</v>
      </c>
      <c r="E2484" s="0" t="n">
        <f aca="false">B2484/SUM($A2484:$C2484)</f>
        <v>0.174845142440851</v>
      </c>
      <c r="F2484" s="0" t="n">
        <f aca="false">C2484/SUM($A2484:$C2484)</f>
        <v>0.444471464398972</v>
      </c>
      <c r="G2484" s="0" t="n">
        <f aca="false">SUMPRODUCT(D2484:F2484,Stats!$B$6:$D$6)</f>
        <v>0.354287937976645</v>
      </c>
      <c r="H2484" s="0" t="n">
        <f aca="false">SQRT(SUMPRODUCT(MMULT(D2484:F2484,Stats!$B$12:$D$14),D2484:F2484))</f>
        <v>0.224996635517647</v>
      </c>
      <c r="I2484" s="0" t="n">
        <f aca="false">(G2484-Stats!$B$2)/H2484</f>
        <v>1.38796714563384</v>
      </c>
    </row>
    <row r="2485" customFormat="false" ht="15" hidden="false" customHeight="false" outlineLevel="0" collapsed="false">
      <c r="A2485" s="0" t="n">
        <v>0.116273680292881</v>
      </c>
      <c r="B2485" s="0" t="n">
        <v>0.53641038308003</v>
      </c>
      <c r="C2485" s="0" t="n">
        <v>0.437148105045035</v>
      </c>
      <c r="D2485" s="0" t="n">
        <f aca="false">A2485/SUM($A2485:$C2485)</f>
        <v>0.106689528591975</v>
      </c>
      <c r="E2485" s="0" t="n">
        <f aca="false">B2485/SUM($A2485:$C2485)</f>
        <v>0.492195402764363</v>
      </c>
      <c r="F2485" s="0" t="n">
        <f aca="false">C2485/SUM($A2485:$C2485)</f>
        <v>0.401115068643662</v>
      </c>
      <c r="G2485" s="0" t="n">
        <f aca="false">SUMPRODUCT(D2485:F2485,Stats!$B$6:$D$6)</f>
        <v>0.373743397154462</v>
      </c>
      <c r="H2485" s="0" t="n">
        <f aca="false">SQRT(SUMPRODUCT(MMULT(D2485:F2485,Stats!$B$12:$D$14),D2485:F2485))</f>
        <v>0.23659507678999</v>
      </c>
      <c r="I2485" s="0" t="n">
        <f aca="false">(G2485-Stats!$B$2)/H2485</f>
        <v>1.40215680586173</v>
      </c>
    </row>
    <row r="2486" customFormat="false" ht="15" hidden="false" customHeight="false" outlineLevel="0" collapsed="false">
      <c r="A2486" s="0" t="n">
        <v>0.267873582817441</v>
      </c>
      <c r="B2486" s="0" t="n">
        <v>0.6040049977395</v>
      </c>
      <c r="C2486" s="0" t="n">
        <v>0.871333592340283</v>
      </c>
      <c r="D2486" s="0" t="n">
        <f aca="false">A2486/SUM($A2486:$C2486)</f>
        <v>0.153666654571505</v>
      </c>
      <c r="E2486" s="0" t="n">
        <f aca="false">B2486/SUM($A2486:$C2486)</f>
        <v>0.346489662664323</v>
      </c>
      <c r="F2486" s="0" t="n">
        <f aca="false">C2486/SUM($A2486:$C2486)</f>
        <v>0.499843682764172</v>
      </c>
      <c r="G2486" s="0" t="n">
        <f aca="false">SUMPRODUCT(D2486:F2486,Stats!$B$6:$D$6)</f>
        <v>0.362637273891003</v>
      </c>
      <c r="H2486" s="0" t="n">
        <f aca="false">SQRT(SUMPRODUCT(MMULT(D2486:F2486,Stats!$B$12:$D$14),D2486:F2486))</f>
        <v>0.234328012576397</v>
      </c>
      <c r="I2486" s="0" t="n">
        <f aca="false">(G2486-Stats!$B$2)/H2486</f>
        <v>1.36832669029047</v>
      </c>
    </row>
    <row r="2487" customFormat="false" ht="15" hidden="false" customHeight="false" outlineLevel="0" collapsed="false">
      <c r="A2487" s="0" t="n">
        <v>0.998904699763077</v>
      </c>
      <c r="B2487" s="0" t="n">
        <v>0.607762768743425</v>
      </c>
      <c r="C2487" s="0" t="n">
        <v>0.40470587432917</v>
      </c>
      <c r="D2487" s="0" t="n">
        <f aca="false">A2487/SUM($A2487:$C2487)</f>
        <v>0.496628188556383</v>
      </c>
      <c r="E2487" s="0" t="n">
        <f aca="false">B2487/SUM($A2487:$C2487)</f>
        <v>0.302163082208592</v>
      </c>
      <c r="F2487" s="0" t="n">
        <f aca="false">C2487/SUM($A2487:$C2487)</f>
        <v>0.201208729235025</v>
      </c>
      <c r="G2487" s="0" t="n">
        <f aca="false">SUMPRODUCT(D2487:F2487,Stats!$B$6:$D$6)</f>
        <v>0.368321523804875</v>
      </c>
      <c r="H2487" s="0" t="n">
        <f aca="false">SQRT(SUMPRODUCT(MMULT(D2487:F2487,Stats!$B$12:$D$14),D2487:F2487))</f>
        <v>0.223583456914797</v>
      </c>
      <c r="I2487" s="0" t="n">
        <f aca="false">(G2487-Stats!$B$2)/H2487</f>
        <v>1.45950656773873</v>
      </c>
    </row>
    <row r="2488" customFormat="false" ht="15" hidden="false" customHeight="false" outlineLevel="0" collapsed="false">
      <c r="A2488" s="0" t="n">
        <v>0.225207100216202</v>
      </c>
      <c r="B2488" s="0" t="n">
        <v>0.257096089395112</v>
      </c>
      <c r="C2488" s="0" t="n">
        <v>0.479454978149766</v>
      </c>
      <c r="D2488" s="0" t="n">
        <f aca="false">A2488/SUM($A2488:$C2488)</f>
        <v>0.234161879529936</v>
      </c>
      <c r="E2488" s="0" t="n">
        <f aca="false">B2488/SUM($A2488:$C2488)</f>
        <v>0.26731885209108</v>
      </c>
      <c r="F2488" s="0" t="n">
        <f aca="false">C2488/SUM($A2488:$C2488)</f>
        <v>0.498519268378984</v>
      </c>
      <c r="G2488" s="0" t="n">
        <f aca="false">SUMPRODUCT(D2488:F2488,Stats!$B$6:$D$6)</f>
        <v>0.358118408136669</v>
      </c>
      <c r="H2488" s="0" t="n">
        <f aca="false">SQRT(SUMPRODUCT(MMULT(D2488:F2488,Stats!$B$12:$D$14),D2488:F2488))</f>
        <v>0.230572625824172</v>
      </c>
      <c r="I2488" s="0" t="n">
        <f aca="false">(G2488-Stats!$B$2)/H2488</f>
        <v>1.37101447757173</v>
      </c>
    </row>
    <row r="2489" customFormat="false" ht="15" hidden="false" customHeight="false" outlineLevel="0" collapsed="false">
      <c r="A2489" s="0" t="n">
        <v>0.367277701280709</v>
      </c>
      <c r="B2489" s="0" t="n">
        <v>0.913814522624944</v>
      </c>
      <c r="C2489" s="0" t="n">
        <v>0.36829546765571</v>
      </c>
      <c r="D2489" s="0" t="n">
        <f aca="false">A2489/SUM($A2489:$C2489)</f>
        <v>0.222675180104583</v>
      </c>
      <c r="E2489" s="0" t="n">
        <f aca="false">B2489/SUM($A2489:$C2489)</f>
        <v>0.554032582697339</v>
      </c>
      <c r="F2489" s="0" t="n">
        <f aca="false">C2489/SUM($A2489:$C2489)</f>
        <v>0.223292237198078</v>
      </c>
      <c r="G2489" s="0" t="n">
        <f aca="false">SUMPRODUCT(D2489:F2489,Stats!$B$6:$D$6)</f>
        <v>0.382204824636365</v>
      </c>
      <c r="H2489" s="0" t="n">
        <f aca="false">SQRT(SUMPRODUCT(MMULT(D2489:F2489,Stats!$B$12:$D$14),D2489:F2489))</f>
        <v>0.232562451865902</v>
      </c>
      <c r="I2489" s="0" t="n">
        <f aca="false">(G2489-Stats!$B$2)/H2489</f>
        <v>1.46285362020749</v>
      </c>
    </row>
    <row r="2490" customFormat="false" ht="15" hidden="false" customHeight="false" outlineLevel="0" collapsed="false">
      <c r="A2490" s="0" t="n">
        <v>0.373444591145436</v>
      </c>
      <c r="B2490" s="0" t="n">
        <v>0.383534512433977</v>
      </c>
      <c r="C2490" s="0" t="n">
        <v>0.836620210367658</v>
      </c>
      <c r="D2490" s="0" t="n">
        <f aca="false">A2490/SUM($A2490:$C2490)</f>
        <v>0.234340331272155</v>
      </c>
      <c r="E2490" s="0" t="n">
        <f aca="false">B2490/SUM($A2490:$C2490)</f>
        <v>0.240671860910901</v>
      </c>
      <c r="F2490" s="0" t="n">
        <f aca="false">C2490/SUM($A2490:$C2490)</f>
        <v>0.524987807816944</v>
      </c>
      <c r="G2490" s="0" t="n">
        <f aca="false">SUMPRODUCT(D2490:F2490,Stats!$B$6:$D$6)</f>
        <v>0.355855314958021</v>
      </c>
      <c r="H2490" s="0" t="n">
        <f aca="false">SQRT(SUMPRODUCT(MMULT(D2490:F2490,Stats!$B$12:$D$14),D2490:F2490))</f>
        <v>0.230909310149921</v>
      </c>
      <c r="I2490" s="0" t="n">
        <f aca="false">(G2490-Stats!$B$2)/H2490</f>
        <v>1.35921464038954</v>
      </c>
    </row>
    <row r="2491" customFormat="false" ht="15" hidden="false" customHeight="false" outlineLevel="0" collapsed="false">
      <c r="A2491" s="0" t="n">
        <v>0.650788320846902</v>
      </c>
      <c r="B2491" s="0" t="n">
        <v>0.614168850318893</v>
      </c>
      <c r="C2491" s="0" t="n">
        <v>0.334143022383862</v>
      </c>
      <c r="D2491" s="0" t="n">
        <f aca="false">A2491/SUM($A2491:$C2491)</f>
        <v>0.406971572808263</v>
      </c>
      <c r="E2491" s="0" t="n">
        <f aca="false">B2491/SUM($A2491:$C2491)</f>
        <v>0.384071525221675</v>
      </c>
      <c r="F2491" s="0" t="n">
        <f aca="false">C2491/SUM($A2491:$C2491)</f>
        <v>0.208956901970062</v>
      </c>
      <c r="G2491" s="0" t="n">
        <f aca="false">SUMPRODUCT(D2491:F2491,Stats!$B$6:$D$6)</f>
        <v>0.37282077672076</v>
      </c>
      <c r="H2491" s="0" t="n">
        <f aca="false">SQRT(SUMPRODUCT(MMULT(D2491:F2491,Stats!$B$12:$D$14),D2491:F2491))</f>
        <v>0.225566829640632</v>
      </c>
      <c r="I2491" s="0" t="n">
        <f aca="false">(G2491-Stats!$B$2)/H2491</f>
        <v>1.46661979178328</v>
      </c>
    </row>
    <row r="2492" customFormat="false" ht="15" hidden="false" customHeight="false" outlineLevel="0" collapsed="false">
      <c r="A2492" s="0" t="n">
        <v>0.817904176832439</v>
      </c>
      <c r="B2492" s="0" t="n">
        <v>0.0383638613557011</v>
      </c>
      <c r="C2492" s="0" t="n">
        <v>0.870797172338113</v>
      </c>
      <c r="D2492" s="0" t="n">
        <f aca="false">A2492/SUM($A2492:$C2492)</f>
        <v>0.473580367346532</v>
      </c>
      <c r="E2492" s="0" t="n">
        <f aca="false">B2492/SUM($A2492:$C2492)</f>
        <v>0.0222133253115621</v>
      </c>
      <c r="F2492" s="0" t="n">
        <f aca="false">C2492/SUM($A2492:$C2492)</f>
        <v>0.504206307341906</v>
      </c>
      <c r="G2492" s="0" t="n">
        <f aca="false">SUMPRODUCT(D2492:F2492,Stats!$B$6:$D$6)</f>
        <v>0.343858535447599</v>
      </c>
      <c r="H2492" s="0" t="n">
        <f aca="false">SQRT(SUMPRODUCT(MMULT(D2492:F2492,Stats!$B$12:$D$14),D2492:F2492))</f>
        <v>0.22394902714788</v>
      </c>
      <c r="I2492" s="0" t="n">
        <f aca="false">(G2492-Stats!$B$2)/H2492</f>
        <v>1.34788946972417</v>
      </c>
    </row>
    <row r="2493" customFormat="false" ht="15" hidden="false" customHeight="false" outlineLevel="0" collapsed="false">
      <c r="A2493" s="0" t="n">
        <v>0.51274989979393</v>
      </c>
      <c r="B2493" s="0" t="n">
        <v>0.398250234863413</v>
      </c>
      <c r="C2493" s="0" t="n">
        <v>0.497167280717686</v>
      </c>
      <c r="D2493" s="0" t="n">
        <f aca="false">A2493/SUM($A2493:$C2493)</f>
        <v>0.364125667300271</v>
      </c>
      <c r="E2493" s="0" t="n">
        <f aca="false">B2493/SUM($A2493:$C2493)</f>
        <v>0.282814550681354</v>
      </c>
      <c r="F2493" s="0" t="n">
        <f aca="false">C2493/SUM($A2493:$C2493)</f>
        <v>0.353059782018375</v>
      </c>
      <c r="G2493" s="0" t="n">
        <f aca="false">SUMPRODUCT(D2493:F2493,Stats!$B$6:$D$6)</f>
        <v>0.363020999967597</v>
      </c>
      <c r="H2493" s="0" t="n">
        <f aca="false">SQRT(SUMPRODUCT(MMULT(D2493:F2493,Stats!$B$12:$D$14),D2493:F2493))</f>
        <v>0.225210297835321</v>
      </c>
      <c r="I2493" s="0" t="n">
        <f aca="false">(G2493-Stats!$B$2)/H2493</f>
        <v>1.42542771379991</v>
      </c>
    </row>
    <row r="2494" customFormat="false" ht="15" hidden="false" customHeight="false" outlineLevel="0" collapsed="false">
      <c r="A2494" s="0" t="n">
        <v>0.667415530533831</v>
      </c>
      <c r="B2494" s="0" t="n">
        <v>0.0127654265178974</v>
      </c>
      <c r="C2494" s="0" t="n">
        <v>0.871551856458248</v>
      </c>
      <c r="D2494" s="0" t="n">
        <f aca="false">A2494/SUM($A2494:$C2494)</f>
        <v>0.430109826075119</v>
      </c>
      <c r="E2494" s="0" t="n">
        <f aca="false">B2494/SUM($A2494:$C2494)</f>
        <v>0.0082265622063004</v>
      </c>
      <c r="F2494" s="0" t="n">
        <f aca="false">C2494/SUM($A2494:$C2494)</f>
        <v>0.561663611718581</v>
      </c>
      <c r="G2494" s="0" t="n">
        <f aca="false">SUMPRODUCT(D2494:F2494,Stats!$B$6:$D$6)</f>
        <v>0.341469392132289</v>
      </c>
      <c r="H2494" s="0" t="n">
        <f aca="false">SQRT(SUMPRODUCT(MMULT(D2494:F2494,Stats!$B$12:$D$14),D2494:F2494))</f>
        <v>0.225853695663558</v>
      </c>
      <c r="I2494" s="0" t="n">
        <f aca="false">(G2494-Stats!$B$2)/H2494</f>
        <v>1.32594417484491</v>
      </c>
    </row>
    <row r="2495" customFormat="false" ht="15" hidden="false" customHeight="false" outlineLevel="0" collapsed="false">
      <c r="A2495" s="0" t="n">
        <v>0.446739525311393</v>
      </c>
      <c r="B2495" s="0" t="n">
        <v>0.342966519700078</v>
      </c>
      <c r="C2495" s="0" t="n">
        <v>0.138245565634057</v>
      </c>
      <c r="D2495" s="0" t="n">
        <f aca="false">A2495/SUM($A2495:$C2495)</f>
        <v>0.48142545385596</v>
      </c>
      <c r="E2495" s="0" t="n">
        <f aca="false">B2495/SUM($A2495:$C2495)</f>
        <v>0.369595263120988</v>
      </c>
      <c r="F2495" s="0" t="n">
        <f aca="false">C2495/SUM($A2495:$C2495)</f>
        <v>0.148979283023052</v>
      </c>
      <c r="G2495" s="0" t="n">
        <f aca="false">SUMPRODUCT(D2495:F2495,Stats!$B$6:$D$6)</f>
        <v>0.373641691109604</v>
      </c>
      <c r="H2495" s="0" t="n">
        <f aca="false">SQRT(SUMPRODUCT(MMULT(D2495:F2495,Stats!$B$12:$D$14),D2495:F2495))</f>
        <v>0.225033165940617</v>
      </c>
      <c r="I2495" s="0" t="n">
        <f aca="false">(G2495-Stats!$B$2)/H2495</f>
        <v>1.47374583530109</v>
      </c>
    </row>
    <row r="2496" customFormat="false" ht="15" hidden="false" customHeight="false" outlineLevel="0" collapsed="false">
      <c r="A2496" s="0" t="n">
        <v>0.439465374358442</v>
      </c>
      <c r="B2496" s="0" t="n">
        <v>0.496322771284379</v>
      </c>
      <c r="C2496" s="0" t="n">
        <v>0.403646694493478</v>
      </c>
      <c r="D2496" s="0" t="n">
        <f aca="false">A2496/SUM($A2496:$C2496)</f>
        <v>0.328097613403667</v>
      </c>
      <c r="E2496" s="0" t="n">
        <f aca="false">B2496/SUM($A2496:$C2496)</f>
        <v>0.370546409882749</v>
      </c>
      <c r="F2496" s="0" t="n">
        <f aca="false">C2496/SUM($A2496:$C2496)</f>
        <v>0.301355976713584</v>
      </c>
      <c r="G2496" s="0" t="n">
        <f aca="false">SUMPRODUCT(D2496:F2496,Stats!$B$6:$D$6)</f>
        <v>0.369494690141872</v>
      </c>
      <c r="H2496" s="0" t="n">
        <f aca="false">SQRT(SUMPRODUCT(MMULT(D2496:F2496,Stats!$B$12:$D$14),D2496:F2496))</f>
        <v>0.226760466177726</v>
      </c>
      <c r="I2496" s="0" t="n">
        <f aca="false">(G2496-Stats!$B$2)/H2496</f>
        <v>1.44423186132099</v>
      </c>
    </row>
    <row r="2497" customFormat="false" ht="15" hidden="false" customHeight="false" outlineLevel="0" collapsed="false">
      <c r="A2497" s="0" t="n">
        <v>0.678660093826897</v>
      </c>
      <c r="B2497" s="0" t="n">
        <v>0.420896528759226</v>
      </c>
      <c r="C2497" s="0" t="n">
        <v>0.961417577846573</v>
      </c>
      <c r="D2497" s="0" t="n">
        <f aca="false">A2497/SUM($A2497:$C2497)</f>
        <v>0.329290921586701</v>
      </c>
      <c r="E2497" s="0" t="n">
        <f aca="false">B2497/SUM($A2497:$C2497)</f>
        <v>0.204222124018272</v>
      </c>
      <c r="F2497" s="0" t="n">
        <f aca="false">C2497/SUM($A2497:$C2497)</f>
        <v>0.466486954395026</v>
      </c>
      <c r="G2497" s="0" t="n">
        <f aca="false">SUMPRODUCT(D2497:F2497,Stats!$B$6:$D$6)</f>
        <v>0.355371182805688</v>
      </c>
      <c r="H2497" s="0" t="n">
        <f aca="false">SQRT(SUMPRODUCT(MMULT(D2497:F2497,Stats!$B$12:$D$14),D2497:F2497))</f>
        <v>0.226704382334209</v>
      </c>
      <c r="I2497" s="0" t="n">
        <f aca="false">(G2497-Stats!$B$2)/H2497</f>
        <v>1.3822899212584</v>
      </c>
    </row>
    <row r="2498" customFormat="false" ht="15" hidden="false" customHeight="false" outlineLevel="0" collapsed="false">
      <c r="A2498" s="0" t="n">
        <v>0.599277517823592</v>
      </c>
      <c r="B2498" s="0" t="n">
        <v>0.807477935651909</v>
      </c>
      <c r="C2498" s="0" t="n">
        <v>0.109355903109479</v>
      </c>
      <c r="D2498" s="0" t="n">
        <f aca="false">A2498/SUM($A2498:$C2498)</f>
        <v>0.395272758310746</v>
      </c>
      <c r="E2498" s="0" t="n">
        <f aca="false">B2498/SUM($A2498:$C2498)</f>
        <v>0.532598039151123</v>
      </c>
      <c r="F2498" s="0" t="n">
        <f aca="false">C2498/SUM($A2498:$C2498)</f>
        <v>0.0721292025381312</v>
      </c>
      <c r="G2498" s="0" t="n">
        <f aca="false">SUMPRODUCT(D2498:F2498,Stats!$B$6:$D$6)</f>
        <v>0.38513977128329</v>
      </c>
      <c r="H2498" s="0" t="n">
        <f aca="false">SQRT(SUMPRODUCT(MMULT(D2498:F2498,Stats!$B$12:$D$14),D2498:F2498))</f>
        <v>0.229767629580912</v>
      </c>
      <c r="I2498" s="0" t="n">
        <f aca="false">(G2498-Stats!$B$2)/H2498</f>
        <v>1.49342086136835</v>
      </c>
    </row>
    <row r="2499" customFormat="false" ht="15" hidden="false" customHeight="false" outlineLevel="0" collapsed="false">
      <c r="A2499" s="0" t="n">
        <v>0.397291292945906</v>
      </c>
      <c r="B2499" s="0" t="n">
        <v>0.336847701447153</v>
      </c>
      <c r="C2499" s="0" t="n">
        <v>0.569482388136592</v>
      </c>
      <c r="D2499" s="0" t="n">
        <f aca="false">A2499/SUM($A2499:$C2499)</f>
        <v>0.304759724157769</v>
      </c>
      <c r="E2499" s="0" t="n">
        <f aca="false">B2499/SUM($A2499:$C2499)</f>
        <v>0.258393814309418</v>
      </c>
      <c r="F2499" s="0" t="n">
        <f aca="false">C2499/SUM($A2499:$C2499)</f>
        <v>0.436846461532813</v>
      </c>
      <c r="G2499" s="0" t="n">
        <f aca="false">SUMPRODUCT(D2499:F2499,Stats!$B$6:$D$6)</f>
        <v>0.359305476942337</v>
      </c>
      <c r="H2499" s="0" t="n">
        <f aca="false">SQRT(SUMPRODUCT(MMULT(D2499:F2499,Stats!$B$12:$D$14),D2499:F2499))</f>
        <v>0.227298409460664</v>
      </c>
      <c r="I2499" s="0" t="n">
        <f aca="false">(G2499-Stats!$B$2)/H2499</f>
        <v>1.39598634981759</v>
      </c>
    </row>
    <row r="2500" customFormat="false" ht="15" hidden="false" customHeight="false" outlineLevel="0" collapsed="false">
      <c r="A2500" s="0" t="n">
        <v>0.861113520061426</v>
      </c>
      <c r="B2500" s="0" t="n">
        <v>0.0783382177620067</v>
      </c>
      <c r="C2500" s="0" t="n">
        <v>0.0725747980447108</v>
      </c>
      <c r="D2500" s="0" t="n">
        <f aca="false">A2500/SUM($A2500:$C2500)</f>
        <v>0.850880376691645</v>
      </c>
      <c r="E2500" s="0" t="n">
        <f aca="false">B2500/SUM($A2500:$C2500)</f>
        <v>0.0774072763762129</v>
      </c>
      <c r="F2500" s="0" t="n">
        <f aca="false">C2500/SUM($A2500:$C2500)</f>
        <v>0.0717123469321427</v>
      </c>
      <c r="G2500" s="0" t="n">
        <f aca="false">SUMPRODUCT(D2500:F2500,Stats!$B$6:$D$6)</f>
        <v>0.358960178568102</v>
      </c>
      <c r="H2500" s="0" t="n">
        <f aca="false">SQRT(SUMPRODUCT(MMULT(D2500:F2500,Stats!$B$12:$D$14),D2500:F2500))</f>
        <v>0.227073588241835</v>
      </c>
      <c r="I2500" s="0" t="n">
        <f aca="false">(G2500-Stats!$B$2)/H2500</f>
        <v>1.39584784396209</v>
      </c>
    </row>
    <row r="2501" customFormat="false" ht="15" hidden="false" customHeight="false" outlineLevel="0" collapsed="false">
      <c r="A2501" s="0" t="n">
        <v>0.850317708157599</v>
      </c>
      <c r="B2501" s="0" t="n">
        <v>0.212850086038357</v>
      </c>
      <c r="C2501" s="0" t="n">
        <v>0.668753254449814</v>
      </c>
      <c r="D2501" s="0" t="n">
        <f aca="false">A2501/SUM($A2501:$C2501)</f>
        <v>0.49096793922707</v>
      </c>
      <c r="E2501" s="0" t="n">
        <f aca="false">B2501/SUM($A2501:$C2501)</f>
        <v>0.122898261560358</v>
      </c>
      <c r="F2501" s="0" t="n">
        <f aca="false">C2501/SUM($A2501:$C2501)</f>
        <v>0.386133799212573</v>
      </c>
      <c r="G2501" s="0" t="n">
        <f aca="false">SUMPRODUCT(D2501:F2501,Stats!$B$6:$D$6)</f>
        <v>0.352907620363983</v>
      </c>
      <c r="H2501" s="0" t="n">
        <f aca="false">SQRT(SUMPRODUCT(MMULT(D2501:F2501,Stats!$B$12:$D$14),D2501:F2501))</f>
        <v>0.222353315041632</v>
      </c>
      <c r="I2501" s="0" t="n">
        <f aca="false">(G2501-Stats!$B$2)/H2501</f>
        <v>1.39825943366651</v>
      </c>
    </row>
    <row r="2502" customFormat="false" ht="15" hidden="false" customHeight="false" outlineLevel="0" collapsed="false">
      <c r="A2502" s="0" t="n">
        <v>0.542878132360805</v>
      </c>
      <c r="B2502" s="0" t="n">
        <v>0.83289359488723</v>
      </c>
      <c r="C2502" s="0" t="n">
        <v>0.125088909836404</v>
      </c>
      <c r="D2502" s="0" t="n">
        <f aca="false">A2502/SUM($A2502:$C2502)</f>
        <v>0.361711220180574</v>
      </c>
      <c r="E2502" s="0" t="n">
        <f aca="false">B2502/SUM($A2502:$C2502)</f>
        <v>0.554943993004709</v>
      </c>
      <c r="F2502" s="0" t="n">
        <f aca="false">C2502/SUM($A2502:$C2502)</f>
        <v>0.0833447868147175</v>
      </c>
      <c r="G2502" s="0" t="n">
        <f aca="false">SUMPRODUCT(D2502:F2502,Stats!$B$6:$D$6)</f>
        <v>0.386116263123537</v>
      </c>
      <c r="H2502" s="0" t="n">
        <f aca="false">SQRT(SUMPRODUCT(MMULT(D2502:F2502,Stats!$B$12:$D$14),D2502:F2502))</f>
        <v>0.230544866069093</v>
      </c>
      <c r="I2502" s="0" t="n">
        <f aca="false">(G2502-Stats!$B$2)/H2502</f>
        <v>1.49262167052728</v>
      </c>
    </row>
    <row r="2503" customFormat="false" ht="15" hidden="false" customHeight="false" outlineLevel="0" collapsed="false">
      <c r="A2503" s="0" t="n">
        <v>0.129782965722611</v>
      </c>
      <c r="B2503" s="0" t="n">
        <v>0.556818360278308</v>
      </c>
      <c r="C2503" s="0" t="n">
        <v>0.946378653358371</v>
      </c>
      <c r="D2503" s="0" t="n">
        <f aca="false">A2503/SUM($A2503:$C2503)</f>
        <v>0.0794761524103513</v>
      </c>
      <c r="E2503" s="0" t="n">
        <f aca="false">B2503/SUM($A2503:$C2503)</f>
        <v>0.340982968141948</v>
      </c>
      <c r="F2503" s="0" t="n">
        <f aca="false">C2503/SUM($A2503:$C2503)</f>
        <v>0.579540879447701</v>
      </c>
      <c r="G2503" s="0" t="n">
        <f aca="false">SUMPRODUCT(D2503:F2503,Stats!$B$6:$D$6)</f>
        <v>0.360122806269966</v>
      </c>
      <c r="H2503" s="0" t="n">
        <f aca="false">SQRT(SUMPRODUCT(MMULT(D2503:F2503,Stats!$B$12:$D$14),D2503:F2503))</f>
        <v>0.239357203113439</v>
      </c>
      <c r="I2503" s="0" t="n">
        <f aca="false">(G2503-Stats!$B$2)/H2503</f>
        <v>1.32907137170715</v>
      </c>
    </row>
    <row r="2504" customFormat="false" ht="15" hidden="false" customHeight="false" outlineLevel="0" collapsed="false">
      <c r="A2504" s="0" t="n">
        <v>0.414997758370754</v>
      </c>
      <c r="B2504" s="0" t="n">
        <v>0.326942100254695</v>
      </c>
      <c r="C2504" s="0" t="n">
        <v>0.606689323197886</v>
      </c>
      <c r="D2504" s="0" t="n">
        <f aca="false">A2504/SUM($A2504:$C2504)</f>
        <v>0.307718210434748</v>
      </c>
      <c r="E2504" s="0" t="n">
        <f aca="false">B2504/SUM($A2504:$C2504)</f>
        <v>0.242425497431897</v>
      </c>
      <c r="F2504" s="0" t="n">
        <f aca="false">C2504/SUM($A2504:$C2504)</f>
        <v>0.449856292133355</v>
      </c>
      <c r="G2504" s="0" t="n">
        <f aca="false">SUMPRODUCT(D2504:F2504,Stats!$B$6:$D$6)</f>
        <v>0.358027939581626</v>
      </c>
      <c r="H2504" s="0" t="n">
        <f aca="false">SQRT(SUMPRODUCT(MMULT(D2504:F2504,Stats!$B$12:$D$14),D2504:F2504))</f>
        <v>0.227280238285041</v>
      </c>
      <c r="I2504" s="0" t="n">
        <f aca="false">(G2504-Stats!$B$2)/H2504</f>
        <v>1.39047698104436</v>
      </c>
    </row>
    <row r="2505" customFormat="false" ht="15" hidden="false" customHeight="false" outlineLevel="0" collapsed="false">
      <c r="A2505" s="0" t="n">
        <v>0.930448600545031</v>
      </c>
      <c r="B2505" s="0" t="n">
        <v>0.836927832844624</v>
      </c>
      <c r="C2505" s="0" t="n">
        <v>0.99548361073322</v>
      </c>
      <c r="D2505" s="0" t="n">
        <f aca="false">A2505/SUM($A2505:$C2505)</f>
        <v>0.336770080889284</v>
      </c>
      <c r="E2505" s="0" t="n">
        <f aca="false">B2505/SUM($A2505:$C2505)</f>
        <v>0.302920820989441</v>
      </c>
      <c r="F2505" s="0" t="n">
        <f aca="false">C2505/SUM($A2505:$C2505)</f>
        <v>0.360309098121275</v>
      </c>
      <c r="G2505" s="0" t="n">
        <f aca="false">SUMPRODUCT(D2505:F2505,Stats!$B$6:$D$6)</f>
        <v>0.363977991634784</v>
      </c>
      <c r="H2505" s="0" t="n">
        <f aca="false">SQRT(SUMPRODUCT(MMULT(D2505:F2505,Stats!$B$12:$D$14),D2505:F2505))</f>
        <v>0.226072205067204</v>
      </c>
      <c r="I2505" s="0" t="n">
        <f aca="false">(G2505-Stats!$B$2)/H2505</f>
        <v>1.42422635077616</v>
      </c>
    </row>
    <row r="2506" customFormat="false" ht="15" hidden="false" customHeight="false" outlineLevel="0" collapsed="false">
      <c r="A2506" s="0" t="n">
        <v>0.0225685832023771</v>
      </c>
      <c r="B2506" s="0" t="n">
        <v>0.112858144712762</v>
      </c>
      <c r="C2506" s="0" t="n">
        <v>0.609467763366622</v>
      </c>
      <c r="D2506" s="0" t="n">
        <f aca="false">A2506/SUM($A2506:$C2506)</f>
        <v>0.0302976911046055</v>
      </c>
      <c r="E2506" s="0" t="n">
        <f aca="false">B2506/SUM($A2506:$C2506)</f>
        <v>0.151508899627602</v>
      </c>
      <c r="F2506" s="0" t="n">
        <f aca="false">C2506/SUM($A2506:$C2506)</f>
        <v>0.818193409267792</v>
      </c>
      <c r="G2506" s="0" t="n">
        <f aca="false">SUMPRODUCT(D2506:F2506,Stats!$B$6:$D$6)</f>
        <v>0.342639961879939</v>
      </c>
      <c r="H2506" s="0" t="n">
        <f aca="false">SQRT(SUMPRODUCT(MMULT(D2506:F2506,Stats!$B$12:$D$14),D2506:F2506))</f>
        <v>0.249103664115639</v>
      </c>
      <c r="I2506" s="0" t="n">
        <f aca="false">(G2506-Stats!$B$2)/H2506</f>
        <v>1.20688695185301</v>
      </c>
    </row>
    <row r="2507" customFormat="false" ht="15" hidden="false" customHeight="false" outlineLevel="0" collapsed="false">
      <c r="A2507" s="0" t="n">
        <v>0.82057643933385</v>
      </c>
      <c r="B2507" s="0" t="n">
        <v>0.285244342306767</v>
      </c>
      <c r="C2507" s="0" t="n">
        <v>0.239211088034219</v>
      </c>
      <c r="D2507" s="0" t="n">
        <f aca="false">A2507/SUM($A2507:$C2507)</f>
        <v>0.610079551150135</v>
      </c>
      <c r="E2507" s="0" t="n">
        <f aca="false">B2507/SUM($A2507:$C2507)</f>
        <v>0.212072552879899</v>
      </c>
      <c r="F2507" s="0" t="n">
        <f aca="false">C2507/SUM($A2507:$C2507)</f>
        <v>0.177847895969966</v>
      </c>
      <c r="G2507" s="0" t="n">
        <f aca="false">SUMPRODUCT(D2507:F2507,Stats!$B$6:$D$6)</f>
        <v>0.363781997341428</v>
      </c>
      <c r="H2507" s="0" t="n">
        <f aca="false">SQRT(SUMPRODUCT(MMULT(D2507:F2507,Stats!$B$12:$D$14),D2507:F2507))</f>
        <v>0.222687098080991</v>
      </c>
      <c r="I2507" s="0" t="n">
        <f aca="false">(G2507-Stats!$B$2)/H2507</f>
        <v>1.44499614083792</v>
      </c>
    </row>
    <row r="2508" customFormat="false" ht="15" hidden="false" customHeight="false" outlineLevel="0" collapsed="false">
      <c r="A2508" s="0" t="n">
        <v>0.786975799381201</v>
      </c>
      <c r="B2508" s="0" t="n">
        <v>0.0563818538532316</v>
      </c>
      <c r="C2508" s="0" t="n">
        <v>0.369382647582585</v>
      </c>
      <c r="D2508" s="0" t="n">
        <f aca="false">A2508/SUM($A2508:$C2508)</f>
        <v>0.648923597946748</v>
      </c>
      <c r="E2508" s="0" t="n">
        <f aca="false">B2508/SUM($A2508:$C2508)</f>
        <v>0.0464912840904581</v>
      </c>
      <c r="F2508" s="0" t="n">
        <f aca="false">C2508/SUM($A2508:$C2508)</f>
        <v>0.304585117962794</v>
      </c>
      <c r="G2508" s="0" t="n">
        <f aca="false">SUMPRODUCT(D2508:F2508,Stats!$B$6:$D$6)</f>
        <v>0.350759935292172</v>
      </c>
      <c r="H2508" s="0" t="n">
        <f aca="false">SQRT(SUMPRODUCT(MMULT(D2508:F2508,Stats!$B$12:$D$14),D2508:F2508))</f>
        <v>0.221344140902569</v>
      </c>
      <c r="I2508" s="0" t="n">
        <f aca="false">(G2508-Stats!$B$2)/H2508</f>
        <v>1.39493159400176</v>
      </c>
    </row>
    <row r="2509" customFormat="false" ht="15" hidden="false" customHeight="false" outlineLevel="0" collapsed="false">
      <c r="A2509" s="0" t="n">
        <v>0.50580922259233</v>
      </c>
      <c r="B2509" s="0" t="n">
        <v>0.560348674350323</v>
      </c>
      <c r="C2509" s="0" t="n">
        <v>0.728615156792777</v>
      </c>
      <c r="D2509" s="0" t="n">
        <f aca="false">A2509/SUM($A2509:$C2509)</f>
        <v>0.281823499377594</v>
      </c>
      <c r="E2509" s="0" t="n">
        <f aca="false">B2509/SUM($A2509:$C2509)</f>
        <v>0.312211437086198</v>
      </c>
      <c r="F2509" s="0" t="n">
        <f aca="false">C2509/SUM($A2509:$C2509)</f>
        <v>0.405965063536207</v>
      </c>
      <c r="G2509" s="0" t="n">
        <f aca="false">SUMPRODUCT(D2509:F2509,Stats!$B$6:$D$6)</f>
        <v>0.363253615974273</v>
      </c>
      <c r="H2509" s="0" t="n">
        <f aca="false">SQRT(SUMPRODUCT(MMULT(D2509:F2509,Stats!$B$12:$D$14),D2509:F2509))</f>
        <v>0.228043066048608</v>
      </c>
      <c r="I2509" s="0" t="n">
        <f aca="false">(G2509-Stats!$B$2)/H2509</f>
        <v>1.40874099590381</v>
      </c>
    </row>
    <row r="2510" customFormat="false" ht="15" hidden="false" customHeight="false" outlineLevel="0" collapsed="false">
      <c r="A2510" s="0" t="n">
        <v>0.354845723430658</v>
      </c>
      <c r="B2510" s="0" t="n">
        <v>0.612684344674607</v>
      </c>
      <c r="C2510" s="0" t="n">
        <v>0.585375422790956</v>
      </c>
      <c r="D2510" s="0" t="n">
        <f aca="false">A2510/SUM($A2510:$C2510)</f>
        <v>0.228504390969645</v>
      </c>
      <c r="E2510" s="0" t="n">
        <f aca="false">B2510/SUM($A2510:$C2510)</f>
        <v>0.394540651872518</v>
      </c>
      <c r="F2510" s="0" t="n">
        <f aca="false">C2510/SUM($A2510:$C2510)</f>
        <v>0.376954957157838</v>
      </c>
      <c r="G2510" s="0" t="n">
        <f aca="false">SUMPRODUCT(D2510:F2510,Stats!$B$6:$D$6)</f>
        <v>0.36879067496197</v>
      </c>
      <c r="H2510" s="0" t="n">
        <f aca="false">SQRT(SUMPRODUCT(MMULT(D2510:F2510,Stats!$B$12:$D$14),D2510:F2510))</f>
        <v>0.230333645009691</v>
      </c>
      <c r="I2510" s="0" t="n">
        <f aca="false">(G2510-Stats!$B$2)/H2510</f>
        <v>1.41877090925306</v>
      </c>
    </row>
    <row r="2511" customFormat="false" ht="15" hidden="false" customHeight="false" outlineLevel="0" collapsed="false">
      <c r="A2511" s="0" t="n">
        <v>0.547616100653747</v>
      </c>
      <c r="B2511" s="0" t="n">
        <v>0.640483293142212</v>
      </c>
      <c r="C2511" s="0" t="n">
        <v>0.259449171068076</v>
      </c>
      <c r="D2511" s="0" t="n">
        <f aca="false">A2511/SUM($A2511:$C2511)</f>
        <v>0.378305857189105</v>
      </c>
      <c r="E2511" s="0" t="n">
        <f aca="false">B2511/SUM($A2511:$C2511)</f>
        <v>0.442460659827583</v>
      </c>
      <c r="F2511" s="0" t="n">
        <f aca="false">C2511/SUM($A2511:$C2511)</f>
        <v>0.179233482983312</v>
      </c>
      <c r="G2511" s="0" t="n">
        <f aca="false">SUMPRODUCT(D2511:F2511,Stats!$B$6:$D$6)</f>
        <v>0.377000023800737</v>
      </c>
      <c r="H2511" s="0" t="n">
        <f aca="false">SQRT(SUMPRODUCT(MMULT(D2511:F2511,Stats!$B$12:$D$14),D2511:F2511))</f>
        <v>0.227106994310146</v>
      </c>
      <c r="I2511" s="0" t="n">
        <f aca="false">(G2511-Stats!$B$2)/H2511</f>
        <v>1.47507576690152</v>
      </c>
    </row>
    <row r="2512" customFormat="false" ht="15" hidden="false" customHeight="false" outlineLevel="0" collapsed="false">
      <c r="A2512" s="0" t="n">
        <v>0.084648753584629</v>
      </c>
      <c r="B2512" s="0" t="n">
        <v>0.119271672039743</v>
      </c>
      <c r="C2512" s="0" t="n">
        <v>0.224582382653901</v>
      </c>
      <c r="D2512" s="0" t="n">
        <f aca="false">A2512/SUM($A2512:$C2512)</f>
        <v>0.197545388149842</v>
      </c>
      <c r="E2512" s="0" t="n">
        <f aca="false">B2512/SUM($A2512:$C2512)</f>
        <v>0.278345135050521</v>
      </c>
      <c r="F2512" s="0" t="n">
        <f aca="false">C2512/SUM($A2512:$C2512)</f>
        <v>0.524109476799637</v>
      </c>
      <c r="G2512" s="0" t="n">
        <f aca="false">SUMPRODUCT(D2512:F2512,Stats!$B$6:$D$6)</f>
        <v>0.358047206032428</v>
      </c>
      <c r="H2512" s="0" t="n">
        <f aca="false">SQRT(SUMPRODUCT(MMULT(D2512:F2512,Stats!$B$12:$D$14),D2512:F2512))</f>
        <v>0.232493202667442</v>
      </c>
      <c r="I2512" s="0" t="n">
        <f aca="false">(G2512-Stats!$B$2)/H2512</f>
        <v>1.35938256433459</v>
      </c>
    </row>
    <row r="2513" customFormat="false" ht="15" hidden="false" customHeight="false" outlineLevel="0" collapsed="false">
      <c r="A2513" s="0" t="n">
        <v>0.500197935522785</v>
      </c>
      <c r="B2513" s="0" t="n">
        <v>0.84044275054602</v>
      </c>
      <c r="C2513" s="0" t="n">
        <v>0.701293342088384</v>
      </c>
      <c r="D2513" s="0" t="n">
        <f aca="false">A2513/SUM($A2513:$C2513)</f>
        <v>0.24496282868365</v>
      </c>
      <c r="E2513" s="0" t="n">
        <f aca="false">B2513/SUM($A2513:$C2513)</f>
        <v>0.411591529871563</v>
      </c>
      <c r="F2513" s="0" t="n">
        <f aca="false">C2513/SUM($A2513:$C2513)</f>
        <v>0.343445641444787</v>
      </c>
      <c r="G2513" s="0" t="n">
        <f aca="false">SUMPRODUCT(D2513:F2513,Stats!$B$6:$D$6)</f>
        <v>0.370695766905942</v>
      </c>
      <c r="H2513" s="0" t="n">
        <f aca="false">SQRT(SUMPRODUCT(MMULT(D2513:F2513,Stats!$B$12:$D$14),D2513:F2513))</f>
        <v>0.229764174368275</v>
      </c>
      <c r="I2513" s="0" t="n">
        <f aca="false">(G2513-Stats!$B$2)/H2513</f>
        <v>1.43057884376307</v>
      </c>
    </row>
    <row r="2514" customFormat="false" ht="15" hidden="false" customHeight="false" outlineLevel="0" collapsed="false">
      <c r="A2514" s="0" t="n">
        <v>0.789040604202047</v>
      </c>
      <c r="B2514" s="0" t="n">
        <v>0.350975623926091</v>
      </c>
      <c r="C2514" s="0" t="n">
        <v>0.40465374164855</v>
      </c>
      <c r="D2514" s="0" t="n">
        <f aca="false">A2514/SUM($A2514:$C2514)</f>
        <v>0.510815008798364</v>
      </c>
      <c r="E2514" s="0" t="n">
        <f aca="false">B2514/SUM($A2514:$C2514)</f>
        <v>0.227217224904574</v>
      </c>
      <c r="F2514" s="0" t="n">
        <f aca="false">C2514/SUM($A2514:$C2514)</f>
        <v>0.261967766297063</v>
      </c>
      <c r="G2514" s="0" t="n">
        <f aca="false">SUMPRODUCT(D2514:F2514,Stats!$B$6:$D$6)</f>
        <v>0.362333829098295</v>
      </c>
      <c r="H2514" s="0" t="n">
        <f aca="false">SQRT(SUMPRODUCT(MMULT(D2514:F2514,Stats!$B$12:$D$14),D2514:F2514))</f>
        <v>0.222454720060968</v>
      </c>
      <c r="I2514" s="0" t="n">
        <f aca="false">(G2514-Stats!$B$2)/H2514</f>
        <v>1.43999564949892</v>
      </c>
    </row>
    <row r="2515" customFormat="false" ht="15" hidden="false" customHeight="false" outlineLevel="0" collapsed="false">
      <c r="A2515" s="0" t="n">
        <v>0.393681885990613</v>
      </c>
      <c r="B2515" s="0" t="n">
        <v>0.191873184404502</v>
      </c>
      <c r="C2515" s="0" t="n">
        <v>0.061216658143572</v>
      </c>
      <c r="D2515" s="0" t="n">
        <f aca="false">A2515/SUM($A2515:$C2515)</f>
        <v>0.608687530112202</v>
      </c>
      <c r="E2515" s="0" t="n">
        <f aca="false">B2515/SUM($A2515:$C2515)</f>
        <v>0.296662912026194</v>
      </c>
      <c r="F2515" s="0" t="n">
        <f aca="false">C2515/SUM($A2515:$C2515)</f>
        <v>0.094649557861604</v>
      </c>
      <c r="G2515" s="0" t="n">
        <f aca="false">SUMPRODUCT(D2515:F2515,Stats!$B$6:$D$6)</f>
        <v>0.370943379297121</v>
      </c>
      <c r="H2515" s="0" t="n">
        <f aca="false">SQRT(SUMPRODUCT(MMULT(D2515:F2515,Stats!$B$12:$D$14),D2515:F2515))</f>
        <v>0.224674464305219</v>
      </c>
      <c r="I2515" s="0" t="n">
        <f aca="false">(G2515-Stats!$B$2)/H2515</f>
        <v>1.46408885546625</v>
      </c>
    </row>
    <row r="2516" customFormat="false" ht="15" hidden="false" customHeight="false" outlineLevel="0" collapsed="false">
      <c r="A2516" s="0" t="n">
        <v>0.590916092827227</v>
      </c>
      <c r="B2516" s="0" t="n">
        <v>0.989216683420586</v>
      </c>
      <c r="C2516" s="0" t="n">
        <v>0.166829704950263</v>
      </c>
      <c r="D2516" s="0" t="n">
        <f aca="false">A2516/SUM($A2516:$C2516)</f>
        <v>0.338253453744452</v>
      </c>
      <c r="E2516" s="0" t="n">
        <f aca="false">B2516/SUM($A2516:$C2516)</f>
        <v>0.566249529722113</v>
      </c>
      <c r="F2516" s="0" t="n">
        <f aca="false">C2516/SUM($A2516:$C2516)</f>
        <v>0.0954970165334347</v>
      </c>
      <c r="G2516" s="0" t="n">
        <f aca="false">SUMPRODUCT(D2516:F2516,Stats!$B$6:$D$6)</f>
        <v>0.386431676013286</v>
      </c>
      <c r="H2516" s="0" t="n">
        <f aca="false">SQRT(SUMPRODUCT(MMULT(D2516:F2516,Stats!$B$12:$D$14),D2516:F2516))</f>
        <v>0.231014338114068</v>
      </c>
      <c r="I2516" s="0" t="n">
        <f aca="false">(G2516-Stats!$B$2)/H2516</f>
        <v>1.49095367337423</v>
      </c>
    </row>
    <row r="2517" customFormat="false" ht="15" hidden="false" customHeight="false" outlineLevel="0" collapsed="false">
      <c r="A2517" s="0" t="n">
        <v>0.0466848198992738</v>
      </c>
      <c r="B2517" s="0" t="n">
        <v>0.779531681823933</v>
      </c>
      <c r="C2517" s="0" t="n">
        <v>0.252586006684724</v>
      </c>
      <c r="D2517" s="0" t="n">
        <f aca="false">A2517/SUM($A2517:$C2517)</f>
        <v>0.0432746675461202</v>
      </c>
      <c r="E2517" s="0" t="n">
        <f aca="false">B2517/SUM($A2517:$C2517)</f>
        <v>0.722589793542792</v>
      </c>
      <c r="F2517" s="0" t="n">
        <f aca="false">C2517/SUM($A2517:$C2517)</f>
        <v>0.234135538911088</v>
      </c>
      <c r="G2517" s="0" t="n">
        <f aca="false">SUMPRODUCT(D2517:F2517,Stats!$B$6:$D$6)</f>
        <v>0.3916043885149</v>
      </c>
      <c r="H2517" s="0" t="n">
        <f aca="false">SQRT(SUMPRODUCT(MMULT(D2517:F2517,Stats!$B$12:$D$14),D2517:F2517))</f>
        <v>0.242897457839408</v>
      </c>
      <c r="I2517" s="0" t="n">
        <f aca="false">(G2517-Stats!$B$2)/H2517</f>
        <v>1.43930855277226</v>
      </c>
    </row>
    <row r="2518" customFormat="false" ht="15" hidden="false" customHeight="false" outlineLevel="0" collapsed="false">
      <c r="A2518" s="0" t="n">
        <v>0.829643805352928</v>
      </c>
      <c r="B2518" s="0" t="n">
        <v>0.703936667034515</v>
      </c>
      <c r="C2518" s="0" t="n">
        <v>0.945673537050805</v>
      </c>
      <c r="D2518" s="0" t="n">
        <f aca="false">A2518/SUM($A2518:$C2518)</f>
        <v>0.334634451409402</v>
      </c>
      <c r="E2518" s="0" t="n">
        <f aca="false">B2518/SUM($A2518:$C2518)</f>
        <v>0.283930837402987</v>
      </c>
      <c r="F2518" s="0" t="n">
        <f aca="false">C2518/SUM($A2518:$C2518)</f>
        <v>0.381434711187611</v>
      </c>
      <c r="G2518" s="0" t="n">
        <f aca="false">SUMPRODUCT(D2518:F2518,Stats!$B$6:$D$6)</f>
        <v>0.362302801902508</v>
      </c>
      <c r="H2518" s="0" t="n">
        <f aca="false">SQRT(SUMPRODUCT(MMULT(D2518:F2518,Stats!$B$12:$D$14),D2518:F2518))</f>
        <v>0.226111905611225</v>
      </c>
      <c r="I2518" s="0" t="n">
        <f aca="false">(G2518-Stats!$B$2)/H2518</f>
        <v>1.41656761078841</v>
      </c>
    </row>
    <row r="2519" customFormat="false" ht="15" hidden="false" customHeight="false" outlineLevel="0" collapsed="false">
      <c r="A2519" s="0" t="n">
        <v>0.408927235756672</v>
      </c>
      <c r="B2519" s="0" t="n">
        <v>0.661969839450634</v>
      </c>
      <c r="C2519" s="0" t="n">
        <v>0.464854780813271</v>
      </c>
      <c r="D2519" s="0" t="n">
        <f aca="false">A2519/SUM($A2519:$C2519)</f>
        <v>0.266271685854432</v>
      </c>
      <c r="E2519" s="0" t="n">
        <f aca="false">B2519/SUM($A2519:$C2519)</f>
        <v>0.431039582895848</v>
      </c>
      <c r="F2519" s="0" t="n">
        <f aca="false">C2519/SUM($A2519:$C2519)</f>
        <v>0.30268873124972</v>
      </c>
      <c r="G2519" s="0" t="n">
        <f aca="false">SUMPRODUCT(D2519:F2519,Stats!$B$6:$D$6)</f>
        <v>0.372938638828535</v>
      </c>
      <c r="H2519" s="0" t="n">
        <f aca="false">SQRT(SUMPRODUCT(MMULT(D2519:F2519,Stats!$B$12:$D$14),D2519:F2519))</f>
        <v>0.229204705808963</v>
      </c>
      <c r="I2519" s="0" t="n">
        <f aca="false">(G2519-Stats!$B$2)/H2519</f>
        <v>1.44385621429764</v>
      </c>
    </row>
    <row r="2520" customFormat="false" ht="15" hidden="false" customHeight="false" outlineLevel="0" collapsed="false">
      <c r="A2520" s="0" t="n">
        <v>0.630588697308544</v>
      </c>
      <c r="B2520" s="0" t="n">
        <v>0.449598906007737</v>
      </c>
      <c r="C2520" s="0" t="n">
        <v>0.188632246424075</v>
      </c>
      <c r="D2520" s="0" t="n">
        <f aca="false">A2520/SUM($A2520:$C2520)</f>
        <v>0.496988360828043</v>
      </c>
      <c r="E2520" s="0" t="n">
        <f aca="false">B2520/SUM($A2520:$C2520)</f>
        <v>0.354344161702499</v>
      </c>
      <c r="F2520" s="0" t="n">
        <f aca="false">C2520/SUM($A2520:$C2520)</f>
        <v>0.148667477469458</v>
      </c>
      <c r="G2520" s="0" t="n">
        <f aca="false">SUMPRODUCT(D2520:F2520,Stats!$B$6:$D$6)</f>
        <v>0.372772760391312</v>
      </c>
      <c r="H2520" s="0" t="n">
        <f aca="false">SQRT(SUMPRODUCT(MMULT(D2520:F2520,Stats!$B$12:$D$14),D2520:F2520))</f>
        <v>0.224720998394954</v>
      </c>
      <c r="I2520" s="0" t="n">
        <f aca="false">(G2520-Stats!$B$2)/H2520</f>
        <v>1.4719263564768</v>
      </c>
    </row>
    <row r="2521" customFormat="false" ht="15" hidden="false" customHeight="false" outlineLevel="0" collapsed="false">
      <c r="A2521" s="0" t="n">
        <v>0.507897416003381</v>
      </c>
      <c r="B2521" s="0" t="n">
        <v>0.528584201437442</v>
      </c>
      <c r="C2521" s="0" t="n">
        <v>0.810603848260161</v>
      </c>
      <c r="D2521" s="0" t="n">
        <f aca="false">A2521/SUM($A2521:$C2521)</f>
        <v>0.274972341797205</v>
      </c>
      <c r="E2521" s="0" t="n">
        <f aca="false">B2521/SUM($A2521:$C2521)</f>
        <v>0.286172032238281</v>
      </c>
      <c r="F2521" s="0" t="n">
        <f aca="false">C2521/SUM($A2521:$C2521)</f>
        <v>0.438855625964514</v>
      </c>
      <c r="G2521" s="0" t="n">
        <f aca="false">SUMPRODUCT(D2521:F2521,Stats!$B$6:$D$6)</f>
        <v>0.360848397712881</v>
      </c>
      <c r="H2521" s="0" t="n">
        <f aca="false">SQRT(SUMPRODUCT(MMULT(D2521:F2521,Stats!$B$12:$D$14),D2521:F2521))</f>
        <v>0.228420496405117</v>
      </c>
      <c r="I2521" s="0" t="n">
        <f aca="false">(G2521-Stats!$B$2)/H2521</f>
        <v>1.39588348125899</v>
      </c>
    </row>
    <row r="2522" customFormat="false" ht="15" hidden="false" customHeight="false" outlineLevel="0" collapsed="false">
      <c r="A2522" s="0" t="n">
        <v>0.735520705793581</v>
      </c>
      <c r="B2522" s="0" t="n">
        <v>0.663791623941444</v>
      </c>
      <c r="C2522" s="0" t="n">
        <v>0.113387095552573</v>
      </c>
      <c r="D2522" s="0" t="n">
        <f aca="false">A2522/SUM($A2522:$C2522)</f>
        <v>0.486230571320368</v>
      </c>
      <c r="E2522" s="0" t="n">
        <f aca="false">B2522/SUM($A2522:$C2522)</f>
        <v>0.438812637094274</v>
      </c>
      <c r="F2522" s="0" t="n">
        <f aca="false">C2522/SUM($A2522:$C2522)</f>
        <v>0.0749567915853575</v>
      </c>
      <c r="G2522" s="0" t="n">
        <f aca="false">SUMPRODUCT(D2522:F2522,Stats!$B$6:$D$6)</f>
        <v>0.37966551095258</v>
      </c>
      <c r="H2522" s="0" t="n">
        <f aca="false">SQRT(SUMPRODUCT(MMULT(D2522:F2522,Stats!$B$12:$D$14),D2522:F2522))</f>
        <v>0.227123590579463</v>
      </c>
      <c r="I2522" s="0" t="n">
        <f aca="false">(G2522-Stats!$B$2)/H2522</f>
        <v>1.48670382539784</v>
      </c>
    </row>
    <row r="2523" customFormat="false" ht="15" hidden="false" customHeight="false" outlineLevel="0" collapsed="false">
      <c r="A2523" s="0" t="n">
        <v>0.720616290663715</v>
      </c>
      <c r="B2523" s="0" t="n">
        <v>0.500305156354515</v>
      </c>
      <c r="C2523" s="0" t="n">
        <v>0.894099536106159</v>
      </c>
      <c r="D2523" s="0" t="n">
        <f aca="false">A2523/SUM($A2523:$C2523)</f>
        <v>0.340713542046847</v>
      </c>
      <c r="E2523" s="0" t="n">
        <f aca="false">B2523/SUM($A2523:$C2523)</f>
        <v>0.236548554528024</v>
      </c>
      <c r="F2523" s="0" t="n">
        <f aca="false">C2523/SUM($A2523:$C2523)</f>
        <v>0.422737903425129</v>
      </c>
      <c r="G2523" s="0" t="n">
        <f aca="false">SUMPRODUCT(D2523:F2523,Stats!$B$6:$D$6)</f>
        <v>0.358437567031665</v>
      </c>
      <c r="H2523" s="0" t="n">
        <f aca="false">SQRT(SUMPRODUCT(MMULT(D2523:F2523,Stats!$B$12:$D$14),D2523:F2523))</f>
        <v>0.226011263142136</v>
      </c>
      <c r="I2523" s="0" t="n">
        <f aca="false">(G2523-Stats!$B$2)/H2523</f>
        <v>1.40009644932014</v>
      </c>
    </row>
    <row r="2524" customFormat="false" ht="15" hidden="false" customHeight="false" outlineLevel="0" collapsed="false">
      <c r="A2524" s="0" t="n">
        <v>0.919870934130543</v>
      </c>
      <c r="B2524" s="0" t="n">
        <v>0.0551565906017855</v>
      </c>
      <c r="C2524" s="0" t="n">
        <v>0.820641560354479</v>
      </c>
      <c r="D2524" s="0" t="n">
        <f aca="false">A2524/SUM($A2524:$C2524)</f>
        <v>0.51227196690646</v>
      </c>
      <c r="E2524" s="0" t="n">
        <f aca="false">B2524/SUM($A2524:$C2524)</f>
        <v>0.0307164560886334</v>
      </c>
      <c r="F2524" s="0" t="n">
        <f aca="false">C2524/SUM($A2524:$C2524)</f>
        <v>0.457011577004906</v>
      </c>
      <c r="G2524" s="0" t="n">
        <f aca="false">SUMPRODUCT(D2524:F2524,Stats!$B$6:$D$6)</f>
        <v>0.34564917112412</v>
      </c>
      <c r="H2524" s="0" t="n">
        <f aca="false">SQRT(SUMPRODUCT(MMULT(D2524:F2524,Stats!$B$12:$D$14),D2524:F2524))</f>
        <v>0.222730974889112</v>
      </c>
      <c r="I2524" s="0" t="n">
        <f aca="false">(G2524-Stats!$B$2)/H2524</f>
        <v>1.36330014842028</v>
      </c>
    </row>
    <row r="2525" customFormat="false" ht="15" hidden="false" customHeight="false" outlineLevel="0" collapsed="false">
      <c r="A2525" s="0" t="n">
        <v>0.0376973904226706</v>
      </c>
      <c r="B2525" s="0" t="n">
        <v>0.367169625695023</v>
      </c>
      <c r="C2525" s="0" t="n">
        <v>0.542299975621079</v>
      </c>
      <c r="D2525" s="0" t="n">
        <f aca="false">A2525/SUM($A2525:$C2525)</f>
        <v>0.0398001521922414</v>
      </c>
      <c r="E2525" s="0" t="n">
        <f aca="false">B2525/SUM($A2525:$C2525)</f>
        <v>0.387650360387863</v>
      </c>
      <c r="F2525" s="0" t="n">
        <f aca="false">C2525/SUM($A2525:$C2525)</f>
        <v>0.572549487419896</v>
      </c>
      <c r="G2525" s="0" t="n">
        <f aca="false">SUMPRODUCT(D2525:F2525,Stats!$B$6:$D$6)</f>
        <v>0.363000772565508</v>
      </c>
      <c r="H2525" s="0" t="n">
        <f aca="false">SQRT(SUMPRODUCT(MMULT(D2525:F2525,Stats!$B$12:$D$14),D2525:F2525))</f>
        <v>0.241570445977512</v>
      </c>
      <c r="I2525" s="0" t="n">
        <f aca="false">(G2525-Stats!$B$2)/H2525</f>
        <v>1.32880812992906</v>
      </c>
    </row>
    <row r="2526" customFormat="false" ht="15" hidden="false" customHeight="false" outlineLevel="0" collapsed="false">
      <c r="A2526" s="0" t="n">
        <v>0.148100798627127</v>
      </c>
      <c r="B2526" s="0" t="n">
        <v>0.746313812569077</v>
      </c>
      <c r="C2526" s="0" t="n">
        <v>0.00835470417213857</v>
      </c>
      <c r="D2526" s="0" t="n">
        <f aca="false">A2526/SUM($A2526:$C2526)</f>
        <v>0.164051653180857</v>
      </c>
      <c r="E2526" s="0" t="n">
        <f aca="false">B2526/SUM($A2526:$C2526)</f>
        <v>0.826693818525024</v>
      </c>
      <c r="F2526" s="0" t="n">
        <f aca="false">C2526/SUM($A2526:$C2526)</f>
        <v>0.00925452829411878</v>
      </c>
      <c r="G2526" s="0" t="n">
        <f aca="false">SUMPRODUCT(D2526:F2526,Stats!$B$6:$D$6)</f>
        <v>0.403795406747153</v>
      </c>
      <c r="H2526" s="0" t="n">
        <f aca="false">SQRT(SUMPRODUCT(MMULT(D2526:F2526,Stats!$B$12:$D$14),D2526:F2526))</f>
        <v>0.243175059698499</v>
      </c>
      <c r="I2526" s="0" t="n">
        <f aca="false">(G2526-Stats!$B$2)/H2526</f>
        <v>1.48779816152087</v>
      </c>
    </row>
    <row r="2527" customFormat="false" ht="15" hidden="false" customHeight="false" outlineLevel="0" collapsed="false">
      <c r="A2527" s="0" t="n">
        <v>0.168599048434037</v>
      </c>
      <c r="B2527" s="0" t="n">
        <v>0.580796829853476</v>
      </c>
      <c r="C2527" s="0" t="n">
        <v>0.714387562037292</v>
      </c>
      <c r="D2527" s="0" t="n">
        <f aca="false">A2527/SUM($A2527:$C2527)</f>
        <v>0.115180322300016</v>
      </c>
      <c r="E2527" s="0" t="n">
        <f aca="false">B2527/SUM($A2527:$C2527)</f>
        <v>0.396777838752295</v>
      </c>
      <c r="F2527" s="0" t="n">
        <f aca="false">C2527/SUM($A2527:$C2527)</f>
        <v>0.488041838947689</v>
      </c>
      <c r="G2527" s="0" t="n">
        <f aca="false">SUMPRODUCT(D2527:F2527,Stats!$B$6:$D$6)</f>
        <v>0.365856221760404</v>
      </c>
      <c r="H2527" s="0" t="n">
        <f aca="false">SQRT(SUMPRODUCT(MMULT(D2527:F2527,Stats!$B$12:$D$14),D2527:F2527))</f>
        <v>0.236272087557293</v>
      </c>
      <c r="I2527" s="0" t="n">
        <f aca="false">(G2527-Stats!$B$2)/H2527</f>
        <v>1.37069183714675</v>
      </c>
    </row>
    <row r="2528" customFormat="false" ht="15" hidden="false" customHeight="false" outlineLevel="0" collapsed="false">
      <c r="A2528" s="0" t="n">
        <v>0.916643102693916</v>
      </c>
      <c r="B2528" s="0" t="n">
        <v>0.705496651934624</v>
      </c>
      <c r="C2528" s="0" t="n">
        <v>0.671779270254866</v>
      </c>
      <c r="D2528" s="0" t="n">
        <f aca="false">A2528/SUM($A2528:$C2528)</f>
        <v>0.399596974762658</v>
      </c>
      <c r="E2528" s="0" t="n">
        <f aca="false">B2528/SUM($A2528:$C2528)</f>
        <v>0.307550809022338</v>
      </c>
      <c r="F2528" s="0" t="n">
        <f aca="false">C2528/SUM($A2528:$C2528)</f>
        <v>0.292852216215004</v>
      </c>
      <c r="G2528" s="0" t="n">
        <f aca="false">SUMPRODUCT(D2528:F2528,Stats!$B$6:$D$6)</f>
        <v>0.366104492727005</v>
      </c>
      <c r="H2528" s="0" t="n">
        <f aca="false">SQRT(SUMPRODUCT(MMULT(D2528:F2528,Stats!$B$12:$D$14),D2528:F2528))</f>
        <v>0.224547445773906</v>
      </c>
      <c r="I2528" s="0" t="n">
        <f aca="false">(G2528-Stats!$B$2)/H2528</f>
        <v>1.44336753246056</v>
      </c>
    </row>
    <row r="2529" customFormat="false" ht="15" hidden="false" customHeight="false" outlineLevel="0" collapsed="false">
      <c r="A2529" s="0" t="n">
        <v>0.394341146350664</v>
      </c>
      <c r="B2529" s="0" t="n">
        <v>0.00128442552680141</v>
      </c>
      <c r="C2529" s="0" t="n">
        <v>0.120159258735622</v>
      </c>
      <c r="D2529" s="0" t="n">
        <f aca="false">A2529/SUM($A2529:$C2529)</f>
        <v>0.764545839554705</v>
      </c>
      <c r="E2529" s="0" t="n">
        <f aca="false">B2529/SUM($A2529:$C2529)</f>
        <v>0.00249023517282329</v>
      </c>
      <c r="F2529" s="0" t="n">
        <f aca="false">C2529/SUM($A2529:$C2529)</f>
        <v>0.232963925272472</v>
      </c>
      <c r="G2529" s="0" t="n">
        <f aca="false">SUMPRODUCT(D2529:F2529,Stats!$B$6:$D$6)</f>
        <v>0.350203098728371</v>
      </c>
      <c r="H2529" s="0" t="n">
        <f aca="false">SQRT(SUMPRODUCT(MMULT(D2529:F2529,Stats!$B$12:$D$14),D2529:F2529))</f>
        <v>0.222772375026142</v>
      </c>
      <c r="I2529" s="0" t="n">
        <f aca="false">(G2529-Stats!$B$2)/H2529</f>
        <v>1.38348885804267</v>
      </c>
    </row>
    <row r="2530" customFormat="false" ht="15" hidden="false" customHeight="false" outlineLevel="0" collapsed="false">
      <c r="A2530" s="0" t="n">
        <v>0.534554544756039</v>
      </c>
      <c r="B2530" s="0" t="n">
        <v>0.67512988584442</v>
      </c>
      <c r="C2530" s="0" t="n">
        <v>0.417448283896463</v>
      </c>
      <c r="D2530" s="0" t="n">
        <f aca="false">A2530/SUM($A2530:$C2530)</f>
        <v>0.328525473056642</v>
      </c>
      <c r="E2530" s="0" t="n">
        <f aca="false">B2530/SUM($A2530:$C2530)</f>
        <v>0.414919987674857</v>
      </c>
      <c r="F2530" s="0" t="n">
        <f aca="false">C2530/SUM($A2530:$C2530)</f>
        <v>0.256554539268501</v>
      </c>
      <c r="G2530" s="0" t="n">
        <f aca="false">SUMPRODUCT(D2530:F2530,Stats!$B$6:$D$6)</f>
        <v>0.373283270782442</v>
      </c>
      <c r="H2530" s="0" t="n">
        <f aca="false">SQRT(SUMPRODUCT(MMULT(D2530:F2530,Stats!$B$12:$D$14),D2530:F2530))</f>
        <v>0.227325657960913</v>
      </c>
      <c r="I2530" s="0" t="n">
        <f aca="false">(G2530-Stats!$B$2)/H2530</f>
        <v>1.45730699189004</v>
      </c>
    </row>
    <row r="2531" customFormat="false" ht="15" hidden="false" customHeight="false" outlineLevel="0" collapsed="false">
      <c r="A2531" s="0" t="n">
        <v>0.73067901152839</v>
      </c>
      <c r="B2531" s="0" t="n">
        <v>0.521862295332179</v>
      </c>
      <c r="C2531" s="0" t="n">
        <v>0.0741761955943122</v>
      </c>
      <c r="D2531" s="0" t="n">
        <f aca="false">A2531/SUM($A2531:$C2531)</f>
        <v>0.550741970446899</v>
      </c>
      <c r="E2531" s="0" t="n">
        <f aca="false">B2531/SUM($A2531:$C2531)</f>
        <v>0.393348466698114</v>
      </c>
      <c r="F2531" s="0" t="n">
        <f aca="false">C2531/SUM($A2531:$C2531)</f>
        <v>0.0559095628549867</v>
      </c>
      <c r="G2531" s="0" t="n">
        <f aca="false">SUMPRODUCT(D2531:F2531,Stats!$B$6:$D$6)</f>
        <v>0.3775747814374</v>
      </c>
      <c r="H2531" s="0" t="n">
        <f aca="false">SQRT(SUMPRODUCT(MMULT(D2531:F2531,Stats!$B$12:$D$14),D2531:F2531))</f>
        <v>0.22655985951783</v>
      </c>
      <c r="I2531" s="0" t="n">
        <f aca="false">(G2531-Stats!$B$2)/H2531</f>
        <v>1.48117491841484</v>
      </c>
    </row>
    <row r="2532" customFormat="false" ht="15" hidden="false" customHeight="false" outlineLevel="0" collapsed="false">
      <c r="A2532" s="0" t="n">
        <v>0.192016250967949</v>
      </c>
      <c r="B2532" s="0" t="n">
        <v>0.839998223243943</v>
      </c>
      <c r="C2532" s="0" t="n">
        <v>0.72491274662444</v>
      </c>
      <c r="D2532" s="0" t="n">
        <f aca="false">A2532/SUM($A2532:$C2532)</f>
        <v>0.109290953370593</v>
      </c>
      <c r="E2532" s="0" t="n">
        <f aca="false">B2532/SUM($A2532:$C2532)</f>
        <v>0.478106442476364</v>
      </c>
      <c r="F2532" s="0" t="n">
        <f aca="false">C2532/SUM($A2532:$C2532)</f>
        <v>0.412602604153043</v>
      </c>
      <c r="G2532" s="0" t="n">
        <f aca="false">SUMPRODUCT(D2532:F2532,Stats!$B$6:$D$6)</f>
        <v>0.372615972241142</v>
      </c>
      <c r="H2532" s="0" t="n">
        <f aca="false">SQRT(SUMPRODUCT(MMULT(D2532:F2532,Stats!$B$12:$D$14),D2532:F2532))</f>
        <v>0.23641348889606</v>
      </c>
      <c r="I2532" s="0" t="n">
        <f aca="false">(G2532-Stats!$B$2)/H2532</f>
        <v>1.39846492594379</v>
      </c>
    </row>
    <row r="2533" customFormat="false" ht="15" hidden="false" customHeight="false" outlineLevel="0" collapsed="false">
      <c r="A2533" s="0" t="n">
        <v>0.894761987012495</v>
      </c>
      <c r="B2533" s="0" t="n">
        <v>0.117557249120937</v>
      </c>
      <c r="C2533" s="0" t="n">
        <v>0.990222534615074</v>
      </c>
      <c r="D2533" s="0" t="n">
        <f aca="false">A2533/SUM($A2533:$C2533)</f>
        <v>0.44681314521497</v>
      </c>
      <c r="E2533" s="0" t="n">
        <f aca="false">B2533/SUM($A2533:$C2533)</f>
        <v>0.0587040184819697</v>
      </c>
      <c r="F2533" s="0" t="n">
        <f aca="false">C2533/SUM($A2533:$C2533)</f>
        <v>0.49448283630306</v>
      </c>
      <c r="G2533" s="0" t="n">
        <f aca="false">SUMPRODUCT(D2533:F2533,Stats!$B$6:$D$6)</f>
        <v>0.346226283677696</v>
      </c>
      <c r="H2533" s="0" t="n">
        <f aca="false">SQRT(SUMPRODUCT(MMULT(D2533:F2533,Stats!$B$12:$D$14),D2533:F2533))</f>
        <v>0.224188922993112</v>
      </c>
      <c r="I2533" s="0" t="n">
        <f aca="false">(G2533-Stats!$B$2)/H2533</f>
        <v>1.35700854268809</v>
      </c>
    </row>
    <row r="2534" customFormat="false" ht="15" hidden="false" customHeight="false" outlineLevel="0" collapsed="false">
      <c r="A2534" s="0" t="n">
        <v>0.209406713949934</v>
      </c>
      <c r="B2534" s="0" t="n">
        <v>0.011779876286642</v>
      </c>
      <c r="C2534" s="0" t="n">
        <v>0.997422939053554</v>
      </c>
      <c r="D2534" s="0" t="n">
        <f aca="false">A2534/SUM($A2534:$C2534)</f>
        <v>0.17184069951588</v>
      </c>
      <c r="E2534" s="0" t="n">
        <f aca="false">B2534/SUM($A2534:$C2534)</f>
        <v>0.00966665367659162</v>
      </c>
      <c r="F2534" s="0" t="n">
        <f aca="false">C2534/SUM($A2534:$C2534)</f>
        <v>0.818492646807528</v>
      </c>
      <c r="G2534" s="0" t="n">
        <f aca="false">SUMPRODUCT(D2534:F2534,Stats!$B$6:$D$6)</f>
        <v>0.334470291270679</v>
      </c>
      <c r="H2534" s="0" t="n">
        <f aca="false">SQRT(SUMPRODUCT(MMULT(D2534:F2534,Stats!$B$12:$D$14),D2534:F2534))</f>
        <v>0.242457979632564</v>
      </c>
      <c r="I2534" s="0" t="n">
        <f aca="false">(G2534-Stats!$B$2)/H2534</f>
        <v>1.20627207945025</v>
      </c>
    </row>
    <row r="2535" customFormat="false" ht="15" hidden="false" customHeight="false" outlineLevel="0" collapsed="false">
      <c r="A2535" s="0" t="n">
        <v>0.281073885445113</v>
      </c>
      <c r="B2535" s="0" t="n">
        <v>0.66801945251256</v>
      </c>
      <c r="C2535" s="0" t="n">
        <v>0.176682314176305</v>
      </c>
      <c r="D2535" s="0" t="n">
        <f aca="false">A2535/SUM($A2535:$C2535)</f>
        <v>0.249671313207316</v>
      </c>
      <c r="E2535" s="0" t="n">
        <f aca="false">B2535/SUM($A2535:$C2535)</f>
        <v>0.593385947942903</v>
      </c>
      <c r="F2535" s="0" t="n">
        <f aca="false">C2535/SUM($A2535:$C2535)</f>
        <v>0.156942738849781</v>
      </c>
      <c r="G2535" s="0" t="n">
        <f aca="false">SUMPRODUCT(D2535:F2535,Stats!$B$6:$D$6)</f>
        <v>0.386298728236126</v>
      </c>
      <c r="H2535" s="0" t="n">
        <f aca="false">SQRT(SUMPRODUCT(MMULT(D2535:F2535,Stats!$B$12:$D$14),D2535:F2535))</f>
        <v>0.232934296225763</v>
      </c>
      <c r="I2535" s="0" t="n">
        <f aca="false">(G2535-Stats!$B$2)/H2535</f>
        <v>1.47809375353824</v>
      </c>
    </row>
    <row r="2536" customFormat="false" ht="15" hidden="false" customHeight="false" outlineLevel="0" collapsed="false">
      <c r="A2536" s="0" t="n">
        <v>0.580228532199142</v>
      </c>
      <c r="B2536" s="0" t="n">
        <v>0.904034986454559</v>
      </c>
      <c r="C2536" s="0" t="n">
        <v>0.320181167428439</v>
      </c>
      <c r="D2536" s="0" t="n">
        <f aca="false">A2536/SUM($A2536:$C2536)</f>
        <v>0.32155517798606</v>
      </c>
      <c r="E2536" s="0" t="n">
        <f aca="false">B2536/SUM($A2536:$C2536)</f>
        <v>0.501004543629112</v>
      </c>
      <c r="F2536" s="0" t="n">
        <f aca="false">C2536/SUM($A2536:$C2536)</f>
        <v>0.177440278384828</v>
      </c>
      <c r="G2536" s="0" t="n">
        <f aca="false">SUMPRODUCT(D2536:F2536,Stats!$B$6:$D$6)</f>
        <v>0.380418010029911</v>
      </c>
      <c r="H2536" s="0" t="n">
        <f aca="false">SQRT(SUMPRODUCT(MMULT(D2536:F2536,Stats!$B$12:$D$14),D2536:F2536))</f>
        <v>0.229217888853257</v>
      </c>
      <c r="I2536" s="0" t="n">
        <f aca="false">(G2536-Stats!$B$2)/H2536</f>
        <v>1.4764031364348</v>
      </c>
    </row>
    <row r="2537" customFormat="false" ht="15" hidden="false" customHeight="false" outlineLevel="0" collapsed="false">
      <c r="A2537" s="0" t="n">
        <v>0.670253976044359</v>
      </c>
      <c r="B2537" s="0" t="n">
        <v>0.187903588798417</v>
      </c>
      <c r="C2537" s="0" t="n">
        <v>0.624795398718725</v>
      </c>
      <c r="D2537" s="0" t="n">
        <f aca="false">A2537/SUM($A2537:$C2537)</f>
        <v>0.451972511949846</v>
      </c>
      <c r="E2537" s="0" t="n">
        <f aca="false">B2537/SUM($A2537:$C2537)</f>
        <v>0.126709068605347</v>
      </c>
      <c r="F2537" s="0" t="n">
        <f aca="false">C2537/SUM($A2537:$C2537)</f>
        <v>0.421318419444808</v>
      </c>
      <c r="G2537" s="0" t="n">
        <f aca="false">SUMPRODUCT(D2537:F2537,Stats!$B$6:$D$6)</f>
        <v>0.352156686898934</v>
      </c>
      <c r="H2537" s="0" t="n">
        <f aca="false">SQRT(SUMPRODUCT(MMULT(D2537:F2537,Stats!$B$12:$D$14),D2537:F2537))</f>
        <v>0.223207068800136</v>
      </c>
      <c r="I2537" s="0" t="n">
        <f aca="false">(G2537-Stats!$B$2)/H2537</f>
        <v>1.38954688382496</v>
      </c>
    </row>
    <row r="2538" customFormat="false" ht="15" hidden="false" customHeight="false" outlineLevel="0" collapsed="false">
      <c r="A2538" s="0" t="n">
        <v>0.33645035181751</v>
      </c>
      <c r="B2538" s="0" t="n">
        <v>0.211208258587952</v>
      </c>
      <c r="C2538" s="0" t="n">
        <v>0.313182050703635</v>
      </c>
      <c r="D2538" s="0" t="n">
        <f aca="false">A2538/SUM($A2538:$C2538)</f>
        <v>0.390839288869129</v>
      </c>
      <c r="E2538" s="0" t="n">
        <f aca="false">B2538/SUM($A2538:$C2538)</f>
        <v>0.24535116442552</v>
      </c>
      <c r="F2538" s="0" t="n">
        <f aca="false">C2538/SUM($A2538:$C2538)</f>
        <v>0.363809546705351</v>
      </c>
      <c r="G2538" s="0" t="n">
        <f aca="false">SUMPRODUCT(D2538:F2538,Stats!$B$6:$D$6)</f>
        <v>0.360568984583682</v>
      </c>
      <c r="H2538" s="0" t="n">
        <f aca="false">SQRT(SUMPRODUCT(MMULT(D2538:F2538,Stats!$B$12:$D$14),D2538:F2538))</f>
        <v>0.224413221844876</v>
      </c>
      <c r="I2538" s="0" t="n">
        <f aca="false">(G2538-Stats!$B$2)/H2538</f>
        <v>1.41956423941852</v>
      </c>
    </row>
    <row r="2539" customFormat="false" ht="15" hidden="false" customHeight="false" outlineLevel="0" collapsed="false">
      <c r="A2539" s="0" t="n">
        <v>0.178841068507799</v>
      </c>
      <c r="B2539" s="0" t="n">
        <v>0.901916107837883</v>
      </c>
      <c r="C2539" s="0" t="n">
        <v>0.397186886317129</v>
      </c>
      <c r="D2539" s="0" t="n">
        <f aca="false">A2539/SUM($A2539:$C2539)</f>
        <v>0.121006655817258</v>
      </c>
      <c r="E2539" s="0" t="n">
        <f aca="false">B2539/SUM($A2539:$C2539)</f>
        <v>0.610250503129937</v>
      </c>
      <c r="F2539" s="0" t="n">
        <f aca="false">C2539/SUM($A2539:$C2539)</f>
        <v>0.268742841052805</v>
      </c>
      <c r="G2539" s="0" t="n">
        <f aca="false">SUMPRODUCT(D2539:F2539,Stats!$B$6:$D$6)</f>
        <v>0.384186248096553</v>
      </c>
      <c r="H2539" s="0" t="n">
        <f aca="false">SQRT(SUMPRODUCT(MMULT(D2539:F2539,Stats!$B$12:$D$14),D2539:F2539))</f>
        <v>0.237206401034782</v>
      </c>
      <c r="I2539" s="0" t="n">
        <f aca="false">(G2539-Stats!$B$2)/H2539</f>
        <v>1.44256751337152</v>
      </c>
    </row>
    <row r="2540" customFormat="false" ht="15" hidden="false" customHeight="false" outlineLevel="0" collapsed="false">
      <c r="A2540" s="0" t="n">
        <v>0.245279304974367</v>
      </c>
      <c r="B2540" s="0" t="n">
        <v>0.448407841015933</v>
      </c>
      <c r="C2540" s="0" t="n">
        <v>0.320536166806496</v>
      </c>
      <c r="D2540" s="0" t="n">
        <f aca="false">A2540/SUM($A2540:$C2540)</f>
        <v>0.241839545472477</v>
      </c>
      <c r="E2540" s="0" t="n">
        <f aca="false">B2540/SUM($A2540:$C2540)</f>
        <v>0.442119437956336</v>
      </c>
      <c r="F2540" s="0" t="n">
        <f aca="false">C2540/SUM($A2540:$C2540)</f>
        <v>0.316041016571186</v>
      </c>
      <c r="G2540" s="0" t="n">
        <f aca="false">SUMPRODUCT(D2540:F2540,Stats!$B$6:$D$6)</f>
        <v>0.373207975216159</v>
      </c>
      <c r="H2540" s="0" t="n">
        <f aca="false">SQRT(SUMPRODUCT(MMULT(D2540:F2540,Stats!$B$12:$D$14),D2540:F2540))</f>
        <v>0.230145214807666</v>
      </c>
      <c r="I2540" s="0" t="n">
        <f aca="false">(G2540-Stats!$B$2)/H2540</f>
        <v>1.43912605566426</v>
      </c>
    </row>
    <row r="2541" customFormat="false" ht="15" hidden="false" customHeight="false" outlineLevel="0" collapsed="false">
      <c r="A2541" s="0" t="n">
        <v>0.744419253813326</v>
      </c>
      <c r="B2541" s="0" t="n">
        <v>0.971219911885494</v>
      </c>
      <c r="C2541" s="0" t="n">
        <v>0.438033656697647</v>
      </c>
      <c r="D2541" s="0" t="n">
        <f aca="false">A2541/SUM($A2541:$C2541)</f>
        <v>0.345651041361512</v>
      </c>
      <c r="E2541" s="0" t="n">
        <f aca="false">B2541/SUM($A2541:$C2541)</f>
        <v>0.450959821652383</v>
      </c>
      <c r="F2541" s="0" t="n">
        <f aca="false">C2541/SUM($A2541:$C2541)</f>
        <v>0.203389136986105</v>
      </c>
      <c r="G2541" s="0" t="n">
        <f aca="false">SUMPRODUCT(D2541:F2541,Stats!$B$6:$D$6)</f>
        <v>0.376822971703512</v>
      </c>
      <c r="H2541" s="0" t="n">
        <f aca="false">SQRT(SUMPRODUCT(MMULT(D2541:F2541,Stats!$B$12:$D$14),D2541:F2541))</f>
        <v>0.227690299135179</v>
      </c>
      <c r="I2541" s="0" t="n">
        <f aca="false">(G2541-Stats!$B$2)/H2541</f>
        <v>1.47051926663213</v>
      </c>
    </row>
    <row r="2542" customFormat="false" ht="15" hidden="false" customHeight="false" outlineLevel="0" collapsed="false">
      <c r="A2542" s="0" t="n">
        <v>0.86103339997224</v>
      </c>
      <c r="B2542" s="0" t="n">
        <v>0.56586307355962</v>
      </c>
      <c r="C2542" s="0" t="n">
        <v>0.157235665094234</v>
      </c>
      <c r="D2542" s="0" t="n">
        <f aca="false">A2542/SUM($A2542:$C2542)</f>
        <v>0.543536349637479</v>
      </c>
      <c r="E2542" s="0" t="n">
        <f aca="false">B2542/SUM($A2542:$C2542)</f>
        <v>0.357206990352704</v>
      </c>
      <c r="F2542" s="0" t="n">
        <f aca="false">C2542/SUM($A2542:$C2542)</f>
        <v>0.0992566600098164</v>
      </c>
      <c r="G2542" s="0" t="n">
        <f aca="false">SUMPRODUCT(D2542:F2542,Stats!$B$6:$D$6)</f>
        <v>0.374299968133609</v>
      </c>
      <c r="H2542" s="0" t="n">
        <f aca="false">SQRT(SUMPRODUCT(MMULT(D2542:F2542,Stats!$B$12:$D$14),D2542:F2542))</f>
        <v>0.225267373914496</v>
      </c>
      <c r="I2542" s="0" t="n">
        <f aca="false">(G2542-Stats!$B$2)/H2542</f>
        <v>1.4751358013333</v>
      </c>
    </row>
    <row r="2543" customFormat="false" ht="15" hidden="false" customHeight="false" outlineLevel="0" collapsed="false">
      <c r="A2543" s="0" t="n">
        <v>0.690622742081342</v>
      </c>
      <c r="B2543" s="0" t="n">
        <v>0.51343449712582</v>
      </c>
      <c r="C2543" s="0" t="n">
        <v>0.650606523252103</v>
      </c>
      <c r="D2543" s="0" t="n">
        <f aca="false">A2543/SUM($A2543:$C2543)</f>
        <v>0.372370860994007</v>
      </c>
      <c r="E2543" s="0" t="n">
        <f aca="false">B2543/SUM($A2543:$C2543)</f>
        <v>0.27683427450214</v>
      </c>
      <c r="F2543" s="0" t="n">
        <f aca="false">C2543/SUM($A2543:$C2543)</f>
        <v>0.350794864503853</v>
      </c>
      <c r="G2543" s="0" t="n">
        <f aca="false">SUMPRODUCT(D2543:F2543,Stats!$B$6:$D$6)</f>
        <v>0.362739356845695</v>
      </c>
      <c r="H2543" s="0" t="n">
        <f aca="false">SQRT(SUMPRODUCT(MMULT(D2543:F2543,Stats!$B$12:$D$14),D2543:F2543))</f>
        <v>0.224967471227924</v>
      </c>
      <c r="I2543" s="0" t="n">
        <f aca="false">(G2543-Stats!$B$2)/H2543</f>
        <v>1.42571437148236</v>
      </c>
    </row>
    <row r="2544" customFormat="false" ht="15" hidden="false" customHeight="false" outlineLevel="0" collapsed="false">
      <c r="A2544" s="0" t="n">
        <v>0.889687412571665</v>
      </c>
      <c r="B2544" s="0" t="n">
        <v>0.440434570656046</v>
      </c>
      <c r="C2544" s="0" t="n">
        <v>0.901177623217356</v>
      </c>
      <c r="D2544" s="0" t="n">
        <f aca="false">A2544/SUM($A2544:$C2544)</f>
        <v>0.398730591804803</v>
      </c>
      <c r="E2544" s="0" t="n">
        <f aca="false">B2544/SUM($A2544:$C2544)</f>
        <v>0.197389256639431</v>
      </c>
      <c r="F2544" s="0" t="n">
        <f aca="false">C2544/SUM($A2544:$C2544)</f>
        <v>0.403880151555767</v>
      </c>
      <c r="G2544" s="0" t="n">
        <f aca="false">SUMPRODUCT(D2544:F2544,Stats!$B$6:$D$6)</f>
        <v>0.356704386968767</v>
      </c>
      <c r="H2544" s="0" t="n">
        <f aca="false">SQRT(SUMPRODUCT(MMULT(D2544:F2544,Stats!$B$12:$D$14),D2544:F2544))</f>
        <v>0.224268398347</v>
      </c>
      <c r="I2544" s="0" t="n">
        <f aca="false">(G2544-Stats!$B$2)/H2544</f>
        <v>1.40324891642486</v>
      </c>
    </row>
    <row r="2545" customFormat="false" ht="15" hidden="false" customHeight="false" outlineLevel="0" collapsed="false">
      <c r="A2545" s="0" t="n">
        <v>0.750669014281655</v>
      </c>
      <c r="B2545" s="0" t="n">
        <v>0.488604925877985</v>
      </c>
      <c r="C2545" s="0" t="n">
        <v>0.603222135657964</v>
      </c>
      <c r="D2545" s="0" t="n">
        <f aca="false">A2545/SUM($A2545:$C2545)</f>
        <v>0.407419600038251</v>
      </c>
      <c r="E2545" s="0" t="n">
        <f aca="false">B2545/SUM($A2545:$C2545)</f>
        <v>0.265186413306833</v>
      </c>
      <c r="F2545" s="0" t="n">
        <f aca="false">C2545/SUM($A2545:$C2545)</f>
        <v>0.327393986654916</v>
      </c>
      <c r="G2545" s="0" t="n">
        <f aca="false">SUMPRODUCT(D2545:F2545,Stats!$B$6:$D$6)</f>
        <v>0.362714424194282</v>
      </c>
      <c r="H2545" s="0" t="n">
        <f aca="false">SQRT(SUMPRODUCT(MMULT(D2545:F2545,Stats!$B$12:$D$14),D2545:F2545))</f>
        <v>0.224081333617021</v>
      </c>
      <c r="I2545" s="0" t="n">
        <f aca="false">(G2545-Stats!$B$2)/H2545</f>
        <v>1.43124114363946</v>
      </c>
    </row>
    <row r="2546" customFormat="false" ht="15" hidden="false" customHeight="false" outlineLevel="0" collapsed="false">
      <c r="A2546" s="0" t="n">
        <v>0.325581132519011</v>
      </c>
      <c r="B2546" s="0" t="n">
        <v>0.983597299738774</v>
      </c>
      <c r="C2546" s="0" t="n">
        <v>0.667351163050396</v>
      </c>
      <c r="D2546" s="0" t="n">
        <f aca="false">A2546/SUM($A2546:$C2546)</f>
        <v>0.164723631405199</v>
      </c>
      <c r="E2546" s="0" t="n">
        <f aca="false">B2546/SUM($A2546:$C2546)</f>
        <v>0.497638538817533</v>
      </c>
      <c r="F2546" s="0" t="n">
        <f aca="false">C2546/SUM($A2546:$C2546)</f>
        <v>0.337637829777268</v>
      </c>
      <c r="G2546" s="0" t="n">
        <f aca="false">SUMPRODUCT(D2546:F2546,Stats!$B$6:$D$6)</f>
        <v>0.375806948605159</v>
      </c>
      <c r="H2546" s="0" t="n">
        <f aca="false">SQRT(SUMPRODUCT(MMULT(D2546:F2546,Stats!$B$12:$D$14),D2546:F2546))</f>
        <v>0.233760203940893</v>
      </c>
      <c r="I2546" s="0" t="n">
        <f aca="false">(G2546-Stats!$B$2)/H2546</f>
        <v>1.42798878071463</v>
      </c>
    </row>
    <row r="2547" customFormat="false" ht="15" hidden="false" customHeight="false" outlineLevel="0" collapsed="false">
      <c r="A2547" s="0" t="n">
        <v>0.0438468524966299</v>
      </c>
      <c r="B2547" s="0" t="n">
        <v>0.326621905748009</v>
      </c>
      <c r="C2547" s="0" t="n">
        <v>0.623314433759058</v>
      </c>
      <c r="D2547" s="0" t="n">
        <f aca="false">A2547/SUM($A2547:$C2547)</f>
        <v>0.044121145184821</v>
      </c>
      <c r="E2547" s="0" t="n">
        <f aca="false">B2547/SUM($A2547:$C2547)</f>
        <v>0.328665153904911</v>
      </c>
      <c r="F2547" s="0" t="n">
        <f aca="false">C2547/SUM($A2547:$C2547)</f>
        <v>0.627213700910268</v>
      </c>
      <c r="G2547" s="0" t="n">
        <f aca="false">SUMPRODUCT(D2547:F2547,Stats!$B$6:$D$6)</f>
        <v>0.358099495465503</v>
      </c>
      <c r="H2547" s="0" t="n">
        <f aca="false">SQRT(SUMPRODUCT(MMULT(D2547:F2547,Stats!$B$12:$D$14),D2547:F2547))</f>
        <v>0.242298001134593</v>
      </c>
      <c r="I2547" s="0" t="n">
        <f aca="false">(G2547-Stats!$B$2)/H2547</f>
        <v>1.30458977781626</v>
      </c>
    </row>
    <row r="2548" customFormat="false" ht="15" hidden="false" customHeight="false" outlineLevel="0" collapsed="false">
      <c r="A2548" s="0" t="n">
        <v>0.0563332777992398</v>
      </c>
      <c r="B2548" s="0" t="n">
        <v>0.0238841913191428</v>
      </c>
      <c r="C2548" s="0" t="n">
        <v>0.450024239527803</v>
      </c>
      <c r="D2548" s="0" t="n">
        <f aca="false">A2548/SUM($A2548:$C2548)</f>
        <v>0.10624075186969</v>
      </c>
      <c r="E2548" s="0" t="n">
        <f aca="false">B2548/SUM($A2548:$C2548)</f>
        <v>0.0450439694382473</v>
      </c>
      <c r="F2548" s="0" t="n">
        <f aca="false">C2548/SUM($A2548:$C2548)</f>
        <v>0.848715278692063</v>
      </c>
      <c r="G2548" s="0" t="n">
        <f aca="false">SUMPRODUCT(D2548:F2548,Stats!$B$6:$D$6)</f>
        <v>0.33567247878166</v>
      </c>
      <c r="H2548" s="0" t="n">
        <f aca="false">SQRT(SUMPRODUCT(MMULT(D2548:F2548,Stats!$B$12:$D$14),D2548:F2548))</f>
        <v>0.246665156722851</v>
      </c>
      <c r="I2548" s="0" t="n">
        <f aca="false">(G2548-Stats!$B$2)/H2548</f>
        <v>1.19057139112528</v>
      </c>
    </row>
    <row r="2549" customFormat="false" ht="15" hidden="false" customHeight="false" outlineLevel="0" collapsed="false">
      <c r="A2549" s="0" t="n">
        <v>0.33269017969267</v>
      </c>
      <c r="B2549" s="0" t="n">
        <v>0.438298608033166</v>
      </c>
      <c r="C2549" s="0" t="n">
        <v>0.262693309880005</v>
      </c>
      <c r="D2549" s="0" t="n">
        <f aca="false">A2549/SUM($A2549:$C2549)</f>
        <v>0.321849609723559</v>
      </c>
      <c r="E2549" s="0" t="n">
        <f aca="false">B2549/SUM($A2549:$C2549)</f>
        <v>0.424016831720632</v>
      </c>
      <c r="F2549" s="0" t="n">
        <f aca="false">C2549/SUM($A2549:$C2549)</f>
        <v>0.254133558555809</v>
      </c>
      <c r="G2549" s="0" t="n">
        <f aca="false">SUMPRODUCT(D2549:F2549,Stats!$B$6:$D$6)</f>
        <v>0.373873449027015</v>
      </c>
      <c r="H2549" s="0" t="n">
        <f aca="false">SQRT(SUMPRODUCT(MMULT(D2549:F2549,Stats!$B$12:$D$14),D2549:F2549))</f>
        <v>0.227615295197088</v>
      </c>
      <c r="I2549" s="0" t="n">
        <f aca="false">(G2549-Stats!$B$2)/H2549</f>
        <v>1.4580454654405</v>
      </c>
    </row>
    <row r="2550" customFormat="false" ht="15" hidden="false" customHeight="false" outlineLevel="0" collapsed="false">
      <c r="A2550" s="0" t="n">
        <v>0.164717746942981</v>
      </c>
      <c r="B2550" s="0" t="n">
        <v>0.689143356980338</v>
      </c>
      <c r="C2550" s="0" t="n">
        <v>0.514571116267801</v>
      </c>
      <c r="D2550" s="0" t="n">
        <f aca="false">A2550/SUM($A2550:$C2550)</f>
        <v>0.12036967890158</v>
      </c>
      <c r="E2550" s="0" t="n">
        <f aca="false">B2550/SUM($A2550:$C2550)</f>
        <v>0.503600651031214</v>
      </c>
      <c r="F2550" s="0" t="n">
        <f aca="false">C2550/SUM($A2550:$C2550)</f>
        <v>0.376029670067206</v>
      </c>
      <c r="G2550" s="0" t="n">
        <f aca="false">SUMPRODUCT(D2550:F2550,Stats!$B$6:$D$6)</f>
        <v>0.375091360595607</v>
      </c>
      <c r="H2550" s="0" t="n">
        <f aca="false">SQRT(SUMPRODUCT(MMULT(D2550:F2550,Stats!$B$12:$D$14),D2550:F2550))</f>
        <v>0.235922458366522</v>
      </c>
      <c r="I2550" s="0" t="n">
        <f aca="false">(G2550-Stats!$B$2)/H2550</f>
        <v>1.41186796247319</v>
      </c>
    </row>
    <row r="2551" customFormat="false" ht="15" hidden="false" customHeight="false" outlineLevel="0" collapsed="false">
      <c r="A2551" s="0" t="n">
        <v>0.200154211249367</v>
      </c>
      <c r="B2551" s="0" t="n">
        <v>0.319589426259998</v>
      </c>
      <c r="C2551" s="0" t="n">
        <v>0.591807907663326</v>
      </c>
      <c r="D2551" s="0" t="n">
        <f aca="false">A2551/SUM($A2551:$C2551)</f>
        <v>0.180067413084537</v>
      </c>
      <c r="E2551" s="0" t="n">
        <f aca="false">B2551/SUM($A2551:$C2551)</f>
        <v>0.287516514774263</v>
      </c>
      <c r="F2551" s="0" t="n">
        <f aca="false">C2551/SUM($A2551:$C2551)</f>
        <v>0.5324160721412</v>
      </c>
      <c r="G2551" s="0" t="n">
        <f aca="false">SUMPRODUCT(D2551:F2551,Stats!$B$6:$D$6)</f>
        <v>0.358345864179789</v>
      </c>
      <c r="H2551" s="0" t="n">
        <f aca="false">SQRT(SUMPRODUCT(MMULT(D2551:F2551,Stats!$B$12:$D$14),D2551:F2551))</f>
        <v>0.233416238287469</v>
      </c>
      <c r="I2551" s="0" t="n">
        <f aca="false">(G2551-Stats!$B$2)/H2551</f>
        <v>1.35528644665324</v>
      </c>
    </row>
    <row r="2552" customFormat="false" ht="15" hidden="false" customHeight="false" outlineLevel="0" collapsed="false">
      <c r="A2552" s="0" t="n">
        <v>0.0722293482724778</v>
      </c>
      <c r="B2552" s="0" t="n">
        <v>0.14745300926618</v>
      </c>
      <c r="C2552" s="0" t="n">
        <v>0.0732456041073901</v>
      </c>
      <c r="D2552" s="0" t="n">
        <f aca="false">A2552/SUM($A2552:$C2552)</f>
        <v>0.246577171624723</v>
      </c>
      <c r="E2552" s="0" t="n">
        <f aca="false">B2552/SUM($A2552:$C2552)</f>
        <v>0.503376353822961</v>
      </c>
      <c r="F2552" s="0" t="n">
        <f aca="false">C2552/SUM($A2552:$C2552)</f>
        <v>0.250046474552316</v>
      </c>
      <c r="G2552" s="0" t="n">
        <f aca="false">SUMPRODUCT(D2552:F2552,Stats!$B$6:$D$6)</f>
        <v>0.378552392985184</v>
      </c>
      <c r="H2552" s="0" t="n">
        <f aca="false">SQRT(SUMPRODUCT(MMULT(D2552:F2552,Stats!$B$12:$D$14),D2552:F2552))</f>
        <v>0.230873383411532</v>
      </c>
      <c r="I2552" s="0" t="n">
        <f aca="false">(G2552-Stats!$B$2)/H2552</f>
        <v>1.45773578578904</v>
      </c>
    </row>
    <row r="2553" customFormat="false" ht="15" hidden="false" customHeight="false" outlineLevel="0" collapsed="false">
      <c r="A2553" s="0" t="n">
        <v>0.812317332714119</v>
      </c>
      <c r="B2553" s="0" t="n">
        <v>0.752409233212009</v>
      </c>
      <c r="C2553" s="0" t="n">
        <v>0.753312931879257</v>
      </c>
      <c r="D2553" s="0" t="n">
        <f aca="false">A2553/SUM($A2553:$C2553)</f>
        <v>0.350432912589792</v>
      </c>
      <c r="E2553" s="0" t="n">
        <f aca="false">B2553/SUM($A2553:$C2553)</f>
        <v>0.32458861633909</v>
      </c>
      <c r="F2553" s="0" t="n">
        <f aca="false">C2553/SUM($A2553:$C2553)</f>
        <v>0.324978471071118</v>
      </c>
      <c r="G2553" s="0" t="n">
        <f aca="false">SUMPRODUCT(D2553:F2553,Stats!$B$6:$D$6)</f>
        <v>0.366198956987158</v>
      </c>
      <c r="H2553" s="0" t="n">
        <f aca="false">SQRT(SUMPRODUCT(MMULT(D2553:F2553,Stats!$B$12:$D$14),D2553:F2553))</f>
        <v>0.225785180081397</v>
      </c>
      <c r="I2553" s="0" t="n">
        <f aca="false">(G2553-Stats!$B$2)/H2553</f>
        <v>1.43587350095468</v>
      </c>
    </row>
    <row r="2554" customFormat="false" ht="15" hidden="false" customHeight="false" outlineLevel="0" collapsed="false">
      <c r="A2554" s="0" t="n">
        <v>0.716325343476028</v>
      </c>
      <c r="B2554" s="0" t="n">
        <v>0.669385423669869</v>
      </c>
      <c r="C2554" s="0" t="n">
        <v>0.476991915378175</v>
      </c>
      <c r="D2554" s="0" t="n">
        <f aca="false">A2554/SUM($A2554:$C2554)</f>
        <v>0.384562362097082</v>
      </c>
      <c r="E2554" s="0" t="n">
        <f aca="false">B2554/SUM($A2554:$C2554)</f>
        <v>0.359362462914807</v>
      </c>
      <c r="F2554" s="0" t="n">
        <f aca="false">C2554/SUM($A2554:$C2554)</f>
        <v>0.256075174988111</v>
      </c>
      <c r="G2554" s="0" t="n">
        <f aca="false">SUMPRODUCT(D2554:F2554,Stats!$B$6:$D$6)</f>
        <v>0.370099781000104</v>
      </c>
      <c r="H2554" s="0" t="n">
        <f aca="false">SQRT(SUMPRODUCT(MMULT(D2554:F2554,Stats!$B$12:$D$14),D2554:F2554))</f>
        <v>0.225430853752414</v>
      </c>
      <c r="I2554" s="0" t="n">
        <f aca="false">(G2554-Stats!$B$2)/H2554</f>
        <v>1.45543422978138</v>
      </c>
    </row>
    <row r="2555" customFormat="false" ht="15" hidden="false" customHeight="false" outlineLevel="0" collapsed="false">
      <c r="A2555" s="0" t="n">
        <v>0.642278163507115</v>
      </c>
      <c r="B2555" s="0" t="n">
        <v>0.0383615547879747</v>
      </c>
      <c r="C2555" s="0" t="n">
        <v>0.621464422656785</v>
      </c>
      <c r="D2555" s="0" t="n">
        <f aca="false">A2555/SUM($A2555:$C2555)</f>
        <v>0.493261747126917</v>
      </c>
      <c r="E2555" s="0" t="n">
        <f aca="false">B2555/SUM($A2555:$C2555)</f>
        <v>0.0294612032797402</v>
      </c>
      <c r="F2555" s="0" t="n">
        <f aca="false">C2555/SUM($A2555:$C2555)</f>
        <v>0.477277049593343</v>
      </c>
      <c r="G2555" s="0" t="n">
        <f aca="false">SUMPRODUCT(D2555:F2555,Stats!$B$6:$D$6)</f>
        <v>0.345018132890022</v>
      </c>
      <c r="H2555" s="0" t="n">
        <f aca="false">SQRT(SUMPRODUCT(MMULT(D2555:F2555,Stats!$B$12:$D$14),D2555:F2555))</f>
        <v>0.223237528629509</v>
      </c>
      <c r="I2555" s="0" t="n">
        <f aca="false">(G2555-Stats!$B$2)/H2555</f>
        <v>1.35737989374053</v>
      </c>
    </row>
    <row r="2556" customFormat="false" ht="15" hidden="false" customHeight="false" outlineLevel="0" collapsed="false">
      <c r="A2556" s="0" t="n">
        <v>0.777877705536877</v>
      </c>
      <c r="B2556" s="0" t="n">
        <v>0.50035836038439</v>
      </c>
      <c r="C2556" s="0" t="n">
        <v>0.357513328427237</v>
      </c>
      <c r="D2556" s="0" t="n">
        <f aca="false">A2556/SUM($A2556:$C2556)</f>
        <v>0.475548215530103</v>
      </c>
      <c r="E2556" s="0" t="n">
        <f aca="false">B2556/SUM($A2556:$C2556)</f>
        <v>0.305889375299861</v>
      </c>
      <c r="F2556" s="0" t="n">
        <f aca="false">C2556/SUM($A2556:$C2556)</f>
        <v>0.218562409170036</v>
      </c>
      <c r="G2556" s="0" t="n">
        <f aca="false">SUMPRODUCT(D2556:F2556,Stats!$B$6:$D$6)</f>
        <v>0.368057408836868</v>
      </c>
      <c r="H2556" s="0" t="n">
        <f aca="false">SQRT(SUMPRODUCT(MMULT(D2556:F2556,Stats!$B$12:$D$14),D2556:F2556))</f>
        <v>0.223686675722065</v>
      </c>
      <c r="I2556" s="0" t="n">
        <f aca="false">(G2556-Stats!$B$2)/H2556</f>
        <v>1.45765235137206</v>
      </c>
    </row>
    <row r="2557" customFormat="false" ht="15" hidden="false" customHeight="false" outlineLevel="0" collapsed="false">
      <c r="A2557" s="0" t="n">
        <v>0.277426734800979</v>
      </c>
      <c r="B2557" s="0" t="n">
        <v>0.642802050162083</v>
      </c>
      <c r="C2557" s="0" t="n">
        <v>0.692801198629909</v>
      </c>
      <c r="D2557" s="0" t="n">
        <f aca="false">A2557/SUM($A2557:$C2557)</f>
        <v>0.171991058828938</v>
      </c>
      <c r="E2557" s="0" t="n">
        <f aca="false">B2557/SUM($A2557:$C2557)</f>
        <v>0.398505952586363</v>
      </c>
      <c r="F2557" s="0" t="n">
        <f aca="false">C2557/SUM($A2557:$C2557)</f>
        <v>0.429502988584699</v>
      </c>
      <c r="G2557" s="0" t="n">
        <f aca="false">SUMPRODUCT(D2557:F2557,Stats!$B$6:$D$6)</f>
        <v>0.367569841477296</v>
      </c>
      <c r="H2557" s="0" t="n">
        <f aca="false">SQRT(SUMPRODUCT(MMULT(D2557:F2557,Stats!$B$12:$D$14),D2557:F2557))</f>
        <v>0.233011153250323</v>
      </c>
      <c r="I2557" s="0" t="n">
        <f aca="false">(G2557-Stats!$B$2)/H2557</f>
        <v>1.39722857440879</v>
      </c>
    </row>
    <row r="2558" customFormat="false" ht="15" hidden="false" customHeight="false" outlineLevel="0" collapsed="false">
      <c r="A2558" s="0" t="n">
        <v>0.870967599862543</v>
      </c>
      <c r="B2558" s="0" t="n">
        <v>0.342334082460991</v>
      </c>
      <c r="C2558" s="0" t="n">
        <v>0.769772307385586</v>
      </c>
      <c r="D2558" s="0" t="n">
        <f aca="false">A2558/SUM($A2558:$C2558)</f>
        <v>0.439200758207866</v>
      </c>
      <c r="E2558" s="0" t="n">
        <f aca="false">B2558/SUM($A2558:$C2558)</f>
        <v>0.172627992821995</v>
      </c>
      <c r="F2558" s="0" t="n">
        <f aca="false">C2558/SUM($A2558:$C2558)</f>
        <v>0.388171248970139</v>
      </c>
      <c r="G2558" s="0" t="n">
        <f aca="false">SUMPRODUCT(D2558:F2558,Stats!$B$6:$D$6)</f>
        <v>0.355712822843426</v>
      </c>
      <c r="H2558" s="0" t="n">
        <f aca="false">SQRT(SUMPRODUCT(MMULT(D2558:F2558,Stats!$B$12:$D$14),D2558:F2558))</f>
        <v>0.223276242381115</v>
      </c>
      <c r="I2558" s="0" t="n">
        <f aca="false">(G2558-Stats!$B$2)/H2558</f>
        <v>1.40504345423345</v>
      </c>
    </row>
    <row r="2559" customFormat="false" ht="15" hidden="false" customHeight="false" outlineLevel="0" collapsed="false">
      <c r="A2559" s="0" t="n">
        <v>0.561355824189338</v>
      </c>
      <c r="B2559" s="0" t="n">
        <v>0.882836490678079</v>
      </c>
      <c r="C2559" s="0" t="n">
        <v>0.527812108295621</v>
      </c>
      <c r="D2559" s="0" t="n">
        <f aca="false">A2559/SUM($A2559:$C2559)</f>
        <v>0.284662558357217</v>
      </c>
      <c r="E2559" s="0" t="n">
        <f aca="false">B2559/SUM($A2559:$C2559)</f>
        <v>0.447684843050217</v>
      </c>
      <c r="F2559" s="0" t="n">
        <f aca="false">C2559/SUM($A2559:$C2559)</f>
        <v>0.267652598592566</v>
      </c>
      <c r="G2559" s="0" t="n">
        <f aca="false">SUMPRODUCT(D2559:F2559,Stats!$B$6:$D$6)</f>
        <v>0.374862493436694</v>
      </c>
      <c r="H2559" s="0" t="n">
        <f aca="false">SQRT(SUMPRODUCT(MMULT(D2559:F2559,Stats!$B$12:$D$14),D2559:F2559))</f>
        <v>0.228890523928176</v>
      </c>
      <c r="I2559" s="0" t="n">
        <f aca="false">(G2559-Stats!$B$2)/H2559</f>
        <v>1.4542432238966</v>
      </c>
    </row>
    <row r="2560" customFormat="false" ht="15" hidden="false" customHeight="false" outlineLevel="0" collapsed="false">
      <c r="A2560" s="0" t="n">
        <v>0.517629828397967</v>
      </c>
      <c r="B2560" s="0" t="n">
        <v>0.577877081440909</v>
      </c>
      <c r="C2560" s="0" t="n">
        <v>0.749315355142434</v>
      </c>
      <c r="D2560" s="0" t="n">
        <f aca="false">A2560/SUM($A2560:$C2560)</f>
        <v>0.280585202284086</v>
      </c>
      <c r="E2560" s="0" t="n">
        <f aca="false">B2560/SUM($A2560:$C2560)</f>
        <v>0.313242685981331</v>
      </c>
      <c r="F2560" s="0" t="n">
        <f aca="false">C2560/SUM($A2560:$C2560)</f>
        <v>0.406172111734582</v>
      </c>
      <c r="G2560" s="0" t="n">
        <f aca="false">SUMPRODUCT(D2560:F2560,Stats!$B$6:$D$6)</f>
        <v>0.363307243426544</v>
      </c>
      <c r="H2560" s="0" t="n">
        <f aca="false">SQRT(SUMPRODUCT(MMULT(D2560:F2560,Stats!$B$12:$D$14),D2560:F2560))</f>
        <v>0.228091784305499</v>
      </c>
      <c r="I2560" s="0" t="n">
        <f aca="false">(G2560-Stats!$B$2)/H2560</f>
        <v>1.40867521557109</v>
      </c>
    </row>
    <row r="2561" customFormat="false" ht="15" hidden="false" customHeight="false" outlineLevel="0" collapsed="false">
      <c r="A2561" s="0" t="n">
        <v>0.964690478828461</v>
      </c>
      <c r="B2561" s="0" t="n">
        <v>0.0735633542157657</v>
      </c>
      <c r="C2561" s="0" t="n">
        <v>0.0534346023910172</v>
      </c>
      <c r="D2561" s="0" t="n">
        <f aca="false">A2561/SUM($A2561:$C2561)</f>
        <v>0.883668313701473</v>
      </c>
      <c r="E2561" s="0" t="n">
        <f aca="false">B2561/SUM($A2561:$C2561)</f>
        <v>0.0673849349575978</v>
      </c>
      <c r="F2561" s="0" t="n">
        <f aca="false">C2561/SUM($A2561:$C2561)</f>
        <v>0.0489467513409294</v>
      </c>
      <c r="G2561" s="0" t="n">
        <f aca="false">SUMPRODUCT(D2561:F2561,Stats!$B$6:$D$6)</f>
        <v>0.359011258556857</v>
      </c>
      <c r="H2561" s="0" t="n">
        <f aca="false">SQRT(SUMPRODUCT(MMULT(D2561:F2561,Stats!$B$12:$D$14),D2561:F2561))</f>
        <v>0.228437895590718</v>
      </c>
      <c r="I2561" s="0" t="n">
        <f aca="false">(G2561-Stats!$B$2)/H2561</f>
        <v>1.38773498038536</v>
      </c>
    </row>
    <row r="2562" customFormat="false" ht="15" hidden="false" customHeight="false" outlineLevel="0" collapsed="false">
      <c r="A2562" s="0" t="n">
        <v>0.937550337407339</v>
      </c>
      <c r="B2562" s="0" t="n">
        <v>0.529875625518206</v>
      </c>
      <c r="C2562" s="0" t="n">
        <v>0.614903014566936</v>
      </c>
      <c r="D2562" s="0" t="n">
        <f aca="false">A2562/SUM($A2562:$C2562)</f>
        <v>0.45024121910666</v>
      </c>
      <c r="E2562" s="0" t="n">
        <f aca="false">B2562/SUM($A2562:$C2562)</f>
        <v>0.254462974508609</v>
      </c>
      <c r="F2562" s="0" t="n">
        <f aca="false">C2562/SUM($A2562:$C2562)</f>
        <v>0.295295806384732</v>
      </c>
      <c r="G2562" s="0" t="n">
        <f aca="false">SUMPRODUCT(D2562:F2562,Stats!$B$6:$D$6)</f>
        <v>0.362982506380249</v>
      </c>
      <c r="H2562" s="0" t="n">
        <f aca="false">SQRT(SUMPRODUCT(MMULT(D2562:F2562,Stats!$B$12:$D$14),D2562:F2562))</f>
        <v>0.223264159693862</v>
      </c>
      <c r="I2562" s="0" t="n">
        <f aca="false">(G2562-Stats!$B$2)/H2562</f>
        <v>1.43768039984733</v>
      </c>
    </row>
    <row r="2563" customFormat="false" ht="15" hidden="false" customHeight="false" outlineLevel="0" collapsed="false">
      <c r="A2563" s="0" t="n">
        <v>0.482423601594729</v>
      </c>
      <c r="B2563" s="0" t="n">
        <v>0.0936574526074745</v>
      </c>
      <c r="C2563" s="0" t="n">
        <v>0.768089378418667</v>
      </c>
      <c r="D2563" s="0" t="n">
        <f aca="false">A2563/SUM($A2563:$C2563)</f>
        <v>0.358900619956427</v>
      </c>
      <c r="E2563" s="0" t="n">
        <f aca="false">B2563/SUM($A2563:$C2563)</f>
        <v>0.0696767689085831</v>
      </c>
      <c r="F2563" s="0" t="n">
        <f aca="false">C2563/SUM($A2563:$C2563)</f>
        <v>0.57142261113499</v>
      </c>
      <c r="G2563" s="0" t="n">
        <f aca="false">SUMPRODUCT(D2563:F2563,Stats!$B$6:$D$6)</f>
        <v>0.344736056837094</v>
      </c>
      <c r="H2563" s="0" t="n">
        <f aca="false">SQRT(SUMPRODUCT(MMULT(D2563:F2563,Stats!$B$12:$D$14),D2563:F2563))</f>
        <v>0.227618303409131</v>
      </c>
      <c r="I2563" s="0" t="n">
        <f aca="false">(G2563-Stats!$B$2)/H2563</f>
        <v>1.33001631372739</v>
      </c>
    </row>
    <row r="2564" customFormat="false" ht="15" hidden="false" customHeight="false" outlineLevel="0" collapsed="false">
      <c r="A2564" s="0" t="n">
        <v>0.747224645088587</v>
      </c>
      <c r="B2564" s="0" t="n">
        <v>0.311703321492812</v>
      </c>
      <c r="C2564" s="0" t="n">
        <v>0.3062392452284</v>
      </c>
      <c r="D2564" s="0" t="n">
        <f aca="false">A2564/SUM($A2564:$C2564)</f>
        <v>0.54735027227763</v>
      </c>
      <c r="E2564" s="0" t="n">
        <f aca="false">B2564/SUM($A2564:$C2564)</f>
        <v>0.228326111846466</v>
      </c>
      <c r="F2564" s="0" t="n">
        <f aca="false">C2564/SUM($A2564:$C2564)</f>
        <v>0.224323615875904</v>
      </c>
      <c r="G2564" s="0" t="n">
        <f aca="false">SUMPRODUCT(D2564:F2564,Stats!$B$6:$D$6)</f>
        <v>0.36343565598689</v>
      </c>
      <c r="H2564" s="0" t="n">
        <f aca="false">SQRT(SUMPRODUCT(MMULT(D2564:F2564,Stats!$B$12:$D$14),D2564:F2564))</f>
        <v>0.222438383577493</v>
      </c>
      <c r="I2564" s="0" t="n">
        <f aca="false">(G2564-Stats!$B$2)/H2564</f>
        <v>1.44505480941381</v>
      </c>
    </row>
    <row r="2565" customFormat="false" ht="15" hidden="false" customHeight="false" outlineLevel="0" collapsed="false">
      <c r="A2565" s="0" t="n">
        <v>0.837841380905519</v>
      </c>
      <c r="B2565" s="0" t="n">
        <v>0.0723572577413266</v>
      </c>
      <c r="C2565" s="0" t="n">
        <v>0.881105148356566</v>
      </c>
      <c r="D2565" s="0" t="n">
        <f aca="false">A2565/SUM($A2565:$C2565)</f>
        <v>0.467727130922391</v>
      </c>
      <c r="E2565" s="0" t="n">
        <f aca="false">B2565/SUM($A2565:$C2565)</f>
        <v>0.0403936274049695</v>
      </c>
      <c r="F2565" s="0" t="n">
        <f aca="false">C2565/SUM($A2565:$C2565)</f>
        <v>0.49187924167264</v>
      </c>
      <c r="G2565" s="0" t="n">
        <f aca="false">SUMPRODUCT(D2565:F2565,Stats!$B$6:$D$6)</f>
        <v>0.34524452059434</v>
      </c>
      <c r="H2565" s="0" t="n">
        <f aca="false">SQRT(SUMPRODUCT(MMULT(D2565:F2565,Stats!$B$12:$D$14),D2565:F2565))</f>
        <v>0.223813536659616</v>
      </c>
      <c r="I2565" s="0" t="n">
        <f aca="false">(G2565-Stats!$B$2)/H2565</f>
        <v>1.35489803306904</v>
      </c>
    </row>
    <row r="2566" customFormat="false" ht="15" hidden="false" customHeight="false" outlineLevel="0" collapsed="false">
      <c r="A2566" s="0" t="n">
        <v>0.256661689895914</v>
      </c>
      <c r="B2566" s="0" t="n">
        <v>0.592984747755494</v>
      </c>
      <c r="C2566" s="0" t="n">
        <v>0.935994179001778</v>
      </c>
      <c r="D2566" s="0" t="n">
        <f aca="false">A2566/SUM($A2566:$C2566)</f>
        <v>0.143736476143208</v>
      </c>
      <c r="E2566" s="0" t="n">
        <f aca="false">B2566/SUM($A2566:$C2566)</f>
        <v>0.332085158808115</v>
      </c>
      <c r="F2566" s="0" t="n">
        <f aca="false">C2566/SUM($A2566:$C2566)</f>
        <v>0.524178365048677</v>
      </c>
      <c r="G2566" s="0" t="n">
        <f aca="false">SUMPRODUCT(D2566:F2566,Stats!$B$6:$D$6)</f>
        <v>0.361137437878117</v>
      </c>
      <c r="H2566" s="0" t="n">
        <f aca="false">SQRT(SUMPRODUCT(MMULT(D2566:F2566,Stats!$B$12:$D$14),D2566:F2566))</f>
        <v>0.235096430919964</v>
      </c>
      <c r="I2566" s="0" t="n">
        <f aca="false">(G2566-Stats!$B$2)/H2566</f>
        <v>1.35747461851841</v>
      </c>
    </row>
    <row r="2567" customFormat="false" ht="15" hidden="false" customHeight="false" outlineLevel="0" collapsed="false">
      <c r="A2567" s="0" t="n">
        <v>0.678122501536646</v>
      </c>
      <c r="B2567" s="0" t="n">
        <v>0.414429812467037</v>
      </c>
      <c r="C2567" s="0" t="n">
        <v>0.689534208905415</v>
      </c>
      <c r="D2567" s="0" t="n">
        <f aca="false">A2567/SUM($A2567:$C2567)</f>
        <v>0.38052164853908</v>
      </c>
      <c r="E2567" s="0" t="n">
        <f aca="false">B2567/SUM($A2567:$C2567)</f>
        <v>0.232553137650419</v>
      </c>
      <c r="F2567" s="0" t="n">
        <f aca="false">C2567/SUM($A2567:$C2567)</f>
        <v>0.386925213810501</v>
      </c>
      <c r="G2567" s="0" t="n">
        <f aca="false">SUMPRODUCT(D2567:F2567,Stats!$B$6:$D$6)</f>
        <v>0.359195197057533</v>
      </c>
      <c r="H2567" s="0" t="n">
        <f aca="false">SQRT(SUMPRODUCT(MMULT(D2567:F2567,Stats!$B$12:$D$14),D2567:F2567))</f>
        <v>0.224704804809758</v>
      </c>
      <c r="I2567" s="0" t="n">
        <f aca="false">(G2567-Stats!$B$2)/H2567</f>
        <v>1.41160843145335</v>
      </c>
    </row>
    <row r="2568" customFormat="false" ht="15" hidden="false" customHeight="false" outlineLevel="0" collapsed="false">
      <c r="A2568" s="0" t="n">
        <v>0.34397963631637</v>
      </c>
      <c r="B2568" s="0" t="n">
        <v>0.277258416349186</v>
      </c>
      <c r="C2568" s="0" t="n">
        <v>0.99668327793468</v>
      </c>
      <c r="D2568" s="0" t="n">
        <f aca="false">A2568/SUM($A2568:$C2568)</f>
        <v>0.212605909700663</v>
      </c>
      <c r="E2568" s="0" t="n">
        <f aca="false">B2568/SUM($A2568:$C2568)</f>
        <v>0.171367056670379</v>
      </c>
      <c r="F2568" s="0" t="n">
        <f aca="false">C2568/SUM($A2568:$C2568)</f>
        <v>0.616027033628958</v>
      </c>
      <c r="G2568" s="0" t="n">
        <f aca="false">SUMPRODUCT(D2568:F2568,Stats!$B$6:$D$6)</f>
        <v>0.349357234585235</v>
      </c>
      <c r="H2568" s="0" t="n">
        <f aca="false">SQRT(SUMPRODUCT(MMULT(D2568:F2568,Stats!$B$12:$D$14),D2568:F2568))</f>
        <v>0.233598785346728</v>
      </c>
      <c r="I2568" s="0" t="n">
        <f aca="false">(G2568-Stats!$B$2)/H2568</f>
        <v>1.31574842792538</v>
      </c>
    </row>
    <row r="2569" customFormat="false" ht="15" hidden="false" customHeight="false" outlineLevel="0" collapsed="false">
      <c r="A2569" s="0" t="n">
        <v>0.750790231179788</v>
      </c>
      <c r="B2569" s="0" t="n">
        <v>0.644719977381818</v>
      </c>
      <c r="C2569" s="0" t="n">
        <v>0.355289643219319</v>
      </c>
      <c r="D2569" s="0" t="n">
        <f aca="false">A2569/SUM($A2569:$C2569)</f>
        <v>0.42882699037019</v>
      </c>
      <c r="E2569" s="0" t="n">
        <f aca="false">B2569/SUM($A2569:$C2569)</f>
        <v>0.368243107129581</v>
      </c>
      <c r="F2569" s="0" t="n">
        <f aca="false">C2569/SUM($A2569:$C2569)</f>
        <v>0.202929902500229</v>
      </c>
      <c r="G2569" s="0" t="n">
        <f aca="false">SUMPRODUCT(D2569:F2569,Stats!$B$6:$D$6)</f>
        <v>0.372076222222336</v>
      </c>
      <c r="H2569" s="0" t="n">
        <f aca="false">SQRT(SUMPRODUCT(MMULT(D2569:F2569,Stats!$B$12:$D$14),D2569:F2569))</f>
        <v>0.225077920532941</v>
      </c>
      <c r="I2569" s="0" t="n">
        <f aca="false">(G2569-Stats!$B$2)/H2569</f>
        <v>1.46649756422478</v>
      </c>
    </row>
    <row r="2570" customFormat="false" ht="15" hidden="false" customHeight="false" outlineLevel="0" collapsed="false">
      <c r="A2570" s="0" t="n">
        <v>0.0491608291550482</v>
      </c>
      <c r="B2570" s="0" t="n">
        <v>0.0310568760351556</v>
      </c>
      <c r="C2570" s="0" t="n">
        <v>0.554181255448799</v>
      </c>
      <c r="D2570" s="0" t="n">
        <f aca="false">A2570/SUM($A2570:$C2570)</f>
        <v>0.0774919761935464</v>
      </c>
      <c r="E2570" s="0" t="n">
        <f aca="false">B2570/SUM($A2570:$C2570)</f>
        <v>0.0489548028323902</v>
      </c>
      <c r="F2570" s="0" t="n">
        <f aca="false">C2570/SUM($A2570:$C2570)</f>
        <v>0.873553220974064</v>
      </c>
      <c r="G2570" s="0" t="n">
        <f aca="false">SUMPRODUCT(D2570:F2570,Stats!$B$6:$D$6)</f>
        <v>0.335212606368215</v>
      </c>
      <c r="H2570" s="0" t="n">
        <f aca="false">SQRT(SUMPRODUCT(MMULT(D2570:F2570,Stats!$B$12:$D$14),D2570:F2570))</f>
        <v>0.249200736226568</v>
      </c>
      <c r="I2570" s="0" t="n">
        <f aca="false">(G2570-Stats!$B$2)/H2570</f>
        <v>1.17661211924202</v>
      </c>
    </row>
    <row r="2571" customFormat="false" ht="15" hidden="false" customHeight="false" outlineLevel="0" collapsed="false">
      <c r="A2571" s="0" t="n">
        <v>0.762032721039051</v>
      </c>
      <c r="B2571" s="0" t="n">
        <v>0.537379190443855</v>
      </c>
      <c r="C2571" s="0" t="n">
        <v>0.840785071939115</v>
      </c>
      <c r="D2571" s="0" t="n">
        <f aca="false">A2571/SUM($A2571:$C2571)</f>
        <v>0.3560572820828</v>
      </c>
      <c r="E2571" s="0" t="n">
        <f aca="false">B2571/SUM($A2571:$C2571)</f>
        <v>0.251088658944199</v>
      </c>
      <c r="F2571" s="0" t="n">
        <f aca="false">C2571/SUM($A2571:$C2571)</f>
        <v>0.392854058973002</v>
      </c>
      <c r="G2571" s="0" t="n">
        <f aca="false">SUMPRODUCT(D2571:F2571,Stats!$B$6:$D$6)</f>
        <v>0.360098221337719</v>
      </c>
      <c r="H2571" s="0" t="n">
        <f aca="false">SQRT(SUMPRODUCT(MMULT(D2571:F2571,Stats!$B$12:$D$14),D2571:F2571))</f>
        <v>0.225432078022116</v>
      </c>
      <c r="I2571" s="0" t="n">
        <f aca="false">(G2571-Stats!$B$2)/H2571</f>
        <v>1.41106014782205</v>
      </c>
    </row>
    <row r="2572" customFormat="false" ht="15" hidden="false" customHeight="false" outlineLevel="0" collapsed="false">
      <c r="A2572" s="0" t="n">
        <v>0.0334265330932216</v>
      </c>
      <c r="B2572" s="0" t="n">
        <v>0.36675207642594</v>
      </c>
      <c r="C2572" s="0" t="n">
        <v>0.237070391174178</v>
      </c>
      <c r="D2572" s="0" t="n">
        <f aca="false">A2572/SUM($A2572:$C2572)</f>
        <v>0.0524544299902438</v>
      </c>
      <c r="E2572" s="0" t="n">
        <f aca="false">B2572/SUM($A2572:$C2572)</f>
        <v>0.575523972618092</v>
      </c>
      <c r="F2572" s="0" t="n">
        <f aca="false">C2572/SUM($A2572:$C2572)</f>
        <v>0.372021597391664</v>
      </c>
      <c r="G2572" s="0" t="n">
        <f aca="false">SUMPRODUCT(D2572:F2572,Stats!$B$6:$D$6)</f>
        <v>0.379340256493624</v>
      </c>
      <c r="H2572" s="0" t="n">
        <f aca="false">SQRT(SUMPRODUCT(MMULT(D2572:F2572,Stats!$B$12:$D$14),D2572:F2572))</f>
        <v>0.24008491728259</v>
      </c>
      <c r="I2572" s="0" t="n">
        <f aca="false">(G2572-Stats!$B$2)/H2572</f>
        <v>1.40508725126019</v>
      </c>
    </row>
    <row r="2573" customFormat="false" ht="15" hidden="false" customHeight="false" outlineLevel="0" collapsed="false">
      <c r="A2573" s="0" t="n">
        <v>0.447272968157122</v>
      </c>
      <c r="B2573" s="0" t="n">
        <v>0.0723763931941225</v>
      </c>
      <c r="C2573" s="0" t="n">
        <v>0.954131641571073</v>
      </c>
      <c r="D2573" s="0" t="n">
        <f aca="false">A2573/SUM($A2573:$C2573)</f>
        <v>0.303486723787481</v>
      </c>
      <c r="E2573" s="0" t="n">
        <f aca="false">B2573/SUM($A2573:$C2573)</f>
        <v>0.0491093269967583</v>
      </c>
      <c r="F2573" s="0" t="n">
        <f aca="false">C2573/SUM($A2573:$C2573)</f>
        <v>0.647403949215761</v>
      </c>
      <c r="G2573" s="0" t="n">
        <f aca="false">SUMPRODUCT(D2573:F2573,Stats!$B$6:$D$6)</f>
        <v>0.341457476675788</v>
      </c>
      <c r="H2573" s="0" t="n">
        <f aca="false">SQRT(SUMPRODUCT(MMULT(D2573:F2573,Stats!$B$12:$D$14),D2573:F2573))</f>
        <v>0.231235317709945</v>
      </c>
      <c r="I2573" s="0" t="n">
        <f aca="false">(G2573-Stats!$B$2)/H2573</f>
        <v>1.29503347343946</v>
      </c>
    </row>
    <row r="2574" customFormat="false" ht="15" hidden="false" customHeight="false" outlineLevel="0" collapsed="false">
      <c r="A2574" s="0" t="n">
        <v>0.223255401069361</v>
      </c>
      <c r="B2574" s="0" t="n">
        <v>0.922307775483585</v>
      </c>
      <c r="C2574" s="0" t="n">
        <v>0.425893155036682</v>
      </c>
      <c r="D2574" s="0" t="n">
        <f aca="false">A2574/SUM($A2574:$C2574)</f>
        <v>0.14206910913237</v>
      </c>
      <c r="E2574" s="0" t="n">
        <f aca="false">B2574/SUM($A2574:$C2574)</f>
        <v>0.586912761712323</v>
      </c>
      <c r="F2574" s="0" t="n">
        <f aca="false">C2574/SUM($A2574:$C2574)</f>
        <v>0.271018129155307</v>
      </c>
      <c r="G2574" s="0" t="n">
        <f aca="false">SUMPRODUCT(D2574:F2574,Stats!$B$6:$D$6)</f>
        <v>0.382780684466526</v>
      </c>
      <c r="H2574" s="0" t="n">
        <f aca="false">SQRT(SUMPRODUCT(MMULT(D2574:F2574,Stats!$B$12:$D$14),D2574:F2574))</f>
        <v>0.235933520576725</v>
      </c>
      <c r="I2574" s="0" t="n">
        <f aca="false">(G2574-Stats!$B$2)/H2574</f>
        <v>1.44439282571425</v>
      </c>
    </row>
    <row r="2575" customFormat="false" ht="15" hidden="false" customHeight="false" outlineLevel="0" collapsed="false">
      <c r="A2575" s="0" t="n">
        <v>0.985524133255218</v>
      </c>
      <c r="B2575" s="0" t="n">
        <v>0.554058383460211</v>
      </c>
      <c r="C2575" s="0" t="n">
        <v>0.930832864175808</v>
      </c>
      <c r="D2575" s="0" t="n">
        <f aca="false">A2575/SUM($A2575:$C2575)</f>
        <v>0.398930536491267</v>
      </c>
      <c r="E2575" s="0" t="n">
        <f aca="false">B2575/SUM($A2575:$C2575)</f>
        <v>0.224277418180714</v>
      </c>
      <c r="F2575" s="0" t="n">
        <f aca="false">C2575/SUM($A2575:$C2575)</f>
        <v>0.37679204532802</v>
      </c>
      <c r="G2575" s="0" t="n">
        <f aca="false">SUMPRODUCT(D2575:F2575,Stats!$B$6:$D$6)</f>
        <v>0.358998441093783</v>
      </c>
      <c r="H2575" s="0" t="n">
        <f aca="false">SQRT(SUMPRODUCT(MMULT(D2575:F2575,Stats!$B$12:$D$14),D2575:F2575))</f>
        <v>0.224196199783412</v>
      </c>
      <c r="I2575" s="0" t="n">
        <f aca="false">(G2575-Stats!$B$2)/H2575</f>
        <v>1.41393315943813</v>
      </c>
    </row>
    <row r="2576" customFormat="false" ht="15" hidden="false" customHeight="false" outlineLevel="0" collapsed="false">
      <c r="A2576" s="0" t="n">
        <v>0.00534898869422285</v>
      </c>
      <c r="B2576" s="0" t="n">
        <v>0.7482388061809</v>
      </c>
      <c r="C2576" s="0" t="n">
        <v>0.903050653102515</v>
      </c>
      <c r="D2576" s="0" t="n">
        <f aca="false">A2576/SUM($A2576:$C2576)</f>
        <v>0.00322882080924337</v>
      </c>
      <c r="E2576" s="0" t="n">
        <f aca="false">B2576/SUM($A2576:$C2576)</f>
        <v>0.451660896253085</v>
      </c>
      <c r="F2576" s="0" t="n">
        <f aca="false">C2576/SUM($A2576:$C2576)</f>
        <v>0.545110282937672</v>
      </c>
      <c r="G2576" s="0" t="n">
        <f aca="false">SUMPRODUCT(D2576:F2576,Stats!$B$6:$D$6)</f>
        <v>0.367440481461902</v>
      </c>
      <c r="H2576" s="0" t="n">
        <f aca="false">SQRT(SUMPRODUCT(MMULT(D2576:F2576,Stats!$B$12:$D$14),D2576:F2576))</f>
        <v>0.243516613822502</v>
      </c>
      <c r="I2576" s="0" t="n">
        <f aca="false">(G2576-Stats!$B$2)/H2576</f>
        <v>1.33642003456534</v>
      </c>
    </row>
    <row r="2577" customFormat="false" ht="15" hidden="false" customHeight="false" outlineLevel="0" collapsed="false">
      <c r="A2577" s="0" t="n">
        <v>0.139720566978954</v>
      </c>
      <c r="B2577" s="0" t="n">
        <v>0.0961258517321515</v>
      </c>
      <c r="C2577" s="0" t="n">
        <v>0.424572607185956</v>
      </c>
      <c r="D2577" s="0" t="n">
        <f aca="false">A2577/SUM($A2577:$C2577)</f>
        <v>0.211563509681098</v>
      </c>
      <c r="E2577" s="0" t="n">
        <f aca="false">B2577/SUM($A2577:$C2577)</f>
        <v>0.145552820198633</v>
      </c>
      <c r="F2577" s="0" t="n">
        <f aca="false">C2577/SUM($A2577:$C2577)</f>
        <v>0.642883670120269</v>
      </c>
      <c r="G2577" s="0" t="n">
        <f aca="false">SUMPRODUCT(D2577:F2577,Stats!$B$6:$D$6)</f>
        <v>0.347131355407721</v>
      </c>
      <c r="H2577" s="0" t="n">
        <f aca="false">SQRT(SUMPRODUCT(MMULT(D2577:F2577,Stats!$B$12:$D$14),D2577:F2577))</f>
        <v>0.234347214828739</v>
      </c>
      <c r="I2577" s="0" t="n">
        <f aca="false">(G2577-Stats!$B$2)/H2577</f>
        <v>1.30204814096344</v>
      </c>
    </row>
    <row r="2578" customFormat="false" ht="15" hidden="false" customHeight="false" outlineLevel="0" collapsed="false">
      <c r="A2578" s="0" t="n">
        <v>0.933678906132935</v>
      </c>
      <c r="B2578" s="0" t="n">
        <v>0.542386560190439</v>
      </c>
      <c r="C2578" s="0" t="n">
        <v>0.527456463721732</v>
      </c>
      <c r="D2578" s="0" t="n">
        <f aca="false">A2578/SUM($A2578:$C2578)</f>
        <v>0.46601881024178</v>
      </c>
      <c r="E2578" s="0" t="n">
        <f aca="false">B2578/SUM($A2578:$C2578)</f>
        <v>0.270716557706073</v>
      </c>
      <c r="F2578" s="0" t="n">
        <f aca="false">C2578/SUM($A2578:$C2578)</f>
        <v>0.263264632052147</v>
      </c>
      <c r="G2578" s="0" t="n">
        <f aca="false">SUMPRODUCT(D2578:F2578,Stats!$B$6:$D$6)</f>
        <v>0.364800963833213</v>
      </c>
      <c r="H2578" s="0" t="n">
        <f aca="false">SQRT(SUMPRODUCT(MMULT(D2578:F2578,Stats!$B$12:$D$14),D2578:F2578))</f>
        <v>0.223244347972589</v>
      </c>
      <c r="I2578" s="0" t="n">
        <f aca="false">(G2578-Stats!$B$2)/H2578</f>
        <v>1.44595357851052</v>
      </c>
    </row>
    <row r="2579" customFormat="false" ht="15" hidden="false" customHeight="false" outlineLevel="0" collapsed="false">
      <c r="A2579" s="0" t="n">
        <v>0.141126118299322</v>
      </c>
      <c r="B2579" s="0" t="n">
        <v>0.000789511093218787</v>
      </c>
      <c r="C2579" s="0" t="n">
        <v>0.810140090745461</v>
      </c>
      <c r="D2579" s="0" t="n">
        <f aca="false">A2579/SUM($A2579:$C2579)</f>
        <v>0.14823304488824</v>
      </c>
      <c r="E2579" s="0" t="n">
        <f aca="false">B2579/SUM($A2579:$C2579)</f>
        <v>0.000829269838433769</v>
      </c>
      <c r="F2579" s="0" t="n">
        <f aca="false">C2579/SUM($A2579:$C2579)</f>
        <v>0.850937685273327</v>
      </c>
      <c r="G2579" s="0" t="n">
        <f aca="false">SUMPRODUCT(D2579:F2579,Stats!$B$6:$D$6)</f>
        <v>0.333067140185957</v>
      </c>
      <c r="H2579" s="0" t="n">
        <f aca="false">SQRT(SUMPRODUCT(MMULT(D2579:F2579,Stats!$B$12:$D$14),D2579:F2579))</f>
        <v>0.244950718985029</v>
      </c>
      <c r="I2579" s="0" t="n">
        <f aca="false">(G2579-Stats!$B$2)/H2579</f>
        <v>1.18826816019163</v>
      </c>
    </row>
    <row r="2580" customFormat="false" ht="15" hidden="false" customHeight="false" outlineLevel="0" collapsed="false">
      <c r="A2580" s="0" t="n">
        <v>0.0875745629862382</v>
      </c>
      <c r="B2580" s="0" t="n">
        <v>0.633849818735324</v>
      </c>
      <c r="C2580" s="0" t="n">
        <v>0.914616454515192</v>
      </c>
      <c r="D2580" s="0" t="n">
        <f aca="false">A2580/SUM($A2580:$C2580)</f>
        <v>0.053528347854494</v>
      </c>
      <c r="E2580" s="0" t="n">
        <f aca="false">B2580/SUM($A2580:$C2580)</f>
        <v>0.387429093880881</v>
      </c>
      <c r="F2580" s="0" t="n">
        <f aca="false">C2580/SUM($A2580:$C2580)</f>
        <v>0.559042558264625</v>
      </c>
      <c r="G2580" s="0" t="n">
        <f aca="false">SUMPRODUCT(D2580:F2580,Stats!$B$6:$D$6)</f>
        <v>0.363360489553495</v>
      </c>
      <c r="H2580" s="0" t="n">
        <f aca="false">SQRT(SUMPRODUCT(MMULT(D2580:F2580,Stats!$B$12:$D$14),D2580:F2580))</f>
        <v>0.240551961357828</v>
      </c>
      <c r="I2580" s="0" t="n">
        <f aca="false">(G2580-Stats!$B$2)/H2580</f>
        <v>1.33592961678438</v>
      </c>
    </row>
    <row r="2581" customFormat="false" ht="15" hidden="false" customHeight="false" outlineLevel="0" collapsed="false">
      <c r="A2581" s="0" t="n">
        <v>0.208651913158431</v>
      </c>
      <c r="B2581" s="0" t="n">
        <v>0.665272836236911</v>
      </c>
      <c r="C2581" s="0" t="n">
        <v>0.0786985767075095</v>
      </c>
      <c r="D2581" s="0" t="n">
        <f aca="false">A2581/SUM($A2581:$C2581)</f>
        <v>0.219028767657851</v>
      </c>
      <c r="E2581" s="0" t="n">
        <f aca="false">B2581/SUM($A2581:$C2581)</f>
        <v>0.698358751048558</v>
      </c>
      <c r="F2581" s="0" t="n">
        <f aca="false">C2581/SUM($A2581:$C2581)</f>
        <v>0.0826124812935902</v>
      </c>
      <c r="G2581" s="0" t="n">
        <f aca="false">SUMPRODUCT(D2581:F2581,Stats!$B$6:$D$6)</f>
        <v>0.394388355726377</v>
      </c>
      <c r="H2581" s="0" t="n">
        <f aca="false">SQRT(SUMPRODUCT(MMULT(D2581:F2581,Stats!$B$12:$D$14),D2581:F2581))</f>
        <v>0.236979288929125</v>
      </c>
      <c r="I2581" s="0" t="n">
        <f aca="false">(G2581-Stats!$B$2)/H2581</f>
        <v>1.48700064600062</v>
      </c>
    </row>
    <row r="2582" customFormat="false" ht="15" hidden="false" customHeight="false" outlineLevel="0" collapsed="false">
      <c r="A2582" s="0" t="n">
        <v>0.603755143837613</v>
      </c>
      <c r="B2582" s="0" t="n">
        <v>0.163931720953203</v>
      </c>
      <c r="C2582" s="0" t="n">
        <v>0.735953560515178</v>
      </c>
      <c r="D2582" s="0" t="n">
        <f aca="false">A2582/SUM($A2582:$C2582)</f>
        <v>0.401528938485907</v>
      </c>
      <c r="E2582" s="0" t="n">
        <f aca="false">B2582/SUM($A2582:$C2582)</f>
        <v>0.109023220042679</v>
      </c>
      <c r="F2582" s="0" t="n">
        <f aca="false">C2582/SUM($A2582:$C2582)</f>
        <v>0.489447841471414</v>
      </c>
      <c r="G2582" s="0" t="n">
        <f aca="false">SUMPRODUCT(D2582:F2582,Stats!$B$6:$D$6)</f>
        <v>0.349260423454553</v>
      </c>
      <c r="H2582" s="0" t="n">
        <f aca="false">SQRT(SUMPRODUCT(MMULT(D2582:F2582,Stats!$B$12:$D$14),D2582:F2582))</f>
        <v>0.225012413288153</v>
      </c>
      <c r="I2582" s="0" t="n">
        <f aca="false">(G2582-Stats!$B$2)/H2582</f>
        <v>1.36552654568916</v>
      </c>
    </row>
    <row r="2583" customFormat="false" ht="15" hidden="false" customHeight="false" outlineLevel="0" collapsed="false">
      <c r="A2583" s="0" t="n">
        <v>0.301231294793908</v>
      </c>
      <c r="B2583" s="0" t="n">
        <v>0.463391008804646</v>
      </c>
      <c r="C2583" s="0" t="n">
        <v>0.599430542027622</v>
      </c>
      <c r="D2583" s="0" t="n">
        <f aca="false">A2583/SUM($A2583:$C2583)</f>
        <v>0.220835501908745</v>
      </c>
      <c r="E2583" s="0" t="n">
        <f aca="false">B2583/SUM($A2583:$C2583)</f>
        <v>0.339716316923135</v>
      </c>
      <c r="F2583" s="0" t="n">
        <f aca="false">C2583/SUM($A2583:$C2583)</f>
        <v>0.43944818116812</v>
      </c>
      <c r="G2583" s="0" t="n">
        <f aca="false">SUMPRODUCT(D2583:F2583,Stats!$B$6:$D$6)</f>
        <v>0.363912927070805</v>
      </c>
      <c r="H2583" s="0" t="n">
        <f aca="false">SQRT(SUMPRODUCT(MMULT(D2583:F2583,Stats!$B$12:$D$14),D2583:F2583))</f>
        <v>0.230699413318099</v>
      </c>
      <c r="I2583" s="0" t="n">
        <f aca="false">(G2583-Stats!$B$2)/H2583</f>
        <v>1.39537817821381</v>
      </c>
    </row>
    <row r="2584" customFormat="false" ht="15" hidden="false" customHeight="false" outlineLevel="0" collapsed="false">
      <c r="A2584" s="0" t="n">
        <v>0.17127341066624</v>
      </c>
      <c r="B2584" s="0" t="n">
        <v>0.741637818617621</v>
      </c>
      <c r="C2584" s="0" t="n">
        <v>0.302640340636815</v>
      </c>
      <c r="D2584" s="0" t="n">
        <f aca="false">A2584/SUM($A2584:$C2584)</f>
        <v>0.140901805323995</v>
      </c>
      <c r="E2584" s="0" t="n">
        <f aca="false">B2584/SUM($A2584:$C2584)</f>
        <v>0.610124520398603</v>
      </c>
      <c r="F2584" s="0" t="n">
        <f aca="false">C2584/SUM($A2584:$C2584)</f>
        <v>0.248973674277402</v>
      </c>
      <c r="G2584" s="0" t="n">
        <f aca="false">SUMPRODUCT(D2584:F2584,Stats!$B$6:$D$6)</f>
        <v>0.384724126383459</v>
      </c>
      <c r="H2584" s="0" t="n">
        <f aca="false">SQRT(SUMPRODUCT(MMULT(D2584:F2584,Stats!$B$12:$D$14),D2584:F2584))</f>
        <v>0.236423725391896</v>
      </c>
      <c r="I2584" s="0" t="n">
        <f aca="false">(G2584-Stats!$B$2)/H2584</f>
        <v>1.44961816253999</v>
      </c>
    </row>
    <row r="2585" customFormat="false" ht="15" hidden="false" customHeight="false" outlineLevel="0" collapsed="false">
      <c r="A2585" s="0" t="n">
        <v>0.662371859912754</v>
      </c>
      <c r="B2585" s="0" t="n">
        <v>0.158283050699374</v>
      </c>
      <c r="C2585" s="0" t="n">
        <v>0.68811765920635</v>
      </c>
      <c r="D2585" s="0" t="n">
        <f aca="false">A2585/SUM($A2585:$C2585)</f>
        <v>0.439013720929752</v>
      </c>
      <c r="E2585" s="0" t="n">
        <f aca="false">B2585/SUM($A2585:$C2585)</f>
        <v>0.104908489102779</v>
      </c>
      <c r="F2585" s="0" t="n">
        <f aca="false">C2585/SUM($A2585:$C2585)</f>
        <v>0.456077789967469</v>
      </c>
      <c r="G2585" s="0" t="n">
        <f aca="false">SUMPRODUCT(D2585:F2585,Stats!$B$6:$D$6)</f>
        <v>0.349943833497288</v>
      </c>
      <c r="H2585" s="0" t="n">
        <f aca="false">SQRT(SUMPRODUCT(MMULT(D2585:F2585,Stats!$B$12:$D$14),D2585:F2585))</f>
        <v>0.22378673182098</v>
      </c>
      <c r="I2585" s="0" t="n">
        <f aca="false">(G2585-Stats!$B$2)/H2585</f>
        <v>1.37605938918502</v>
      </c>
    </row>
    <row r="2586" customFormat="false" ht="15" hidden="false" customHeight="false" outlineLevel="0" collapsed="false">
      <c r="A2586" s="0" t="n">
        <v>0.128188072810462</v>
      </c>
      <c r="B2586" s="0" t="n">
        <v>0.425356496269984</v>
      </c>
      <c r="C2586" s="0" t="n">
        <v>0.247206073738877</v>
      </c>
      <c r="D2586" s="0" t="n">
        <f aca="false">A2586/SUM($A2586:$C2586)</f>
        <v>0.160084882803379</v>
      </c>
      <c r="E2586" s="0" t="n">
        <f aca="false">B2586/SUM($A2586:$C2586)</f>
        <v>0.531197196136325</v>
      </c>
      <c r="F2586" s="0" t="n">
        <f aca="false">C2586/SUM($A2586:$C2586)</f>
        <v>0.308717921060296</v>
      </c>
      <c r="G2586" s="0" t="n">
        <f aca="false">SUMPRODUCT(D2586:F2586,Stats!$B$6:$D$6)</f>
        <v>0.378535325672851</v>
      </c>
      <c r="H2586" s="0" t="n">
        <f aca="false">SQRT(SUMPRODUCT(MMULT(D2586:F2586,Stats!$B$12:$D$14),D2586:F2586))</f>
        <v>0.234339413308855</v>
      </c>
      <c r="I2586" s="0" t="n">
        <f aca="false">(G2586-Stats!$B$2)/H2586</f>
        <v>1.43610210899224</v>
      </c>
    </row>
    <row r="2587" customFormat="false" ht="15" hidden="false" customHeight="false" outlineLevel="0" collapsed="false">
      <c r="A2587" s="0" t="n">
        <v>0.748375249428183</v>
      </c>
      <c r="B2587" s="0" t="n">
        <v>0.262035004506875</v>
      </c>
      <c r="C2587" s="0" t="n">
        <v>0.881717306395396</v>
      </c>
      <c r="D2587" s="0" t="n">
        <f aca="false">A2587/SUM($A2587:$C2587)</f>
        <v>0.395520505656332</v>
      </c>
      <c r="E2587" s="0" t="n">
        <f aca="false">B2587/SUM($A2587:$C2587)</f>
        <v>0.138486965678525</v>
      </c>
      <c r="F2587" s="0" t="n">
        <f aca="false">C2587/SUM($A2587:$C2587)</f>
        <v>0.465992528665143</v>
      </c>
      <c r="G2587" s="0" t="n">
        <f aca="false">SUMPRODUCT(D2587:F2587,Stats!$B$6:$D$6)</f>
        <v>0.351602500473505</v>
      </c>
      <c r="H2587" s="0" t="n">
        <f aca="false">SQRT(SUMPRODUCT(MMULT(D2587:F2587,Stats!$B$12:$D$14),D2587:F2587))</f>
        <v>0.224841847171001</v>
      </c>
      <c r="I2587" s="0" t="n">
        <f aca="false">(G2587-Stats!$B$2)/H2587</f>
        <v>1.37697899376374</v>
      </c>
    </row>
    <row r="2588" customFormat="false" ht="15" hidden="false" customHeight="false" outlineLevel="0" collapsed="false">
      <c r="A2588" s="0" t="n">
        <v>0.891820211406613</v>
      </c>
      <c r="B2588" s="0" t="n">
        <v>0.196441315222786</v>
      </c>
      <c r="C2588" s="0" t="n">
        <v>0.613845945007724</v>
      </c>
      <c r="D2588" s="0" t="n">
        <f aca="false">A2588/SUM($A2588:$C2588)</f>
        <v>0.523950588471856</v>
      </c>
      <c r="E2588" s="0" t="n">
        <f aca="false">B2588/SUM($A2588:$C2588)</f>
        <v>0.115410641511282</v>
      </c>
      <c r="F2588" s="0" t="n">
        <f aca="false">C2588/SUM($A2588:$C2588)</f>
        <v>0.360638770016863</v>
      </c>
      <c r="G2588" s="0" t="n">
        <f aca="false">SUMPRODUCT(D2588:F2588,Stats!$B$6:$D$6)</f>
        <v>0.353179808021564</v>
      </c>
      <c r="H2588" s="0" t="n">
        <f aca="false">SQRT(SUMPRODUCT(MMULT(D2588:F2588,Stats!$B$12:$D$14),D2588:F2588))</f>
        <v>0.221850468803981</v>
      </c>
      <c r="I2588" s="0" t="n">
        <f aca="false">(G2588-Stats!$B$2)/H2588</f>
        <v>1.40265562520182</v>
      </c>
    </row>
    <row r="2589" customFormat="false" ht="15" hidden="false" customHeight="false" outlineLevel="0" collapsed="false">
      <c r="A2589" s="0" t="n">
        <v>0.0877176417199643</v>
      </c>
      <c r="B2589" s="0" t="n">
        <v>0.391537099601629</v>
      </c>
      <c r="C2589" s="0" t="n">
        <v>0.713321729501272</v>
      </c>
      <c r="D2589" s="0" t="n">
        <f aca="false">A2589/SUM($A2589:$C2589)</f>
        <v>0.0735530541361763</v>
      </c>
      <c r="E2589" s="0" t="n">
        <f aca="false">B2589/SUM($A2589:$C2589)</f>
        <v>0.328311944081433</v>
      </c>
      <c r="F2589" s="0" t="n">
        <f aca="false">C2589/SUM($A2589:$C2589)</f>
        <v>0.598135001782391</v>
      </c>
      <c r="G2589" s="0" t="n">
        <f aca="false">SUMPRODUCT(D2589:F2589,Stats!$B$6:$D$6)</f>
        <v>0.358881006173606</v>
      </c>
      <c r="H2589" s="0" t="n">
        <f aca="false">SQRT(SUMPRODUCT(MMULT(D2589:F2589,Stats!$B$12:$D$14),D2589:F2589))</f>
        <v>0.240021581212636</v>
      </c>
      <c r="I2589" s="0" t="n">
        <f aca="false">(G2589-Stats!$B$2)/H2589</f>
        <v>1.32021880937814</v>
      </c>
    </row>
    <row r="2590" customFormat="false" ht="15" hidden="false" customHeight="false" outlineLevel="0" collapsed="false">
      <c r="A2590" s="0" t="n">
        <v>0.659423246849916</v>
      </c>
      <c r="B2590" s="0" t="n">
        <v>0.624700669406608</v>
      </c>
      <c r="C2590" s="0" t="n">
        <v>0.282540863662444</v>
      </c>
      <c r="D2590" s="0" t="n">
        <f aca="false">A2590/SUM($A2590:$C2590)</f>
        <v>0.420908962339744</v>
      </c>
      <c r="E2590" s="0" t="n">
        <f aca="false">B2590/SUM($A2590:$C2590)</f>
        <v>0.398745588343997</v>
      </c>
      <c r="F2590" s="0" t="n">
        <f aca="false">C2590/SUM($A2590:$C2590)</f>
        <v>0.180345449316259</v>
      </c>
      <c r="G2590" s="0" t="n">
        <f aca="false">SUMPRODUCT(D2590:F2590,Stats!$B$6:$D$6)</f>
        <v>0.374454053122935</v>
      </c>
      <c r="H2590" s="0" t="n">
        <f aca="false">SQRT(SUMPRODUCT(MMULT(D2590:F2590,Stats!$B$12:$D$14),D2590:F2590))</f>
        <v>0.225777773003776</v>
      </c>
      <c r="I2590" s="0" t="n">
        <f aca="false">(G2590-Stats!$B$2)/H2590</f>
        <v>1.47248353414034</v>
      </c>
    </row>
    <row r="2591" customFormat="false" ht="15" hidden="false" customHeight="false" outlineLevel="0" collapsed="false">
      <c r="A2591" s="0" t="n">
        <v>0.378024949434402</v>
      </c>
      <c r="B2591" s="0" t="n">
        <v>0.102946144700286</v>
      </c>
      <c r="C2591" s="0" t="n">
        <v>0.719022820433601</v>
      </c>
      <c r="D2591" s="0" t="n">
        <f aca="false">A2591/SUM($A2591:$C2591)</f>
        <v>0.315022388734697</v>
      </c>
      <c r="E2591" s="0" t="n">
        <f aca="false">B2591/SUM($A2591:$C2591)</f>
        <v>0.0857888889689263</v>
      </c>
      <c r="F2591" s="0" t="n">
        <f aca="false">C2591/SUM($A2591:$C2591)</f>
        <v>0.599188722296377</v>
      </c>
      <c r="G2591" s="0" t="n">
        <f aca="false">SUMPRODUCT(D2591:F2591,Stats!$B$6:$D$6)</f>
        <v>0.344897487535989</v>
      </c>
      <c r="H2591" s="0" t="n">
        <f aca="false">SQRT(SUMPRODUCT(MMULT(D2591:F2591,Stats!$B$12:$D$14),D2591:F2591))</f>
        <v>0.229522892287743</v>
      </c>
      <c r="I2591" s="0" t="n">
        <f aca="false">(G2591-Stats!$B$2)/H2591</f>
        <v>1.31968312405309</v>
      </c>
    </row>
    <row r="2592" customFormat="false" ht="15" hidden="false" customHeight="false" outlineLevel="0" collapsed="false">
      <c r="A2592" s="0" t="n">
        <v>0.503888796791274</v>
      </c>
      <c r="B2592" s="0" t="n">
        <v>0.708765632345655</v>
      </c>
      <c r="C2592" s="0" t="n">
        <v>0.248943524796873</v>
      </c>
      <c r="D2592" s="0" t="n">
        <f aca="false">A2592/SUM($A2592:$C2592)</f>
        <v>0.344751985616214</v>
      </c>
      <c r="E2592" s="0" t="n">
        <f aca="false">B2592/SUM($A2592:$C2592)</f>
        <v>0.484925167306136</v>
      </c>
      <c r="F2592" s="0" t="n">
        <f aca="false">C2592/SUM($A2592:$C2592)</f>
        <v>0.17032284707765</v>
      </c>
      <c r="G2592" s="0" t="n">
        <f aca="false">SUMPRODUCT(D2592:F2592,Stats!$B$6:$D$6)</f>
        <v>0.379689083958204</v>
      </c>
      <c r="H2592" s="0" t="n">
        <f aca="false">SQRT(SUMPRODUCT(MMULT(D2592:F2592,Stats!$B$12:$D$14),D2592:F2592))</f>
        <v>0.228507722535738</v>
      </c>
      <c r="I2592" s="0" t="n">
        <f aca="false">(G2592-Stats!$B$2)/H2592</f>
        <v>1.47780162618089</v>
      </c>
    </row>
    <row r="2593" customFormat="false" ht="15" hidden="false" customHeight="false" outlineLevel="0" collapsed="false">
      <c r="A2593" s="0" t="n">
        <v>0.324438228635066</v>
      </c>
      <c r="B2593" s="0" t="n">
        <v>0.334215337260115</v>
      </c>
      <c r="C2593" s="0" t="n">
        <v>0.0257424097472162</v>
      </c>
      <c r="D2593" s="0" t="n">
        <f aca="false">A2593/SUM($A2593:$C2593)</f>
        <v>0.474050462278855</v>
      </c>
      <c r="E2593" s="0" t="n">
        <f aca="false">B2593/SUM($A2593:$C2593)</f>
        <v>0.488336210548884</v>
      </c>
      <c r="F2593" s="0" t="n">
        <f aca="false">C2593/SUM($A2593:$C2593)</f>
        <v>0.0376133271722609</v>
      </c>
      <c r="G2593" s="0" t="n">
        <f aca="false">SUMPRODUCT(D2593:F2593,Stats!$B$6:$D$6)</f>
        <v>0.383544764940191</v>
      </c>
      <c r="H2593" s="0" t="n">
        <f aca="false">SQRT(SUMPRODUCT(MMULT(D2593:F2593,Stats!$B$12:$D$14),D2593:F2593))</f>
        <v>0.228768292979692</v>
      </c>
      <c r="I2593" s="0" t="n">
        <f aca="false">(G2593-Stats!$B$2)/H2593</f>
        <v>1.49297247661201</v>
      </c>
    </row>
    <row r="2594" customFormat="false" ht="15" hidden="false" customHeight="false" outlineLevel="0" collapsed="false">
      <c r="A2594" s="0" t="n">
        <v>0.341047872830624</v>
      </c>
      <c r="B2594" s="0" t="n">
        <v>0.803304573518034</v>
      </c>
      <c r="C2594" s="0" t="n">
        <v>0.897298495749739</v>
      </c>
      <c r="D2594" s="0" t="n">
        <f aca="false">A2594/SUM($A2594:$C2594)</f>
        <v>0.167045142633489</v>
      </c>
      <c r="E2594" s="0" t="n">
        <f aca="false">B2594/SUM($A2594:$C2594)</f>
        <v>0.393458331663885</v>
      </c>
      <c r="F2594" s="0" t="n">
        <f aca="false">C2594/SUM($A2594:$C2594)</f>
        <v>0.439496525702626</v>
      </c>
      <c r="G2594" s="0" t="n">
        <f aca="false">SUMPRODUCT(D2594:F2594,Stats!$B$6:$D$6)</f>
        <v>0.367003839960114</v>
      </c>
      <c r="H2594" s="0" t="n">
        <f aca="false">SQRT(SUMPRODUCT(MMULT(D2594:F2594,Stats!$B$12:$D$14),D2594:F2594))</f>
        <v>0.233283174669317</v>
      </c>
      <c r="I2594" s="0" t="n">
        <f aca="false">(G2594-Stats!$B$2)/H2594</f>
        <v>1.39317308426042</v>
      </c>
    </row>
    <row r="2595" customFormat="false" ht="15" hidden="false" customHeight="false" outlineLevel="0" collapsed="false">
      <c r="A2595" s="0" t="n">
        <v>0.518218315635928</v>
      </c>
      <c r="B2595" s="0" t="n">
        <v>0.45550169521922</v>
      </c>
      <c r="C2595" s="0" t="n">
        <v>0.0308246186993703</v>
      </c>
      <c r="D2595" s="0" t="n">
        <f aca="false">A2595/SUM($A2595:$C2595)</f>
        <v>0.515873860045163</v>
      </c>
      <c r="E2595" s="0" t="n">
        <f aca="false">B2595/SUM($A2595:$C2595)</f>
        <v>0.453440973967697</v>
      </c>
      <c r="F2595" s="0" t="n">
        <f aca="false">C2595/SUM($A2595:$C2595)</f>
        <v>0.0306851659871398</v>
      </c>
      <c r="G2595" s="0" t="n">
        <f aca="false">SUMPRODUCT(D2595:F2595,Stats!$B$6:$D$6)</f>
        <v>0.3817279795713</v>
      </c>
      <c r="H2595" s="0" t="n">
        <f aca="false">SQRT(SUMPRODUCT(MMULT(D2595:F2595,Stats!$B$12:$D$14),D2595:F2595))</f>
        <v>0.228098960051933</v>
      </c>
      <c r="I2595" s="0" t="n">
        <f aca="false">(G2595-Stats!$B$2)/H2595</f>
        <v>1.48938855089016</v>
      </c>
    </row>
    <row r="2596" customFormat="false" ht="15" hidden="false" customHeight="false" outlineLevel="0" collapsed="false">
      <c r="A2596" s="0" t="n">
        <v>0.879204337585383</v>
      </c>
      <c r="B2596" s="0" t="n">
        <v>0.0130102134258727</v>
      </c>
      <c r="C2596" s="0" t="n">
        <v>0.944750080210212</v>
      </c>
      <c r="D2596" s="0" t="n">
        <f aca="false">A2596/SUM($A2596:$C2596)</f>
        <v>0.478617999847262</v>
      </c>
      <c r="E2596" s="0" t="n">
        <f aca="false">B2596/SUM($A2596:$C2596)</f>
        <v>0.00708245178200396</v>
      </c>
      <c r="F2596" s="0" t="n">
        <f aca="false">C2596/SUM($A2596:$C2596)</f>
        <v>0.514299548370734</v>
      </c>
      <c r="G2596" s="0" t="n">
        <f aca="false">SUMPRODUCT(D2596:F2596,Stats!$B$6:$D$6)</f>
        <v>0.342709607328909</v>
      </c>
      <c r="H2596" s="0" t="n">
        <f aca="false">SQRT(SUMPRODUCT(MMULT(D2596:F2596,Stats!$B$12:$D$14),D2596:F2596))</f>
        <v>0.224076709468439</v>
      </c>
      <c r="I2596" s="0" t="n">
        <f aca="false">(G2596-Stats!$B$2)/H2596</f>
        <v>1.34199403428522</v>
      </c>
    </row>
    <row r="2597" customFormat="false" ht="15" hidden="false" customHeight="false" outlineLevel="0" collapsed="false">
      <c r="A2597" s="0" t="n">
        <v>0.489216248688091</v>
      </c>
      <c r="B2597" s="0" t="n">
        <v>0.341934493574727</v>
      </c>
      <c r="C2597" s="0" t="n">
        <v>0.92421843484266</v>
      </c>
      <c r="D2597" s="0" t="n">
        <f aca="false">A2597/SUM($A2597:$C2597)</f>
        <v>0.278697071287754</v>
      </c>
      <c r="E2597" s="0" t="n">
        <f aca="false">B2597/SUM($A2597:$C2597)</f>
        <v>0.194793493035215</v>
      </c>
      <c r="F2597" s="0" t="n">
        <f aca="false">C2597/SUM($A2597:$C2597)</f>
        <v>0.526509435677032</v>
      </c>
      <c r="G2597" s="0" t="n">
        <f aca="false">SUMPRODUCT(D2597:F2597,Stats!$B$6:$D$6)</f>
        <v>0.35317357474667</v>
      </c>
      <c r="H2597" s="0" t="n">
        <f aca="false">SQRT(SUMPRODUCT(MMULT(D2597:F2597,Stats!$B$12:$D$14),D2597:F2597))</f>
        <v>0.229212293221059</v>
      </c>
      <c r="I2597" s="0" t="n">
        <f aca="false">(G2597-Stats!$B$2)/H2597</f>
        <v>1.35757803551385</v>
      </c>
    </row>
    <row r="2598" customFormat="false" ht="15" hidden="false" customHeight="false" outlineLevel="0" collapsed="false">
      <c r="A2598" s="0" t="n">
        <v>0.0243909931100967</v>
      </c>
      <c r="B2598" s="0" t="n">
        <v>0.581424894869087</v>
      </c>
      <c r="C2598" s="0" t="n">
        <v>0.548932524499338</v>
      </c>
      <c r="D2598" s="0" t="n">
        <f aca="false">A2598/SUM($A2598:$C2598)</f>
        <v>0.0211223439205641</v>
      </c>
      <c r="E2598" s="0" t="n">
        <f aca="false">B2598/SUM($A2598:$C2598)</f>
        <v>0.503507853819978</v>
      </c>
      <c r="F2598" s="0" t="n">
        <f aca="false">C2598/SUM($A2598:$C2598)</f>
        <v>0.475369802259458</v>
      </c>
      <c r="G2598" s="0" t="n">
        <f aca="false">SUMPRODUCT(D2598:F2598,Stats!$B$6:$D$6)</f>
        <v>0.3723467552272</v>
      </c>
      <c r="H2598" s="0" t="n">
        <f aca="false">SQRT(SUMPRODUCT(MMULT(D2598:F2598,Stats!$B$12:$D$14),D2598:F2598))</f>
        <v>0.241865987798422</v>
      </c>
      <c r="I2598" s="0" t="n">
        <f aca="false">(G2598-Stats!$B$2)/H2598</f>
        <v>1.36582558893117</v>
      </c>
    </row>
    <row r="2599" customFormat="false" ht="15" hidden="false" customHeight="false" outlineLevel="0" collapsed="false">
      <c r="A2599" s="0" t="n">
        <v>0.219320401211382</v>
      </c>
      <c r="B2599" s="0" t="n">
        <v>0.428887431350211</v>
      </c>
      <c r="C2599" s="0" t="n">
        <v>0.65226400594377</v>
      </c>
      <c r="D2599" s="0" t="n">
        <f aca="false">A2599/SUM($A2599:$C2599)</f>
        <v>0.168646790124612</v>
      </c>
      <c r="E2599" s="0" t="n">
        <f aca="false">B2599/SUM($A2599:$C2599)</f>
        <v>0.329793709214905</v>
      </c>
      <c r="F2599" s="0" t="n">
        <f aca="false">C2599/SUM($A2599:$C2599)</f>
        <v>0.501559500660483</v>
      </c>
      <c r="G2599" s="0" t="n">
        <f aca="false">SUMPRODUCT(D2599:F2599,Stats!$B$6:$D$6)</f>
        <v>0.361629297320121</v>
      </c>
      <c r="H2599" s="0" t="n">
        <f aca="false">SQRT(SUMPRODUCT(MMULT(D2599:F2599,Stats!$B$12:$D$14),D2599:F2599))</f>
        <v>0.233595441138937</v>
      </c>
      <c r="I2599" s="0" t="n">
        <f aca="false">(G2599-Stats!$B$2)/H2599</f>
        <v>1.36830280489084</v>
      </c>
    </row>
    <row r="2600" customFormat="false" ht="15" hidden="false" customHeight="false" outlineLevel="0" collapsed="false">
      <c r="A2600" s="0" t="n">
        <v>0.727131196881928</v>
      </c>
      <c r="B2600" s="0" t="n">
        <v>0.000716858706579782</v>
      </c>
      <c r="C2600" s="0" t="n">
        <v>0.936853430091015</v>
      </c>
      <c r="D2600" s="0" t="n">
        <f aca="false">A2600/SUM($A2600:$C2600)</f>
        <v>0.4367937453874</v>
      </c>
      <c r="E2600" s="0" t="n">
        <f aca="false">B2600/SUM($A2600:$C2600)</f>
        <v>0.000430622975197961</v>
      </c>
      <c r="F2600" s="0" t="n">
        <f aca="false">C2600/SUM($A2600:$C2600)</f>
        <v>0.562775631637402</v>
      </c>
      <c r="G2600" s="0" t="n">
        <f aca="false">SUMPRODUCT(D2600:F2600,Stats!$B$6:$D$6)</f>
        <v>0.340990160357462</v>
      </c>
      <c r="H2600" s="0" t="n">
        <f aca="false">SQRT(SUMPRODUCT(MMULT(D2600:F2600,Stats!$B$12:$D$14),D2600:F2600))</f>
        <v>0.225767841246428</v>
      </c>
      <c r="I2600" s="0" t="n">
        <f aca="false">(G2600-Stats!$B$2)/H2600</f>
        <v>1.32432572640455</v>
      </c>
    </row>
    <row r="2601" customFormat="false" ht="15" hidden="false" customHeight="false" outlineLevel="0" collapsed="false">
      <c r="A2601" s="0" t="n">
        <v>0.164525372392812</v>
      </c>
      <c r="B2601" s="0" t="n">
        <v>0.233580434222359</v>
      </c>
      <c r="C2601" s="0" t="n">
        <v>0.263473445693848</v>
      </c>
      <c r="D2601" s="0" t="n">
        <f aca="false">A2601/SUM($A2601:$C2601)</f>
        <v>0.248685810231491</v>
      </c>
      <c r="E2601" s="0" t="n">
        <f aca="false">B2601/SUM($A2601:$C2601)</f>
        <v>0.353064932745586</v>
      </c>
      <c r="F2601" s="0" t="n">
        <f aca="false">C2601/SUM($A2601:$C2601)</f>
        <v>0.398249257022923</v>
      </c>
      <c r="G2601" s="0" t="n">
        <f aca="false">SUMPRODUCT(D2601:F2601,Stats!$B$6:$D$6)</f>
        <v>0.365817033635818</v>
      </c>
      <c r="H2601" s="0" t="n">
        <f aca="false">SQRT(SUMPRODUCT(MMULT(D2601:F2601,Stats!$B$12:$D$14),D2601:F2601))</f>
        <v>0.229398147679666</v>
      </c>
      <c r="I2601" s="0" t="n">
        <f aca="false">(G2601-Stats!$B$2)/H2601</f>
        <v>1.41159393356567</v>
      </c>
    </row>
    <row r="2602" customFormat="false" ht="15" hidden="false" customHeight="false" outlineLevel="0" collapsed="false">
      <c r="A2602" s="0" t="n">
        <v>0.0378201365520353</v>
      </c>
      <c r="B2602" s="0" t="n">
        <v>0.123052123590325</v>
      </c>
      <c r="C2602" s="0" t="n">
        <v>0.986349922944162</v>
      </c>
      <c r="D2602" s="0" t="n">
        <f aca="false">A2602/SUM($A2602:$C2602)</f>
        <v>0.0329667061094328</v>
      </c>
      <c r="E2602" s="0" t="n">
        <f aca="false">B2602/SUM($A2602:$C2602)</f>
        <v>0.107260934633657</v>
      </c>
      <c r="F2602" s="0" t="n">
        <f aca="false">C2602/SUM($A2602:$C2602)</f>
        <v>0.85977235925691</v>
      </c>
      <c r="G2602" s="0" t="n">
        <f aca="false">SUMPRODUCT(D2602:F2602,Stats!$B$6:$D$6)</f>
        <v>0.338947467689363</v>
      </c>
      <c r="H2602" s="0" t="n">
        <f aca="false">SQRT(SUMPRODUCT(MMULT(D2602:F2602,Stats!$B$12:$D$14),D2602:F2602))</f>
        <v>0.250783388148052</v>
      </c>
      <c r="I2602" s="0" t="n">
        <f aca="false">(G2602-Stats!$B$2)/H2602</f>
        <v>1.1840794953853</v>
      </c>
    </row>
    <row r="2603" customFormat="false" ht="15" hidden="false" customHeight="false" outlineLevel="0" collapsed="false">
      <c r="A2603" s="0" t="n">
        <v>0.315216737377286</v>
      </c>
      <c r="B2603" s="0" t="n">
        <v>0.115301090339049</v>
      </c>
      <c r="C2603" s="0" t="n">
        <v>0.106991261174623</v>
      </c>
      <c r="D2603" s="0" t="n">
        <f aca="false">A2603/SUM($A2603:$C2603)</f>
        <v>0.586439827515609</v>
      </c>
      <c r="E2603" s="0" t="n">
        <f aca="false">B2603/SUM($A2603:$C2603)</f>
        <v>0.214510029173553</v>
      </c>
      <c r="F2603" s="0" t="n">
        <f aca="false">C2603/SUM($A2603:$C2603)</f>
        <v>0.199050143310838</v>
      </c>
      <c r="G2603" s="0" t="n">
        <f aca="false">SUMPRODUCT(D2603:F2603,Stats!$B$6:$D$6)</f>
        <v>0.363337602756989</v>
      </c>
      <c r="H2603" s="0" t="n">
        <f aca="false">SQRT(SUMPRODUCT(MMULT(D2603:F2603,Stats!$B$12:$D$14),D2603:F2603))</f>
        <v>0.22245949309155</v>
      </c>
      <c r="I2603" s="0" t="n">
        <f aca="false">(G2603-Stats!$B$2)/H2603</f>
        <v>1.44447691708417</v>
      </c>
    </row>
    <row r="2604" customFormat="false" ht="15" hidden="false" customHeight="false" outlineLevel="0" collapsed="false">
      <c r="A2604" s="0" t="n">
        <v>0.719459967669972</v>
      </c>
      <c r="B2604" s="0" t="n">
        <v>0.854568664032641</v>
      </c>
      <c r="C2604" s="0" t="n">
        <v>0.25695229950847</v>
      </c>
      <c r="D2604" s="0" t="n">
        <f aca="false">A2604/SUM($A2604:$C2604)</f>
        <v>0.392936898143496</v>
      </c>
      <c r="E2604" s="0" t="n">
        <f aca="false">B2604/SUM($A2604:$C2604)</f>
        <v>0.466727233181722</v>
      </c>
      <c r="F2604" s="0" t="n">
        <f aca="false">C2604/SUM($A2604:$C2604)</f>
        <v>0.140335868674783</v>
      </c>
      <c r="G2604" s="0" t="n">
        <f aca="false">SUMPRODUCT(D2604:F2604,Stats!$B$6:$D$6)</f>
        <v>0.379468877777672</v>
      </c>
      <c r="H2604" s="0" t="n">
        <f aca="false">SQRT(SUMPRODUCT(MMULT(D2604:F2604,Stats!$B$12:$D$14),D2604:F2604))</f>
        <v>0.227644318319199</v>
      </c>
      <c r="I2604" s="0" t="n">
        <f aca="false">(G2604-Stats!$B$2)/H2604</f>
        <v>1.48243927311411</v>
      </c>
    </row>
    <row r="2605" customFormat="false" ht="15" hidden="false" customHeight="false" outlineLevel="0" collapsed="false">
      <c r="A2605" s="0" t="n">
        <v>0.020909512335235</v>
      </c>
      <c r="B2605" s="0" t="n">
        <v>0.223090018445356</v>
      </c>
      <c r="C2605" s="0" t="n">
        <v>0.0565156907967573</v>
      </c>
      <c r="D2605" s="0" t="n">
        <f aca="false">A2605/SUM($A2605:$C2605)</f>
        <v>0.0695788793176095</v>
      </c>
      <c r="E2605" s="0" t="n">
        <f aca="false">B2605/SUM($A2605:$C2605)</f>
        <v>0.742358464487749</v>
      </c>
      <c r="F2605" s="0" t="n">
        <f aca="false">C2605/SUM($A2605:$C2605)</f>
        <v>0.188062656194642</v>
      </c>
      <c r="G2605" s="0" t="n">
        <f aca="false">SUMPRODUCT(D2605:F2605,Stats!$B$6:$D$6)</f>
        <v>0.394012294275326</v>
      </c>
      <c r="H2605" s="0" t="n">
        <f aca="false">SQRT(SUMPRODUCT(MMULT(D2605:F2605,Stats!$B$12:$D$14),D2605:F2605))</f>
        <v>0.242346975776084</v>
      </c>
      <c r="I2605" s="0" t="n">
        <f aca="false">(G2605-Stats!$B$2)/H2605</f>
        <v>1.45251366619308</v>
      </c>
    </row>
    <row r="2606" customFormat="false" ht="15" hidden="false" customHeight="false" outlineLevel="0" collapsed="false">
      <c r="A2606" s="0" t="n">
        <v>0.103394936630042</v>
      </c>
      <c r="B2606" s="0" t="n">
        <v>0.431508119847642</v>
      </c>
      <c r="C2606" s="0" t="n">
        <v>0.229918370861633</v>
      </c>
      <c r="D2606" s="0" t="n">
        <f aca="false">A2606/SUM($A2606:$C2606)</f>
        <v>0.135188336694142</v>
      </c>
      <c r="E2606" s="0" t="n">
        <f aca="false">B2606/SUM($A2606:$C2606)</f>
        <v>0.564194600756396</v>
      </c>
      <c r="F2606" s="0" t="n">
        <f aca="false">C2606/SUM($A2606:$C2606)</f>
        <v>0.300617062549463</v>
      </c>
      <c r="G2606" s="0" t="n">
        <f aca="false">SUMPRODUCT(D2606:F2606,Stats!$B$6:$D$6)</f>
        <v>0.380657331684667</v>
      </c>
      <c r="H2606" s="0" t="n">
        <f aca="false">SQRT(SUMPRODUCT(MMULT(D2606:F2606,Stats!$B$12:$D$14),D2606:F2606))</f>
        <v>0.235848160702643</v>
      </c>
      <c r="I2606" s="0" t="n">
        <f aca="false">(G2606-Stats!$B$2)/H2606</f>
        <v>1.43591254083022</v>
      </c>
    </row>
    <row r="2607" customFormat="false" ht="15" hidden="false" customHeight="false" outlineLevel="0" collapsed="false">
      <c r="A2607" s="0" t="n">
        <v>0.515945878525423</v>
      </c>
      <c r="B2607" s="0" t="n">
        <v>0.25349375325719</v>
      </c>
      <c r="C2607" s="0" t="n">
        <v>0.940537301102948</v>
      </c>
      <c r="D2607" s="0" t="n">
        <f aca="false">A2607/SUM($A2607:$C2607)</f>
        <v>0.301726806135783</v>
      </c>
      <c r="E2607" s="0" t="n">
        <f aca="false">B2607/SUM($A2607:$C2607)</f>
        <v>0.148243960712045</v>
      </c>
      <c r="F2607" s="0" t="n">
        <f aca="false">C2607/SUM($A2607:$C2607)</f>
        <v>0.550029233152172</v>
      </c>
      <c r="G2607" s="0" t="n">
        <f aca="false">SUMPRODUCT(D2607:F2607,Stats!$B$6:$D$6)</f>
        <v>0.349846625535489</v>
      </c>
      <c r="H2607" s="0" t="n">
        <f aca="false">SQRT(SUMPRODUCT(MMULT(D2607:F2607,Stats!$B$12:$D$14),D2607:F2607))</f>
        <v>0.228832397888119</v>
      </c>
      <c r="I2607" s="0" t="n">
        <f aca="false">(G2607-Stats!$B$2)/H2607</f>
        <v>1.34529301085243</v>
      </c>
    </row>
    <row r="2608" customFormat="false" ht="15" hidden="false" customHeight="false" outlineLevel="0" collapsed="false">
      <c r="A2608" s="0" t="n">
        <v>0.905943967926265</v>
      </c>
      <c r="B2608" s="0" t="n">
        <v>0.566806105010466</v>
      </c>
      <c r="C2608" s="0" t="n">
        <v>0.354423991987386</v>
      </c>
      <c r="D2608" s="0" t="n">
        <f aca="false">A2608/SUM($A2608:$C2608)</f>
        <v>0.49581700250539</v>
      </c>
      <c r="E2608" s="0" t="n">
        <f aca="false">B2608/SUM($A2608:$C2608)</f>
        <v>0.310209145308773</v>
      </c>
      <c r="F2608" s="0" t="n">
        <f aca="false">C2608/SUM($A2608:$C2608)</f>
        <v>0.193973852185837</v>
      </c>
      <c r="G2608" s="0" t="n">
        <f aca="false">SUMPRODUCT(D2608:F2608,Stats!$B$6:$D$6)</f>
        <v>0.368983982813795</v>
      </c>
      <c r="H2608" s="0" t="n">
        <f aca="false">SQRT(SUMPRODUCT(MMULT(D2608:F2608,Stats!$B$12:$D$14),D2608:F2608))</f>
        <v>0.223736167954308</v>
      </c>
      <c r="I2608" s="0" t="n">
        <f aca="false">(G2608-Stats!$B$2)/H2608</f>
        <v>1.46147127575982</v>
      </c>
    </row>
    <row r="2609" customFormat="false" ht="15" hidden="false" customHeight="false" outlineLevel="0" collapsed="false">
      <c r="A2609" s="0" t="n">
        <v>0.381146882034736</v>
      </c>
      <c r="B2609" s="0" t="n">
        <v>0.411852283144497</v>
      </c>
      <c r="C2609" s="0" t="n">
        <v>0.727579322134944</v>
      </c>
      <c r="D2609" s="0" t="n">
        <f aca="false">A2609/SUM($A2609:$C2609)</f>
        <v>0.250659130860099</v>
      </c>
      <c r="E2609" s="0" t="n">
        <f aca="false">B2609/SUM($A2609:$C2609)</f>
        <v>0.270852367424952</v>
      </c>
      <c r="F2609" s="0" t="n">
        <f aca="false">C2609/SUM($A2609:$C2609)</f>
        <v>0.478488501714949</v>
      </c>
      <c r="G2609" s="0" t="n">
        <f aca="false">SUMPRODUCT(D2609:F2609,Stats!$B$6:$D$6)</f>
        <v>0.358874062722163</v>
      </c>
      <c r="H2609" s="0" t="n">
        <f aca="false">SQRT(SUMPRODUCT(MMULT(D2609:F2609,Stats!$B$12:$D$14),D2609:F2609))</f>
        <v>0.229681041142574</v>
      </c>
      <c r="I2609" s="0" t="n">
        <f aca="false">(G2609-Stats!$B$2)/H2609</f>
        <v>1.37962655143776</v>
      </c>
    </row>
    <row r="2610" customFormat="false" ht="15" hidden="false" customHeight="false" outlineLevel="0" collapsed="false">
      <c r="A2610" s="0" t="n">
        <v>0.451638995518838</v>
      </c>
      <c r="B2610" s="0" t="n">
        <v>0.856729946505897</v>
      </c>
      <c r="C2610" s="0" t="n">
        <v>0.944094785930365</v>
      </c>
      <c r="D2610" s="0" t="n">
        <f aca="false">A2610/SUM($A2610:$C2610)</f>
        <v>0.200508887185881</v>
      </c>
      <c r="E2610" s="0" t="n">
        <f aca="false">B2610/SUM($A2610:$C2610)</f>
        <v>0.380352382980959</v>
      </c>
      <c r="F2610" s="0" t="n">
        <f aca="false">C2610/SUM($A2610:$C2610)</f>
        <v>0.41913872983316</v>
      </c>
      <c r="G2610" s="0" t="n">
        <f aca="false">SUMPRODUCT(D2610:F2610,Stats!$B$6:$D$6)</f>
        <v>0.366811099026677</v>
      </c>
      <c r="H2610" s="0" t="n">
        <f aca="false">SQRT(SUMPRODUCT(MMULT(D2610:F2610,Stats!$B$12:$D$14),D2610:F2610))</f>
        <v>0.231593424761623</v>
      </c>
      <c r="I2610" s="0" t="n">
        <f aca="false">(G2610-Stats!$B$2)/H2610</f>
        <v>1.40250570309154</v>
      </c>
    </row>
    <row r="2611" customFormat="false" ht="15" hidden="false" customHeight="false" outlineLevel="0" collapsed="false">
      <c r="A2611" s="0" t="n">
        <v>0.335946153378934</v>
      </c>
      <c r="B2611" s="0" t="n">
        <v>0.56069448137568</v>
      </c>
      <c r="C2611" s="0" t="n">
        <v>0.0950565368325644</v>
      </c>
      <c r="D2611" s="0" t="n">
        <f aca="false">A2611/SUM($A2611:$C2611)</f>
        <v>0.338758809648779</v>
      </c>
      <c r="E2611" s="0" t="n">
        <f aca="false">B2611/SUM($A2611:$C2611)</f>
        <v>0.565388807631978</v>
      </c>
      <c r="F2611" s="0" t="n">
        <f aca="false">C2611/SUM($A2611:$C2611)</f>
        <v>0.0958523827192424</v>
      </c>
      <c r="G2611" s="0" t="n">
        <f aca="false">SUMPRODUCT(D2611:F2611,Stats!$B$6:$D$6)</f>
        <v>0.386372352092338</v>
      </c>
      <c r="H2611" s="0" t="n">
        <f aca="false">SQRT(SUMPRODUCT(MMULT(D2611:F2611,Stats!$B$12:$D$14),D2611:F2611))</f>
        <v>0.23098215808406</v>
      </c>
      <c r="I2611" s="0" t="n">
        <f aca="false">(G2611-Stats!$B$2)/H2611</f>
        <v>1.49090455708277</v>
      </c>
    </row>
    <row r="2612" customFormat="false" ht="15" hidden="false" customHeight="false" outlineLevel="0" collapsed="false">
      <c r="A2612" s="0" t="n">
        <v>0.200469047766359</v>
      </c>
      <c r="B2612" s="0" t="n">
        <v>0.41346576671016</v>
      </c>
      <c r="C2612" s="0" t="n">
        <v>0.206202715901779</v>
      </c>
      <c r="D2612" s="0" t="n">
        <f aca="false">A2612/SUM($A2612:$C2612)</f>
        <v>0.244433452123439</v>
      </c>
      <c r="E2612" s="0" t="n">
        <f aca="false">B2612/SUM($A2612:$C2612)</f>
        <v>0.504141990087253</v>
      </c>
      <c r="F2612" s="0" t="n">
        <f aca="false">C2612/SUM($A2612:$C2612)</f>
        <v>0.251424557789308</v>
      </c>
      <c r="G2612" s="0" t="n">
        <f aca="false">SUMPRODUCT(D2612:F2612,Stats!$B$6:$D$6)</f>
        <v>0.378558446589667</v>
      </c>
      <c r="H2612" s="0" t="n">
        <f aca="false">SQRT(SUMPRODUCT(MMULT(D2612:F2612,Stats!$B$12:$D$14),D2612:F2612))</f>
        <v>0.230948468842339</v>
      </c>
      <c r="I2612" s="0" t="n">
        <f aca="false">(G2612-Stats!$B$2)/H2612</f>
        <v>1.45728806203701</v>
      </c>
    </row>
    <row r="2613" customFormat="false" ht="15" hidden="false" customHeight="false" outlineLevel="0" collapsed="false">
      <c r="A2613" s="0" t="n">
        <v>0.876560490788718</v>
      </c>
      <c r="B2613" s="0" t="n">
        <v>0.158286256059098</v>
      </c>
      <c r="C2613" s="0" t="n">
        <v>0.455660821553092</v>
      </c>
      <c r="D2613" s="0" t="n">
        <f aca="false">A2613/SUM($A2613:$C2613)</f>
        <v>0.588095296778088</v>
      </c>
      <c r="E2613" s="0" t="n">
        <f aca="false">B2613/SUM($A2613:$C2613)</f>
        <v>0.106196210884669</v>
      </c>
      <c r="F2613" s="0" t="n">
        <f aca="false">C2613/SUM($A2613:$C2613)</f>
        <v>0.305708492337243</v>
      </c>
      <c r="G2613" s="0" t="n">
        <f aca="false">SUMPRODUCT(D2613:F2613,Stats!$B$6:$D$6)</f>
        <v>0.354164302889033</v>
      </c>
      <c r="H2613" s="0" t="n">
        <f aca="false">SQRT(SUMPRODUCT(MMULT(D2613:F2613,Stats!$B$12:$D$14),D2613:F2613))</f>
        <v>0.221385350133635</v>
      </c>
      <c r="I2613" s="0" t="n">
        <f aca="false">(G2613-Stats!$B$2)/H2613</f>
        <v>1.41004950282664</v>
      </c>
    </row>
    <row r="2614" customFormat="false" ht="15" hidden="false" customHeight="false" outlineLevel="0" collapsed="false">
      <c r="A2614" s="0" t="n">
        <v>0.605699240459876</v>
      </c>
      <c r="B2614" s="0" t="n">
        <v>0.691863908160844</v>
      </c>
      <c r="C2614" s="0" t="n">
        <v>0.383069369726507</v>
      </c>
      <c r="D2614" s="0" t="n">
        <f aca="false">A2614/SUM($A2614:$C2614)</f>
        <v>0.360399572094163</v>
      </c>
      <c r="E2614" s="0" t="n">
        <f aca="false">B2614/SUM($A2614:$C2614)</f>
        <v>0.41166876197376</v>
      </c>
      <c r="F2614" s="0" t="n">
        <f aca="false">C2614/SUM($A2614:$C2614)</f>
        <v>0.227931665932078</v>
      </c>
      <c r="G2614" s="0" t="n">
        <f aca="false">SUMPRODUCT(D2614:F2614,Stats!$B$6:$D$6)</f>
        <v>0.373885464186895</v>
      </c>
      <c r="H2614" s="0" t="n">
        <f aca="false">SQRT(SUMPRODUCT(MMULT(D2614:F2614,Stats!$B$12:$D$14),D2614:F2614))</f>
        <v>0.226677050719551</v>
      </c>
      <c r="I2614" s="0" t="n">
        <f aca="false">(G2614-Stats!$B$2)/H2614</f>
        <v>1.46413350241402</v>
      </c>
    </row>
    <row r="2615" customFormat="false" ht="15" hidden="false" customHeight="false" outlineLevel="0" collapsed="false">
      <c r="A2615" s="0" t="n">
        <v>0.869099068724729</v>
      </c>
      <c r="B2615" s="0" t="n">
        <v>0.568319151077926</v>
      </c>
      <c r="C2615" s="0" t="n">
        <v>0.439507780447552</v>
      </c>
      <c r="D2615" s="0" t="n">
        <f aca="false">A2615/SUM($A2615:$C2615)</f>
        <v>0.463043864600348</v>
      </c>
      <c r="E2615" s="0" t="n">
        <f aca="false">B2615/SUM($A2615:$C2615)</f>
        <v>0.302792518725919</v>
      </c>
      <c r="F2615" s="0" t="n">
        <f aca="false">C2615/SUM($A2615:$C2615)</f>
        <v>0.234163616673733</v>
      </c>
      <c r="G2615" s="0" t="n">
        <f aca="false">SUMPRODUCT(D2615:F2615,Stats!$B$6:$D$6)</f>
        <v>0.367449022421412</v>
      </c>
      <c r="H2615" s="0" t="n">
        <f aca="false">SQRT(SUMPRODUCT(MMULT(D2615:F2615,Stats!$B$12:$D$14),D2615:F2615))</f>
        <v>0.223699753626417</v>
      </c>
      <c r="I2615" s="0" t="n">
        <f aca="false">(G2615-Stats!$B$2)/H2615</f>
        <v>1.45484747812874</v>
      </c>
    </row>
    <row r="2616" customFormat="false" ht="15" hidden="false" customHeight="false" outlineLevel="0" collapsed="false">
      <c r="A2616" s="0" t="n">
        <v>0.0672406340520366</v>
      </c>
      <c r="B2616" s="0" t="n">
        <v>0.464689468445165</v>
      </c>
      <c r="C2616" s="0" t="n">
        <v>0.82073584081573</v>
      </c>
      <c r="D2616" s="0" t="n">
        <f aca="false">A2616/SUM($A2616:$C2616)</f>
        <v>0.0497097116878331</v>
      </c>
      <c r="E2616" s="0" t="n">
        <f aca="false">B2616/SUM($A2616:$C2616)</f>
        <v>0.343536015482916</v>
      </c>
      <c r="F2616" s="0" t="n">
        <f aca="false">C2616/SUM($A2616:$C2616)</f>
        <v>0.606754272829251</v>
      </c>
      <c r="G2616" s="0" t="n">
        <f aca="false">SUMPRODUCT(D2616:F2616,Stats!$B$6:$D$6)</f>
        <v>0.359519306453946</v>
      </c>
      <c r="H2616" s="0" t="n">
        <f aca="false">SQRT(SUMPRODUCT(MMULT(D2616:F2616,Stats!$B$12:$D$14),D2616:F2616))</f>
        <v>0.241558477206339</v>
      </c>
      <c r="I2616" s="0" t="n">
        <f aca="false">(G2616-Stats!$B$2)/H2616</f>
        <v>1.31446145101636</v>
      </c>
    </row>
    <row r="2617" customFormat="false" ht="15" hidden="false" customHeight="false" outlineLevel="0" collapsed="false">
      <c r="A2617" s="0" t="n">
        <v>0.614541018221316</v>
      </c>
      <c r="B2617" s="0" t="n">
        <v>0.832162453729118</v>
      </c>
      <c r="C2617" s="0" t="n">
        <v>0.494011670599306</v>
      </c>
      <c r="D2617" s="0" t="n">
        <f aca="false">A2617/SUM($A2617:$C2617)</f>
        <v>0.316656991408808</v>
      </c>
      <c r="E2617" s="0" t="n">
        <f aca="false">B2617/SUM($A2617:$C2617)</f>
        <v>0.428791652872771</v>
      </c>
      <c r="F2617" s="0" t="n">
        <f aca="false">C2617/SUM($A2617:$C2617)</f>
        <v>0.254551355718421</v>
      </c>
      <c r="G2617" s="0" t="n">
        <f aca="false">SUMPRODUCT(D2617:F2617,Stats!$B$6:$D$6)</f>
        <v>0.374136665460113</v>
      </c>
      <c r="H2617" s="0" t="n">
        <f aca="false">SQRT(SUMPRODUCT(MMULT(D2617:F2617,Stats!$B$12:$D$14),D2617:F2617))</f>
        <v>0.227807539077308</v>
      </c>
      <c r="I2617" s="0" t="n">
        <f aca="false">(G2617-Stats!$B$2)/H2617</f>
        <v>1.45797047281829</v>
      </c>
    </row>
    <row r="2618" customFormat="false" ht="15" hidden="false" customHeight="false" outlineLevel="0" collapsed="false">
      <c r="A2618" s="0" t="n">
        <v>0.118461705094482</v>
      </c>
      <c r="B2618" s="0" t="n">
        <v>0.0136398458358811</v>
      </c>
      <c r="C2618" s="0" t="n">
        <v>0.303219546718591</v>
      </c>
      <c r="D2618" s="0" t="n">
        <f aca="false">A2618/SUM($A2618:$C2618)</f>
        <v>0.272124888350829</v>
      </c>
      <c r="E2618" s="0" t="n">
        <f aca="false">B2618/SUM($A2618:$C2618)</f>
        <v>0.0313328389309547</v>
      </c>
      <c r="F2618" s="0" t="n">
        <f aca="false">C2618/SUM($A2618:$C2618)</f>
        <v>0.696542272718217</v>
      </c>
      <c r="G2618" s="0" t="n">
        <f aca="false">SUMPRODUCT(D2618:F2618,Stats!$B$6:$D$6)</f>
        <v>0.339079670189153</v>
      </c>
      <c r="H2618" s="0" t="n">
        <f aca="false">SQRT(SUMPRODUCT(MMULT(D2618:F2618,Stats!$B$12:$D$14),D2618:F2618))</f>
        <v>0.233850143286647</v>
      </c>
      <c r="I2618" s="0" t="n">
        <f aca="false">(G2618-Stats!$B$2)/H2618</f>
        <v>1.27038481146022</v>
      </c>
    </row>
    <row r="2619" customFormat="false" ht="15" hidden="false" customHeight="false" outlineLevel="0" collapsed="false">
      <c r="A2619" s="0" t="n">
        <v>0.697990471497793</v>
      </c>
      <c r="B2619" s="0" t="n">
        <v>0.790259903941694</v>
      </c>
      <c r="C2619" s="0" t="n">
        <v>0.295752834620329</v>
      </c>
      <c r="D2619" s="0" t="n">
        <f aca="false">A2619/SUM($A2619:$C2619)</f>
        <v>0.39124956029333</v>
      </c>
      <c r="E2619" s="0" t="n">
        <f aca="false">B2619/SUM($A2619:$C2619)</f>
        <v>0.442970001110703</v>
      </c>
      <c r="F2619" s="0" t="n">
        <f aca="false">C2619/SUM($A2619:$C2619)</f>
        <v>0.165780438595967</v>
      </c>
      <c r="G2619" s="0" t="n">
        <f aca="false">SUMPRODUCT(D2619:F2619,Stats!$B$6:$D$6)</f>
        <v>0.377400293163608</v>
      </c>
      <c r="H2619" s="0" t="n">
        <f aca="false">SQRT(SUMPRODUCT(MMULT(D2619:F2619,Stats!$B$12:$D$14),D2619:F2619))</f>
        <v>0.227017319668629</v>
      </c>
      <c r="I2619" s="0" t="n">
        <f aca="false">(G2619-Stats!$B$2)/H2619</f>
        <v>1.4774216066562</v>
      </c>
    </row>
    <row r="2620" customFormat="false" ht="15" hidden="false" customHeight="false" outlineLevel="0" collapsed="false">
      <c r="A2620" s="0" t="n">
        <v>0.495653920883247</v>
      </c>
      <c r="B2620" s="0" t="n">
        <v>0.421118904434082</v>
      </c>
      <c r="C2620" s="0" t="n">
        <v>0.410522784351428</v>
      </c>
      <c r="D2620" s="0" t="n">
        <f aca="false">A2620/SUM($A2620:$C2620)</f>
        <v>0.373431447578542</v>
      </c>
      <c r="E2620" s="0" t="n">
        <f aca="false">B2620/SUM($A2620:$C2620)</f>
        <v>0.317275896466784</v>
      </c>
      <c r="F2620" s="0" t="n">
        <f aca="false">C2620/SUM($A2620:$C2620)</f>
        <v>0.309292655954674</v>
      </c>
      <c r="G2620" s="0" t="n">
        <f aca="false">SUMPRODUCT(D2620:F2620,Stats!$B$6:$D$6)</f>
        <v>0.366210722869128</v>
      </c>
      <c r="H2620" s="0" t="n">
        <f aca="false">SQRT(SUMPRODUCT(MMULT(D2620:F2620,Stats!$B$12:$D$14),D2620:F2620))</f>
        <v>0.225169452483976</v>
      </c>
      <c r="I2620" s="0" t="n">
        <f aca="false">(G2620-Stats!$B$2)/H2620</f>
        <v>1.439852161528</v>
      </c>
    </row>
    <row r="2621" customFormat="false" ht="15" hidden="false" customHeight="false" outlineLevel="0" collapsed="false">
      <c r="A2621" s="0" t="n">
        <v>0.231348713200151</v>
      </c>
      <c r="B2621" s="0" t="n">
        <v>0.136371105029458</v>
      </c>
      <c r="C2621" s="0" t="n">
        <v>0.196688558231213</v>
      </c>
      <c r="D2621" s="0" t="n">
        <f aca="false">A2621/SUM($A2621:$C2621)</f>
        <v>0.409895959820521</v>
      </c>
      <c r="E2621" s="0" t="n">
        <f aca="false">B2621/SUM($A2621:$C2621)</f>
        <v>0.241617790799964</v>
      </c>
      <c r="F2621" s="0" t="n">
        <f aca="false">C2621/SUM($A2621:$C2621)</f>
        <v>0.348486249379515</v>
      </c>
      <c r="G2621" s="0" t="n">
        <f aca="false">SUMPRODUCT(D2621:F2621,Stats!$B$6:$D$6)</f>
        <v>0.360776705127388</v>
      </c>
      <c r="H2621" s="0" t="n">
        <f aca="false">SQRT(SUMPRODUCT(MMULT(D2621:F2621,Stats!$B$12:$D$14),D2621:F2621))</f>
        <v>0.223937700200594</v>
      </c>
      <c r="I2621" s="0" t="n">
        <f aca="false">(G2621-Stats!$B$2)/H2621</f>
        <v>1.42350620213498</v>
      </c>
    </row>
    <row r="2622" customFormat="false" ht="15" hidden="false" customHeight="false" outlineLevel="0" collapsed="false">
      <c r="A2622" s="0" t="n">
        <v>0.0553323871633461</v>
      </c>
      <c r="B2622" s="0" t="n">
        <v>0.198130741823577</v>
      </c>
      <c r="C2622" s="0" t="n">
        <v>0.00920089762537946</v>
      </c>
      <c r="D2622" s="0" t="n">
        <f aca="false">A2622/SUM($A2622:$C2622)</f>
        <v>0.210658413628212</v>
      </c>
      <c r="E2622" s="0" t="n">
        <f aca="false">B2622/SUM($A2622:$C2622)</f>
        <v>0.754312436228742</v>
      </c>
      <c r="F2622" s="0" t="n">
        <f aca="false">C2622/SUM($A2622:$C2622)</f>
        <v>0.0350291501430463</v>
      </c>
      <c r="G2622" s="0" t="n">
        <f aca="false">SUMPRODUCT(D2622:F2622,Stats!$B$6:$D$6)</f>
        <v>0.398919950407172</v>
      </c>
      <c r="H2622" s="0" t="n">
        <f aca="false">SQRT(SUMPRODUCT(MMULT(D2622:F2622,Stats!$B$12:$D$14),D2622:F2622))</f>
        <v>0.239366858966053</v>
      </c>
      <c r="I2622" s="0" t="n">
        <f aca="false">(G2622-Stats!$B$2)/H2622</f>
        <v>1.49110011280964</v>
      </c>
    </row>
    <row r="2623" customFormat="false" ht="15" hidden="false" customHeight="false" outlineLevel="0" collapsed="false">
      <c r="A2623" s="0" t="n">
        <v>0.627258400635978</v>
      </c>
      <c r="B2623" s="0" t="n">
        <v>0.316375407387683</v>
      </c>
      <c r="C2623" s="0" t="n">
        <v>0.973144711426909</v>
      </c>
      <c r="D2623" s="0" t="n">
        <f aca="false">A2623/SUM($A2623:$C2623)</f>
        <v>0.327246155083049</v>
      </c>
      <c r="E2623" s="0" t="n">
        <f aca="false">B2623/SUM($A2623:$C2623)</f>
        <v>0.165055797619419</v>
      </c>
      <c r="F2623" s="0" t="n">
        <f aca="false">C2623/SUM($A2623:$C2623)</f>
        <v>0.507698047297532</v>
      </c>
      <c r="G2623" s="0" t="n">
        <f aca="false">SUMPRODUCT(D2623:F2623,Stats!$B$6:$D$6)</f>
        <v>0.351981223040516</v>
      </c>
      <c r="H2623" s="0" t="n">
        <f aca="false">SQRT(SUMPRODUCT(MMULT(D2623:F2623,Stats!$B$12:$D$14),D2623:F2623))</f>
        <v>0.227285735657983</v>
      </c>
      <c r="I2623" s="0" t="n">
        <f aca="false">(G2623-Stats!$B$2)/H2623</f>
        <v>1.36383931945017</v>
      </c>
    </row>
    <row r="2624" customFormat="false" ht="15" hidden="false" customHeight="false" outlineLevel="0" collapsed="false">
      <c r="A2624" s="0" t="n">
        <v>0.193717050776298</v>
      </c>
      <c r="B2624" s="0" t="n">
        <v>0.345828570309594</v>
      </c>
      <c r="C2624" s="0" t="n">
        <v>0.357841158641533</v>
      </c>
      <c r="D2624" s="0" t="n">
        <f aca="false">A2624/SUM($A2624:$C2624)</f>
        <v>0.21586795699747</v>
      </c>
      <c r="E2624" s="0" t="n">
        <f aca="false">B2624/SUM($A2624:$C2624)</f>
        <v>0.385372927395517</v>
      </c>
      <c r="F2624" s="0" t="n">
        <f aca="false">C2624/SUM($A2624:$C2624)</f>
        <v>0.398759115607013</v>
      </c>
      <c r="G2624" s="0" t="n">
        <f aca="false">SUMPRODUCT(D2624:F2624,Stats!$B$6:$D$6)</f>
        <v>0.367661934678201</v>
      </c>
      <c r="H2624" s="0" t="n">
        <f aca="false">SQRT(SUMPRODUCT(MMULT(D2624:F2624,Stats!$B$12:$D$14),D2624:F2624))</f>
        <v>0.230868702261963</v>
      </c>
      <c r="I2624" s="0" t="n">
        <f aca="false">(G2624-Stats!$B$2)/H2624</f>
        <v>1.41059369021219</v>
      </c>
    </row>
    <row r="2625" customFormat="false" ht="15" hidden="false" customHeight="false" outlineLevel="0" collapsed="false">
      <c r="A2625" s="0" t="n">
        <v>0.00845149606246054</v>
      </c>
      <c r="B2625" s="0" t="n">
        <v>0.839207953039459</v>
      </c>
      <c r="C2625" s="0" t="n">
        <v>0.0319944601443247</v>
      </c>
      <c r="D2625" s="0" t="n">
        <f aca="false">A2625/SUM($A2625:$C2625)</f>
        <v>0.00960775138224809</v>
      </c>
      <c r="E2625" s="0" t="n">
        <f aca="false">B2625/SUM($A2625:$C2625)</f>
        <v>0.954020603123969</v>
      </c>
      <c r="F2625" s="0" t="n">
        <f aca="false">C2625/SUM($A2625:$C2625)</f>
        <v>0.036371645493783</v>
      </c>
      <c r="G2625" s="0" t="n">
        <f aca="false">SUMPRODUCT(D2625:F2625,Stats!$B$6:$D$6)</f>
        <v>0.410373881060155</v>
      </c>
      <c r="H2625" s="0" t="n">
        <f aca="false">SQRT(SUMPRODUCT(MMULT(D2625:F2625,Stats!$B$12:$D$14),D2625:F2625))</f>
        <v>0.252191876058575</v>
      </c>
      <c r="I2625" s="0" t="n">
        <f aca="false">(G2625-Stats!$B$2)/H2625</f>
        <v>1.46068892788043</v>
      </c>
    </row>
    <row r="2626" customFormat="false" ht="15" hidden="false" customHeight="false" outlineLevel="0" collapsed="false">
      <c r="A2626" s="0" t="n">
        <v>0.940179834729241</v>
      </c>
      <c r="B2626" s="0" t="n">
        <v>0.892074351093621</v>
      </c>
      <c r="C2626" s="0" t="n">
        <v>0.535521916085964</v>
      </c>
      <c r="D2626" s="0" t="n">
        <f aca="false">A2626/SUM($A2626:$C2626)</f>
        <v>0.397072947045668</v>
      </c>
      <c r="E2626" s="0" t="n">
        <f aca="false">B2626/SUM($A2626:$C2626)</f>
        <v>0.376756210342042</v>
      </c>
      <c r="F2626" s="0" t="n">
        <f aca="false">C2626/SUM($A2626:$C2626)</f>
        <v>0.22617084261229</v>
      </c>
      <c r="G2626" s="0" t="n">
        <f aca="false">SUMPRODUCT(D2626:F2626,Stats!$B$6:$D$6)</f>
        <v>0.371925195178233</v>
      </c>
      <c r="H2626" s="0" t="n">
        <f aca="false">SQRT(SUMPRODUCT(MMULT(D2626:F2626,Stats!$B$12:$D$14),D2626:F2626))</f>
        <v>0.225535355138816</v>
      </c>
      <c r="I2626" s="0" t="n">
        <f aca="false">(G2626-Stats!$B$2)/H2626</f>
        <v>1.46285355116569</v>
      </c>
    </row>
    <row r="2627" customFormat="false" ht="15" hidden="false" customHeight="false" outlineLevel="0" collapsed="false">
      <c r="A2627" s="0" t="n">
        <v>0.543595574911292</v>
      </c>
      <c r="B2627" s="0" t="n">
        <v>0.653777922956156</v>
      </c>
      <c r="C2627" s="0" t="n">
        <v>0.387050011934887</v>
      </c>
      <c r="D2627" s="0" t="n">
        <f aca="false">A2627/SUM($A2627:$C2627)</f>
        <v>0.343087294241871</v>
      </c>
      <c r="E2627" s="0" t="n">
        <f aca="false">B2627/SUM($A2627:$C2627)</f>
        <v>0.41262826442011</v>
      </c>
      <c r="F2627" s="0" t="n">
        <f aca="false">C2627/SUM($A2627:$C2627)</f>
        <v>0.244284441338019</v>
      </c>
      <c r="G2627" s="0" t="n">
        <f aca="false">SUMPRODUCT(D2627:F2627,Stats!$B$6:$D$6)</f>
        <v>0.373489751223588</v>
      </c>
      <c r="H2627" s="0" t="n">
        <f aca="false">SQRT(SUMPRODUCT(MMULT(D2627:F2627,Stats!$B$12:$D$14),D2627:F2627))</f>
        <v>0.226993782090797</v>
      </c>
      <c r="I2627" s="0" t="n">
        <f aca="false">(G2627-Stats!$B$2)/H2627</f>
        <v>1.46034727546411</v>
      </c>
    </row>
    <row r="2628" customFormat="false" ht="15" hidden="false" customHeight="false" outlineLevel="0" collapsed="false">
      <c r="A2628" s="0" t="n">
        <v>0.647222283397856</v>
      </c>
      <c r="B2628" s="0" t="n">
        <v>0.0447683886884869</v>
      </c>
      <c r="C2628" s="0" t="n">
        <v>0.0540476273497266</v>
      </c>
      <c r="D2628" s="0" t="n">
        <f aca="false">A2628/SUM($A2628:$C2628)</f>
        <v>0.867545652665676</v>
      </c>
      <c r="E2628" s="0" t="n">
        <f aca="false">B2628/SUM($A2628:$C2628)</f>
        <v>0.060008164087993</v>
      </c>
      <c r="F2628" s="0" t="n">
        <f aca="false">C2628/SUM($A2628:$C2628)</f>
        <v>0.072446183246331</v>
      </c>
      <c r="G2628" s="0" t="n">
        <f aca="false">SUMPRODUCT(D2628:F2628,Stats!$B$6:$D$6)</f>
        <v>0.357938820912153</v>
      </c>
      <c r="H2628" s="0" t="n">
        <f aca="false">SQRT(SUMPRODUCT(MMULT(D2628:F2628,Stats!$B$12:$D$14),D2628:F2628))</f>
        <v>0.227434770025957</v>
      </c>
      <c r="I2628" s="0" t="n">
        <f aca="false">(G2628-Stats!$B$2)/H2628</f>
        <v>1.38914037143967</v>
      </c>
    </row>
    <row r="2629" customFormat="false" ht="15" hidden="false" customHeight="false" outlineLevel="0" collapsed="false">
      <c r="A2629" s="0" t="n">
        <v>0.457230419619544</v>
      </c>
      <c r="B2629" s="0" t="n">
        <v>0.549622301106035</v>
      </c>
      <c r="C2629" s="0" t="n">
        <v>0.887817640335819</v>
      </c>
      <c r="D2629" s="0" t="n">
        <f aca="false">A2629/SUM($A2629:$C2629)</f>
        <v>0.241324522205226</v>
      </c>
      <c r="E2629" s="0" t="n">
        <f aca="false">B2629/SUM($A2629:$C2629)</f>
        <v>0.290088615097212</v>
      </c>
      <c r="F2629" s="0" t="n">
        <f aca="false">C2629/SUM($A2629:$C2629)</f>
        <v>0.468586862697563</v>
      </c>
      <c r="G2629" s="0" t="n">
        <f aca="false">SUMPRODUCT(D2629:F2629,Stats!$B$6:$D$6)</f>
        <v>0.360253925403771</v>
      </c>
      <c r="H2629" s="0" t="n">
        <f aca="false">SQRT(SUMPRODUCT(MMULT(D2629:F2629,Stats!$B$12:$D$14),D2629:F2629))</f>
        <v>0.229980976612516</v>
      </c>
      <c r="I2629" s="0" t="n">
        <f aca="false">(G2629-Stats!$B$2)/H2629</f>
        <v>1.38382717601892</v>
      </c>
    </row>
    <row r="2630" customFormat="false" ht="15" hidden="false" customHeight="false" outlineLevel="0" collapsed="false">
      <c r="A2630" s="0" t="n">
        <v>0.104660633907896</v>
      </c>
      <c r="B2630" s="0" t="n">
        <v>0.822647927193889</v>
      </c>
      <c r="C2630" s="0" t="n">
        <v>0.21004733729207</v>
      </c>
      <c r="D2630" s="0" t="n">
        <f aca="false">A2630/SUM($A2630:$C2630)</f>
        <v>0.0920210059627733</v>
      </c>
      <c r="E2630" s="0" t="n">
        <f aca="false">B2630/SUM($A2630:$C2630)</f>
        <v>0.723298598403201</v>
      </c>
      <c r="F2630" s="0" t="n">
        <f aca="false">C2630/SUM($A2630:$C2630)</f>
        <v>0.184680395634025</v>
      </c>
      <c r="G2630" s="0" t="n">
        <f aca="false">SUMPRODUCT(D2630:F2630,Stats!$B$6:$D$6)</f>
        <v>0.393008878783596</v>
      </c>
      <c r="H2630" s="0" t="n">
        <f aca="false">SQRT(SUMPRODUCT(MMULT(D2630:F2630,Stats!$B$12:$D$14),D2630:F2630))</f>
        <v>0.240985159283409</v>
      </c>
      <c r="I2630" s="0" t="n">
        <f aca="false">(G2630-Stats!$B$2)/H2630</f>
        <v>1.45655807115821</v>
      </c>
    </row>
    <row r="2631" customFormat="false" ht="15" hidden="false" customHeight="false" outlineLevel="0" collapsed="false">
      <c r="A2631" s="0" t="n">
        <v>0.394083648510032</v>
      </c>
      <c r="B2631" s="0" t="n">
        <v>0.316602434827413</v>
      </c>
      <c r="C2631" s="0" t="n">
        <v>0.400155272865399</v>
      </c>
      <c r="D2631" s="0" t="n">
        <f aca="false">A2631/SUM($A2631:$C2631)</f>
        <v>0.354761412428068</v>
      </c>
      <c r="E2631" s="0" t="n">
        <f aca="false">B2631/SUM($A2631:$C2631)</f>
        <v>0.285011386242988</v>
      </c>
      <c r="F2631" s="0" t="n">
        <f aca="false">C2631/SUM($A2631:$C2631)</f>
        <v>0.360227201328944</v>
      </c>
      <c r="G2631" s="0" t="n">
        <f aca="false">SUMPRODUCT(D2631:F2631,Stats!$B$6:$D$6)</f>
        <v>0.36294976421175</v>
      </c>
      <c r="H2631" s="0" t="n">
        <f aca="false">SQRT(SUMPRODUCT(MMULT(D2631:F2631,Stats!$B$12:$D$14),D2631:F2631))</f>
        <v>0.225483351876937</v>
      </c>
      <c r="I2631" s="0" t="n">
        <f aca="false">(G2631-Stats!$B$2)/H2631</f>
        <v>1.42338563596889</v>
      </c>
    </row>
    <row r="2632" customFormat="false" ht="15" hidden="false" customHeight="false" outlineLevel="0" collapsed="false">
      <c r="A2632" s="0" t="n">
        <v>0.150495498072586</v>
      </c>
      <c r="B2632" s="0" t="n">
        <v>0.503570074403555</v>
      </c>
      <c r="C2632" s="0" t="n">
        <v>0.801642589831367</v>
      </c>
      <c r="D2632" s="0" t="n">
        <f aca="false">A2632/SUM($A2632:$C2632)</f>
        <v>0.103383014514412</v>
      </c>
      <c r="E2632" s="0" t="n">
        <f aca="false">B2632/SUM($A2632:$C2632)</f>
        <v>0.34592790467378</v>
      </c>
      <c r="F2632" s="0" t="n">
        <f aca="false">C2632/SUM($A2632:$C2632)</f>
        <v>0.550689080811808</v>
      </c>
      <c r="G2632" s="0" t="n">
        <f aca="false">SUMPRODUCT(D2632:F2632,Stats!$B$6:$D$6)</f>
        <v>0.361202908768301</v>
      </c>
      <c r="H2632" s="0" t="n">
        <f aca="false">SQRT(SUMPRODUCT(MMULT(D2632:F2632,Stats!$B$12:$D$14),D2632:F2632))</f>
        <v>0.237582740988612</v>
      </c>
      <c r="I2632" s="0" t="n">
        <f aca="false">(G2632-Stats!$B$2)/H2632</f>
        <v>1.34354417934593</v>
      </c>
    </row>
    <row r="2633" customFormat="false" ht="15" hidden="false" customHeight="false" outlineLevel="0" collapsed="false">
      <c r="A2633" s="0" t="n">
        <v>0.441534010378897</v>
      </c>
      <c r="B2633" s="0" t="n">
        <v>0.490613575898199</v>
      </c>
      <c r="C2633" s="0" t="n">
        <v>0.848767585281314</v>
      </c>
      <c r="D2633" s="0" t="n">
        <f aca="false">A2633/SUM($A2633:$C2633)</f>
        <v>0.247925346153645</v>
      </c>
      <c r="E2633" s="0" t="n">
        <f aca="false">B2633/SUM($A2633:$C2633)</f>
        <v>0.275483966745526</v>
      </c>
      <c r="F2633" s="0" t="n">
        <f aca="false">C2633/SUM($A2633:$C2633)</f>
        <v>0.476590687100829</v>
      </c>
      <c r="G2633" s="0" t="n">
        <f aca="false">SUMPRODUCT(D2633:F2633,Stats!$B$6:$D$6)</f>
        <v>0.359192890460554</v>
      </c>
      <c r="H2633" s="0" t="n">
        <f aca="false">SQRT(SUMPRODUCT(MMULT(D2633:F2633,Stats!$B$12:$D$14),D2633:F2633))</f>
        <v>0.22977522773794</v>
      </c>
      <c r="I2633" s="0" t="n">
        <f aca="false">(G2633-Stats!$B$2)/H2633</f>
        <v>1.38044859571335</v>
      </c>
    </row>
    <row r="2634" customFormat="false" ht="15" hidden="false" customHeight="false" outlineLevel="0" collapsed="false">
      <c r="A2634" s="0" t="n">
        <v>0.706058114638031</v>
      </c>
      <c r="B2634" s="0" t="n">
        <v>0.490454408519785</v>
      </c>
      <c r="C2634" s="0" t="n">
        <v>0.25769564818918</v>
      </c>
      <c r="D2634" s="0" t="n">
        <f aca="false">A2634/SUM($A2634:$C2634)</f>
        <v>0.485527539007037</v>
      </c>
      <c r="E2634" s="0" t="n">
        <f aca="false">B2634/SUM($A2634:$C2634)</f>
        <v>0.337265611749031</v>
      </c>
      <c r="F2634" s="0" t="n">
        <f aca="false">C2634/SUM($A2634:$C2634)</f>
        <v>0.177206849243931</v>
      </c>
      <c r="G2634" s="0" t="n">
        <f aca="false">SUMPRODUCT(D2634:F2634,Stats!$B$6:$D$6)</f>
        <v>0.371003120531463</v>
      </c>
      <c r="H2634" s="0" t="n">
        <f aca="false">SQRT(SUMPRODUCT(MMULT(D2634:F2634,Stats!$B$12:$D$14),D2634:F2634))</f>
        <v>0.224282971300131</v>
      </c>
      <c r="I2634" s="0" t="n">
        <f aca="false">(G2634-Stats!$B$2)/H2634</f>
        <v>1.4669108342211</v>
      </c>
    </row>
    <row r="2635" customFormat="false" ht="15" hidden="false" customHeight="false" outlineLevel="0" collapsed="false">
      <c r="A2635" s="0" t="n">
        <v>0.884926746844967</v>
      </c>
      <c r="B2635" s="0" t="n">
        <v>0.577020401690558</v>
      </c>
      <c r="C2635" s="0" t="n">
        <v>0.221147610110693</v>
      </c>
      <c r="D2635" s="0" t="n">
        <f aca="false">A2635/SUM($A2635:$C2635)</f>
        <v>0.525773574125291</v>
      </c>
      <c r="E2635" s="0" t="n">
        <f aca="false">B2635/SUM($A2635:$C2635)</f>
        <v>0.342832985918558</v>
      </c>
      <c r="F2635" s="0" t="n">
        <f aca="false">C2635/SUM($A2635:$C2635)</f>
        <v>0.13139343995615</v>
      </c>
      <c r="G2635" s="0" t="n">
        <f aca="false">SUMPRODUCT(D2635:F2635,Stats!$B$6:$D$6)</f>
        <v>0.372586747175813</v>
      </c>
      <c r="H2635" s="0" t="n">
        <f aca="false">SQRT(SUMPRODUCT(MMULT(D2635:F2635,Stats!$B$12:$D$14),D2635:F2635))</f>
        <v>0.224644469766928</v>
      </c>
      <c r="I2635" s="0" t="n">
        <f aca="false">(G2635-Stats!$B$2)/H2635</f>
        <v>1.47159975724665</v>
      </c>
    </row>
    <row r="2636" customFormat="false" ht="15" hidden="false" customHeight="false" outlineLevel="0" collapsed="false">
      <c r="A2636" s="0" t="n">
        <v>0.26911975263801</v>
      </c>
      <c r="B2636" s="0" t="n">
        <v>0.803133088936246</v>
      </c>
      <c r="C2636" s="0" t="n">
        <v>0.0441455620874555</v>
      </c>
      <c r="D2636" s="0" t="n">
        <f aca="false">A2636/SUM($A2636:$C2636)</f>
        <v>0.241060674894657</v>
      </c>
      <c r="E2636" s="0" t="n">
        <f aca="false">B2636/SUM($A2636:$C2636)</f>
        <v>0.719396486327841</v>
      </c>
      <c r="F2636" s="0" t="n">
        <f aca="false">C2636/SUM($A2636:$C2636)</f>
        <v>0.0395428387775018</v>
      </c>
      <c r="G2636" s="0" t="n">
        <f aca="false">SUMPRODUCT(D2636:F2636,Stats!$B$6:$D$6)</f>
        <v>0.396786468612664</v>
      </c>
      <c r="H2636" s="0" t="n">
        <f aca="false">SQRT(SUMPRODUCT(MMULT(D2636:F2636,Stats!$B$12:$D$14),D2636:F2636))</f>
        <v>0.237574004959218</v>
      </c>
      <c r="I2636" s="0" t="n">
        <f aca="false">(G2636-Stats!$B$2)/H2636</f>
        <v>1.49337242798751</v>
      </c>
    </row>
    <row r="2637" customFormat="false" ht="15" hidden="false" customHeight="false" outlineLevel="0" collapsed="false">
      <c r="A2637" s="0" t="n">
        <v>0.99209218702882</v>
      </c>
      <c r="B2637" s="0" t="n">
        <v>0.130351679714792</v>
      </c>
      <c r="C2637" s="0" t="n">
        <v>0.796068525396937</v>
      </c>
      <c r="D2637" s="0" t="n">
        <f aca="false">A2637/SUM($A2637:$C2637)</f>
        <v>0.517115339516733</v>
      </c>
      <c r="E2637" s="0" t="n">
        <f aca="false">B2637/SUM($A2637:$C2637)</f>
        <v>0.0679441426851322</v>
      </c>
      <c r="F2637" s="0" t="n">
        <f aca="false">C2637/SUM($A2637:$C2637)</f>
        <v>0.414940517798135</v>
      </c>
      <c r="G2637" s="0" t="n">
        <f aca="false">SUMPRODUCT(D2637:F2637,Stats!$B$6:$D$6)</f>
        <v>0.348951297304277</v>
      </c>
      <c r="H2637" s="0" t="n">
        <f aca="false">SQRT(SUMPRODUCT(MMULT(D2637:F2637,Stats!$B$12:$D$14),D2637:F2637))</f>
        <v>0.222211699485615</v>
      </c>
      <c r="I2637" s="0" t="n">
        <f aca="false">(G2637-Stats!$B$2)/H2637</f>
        <v>1.38134624781153</v>
      </c>
    </row>
    <row r="2638" customFormat="false" ht="15" hidden="false" customHeight="false" outlineLevel="0" collapsed="false">
      <c r="A2638" s="0" t="n">
        <v>0.394775316771683</v>
      </c>
      <c r="B2638" s="0" t="n">
        <v>0.492216183287467</v>
      </c>
      <c r="C2638" s="0" t="n">
        <v>0.880650577464578</v>
      </c>
      <c r="D2638" s="0" t="n">
        <f aca="false">A2638/SUM($A2638:$C2638)</f>
        <v>0.223334419219483</v>
      </c>
      <c r="E2638" s="0" t="n">
        <f aca="false">B2638/SUM($A2638:$C2638)</f>
        <v>0.27845919122779</v>
      </c>
      <c r="F2638" s="0" t="n">
        <f aca="false">C2638/SUM($A2638:$C2638)</f>
        <v>0.498206389552727</v>
      </c>
      <c r="G2638" s="0" t="n">
        <f aca="false">SUMPRODUCT(D2638:F2638,Stats!$B$6:$D$6)</f>
        <v>0.358768036345231</v>
      </c>
      <c r="H2638" s="0" t="n">
        <f aca="false">SQRT(SUMPRODUCT(MMULT(D2638:F2638,Stats!$B$12:$D$14),D2638:F2638))</f>
        <v>0.231030999826522</v>
      </c>
      <c r="I2638" s="0" t="n">
        <f aca="false">(G2638-Stats!$B$2)/H2638</f>
        <v>1.3711062003934</v>
      </c>
    </row>
    <row r="2639" customFormat="false" ht="15" hidden="false" customHeight="false" outlineLevel="0" collapsed="false">
      <c r="A2639" s="0" t="n">
        <v>0.412911189589213</v>
      </c>
      <c r="B2639" s="0" t="n">
        <v>0.537493753673235</v>
      </c>
      <c r="C2639" s="0" t="n">
        <v>0.0492996624091699</v>
      </c>
      <c r="D2639" s="0" t="n">
        <f aca="false">A2639/SUM($A2639:$C2639)</f>
        <v>0.413033197253115</v>
      </c>
      <c r="E2639" s="0" t="n">
        <f aca="false">B2639/SUM($A2639:$C2639)</f>
        <v>0.537652573193996</v>
      </c>
      <c r="F2639" s="0" t="n">
        <f aca="false">C2639/SUM($A2639:$C2639)</f>
        <v>0.0493142295528884</v>
      </c>
      <c r="G2639" s="0" t="n">
        <f aca="false">SUMPRODUCT(D2639:F2639,Stats!$B$6:$D$6)</f>
        <v>0.38605971673513</v>
      </c>
      <c r="H2639" s="0" t="n">
        <f aca="false">SQRT(SUMPRODUCT(MMULT(D2639:F2639,Stats!$B$12:$D$14),D2639:F2639))</f>
        <v>0.230042089130913</v>
      </c>
      <c r="I2639" s="0" t="n">
        <f aca="false">(G2639-Stats!$B$2)/H2639</f>
        <v>1.49563811576816</v>
      </c>
    </row>
    <row r="2640" customFormat="false" ht="15" hidden="false" customHeight="false" outlineLevel="0" collapsed="false">
      <c r="A2640" s="0" t="n">
        <v>0.00234747386745315</v>
      </c>
      <c r="B2640" s="0" t="n">
        <v>0.244799873001726</v>
      </c>
      <c r="C2640" s="0" t="n">
        <v>0.680583092918767</v>
      </c>
      <c r="D2640" s="0" t="n">
        <f aca="false">A2640/SUM($A2640:$C2640)</f>
        <v>0.00253034045965951</v>
      </c>
      <c r="E2640" s="0" t="n">
        <f aca="false">B2640/SUM($A2640:$C2640)</f>
        <v>0.263869613955623</v>
      </c>
      <c r="F2640" s="0" t="n">
        <f aca="false">C2640/SUM($A2640:$C2640)</f>
        <v>0.733600045584717</v>
      </c>
      <c r="G2640" s="0" t="n">
        <f aca="false">SUMPRODUCT(D2640:F2640,Stats!$B$6:$D$6)</f>
        <v>0.351437681423989</v>
      </c>
      <c r="H2640" s="0" t="n">
        <f aca="false">SQRT(SUMPRODUCT(MMULT(D2640:F2640,Stats!$B$12:$D$14),D2640:F2640))</f>
        <v>0.247580815248984</v>
      </c>
      <c r="I2640" s="0" t="n">
        <f aca="false">(G2640-Stats!$B$2)/H2640</f>
        <v>1.24984515101785</v>
      </c>
    </row>
    <row r="2641" customFormat="false" ht="15" hidden="false" customHeight="false" outlineLevel="0" collapsed="false">
      <c r="A2641" s="0" t="n">
        <v>0.121264893359137</v>
      </c>
      <c r="B2641" s="0" t="n">
        <v>0.113761958804549</v>
      </c>
      <c r="C2641" s="0" t="n">
        <v>0.410960608035903</v>
      </c>
      <c r="D2641" s="0" t="n">
        <f aca="false">A2641/SUM($A2641:$C2641)</f>
        <v>0.187720197109817</v>
      </c>
      <c r="E2641" s="0" t="n">
        <f aca="false">B2641/SUM($A2641:$C2641)</f>
        <v>0.176105521877159</v>
      </c>
      <c r="F2641" s="0" t="n">
        <f aca="false">C2641/SUM($A2641:$C2641)</f>
        <v>0.636174281013024</v>
      </c>
      <c r="G2641" s="0" t="n">
        <f aca="false">SUMPRODUCT(D2641:F2641,Stats!$B$6:$D$6)</f>
        <v>0.349074327142781</v>
      </c>
      <c r="H2641" s="0" t="n">
        <f aca="false">SQRT(SUMPRODUCT(MMULT(D2641:F2641,Stats!$B$12:$D$14),D2641:F2641))</f>
        <v>0.235165930510753</v>
      </c>
      <c r="I2641" s="0" t="n">
        <f aca="false">(G2641-Stats!$B$2)/H2641</f>
        <v>1.30577727171555</v>
      </c>
    </row>
    <row r="2642" customFormat="false" ht="15" hidden="false" customHeight="false" outlineLevel="0" collapsed="false">
      <c r="A2642" s="0" t="n">
        <v>0.647837038608227</v>
      </c>
      <c r="B2642" s="0" t="n">
        <v>0.712071992247931</v>
      </c>
      <c r="C2642" s="0" t="n">
        <v>0.178450674098375</v>
      </c>
      <c r="D2642" s="0" t="n">
        <f aca="false">A2642/SUM($A2642:$C2642)</f>
        <v>0.421121949906621</v>
      </c>
      <c r="E2642" s="0" t="n">
        <f aca="false">B2642/SUM($A2642:$C2642)</f>
        <v>0.462877433642203</v>
      </c>
      <c r="F2642" s="0" t="n">
        <f aca="false">C2642/SUM($A2642:$C2642)</f>
        <v>0.116000616451176</v>
      </c>
      <c r="G2642" s="0" t="n">
        <f aca="false">SUMPRODUCT(D2642:F2642,Stats!$B$6:$D$6)</f>
        <v>0.379918400515102</v>
      </c>
      <c r="H2642" s="0" t="n">
        <f aca="false">SQRT(SUMPRODUCT(MMULT(D2642:F2642,Stats!$B$12:$D$14),D2642:F2642))</f>
        <v>0.227491285092289</v>
      </c>
      <c r="I2642" s="0" t="n">
        <f aca="false">(G2642-Stats!$B$2)/H2642</f>
        <v>1.48541250878254</v>
      </c>
    </row>
    <row r="2643" customFormat="false" ht="15" hidden="false" customHeight="false" outlineLevel="0" collapsed="false">
      <c r="A2643" s="0" t="n">
        <v>0.0795881473720425</v>
      </c>
      <c r="B2643" s="0" t="n">
        <v>0.940397033945544</v>
      </c>
      <c r="C2643" s="0" t="n">
        <v>0.260666382562102</v>
      </c>
      <c r="D2643" s="0" t="n">
        <f aca="false">A2643/SUM($A2643:$C2643)</f>
        <v>0.0621466053818206</v>
      </c>
      <c r="E2643" s="0" t="n">
        <f aca="false">B2643/SUM($A2643:$C2643)</f>
        <v>0.734311393097936</v>
      </c>
      <c r="F2643" s="0" t="n">
        <f aca="false">C2643/SUM($A2643:$C2643)</f>
        <v>0.203542001520243</v>
      </c>
      <c r="G2643" s="0" t="n">
        <f aca="false">SUMPRODUCT(D2643:F2643,Stats!$B$6:$D$6)</f>
        <v>0.393122439208993</v>
      </c>
      <c r="H2643" s="0" t="n">
        <f aca="false">SQRT(SUMPRODUCT(MMULT(D2643:F2643,Stats!$B$12:$D$14),D2643:F2643))</f>
        <v>0.242408834127525</v>
      </c>
      <c r="I2643" s="0" t="n">
        <f aca="false">(G2643-Stats!$B$2)/H2643</f>
        <v>1.44847212550132</v>
      </c>
    </row>
    <row r="2644" customFormat="false" ht="15" hidden="false" customHeight="false" outlineLevel="0" collapsed="false">
      <c r="A2644" s="0" t="n">
        <v>0.853346497608724</v>
      </c>
      <c r="B2644" s="0" t="n">
        <v>0.863491450462818</v>
      </c>
      <c r="C2644" s="0" t="n">
        <v>0.772522591762545</v>
      </c>
      <c r="D2644" s="0" t="n">
        <f aca="false">A2644/SUM($A2644:$C2644)</f>
        <v>0.342797471058812</v>
      </c>
      <c r="E2644" s="0" t="n">
        <f aca="false">B2644/SUM($A2644:$C2644)</f>
        <v>0.346872795902987</v>
      </c>
      <c r="F2644" s="0" t="n">
        <f aca="false">C2644/SUM($A2644:$C2644)</f>
        <v>0.310329733038201</v>
      </c>
      <c r="G2644" s="0" t="n">
        <f aca="false">SUMPRODUCT(D2644:F2644,Stats!$B$6:$D$6)</f>
        <v>0.367885093154473</v>
      </c>
      <c r="H2644" s="0" t="n">
        <f aca="false">SQRT(SUMPRODUCT(MMULT(D2644:F2644,Stats!$B$12:$D$14),D2644:F2644))</f>
        <v>0.226156643650332</v>
      </c>
      <c r="I2644" s="0" t="n">
        <f aca="false">(G2644-Stats!$B$2)/H2644</f>
        <v>1.44097068250771</v>
      </c>
    </row>
    <row r="2645" customFormat="false" ht="15" hidden="false" customHeight="false" outlineLevel="0" collapsed="false">
      <c r="A2645" s="0" t="n">
        <v>0.16883360665257</v>
      </c>
      <c r="B2645" s="0" t="n">
        <v>0.8218014592542</v>
      </c>
      <c r="C2645" s="0" t="n">
        <v>0.769250559241587</v>
      </c>
      <c r="D2645" s="0" t="n">
        <f aca="false">A2645/SUM($A2645:$C2645)</f>
        <v>0.0959344199645574</v>
      </c>
      <c r="E2645" s="0" t="n">
        <f aca="false">B2645/SUM($A2645:$C2645)</f>
        <v>0.466962993225723</v>
      </c>
      <c r="F2645" s="0" t="n">
        <f aca="false">C2645/SUM($A2645:$C2645)</f>
        <v>0.437102586809719</v>
      </c>
      <c r="G2645" s="0" t="n">
        <f aca="false">SUMPRODUCT(D2645:F2645,Stats!$B$6:$D$6)</f>
        <v>0.371299214995375</v>
      </c>
      <c r="H2645" s="0" t="n">
        <f aca="false">SQRT(SUMPRODUCT(MMULT(D2645:F2645,Stats!$B$12:$D$14),D2645:F2645))</f>
        <v>0.237172139260002</v>
      </c>
      <c r="I2645" s="0" t="n">
        <f aca="false">(G2645-Stats!$B$2)/H2645</f>
        <v>1.3884397046922</v>
      </c>
    </row>
    <row r="2646" customFormat="false" ht="15" hidden="false" customHeight="false" outlineLevel="0" collapsed="false">
      <c r="A2646" s="0" t="n">
        <v>0.596722990106217</v>
      </c>
      <c r="B2646" s="0" t="n">
        <v>0.337202035168953</v>
      </c>
      <c r="C2646" s="0" t="n">
        <v>0.262508604266544</v>
      </c>
      <c r="D2646" s="0" t="n">
        <f aca="false">A2646/SUM($A2646:$C2646)</f>
        <v>0.498751435409575</v>
      </c>
      <c r="E2646" s="0" t="n">
        <f aca="false">B2646/SUM($A2646:$C2646)</f>
        <v>0.281839315481391</v>
      </c>
      <c r="F2646" s="0" t="n">
        <f aca="false">C2646/SUM($A2646:$C2646)</f>
        <v>0.219409249109034</v>
      </c>
      <c r="G2646" s="0" t="n">
        <f aca="false">SUMPRODUCT(D2646:F2646,Stats!$B$6:$D$6)</f>
        <v>0.366650248236691</v>
      </c>
      <c r="H2646" s="0" t="n">
        <f aca="false">SQRT(SUMPRODUCT(MMULT(D2646:F2646,Stats!$B$12:$D$14),D2646:F2646))</f>
        <v>0.223227892491103</v>
      </c>
      <c r="I2646" s="0" t="n">
        <f aca="false">(G2646-Stats!$B$2)/H2646</f>
        <v>1.45434445764715</v>
      </c>
    </row>
    <row r="2647" customFormat="false" ht="15" hidden="false" customHeight="false" outlineLevel="0" collapsed="false">
      <c r="A2647" s="0" t="n">
        <v>0.121889212080359</v>
      </c>
      <c r="B2647" s="0" t="n">
        <v>0.509757066900871</v>
      </c>
      <c r="C2647" s="0" t="n">
        <v>0.585260875509847</v>
      </c>
      <c r="D2647" s="0" t="n">
        <f aca="false">A2647/SUM($A2647:$C2647)</f>
        <v>0.100163115674453</v>
      </c>
      <c r="E2647" s="0" t="n">
        <f aca="false">B2647/SUM($A2647:$C2647)</f>
        <v>0.418895611731412</v>
      </c>
      <c r="F2647" s="0" t="n">
        <f aca="false">C2647/SUM($A2647:$C2647)</f>
        <v>0.480941272594135</v>
      </c>
      <c r="G2647" s="0" t="n">
        <f aca="false">SUMPRODUCT(D2647:F2647,Stats!$B$6:$D$6)</f>
        <v>0.367324645177327</v>
      </c>
      <c r="H2647" s="0" t="n">
        <f aca="false">SQRT(SUMPRODUCT(MMULT(D2647:F2647,Stats!$B$12:$D$14),D2647:F2647))</f>
        <v>0.237068627893702</v>
      </c>
      <c r="I2647" s="0" t="n">
        <f aca="false">(G2647-Stats!$B$2)/H2647</f>
        <v>1.37228045763693</v>
      </c>
    </row>
    <row r="2648" customFormat="false" ht="15" hidden="false" customHeight="false" outlineLevel="0" collapsed="false">
      <c r="A2648" s="0" t="n">
        <v>0.359338990515787</v>
      </c>
      <c r="B2648" s="0" t="n">
        <v>0.475359067680869</v>
      </c>
      <c r="C2648" s="0" t="n">
        <v>0.363514457369267</v>
      </c>
      <c r="D2648" s="0" t="n">
        <f aca="false">A2648/SUM($A2648:$C2648)</f>
        <v>0.299895874769819</v>
      </c>
      <c r="E2648" s="0" t="n">
        <f aca="false">B2648/SUM($A2648:$C2648)</f>
        <v>0.396723503974046</v>
      </c>
      <c r="F2648" s="0" t="n">
        <f aca="false">C2648/SUM($A2648:$C2648)</f>
        <v>0.303380621256136</v>
      </c>
      <c r="G2648" s="0" t="n">
        <f aca="false">SUMPRODUCT(D2648:F2648,Stats!$B$6:$D$6)</f>
        <v>0.370945057460994</v>
      </c>
      <c r="H2648" s="0" t="n">
        <f aca="false">SQRT(SUMPRODUCT(MMULT(D2648:F2648,Stats!$B$12:$D$14),D2648:F2648))</f>
        <v>0.22780636741991</v>
      </c>
      <c r="I2648" s="0" t="n">
        <f aca="false">(G2648-Stats!$B$2)/H2648</f>
        <v>1.44396779241318</v>
      </c>
    </row>
    <row r="2649" customFormat="false" ht="15" hidden="false" customHeight="false" outlineLevel="0" collapsed="false">
      <c r="A2649" s="0" t="n">
        <v>0.641006057320701</v>
      </c>
      <c r="B2649" s="0" t="n">
        <v>0.901259207796563</v>
      </c>
      <c r="C2649" s="0" t="n">
        <v>0.163920262046945</v>
      </c>
      <c r="D2649" s="0" t="n">
        <f aca="false">A2649/SUM($A2649:$C2649)</f>
        <v>0.375695401886391</v>
      </c>
      <c r="E2649" s="0" t="n">
        <f aca="false">B2649/SUM($A2649:$C2649)</f>
        <v>0.528230484579549</v>
      </c>
      <c r="F2649" s="0" t="n">
        <f aca="false">C2649/SUM($A2649:$C2649)</f>
        <v>0.0960741135340604</v>
      </c>
      <c r="G2649" s="0" t="n">
        <f aca="false">SUMPRODUCT(D2649:F2649,Stats!$B$6:$D$6)</f>
        <v>0.384228196135041</v>
      </c>
      <c r="H2649" s="0" t="n">
        <f aca="false">SQRT(SUMPRODUCT(MMULT(D2649:F2649,Stats!$B$12:$D$14),D2649:F2649))</f>
        <v>0.22959930016994</v>
      </c>
      <c r="I2649" s="0" t="n">
        <f aca="false">(G2649-Stats!$B$2)/H2649</f>
        <v>1.49054546717581</v>
      </c>
    </row>
    <row r="2650" customFormat="false" ht="15" hidden="false" customHeight="false" outlineLevel="0" collapsed="false">
      <c r="A2650" s="0" t="n">
        <v>0.381408809903123</v>
      </c>
      <c r="B2650" s="0" t="n">
        <v>0.140868603950861</v>
      </c>
      <c r="C2650" s="0" t="n">
        <v>0.624943770407832</v>
      </c>
      <c r="D2650" s="0" t="n">
        <f aca="false">A2650/SUM($A2650:$C2650)</f>
        <v>0.332463185944864</v>
      </c>
      <c r="E2650" s="0" t="n">
        <f aca="false">B2650/SUM($A2650:$C2650)</f>
        <v>0.122791146017325</v>
      </c>
      <c r="F2650" s="0" t="n">
        <f aca="false">C2650/SUM($A2650:$C2650)</f>
        <v>0.544745668037811</v>
      </c>
      <c r="G2650" s="0" t="n">
        <f aca="false">SUMPRODUCT(D2650:F2650,Stats!$B$6:$D$6)</f>
        <v>0.34852779579675</v>
      </c>
      <c r="H2650" s="0" t="n">
        <f aca="false">SQRT(SUMPRODUCT(MMULT(D2650:F2650,Stats!$B$12:$D$14),D2650:F2650))</f>
        <v>0.227770043636172</v>
      </c>
      <c r="I2650" s="0" t="n">
        <f aca="false">(G2650-Stats!$B$2)/H2650</f>
        <v>1.34577748198697</v>
      </c>
    </row>
    <row r="2651" customFormat="false" ht="15" hidden="false" customHeight="false" outlineLevel="0" collapsed="false">
      <c r="A2651" s="0" t="n">
        <v>0.728870509488596</v>
      </c>
      <c r="B2651" s="0" t="n">
        <v>0.931912732597456</v>
      </c>
      <c r="C2651" s="0" t="n">
        <v>0.278871926260965</v>
      </c>
      <c r="D2651" s="0" t="n">
        <f aca="false">A2651/SUM($A2651:$C2651)</f>
        <v>0.375773241235319</v>
      </c>
      <c r="E2651" s="0" t="n">
        <f aca="false">B2651/SUM($A2651:$C2651)</f>
        <v>0.480452787590918</v>
      </c>
      <c r="F2651" s="0" t="n">
        <f aca="false">C2651/SUM($A2651:$C2651)</f>
        <v>0.143773971173763</v>
      </c>
      <c r="G2651" s="0" t="n">
        <f aca="false">SUMPRODUCT(D2651:F2651,Stats!$B$6:$D$6)</f>
        <v>0.380163824059694</v>
      </c>
      <c r="H2651" s="0" t="n">
        <f aca="false">SQRT(SUMPRODUCT(MMULT(D2651:F2651,Stats!$B$12:$D$14),D2651:F2651))</f>
        <v>0.228116841488747</v>
      </c>
      <c r="I2651" s="0" t="n">
        <f aca="false">(G2651-Stats!$B$2)/H2651</f>
        <v>1.48241498458752</v>
      </c>
    </row>
    <row r="2652" customFormat="false" ht="15" hidden="false" customHeight="false" outlineLevel="0" collapsed="false">
      <c r="A2652" s="0" t="n">
        <v>0.95021120586543</v>
      </c>
      <c r="B2652" s="0" t="n">
        <v>0.0632626718206748</v>
      </c>
      <c r="C2652" s="0" t="n">
        <v>0.603013863364588</v>
      </c>
      <c r="D2652" s="0" t="n">
        <f aca="false">A2652/SUM($A2652:$C2652)</f>
        <v>0.587824566642124</v>
      </c>
      <c r="E2652" s="0" t="n">
        <f aca="false">B2652/SUM($A2652:$C2652)</f>
        <v>0.0391358809684229</v>
      </c>
      <c r="F2652" s="0" t="n">
        <f aca="false">C2652/SUM($A2652:$C2652)</f>
        <v>0.373039552389453</v>
      </c>
      <c r="G2652" s="0" t="n">
        <f aca="false">SUMPRODUCT(D2652:F2652,Stats!$B$6:$D$6)</f>
        <v>0.348449110216087</v>
      </c>
      <c r="H2652" s="0" t="n">
        <f aca="false">SQRT(SUMPRODUCT(MMULT(D2652:F2652,Stats!$B$12:$D$14),D2652:F2652))</f>
        <v>0.221450215454234</v>
      </c>
      <c r="I2652" s="0" t="n">
        <f aca="false">(G2652-Stats!$B$2)/H2652</f>
        <v>1.38382845818192</v>
      </c>
    </row>
    <row r="2653" customFormat="false" ht="15" hidden="false" customHeight="false" outlineLevel="0" collapsed="false">
      <c r="A2653" s="0" t="n">
        <v>0.05713271934333</v>
      </c>
      <c r="B2653" s="0" t="n">
        <v>0.893774187761945</v>
      </c>
      <c r="C2653" s="0" t="n">
        <v>0.529809057070054</v>
      </c>
      <c r="D2653" s="0" t="n">
        <f aca="false">A2653/SUM($A2653:$C2653)</f>
        <v>0.0385845231128777</v>
      </c>
      <c r="E2653" s="0" t="n">
        <f aca="false">B2653/SUM($A2653:$C2653)</f>
        <v>0.603609476352019</v>
      </c>
      <c r="F2653" s="0" t="n">
        <f aca="false">C2653/SUM($A2653:$C2653)</f>
        <v>0.357806000535104</v>
      </c>
      <c r="G2653" s="0" t="n">
        <f aca="false">SUMPRODUCT(D2653:F2653,Stats!$B$6:$D$6)</f>
        <v>0.381348249643832</v>
      </c>
      <c r="H2653" s="0" t="n">
        <f aca="false">SQRT(SUMPRODUCT(MMULT(D2653:F2653,Stats!$B$12:$D$14),D2653:F2653))</f>
        <v>0.241115721452923</v>
      </c>
      <c r="I2653" s="0" t="n">
        <f aca="false">(G2653-Stats!$B$2)/H2653</f>
        <v>1.4074082253906</v>
      </c>
    </row>
    <row r="2654" customFormat="false" ht="15" hidden="false" customHeight="false" outlineLevel="0" collapsed="false">
      <c r="A2654" s="0" t="n">
        <v>0.669348350762796</v>
      </c>
      <c r="B2654" s="0" t="n">
        <v>0.831573925910453</v>
      </c>
      <c r="C2654" s="0" t="n">
        <v>0.150310622483969</v>
      </c>
      <c r="D2654" s="0" t="n">
        <f aca="false">A2654/SUM($A2654:$C2654)</f>
        <v>0.405362775356783</v>
      </c>
      <c r="E2654" s="0" t="n">
        <f aca="false">B2654/SUM($A2654:$C2654)</f>
        <v>0.503607895854597</v>
      </c>
      <c r="F2654" s="0" t="n">
        <f aca="false">C2654/SUM($A2654:$C2654)</f>
        <v>0.0910293287886202</v>
      </c>
      <c r="G2654" s="0" t="n">
        <f aca="false">SUMPRODUCT(D2654:F2654,Stats!$B$6:$D$6)</f>
        <v>0.38295055224723</v>
      </c>
      <c r="H2654" s="0" t="n">
        <f aca="false">SQRT(SUMPRODUCT(MMULT(D2654:F2654,Stats!$B$12:$D$14),D2654:F2654))</f>
        <v>0.228777418861891</v>
      </c>
      <c r="I2654" s="0" t="n">
        <f aca="false">(G2654-Stats!$B$2)/H2654</f>
        <v>1.49031558247038</v>
      </c>
    </row>
    <row r="2655" customFormat="false" ht="15" hidden="false" customHeight="false" outlineLevel="0" collapsed="false">
      <c r="A2655" s="0" t="n">
        <v>0.0385915619381338</v>
      </c>
      <c r="B2655" s="0" t="n">
        <v>0.878881145912852</v>
      </c>
      <c r="C2655" s="0" t="n">
        <v>0.314933227458933</v>
      </c>
      <c r="D2655" s="0" t="n">
        <f aca="false">A2655/SUM($A2655:$C2655)</f>
        <v>0.0313140020121934</v>
      </c>
      <c r="E2655" s="0" t="n">
        <f aca="false">B2655/SUM($A2655:$C2655)</f>
        <v>0.713142578051473</v>
      </c>
      <c r="F2655" s="0" t="n">
        <f aca="false">C2655/SUM($A2655:$C2655)</f>
        <v>0.255543419936334</v>
      </c>
      <c r="G2655" s="0" t="n">
        <f aca="false">SUMPRODUCT(D2655:F2655,Stats!$B$6:$D$6)</f>
        <v>0.390470493877454</v>
      </c>
      <c r="H2655" s="0" t="n">
        <f aca="false">SQRT(SUMPRODUCT(MMULT(D2655:F2655,Stats!$B$12:$D$14),D2655:F2655))</f>
        <v>0.243225044895983</v>
      </c>
      <c r="I2655" s="0" t="n">
        <f aca="false">(G2655-Stats!$B$2)/H2655</f>
        <v>1.43270810794374</v>
      </c>
    </row>
    <row r="2656" customFormat="false" ht="15" hidden="false" customHeight="false" outlineLevel="0" collapsed="false">
      <c r="A2656" s="0" t="n">
        <v>0.128978907927165</v>
      </c>
      <c r="B2656" s="0" t="n">
        <v>0.468461237087087</v>
      </c>
      <c r="C2656" s="0" t="n">
        <v>0.598306075696019</v>
      </c>
      <c r="D2656" s="0" t="n">
        <f aca="false">A2656/SUM($A2656:$C2656)</f>
        <v>0.107864784093193</v>
      </c>
      <c r="E2656" s="0" t="n">
        <f aca="false">B2656/SUM($A2656:$C2656)</f>
        <v>0.391773127920757</v>
      </c>
      <c r="F2656" s="0" t="n">
        <f aca="false">C2656/SUM($A2656:$C2656)</f>
        <v>0.50036208798605</v>
      </c>
      <c r="G2656" s="0" t="n">
        <f aca="false">SUMPRODUCT(D2656:F2656,Stats!$B$6:$D$6)</f>
        <v>0.365228531048012</v>
      </c>
      <c r="H2656" s="0" t="n">
        <f aca="false">SQRT(SUMPRODUCT(MMULT(D2656:F2656,Stats!$B$12:$D$14),D2656:F2656))</f>
        <v>0.236772202331437</v>
      </c>
      <c r="I2656" s="0" t="n">
        <f aca="false">(G2656-Stats!$B$2)/H2656</f>
        <v>1.3651456035179</v>
      </c>
    </row>
    <row r="2657" customFormat="false" ht="15" hidden="false" customHeight="false" outlineLevel="0" collapsed="false">
      <c r="A2657" s="0" t="n">
        <v>0.0309706034225101</v>
      </c>
      <c r="B2657" s="0" t="n">
        <v>0.274895658257088</v>
      </c>
      <c r="C2657" s="0" t="n">
        <v>0.032799874276896</v>
      </c>
      <c r="D2657" s="0" t="n">
        <f aca="false">A2657/SUM($A2657:$C2657)</f>
        <v>0.0914487754585794</v>
      </c>
      <c r="E2657" s="0" t="n">
        <f aca="false">B2657/SUM($A2657:$C2657)</f>
        <v>0.81170105030047</v>
      </c>
      <c r="F2657" s="0" t="n">
        <f aca="false">C2657/SUM($A2657:$C2657)</f>
        <v>0.096850174240951</v>
      </c>
      <c r="G2657" s="0" t="n">
        <f aca="false">SUMPRODUCT(D2657:F2657,Stats!$B$6:$D$6)</f>
        <v>0.400517326022345</v>
      </c>
      <c r="H2657" s="0" t="n">
        <f aca="false">SQRT(SUMPRODUCT(MMULT(D2657:F2657,Stats!$B$12:$D$14),D2657:F2657))</f>
        <v>0.243967283170538</v>
      </c>
      <c r="I2657" s="0" t="n">
        <f aca="false">(G2657-Stats!$B$2)/H2657</f>
        <v>1.46953034588549</v>
      </c>
    </row>
    <row r="2658" customFormat="false" ht="15" hidden="false" customHeight="false" outlineLevel="0" collapsed="false">
      <c r="A2658" s="0" t="n">
        <v>0.420335389195499</v>
      </c>
      <c r="B2658" s="0" t="n">
        <v>0.895100029066244</v>
      </c>
      <c r="C2658" s="0" t="n">
        <v>0.982652411493569</v>
      </c>
      <c r="D2658" s="0" t="n">
        <f aca="false">A2658/SUM($A2658:$C2658)</f>
        <v>0.182906581616706</v>
      </c>
      <c r="E2658" s="0" t="n">
        <f aca="false">B2658/SUM($A2658:$C2658)</f>
        <v>0.38949774568083</v>
      </c>
      <c r="F2658" s="0" t="n">
        <f aca="false">C2658/SUM($A2658:$C2658)</f>
        <v>0.427595672702464</v>
      </c>
      <c r="G2658" s="0" t="n">
        <f aca="false">SUMPRODUCT(D2658:F2658,Stats!$B$6:$D$6)</f>
        <v>0.367104114412906</v>
      </c>
      <c r="H2658" s="0" t="n">
        <f aca="false">SQRT(SUMPRODUCT(MMULT(D2658:F2658,Stats!$B$12:$D$14),D2658:F2658))</f>
        <v>0.232461275049924</v>
      </c>
      <c r="I2658" s="0" t="n">
        <f aca="false">(G2658-Stats!$B$2)/H2658</f>
        <v>1.39853020397951</v>
      </c>
    </row>
    <row r="2659" customFormat="false" ht="15" hidden="false" customHeight="false" outlineLevel="0" collapsed="false">
      <c r="A2659" s="0" t="n">
        <v>0.637047553503628</v>
      </c>
      <c r="B2659" s="0" t="n">
        <v>0.161637693784592</v>
      </c>
      <c r="C2659" s="0" t="n">
        <v>0.905849389999306</v>
      </c>
      <c r="D2659" s="0" t="n">
        <f aca="false">A2659/SUM($A2659:$C2659)</f>
        <v>0.373736936503314</v>
      </c>
      <c r="E2659" s="0" t="n">
        <f aca="false">B2659/SUM($A2659:$C2659)</f>
        <v>0.0948280488109121</v>
      </c>
      <c r="F2659" s="0" t="n">
        <f aca="false">C2659/SUM($A2659:$C2659)</f>
        <v>0.531435014685774</v>
      </c>
      <c r="G2659" s="0" t="n">
        <f aca="false">SUMPRODUCT(D2659:F2659,Stats!$B$6:$D$6)</f>
        <v>0.347285871522058</v>
      </c>
      <c r="H2659" s="0" t="n">
        <f aca="false">SQRT(SUMPRODUCT(MMULT(D2659:F2659,Stats!$B$12:$D$14),D2659:F2659))</f>
        <v>0.22638831792586</v>
      </c>
      <c r="I2659" s="0" t="n">
        <f aca="false">(G2659-Stats!$B$2)/H2659</f>
        <v>1.34850541016889</v>
      </c>
    </row>
    <row r="2660" customFormat="false" ht="15" hidden="false" customHeight="false" outlineLevel="0" collapsed="false">
      <c r="A2660" s="0" t="n">
        <v>0.516247823200061</v>
      </c>
      <c r="B2660" s="0" t="n">
        <v>0.153749312102918</v>
      </c>
      <c r="C2660" s="0" t="n">
        <v>0.921726669451661</v>
      </c>
      <c r="D2660" s="0" t="n">
        <f aca="false">A2660/SUM($A2660:$C2660)</f>
        <v>0.324332539136486</v>
      </c>
      <c r="E2660" s="0" t="n">
        <f aca="false">B2660/SUM($A2660:$C2660)</f>
        <v>0.0965929589314763</v>
      </c>
      <c r="F2660" s="0" t="n">
        <f aca="false">C2660/SUM($A2660:$C2660)</f>
        <v>0.579074501932038</v>
      </c>
      <c r="G2660" s="0" t="n">
        <f aca="false">SUMPRODUCT(D2660:F2660,Stats!$B$6:$D$6)</f>
        <v>0.346073781628411</v>
      </c>
      <c r="H2660" s="0" t="n">
        <f aca="false">SQRT(SUMPRODUCT(MMULT(D2660:F2660,Stats!$B$12:$D$14),D2660:F2660))</f>
        <v>0.228751090968353</v>
      </c>
      <c r="I2660" s="0" t="n">
        <f aca="false">(G2660-Stats!$B$2)/H2660</f>
        <v>1.32927795159883</v>
      </c>
    </row>
    <row r="2661" customFormat="false" ht="15" hidden="false" customHeight="false" outlineLevel="0" collapsed="false">
      <c r="A2661" s="0" t="n">
        <v>0.757469050723103</v>
      </c>
      <c r="B2661" s="0" t="n">
        <v>0.731705272723152</v>
      </c>
      <c r="C2661" s="0" t="n">
        <v>0.709180703794405</v>
      </c>
      <c r="D2661" s="0" t="n">
        <f aca="false">A2661/SUM($A2661:$C2661)</f>
        <v>0.344561747914697</v>
      </c>
      <c r="E2661" s="0" t="n">
        <f aca="false">B2661/SUM($A2661:$C2661)</f>
        <v>0.332842176835093</v>
      </c>
      <c r="F2661" s="0" t="n">
        <f aca="false">C2661/SUM($A2661:$C2661)</f>
        <v>0.32259607525021</v>
      </c>
      <c r="G2661" s="0" t="n">
        <f aca="false">SUMPRODUCT(D2661:F2661,Stats!$B$6:$D$6)</f>
        <v>0.366739549824168</v>
      </c>
      <c r="H2661" s="0" t="n">
        <f aca="false">SQRT(SUMPRODUCT(MMULT(D2661:F2661,Stats!$B$12:$D$14),D2661:F2661))</f>
        <v>0.225998192145738</v>
      </c>
      <c r="I2661" s="0" t="n">
        <f aca="false">(G2661-Stats!$B$2)/H2661</f>
        <v>1.43691215730945</v>
      </c>
    </row>
    <row r="2662" customFormat="false" ht="15" hidden="false" customHeight="false" outlineLevel="0" collapsed="false">
      <c r="A2662" s="0" t="n">
        <v>0.200339821096442</v>
      </c>
      <c r="B2662" s="0" t="n">
        <v>0.211006691707526</v>
      </c>
      <c r="C2662" s="0" t="n">
        <v>0.688292998427255</v>
      </c>
      <c r="D2662" s="0" t="n">
        <f aca="false">A2662/SUM($A2662:$C2662)</f>
        <v>0.182186815815785</v>
      </c>
      <c r="E2662" s="0" t="n">
        <f aca="false">B2662/SUM($A2662:$C2662)</f>
        <v>0.191887149881755</v>
      </c>
      <c r="F2662" s="0" t="n">
        <f aca="false">C2662/SUM($A2662:$C2662)</f>
        <v>0.62592603430246</v>
      </c>
      <c r="G2662" s="0" t="n">
        <f aca="false">SUMPRODUCT(D2662:F2662,Stats!$B$6:$D$6)</f>
        <v>0.350264973053765</v>
      </c>
      <c r="H2662" s="0" t="n">
        <f aca="false">SQRT(SUMPRODUCT(MMULT(D2662:F2662,Stats!$B$12:$D$14),D2662:F2662))</f>
        <v>0.235145198184865</v>
      </c>
      <c r="I2662" s="0" t="n">
        <f aca="false">(G2662-Stats!$B$2)/H2662</f>
        <v>1.31095584954882</v>
      </c>
    </row>
    <row r="2663" customFormat="false" ht="15" hidden="false" customHeight="false" outlineLevel="0" collapsed="false">
      <c r="A2663" s="0" t="n">
        <v>0.219722750110397</v>
      </c>
      <c r="B2663" s="0" t="n">
        <v>0.438671696803049</v>
      </c>
      <c r="C2663" s="0" t="n">
        <v>0.782001825593941</v>
      </c>
      <c r="D2663" s="0" t="n">
        <f aca="false">A2663/SUM($A2663:$C2663)</f>
        <v>0.152543264866905</v>
      </c>
      <c r="E2663" s="0" t="n">
        <f aca="false">B2663/SUM($A2663:$C2663)</f>
        <v>0.304549314085231</v>
      </c>
      <c r="F2663" s="0" t="n">
        <f aca="false">C2663/SUM($A2663:$C2663)</f>
        <v>0.542907421047864</v>
      </c>
      <c r="G2663" s="0" t="n">
        <f aca="false">SUMPRODUCT(D2663:F2663,Stats!$B$6:$D$6)</f>
        <v>0.359036614496105</v>
      </c>
      <c r="H2663" s="0" t="n">
        <f aca="false">SQRT(SUMPRODUCT(MMULT(D2663:F2663,Stats!$B$12:$D$14),D2663:F2663))</f>
        <v>0.234899840932609</v>
      </c>
      <c r="I2663" s="0" t="n">
        <f aca="false">(G2663-Stats!$B$2)/H2663</f>
        <v>1.34966721662047</v>
      </c>
    </row>
    <row r="2664" customFormat="false" ht="15" hidden="false" customHeight="false" outlineLevel="0" collapsed="false">
      <c r="A2664" s="0" t="n">
        <v>0.783952518097841</v>
      </c>
      <c r="B2664" s="0" t="n">
        <v>0.45326177252586</v>
      </c>
      <c r="C2664" s="0" t="n">
        <v>0.792189938275245</v>
      </c>
      <c r="D2664" s="0" t="n">
        <f aca="false">A2664/SUM($A2664:$C2664)</f>
        <v>0.386296878135104</v>
      </c>
      <c r="E2664" s="0" t="n">
        <f aca="false">B2664/SUM($A2664:$C2664)</f>
        <v>0.223347210019256</v>
      </c>
      <c r="F2664" s="0" t="n">
        <f aca="false">C2664/SUM($A2664:$C2664)</f>
        <v>0.39035591184564</v>
      </c>
      <c r="G2664" s="0" t="n">
        <f aca="false">SUMPRODUCT(D2664:F2664,Stats!$B$6:$D$6)</f>
        <v>0.358570899717831</v>
      </c>
      <c r="H2664" s="0" t="n">
        <f aca="false">SQRT(SUMPRODUCT(MMULT(D2664:F2664,Stats!$B$12:$D$14),D2664:F2664))</f>
        <v>0.224552079069905</v>
      </c>
      <c r="I2664" s="0" t="n">
        <f aca="false">(G2664-Stats!$B$2)/H2664</f>
        <v>1.40978832629414</v>
      </c>
    </row>
    <row r="2665" customFormat="false" ht="15" hidden="false" customHeight="false" outlineLevel="0" collapsed="false">
      <c r="A2665" s="0" t="n">
        <v>0.838621796198057</v>
      </c>
      <c r="B2665" s="0" t="n">
        <v>0.65477575128426</v>
      </c>
      <c r="C2665" s="0" t="n">
        <v>0.22842585230842</v>
      </c>
      <c r="D2665" s="0" t="n">
        <f aca="false">A2665/SUM($A2665:$C2665)</f>
        <v>0.487054477422005</v>
      </c>
      <c r="E2665" s="0" t="n">
        <f aca="false">B2665/SUM($A2665:$C2665)</f>
        <v>0.380280434894681</v>
      </c>
      <c r="F2665" s="0" t="n">
        <f aca="false">C2665/SUM($A2665:$C2665)</f>
        <v>0.132665087683314</v>
      </c>
      <c r="G2665" s="0" t="n">
        <f aca="false">SUMPRODUCT(D2665:F2665,Stats!$B$6:$D$6)</f>
        <v>0.374706359725639</v>
      </c>
      <c r="H2665" s="0" t="n">
        <f aca="false">SQRT(SUMPRODUCT(MMULT(D2665:F2665,Stats!$B$12:$D$14),D2665:F2665))</f>
        <v>0.225340651841373</v>
      </c>
      <c r="I2665" s="0" t="n">
        <f aca="false">(G2665-Stats!$B$2)/H2665</f>
        <v>1.47645956025655</v>
      </c>
    </row>
    <row r="2666" customFormat="false" ht="15" hidden="false" customHeight="false" outlineLevel="0" collapsed="false">
      <c r="A2666" s="0" t="n">
        <v>0.274011780385548</v>
      </c>
      <c r="B2666" s="0" t="n">
        <v>0.314841155408735</v>
      </c>
      <c r="C2666" s="0" t="n">
        <v>0.116804107733952</v>
      </c>
      <c r="D2666" s="0" t="n">
        <f aca="false">A2666/SUM($A2666:$C2666)</f>
        <v>0.388307298706335</v>
      </c>
      <c r="E2666" s="0" t="n">
        <f aca="false">B2666/SUM($A2666:$C2666)</f>
        <v>0.446167381586035</v>
      </c>
      <c r="F2666" s="0" t="n">
        <f aca="false">C2666/SUM($A2666:$C2666)</f>
        <v>0.16552531970763</v>
      </c>
      <c r="G2666" s="0" t="n">
        <f aca="false">SUMPRODUCT(D2666:F2666,Stats!$B$6:$D$6)</f>
        <v>0.377591301103093</v>
      </c>
      <c r="H2666" s="0" t="n">
        <f aca="false">SQRT(SUMPRODUCT(MMULT(D2666:F2666,Stats!$B$12:$D$14),D2666:F2666))</f>
        <v>0.227118093530571</v>
      </c>
      <c r="I2666" s="0" t="n">
        <f aca="false">(G2666-Stats!$B$2)/H2666</f>
        <v>1.47760707166169</v>
      </c>
    </row>
    <row r="2667" customFormat="false" ht="15" hidden="false" customHeight="false" outlineLevel="0" collapsed="false">
      <c r="A2667" s="0" t="n">
        <v>0.273159620369945</v>
      </c>
      <c r="B2667" s="0" t="n">
        <v>0.209519224312532</v>
      </c>
      <c r="C2667" s="0" t="n">
        <v>0.455328749808602</v>
      </c>
      <c r="D2667" s="0" t="n">
        <f aca="false">A2667/SUM($A2667:$C2667)</f>
        <v>0.291212589294812</v>
      </c>
      <c r="E2667" s="0" t="n">
        <f aca="false">B2667/SUM($A2667:$C2667)</f>
        <v>0.223366234498568</v>
      </c>
      <c r="F2667" s="0" t="n">
        <f aca="false">C2667/SUM($A2667:$C2667)</f>
        <v>0.48542117620662</v>
      </c>
      <c r="G2667" s="0" t="n">
        <f aca="false">SUMPRODUCT(D2667:F2667,Stats!$B$6:$D$6)</f>
        <v>0.355950606261017</v>
      </c>
      <c r="H2667" s="0" t="n">
        <f aca="false">SQRT(SUMPRODUCT(MMULT(D2667:F2667,Stats!$B$12:$D$14),D2667:F2667))</f>
        <v>0.228199249086337</v>
      </c>
      <c r="I2667" s="0" t="n">
        <f aca="false">(G2667-Stats!$B$2)/H2667</f>
        <v>1.37577405498927</v>
      </c>
    </row>
    <row r="2668" customFormat="false" ht="15" hidden="false" customHeight="false" outlineLevel="0" collapsed="false">
      <c r="A2668" s="0" t="n">
        <v>0.908437547872265</v>
      </c>
      <c r="B2668" s="0" t="n">
        <v>0.104480316753958</v>
      </c>
      <c r="C2668" s="0" t="n">
        <v>0.720267923947396</v>
      </c>
      <c r="D2668" s="0" t="n">
        <f aca="false">A2668/SUM($A2668:$C2668)</f>
        <v>0.524143201416331</v>
      </c>
      <c r="E2668" s="0" t="n">
        <f aca="false">B2668/SUM($A2668:$C2668)</f>
        <v>0.0602822371627819</v>
      </c>
      <c r="F2668" s="0" t="n">
        <f aca="false">C2668/SUM($A2668:$C2668)</f>
        <v>0.415574561420887</v>
      </c>
      <c r="G2668" s="0" t="n">
        <f aca="false">SUMPRODUCT(D2668:F2668,Stats!$B$6:$D$6)</f>
        <v>0.3484929576681</v>
      </c>
      <c r="H2668" s="0" t="n">
        <f aca="false">SQRT(SUMPRODUCT(MMULT(D2668:F2668,Stats!$B$12:$D$14),D2668:F2668))</f>
        <v>0.222146272185316</v>
      </c>
      <c r="I2668" s="0" t="n">
        <f aca="false">(G2668-Stats!$B$2)/H2668</f>
        <v>1.37968985323517</v>
      </c>
    </row>
    <row r="2669" customFormat="false" ht="15" hidden="false" customHeight="false" outlineLevel="0" collapsed="false">
      <c r="A2669" s="0" t="n">
        <v>0.687283004413128</v>
      </c>
      <c r="B2669" s="0" t="n">
        <v>0.0957541986633577</v>
      </c>
      <c r="C2669" s="0" t="n">
        <v>0.9225724049058</v>
      </c>
      <c r="D2669" s="0" t="n">
        <f aca="false">A2669/SUM($A2669:$C2669)</f>
        <v>0.40295446343444</v>
      </c>
      <c r="E2669" s="0" t="n">
        <f aca="false">B2669/SUM($A2669:$C2669)</f>
        <v>0.056140747692336</v>
      </c>
      <c r="F2669" s="0" t="n">
        <f aca="false">C2669/SUM($A2669:$C2669)</f>
        <v>0.540904788873224</v>
      </c>
      <c r="G2669" s="0" t="n">
        <f aca="false">SUMPRODUCT(D2669:F2669,Stats!$B$6:$D$6)</f>
        <v>0.344798728906737</v>
      </c>
      <c r="H2669" s="0" t="n">
        <f aca="false">SQRT(SUMPRODUCT(MMULT(D2669:F2669,Stats!$B$12:$D$14),D2669:F2669))</f>
        <v>0.225905004047788</v>
      </c>
      <c r="I2669" s="0" t="n">
        <f aca="false">(G2669-Stats!$B$2)/H2669</f>
        <v>1.34038079494106</v>
      </c>
    </row>
    <row r="2670" customFormat="false" ht="15" hidden="false" customHeight="false" outlineLevel="0" collapsed="false">
      <c r="A2670" s="0" t="n">
        <v>0.56847220215682</v>
      </c>
      <c r="B2670" s="0" t="n">
        <v>0.363725521135684</v>
      </c>
      <c r="C2670" s="0" t="n">
        <v>0.756538583495307</v>
      </c>
      <c r="D2670" s="0" t="n">
        <f aca="false">A2670/SUM($A2670:$C2670)</f>
        <v>0.336625795200747</v>
      </c>
      <c r="E2670" s="0" t="n">
        <f aca="false">B2670/SUM($A2670:$C2670)</f>
        <v>0.215383254137252</v>
      </c>
      <c r="F2670" s="0" t="n">
        <f aca="false">C2670/SUM($A2670:$C2670)</f>
        <v>0.447990950662</v>
      </c>
      <c r="G2670" s="0" t="n">
        <f aca="false">SUMPRODUCT(D2670:F2670,Stats!$B$6:$D$6)</f>
        <v>0.356523399976168</v>
      </c>
      <c r="H2670" s="0" t="n">
        <f aca="false">SQRT(SUMPRODUCT(MMULT(D2670:F2670,Stats!$B$12:$D$14),D2670:F2670))</f>
        <v>0.226304508217346</v>
      </c>
      <c r="I2670" s="0" t="n">
        <f aca="false">(G2670-Stats!$B$2)/H2670</f>
        <v>1.38982383715527</v>
      </c>
    </row>
    <row r="2671" customFormat="false" ht="15" hidden="false" customHeight="false" outlineLevel="0" collapsed="false">
      <c r="A2671" s="0" t="n">
        <v>0.257365458401634</v>
      </c>
      <c r="B2671" s="0" t="n">
        <v>0.69350983704632</v>
      </c>
      <c r="C2671" s="0" t="n">
        <v>0.0397112075722472</v>
      </c>
      <c r="D2671" s="0" t="n">
        <f aca="false">A2671/SUM($A2671:$C2671)</f>
        <v>0.259811190256431</v>
      </c>
      <c r="E2671" s="0" t="n">
        <f aca="false">B2671/SUM($A2671:$C2671)</f>
        <v>0.700100228432223</v>
      </c>
      <c r="F2671" s="0" t="n">
        <f aca="false">C2671/SUM($A2671:$C2671)</f>
        <v>0.040088581311346</v>
      </c>
      <c r="G2671" s="0" t="n">
        <f aca="false">SUMPRODUCT(D2671:F2671,Stats!$B$6:$D$6)</f>
        <v>0.395661138267541</v>
      </c>
      <c r="H2671" s="0" t="n">
        <f aca="false">SQRT(SUMPRODUCT(MMULT(D2671:F2671,Stats!$B$12:$D$14),D2671:F2671))</f>
        <v>0.236613976569712</v>
      </c>
      <c r="I2671" s="0" t="n">
        <f aca="false">(G2671-Stats!$B$2)/H2671</f>
        <v>1.49467560367612</v>
      </c>
    </row>
    <row r="2672" customFormat="false" ht="15" hidden="false" customHeight="false" outlineLevel="0" collapsed="false">
      <c r="A2672" s="0" t="n">
        <v>0.839408037609272</v>
      </c>
      <c r="B2672" s="0" t="n">
        <v>0.448170847021319</v>
      </c>
      <c r="C2672" s="0" t="n">
        <v>0.636692914357942</v>
      </c>
      <c r="D2672" s="0" t="n">
        <f aca="false">A2672/SUM($A2672:$C2672)</f>
        <v>0.436221139888084</v>
      </c>
      <c r="E2672" s="0" t="n">
        <f aca="false">B2672/SUM($A2672:$C2672)</f>
        <v>0.232904128853779</v>
      </c>
      <c r="F2672" s="0" t="n">
        <f aca="false">C2672/SUM($A2672:$C2672)</f>
        <v>0.330874731258137</v>
      </c>
      <c r="G2672" s="0" t="n">
        <f aca="false">SUMPRODUCT(D2672:F2672,Stats!$B$6:$D$6)</f>
        <v>0.360760963135327</v>
      </c>
      <c r="H2672" s="0" t="n">
        <f aca="false">SQRT(SUMPRODUCT(MMULT(D2672:F2672,Stats!$B$12:$D$14),D2672:F2672))</f>
        <v>0.223361934449321</v>
      </c>
      <c r="I2672" s="0" t="n">
        <f aca="false">(G2672-Stats!$B$2)/H2672</f>
        <v>1.4271051328473</v>
      </c>
    </row>
    <row r="2673" customFormat="false" ht="15" hidden="false" customHeight="false" outlineLevel="0" collapsed="false">
      <c r="A2673" s="0" t="n">
        <v>0.221237819806684</v>
      </c>
      <c r="B2673" s="0" t="n">
        <v>0.677073712658448</v>
      </c>
      <c r="C2673" s="0" t="n">
        <v>0.772240275893277</v>
      </c>
      <c r="D2673" s="0" t="n">
        <f aca="false">A2673/SUM($A2673:$C2673)</f>
        <v>0.132433977024685</v>
      </c>
      <c r="E2673" s="0" t="n">
        <f aca="false">B2673/SUM($A2673:$C2673)</f>
        <v>0.405299440143544</v>
      </c>
      <c r="F2673" s="0" t="n">
        <f aca="false">C2673/SUM($A2673:$C2673)</f>
        <v>0.462266582831771</v>
      </c>
      <c r="G2673" s="0" t="n">
        <f aca="false">SUMPRODUCT(D2673:F2673,Stats!$B$6:$D$6)</f>
        <v>0.367057286448875</v>
      </c>
      <c r="H2673" s="0" t="n">
        <f aca="false">SQRT(SUMPRODUCT(MMULT(D2673:F2673,Stats!$B$12:$D$14),D2673:F2673))</f>
        <v>0.235181158708757</v>
      </c>
      <c r="I2673" s="0" t="n">
        <f aca="false">(G2673-Stats!$B$2)/H2673</f>
        <v>1.3821570071071</v>
      </c>
    </row>
    <row r="2674" customFormat="false" ht="15" hidden="false" customHeight="false" outlineLevel="0" collapsed="false">
      <c r="A2674" s="0" t="n">
        <v>0.473213186884399</v>
      </c>
      <c r="B2674" s="0" t="n">
        <v>0.617726924061794</v>
      </c>
      <c r="C2674" s="0" t="n">
        <v>0.456325923822399</v>
      </c>
      <c r="D2674" s="0" t="n">
        <f aca="false">A2674/SUM($A2674:$C2674)</f>
        <v>0.305838282655233</v>
      </c>
      <c r="E2674" s="0" t="n">
        <f aca="false">B2674/SUM($A2674:$C2674)</f>
        <v>0.399237694217324</v>
      </c>
      <c r="F2674" s="0" t="n">
        <f aca="false">C2674/SUM($A2674:$C2674)</f>
        <v>0.294924023127443</v>
      </c>
      <c r="G2674" s="0" t="n">
        <f aca="false">SUMPRODUCT(D2674:F2674,Stats!$B$6:$D$6)</f>
        <v>0.371322908154359</v>
      </c>
      <c r="H2674" s="0" t="n">
        <f aca="false">SQRT(SUMPRODUCT(MMULT(D2674:F2674,Stats!$B$12:$D$14),D2674:F2674))</f>
        <v>0.227667275504021</v>
      </c>
      <c r="I2674" s="0" t="n">
        <f aca="false">(G2674-Stats!$B$2)/H2674</f>
        <v>1.44650963747551</v>
      </c>
    </row>
    <row r="2675" customFormat="false" ht="15" hidden="false" customHeight="false" outlineLevel="0" collapsed="false">
      <c r="A2675" s="0" t="n">
        <v>0.894091369257846</v>
      </c>
      <c r="B2675" s="0" t="n">
        <v>0.497869180514319</v>
      </c>
      <c r="C2675" s="0" t="n">
        <v>0.841808709028819</v>
      </c>
      <c r="D2675" s="0" t="n">
        <f aca="false">A2675/SUM($A2675:$C2675)</f>
        <v>0.400261291865824</v>
      </c>
      <c r="E2675" s="0" t="n">
        <f aca="false">B2675/SUM($A2675:$C2675)</f>
        <v>0.222882994092935</v>
      </c>
      <c r="F2675" s="0" t="n">
        <f aca="false">C2675/SUM($A2675:$C2675)</f>
        <v>0.376855714041241</v>
      </c>
      <c r="G2675" s="0" t="n">
        <f aca="false">SUMPRODUCT(D2675:F2675,Stats!$B$6:$D$6)</f>
        <v>0.358916452096261</v>
      </c>
      <c r="H2675" s="0" t="n">
        <f aca="false">SQRT(SUMPRODUCT(MMULT(D2675:F2675,Stats!$B$12:$D$14),D2675:F2675))</f>
        <v>0.224161766678068</v>
      </c>
      <c r="I2675" s="0" t="n">
        <f aca="false">(G2675-Stats!$B$2)/H2675</f>
        <v>1.41378459312111</v>
      </c>
    </row>
    <row r="2676" customFormat="false" ht="15" hidden="false" customHeight="false" outlineLevel="0" collapsed="false">
      <c r="A2676" s="0" t="n">
        <v>0.801352058270249</v>
      </c>
      <c r="B2676" s="0" t="n">
        <v>0.410504821348357</v>
      </c>
      <c r="C2676" s="0" t="n">
        <v>0.230084491857475</v>
      </c>
      <c r="D2676" s="0" t="n">
        <f aca="false">A2676/SUM($A2676:$C2676)</f>
        <v>0.55574524326875</v>
      </c>
      <c r="E2676" s="0" t="n">
        <f aca="false">B2676/SUM($A2676:$C2676)</f>
        <v>0.284688982138111</v>
      </c>
      <c r="F2676" s="0" t="n">
        <f aca="false">C2676/SUM($A2676:$C2676)</f>
        <v>0.15956577459314</v>
      </c>
      <c r="G2676" s="0" t="n">
        <f aca="false">SUMPRODUCT(D2676:F2676,Stats!$B$6:$D$6)</f>
        <v>0.368464375160632</v>
      </c>
      <c r="H2676" s="0" t="n">
        <f aca="false">SQRT(SUMPRODUCT(MMULT(D2676:F2676,Stats!$B$12:$D$14),D2676:F2676))</f>
        <v>0.223528711259982</v>
      </c>
      <c r="I2676" s="0" t="n">
        <f aca="false">(G2676-Stats!$B$2)/H2676</f>
        <v>1.460503097434</v>
      </c>
    </row>
    <row r="2677" customFormat="false" ht="15" hidden="false" customHeight="false" outlineLevel="0" collapsed="false">
      <c r="A2677" s="0" t="n">
        <v>0.406082132559771</v>
      </c>
      <c r="B2677" s="0" t="n">
        <v>0.82621737577522</v>
      </c>
      <c r="C2677" s="0" t="n">
        <v>0.227632535819392</v>
      </c>
      <c r="D2677" s="0" t="n">
        <f aca="false">A2677/SUM($A2677:$C2677)</f>
        <v>0.278151393543102</v>
      </c>
      <c r="E2677" s="0" t="n">
        <f aca="false">B2677/SUM($A2677:$C2677)</f>
        <v>0.565928653380424</v>
      </c>
      <c r="F2677" s="0" t="n">
        <f aca="false">C2677/SUM($A2677:$C2677)</f>
        <v>0.155919953076474</v>
      </c>
      <c r="G2677" s="0" t="n">
        <f aca="false">SUMPRODUCT(D2677:F2677,Stats!$B$6:$D$6)</f>
        <v>0.384747073968597</v>
      </c>
      <c r="H2677" s="0" t="n">
        <f aca="false">SQRT(SUMPRODUCT(MMULT(D2677:F2677,Stats!$B$12:$D$14),D2677:F2677))</f>
        <v>0.231638146124953</v>
      </c>
      <c r="I2677" s="0" t="n">
        <f aca="false">(G2677-Stats!$B$2)/H2677</f>
        <v>1.4796659345724</v>
      </c>
    </row>
    <row r="2678" customFormat="false" ht="15" hidden="false" customHeight="false" outlineLevel="0" collapsed="false">
      <c r="A2678" s="0" t="n">
        <v>0.524436345857749</v>
      </c>
      <c r="B2678" s="0" t="n">
        <v>0.806096747960748</v>
      </c>
      <c r="C2678" s="0" t="n">
        <v>0.353477475128379</v>
      </c>
      <c r="D2678" s="0" t="n">
        <f aca="false">A2678/SUM($A2678:$C2678)</f>
        <v>0.311421053720414</v>
      </c>
      <c r="E2678" s="0" t="n">
        <f aca="false">B2678/SUM($A2678:$C2678)</f>
        <v>0.478676774852342</v>
      </c>
      <c r="F2678" s="0" t="n">
        <f aca="false">C2678/SUM($A2678:$C2678)</f>
        <v>0.209902171427245</v>
      </c>
      <c r="G2678" s="0" t="n">
        <f aca="false">SUMPRODUCT(D2678:F2678,Stats!$B$6:$D$6)</f>
        <v>0.378238174897618</v>
      </c>
      <c r="H2678" s="0" t="n">
        <f aca="false">SQRT(SUMPRODUCT(MMULT(D2678:F2678,Stats!$B$12:$D$14),D2678:F2678))</f>
        <v>0.228859558120841</v>
      </c>
      <c r="I2678" s="0" t="n">
        <f aca="false">(G2678-Stats!$B$2)/H2678</f>
        <v>1.46919000306764</v>
      </c>
    </row>
    <row r="2679" customFormat="false" ht="15" hidden="false" customHeight="false" outlineLevel="0" collapsed="false">
      <c r="A2679" s="0" t="n">
        <v>0.642209637002697</v>
      </c>
      <c r="B2679" s="0" t="n">
        <v>0.245631574048815</v>
      </c>
      <c r="C2679" s="0" t="n">
        <v>0.10927944536816</v>
      </c>
      <c r="D2679" s="0" t="n">
        <f aca="false">A2679/SUM($A2679:$C2679)</f>
        <v>0.644064118888739</v>
      </c>
      <c r="E2679" s="0" t="n">
        <f aca="false">B2679/SUM($A2679:$C2679)</f>
        <v>0.246340874063121</v>
      </c>
      <c r="F2679" s="0" t="n">
        <f aca="false">C2679/SUM($A2679:$C2679)</f>
        <v>0.10959500704814</v>
      </c>
      <c r="G2679" s="0" t="n">
        <f aca="false">SUMPRODUCT(D2679:F2679,Stats!$B$6:$D$6)</f>
        <v>0.367635799350268</v>
      </c>
      <c r="H2679" s="0" t="n">
        <f aca="false">SQRT(SUMPRODUCT(MMULT(D2679:F2679,Stats!$B$12:$D$14),D2679:F2679))</f>
        <v>0.224090715787049</v>
      </c>
      <c r="I2679" s="0" t="n">
        <f aca="false">(G2679-Stats!$B$2)/H2679</f>
        <v>1.45314275161545</v>
      </c>
    </row>
    <row r="2680" customFormat="false" ht="15" hidden="false" customHeight="false" outlineLevel="0" collapsed="false">
      <c r="A2680" s="0" t="n">
        <v>0.794384225092856</v>
      </c>
      <c r="B2680" s="0" t="n">
        <v>0.0989686234087068</v>
      </c>
      <c r="C2680" s="0" t="n">
        <v>0.271381395079585</v>
      </c>
      <c r="D2680" s="0" t="n">
        <f aca="false">A2680/SUM($A2680:$C2680)</f>
        <v>0.682030454132098</v>
      </c>
      <c r="E2680" s="0" t="n">
        <f aca="false">B2680/SUM($A2680:$C2680)</f>
        <v>0.0849709914120951</v>
      </c>
      <c r="F2680" s="0" t="n">
        <f aca="false">C2680/SUM($A2680:$C2680)</f>
        <v>0.232998554455806</v>
      </c>
      <c r="G2680" s="0" t="n">
        <f aca="false">SUMPRODUCT(D2680:F2680,Stats!$B$6:$D$6)</f>
        <v>0.354947979803214</v>
      </c>
      <c r="H2680" s="0" t="n">
        <f aca="false">SQRT(SUMPRODUCT(MMULT(D2680:F2680,Stats!$B$12:$D$14),D2680:F2680))</f>
        <v>0.221907903580978</v>
      </c>
      <c r="I2680" s="0" t="n">
        <f aca="false">(G2680-Stats!$B$2)/H2680</f>
        <v>1.41026062953641</v>
      </c>
    </row>
    <row r="2681" customFormat="false" ht="15" hidden="false" customHeight="false" outlineLevel="0" collapsed="false">
      <c r="A2681" s="0" t="n">
        <v>0.85510942199744</v>
      </c>
      <c r="B2681" s="0" t="n">
        <v>0.346469287078667</v>
      </c>
      <c r="C2681" s="0" t="n">
        <v>0.973045349514161</v>
      </c>
      <c r="D2681" s="0" t="n">
        <f aca="false">A2681/SUM($A2681:$C2681)</f>
        <v>0.393221724288187</v>
      </c>
      <c r="E2681" s="0" t="n">
        <f aca="false">B2681/SUM($A2681:$C2681)</f>
        <v>0.159323762518875</v>
      </c>
      <c r="F2681" s="0" t="n">
        <f aca="false">C2681/SUM($A2681:$C2681)</f>
        <v>0.447454513192939</v>
      </c>
      <c r="G2681" s="0" t="n">
        <f aca="false">SUMPRODUCT(D2681:F2681,Stats!$B$6:$D$6)</f>
        <v>0.353312601441711</v>
      </c>
      <c r="H2681" s="0" t="n">
        <f aca="false">SQRT(SUMPRODUCT(MMULT(D2681:F2681,Stats!$B$12:$D$14),D2681:F2681))</f>
        <v>0.22470205823411</v>
      </c>
      <c r="I2681" s="0" t="n">
        <f aca="false">(G2681-Stats!$B$2)/H2681</f>
        <v>1.38544614984062</v>
      </c>
    </row>
    <row r="2682" customFormat="false" ht="15" hidden="false" customHeight="false" outlineLevel="0" collapsed="false">
      <c r="A2682" s="0" t="n">
        <v>0.97973433477386</v>
      </c>
      <c r="B2682" s="0" t="n">
        <v>0.268276020453557</v>
      </c>
      <c r="C2682" s="0" t="n">
        <v>0.0409782222498905</v>
      </c>
      <c r="D2682" s="0" t="n">
        <f aca="false">A2682/SUM($A2682:$C2682)</f>
        <v>0.760079919941035</v>
      </c>
      <c r="E2682" s="0" t="n">
        <f aca="false">B2682/SUM($A2682:$C2682)</f>
        <v>0.208129090622822</v>
      </c>
      <c r="F2682" s="0" t="n">
        <f aca="false">C2682/SUM($A2682:$C2682)</f>
        <v>0.0317909894361433</v>
      </c>
      <c r="G2682" s="0" t="n">
        <f aca="false">SUMPRODUCT(D2682:F2682,Stats!$B$6:$D$6)</f>
        <v>0.367582558648309</v>
      </c>
      <c r="H2682" s="0" t="n">
        <f aca="false">SQRT(SUMPRODUCT(MMULT(D2682:F2682,Stats!$B$12:$D$14),D2682:F2682))</f>
        <v>0.22679734788274</v>
      </c>
      <c r="I2682" s="0" t="n">
        <f aca="false">(G2682-Stats!$B$2)/H2682</f>
        <v>1.43556598737937</v>
      </c>
    </row>
    <row r="2683" customFormat="false" ht="15" hidden="false" customHeight="false" outlineLevel="0" collapsed="false">
      <c r="A2683" s="0" t="n">
        <v>0.705063284205379</v>
      </c>
      <c r="B2683" s="0" t="n">
        <v>0.450986502648344</v>
      </c>
      <c r="C2683" s="0" t="n">
        <v>0.100752843959576</v>
      </c>
      <c r="D2683" s="0" t="n">
        <f aca="false">A2683/SUM($A2683:$C2683)</f>
        <v>0.560997619609628</v>
      </c>
      <c r="E2683" s="0" t="n">
        <f aca="false">B2683/SUM($A2683:$C2683)</f>
        <v>0.358836377002571</v>
      </c>
      <c r="F2683" s="0" t="n">
        <f aca="false">C2683/SUM($A2683:$C2683)</f>
        <v>0.0801660033878011</v>
      </c>
      <c r="G2683" s="0" t="n">
        <f aca="false">SUMPRODUCT(D2683:F2683,Stats!$B$6:$D$6)</f>
        <v>0.374920138446267</v>
      </c>
      <c r="H2683" s="0" t="n">
        <f aca="false">SQRT(SUMPRODUCT(MMULT(D2683:F2683,Stats!$B$12:$D$14),D2683:F2683))</f>
        <v>0.225605977462907</v>
      </c>
      <c r="I2683" s="0" t="n">
        <f aca="false">(G2683-Stats!$B$2)/H2683</f>
        <v>1.47567073439357</v>
      </c>
    </row>
    <row r="2684" customFormat="false" ht="15" hidden="false" customHeight="false" outlineLevel="0" collapsed="false">
      <c r="A2684" s="0" t="n">
        <v>0.707522818978043</v>
      </c>
      <c r="B2684" s="0" t="n">
        <v>0.0311749091119212</v>
      </c>
      <c r="C2684" s="0" t="n">
        <v>0.870196690492242</v>
      </c>
      <c r="D2684" s="0" t="n">
        <f aca="false">A2684/SUM($A2684:$C2684)</f>
        <v>0.439757146775068</v>
      </c>
      <c r="E2684" s="0" t="n">
        <f aca="false">B2684/SUM($A2684:$C2684)</f>
        <v>0.0193766034314379</v>
      </c>
      <c r="F2684" s="0" t="n">
        <f aca="false">C2684/SUM($A2684:$C2684)</f>
        <v>0.540866249793494</v>
      </c>
      <c r="G2684" s="0" t="n">
        <f aca="false">SUMPRODUCT(D2684:F2684,Stats!$B$6:$D$6)</f>
        <v>0.342684430329166</v>
      </c>
      <c r="H2684" s="0" t="n">
        <f aca="false">SQRT(SUMPRODUCT(MMULT(D2684:F2684,Stats!$B$12:$D$14),D2684:F2684))</f>
        <v>0.225206343146436</v>
      </c>
      <c r="I2684" s="0" t="n">
        <f aca="false">(G2684-Stats!$B$2)/H2684</f>
        <v>1.33515080493826</v>
      </c>
    </row>
    <row r="2685" customFormat="false" ht="15" hidden="false" customHeight="false" outlineLevel="0" collapsed="false">
      <c r="A2685" s="0" t="n">
        <v>0.138652529113304</v>
      </c>
      <c r="B2685" s="0" t="n">
        <v>0.127311878746725</v>
      </c>
      <c r="C2685" s="0" t="n">
        <v>0.175672297968585</v>
      </c>
      <c r="D2685" s="0" t="n">
        <f aca="false">A2685/SUM($A2685:$C2685)</f>
        <v>0.313951551769591</v>
      </c>
      <c r="E2685" s="0" t="n">
        <f aca="false">B2685/SUM($A2685:$C2685)</f>
        <v>0.288272865607623</v>
      </c>
      <c r="F2685" s="0" t="n">
        <f aca="false">C2685/SUM($A2685:$C2685)</f>
        <v>0.397775582622786</v>
      </c>
      <c r="G2685" s="0" t="n">
        <f aca="false">SUMPRODUCT(D2685:F2685,Stats!$B$6:$D$6)</f>
        <v>0.36210204334083</v>
      </c>
      <c r="H2685" s="0" t="n">
        <f aca="false">SQRT(SUMPRODUCT(MMULT(D2685:F2685,Stats!$B$12:$D$14),D2685:F2685))</f>
        <v>0.226834148072421</v>
      </c>
      <c r="I2685" s="0" t="n">
        <f aca="false">(G2685-Stats!$B$2)/H2685</f>
        <v>1.41117219810587</v>
      </c>
    </row>
    <row r="2686" customFormat="false" ht="15" hidden="false" customHeight="false" outlineLevel="0" collapsed="false">
      <c r="A2686" s="0" t="n">
        <v>0.960266358492067</v>
      </c>
      <c r="B2686" s="0" t="n">
        <v>0.693169360253846</v>
      </c>
      <c r="C2686" s="0" t="n">
        <v>0.801371535463637</v>
      </c>
      <c r="D2686" s="0" t="n">
        <f aca="false">A2686/SUM($A2686:$C2686)</f>
        <v>0.391177904841769</v>
      </c>
      <c r="E2686" s="0" t="n">
        <f aca="false">B2686/SUM($A2686:$C2686)</f>
        <v>0.282372214382692</v>
      </c>
      <c r="F2686" s="0" t="n">
        <f aca="false">C2686/SUM($A2686:$C2686)</f>
        <v>0.326449880775539</v>
      </c>
      <c r="G2686" s="0" t="n">
        <f aca="false">SUMPRODUCT(D2686:F2686,Stats!$B$6:$D$6)</f>
        <v>0.363729306301542</v>
      </c>
      <c r="H2686" s="0" t="n">
        <f aca="false">SQRT(SUMPRODUCT(MMULT(D2686:F2686,Stats!$B$12:$D$14),D2686:F2686))</f>
        <v>0.224528155731774</v>
      </c>
      <c r="I2686" s="0" t="n">
        <f aca="false">(G2686-Stats!$B$2)/H2686</f>
        <v>1.43291296921303</v>
      </c>
    </row>
    <row r="2687" customFormat="false" ht="15" hidden="false" customHeight="false" outlineLevel="0" collapsed="false">
      <c r="A2687" s="0" t="n">
        <v>0.397634985732753</v>
      </c>
      <c r="B2687" s="0" t="n">
        <v>0.336312727504956</v>
      </c>
      <c r="C2687" s="0" t="n">
        <v>0.23448400678317</v>
      </c>
      <c r="D2687" s="0" t="n">
        <f aca="false">A2687/SUM($A2687:$C2687)</f>
        <v>0.410596821141072</v>
      </c>
      <c r="E2687" s="0" t="n">
        <f aca="false">B2687/SUM($A2687:$C2687)</f>
        <v>0.347275621556164</v>
      </c>
      <c r="F2687" s="0" t="n">
        <f aca="false">C2687/SUM($A2687:$C2687)</f>
        <v>0.242127557302764</v>
      </c>
      <c r="G2687" s="0" t="n">
        <f aca="false">SUMPRODUCT(D2687:F2687,Stats!$B$6:$D$6)</f>
        <v>0.369788919985158</v>
      </c>
      <c r="H2687" s="0" t="n">
        <f aca="false">SQRT(SUMPRODUCT(MMULT(D2687:F2687,Stats!$B$12:$D$14),D2687:F2687))</f>
        <v>0.224878376524893</v>
      </c>
      <c r="I2687" s="0" t="n">
        <f aca="false">(G2687-Stats!$B$2)/H2687</f>
        <v>1.45762756317691</v>
      </c>
    </row>
    <row r="2688" customFormat="false" ht="15" hidden="false" customHeight="false" outlineLevel="0" collapsed="false">
      <c r="A2688" s="0" t="n">
        <v>0.480648028312409</v>
      </c>
      <c r="B2688" s="0" t="n">
        <v>0.551828733534169</v>
      </c>
      <c r="C2688" s="0" t="n">
        <v>0.631774843652755</v>
      </c>
      <c r="D2688" s="0" t="n">
        <f aca="false">A2688/SUM($A2688:$C2688)</f>
        <v>0.288807309378078</v>
      </c>
      <c r="E2688" s="0" t="n">
        <f aca="false">B2688/SUM($A2688:$C2688)</f>
        <v>0.331577708388991</v>
      </c>
      <c r="F2688" s="0" t="n">
        <f aca="false">C2688/SUM($A2688:$C2688)</f>
        <v>0.379614982232931</v>
      </c>
      <c r="G2688" s="0" t="n">
        <f aca="false">SUMPRODUCT(D2688:F2688,Stats!$B$6:$D$6)</f>
        <v>0.365094519516925</v>
      </c>
      <c r="H2688" s="0" t="n">
        <f aca="false">SQRT(SUMPRODUCT(MMULT(D2688:F2688,Stats!$B$12:$D$14),D2688:F2688))</f>
        <v>0.227773320050188</v>
      </c>
      <c r="I2688" s="0" t="n">
        <f aca="false">(G2688-Stats!$B$2)/H2688</f>
        <v>1.41849150482477</v>
      </c>
    </row>
    <row r="2689" customFormat="false" ht="15" hidden="false" customHeight="false" outlineLevel="0" collapsed="false">
      <c r="A2689" s="0" t="n">
        <v>0.257118503998695</v>
      </c>
      <c r="B2689" s="0" t="n">
        <v>0.948654080902991</v>
      </c>
      <c r="C2689" s="0" t="n">
        <v>0.169758498207136</v>
      </c>
      <c r="D2689" s="0" t="n">
        <f aca="false">A2689/SUM($A2689:$C2689)</f>
        <v>0.186923078043125</v>
      </c>
      <c r="E2689" s="0" t="n">
        <f aca="false">B2689/SUM($A2689:$C2689)</f>
        <v>0.689663863326846</v>
      </c>
      <c r="F2689" s="0" t="n">
        <f aca="false">C2689/SUM($A2689:$C2689)</f>
        <v>0.123413058630029</v>
      </c>
      <c r="G2689" s="0" t="n">
        <f aca="false">SUMPRODUCT(D2689:F2689,Stats!$B$6:$D$6)</f>
        <v>0.392763002913117</v>
      </c>
      <c r="H2689" s="0" t="n">
        <f aca="false">SQRT(SUMPRODUCT(MMULT(D2689:F2689,Stats!$B$12:$D$14),D2689:F2689))</f>
        <v>0.23724137423961</v>
      </c>
      <c r="I2689" s="0" t="n">
        <f aca="false">(G2689-Stats!$B$2)/H2689</f>
        <v>1.47850687527569</v>
      </c>
    </row>
    <row r="2690" customFormat="false" ht="15" hidden="false" customHeight="false" outlineLevel="0" collapsed="false">
      <c r="A2690" s="0" t="n">
        <v>0.965653174766412</v>
      </c>
      <c r="B2690" s="0" t="n">
        <v>0.0148561225075038</v>
      </c>
      <c r="C2690" s="0" t="n">
        <v>0.481125691816846</v>
      </c>
      <c r="D2690" s="0" t="n">
        <f aca="false">A2690/SUM($A2690:$C2690)</f>
        <v>0.660666433120293</v>
      </c>
      <c r="E2690" s="0" t="n">
        <f aca="false">B2690/SUM($A2690:$C2690)</f>
        <v>0.0101640441138764</v>
      </c>
      <c r="F2690" s="0" t="n">
        <f aca="false">C2690/SUM($A2690:$C2690)</f>
        <v>0.32916952276583</v>
      </c>
      <c r="G2690" s="0" t="n">
        <f aca="false">SUMPRODUCT(D2690:F2690,Stats!$B$6:$D$6)</f>
        <v>0.347991807414562</v>
      </c>
      <c r="H2690" s="0" t="n">
        <f aca="false">SQRT(SUMPRODUCT(MMULT(D2690:F2690,Stats!$B$12:$D$14),D2690:F2690))</f>
        <v>0.221388317523268</v>
      </c>
      <c r="I2690" s="0" t="n">
        <f aca="false">(G2690-Stats!$B$2)/H2690</f>
        <v>1.38214974863072</v>
      </c>
    </row>
    <row r="2691" customFormat="false" ht="15" hidden="false" customHeight="false" outlineLevel="0" collapsed="false">
      <c r="A2691" s="0" t="n">
        <v>0.333367838116563</v>
      </c>
      <c r="B2691" s="0" t="n">
        <v>0.449123413930251</v>
      </c>
      <c r="C2691" s="0" t="n">
        <v>0.570664578980789</v>
      </c>
      <c r="D2691" s="0" t="n">
        <f aca="false">A2691/SUM($A2691:$C2691)</f>
        <v>0.246363227702606</v>
      </c>
      <c r="E2691" s="0" t="n">
        <f aca="false">B2691/SUM($A2691:$C2691)</f>
        <v>0.331908124424355</v>
      </c>
      <c r="F2691" s="0" t="n">
        <f aca="false">C2691/SUM($A2691:$C2691)</f>
        <v>0.421728647873039</v>
      </c>
      <c r="G2691" s="0" t="n">
        <f aca="false">SUMPRODUCT(D2691:F2691,Stats!$B$6:$D$6)</f>
        <v>0.363952263095692</v>
      </c>
      <c r="H2691" s="0" t="n">
        <f aca="false">SQRT(SUMPRODUCT(MMULT(D2691:F2691,Stats!$B$12:$D$14),D2691:F2691))</f>
        <v>0.229522562723288</v>
      </c>
      <c r="I2691" s="0" t="n">
        <f aca="false">(G2691-Stats!$B$2)/H2691</f>
        <v>1.40270420160757</v>
      </c>
    </row>
    <row r="2692" customFormat="false" ht="15" hidden="false" customHeight="false" outlineLevel="0" collapsed="false">
      <c r="A2692" s="0" t="n">
        <v>0.435589158012709</v>
      </c>
      <c r="B2692" s="0" t="n">
        <v>0.414846850301595</v>
      </c>
      <c r="C2692" s="0" t="n">
        <v>0.732723415413307</v>
      </c>
      <c r="D2692" s="0" t="n">
        <f aca="false">A2692/SUM($A2692:$C2692)</f>
        <v>0.275139162540622</v>
      </c>
      <c r="E2692" s="0" t="n">
        <f aca="false">B2692/SUM($A2692:$C2692)</f>
        <v>0.262037318594752</v>
      </c>
      <c r="F2692" s="0" t="n">
        <f aca="false">C2692/SUM($A2692:$C2692)</f>
        <v>0.462823518864626</v>
      </c>
      <c r="G2692" s="0" t="n">
        <f aca="false">SUMPRODUCT(D2692:F2692,Stats!$B$6:$D$6)</f>
        <v>0.358798812098596</v>
      </c>
      <c r="H2692" s="0" t="n">
        <f aca="false">SQRT(SUMPRODUCT(MMULT(D2692:F2692,Stats!$B$12:$D$14),D2692:F2692))</f>
        <v>0.228575216307751</v>
      </c>
      <c r="I2692" s="0" t="n">
        <f aca="false">(G2692-Stats!$B$2)/H2692</f>
        <v>1.38597183551196</v>
      </c>
    </row>
    <row r="2693" customFormat="false" ht="15" hidden="false" customHeight="false" outlineLevel="0" collapsed="false">
      <c r="A2693" s="0" t="n">
        <v>0.685876275086465</v>
      </c>
      <c r="B2693" s="0" t="n">
        <v>0.833271282035848</v>
      </c>
      <c r="C2693" s="0" t="n">
        <v>0.249958981239496</v>
      </c>
      <c r="D2693" s="0" t="n">
        <f aca="false">A2693/SUM($A2693:$C2693)</f>
        <v>0.387696422015141</v>
      </c>
      <c r="E2693" s="0" t="n">
        <f aca="false">B2693/SUM($A2693:$C2693)</f>
        <v>0.471012493576253</v>
      </c>
      <c r="F2693" s="0" t="n">
        <f aca="false">C2693/SUM($A2693:$C2693)</f>
        <v>0.141291084408606</v>
      </c>
      <c r="G2693" s="0" t="n">
        <f aca="false">SUMPRODUCT(D2693:F2693,Stats!$B$6:$D$6)</f>
        <v>0.379689106408004</v>
      </c>
      <c r="H2693" s="0" t="n">
        <f aca="false">SQRT(SUMPRODUCT(MMULT(D2693:F2693,Stats!$B$12:$D$14),D2693:F2693))</f>
        <v>0.227787730250709</v>
      </c>
      <c r="I2693" s="0" t="n">
        <f aca="false">(G2693-Stats!$B$2)/H2693</f>
        <v>1.48247276548361</v>
      </c>
    </row>
    <row r="2694" customFormat="false" ht="15" hidden="false" customHeight="false" outlineLevel="0" collapsed="false">
      <c r="A2694" s="0" t="n">
        <v>0.609528509754064</v>
      </c>
      <c r="B2694" s="0" t="n">
        <v>0.585194785392854</v>
      </c>
      <c r="C2694" s="0" t="n">
        <v>0.369737810872689</v>
      </c>
      <c r="D2694" s="0" t="n">
        <f aca="false">A2694/SUM($A2694:$C2694)</f>
        <v>0.389609244620253</v>
      </c>
      <c r="E2694" s="0" t="n">
        <f aca="false">B2694/SUM($A2694:$C2694)</f>
        <v>0.374055183053889</v>
      </c>
      <c r="F2694" s="0" t="n">
        <f aca="false">C2694/SUM($A2694:$C2694)</f>
        <v>0.236335572325858</v>
      </c>
      <c r="G2694" s="0" t="n">
        <f aca="false">SUMPRODUCT(D2694:F2694,Stats!$B$6:$D$6)</f>
        <v>0.371489493051652</v>
      </c>
      <c r="H2694" s="0" t="n">
        <f aca="false">SQRT(SUMPRODUCT(MMULT(D2694:F2694,Stats!$B$12:$D$14),D2694:F2694))</f>
        <v>0.225584781630601</v>
      </c>
      <c r="I2694" s="0" t="n">
        <f aca="false">(G2694-Stats!$B$2)/H2694</f>
        <v>1.46060160029411</v>
      </c>
    </row>
    <row r="2695" customFormat="false" ht="15" hidden="false" customHeight="false" outlineLevel="0" collapsed="false">
      <c r="A2695" s="0" t="n">
        <v>0.486057541902681</v>
      </c>
      <c r="B2695" s="0" t="n">
        <v>0.313782143305729</v>
      </c>
      <c r="C2695" s="0" t="n">
        <v>0.141844397616985</v>
      </c>
      <c r="D2695" s="0" t="n">
        <f aca="false">A2695/SUM($A2695:$C2695)</f>
        <v>0.516157754779428</v>
      </c>
      <c r="E2695" s="0" t="n">
        <f aca="false">B2695/SUM($A2695:$C2695)</f>
        <v>0.333213812390529</v>
      </c>
      <c r="F2695" s="0" t="n">
        <f aca="false">C2695/SUM($A2695:$C2695)</f>
        <v>0.150628432830043</v>
      </c>
      <c r="G2695" s="0" t="n">
        <f aca="false">SUMPRODUCT(D2695:F2695,Stats!$B$6:$D$6)</f>
        <v>0.371502874850533</v>
      </c>
      <c r="H2695" s="0" t="n">
        <f aca="false">SQRT(SUMPRODUCT(MMULT(D2695:F2695,Stats!$B$12:$D$14),D2695:F2695))</f>
        <v>0.224319320952586</v>
      </c>
      <c r="I2695" s="0" t="n">
        <f aca="false">(G2695-Stats!$B$2)/H2695</f>
        <v>1.46890099992849</v>
      </c>
    </row>
    <row r="2696" customFormat="false" ht="15" hidden="false" customHeight="false" outlineLevel="0" collapsed="false">
      <c r="A2696" s="0" t="n">
        <v>0.213801210662733</v>
      </c>
      <c r="B2696" s="0" t="n">
        <v>0.105513646401201</v>
      </c>
      <c r="C2696" s="0" t="n">
        <v>0.683069575190124</v>
      </c>
      <c r="D2696" s="0" t="n">
        <f aca="false">A2696/SUM($A2696:$C2696)</f>
        <v>0.213292628838976</v>
      </c>
      <c r="E2696" s="0" t="n">
        <f aca="false">B2696/SUM($A2696:$C2696)</f>
        <v>0.10526265473211</v>
      </c>
      <c r="F2696" s="0" t="n">
        <f aca="false">C2696/SUM($A2696:$C2696)</f>
        <v>0.681444716428914</v>
      </c>
      <c r="G2696" s="0" t="n">
        <f aca="false">SUMPRODUCT(D2696:F2696,Stats!$B$6:$D$6)</f>
        <v>0.343749805412715</v>
      </c>
      <c r="H2696" s="0" t="n">
        <f aca="false">SQRT(SUMPRODUCT(MMULT(D2696:F2696,Stats!$B$12:$D$14),D2696:F2696))</f>
        <v>0.235437438596</v>
      </c>
      <c r="I2696" s="0" t="n">
        <f aca="false">(G2696-Stats!$B$2)/H2696</f>
        <v>1.28165599834997</v>
      </c>
    </row>
    <row r="2697" customFormat="false" ht="15" hidden="false" customHeight="false" outlineLevel="0" collapsed="false">
      <c r="A2697" s="0" t="n">
        <v>0.660727393109152</v>
      </c>
      <c r="B2697" s="0" t="n">
        <v>0.950606371579873</v>
      </c>
      <c r="C2697" s="0" t="n">
        <v>0.729678413647241</v>
      </c>
      <c r="D2697" s="0" t="n">
        <f aca="false">A2697/SUM($A2697:$C2697)</f>
        <v>0.282240049506587</v>
      </c>
      <c r="E2697" s="0" t="n">
        <f aca="false">B2697/SUM($A2697:$C2697)</f>
        <v>0.406066393151128</v>
      </c>
      <c r="F2697" s="0" t="n">
        <f aca="false">C2697/SUM($A2697:$C2697)</f>
        <v>0.311693557342285</v>
      </c>
      <c r="G2697" s="0" t="n">
        <f aca="false">SUMPRODUCT(D2697:F2697,Stats!$B$6:$D$6)</f>
        <v>0.371253409196726</v>
      </c>
      <c r="H2697" s="0" t="n">
        <f aca="false">SQRT(SUMPRODUCT(MMULT(D2697:F2697,Stats!$B$12:$D$14),D2697:F2697))</f>
        <v>0.22843277048192</v>
      </c>
      <c r="I2697" s="0" t="n">
        <f aca="false">(G2697-Stats!$B$2)/H2697</f>
        <v>1.4413580350232</v>
      </c>
    </row>
    <row r="2698" customFormat="false" ht="15" hidden="false" customHeight="false" outlineLevel="0" collapsed="false">
      <c r="A2698" s="0" t="n">
        <v>0.0520458387561315</v>
      </c>
      <c r="B2698" s="0" t="n">
        <v>0.884245173928954</v>
      </c>
      <c r="C2698" s="0" t="n">
        <v>0.862675162945726</v>
      </c>
      <c r="D2698" s="0" t="n">
        <f aca="false">A2698/SUM($A2698:$C2698)</f>
        <v>0.0289309712773679</v>
      </c>
      <c r="E2698" s="0" t="n">
        <f aca="false">B2698/SUM($A2698:$C2698)</f>
        <v>0.491529627353272</v>
      </c>
      <c r="F2698" s="0" t="n">
        <f aca="false">C2698/SUM($A2698:$C2698)</f>
        <v>0.47953940136936</v>
      </c>
      <c r="G2698" s="0" t="n">
        <f aca="false">SUMPRODUCT(D2698:F2698,Stats!$B$6:$D$6)</f>
        <v>0.371542568487677</v>
      </c>
      <c r="H2698" s="0" t="n">
        <f aca="false">SQRT(SUMPRODUCT(MMULT(D2698:F2698,Stats!$B$12:$D$14),D2698:F2698))</f>
        <v>0.241376661144466</v>
      </c>
      <c r="I2698" s="0" t="n">
        <f aca="false">(G2698-Stats!$B$2)/H2698</f>
        <v>1.36526276784665</v>
      </c>
    </row>
    <row r="2699" customFormat="false" ht="15" hidden="false" customHeight="false" outlineLevel="0" collapsed="false">
      <c r="A2699" s="0" t="n">
        <v>0.443320320772699</v>
      </c>
      <c r="B2699" s="0" t="n">
        <v>0.585863050527922</v>
      </c>
      <c r="C2699" s="0" t="n">
        <v>0.976078332472519</v>
      </c>
      <c r="D2699" s="0" t="n">
        <f aca="false">A2699/SUM($A2699:$C2699)</f>
        <v>0.221078535504138</v>
      </c>
      <c r="E2699" s="0" t="n">
        <f aca="false">B2699/SUM($A2699:$C2699)</f>
        <v>0.292162887978936</v>
      </c>
      <c r="F2699" s="0" t="n">
        <f aca="false">C2699/SUM($A2699:$C2699)</f>
        <v>0.486758576516926</v>
      </c>
      <c r="G2699" s="0" t="n">
        <f aca="false">SUMPRODUCT(D2699:F2699,Stats!$B$6:$D$6)</f>
        <v>0.359872198361346</v>
      </c>
      <c r="H2699" s="0" t="n">
        <f aca="false">SQRT(SUMPRODUCT(MMULT(D2699:F2699,Stats!$B$12:$D$14),D2699:F2699))</f>
        <v>0.231010536800079</v>
      </c>
      <c r="I2699" s="0" t="n">
        <f aca="false">(G2699-Stats!$B$2)/H2699</f>
        <v>1.37600735777883</v>
      </c>
    </row>
    <row r="2700" customFormat="false" ht="15" hidden="false" customHeight="false" outlineLevel="0" collapsed="false">
      <c r="A2700" s="0" t="n">
        <v>0.532304363848166</v>
      </c>
      <c r="B2700" s="0" t="n">
        <v>0.90532182837609</v>
      </c>
      <c r="C2700" s="0" t="n">
        <v>0.0830387578101864</v>
      </c>
      <c r="D2700" s="0" t="n">
        <f aca="false">A2700/SUM($A2700:$C2700)</f>
        <v>0.350047105272013</v>
      </c>
      <c r="E2700" s="0" t="n">
        <f aca="false">B2700/SUM($A2700:$C2700)</f>
        <v>0.595346021722658</v>
      </c>
      <c r="F2700" s="0" t="n">
        <f aca="false">C2700/SUM($A2700:$C2700)</f>
        <v>0.0546068730053294</v>
      </c>
      <c r="G2700" s="0" t="n">
        <f aca="false">SUMPRODUCT(D2700:F2700,Stats!$B$6:$D$6)</f>
        <v>0.389233380484756</v>
      </c>
      <c r="H2700" s="0" t="n">
        <f aca="false">SQRT(SUMPRODUCT(MMULT(D2700:F2700,Stats!$B$12:$D$14),D2700:F2700))</f>
        <v>0.232059080226812</v>
      </c>
      <c r="I2700" s="0" t="n">
        <f aca="false">(G2700-Stats!$B$2)/H2700</f>
        <v>1.49631455983267</v>
      </c>
    </row>
    <row r="2701" customFormat="false" ht="15" hidden="false" customHeight="false" outlineLevel="0" collapsed="false">
      <c r="A2701" s="0" t="n">
        <v>0.191051868708683</v>
      </c>
      <c r="B2701" s="0" t="n">
        <v>0.440754943441318</v>
      </c>
      <c r="C2701" s="0" t="n">
        <v>0.584756808337305</v>
      </c>
      <c r="D2701" s="0" t="n">
        <f aca="false">A2701/SUM($A2701:$C2701)</f>
        <v>0.157042233954156</v>
      </c>
      <c r="E2701" s="0" t="n">
        <f aca="false">B2701/SUM($A2701:$C2701)</f>
        <v>0.362295021829413</v>
      </c>
      <c r="F2701" s="0" t="n">
        <f aca="false">C2701/SUM($A2701:$C2701)</f>
        <v>0.480662744216431</v>
      </c>
      <c r="G2701" s="0" t="n">
        <f aca="false">SUMPRODUCT(D2701:F2701,Stats!$B$6:$D$6)</f>
        <v>0.364075600803963</v>
      </c>
      <c r="H2701" s="0" t="n">
        <f aca="false">SQRT(SUMPRODUCT(MMULT(D2701:F2701,Stats!$B$12:$D$14),D2701:F2701))</f>
        <v>0.233996078772623</v>
      </c>
      <c r="I2701" s="0" t="n">
        <f aca="false">(G2701-Stats!$B$2)/H2701</f>
        <v>1.37641452153106</v>
      </c>
    </row>
    <row r="2702" customFormat="false" ht="15" hidden="false" customHeight="false" outlineLevel="0" collapsed="false">
      <c r="A2702" s="0" t="n">
        <v>0.8162278518628</v>
      </c>
      <c r="B2702" s="0" t="n">
        <v>0.988262115143187</v>
      </c>
      <c r="C2702" s="0" t="n">
        <v>0.388851496474116</v>
      </c>
      <c r="D2702" s="0" t="n">
        <f aca="false">A2702/SUM($A2702:$C2702)</f>
        <v>0.372138978564568</v>
      </c>
      <c r="E2702" s="0" t="n">
        <f aca="false">B2702/SUM($A2702:$C2702)</f>
        <v>0.450573762270077</v>
      </c>
      <c r="F2702" s="0" t="n">
        <f aca="false">C2702/SUM($A2702:$C2702)</f>
        <v>0.177287259165355</v>
      </c>
      <c r="G2702" s="0" t="n">
        <f aca="false">SUMPRODUCT(D2702:F2702,Stats!$B$6:$D$6)</f>
        <v>0.377520507587918</v>
      </c>
      <c r="H2702" s="0" t="n">
        <f aca="false">SQRT(SUMPRODUCT(MMULT(D2702:F2702,Stats!$B$12:$D$14),D2702:F2702))</f>
        <v>0.227360450601947</v>
      </c>
      <c r="I2702" s="0" t="n">
        <f aca="false">(G2702-Stats!$B$2)/H2702</f>
        <v>1.47572063082921</v>
      </c>
    </row>
    <row r="2703" customFormat="false" ht="15" hidden="false" customHeight="false" outlineLevel="0" collapsed="false">
      <c r="A2703" s="0" t="n">
        <v>0.0474156361400849</v>
      </c>
      <c r="B2703" s="0" t="n">
        <v>0.801171503295325</v>
      </c>
      <c r="C2703" s="0" t="n">
        <v>0.604380719082808</v>
      </c>
      <c r="D2703" s="0" t="n">
        <f aca="false">A2703/SUM($A2703:$C2703)</f>
        <v>0.0326336442076846</v>
      </c>
      <c r="E2703" s="0" t="n">
        <f aca="false">B2703/SUM($A2703:$C2703)</f>
        <v>0.551403459201351</v>
      </c>
      <c r="F2703" s="0" t="n">
        <f aca="false">C2703/SUM($A2703:$C2703)</f>
        <v>0.415962896590964</v>
      </c>
      <c r="G2703" s="0" t="n">
        <f aca="false">SUMPRODUCT(D2703:F2703,Stats!$B$6:$D$6)</f>
        <v>0.376740728945486</v>
      </c>
      <c r="H2703" s="0" t="n">
        <f aca="false">SQRT(SUMPRODUCT(MMULT(D2703:F2703,Stats!$B$12:$D$14),D2703:F2703))</f>
        <v>0.241119976996671</v>
      </c>
      <c r="I2703" s="0" t="n">
        <f aca="false">(G2703-Stats!$B$2)/H2703</f>
        <v>1.38827455574164</v>
      </c>
    </row>
    <row r="2704" customFormat="false" ht="15" hidden="false" customHeight="false" outlineLevel="0" collapsed="false">
      <c r="A2704" s="0" t="n">
        <v>0.198542858868202</v>
      </c>
      <c r="B2704" s="0" t="n">
        <v>0.49482845662142</v>
      </c>
      <c r="C2704" s="0" t="n">
        <v>0.742310245533724</v>
      </c>
      <c r="D2704" s="0" t="n">
        <f aca="false">A2704/SUM($A2704:$C2704)</f>
        <v>0.13829171054247</v>
      </c>
      <c r="E2704" s="0" t="n">
        <f aca="false">B2704/SUM($A2704:$C2704)</f>
        <v>0.344664492499792</v>
      </c>
      <c r="F2704" s="0" t="n">
        <f aca="false">C2704/SUM($A2704:$C2704)</f>
        <v>0.517043796957739</v>
      </c>
      <c r="G2704" s="0" t="n">
        <f aca="false">SUMPRODUCT(D2704:F2704,Stats!$B$6:$D$6)</f>
        <v>0.362057969428632</v>
      </c>
      <c r="H2704" s="0" t="n">
        <f aca="false">SQRT(SUMPRODUCT(MMULT(D2704:F2704,Stats!$B$12:$D$14),D2704:F2704))</f>
        <v>0.235295188745789</v>
      </c>
      <c r="I2704" s="0" t="n">
        <f aca="false">(G2704-Stats!$B$2)/H2704</f>
        <v>1.36024017802769</v>
      </c>
    </row>
    <row r="2705" customFormat="false" ht="15" hidden="false" customHeight="false" outlineLevel="0" collapsed="false">
      <c r="A2705" s="0" t="n">
        <v>0.770411787068644</v>
      </c>
      <c r="B2705" s="0" t="n">
        <v>0.499618411998762</v>
      </c>
      <c r="C2705" s="0" t="n">
        <v>0.305214530128859</v>
      </c>
      <c r="D2705" s="0" t="n">
        <f aca="false">A2705/SUM($A2705:$C2705)</f>
        <v>0.489074346855126</v>
      </c>
      <c r="E2705" s="0" t="n">
        <f aca="false">B2705/SUM($A2705:$C2705)</f>
        <v>0.317168756535806</v>
      </c>
      <c r="F2705" s="0" t="n">
        <f aca="false">C2705/SUM($A2705:$C2705)</f>
        <v>0.193756896609067</v>
      </c>
      <c r="G2705" s="0" t="n">
        <f aca="false">SUMPRODUCT(D2705:F2705,Stats!$B$6:$D$6)</f>
        <v>0.369390412302734</v>
      </c>
      <c r="H2705" s="0" t="n">
        <f aca="false">SQRT(SUMPRODUCT(MMULT(D2705:F2705,Stats!$B$12:$D$14),D2705:F2705))</f>
        <v>0.2238693255688</v>
      </c>
      <c r="I2705" s="0" t="n">
        <f aca="false">(G2705-Stats!$B$2)/H2705</f>
        <v>1.46241746818556</v>
      </c>
    </row>
    <row r="2706" customFormat="false" ht="15" hidden="false" customHeight="false" outlineLevel="0" collapsed="false">
      <c r="A2706" s="0" t="n">
        <v>0.973742582038494</v>
      </c>
      <c r="B2706" s="0" t="n">
        <v>0.663362610956493</v>
      </c>
      <c r="C2706" s="0" t="n">
        <v>0.408237519346299</v>
      </c>
      <c r="D2706" s="0" t="n">
        <f aca="false">A2706/SUM($A2706:$C2706)</f>
        <v>0.476077958066919</v>
      </c>
      <c r="E2706" s="0" t="n">
        <f aca="false">B2706/SUM($A2706:$C2706)</f>
        <v>0.324328342117859</v>
      </c>
      <c r="F2706" s="0" t="n">
        <f aca="false">C2706/SUM($A2706:$C2706)</f>
        <v>0.199593699815222</v>
      </c>
      <c r="G2706" s="0" t="n">
        <f aca="false">SUMPRODUCT(D2706:F2706,Stats!$B$6:$D$6)</f>
        <v>0.369641417987198</v>
      </c>
      <c r="H2706" s="0" t="n">
        <f aca="false">SQRT(SUMPRODUCT(MMULT(D2706:F2706,Stats!$B$12:$D$14),D2706:F2706))</f>
        <v>0.224018972826381</v>
      </c>
      <c r="I2706" s="0" t="n">
        <f aca="false">(G2706-Stats!$B$2)/H2706</f>
        <v>1.46256102263769</v>
      </c>
    </row>
    <row r="2707" customFormat="false" ht="15" hidden="false" customHeight="false" outlineLevel="0" collapsed="false">
      <c r="A2707" s="0" t="n">
        <v>0.280463224204652</v>
      </c>
      <c r="B2707" s="0" t="n">
        <v>0.731102983003562</v>
      </c>
      <c r="C2707" s="0" t="n">
        <v>0.242183445593768</v>
      </c>
      <c r="D2707" s="0" t="n">
        <f aca="false">A2707/SUM($A2707:$C2707)</f>
        <v>0.223699542869544</v>
      </c>
      <c r="E2707" s="0" t="n">
        <f aca="false">B2707/SUM($A2707:$C2707)</f>
        <v>0.58313314892621</v>
      </c>
      <c r="F2707" s="0" t="n">
        <f aca="false">C2707/SUM($A2707:$C2707)</f>
        <v>0.193167308204247</v>
      </c>
      <c r="G2707" s="0" t="n">
        <f aca="false">SUMPRODUCT(D2707:F2707,Stats!$B$6:$D$6)</f>
        <v>0.384709916883396</v>
      </c>
      <c r="H2707" s="0" t="n">
        <f aca="false">SQRT(SUMPRODUCT(MMULT(D2707:F2707,Stats!$B$12:$D$14),D2707:F2707))</f>
        <v>0.233223699195844</v>
      </c>
      <c r="I2707" s="0" t="n">
        <f aca="false">(G2707-Stats!$B$2)/H2707</f>
        <v>1.46944722198071</v>
      </c>
    </row>
    <row r="2708" customFormat="false" ht="15" hidden="false" customHeight="false" outlineLevel="0" collapsed="false">
      <c r="A2708" s="0" t="n">
        <v>0.171709988973688</v>
      </c>
      <c r="B2708" s="0" t="n">
        <v>0.52983388896207</v>
      </c>
      <c r="C2708" s="0" t="n">
        <v>0.289987392644142</v>
      </c>
      <c r="D2708" s="0" t="n">
        <f aca="false">A2708/SUM($A2708:$C2708)</f>
        <v>0.173176574525242</v>
      </c>
      <c r="E2708" s="0" t="n">
        <f aca="false">B2708/SUM($A2708:$C2708)</f>
        <v>0.534359232717083</v>
      </c>
      <c r="F2708" s="0" t="n">
        <f aca="false">C2708/SUM($A2708:$C2708)</f>
        <v>0.292464192757675</v>
      </c>
      <c r="G2708" s="0" t="n">
        <f aca="false">SUMPRODUCT(D2708:F2708,Stats!$B$6:$D$6)</f>
        <v>0.379165455471596</v>
      </c>
      <c r="H2708" s="0" t="n">
        <f aca="false">SQRT(SUMPRODUCT(MMULT(D2708:F2708,Stats!$B$12:$D$14),D2708:F2708))</f>
        <v>0.23385623905174</v>
      </c>
      <c r="I2708" s="0" t="n">
        <f aca="false">(G2708-Stats!$B$2)/H2708</f>
        <v>1.44176378119636</v>
      </c>
    </row>
    <row r="2709" customFormat="false" ht="15" hidden="false" customHeight="false" outlineLevel="0" collapsed="false">
      <c r="A2709" s="0" t="n">
        <v>0.628905144923615</v>
      </c>
      <c r="B2709" s="0" t="n">
        <v>0.117938674874234</v>
      </c>
      <c r="C2709" s="0" t="n">
        <v>0.654941104567322</v>
      </c>
      <c r="D2709" s="0" t="n">
        <f aca="false">A2709/SUM($A2709:$C2709)</f>
        <v>0.448645961297115</v>
      </c>
      <c r="E2709" s="0" t="n">
        <f aca="false">B2709/SUM($A2709:$C2709)</f>
        <v>0.0841346434993547</v>
      </c>
      <c r="F2709" s="0" t="n">
        <f aca="false">C2709/SUM($A2709:$C2709)</f>
        <v>0.467219395203531</v>
      </c>
      <c r="G2709" s="0" t="n">
        <f aca="false">SUMPRODUCT(D2709:F2709,Stats!$B$6:$D$6)</f>
        <v>0.348441307829232</v>
      </c>
      <c r="H2709" s="0" t="n">
        <f aca="false">SQRT(SUMPRODUCT(MMULT(D2709:F2709,Stats!$B$12:$D$14),D2709:F2709))</f>
        <v>0.223749191503424</v>
      </c>
      <c r="I2709" s="0" t="n">
        <f aca="false">(G2709-Stats!$B$2)/H2709</f>
        <v>1.3695750396691</v>
      </c>
    </row>
    <row r="2710" customFormat="false" ht="15" hidden="false" customHeight="false" outlineLevel="0" collapsed="false">
      <c r="A2710" s="0" t="n">
        <v>0.283296527997702</v>
      </c>
      <c r="B2710" s="0" t="n">
        <v>0.000242934434512732</v>
      </c>
      <c r="C2710" s="0" t="n">
        <v>0.126936057674176</v>
      </c>
      <c r="D2710" s="0" t="n">
        <f aca="false">A2710/SUM($A2710:$C2710)</f>
        <v>0.69016668259358</v>
      </c>
      <c r="E2710" s="0" t="n">
        <f aca="false">B2710/SUM($A2710:$C2710)</f>
        <v>0.000591836595882174</v>
      </c>
      <c r="F2710" s="0" t="n">
        <f aca="false">C2710/SUM($A2710:$C2710)</f>
        <v>0.309241480810538</v>
      </c>
      <c r="G2710" s="0" t="n">
        <f aca="false">SUMPRODUCT(D2710:F2710,Stats!$B$6:$D$6)</f>
        <v>0.347990543075231</v>
      </c>
      <c r="H2710" s="0" t="n">
        <f aca="false">SQRT(SUMPRODUCT(MMULT(D2710:F2710,Stats!$B$12:$D$14),D2710:F2710))</f>
        <v>0.22157418849152</v>
      </c>
      <c r="I2710" s="0" t="n">
        <f aca="false">(G2710-Stats!$B$2)/H2710</f>
        <v>1.38098460456256</v>
      </c>
    </row>
    <row r="2711" customFormat="false" ht="15" hidden="false" customHeight="false" outlineLevel="0" collapsed="false">
      <c r="A2711" s="0" t="n">
        <v>0.933615377835094</v>
      </c>
      <c r="B2711" s="0" t="n">
        <v>0.867354639115358</v>
      </c>
      <c r="C2711" s="0" t="n">
        <v>0.233609032036237</v>
      </c>
      <c r="D2711" s="0" t="n">
        <f aca="false">A2711/SUM($A2711:$C2711)</f>
        <v>0.458873976068945</v>
      </c>
      <c r="E2711" s="0" t="n">
        <f aca="false">B2711/SUM($A2711:$C2711)</f>
        <v>0.426306679776015</v>
      </c>
      <c r="F2711" s="0" t="n">
        <f aca="false">C2711/SUM($A2711:$C2711)</f>
        <v>0.11481934415504</v>
      </c>
      <c r="G2711" s="0" t="n">
        <f aca="false">SUMPRODUCT(D2711:F2711,Stats!$B$6:$D$6)</f>
        <v>0.377846739799466</v>
      </c>
      <c r="H2711" s="0" t="n">
        <f aca="false">SQRT(SUMPRODUCT(MMULT(D2711:F2711,Stats!$B$12:$D$14),D2711:F2711))</f>
        <v>0.226500071696509</v>
      </c>
      <c r="I2711" s="0" t="n">
        <f aca="false">(G2711-Stats!$B$2)/H2711</f>
        <v>1.48276659377606</v>
      </c>
    </row>
    <row r="2712" customFormat="false" ht="15" hidden="false" customHeight="false" outlineLevel="0" collapsed="false">
      <c r="A2712" s="0" t="n">
        <v>0.778371904545491</v>
      </c>
      <c r="B2712" s="0" t="n">
        <v>0.608571593173974</v>
      </c>
      <c r="C2712" s="0" t="n">
        <v>0.97090471144987</v>
      </c>
      <c r="D2712" s="0" t="n">
        <f aca="false">A2712/SUM($A2712:$C2712)</f>
        <v>0.330119598674128</v>
      </c>
      <c r="E2712" s="0" t="n">
        <f aca="false">B2712/SUM($A2712:$C2712)</f>
        <v>0.258104652711454</v>
      </c>
      <c r="F2712" s="0" t="n">
        <f aca="false">C2712/SUM($A2712:$C2712)</f>
        <v>0.411775748614419</v>
      </c>
      <c r="G2712" s="0" t="n">
        <f aca="false">SUMPRODUCT(D2712:F2712,Stats!$B$6:$D$6)</f>
        <v>0.359980154224266</v>
      </c>
      <c r="H2712" s="0" t="n">
        <f aca="false">SQRT(SUMPRODUCT(MMULT(D2712:F2712,Stats!$B$12:$D$14),D2712:F2712))</f>
        <v>0.226310024778447</v>
      </c>
      <c r="I2712" s="0" t="n">
        <f aca="false">(G2712-Stats!$B$2)/H2712</f>
        <v>1.40506437810505</v>
      </c>
    </row>
    <row r="2713" customFormat="false" ht="15" hidden="false" customHeight="false" outlineLevel="0" collapsed="false">
      <c r="A2713" s="0" t="n">
        <v>0.373605659534059</v>
      </c>
      <c r="B2713" s="0" t="n">
        <v>0.681460612517171</v>
      </c>
      <c r="C2713" s="0" t="n">
        <v>0.0635357224239186</v>
      </c>
      <c r="D2713" s="0" t="n">
        <f aca="false">A2713/SUM($A2713:$C2713)</f>
        <v>0.333993378680999</v>
      </c>
      <c r="E2713" s="0" t="n">
        <f aca="false">B2713/SUM($A2713:$C2713)</f>
        <v>0.609207399846372</v>
      </c>
      <c r="F2713" s="0" t="n">
        <f aca="false">C2713/SUM($A2713:$C2713)</f>
        <v>0.0567992214726291</v>
      </c>
      <c r="G2713" s="0" t="n">
        <f aca="false">SUMPRODUCT(D2713:F2713,Stats!$B$6:$D$6)</f>
        <v>0.3899704930758</v>
      </c>
      <c r="H2713" s="0" t="n">
        <f aca="false">SQRT(SUMPRODUCT(MMULT(D2713:F2713,Stats!$B$12:$D$14),D2713:F2713))</f>
        <v>0.232610743382172</v>
      </c>
      <c r="I2713" s="0" t="n">
        <f aca="false">(G2713-Stats!$B$2)/H2713</f>
        <v>1.49593474495757</v>
      </c>
    </row>
    <row r="2714" customFormat="false" ht="15" hidden="false" customHeight="false" outlineLevel="0" collapsed="false">
      <c r="A2714" s="0" t="n">
        <v>0.396247346816406</v>
      </c>
      <c r="B2714" s="0" t="n">
        <v>0.963817661188181</v>
      </c>
      <c r="C2714" s="0" t="n">
        <v>0.538980874450121</v>
      </c>
      <c r="D2714" s="0" t="n">
        <f aca="false">A2714/SUM($A2714:$C2714)</f>
        <v>0.208656015358732</v>
      </c>
      <c r="E2714" s="0" t="n">
        <f aca="false">B2714/SUM($A2714:$C2714)</f>
        <v>0.507527316792552</v>
      </c>
      <c r="F2714" s="0" t="n">
        <f aca="false">C2714/SUM($A2714:$C2714)</f>
        <v>0.283816667848717</v>
      </c>
      <c r="G2714" s="0" t="n">
        <f aca="false">SUMPRODUCT(D2714:F2714,Stats!$B$6:$D$6)</f>
        <v>0.377860033930519</v>
      </c>
      <c r="H2714" s="0" t="n">
        <f aca="false">SQRT(SUMPRODUCT(MMULT(D2714:F2714,Stats!$B$12:$D$14),D2714:F2714))</f>
        <v>0.232144755749389</v>
      </c>
      <c r="I2714" s="0" t="n">
        <f aca="false">(G2714-Stats!$B$2)/H2714</f>
        <v>1.44676985205341</v>
      </c>
    </row>
    <row r="2715" customFormat="false" ht="15" hidden="false" customHeight="false" outlineLevel="0" collapsed="false">
      <c r="A2715" s="0" t="n">
        <v>0.287879503334845</v>
      </c>
      <c r="B2715" s="0" t="n">
        <v>0.120270963128607</v>
      </c>
      <c r="C2715" s="0" t="n">
        <v>0.70352834018153</v>
      </c>
      <c r="D2715" s="0" t="n">
        <f aca="false">A2715/SUM($A2715:$C2715)</f>
        <v>0.258959243995716</v>
      </c>
      <c r="E2715" s="0" t="n">
        <f aca="false">B2715/SUM($A2715:$C2715)</f>
        <v>0.108188590454091</v>
      </c>
      <c r="F2715" s="0" t="n">
        <f aca="false">C2715/SUM($A2715:$C2715)</f>
        <v>0.632852165550192</v>
      </c>
      <c r="G2715" s="0" t="n">
        <f aca="false">SUMPRODUCT(D2715:F2715,Stats!$B$6:$D$6)</f>
        <v>0.345258080867997</v>
      </c>
      <c r="H2715" s="0" t="n">
        <f aca="false">SQRT(SUMPRODUCT(MMULT(D2715:F2715,Stats!$B$12:$D$14),D2715:F2715))</f>
        <v>0.232264287443045</v>
      </c>
      <c r="I2715" s="0" t="n">
        <f aca="false">(G2715-Stats!$B$2)/H2715</f>
        <v>1.30565953210676</v>
      </c>
    </row>
    <row r="2716" customFormat="false" ht="15" hidden="false" customHeight="false" outlineLevel="0" collapsed="false">
      <c r="A2716" s="0" t="n">
        <v>0.644856043429727</v>
      </c>
      <c r="B2716" s="0" t="n">
        <v>0.373938713603775</v>
      </c>
      <c r="C2716" s="0" t="n">
        <v>0.950941351865834</v>
      </c>
      <c r="D2716" s="0" t="n">
        <f aca="false">A2716/SUM($A2716:$C2716)</f>
        <v>0.327381947518881</v>
      </c>
      <c r="E2716" s="0" t="n">
        <f aca="false">B2716/SUM($A2716:$C2716)</f>
        <v>0.189842036156167</v>
      </c>
      <c r="F2716" s="0" t="n">
        <f aca="false">C2716/SUM($A2716:$C2716)</f>
        <v>0.482776016324953</v>
      </c>
      <c r="G2716" s="0" t="n">
        <f aca="false">SUMPRODUCT(D2716:F2716,Stats!$B$6:$D$6)</f>
        <v>0.354094606544271</v>
      </c>
      <c r="H2716" s="0" t="n">
        <f aca="false">SQRT(SUMPRODUCT(MMULT(D2716:F2716,Stats!$B$12:$D$14),D2716:F2716))</f>
        <v>0.226944780292032</v>
      </c>
      <c r="I2716" s="0" t="n">
        <f aca="false">(G2716-Stats!$B$2)/H2716</f>
        <v>1.3752006375413</v>
      </c>
    </row>
    <row r="2717" customFormat="false" ht="15" hidden="false" customHeight="false" outlineLevel="0" collapsed="false">
      <c r="A2717" s="0" t="n">
        <v>0.0222028129878503</v>
      </c>
      <c r="B2717" s="0" t="n">
        <v>0.303723851631826</v>
      </c>
      <c r="C2717" s="0" t="n">
        <v>0.921069486299581</v>
      </c>
      <c r="D2717" s="0" t="n">
        <f aca="false">A2717/SUM($A2717:$C2717)</f>
        <v>0.0178050373062362</v>
      </c>
      <c r="E2717" s="0" t="n">
        <f aca="false">B2717/SUM($A2717:$C2717)</f>
        <v>0.243564385830644</v>
      </c>
      <c r="F2717" s="0" t="n">
        <f aca="false">C2717/SUM($A2717:$C2717)</f>
        <v>0.73863057686312</v>
      </c>
      <c r="G2717" s="0" t="n">
        <f aca="false">SUMPRODUCT(D2717:F2717,Stats!$B$6:$D$6)</f>
        <v>0.350130629913062</v>
      </c>
      <c r="H2717" s="0" t="n">
        <f aca="false">SQRT(SUMPRODUCT(MMULT(D2717:F2717,Stats!$B$12:$D$14),D2717:F2717))</f>
        <v>0.246844415165385</v>
      </c>
      <c r="I2717" s="0" t="n">
        <f aca="false">(G2717-Stats!$B$2)/H2717</f>
        <v>1.24827871720985</v>
      </c>
    </row>
    <row r="2718" customFormat="false" ht="15" hidden="false" customHeight="false" outlineLevel="0" collapsed="false">
      <c r="A2718" s="0" t="n">
        <v>0.32093543831944</v>
      </c>
      <c r="B2718" s="0" t="n">
        <v>0.25225283385517</v>
      </c>
      <c r="C2718" s="0" t="n">
        <v>0.534220409931247</v>
      </c>
      <c r="D2718" s="0" t="n">
        <f aca="false">A2718/SUM($A2718:$C2718)</f>
        <v>0.289807587302952</v>
      </c>
      <c r="E2718" s="0" t="n">
        <f aca="false">B2718/SUM($A2718:$C2718)</f>
        <v>0.227786577738838</v>
      </c>
      <c r="F2718" s="0" t="n">
        <f aca="false">C2718/SUM($A2718:$C2718)</f>
        <v>0.48240583495821</v>
      </c>
      <c r="G2718" s="0" t="n">
        <f aca="false">SUMPRODUCT(D2718:F2718,Stats!$B$6:$D$6)</f>
        <v>0.356288093965088</v>
      </c>
      <c r="H2718" s="0" t="n">
        <f aca="false">SQRT(SUMPRODUCT(MMULT(D2718:F2718,Stats!$B$12:$D$14),D2718:F2718))</f>
        <v>0.228216233589303</v>
      </c>
      <c r="I2718" s="0" t="n">
        <f aca="false">(G2718-Stats!$B$2)/H2718</f>
        <v>1.37715047269897</v>
      </c>
    </row>
    <row r="2719" customFormat="false" ht="15" hidden="false" customHeight="false" outlineLevel="0" collapsed="false">
      <c r="A2719" s="0" t="n">
        <v>0.823801749920538</v>
      </c>
      <c r="B2719" s="0" t="n">
        <v>0.103146760878361</v>
      </c>
      <c r="C2719" s="0" t="n">
        <v>0.943020709645736</v>
      </c>
      <c r="D2719" s="0" t="n">
        <f aca="false">A2719/SUM($A2719:$C2719)</f>
        <v>0.440542946329703</v>
      </c>
      <c r="E2719" s="0" t="n">
        <f aca="false">B2719/SUM($A2719:$C2719)</f>
        <v>0.0551596035649374</v>
      </c>
      <c r="F2719" s="0" t="n">
        <f aca="false">C2719/SUM($A2719:$C2719)</f>
        <v>0.504297450105359</v>
      </c>
      <c r="G2719" s="0" t="n">
        <f aca="false">SUMPRODUCT(D2719:F2719,Stats!$B$6:$D$6)</f>
        <v>0.345751708430117</v>
      </c>
      <c r="H2719" s="0" t="n">
        <f aca="false">SQRT(SUMPRODUCT(MMULT(D2719:F2719,Stats!$B$12:$D$14),D2719:F2719))</f>
        <v>0.22446595991887</v>
      </c>
      <c r="I2719" s="0" t="n">
        <f aca="false">(G2719-Stats!$B$2)/H2719</f>
        <v>1.3532194749703</v>
      </c>
    </row>
    <row r="2720" customFormat="false" ht="15" hidden="false" customHeight="false" outlineLevel="0" collapsed="false">
      <c r="A2720" s="0" t="n">
        <v>0.795072881181164</v>
      </c>
      <c r="B2720" s="0" t="n">
        <v>0.181250255551552</v>
      </c>
      <c r="C2720" s="0" t="n">
        <v>0.712007961198163</v>
      </c>
      <c r="D2720" s="0" t="n">
        <f aca="false">A2720/SUM($A2720:$C2720)</f>
        <v>0.47092236952548</v>
      </c>
      <c r="E2720" s="0" t="n">
        <f aca="false">B2720/SUM($A2720:$C2720)</f>
        <v>0.107354686396336</v>
      </c>
      <c r="F2720" s="0" t="n">
        <f aca="false">C2720/SUM($A2720:$C2720)</f>
        <v>0.421722944078184</v>
      </c>
      <c r="G2720" s="0" t="n">
        <f aca="false">SUMPRODUCT(D2720:F2720,Stats!$B$6:$D$6)</f>
        <v>0.351031906185337</v>
      </c>
      <c r="H2720" s="0" t="n">
        <f aca="false">SQRT(SUMPRODUCT(MMULT(D2720:F2720,Stats!$B$12:$D$14),D2720:F2720))</f>
        <v>0.222883629406953</v>
      </c>
      <c r="I2720" s="0" t="n">
        <f aca="false">(G2720-Stats!$B$2)/H2720</f>
        <v>1.38651684292654</v>
      </c>
    </row>
    <row r="2721" customFormat="false" ht="15" hidden="false" customHeight="false" outlineLevel="0" collapsed="false">
      <c r="A2721" s="0" t="n">
        <v>0.384958722637557</v>
      </c>
      <c r="B2721" s="0" t="n">
        <v>0.402294678076319</v>
      </c>
      <c r="C2721" s="0" t="n">
        <v>0.783290092438866</v>
      </c>
      <c r="D2721" s="0" t="n">
        <f aca="false">A2721/SUM($A2721:$C2721)</f>
        <v>0.245111787299047</v>
      </c>
      <c r="E2721" s="0" t="n">
        <f aca="false">B2721/SUM($A2721:$C2721)</f>
        <v>0.25614997599891</v>
      </c>
      <c r="F2721" s="0" t="n">
        <f aca="false">C2721/SUM($A2721:$C2721)</f>
        <v>0.498738236702043</v>
      </c>
      <c r="G2721" s="0" t="n">
        <f aca="false">SUMPRODUCT(D2721:F2721,Stats!$B$6:$D$6)</f>
        <v>0.35746972749463</v>
      </c>
      <c r="H2721" s="0" t="n">
        <f aca="false">SQRT(SUMPRODUCT(MMULT(D2721:F2721,Stats!$B$12:$D$14),D2721:F2721))</f>
        <v>0.230121510018209</v>
      </c>
      <c r="I2721" s="0" t="n">
        <f aca="false">(G2721-Stats!$B$2)/H2721</f>
        <v>1.37088326714729</v>
      </c>
    </row>
    <row r="2722" customFormat="false" ht="15" hidden="false" customHeight="false" outlineLevel="0" collapsed="false">
      <c r="A2722" s="0" t="n">
        <v>0.962784807980732</v>
      </c>
      <c r="B2722" s="0" t="n">
        <v>0.126655872847194</v>
      </c>
      <c r="C2722" s="0" t="n">
        <v>0.420630236878819</v>
      </c>
      <c r="D2722" s="0" t="n">
        <f aca="false">A2722/SUM($A2722:$C2722)</f>
        <v>0.637575889113113</v>
      </c>
      <c r="E2722" s="0" t="n">
        <f aca="false">B2722/SUM($A2722:$C2722)</f>
        <v>0.0838741223091288</v>
      </c>
      <c r="F2722" s="0" t="n">
        <f aca="false">C2722/SUM($A2722:$C2722)</f>
        <v>0.278549988577759</v>
      </c>
      <c r="G2722" s="0" t="n">
        <f aca="false">SUMPRODUCT(D2722:F2722,Stats!$B$6:$D$6)</f>
        <v>0.353628804098769</v>
      </c>
      <c r="H2722" s="0" t="n">
        <f aca="false">SQRT(SUMPRODUCT(MMULT(D2722:F2722,Stats!$B$12:$D$14),D2722:F2722))</f>
        <v>0.22141608109277</v>
      </c>
      <c r="I2722" s="0" t="n">
        <f aca="false">(G2722-Stats!$B$2)/H2722</f>
        <v>1.40743528004274</v>
      </c>
    </row>
    <row r="2723" customFormat="false" ht="15" hidden="false" customHeight="false" outlineLevel="0" collapsed="false">
      <c r="A2723" s="0" t="n">
        <v>0.480941608084304</v>
      </c>
      <c r="B2723" s="0" t="n">
        <v>0.376311816954998</v>
      </c>
      <c r="C2723" s="0" t="n">
        <v>0.363189123716225</v>
      </c>
      <c r="D2723" s="0" t="n">
        <f aca="false">A2723/SUM($A2723:$C2723)</f>
        <v>0.394071485441666</v>
      </c>
      <c r="E2723" s="0" t="n">
        <f aca="false">B2723/SUM($A2723:$C2723)</f>
        <v>0.308340460055837</v>
      </c>
      <c r="F2723" s="0" t="n">
        <f aca="false">C2723/SUM($A2723:$C2723)</f>
        <v>0.297588054502496</v>
      </c>
      <c r="G2723" s="0" t="n">
        <f aca="false">SUMPRODUCT(D2723:F2723,Stats!$B$6:$D$6)</f>
        <v>0.366019339306169</v>
      </c>
      <c r="H2723" s="0" t="n">
        <f aca="false">SQRT(SUMPRODUCT(MMULT(D2723:F2723,Stats!$B$12:$D$14),D2723:F2723))</f>
        <v>0.224659295252238</v>
      </c>
      <c r="I2723" s="0" t="n">
        <f aca="false">(G2723-Stats!$B$2)/H2723</f>
        <v>1.44226990003852</v>
      </c>
    </row>
    <row r="2724" customFormat="false" ht="15" hidden="false" customHeight="false" outlineLevel="0" collapsed="false">
      <c r="A2724" s="0" t="n">
        <v>0.0522686675615965</v>
      </c>
      <c r="B2724" s="0" t="n">
        <v>0.685538620562623</v>
      </c>
      <c r="C2724" s="0" t="n">
        <v>0.436214417120045</v>
      </c>
      <c r="D2724" s="0" t="n">
        <f aca="false">A2724/SUM($A2724:$C2724)</f>
        <v>0.0445210402227799</v>
      </c>
      <c r="E2724" s="0" t="n">
        <f aca="false">B2724/SUM($A2724:$C2724)</f>
        <v>0.583923293326158</v>
      </c>
      <c r="F2724" s="0" t="n">
        <f aca="false">C2724/SUM($A2724:$C2724)</f>
        <v>0.371555666451062</v>
      </c>
      <c r="G2724" s="0" t="n">
        <f aca="false">SUMPRODUCT(D2724:F2724,Stats!$B$6:$D$6)</f>
        <v>0.379836390402619</v>
      </c>
      <c r="H2724" s="0" t="n">
        <f aca="false">SQRT(SUMPRODUCT(MMULT(D2724:F2724,Stats!$B$12:$D$14),D2724:F2724))</f>
        <v>0.240601981766479</v>
      </c>
      <c r="I2724" s="0" t="n">
        <f aca="false">(G2724-Stats!$B$2)/H2724</f>
        <v>1.40412970800262</v>
      </c>
    </row>
    <row r="2725" customFormat="false" ht="15" hidden="false" customHeight="false" outlineLevel="0" collapsed="false">
      <c r="A2725" s="0" t="n">
        <v>0.194793802643927</v>
      </c>
      <c r="B2725" s="0" t="n">
        <v>0.816033502302068</v>
      </c>
      <c r="C2725" s="0" t="n">
        <v>0.802560748151628</v>
      </c>
      <c r="D2725" s="0" t="n">
        <f aca="false">A2725/SUM($A2725:$C2725)</f>
        <v>0.10741981139182</v>
      </c>
      <c r="E2725" s="0" t="n">
        <f aca="false">B2725/SUM($A2725:$C2725)</f>
        <v>0.450004896033214</v>
      </c>
      <c r="F2725" s="0" t="n">
        <f aca="false">C2725/SUM($A2725:$C2725)</f>
        <v>0.442575292574966</v>
      </c>
      <c r="G2725" s="0" t="n">
        <f aca="false">SUMPRODUCT(D2725:F2725,Stats!$B$6:$D$6)</f>
        <v>0.370172560274791</v>
      </c>
      <c r="H2725" s="0" t="n">
        <f aca="false">SQRT(SUMPRODUCT(MMULT(D2725:F2725,Stats!$B$12:$D$14),D2725:F2725))</f>
        <v>0.236513829617621</v>
      </c>
      <c r="I2725" s="0" t="n">
        <f aca="false">(G2725-Stats!$B$2)/H2725</f>
        <v>1.38754068125893</v>
      </c>
    </row>
    <row r="2726" customFormat="false" ht="15" hidden="false" customHeight="false" outlineLevel="0" collapsed="false">
      <c r="A2726" s="0" t="n">
        <v>0.486391628088894</v>
      </c>
      <c r="B2726" s="0" t="n">
        <v>0.298450661147761</v>
      </c>
      <c r="C2726" s="0" t="n">
        <v>0.638092725796452</v>
      </c>
      <c r="D2726" s="0" t="n">
        <f aca="false">A2726/SUM($A2726:$C2726)</f>
        <v>0.341822797914336</v>
      </c>
      <c r="E2726" s="0" t="n">
        <f aca="false">B2726/SUM($A2726:$C2726)</f>
        <v>0.209743001609119</v>
      </c>
      <c r="F2726" s="0" t="n">
        <f aca="false">C2726/SUM($A2726:$C2726)</f>
        <v>0.448434200476546</v>
      </c>
      <c r="G2726" s="0" t="n">
        <f aca="false">SUMPRODUCT(D2726:F2726,Stats!$B$6:$D$6)</f>
        <v>0.356186644702582</v>
      </c>
      <c r="H2726" s="0" t="n">
        <f aca="false">SQRT(SUMPRODUCT(MMULT(D2726:F2726,Stats!$B$12:$D$14),D2726:F2726))</f>
        <v>0.226145570413454</v>
      </c>
      <c r="I2726" s="0" t="n">
        <f aca="false">(G2726-Stats!$B$2)/H2726</f>
        <v>1.38931151350064</v>
      </c>
    </row>
    <row r="2727" customFormat="false" ht="15" hidden="false" customHeight="false" outlineLevel="0" collapsed="false">
      <c r="A2727" s="0" t="n">
        <v>0.288152135777403</v>
      </c>
      <c r="B2727" s="0" t="n">
        <v>0.236007930323712</v>
      </c>
      <c r="C2727" s="0" t="n">
        <v>0.730514654026327</v>
      </c>
      <c r="D2727" s="0" t="n">
        <f aca="false">A2727/SUM($A2727:$C2727)</f>
        <v>0.229662821092095</v>
      </c>
      <c r="E2727" s="0" t="n">
        <f aca="false">B2727/SUM($A2727:$C2727)</f>
        <v>0.188102881597662</v>
      </c>
      <c r="F2727" s="0" t="n">
        <f aca="false">C2727/SUM($A2727:$C2727)</f>
        <v>0.582234297310243</v>
      </c>
      <c r="G2727" s="0" t="n">
        <f aca="false">SUMPRODUCT(D2727:F2727,Stats!$B$6:$D$6)</f>
        <v>0.351252013997415</v>
      </c>
      <c r="H2727" s="0" t="n">
        <f aca="false">SQRT(SUMPRODUCT(MMULT(D2727:F2727,Stats!$B$12:$D$14),D2727:F2727))</f>
        <v>0.232126676671242</v>
      </c>
      <c r="I2727" s="0" t="n">
        <f aca="false">(G2727-Stats!$B$2)/H2727</f>
        <v>1.332255380692</v>
      </c>
    </row>
    <row r="2728" customFormat="false" ht="15" hidden="false" customHeight="false" outlineLevel="0" collapsed="false">
      <c r="A2728" s="0" t="n">
        <v>0.0403252397209507</v>
      </c>
      <c r="B2728" s="0" t="n">
        <v>0.094768471034594</v>
      </c>
      <c r="C2728" s="0" t="n">
        <v>0.00678817402358978</v>
      </c>
      <c r="D2728" s="0" t="n">
        <f aca="false">A2728/SUM($A2728:$C2728)</f>
        <v>0.284216972333885</v>
      </c>
      <c r="E2728" s="0" t="n">
        <f aca="false">B2728/SUM($A2728:$C2728)</f>
        <v>0.667939188869099</v>
      </c>
      <c r="F2728" s="0" t="n">
        <f aca="false">C2728/SUM($A2728:$C2728)</f>
        <v>0.0478438387970165</v>
      </c>
      <c r="G2728" s="0" t="n">
        <f aca="false">SUMPRODUCT(D2728:F2728,Stats!$B$6:$D$6)</f>
        <v>0.393596785433959</v>
      </c>
      <c r="H2728" s="0" t="n">
        <f aca="false">SQRT(SUMPRODUCT(MMULT(D2728:F2728,Stats!$B$12:$D$14),D2728:F2728))</f>
        <v>0.235130090122152</v>
      </c>
      <c r="I2728" s="0" t="n">
        <f aca="false">(G2728-Stats!$B$2)/H2728</f>
        <v>1.49532875716291</v>
      </c>
    </row>
    <row r="2729" customFormat="false" ht="15" hidden="false" customHeight="false" outlineLevel="0" collapsed="false">
      <c r="A2729" s="0" t="n">
        <v>0.152943186475426</v>
      </c>
      <c r="B2729" s="0" t="n">
        <v>0.0689900087104595</v>
      </c>
      <c r="C2729" s="0" t="n">
        <v>0.995802367779919</v>
      </c>
      <c r="D2729" s="0" t="n">
        <f aca="false">A2729/SUM($A2729:$C2729)</f>
        <v>0.125596386544655</v>
      </c>
      <c r="E2729" s="0" t="n">
        <f aca="false">B2729/SUM($A2729:$C2729)</f>
        <v>0.0566543433637051</v>
      </c>
      <c r="F2729" s="0" t="n">
        <f aca="false">C2729/SUM($A2729:$C2729)</f>
        <v>0.81774927009164</v>
      </c>
      <c r="G2729" s="0" t="n">
        <f aca="false">SUMPRODUCT(D2729:F2729,Stats!$B$6:$D$6)</f>
        <v>0.337194400447321</v>
      </c>
      <c r="H2729" s="0" t="n">
        <f aca="false">SQRT(SUMPRODUCT(MMULT(D2729:F2729,Stats!$B$12:$D$14),D2729:F2729))</f>
        <v>0.2443707848977</v>
      </c>
      <c r="I2729" s="0" t="n">
        <f aca="false">(G2729-Stats!$B$2)/H2729</f>
        <v>1.2079774616712</v>
      </c>
    </row>
    <row r="2730" customFormat="false" ht="15" hidden="false" customHeight="false" outlineLevel="0" collapsed="false">
      <c r="A2730" s="0" t="n">
        <v>0.28880996995409</v>
      </c>
      <c r="B2730" s="0" t="n">
        <v>0.149268012669247</v>
      </c>
      <c r="C2730" s="0" t="n">
        <v>0.240996257995918</v>
      </c>
      <c r="D2730" s="0" t="n">
        <f aca="false">A2730/SUM($A2730:$C2730)</f>
        <v>0.425299551475728</v>
      </c>
      <c r="E2730" s="0" t="n">
        <f aca="false">B2730/SUM($A2730:$C2730)</f>
        <v>0.219811036468013</v>
      </c>
      <c r="F2730" s="0" t="n">
        <f aca="false">C2730/SUM($A2730:$C2730)</f>
        <v>0.354889412056259</v>
      </c>
      <c r="G2730" s="0" t="n">
        <f aca="false">SUMPRODUCT(D2730:F2730,Stats!$B$6:$D$6)</f>
        <v>0.359345407959032</v>
      </c>
      <c r="H2730" s="0" t="n">
        <f aca="false">SQRT(SUMPRODUCT(MMULT(D2730:F2730,Stats!$B$12:$D$14),D2730:F2730))</f>
        <v>0.223550381329299</v>
      </c>
      <c r="I2730" s="0" t="n">
        <f aca="false">(G2730-Stats!$B$2)/H2730</f>
        <v>1.41956996929282</v>
      </c>
    </row>
    <row r="2731" customFormat="false" ht="15" hidden="false" customHeight="false" outlineLevel="0" collapsed="false">
      <c r="A2731" s="0" t="n">
        <v>0.936125571540135</v>
      </c>
      <c r="B2731" s="0" t="n">
        <v>0.520160223024396</v>
      </c>
      <c r="C2731" s="0" t="n">
        <v>0.364818096307857</v>
      </c>
      <c r="D2731" s="0" t="n">
        <f aca="false">A2731/SUM($A2731:$C2731)</f>
        <v>0.514042925410307</v>
      </c>
      <c r="E2731" s="0" t="n">
        <f aca="false">B2731/SUM($A2731:$C2731)</f>
        <v>0.285629076754768</v>
      </c>
      <c r="F2731" s="0" t="n">
        <f aca="false">C2731/SUM($A2731:$C2731)</f>
        <v>0.200327997834925</v>
      </c>
      <c r="G2731" s="0" t="n">
        <f aca="false">SUMPRODUCT(D2731:F2731,Stats!$B$6:$D$6)</f>
        <v>0.367394464360217</v>
      </c>
      <c r="H2731" s="0" t="n">
        <f aca="false">SQRT(SUMPRODUCT(MMULT(D2731:F2731,Stats!$B$12:$D$14),D2731:F2731))</f>
        <v>0.223297030494739</v>
      </c>
      <c r="I2731" s="0" t="n">
        <f aca="false">(G2731-Stats!$B$2)/H2731</f>
        <v>1.45722701121134</v>
      </c>
    </row>
    <row r="2732" customFormat="false" ht="15" hidden="false" customHeight="false" outlineLevel="0" collapsed="false">
      <c r="A2732" s="0" t="n">
        <v>0.873391457909219</v>
      </c>
      <c r="B2732" s="0" t="n">
        <v>0.394990270549033</v>
      </c>
      <c r="C2732" s="0" t="n">
        <v>0.335008569957696</v>
      </c>
      <c r="D2732" s="0" t="n">
        <f aca="false">A2732/SUM($A2732:$C2732)</f>
        <v>0.544715443751953</v>
      </c>
      <c r="E2732" s="0" t="n">
        <f aca="false">B2732/SUM($A2732:$C2732)</f>
        <v>0.246346925598377</v>
      </c>
      <c r="F2732" s="0" t="n">
        <f aca="false">C2732/SUM($A2732:$C2732)</f>
        <v>0.20893763064967</v>
      </c>
      <c r="G2732" s="0" t="n">
        <f aca="false">SUMPRODUCT(D2732:F2732,Stats!$B$6:$D$6)</f>
        <v>0.364896812911144</v>
      </c>
      <c r="H2732" s="0" t="n">
        <f aca="false">SQRT(SUMPRODUCT(MMULT(D2732:F2732,Stats!$B$12:$D$14),D2732:F2732))</f>
        <v>0.222707964973582</v>
      </c>
      <c r="I2732" s="0" t="n">
        <f aca="false">(G2732-Stats!$B$2)/H2732</f>
        <v>1.44986647850447</v>
      </c>
    </row>
    <row r="2733" customFormat="false" ht="15" hidden="false" customHeight="false" outlineLevel="0" collapsed="false">
      <c r="A2733" s="0" t="n">
        <v>0.207282522549736</v>
      </c>
      <c r="B2733" s="0" t="n">
        <v>0.377796823909412</v>
      </c>
      <c r="C2733" s="0" t="n">
        <v>0.316684356016926</v>
      </c>
      <c r="D2733" s="0" t="n">
        <f aca="false">A2733/SUM($A2733:$C2733)</f>
        <v>0.229863457556095</v>
      </c>
      <c r="E2733" s="0" t="n">
        <f aca="false">B2733/SUM($A2733:$C2733)</f>
        <v>0.418953238938375</v>
      </c>
      <c r="F2733" s="0" t="n">
        <f aca="false">C2733/SUM($A2733:$C2733)</f>
        <v>0.351183303505531</v>
      </c>
      <c r="G2733" s="0" t="n">
        <f aca="false">SUMPRODUCT(D2733:F2733,Stats!$B$6:$D$6)</f>
        <v>0.37090598706231</v>
      </c>
      <c r="H2733" s="0" t="n">
        <f aca="false">SQRT(SUMPRODUCT(MMULT(D2733:F2733,Stats!$B$12:$D$14),D2733:F2733))</f>
        <v>0.230398443656943</v>
      </c>
      <c r="I2733" s="0" t="n">
        <f aca="false">(G2733-Stats!$B$2)/H2733</f>
        <v>1.42755298968964</v>
      </c>
    </row>
    <row r="2734" customFormat="false" ht="15" hidden="false" customHeight="false" outlineLevel="0" collapsed="false">
      <c r="A2734" s="0" t="n">
        <v>0.677303959298141</v>
      </c>
      <c r="B2734" s="0" t="n">
        <v>0.289582704670727</v>
      </c>
      <c r="C2734" s="0" t="n">
        <v>0.577199746422561</v>
      </c>
      <c r="D2734" s="0" t="n">
        <f aca="false">A2734/SUM($A2734:$C2734)</f>
        <v>0.438643818597201</v>
      </c>
      <c r="E2734" s="0" t="n">
        <f aca="false">B2734/SUM($A2734:$C2734)</f>
        <v>0.187543069300971</v>
      </c>
      <c r="F2734" s="0" t="n">
        <f aca="false">C2734/SUM($A2734:$C2734)</f>
        <v>0.373813112101829</v>
      </c>
      <c r="G2734" s="0" t="n">
        <f aca="false">SUMPRODUCT(D2734:F2734,Stats!$B$6:$D$6)</f>
        <v>0.356966937141534</v>
      </c>
      <c r="H2734" s="0" t="n">
        <f aca="false">SQRT(SUMPRODUCT(MMULT(D2734:F2734,Stats!$B$12:$D$14),D2734:F2734))</f>
        <v>0.223254352159106</v>
      </c>
      <c r="I2734" s="0" t="n">
        <f aca="false">(G2734-Stats!$B$2)/H2734</f>
        <v>1.41079864332081</v>
      </c>
    </row>
    <row r="2735" customFormat="false" ht="15" hidden="false" customHeight="false" outlineLevel="0" collapsed="false">
      <c r="A2735" s="0" t="n">
        <v>0.0658921650319727</v>
      </c>
      <c r="B2735" s="0" t="n">
        <v>0.191289156696514</v>
      </c>
      <c r="C2735" s="0" t="n">
        <v>0.407405271611349</v>
      </c>
      <c r="D2735" s="0" t="n">
        <f aca="false">A2735/SUM($A2735:$C2735)</f>
        <v>0.0991475989619893</v>
      </c>
      <c r="E2735" s="0" t="n">
        <f aca="false">B2735/SUM($A2735:$C2735)</f>
        <v>0.28783180192547</v>
      </c>
      <c r="F2735" s="0" t="n">
        <f aca="false">C2735/SUM($A2735:$C2735)</f>
        <v>0.613020599112541</v>
      </c>
      <c r="G2735" s="0" t="n">
        <f aca="false">SUMPRODUCT(D2735:F2735,Stats!$B$6:$D$6)</f>
        <v>0.356141366565298</v>
      </c>
      <c r="H2735" s="0" t="n">
        <f aca="false">SQRT(SUMPRODUCT(MMULT(D2735:F2735,Stats!$B$12:$D$14),D2735:F2735))</f>
        <v>0.23890984041244</v>
      </c>
      <c r="I2735" s="0" t="n">
        <f aca="false">(G2735-Stats!$B$2)/H2735</f>
        <v>1.31489505004474</v>
      </c>
    </row>
    <row r="2736" customFormat="false" ht="15" hidden="false" customHeight="false" outlineLevel="0" collapsed="false">
      <c r="A2736" s="0" t="n">
        <v>0.936949253908695</v>
      </c>
      <c r="B2736" s="0" t="n">
        <v>0.377251985715695</v>
      </c>
      <c r="C2736" s="0" t="n">
        <v>0.664074121199834</v>
      </c>
      <c r="D2736" s="0" t="n">
        <f aca="false">A2736/SUM($A2736:$C2736)</f>
        <v>0.473619230397899</v>
      </c>
      <c r="E2736" s="0" t="n">
        <f aca="false">B2736/SUM($A2736:$C2736)</f>
        <v>0.190697409059636</v>
      </c>
      <c r="F2736" s="0" t="n">
        <f aca="false">C2736/SUM($A2736:$C2736)</f>
        <v>0.335683360542465</v>
      </c>
      <c r="G2736" s="0" t="n">
        <f aca="false">SUMPRODUCT(D2736:F2736,Stats!$B$6:$D$6)</f>
        <v>0.358199847002442</v>
      </c>
      <c r="H2736" s="0" t="n">
        <f aca="false">SQRT(SUMPRODUCT(MMULT(D2736:F2736,Stats!$B$12:$D$14),D2736:F2736))</f>
        <v>0.222587410424436</v>
      </c>
      <c r="I2736" s="0" t="n">
        <f aca="false">(G2736-Stats!$B$2)/H2736</f>
        <v>1.42056483068608</v>
      </c>
    </row>
    <row r="2737" customFormat="false" ht="15" hidden="false" customHeight="false" outlineLevel="0" collapsed="false">
      <c r="A2737" s="0" t="n">
        <v>0.255087222421398</v>
      </c>
      <c r="B2737" s="0" t="n">
        <v>0.127033575973232</v>
      </c>
      <c r="C2737" s="0" t="n">
        <v>0.0585366000800501</v>
      </c>
      <c r="D2737" s="0" t="n">
        <f aca="false">A2737/SUM($A2737:$C2737)</f>
        <v>0.578878791787846</v>
      </c>
      <c r="E2737" s="0" t="n">
        <f aca="false">B2737/SUM($A2737:$C2737)</f>
        <v>0.288281954218751</v>
      </c>
      <c r="F2737" s="0" t="n">
        <f aca="false">C2737/SUM($A2737:$C2737)</f>
        <v>0.132839253993403</v>
      </c>
      <c r="G2737" s="0" t="n">
        <f aca="false">SUMPRODUCT(D2737:F2737,Stats!$B$6:$D$6)</f>
        <v>0.369408083649837</v>
      </c>
      <c r="H2737" s="0" t="n">
        <f aca="false">SQRT(SUMPRODUCT(MMULT(D2737:F2737,Stats!$B$12:$D$14),D2737:F2737))</f>
        <v>0.223903444556062</v>
      </c>
      <c r="I2737" s="0" t="n">
        <f aca="false">(G2737-Stats!$B$2)/H2737</f>
        <v>1.46227354518371</v>
      </c>
    </row>
    <row r="2738" customFormat="false" ht="15" hidden="false" customHeight="false" outlineLevel="0" collapsed="false">
      <c r="A2738" s="0" t="n">
        <v>0.305413498542751</v>
      </c>
      <c r="B2738" s="0" t="n">
        <v>0.157661026796908</v>
      </c>
      <c r="C2738" s="0" t="n">
        <v>0.174010448016124</v>
      </c>
      <c r="D2738" s="0" t="n">
        <f aca="false">A2738/SUM($A2738:$C2738)</f>
        <v>0.479392092602679</v>
      </c>
      <c r="E2738" s="0" t="n">
        <f aca="false">B2738/SUM($A2738:$C2738)</f>
        <v>0.247472524687631</v>
      </c>
      <c r="F2738" s="0" t="n">
        <f aca="false">C2738/SUM($A2738:$C2738)</f>
        <v>0.273135382709689</v>
      </c>
      <c r="G2738" s="0" t="n">
        <f aca="false">SUMPRODUCT(D2738:F2738,Stats!$B$6:$D$6)</f>
        <v>0.363191350104604</v>
      </c>
      <c r="H2738" s="0" t="n">
        <f aca="false">SQRT(SUMPRODUCT(MMULT(D2738:F2738,Stats!$B$12:$D$14),D2738:F2738))</f>
        <v>0.22287308800289</v>
      </c>
      <c r="I2738" s="0" t="n">
        <f aca="false">(G2738-Stats!$B$2)/H2738</f>
        <v>1.44114012590179</v>
      </c>
    </row>
    <row r="2739" customFormat="false" ht="15" hidden="false" customHeight="false" outlineLevel="0" collapsed="false">
      <c r="A2739" s="0" t="n">
        <v>0.76075930838695</v>
      </c>
      <c r="B2739" s="0" t="n">
        <v>0.0158380709448742</v>
      </c>
      <c r="C2739" s="0" t="n">
        <v>0.557810125735434</v>
      </c>
      <c r="D2739" s="0" t="n">
        <f aca="false">A2739/SUM($A2739:$C2739)</f>
        <v>0.57011018410647</v>
      </c>
      <c r="E2739" s="0" t="n">
        <f aca="false">B2739/SUM($A2739:$C2739)</f>
        <v>0.0118689912075067</v>
      </c>
      <c r="F2739" s="0" t="n">
        <f aca="false">C2739/SUM($A2739:$C2739)</f>
        <v>0.418020824686023</v>
      </c>
      <c r="G2739" s="0" t="n">
        <f aca="false">SUMPRODUCT(D2739:F2739,Stats!$B$6:$D$6)</f>
        <v>0.345639867387217</v>
      </c>
      <c r="H2739" s="0" t="n">
        <f aca="false">SQRT(SUMPRODUCT(MMULT(D2739:F2739,Stats!$B$12:$D$14),D2739:F2739))</f>
        <v>0.221858835530286</v>
      </c>
      <c r="I2739" s="0" t="n">
        <f aca="false">(G2739-Stats!$B$2)/H2739</f>
        <v>1.36861742135019</v>
      </c>
    </row>
    <row r="2740" customFormat="false" ht="15" hidden="false" customHeight="false" outlineLevel="0" collapsed="false">
      <c r="A2740" s="0" t="n">
        <v>0.379461380593465</v>
      </c>
      <c r="B2740" s="0" t="n">
        <v>0.506549999908547</v>
      </c>
      <c r="C2740" s="0" t="n">
        <v>0.562830237214603</v>
      </c>
      <c r="D2740" s="0" t="n">
        <f aca="false">A2740/SUM($A2740:$C2740)</f>
        <v>0.261906737046592</v>
      </c>
      <c r="E2740" s="0" t="n">
        <f aca="false">B2740/SUM($A2740:$C2740)</f>
        <v>0.349624136768568</v>
      </c>
      <c r="F2740" s="0" t="n">
        <f aca="false">C2740/SUM($A2740:$C2740)</f>
        <v>0.38846912618484</v>
      </c>
      <c r="G2740" s="0" t="n">
        <f aca="false">SUMPRODUCT(D2740:F2740,Stats!$B$6:$D$6)</f>
        <v>0.365888738034859</v>
      </c>
      <c r="H2740" s="0" t="n">
        <f aca="false">SQRT(SUMPRODUCT(MMULT(D2740:F2740,Stats!$B$12:$D$14),D2740:F2740))</f>
        <v>0.22884548586929</v>
      </c>
      <c r="I2740" s="0" t="n">
        <f aca="false">(G2740-Stats!$B$2)/H2740</f>
        <v>1.4153162637425</v>
      </c>
    </row>
    <row r="2741" customFormat="false" ht="15" hidden="false" customHeight="false" outlineLevel="0" collapsed="false">
      <c r="A2741" s="0" t="n">
        <v>0.313367694457278</v>
      </c>
      <c r="B2741" s="0" t="n">
        <v>0.295108860184285</v>
      </c>
      <c r="C2741" s="0" t="n">
        <v>0.733401849334906</v>
      </c>
      <c r="D2741" s="0" t="n">
        <f aca="false">A2741/SUM($A2741:$C2741)</f>
        <v>0.233529128666694</v>
      </c>
      <c r="E2741" s="0" t="n">
        <f aca="false">B2741/SUM($A2741:$C2741)</f>
        <v>0.219922207041839</v>
      </c>
      <c r="F2741" s="0" t="n">
        <f aca="false">C2741/SUM($A2741:$C2741)</f>
        <v>0.546548664291468</v>
      </c>
      <c r="G2741" s="0" t="n">
        <f aca="false">SUMPRODUCT(D2741:F2741,Stats!$B$6:$D$6)</f>
        <v>0.354066874405603</v>
      </c>
      <c r="H2741" s="0" t="n">
        <f aca="false">SQRT(SUMPRODUCT(MMULT(D2741:F2741,Stats!$B$12:$D$14),D2741:F2741))</f>
        <v>0.231284680250957</v>
      </c>
      <c r="I2741" s="0" t="n">
        <f aca="false">(G2741-Stats!$B$2)/H2741</f>
        <v>1.34927602670005</v>
      </c>
    </row>
    <row r="2742" customFormat="false" ht="15" hidden="false" customHeight="false" outlineLevel="0" collapsed="false">
      <c r="A2742" s="0" t="n">
        <v>0.871276988121157</v>
      </c>
      <c r="B2742" s="0" t="n">
        <v>0.192581632458528</v>
      </c>
      <c r="C2742" s="0" t="n">
        <v>0.097618760535149</v>
      </c>
      <c r="D2742" s="0" t="n">
        <f aca="false">A2742/SUM($A2742:$C2742)</f>
        <v>0.750145463258931</v>
      </c>
      <c r="E2742" s="0" t="n">
        <f aca="false">B2742/SUM($A2742:$C2742)</f>
        <v>0.165807475539197</v>
      </c>
      <c r="F2742" s="0" t="n">
        <f aca="false">C2742/SUM($A2742:$C2742)</f>
        <v>0.0840470612018724</v>
      </c>
      <c r="G2742" s="0" t="n">
        <f aca="false">SUMPRODUCT(D2742:F2742,Stats!$B$6:$D$6)</f>
        <v>0.363706486611994</v>
      </c>
      <c r="H2742" s="0" t="n">
        <f aca="false">SQRT(SUMPRODUCT(MMULT(D2742:F2742,Stats!$B$12:$D$14),D2742:F2742))</f>
        <v>0.225156853778333</v>
      </c>
      <c r="I2742" s="0" t="n">
        <f aca="false">(G2742-Stats!$B$2)/H2742</f>
        <v>1.42881054346546</v>
      </c>
    </row>
    <row r="2743" customFormat="false" ht="15" hidden="false" customHeight="false" outlineLevel="0" collapsed="false">
      <c r="A2743" s="0" t="n">
        <v>0.897795806392026</v>
      </c>
      <c r="B2743" s="0" t="n">
        <v>0.349895463647399</v>
      </c>
      <c r="C2743" s="0" t="n">
        <v>0.551317390662814</v>
      </c>
      <c r="D2743" s="0" t="n">
        <f aca="false">A2743/SUM($A2743:$C2743)</f>
        <v>0.499050296979434</v>
      </c>
      <c r="E2743" s="0" t="n">
        <f aca="false">B2743/SUM($A2743:$C2743)</f>
        <v>0.194493484823368</v>
      </c>
      <c r="F2743" s="0" t="n">
        <f aca="false">C2743/SUM($A2743:$C2743)</f>
        <v>0.306456218197198</v>
      </c>
      <c r="G2743" s="0" t="n">
        <f aca="false">SUMPRODUCT(D2743:F2743,Stats!$B$6:$D$6)</f>
        <v>0.359224195497543</v>
      </c>
      <c r="H2743" s="0" t="n">
        <f aca="false">SQRT(SUMPRODUCT(MMULT(D2743:F2743,Stats!$B$12:$D$14),D2743:F2743))</f>
        <v>0.22227644064385</v>
      </c>
      <c r="I2743" s="0" t="n">
        <f aca="false">(G2743-Stats!$B$2)/H2743</f>
        <v>1.42716067694203</v>
      </c>
    </row>
    <row r="2744" customFormat="false" ht="15" hidden="false" customHeight="false" outlineLevel="0" collapsed="false">
      <c r="A2744" s="0" t="n">
        <v>0.359543144520004</v>
      </c>
      <c r="B2744" s="0" t="n">
        <v>0.125802336346051</v>
      </c>
      <c r="C2744" s="0" t="n">
        <v>0.589331644947728</v>
      </c>
      <c r="D2744" s="0" t="n">
        <f aca="false">A2744/SUM($A2744:$C2744)</f>
        <v>0.33455922330881</v>
      </c>
      <c r="E2744" s="0" t="n">
        <f aca="false">B2744/SUM($A2744:$C2744)</f>
        <v>0.117060588082015</v>
      </c>
      <c r="F2744" s="0" t="n">
        <f aca="false">C2744/SUM($A2744:$C2744)</f>
        <v>0.548380188609175</v>
      </c>
      <c r="G2744" s="0" t="n">
        <f aca="false">SUMPRODUCT(D2744:F2744,Stats!$B$6:$D$6)</f>
        <v>0.348097846403223</v>
      </c>
      <c r="H2744" s="0" t="n">
        <f aca="false">SQRT(SUMPRODUCT(MMULT(D2744:F2744,Stats!$B$12:$D$14),D2744:F2744))</f>
        <v>0.227780930035576</v>
      </c>
      <c r="I2744" s="0" t="n">
        <f aca="false">(G2744-Stats!$B$2)/H2744</f>
        <v>1.34382560627624</v>
      </c>
    </row>
    <row r="2745" customFormat="false" ht="15" hidden="false" customHeight="false" outlineLevel="0" collapsed="false">
      <c r="A2745" s="0" t="n">
        <v>0.52514085176963</v>
      </c>
      <c r="B2745" s="0" t="n">
        <v>0.202993559191197</v>
      </c>
      <c r="C2745" s="0" t="n">
        <v>0.451869044652278</v>
      </c>
      <c r="D2745" s="0" t="n">
        <f aca="false">A2745/SUM($A2745:$C2745)</f>
        <v>0.445033316870058</v>
      </c>
      <c r="E2745" s="0" t="n">
        <f aca="false">B2745/SUM($A2745:$C2745)</f>
        <v>0.172027936211192</v>
      </c>
      <c r="F2745" s="0" t="n">
        <f aca="false">C2745/SUM($A2745:$C2745)</f>
        <v>0.382938746918751</v>
      </c>
      <c r="G2745" s="0" t="n">
        <f aca="false">SUMPRODUCT(D2745:F2745,Stats!$B$6:$D$6)</f>
        <v>0.355822580594219</v>
      </c>
      <c r="H2745" s="0" t="n">
        <f aca="false">SQRT(SUMPRODUCT(MMULT(D2745:F2745,Stats!$B$12:$D$14),D2745:F2745))</f>
        <v>0.22314081685996</v>
      </c>
      <c r="I2745" s="0" t="n">
        <f aca="false">(G2745-Stats!$B$2)/H2745</f>
        <v>1.40638806028558</v>
      </c>
    </row>
    <row r="2746" customFormat="false" ht="15" hidden="false" customHeight="false" outlineLevel="0" collapsed="false">
      <c r="A2746" s="0" t="n">
        <v>0.796947504015646</v>
      </c>
      <c r="B2746" s="0" t="n">
        <v>0.590426103107891</v>
      </c>
      <c r="C2746" s="0" t="n">
        <v>0.0969173270669949</v>
      </c>
      <c r="D2746" s="0" t="n">
        <f aca="false">A2746/SUM($A2746:$C2746)</f>
        <v>0.536921357975057</v>
      </c>
      <c r="E2746" s="0" t="n">
        <f aca="false">B2746/SUM($A2746:$C2746)</f>
        <v>0.397783271127964</v>
      </c>
      <c r="F2746" s="0" t="n">
        <f aca="false">C2746/SUM($A2746:$C2746)</f>
        <v>0.0652953708969794</v>
      </c>
      <c r="G2746" s="0" t="n">
        <f aca="false">SUMPRODUCT(D2746:F2746,Stats!$B$6:$D$6)</f>
        <v>0.377571144297652</v>
      </c>
      <c r="H2746" s="0" t="n">
        <f aca="false">SQRT(SUMPRODUCT(MMULT(D2746:F2746,Stats!$B$12:$D$14),D2746:F2746))</f>
        <v>0.226457257682623</v>
      </c>
      <c r="I2746" s="0" t="n">
        <f aca="false">(G2746-Stats!$B$2)/H2746</f>
        <v>1.48182993882206</v>
      </c>
    </row>
    <row r="2747" customFormat="false" ht="15" hidden="false" customHeight="false" outlineLevel="0" collapsed="false">
      <c r="A2747" s="0" t="n">
        <v>0.548021497229135</v>
      </c>
      <c r="B2747" s="0" t="n">
        <v>0.702738299289587</v>
      </c>
      <c r="C2747" s="0" t="n">
        <v>0.792703405780751</v>
      </c>
      <c r="D2747" s="0" t="n">
        <f aca="false">A2747/SUM($A2747:$C2747)</f>
        <v>0.268182708948444</v>
      </c>
      <c r="E2747" s="0" t="n">
        <f aca="false">B2747/SUM($A2747:$C2747)</f>
        <v>0.343895744488478</v>
      </c>
      <c r="F2747" s="0" t="n">
        <f aca="false">C2747/SUM($A2747:$C2747)</f>
        <v>0.387921546563078</v>
      </c>
      <c r="G2747" s="0" t="n">
        <f aca="false">SUMPRODUCT(D2747:F2747,Stats!$B$6:$D$6)</f>
        <v>0.365574233054636</v>
      </c>
      <c r="H2747" s="0" t="n">
        <f aca="false">SQRT(SUMPRODUCT(MMULT(D2747:F2747,Stats!$B$12:$D$14),D2747:F2747))</f>
        <v>0.228586347636295</v>
      </c>
      <c r="I2747" s="0" t="n">
        <f aca="false">(G2747-Stats!$B$2)/H2747</f>
        <v>1.41554487571356</v>
      </c>
    </row>
    <row r="2748" customFormat="false" ht="15" hidden="false" customHeight="false" outlineLevel="0" collapsed="false">
      <c r="A2748" s="0" t="n">
        <v>0.629117578634267</v>
      </c>
      <c r="B2748" s="0" t="n">
        <v>0.152658164540784</v>
      </c>
      <c r="C2748" s="0" t="n">
        <v>0.710173266590161</v>
      </c>
      <c r="D2748" s="0" t="n">
        <f aca="false">A2748/SUM($A2748:$C2748)</f>
        <v>0.42167498655552</v>
      </c>
      <c r="E2748" s="0" t="n">
        <f aca="false">B2748/SUM($A2748:$C2748)</f>
        <v>0.102321301560304</v>
      </c>
      <c r="F2748" s="0" t="n">
        <f aca="false">C2748/SUM($A2748:$C2748)</f>
        <v>0.476003711884176</v>
      </c>
      <c r="G2748" s="0" t="n">
        <f aca="false">SUMPRODUCT(D2748:F2748,Stats!$B$6:$D$6)</f>
        <v>0.349245520441685</v>
      </c>
      <c r="H2748" s="0" t="n">
        <f aca="false">SQRT(SUMPRODUCT(MMULT(D2748:F2748,Stats!$B$12:$D$14),D2748:F2748))</f>
        <v>0.224383831901184</v>
      </c>
      <c r="I2748" s="0" t="n">
        <f aca="false">(G2748-Stats!$B$2)/H2748</f>
        <v>1.36928546873641</v>
      </c>
    </row>
    <row r="2749" customFormat="false" ht="15" hidden="false" customHeight="false" outlineLevel="0" collapsed="false">
      <c r="A2749" s="0" t="n">
        <v>0.677341846081516</v>
      </c>
      <c r="B2749" s="0" t="n">
        <v>0.0244268829406332</v>
      </c>
      <c r="C2749" s="0" t="n">
        <v>0.411747667590243</v>
      </c>
      <c r="D2749" s="0" t="n">
        <f aca="false">A2749/SUM($A2749:$C2749)</f>
        <v>0.608290859606708</v>
      </c>
      <c r="E2749" s="0" t="n">
        <f aca="false">B2749/SUM($A2749:$C2749)</f>
        <v>0.0219367070075898</v>
      </c>
      <c r="F2749" s="0" t="n">
        <f aca="false">C2749/SUM($A2749:$C2749)</f>
        <v>0.369772433385702</v>
      </c>
      <c r="G2749" s="0" t="n">
        <f aca="false">SUMPRODUCT(D2749:F2749,Stats!$B$6:$D$6)</f>
        <v>0.347549581556764</v>
      </c>
      <c r="H2749" s="0" t="n">
        <f aca="false">SQRT(SUMPRODUCT(MMULT(D2749:F2749,Stats!$B$12:$D$14),D2749:F2749))</f>
        <v>0.221400737843907</v>
      </c>
      <c r="I2749" s="0" t="n">
        <f aca="false">(G2749-Stats!$B$2)/H2749</f>
        <v>1.38007481154911</v>
      </c>
    </row>
    <row r="2750" customFormat="false" ht="15" hidden="false" customHeight="false" outlineLevel="0" collapsed="false">
      <c r="A2750" s="0" t="n">
        <v>0.332950246962373</v>
      </c>
      <c r="B2750" s="0" t="n">
        <v>0.669412064253643</v>
      </c>
      <c r="C2750" s="0" t="n">
        <v>0.216135812310921</v>
      </c>
      <c r="D2750" s="0" t="n">
        <f aca="false">A2750/SUM($A2750:$C2750)</f>
        <v>0.273246417482081</v>
      </c>
      <c r="E2750" s="0" t="n">
        <f aca="false">B2750/SUM($A2750:$C2750)</f>
        <v>0.549374719032011</v>
      </c>
      <c r="F2750" s="0" t="n">
        <f aca="false">C2750/SUM($A2750:$C2750)</f>
        <v>0.177378863485909</v>
      </c>
      <c r="G2750" s="0" t="n">
        <f aca="false">SUMPRODUCT(D2750:F2750,Stats!$B$6:$D$6)</f>
        <v>0.383202860810518</v>
      </c>
      <c r="H2750" s="0" t="n">
        <f aca="false">SQRT(SUMPRODUCT(MMULT(D2750:F2750,Stats!$B$12:$D$14),D2750:F2750))</f>
        <v>0.231268836896944</v>
      </c>
      <c r="I2750" s="0" t="n">
        <f aca="false">(G2750-Stats!$B$2)/H2750</f>
        <v>1.47535165303123</v>
      </c>
    </row>
    <row r="2751" customFormat="false" ht="15" hidden="false" customHeight="false" outlineLevel="0" collapsed="false">
      <c r="A2751" s="0" t="n">
        <v>0.590871922974259</v>
      </c>
      <c r="B2751" s="0" t="n">
        <v>0.913205961814172</v>
      </c>
      <c r="C2751" s="0" t="n">
        <v>0.797802372208608</v>
      </c>
      <c r="D2751" s="0" t="n">
        <f aca="false">A2751/SUM($A2751:$C2751)</f>
        <v>0.256690990410201</v>
      </c>
      <c r="E2751" s="0" t="n">
        <f aca="false">B2751/SUM($A2751:$C2751)</f>
        <v>0.396721749117182</v>
      </c>
      <c r="F2751" s="0" t="n">
        <f aca="false">C2751/SUM($A2751:$C2751)</f>
        <v>0.346587260472617</v>
      </c>
      <c r="G2751" s="0" t="n">
        <f aca="false">SUMPRODUCT(D2751:F2751,Stats!$B$6:$D$6)</f>
        <v>0.369753550030554</v>
      </c>
      <c r="H2751" s="0" t="n">
        <f aca="false">SQRT(SUMPRODUCT(MMULT(D2751:F2751,Stats!$B$12:$D$14),D2751:F2751))</f>
        <v>0.229226613357193</v>
      </c>
      <c r="I2751" s="0" t="n">
        <f aca="false">(G2751-Stats!$B$2)/H2751</f>
        <v>1.42982328810063</v>
      </c>
    </row>
    <row r="2752" customFormat="false" ht="15" hidden="false" customHeight="false" outlineLevel="0" collapsed="false">
      <c r="A2752" s="0" t="n">
        <v>0.92145773621653</v>
      </c>
      <c r="B2752" s="0" t="n">
        <v>0.97850596693269</v>
      </c>
      <c r="C2752" s="0" t="n">
        <v>0.0106701270061628</v>
      </c>
      <c r="D2752" s="0" t="n">
        <f aca="false">A2752/SUM($A2752:$C2752)</f>
        <v>0.482278562052674</v>
      </c>
      <c r="E2752" s="0" t="n">
        <f aca="false">B2752/SUM($A2752:$C2752)</f>
        <v>0.512136837257358</v>
      </c>
      <c r="F2752" s="0" t="n">
        <f aca="false">C2752/SUM($A2752:$C2752)</f>
        <v>0.00558460068996843</v>
      </c>
      <c r="G2752" s="0" t="n">
        <f aca="false">SUMPRODUCT(D2752:F2752,Stats!$B$6:$D$6)</f>
        <v>0.385797402010302</v>
      </c>
      <c r="H2752" s="0" t="n">
        <f aca="false">SQRT(SUMPRODUCT(MMULT(D2752:F2752,Stats!$B$12:$D$14),D2752:F2752))</f>
        <v>0.229858118842587</v>
      </c>
      <c r="I2752" s="0" t="n">
        <f aca="false">(G2752-Stats!$B$2)/H2752</f>
        <v>1.49569396870312</v>
      </c>
    </row>
    <row r="2753" customFormat="false" ht="15" hidden="false" customHeight="false" outlineLevel="0" collapsed="false">
      <c r="A2753" s="0" t="n">
        <v>0.622741276377478</v>
      </c>
      <c r="B2753" s="0" t="n">
        <v>0.412839397758906</v>
      </c>
      <c r="C2753" s="0" t="n">
        <v>0.859854490335122</v>
      </c>
      <c r="D2753" s="0" t="n">
        <f aca="false">A2753/SUM($A2753:$C2753)</f>
        <v>0.328547917676263</v>
      </c>
      <c r="E2753" s="0" t="n">
        <f aca="false">B2753/SUM($A2753:$C2753)</f>
        <v>0.21780718512417</v>
      </c>
      <c r="F2753" s="0" t="n">
        <f aca="false">C2753/SUM($A2753:$C2753)</f>
        <v>0.453644897199568</v>
      </c>
      <c r="G2753" s="0" t="n">
        <f aca="false">SUMPRODUCT(D2753:F2753,Stats!$B$6:$D$6)</f>
        <v>0.356506964426771</v>
      </c>
      <c r="H2753" s="0" t="n">
        <f aca="false">SQRT(SUMPRODUCT(MMULT(D2753:F2753,Stats!$B$12:$D$14),D2753:F2753))</f>
        <v>0.226609374078312</v>
      </c>
      <c r="I2753" s="0" t="n">
        <f aca="false">(G2753-Stats!$B$2)/H2753</f>
        <v>1.38788152831702</v>
      </c>
    </row>
    <row r="2754" customFormat="false" ht="15" hidden="false" customHeight="false" outlineLevel="0" collapsed="false">
      <c r="A2754" s="0" t="n">
        <v>0.251814702009132</v>
      </c>
      <c r="B2754" s="0" t="n">
        <v>0.981029489115076</v>
      </c>
      <c r="C2754" s="0" t="n">
        <v>0.613707969543747</v>
      </c>
      <c r="D2754" s="0" t="n">
        <f aca="false">A2754/SUM($A2754:$C2754)</f>
        <v>0.136370207878689</v>
      </c>
      <c r="E2754" s="0" t="n">
        <f aca="false">B2754/SUM($A2754:$C2754)</f>
        <v>0.53127634843535</v>
      </c>
      <c r="F2754" s="0" t="n">
        <f aca="false">C2754/SUM($A2754:$C2754)</f>
        <v>0.332353443685961</v>
      </c>
      <c r="G2754" s="0" t="n">
        <f aca="false">SUMPRODUCT(D2754:F2754,Stats!$B$6:$D$6)</f>
        <v>0.377888139547989</v>
      </c>
      <c r="H2754" s="0" t="n">
        <f aca="false">SQRT(SUMPRODUCT(MMULT(D2754:F2754,Stats!$B$12:$D$14),D2754:F2754))</f>
        <v>0.235377714261605</v>
      </c>
      <c r="I2754" s="0" t="n">
        <f aca="false">(G2754-Stats!$B$2)/H2754</f>
        <v>1.4270175942599</v>
      </c>
    </row>
    <row r="2755" customFormat="false" ht="15" hidden="false" customHeight="false" outlineLevel="0" collapsed="false">
      <c r="A2755" s="0" t="n">
        <v>0.793537402228831</v>
      </c>
      <c r="B2755" s="0" t="n">
        <v>0.0855995528227683</v>
      </c>
      <c r="C2755" s="0" t="n">
        <v>0.183457884758865</v>
      </c>
      <c r="D2755" s="0" t="n">
        <f aca="false">A2755/SUM($A2755:$C2755)</f>
        <v>0.746792072103771</v>
      </c>
      <c r="E2755" s="0" t="n">
        <f aca="false">B2755/SUM($A2755:$C2755)</f>
        <v>0.0805570944030151</v>
      </c>
      <c r="F2755" s="0" t="n">
        <f aca="false">C2755/SUM($A2755:$C2755)</f>
        <v>0.172650833493214</v>
      </c>
      <c r="G2755" s="0" t="n">
        <f aca="false">SUMPRODUCT(D2755:F2755,Stats!$B$6:$D$6)</f>
        <v>0.356358075076696</v>
      </c>
      <c r="H2755" s="0" t="n">
        <f aca="false">SQRT(SUMPRODUCT(MMULT(D2755:F2755,Stats!$B$12:$D$14),D2755:F2755))</f>
        <v>0.223242892468722</v>
      </c>
      <c r="I2755" s="0" t="n">
        <f aca="false">(G2755-Stats!$B$2)/H2755</f>
        <v>1.40814371109593</v>
      </c>
    </row>
    <row r="2756" customFormat="false" ht="15" hidden="false" customHeight="false" outlineLevel="0" collapsed="false">
      <c r="A2756" s="0" t="n">
        <v>0.758403673034203</v>
      </c>
      <c r="B2756" s="0" t="n">
        <v>0.0219865220393236</v>
      </c>
      <c r="C2756" s="0" t="n">
        <v>0.816877985893783</v>
      </c>
      <c r="D2756" s="0" t="n">
        <f aca="false">A2756/SUM($A2756:$C2756)</f>
        <v>0.474812985114943</v>
      </c>
      <c r="E2756" s="0" t="n">
        <f aca="false">B2756/SUM($A2756:$C2756)</f>
        <v>0.0137650785893753</v>
      </c>
      <c r="F2756" s="0" t="n">
        <f aca="false">C2756/SUM($A2756:$C2756)</f>
        <v>0.511421936295682</v>
      </c>
      <c r="G2756" s="0" t="n">
        <f aca="false">SUMPRODUCT(D2756:F2756,Stats!$B$6:$D$6)</f>
        <v>0.343173466072432</v>
      </c>
      <c r="H2756" s="0" t="n">
        <f aca="false">SQRT(SUMPRODUCT(MMULT(D2756:F2756,Stats!$B$12:$D$14),D2756:F2756))</f>
        <v>0.224069446572934</v>
      </c>
      <c r="I2756" s="0" t="n">
        <f aca="false">(G2756-Stats!$B$2)/H2756</f>
        <v>1.34410768928463</v>
      </c>
    </row>
    <row r="2757" customFormat="false" ht="15" hidden="false" customHeight="false" outlineLevel="0" collapsed="false">
      <c r="A2757" s="0" t="n">
        <v>0.0139490186919115</v>
      </c>
      <c r="B2757" s="0" t="n">
        <v>0.657118839061273</v>
      </c>
      <c r="C2757" s="0" t="n">
        <v>0.365093920231806</v>
      </c>
      <c r="D2757" s="0" t="n">
        <f aca="false">A2757/SUM($A2757:$C2757)</f>
        <v>0.0134622015483315</v>
      </c>
      <c r="E2757" s="0" t="n">
        <f aca="false">B2757/SUM($A2757:$C2757)</f>
        <v>0.634185561582056</v>
      </c>
      <c r="F2757" s="0" t="n">
        <f aca="false">C2757/SUM($A2757:$C2757)</f>
        <v>0.352352236869612</v>
      </c>
      <c r="G2757" s="0" t="n">
        <f aca="false">SUMPRODUCT(D2757:F2757,Stats!$B$6:$D$6)</f>
        <v>0.383257943449564</v>
      </c>
      <c r="H2757" s="0" t="n">
        <f aca="false">SQRT(SUMPRODUCT(MMULT(D2757:F2757,Stats!$B$12:$D$14),D2757:F2757))</f>
        <v>0.242861684428028</v>
      </c>
      <c r="I2757" s="0" t="n">
        <f aca="false">(G2757-Stats!$B$2)/H2757</f>
        <v>1.40515348995159</v>
      </c>
    </row>
    <row r="2758" customFormat="false" ht="15" hidden="false" customHeight="false" outlineLevel="0" collapsed="false">
      <c r="A2758" s="0" t="n">
        <v>0.611494852719199</v>
      </c>
      <c r="B2758" s="0" t="n">
        <v>0.696031406989114</v>
      </c>
      <c r="C2758" s="0" t="n">
        <v>0.342475219186304</v>
      </c>
      <c r="D2758" s="0" t="n">
        <f aca="false">A2758/SUM($A2758:$C2758)</f>
        <v>0.370602608870907</v>
      </c>
      <c r="E2758" s="0" t="n">
        <f aca="false">B2758/SUM($A2758:$C2758)</f>
        <v>0.421836838264778</v>
      </c>
      <c r="F2758" s="0" t="n">
        <f aca="false">C2758/SUM($A2758:$C2758)</f>
        <v>0.207560552864315</v>
      </c>
      <c r="G2758" s="0" t="n">
        <f aca="false">SUMPRODUCT(D2758:F2758,Stats!$B$6:$D$6)</f>
        <v>0.375032247744099</v>
      </c>
      <c r="H2758" s="0" t="n">
        <f aca="false">SQRT(SUMPRODUCT(MMULT(D2758:F2758,Stats!$B$12:$D$14),D2758:F2758))</f>
        <v>0.226731144163024</v>
      </c>
      <c r="I2758" s="0" t="n">
        <f aca="false">(G2758-Stats!$B$2)/H2758</f>
        <v>1.46884209036868</v>
      </c>
    </row>
    <row r="2759" customFormat="false" ht="15" hidden="false" customHeight="false" outlineLevel="0" collapsed="false">
      <c r="A2759" s="0" t="n">
        <v>0.107962448110836</v>
      </c>
      <c r="B2759" s="0" t="n">
        <v>0.0696458677482656</v>
      </c>
      <c r="C2759" s="0" t="n">
        <v>0.588936022562548</v>
      </c>
      <c r="D2759" s="0" t="n">
        <f aca="false">A2759/SUM($A2759:$C2759)</f>
        <v>0.14084305721067</v>
      </c>
      <c r="E2759" s="0" t="n">
        <f aca="false">B2759/SUM($A2759:$C2759)</f>
        <v>0.0908569331966756</v>
      </c>
      <c r="F2759" s="0" t="n">
        <f aca="false">C2759/SUM($A2759:$C2759)</f>
        <v>0.768300009592654</v>
      </c>
      <c r="G2759" s="0" t="n">
        <f aca="false">SUMPRODUCT(D2759:F2759,Stats!$B$6:$D$6)</f>
        <v>0.340525917537839</v>
      </c>
      <c r="H2759" s="0" t="n">
        <f aca="false">SQRT(SUMPRODUCT(MMULT(D2759:F2759,Stats!$B$12:$D$14),D2759:F2759))</f>
        <v>0.2416055599183</v>
      </c>
      <c r="I2759" s="0" t="n">
        <f aca="false">(G2759-Stats!$B$2)/H2759</f>
        <v>1.23559208504468</v>
      </c>
    </row>
    <row r="2760" customFormat="false" ht="15" hidden="false" customHeight="false" outlineLevel="0" collapsed="false">
      <c r="A2760" s="0" t="n">
        <v>0.520655353734112</v>
      </c>
      <c r="B2760" s="0" t="n">
        <v>0.742201009121133</v>
      </c>
      <c r="C2760" s="0" t="n">
        <v>0.509735510003937</v>
      </c>
      <c r="D2760" s="0" t="n">
        <f aca="false">A2760/SUM($A2760:$C2760)</f>
        <v>0.29372545463288</v>
      </c>
      <c r="E2760" s="0" t="n">
        <f aca="false">B2760/SUM($A2760:$C2760)</f>
        <v>0.418709473108419</v>
      </c>
      <c r="F2760" s="0" t="n">
        <f aca="false">C2760/SUM($A2760:$C2760)</f>
        <v>0.287565072258701</v>
      </c>
      <c r="G2760" s="0" t="n">
        <f aca="false">SUMPRODUCT(D2760:F2760,Stats!$B$6:$D$6)</f>
        <v>0.372646209349727</v>
      </c>
      <c r="H2760" s="0" t="n">
        <f aca="false">SQRT(SUMPRODUCT(MMULT(D2760:F2760,Stats!$B$12:$D$14),D2760:F2760))</f>
        <v>0.228237702438153</v>
      </c>
      <c r="I2760" s="0" t="n">
        <f aca="false">(G2760-Stats!$B$2)/H2760</f>
        <v>1.44869233179967</v>
      </c>
    </row>
    <row r="2761" customFormat="false" ht="15" hidden="false" customHeight="false" outlineLevel="0" collapsed="false">
      <c r="A2761" s="0" t="n">
        <v>0.422445790030879</v>
      </c>
      <c r="B2761" s="0" t="n">
        <v>0.398087178236231</v>
      </c>
      <c r="C2761" s="0" t="n">
        <v>0.0264469025976675</v>
      </c>
      <c r="D2761" s="0" t="n">
        <f aca="false">A2761/SUM($A2761:$C2761)</f>
        <v>0.498767213439862</v>
      </c>
      <c r="E2761" s="0" t="n">
        <f aca="false">B2761/SUM($A2761:$C2761)</f>
        <v>0.470007838356039</v>
      </c>
      <c r="F2761" s="0" t="n">
        <f aca="false">C2761/SUM($A2761:$C2761)</f>
        <v>0.0312249482040994</v>
      </c>
      <c r="G2761" s="0" t="n">
        <f aca="false">SUMPRODUCT(D2761:F2761,Stats!$B$6:$D$6)</f>
        <v>0.38266633121911</v>
      </c>
      <c r="H2761" s="0" t="n">
        <f aca="false">SQRT(SUMPRODUCT(MMULT(D2761:F2761,Stats!$B$12:$D$14),D2761:F2761))</f>
        <v>0.228437160548001</v>
      </c>
      <c r="I2761" s="0" t="n">
        <f aca="false">(G2761-Stats!$B$2)/H2761</f>
        <v>1.49129121725152</v>
      </c>
    </row>
    <row r="2762" customFormat="false" ht="15" hidden="false" customHeight="false" outlineLevel="0" collapsed="false">
      <c r="A2762" s="0" t="n">
        <v>0.335557201696657</v>
      </c>
      <c r="B2762" s="0" t="n">
        <v>0.976020157524494</v>
      </c>
      <c r="C2762" s="0" t="n">
        <v>0.873555576227089</v>
      </c>
      <c r="D2762" s="0" t="n">
        <f aca="false">A2762/SUM($A2762:$C2762)</f>
        <v>0.153563747199583</v>
      </c>
      <c r="E2762" s="0" t="n">
        <f aca="false">B2762/SUM($A2762:$C2762)</f>
        <v>0.446663972562512</v>
      </c>
      <c r="F2762" s="0" t="n">
        <f aca="false">C2762/SUM($A2762:$C2762)</f>
        <v>0.399772280237905</v>
      </c>
      <c r="G2762" s="0" t="n">
        <f aca="false">SUMPRODUCT(D2762:F2762,Stats!$B$6:$D$6)</f>
        <v>0.37116060446465</v>
      </c>
      <c r="H2762" s="0" t="n">
        <f aca="false">SQRT(SUMPRODUCT(MMULT(D2762:F2762,Stats!$B$12:$D$14),D2762:F2762))</f>
        <v>0.233983380606032</v>
      </c>
      <c r="I2762" s="0" t="n">
        <f aca="false">(G2762-Stats!$B$2)/H2762</f>
        <v>1.40676916288713</v>
      </c>
    </row>
    <row r="2763" customFormat="false" ht="15" hidden="false" customHeight="false" outlineLevel="0" collapsed="false">
      <c r="A2763" s="0" t="n">
        <v>0.329378067034218</v>
      </c>
      <c r="B2763" s="0" t="n">
        <v>0.587795405066372</v>
      </c>
      <c r="C2763" s="0" t="n">
        <v>0.847296745535494</v>
      </c>
      <c r="D2763" s="0" t="n">
        <f aca="false">A2763/SUM($A2763:$C2763)</f>
        <v>0.186672500188468</v>
      </c>
      <c r="E2763" s="0" t="n">
        <f aca="false">B2763/SUM($A2763:$C2763)</f>
        <v>0.333128549970008</v>
      </c>
      <c r="F2763" s="0" t="n">
        <f aca="false">C2763/SUM($A2763:$C2763)</f>
        <v>0.480198949841525</v>
      </c>
      <c r="G2763" s="0" t="n">
        <f aca="false">SUMPRODUCT(D2763:F2763,Stats!$B$6:$D$6)</f>
        <v>0.362410188714102</v>
      </c>
      <c r="H2763" s="0" t="n">
        <f aca="false">SQRT(SUMPRODUCT(MMULT(D2763:F2763,Stats!$B$12:$D$14),D2763:F2763))</f>
        <v>0.232529055569101</v>
      </c>
      <c r="I2763" s="0" t="n">
        <f aca="false">(G2763-Stats!$B$2)/H2763</f>
        <v>1.37793613761479</v>
      </c>
    </row>
    <row r="2764" customFormat="false" ht="15" hidden="false" customHeight="false" outlineLevel="0" collapsed="false">
      <c r="A2764" s="0" t="n">
        <v>0.441274336750069</v>
      </c>
      <c r="B2764" s="0" t="n">
        <v>0.017957863750151</v>
      </c>
      <c r="C2764" s="0" t="n">
        <v>0.0745104618186401</v>
      </c>
      <c r="D2764" s="0" t="n">
        <f aca="false">A2764/SUM($A2764:$C2764)</f>
        <v>0.82675485379591</v>
      </c>
      <c r="E2764" s="0" t="n">
        <f aca="false">B2764/SUM($A2764:$C2764)</f>
        <v>0.0336451721361986</v>
      </c>
      <c r="F2764" s="0" t="n">
        <f aca="false">C2764/SUM($A2764:$C2764)</f>
        <v>0.139599974067891</v>
      </c>
      <c r="G2764" s="0" t="n">
        <f aca="false">SUMPRODUCT(D2764:F2764,Stats!$B$6:$D$6)</f>
        <v>0.354570188523001</v>
      </c>
      <c r="H2764" s="0" t="n">
        <f aca="false">SQRT(SUMPRODUCT(MMULT(D2764:F2764,Stats!$B$12:$D$14),D2764:F2764))</f>
        <v>0.225098871539193</v>
      </c>
      <c r="I2764" s="0" t="n">
        <f aca="false">(G2764-Stats!$B$2)/H2764</f>
        <v>1.38859065079133</v>
      </c>
    </row>
    <row r="2765" customFormat="false" ht="15" hidden="false" customHeight="false" outlineLevel="0" collapsed="false">
      <c r="A2765" s="0" t="n">
        <v>0.510392721348707</v>
      </c>
      <c r="B2765" s="0" t="n">
        <v>0.969439375675878</v>
      </c>
      <c r="C2765" s="0" t="n">
        <v>0.693209542218868</v>
      </c>
      <c r="D2765" s="0" t="n">
        <f aca="false">A2765/SUM($A2765:$C2765)</f>
        <v>0.234874800432449</v>
      </c>
      <c r="E2765" s="0" t="n">
        <f aca="false">B2765/SUM($A2765:$C2765)</f>
        <v>0.446120938581458</v>
      </c>
      <c r="F2765" s="0" t="n">
        <f aca="false">C2765/SUM($A2765:$C2765)</f>
        <v>0.319004260986094</v>
      </c>
      <c r="G2765" s="0" t="n">
        <f aca="false">SUMPRODUCT(D2765:F2765,Stats!$B$6:$D$6)</f>
        <v>0.37335650605807</v>
      </c>
      <c r="H2765" s="0" t="n">
        <f aca="false">SQRT(SUMPRODUCT(MMULT(D2765:F2765,Stats!$B$12:$D$14),D2765:F2765))</f>
        <v>0.230435334030077</v>
      </c>
      <c r="I2765" s="0" t="n">
        <f aca="false">(G2765-Stats!$B$2)/H2765</f>
        <v>1.43795875512225</v>
      </c>
    </row>
    <row r="2766" customFormat="false" ht="15" hidden="false" customHeight="false" outlineLevel="0" collapsed="false">
      <c r="A2766" s="0" t="n">
        <v>0.0709161914385695</v>
      </c>
      <c r="B2766" s="0" t="n">
        <v>0.189360875791863</v>
      </c>
      <c r="C2766" s="0" t="n">
        <v>0.77132314321685</v>
      </c>
      <c r="D2766" s="0" t="n">
        <f aca="false">A2766/SUM($A2766:$C2766)</f>
        <v>0.068743870658791</v>
      </c>
      <c r="E2766" s="0" t="n">
        <f aca="false">B2766/SUM($A2766:$C2766)</f>
        <v>0.183560330711603</v>
      </c>
      <c r="F2766" s="0" t="n">
        <f aca="false">C2766/SUM($A2766:$C2766)</f>
        <v>0.747695798629606</v>
      </c>
      <c r="G2766" s="0" t="n">
        <f aca="false">SUMPRODUCT(D2766:F2766,Stats!$B$6:$D$6)</f>
        <v>0.346428104239698</v>
      </c>
      <c r="H2766" s="0" t="n">
        <f aca="false">SQRT(SUMPRODUCT(MMULT(D2766:F2766,Stats!$B$12:$D$14),D2766:F2766))</f>
        <v>0.244334529114649</v>
      </c>
      <c r="I2766" s="0" t="n">
        <f aca="false">(G2766-Stats!$B$2)/H2766</f>
        <v>1.24594794416819</v>
      </c>
    </row>
    <row r="2767" customFormat="false" ht="15" hidden="false" customHeight="false" outlineLevel="0" collapsed="false">
      <c r="A2767" s="0" t="n">
        <v>0.841439759956245</v>
      </c>
      <c r="B2767" s="0" t="n">
        <v>0.617694586188591</v>
      </c>
      <c r="C2767" s="0" t="n">
        <v>0.644423169629817</v>
      </c>
      <c r="D2767" s="0" t="n">
        <f aca="false">A2767/SUM($A2767:$C2767)</f>
        <v>0.400007964434658</v>
      </c>
      <c r="E2767" s="0" t="n">
        <f aca="false">B2767/SUM($A2767:$C2767)</f>
        <v>0.293642831991271</v>
      </c>
      <c r="F2767" s="0" t="n">
        <f aca="false">C2767/SUM($A2767:$C2767)</f>
        <v>0.306349203574071</v>
      </c>
      <c r="G2767" s="0" t="n">
        <f aca="false">SUMPRODUCT(D2767:F2767,Stats!$B$6:$D$6)</f>
        <v>0.364932071494168</v>
      </c>
      <c r="H2767" s="0" t="n">
        <f aca="false">SQRT(SUMPRODUCT(MMULT(D2767:F2767,Stats!$B$12:$D$14),D2767:F2767))</f>
        <v>0.22441793854061</v>
      </c>
      <c r="I2767" s="0" t="n">
        <f aca="false">(G2767-Stats!$B$2)/H2767</f>
        <v>1.43897619590571</v>
      </c>
    </row>
    <row r="2768" customFormat="false" ht="15" hidden="false" customHeight="false" outlineLevel="0" collapsed="false">
      <c r="A2768" s="0" t="n">
        <v>0.0283374503833846</v>
      </c>
      <c r="B2768" s="0" t="n">
        <v>0.828530259581509</v>
      </c>
      <c r="C2768" s="0" t="n">
        <v>0.78827520817083</v>
      </c>
      <c r="D2768" s="0" t="n">
        <f aca="false">A2768/SUM($A2768:$C2768)</f>
        <v>0.0172249171005135</v>
      </c>
      <c r="E2768" s="0" t="n">
        <f aca="false">B2768/SUM($A2768:$C2768)</f>
        <v>0.503622056447472</v>
      </c>
      <c r="F2768" s="0" t="n">
        <f aca="false">C2768/SUM($A2768:$C2768)</f>
        <v>0.479153026452014</v>
      </c>
      <c r="G2768" s="0" t="n">
        <f aca="false">SUMPRODUCT(D2768:F2768,Stats!$B$6:$D$6)</f>
        <v>0.372249005346571</v>
      </c>
      <c r="H2768" s="0" t="n">
        <f aca="false">SQRT(SUMPRODUCT(MMULT(D2768:F2768,Stats!$B$12:$D$14),D2768:F2768))</f>
        <v>0.242132670577957</v>
      </c>
      <c r="I2768" s="0" t="n">
        <f aca="false">(G2768-Stats!$B$2)/H2768</f>
        <v>1.36391757691469</v>
      </c>
    </row>
    <row r="2769" customFormat="false" ht="15" hidden="false" customHeight="false" outlineLevel="0" collapsed="false">
      <c r="A2769" s="0" t="n">
        <v>0.259035144103347</v>
      </c>
      <c r="B2769" s="0" t="n">
        <v>0.708676719965507</v>
      </c>
      <c r="C2769" s="0" t="n">
        <v>0.214854606424998</v>
      </c>
      <c r="D2769" s="0" t="n">
        <f aca="false">A2769/SUM($A2769:$C2769)</f>
        <v>0.219044891400626</v>
      </c>
      <c r="E2769" s="0" t="n">
        <f aca="false">B2769/SUM($A2769:$C2769)</f>
        <v>0.599270094026559</v>
      </c>
      <c r="F2769" s="0" t="n">
        <f aca="false">C2769/SUM($A2769:$C2769)</f>
        <v>0.181685014572815</v>
      </c>
      <c r="G2769" s="0" t="n">
        <f aca="false">SUMPRODUCT(D2769:F2769,Stats!$B$6:$D$6)</f>
        <v>0.385955035649395</v>
      </c>
      <c r="H2769" s="0" t="n">
        <f aca="false">SQRT(SUMPRODUCT(MMULT(D2769:F2769,Stats!$B$12:$D$14),D2769:F2769))</f>
        <v>0.233759042165116</v>
      </c>
      <c r="I2769" s="0" t="n">
        <f aca="false">(G2769-Stats!$B$2)/H2769</f>
        <v>1.47140847457119</v>
      </c>
    </row>
    <row r="2770" customFormat="false" ht="15" hidden="false" customHeight="false" outlineLevel="0" collapsed="false">
      <c r="A2770" s="0" t="n">
        <v>0.040330161051513</v>
      </c>
      <c r="B2770" s="0" t="n">
        <v>0.201136542590377</v>
      </c>
      <c r="C2770" s="0" t="n">
        <v>0.1786288767543</v>
      </c>
      <c r="D2770" s="0" t="n">
        <f aca="false">A2770/SUM($A2770:$C2770)</f>
        <v>0.0960023454983217</v>
      </c>
      <c r="E2770" s="0" t="n">
        <f aca="false">B2770/SUM($A2770:$C2770)</f>
        <v>0.478787571153895</v>
      </c>
      <c r="F2770" s="0" t="n">
        <f aca="false">C2770/SUM($A2770:$C2770)</f>
        <v>0.425210083347784</v>
      </c>
      <c r="G2770" s="0" t="n">
        <f aca="false">SUMPRODUCT(D2770:F2770,Stats!$B$6:$D$6)</f>
        <v>0.372307517113976</v>
      </c>
      <c r="H2770" s="0" t="n">
        <f aca="false">SQRT(SUMPRODUCT(MMULT(D2770:F2770,Stats!$B$12:$D$14),D2770:F2770))</f>
        <v>0.237169512807038</v>
      </c>
      <c r="I2770" s="0" t="n">
        <f aca="false">(G2770-Stats!$B$2)/H2770</f>
        <v>1.39270647902674</v>
      </c>
    </row>
    <row r="2771" customFormat="false" ht="15" hidden="false" customHeight="false" outlineLevel="0" collapsed="false">
      <c r="A2771" s="0" t="n">
        <v>0.337747996734847</v>
      </c>
      <c r="B2771" s="0" t="n">
        <v>0.418449497175458</v>
      </c>
      <c r="C2771" s="0" t="n">
        <v>0.508538891497708</v>
      </c>
      <c r="D2771" s="0" t="n">
        <f aca="false">A2771/SUM($A2771:$C2771)</f>
        <v>0.267050114657599</v>
      </c>
      <c r="E2771" s="0" t="n">
        <f aca="false">B2771/SUM($A2771:$C2771)</f>
        <v>0.330859064389504</v>
      </c>
      <c r="F2771" s="0" t="n">
        <f aca="false">C2771/SUM($A2771:$C2771)</f>
        <v>0.402090820952897</v>
      </c>
      <c r="G2771" s="0" t="n">
        <f aca="false">SUMPRODUCT(D2771:F2771,Stats!$B$6:$D$6)</f>
        <v>0.364433407063276</v>
      </c>
      <c r="H2771" s="0" t="n">
        <f aca="false">SQRT(SUMPRODUCT(MMULT(D2771:F2771,Stats!$B$12:$D$14),D2771:F2771))</f>
        <v>0.228629036888959</v>
      </c>
      <c r="I2771" s="0" t="n">
        <f aca="false">(G2771-Stats!$B$2)/H2771</f>
        <v>1.41029071132323</v>
      </c>
    </row>
    <row r="2772" customFormat="false" ht="15" hidden="false" customHeight="false" outlineLevel="0" collapsed="false">
      <c r="A2772" s="0" t="n">
        <v>0.476753875508328</v>
      </c>
      <c r="B2772" s="0" t="n">
        <v>0.270674605965289</v>
      </c>
      <c r="C2772" s="0" t="n">
        <v>0.0291706685740745</v>
      </c>
      <c r="D2772" s="0" t="n">
        <f aca="false">A2772/SUM($A2772:$C2772)</f>
        <v>0.613899558709342</v>
      </c>
      <c r="E2772" s="0" t="n">
        <f aca="false">B2772/SUM($A2772:$C2772)</f>
        <v>0.348538375233435</v>
      </c>
      <c r="F2772" s="0" t="n">
        <f aca="false">C2772/SUM($A2772:$C2772)</f>
        <v>0.0375620660572228</v>
      </c>
      <c r="G2772" s="0" t="n">
        <f aca="false">SUMPRODUCT(D2772:F2772,Stats!$B$6:$D$6)</f>
        <v>0.375502391938469</v>
      </c>
      <c r="H2772" s="0" t="n">
        <f aca="false">SQRT(SUMPRODUCT(MMULT(D2772:F2772,Stats!$B$12:$D$14),D2772:F2772))</f>
        <v>0.226472395824491</v>
      </c>
      <c r="I2772" s="0" t="n">
        <f aca="false">(G2772-Stats!$B$2)/H2772</f>
        <v>1.47259621078466</v>
      </c>
    </row>
    <row r="2773" customFormat="false" ht="15" hidden="false" customHeight="false" outlineLevel="0" collapsed="false">
      <c r="A2773" s="0" t="n">
        <v>0.605101622237151</v>
      </c>
      <c r="B2773" s="0" t="n">
        <v>0.395744829847354</v>
      </c>
      <c r="C2773" s="0" t="n">
        <v>0.29867215738755</v>
      </c>
      <c r="D2773" s="0" t="n">
        <f aca="false">A2773/SUM($A2773:$C2773)</f>
        <v>0.465635211244093</v>
      </c>
      <c r="E2773" s="0" t="n">
        <f aca="false">B2773/SUM($A2773:$C2773)</f>
        <v>0.304531868157033</v>
      </c>
      <c r="F2773" s="0" t="n">
        <f aca="false">C2773/SUM($A2773:$C2773)</f>
        <v>0.229832920598874</v>
      </c>
      <c r="G2773" s="0" t="n">
        <f aca="false">SUMPRODUCT(D2773:F2773,Stats!$B$6:$D$6)</f>
        <v>0.367668519615073</v>
      </c>
      <c r="H2773" s="0" t="n">
        <f aca="false">SQRT(SUMPRODUCT(MMULT(D2773:F2773,Stats!$B$12:$D$14),D2773:F2773))</f>
        <v>0.223711033945594</v>
      </c>
      <c r="I2773" s="0" t="n">
        <f aca="false">(G2773-Stats!$B$2)/H2773</f>
        <v>1.45575528337273</v>
      </c>
    </row>
    <row r="2774" customFormat="false" ht="15" hidden="false" customHeight="false" outlineLevel="0" collapsed="false">
      <c r="A2774" s="0" t="n">
        <v>0.866941042830512</v>
      </c>
      <c r="B2774" s="0" t="n">
        <v>0.74674330779816</v>
      </c>
      <c r="C2774" s="0" t="n">
        <v>0.857765548372442</v>
      </c>
      <c r="D2774" s="0" t="n">
        <f aca="false">A2774/SUM($A2774:$C2774)</f>
        <v>0.350782365922491</v>
      </c>
      <c r="E2774" s="0" t="n">
        <f aca="false">B2774/SUM($A2774:$C2774)</f>
        <v>0.302147863932007</v>
      </c>
      <c r="F2774" s="0" t="n">
        <f aca="false">C2774/SUM($A2774:$C2774)</f>
        <v>0.347069770145503</v>
      </c>
      <c r="G2774" s="0" t="n">
        <f aca="false">SUMPRODUCT(D2774:F2774,Stats!$B$6:$D$6)</f>
        <v>0.364298586062936</v>
      </c>
      <c r="H2774" s="0" t="n">
        <f aca="false">SQRT(SUMPRODUCT(MMULT(D2774:F2774,Stats!$B$12:$D$14),D2774:F2774))</f>
        <v>0.225653395357282</v>
      </c>
      <c r="I2774" s="0" t="n">
        <f aca="false">(G2774-Stats!$B$2)/H2774</f>
        <v>1.4282904343302</v>
      </c>
    </row>
    <row r="2775" customFormat="false" ht="15" hidden="false" customHeight="false" outlineLevel="0" collapsed="false">
      <c r="A2775" s="0" t="n">
        <v>0.494982794712461</v>
      </c>
      <c r="B2775" s="0" t="n">
        <v>0.130931252126778</v>
      </c>
      <c r="C2775" s="0" t="n">
        <v>0.696221436121272</v>
      </c>
      <c r="D2775" s="0" t="n">
        <f aca="false">A2775/SUM($A2775:$C2775)</f>
        <v>0.374381295329962</v>
      </c>
      <c r="E2775" s="0" t="n">
        <f aca="false">B2775/SUM($A2775:$C2775)</f>
        <v>0.0990301325501058</v>
      </c>
      <c r="F2775" s="0" t="n">
        <f aca="false">C2775/SUM($A2775:$C2775)</f>
        <v>0.526588572119932</v>
      </c>
      <c r="G2775" s="0" t="n">
        <f aca="false">SUMPRODUCT(D2775:F2775,Stats!$B$6:$D$6)</f>
        <v>0.347661292771474</v>
      </c>
      <c r="H2775" s="0" t="n">
        <f aca="false">SQRT(SUMPRODUCT(MMULT(D2775:F2775,Stats!$B$12:$D$14),D2775:F2775))</f>
        <v>0.226280725824435</v>
      </c>
      <c r="I2775" s="0" t="n">
        <f aca="false">(G2775-Stats!$B$2)/H2775</f>
        <v>1.35080569349344</v>
      </c>
    </row>
    <row r="2776" customFormat="false" ht="15" hidden="false" customHeight="false" outlineLevel="0" collapsed="false">
      <c r="A2776" s="0" t="n">
        <v>0.206073779937175</v>
      </c>
      <c r="B2776" s="0" t="n">
        <v>0.441229669091717</v>
      </c>
      <c r="C2776" s="0" t="n">
        <v>0.0650007889488885</v>
      </c>
      <c r="D2776" s="0" t="n">
        <f aca="false">A2776/SUM($A2776:$C2776)</f>
        <v>0.289305845662543</v>
      </c>
      <c r="E2776" s="0" t="n">
        <f aca="false">B2776/SUM($A2776:$C2776)</f>
        <v>0.619439904421122</v>
      </c>
      <c r="F2776" s="0" t="n">
        <f aca="false">C2776/SUM($A2776:$C2776)</f>
        <v>0.0912542499163344</v>
      </c>
      <c r="G2776" s="0" t="n">
        <f aca="false">SUMPRODUCT(D2776:F2776,Stats!$B$6:$D$6)</f>
        <v>0.389609173988125</v>
      </c>
      <c r="H2776" s="0" t="n">
        <f aca="false">SQRT(SUMPRODUCT(MMULT(D2776:F2776,Stats!$B$12:$D$14),D2776:F2776))</f>
        <v>0.23322867540237</v>
      </c>
      <c r="I2776" s="0" t="n">
        <f aca="false">(G2776-Stats!$B$2)/H2776</f>
        <v>1.4904221077808</v>
      </c>
    </row>
    <row r="2777" customFormat="false" ht="15" hidden="false" customHeight="false" outlineLevel="0" collapsed="false">
      <c r="A2777" s="0" t="n">
        <v>0.825308402422982</v>
      </c>
      <c r="B2777" s="0" t="n">
        <v>0.125940641047501</v>
      </c>
      <c r="C2777" s="0" t="n">
        <v>0.90309750704931</v>
      </c>
      <c r="D2777" s="0" t="n">
        <f aca="false">A2777/SUM($A2777:$C2777)</f>
        <v>0.445066970999374</v>
      </c>
      <c r="E2777" s="0" t="n">
        <f aca="false">B2777/SUM($A2777:$C2777)</f>
        <v>0.0679164533793309</v>
      </c>
      <c r="F2777" s="0" t="n">
        <f aca="false">C2777/SUM($A2777:$C2777)</f>
        <v>0.487016575621295</v>
      </c>
      <c r="G2777" s="0" t="n">
        <f aca="false">SUMPRODUCT(D2777:F2777,Stats!$B$6:$D$6)</f>
        <v>0.346962234524894</v>
      </c>
      <c r="H2777" s="0" t="n">
        <f aca="false">SQRT(SUMPRODUCT(MMULT(D2777:F2777,Stats!$B$12:$D$14),D2777:F2777))</f>
        <v>0.224098699896661</v>
      </c>
      <c r="I2777" s="0" t="n">
        <f aca="false">(G2777-Stats!$B$2)/H2777</f>
        <v>1.36083892796131</v>
      </c>
    </row>
    <row r="2778" customFormat="false" ht="15" hidden="false" customHeight="false" outlineLevel="0" collapsed="false">
      <c r="A2778" s="0" t="n">
        <v>0.864230602261557</v>
      </c>
      <c r="B2778" s="0" t="n">
        <v>0.464582764439246</v>
      </c>
      <c r="C2778" s="0" t="n">
        <v>0.744368204303991</v>
      </c>
      <c r="D2778" s="0" t="n">
        <f aca="false">A2778/SUM($A2778:$C2778)</f>
        <v>0.416861993348077</v>
      </c>
      <c r="E2778" s="0" t="n">
        <f aca="false">B2778/SUM($A2778:$C2778)</f>
        <v>0.224091691213558</v>
      </c>
      <c r="F2778" s="0" t="n">
        <f aca="false">C2778/SUM($A2778:$C2778)</f>
        <v>0.359046315438364</v>
      </c>
      <c r="G2778" s="0" t="n">
        <f aca="false">SUMPRODUCT(D2778:F2778,Stats!$B$6:$D$6)</f>
        <v>0.359477086280815</v>
      </c>
      <c r="H2778" s="0" t="n">
        <f aca="false">SQRT(SUMPRODUCT(MMULT(D2778:F2778,Stats!$B$12:$D$14),D2778:F2778))</f>
        <v>0.223746787411408</v>
      </c>
      <c r="I2778" s="0" t="n">
        <f aca="false">(G2778-Stats!$B$2)/H2778</f>
        <v>1.41891237838005</v>
      </c>
    </row>
    <row r="2779" customFormat="false" ht="15" hidden="false" customHeight="false" outlineLevel="0" collapsed="false">
      <c r="A2779" s="0" t="n">
        <v>0.619445073818153</v>
      </c>
      <c r="B2779" s="0" t="n">
        <v>0.803075642337745</v>
      </c>
      <c r="C2779" s="0" t="n">
        <v>0.431805100785912</v>
      </c>
      <c r="D2779" s="0" t="n">
        <f aca="false">A2779/SUM($A2779:$C2779)</f>
        <v>0.3340540632928</v>
      </c>
      <c r="E2779" s="0" t="n">
        <f aca="false">B2779/SUM($A2779:$C2779)</f>
        <v>0.43308227443125</v>
      </c>
      <c r="F2779" s="0" t="n">
        <f aca="false">C2779/SUM($A2779:$C2779)</f>
        <v>0.23286366227595</v>
      </c>
      <c r="G2779" s="0" t="n">
        <f aca="false">SUMPRODUCT(D2779:F2779,Stats!$B$6:$D$6)</f>
        <v>0.374981572076496</v>
      </c>
      <c r="H2779" s="0" t="n">
        <f aca="false">SQRT(SUMPRODUCT(MMULT(D2779:F2779,Stats!$B$12:$D$14),D2779:F2779))</f>
        <v>0.227524447846794</v>
      </c>
      <c r="I2779" s="0" t="n">
        <f aca="false">(G2779-Stats!$B$2)/H2779</f>
        <v>1.46349798989827</v>
      </c>
    </row>
    <row r="2780" customFormat="false" ht="15" hidden="false" customHeight="false" outlineLevel="0" collapsed="false">
      <c r="A2780" s="0" t="n">
        <v>0.78580848424435</v>
      </c>
      <c r="B2780" s="0" t="n">
        <v>0.462456817065148</v>
      </c>
      <c r="C2780" s="0" t="n">
        <v>0.940965787842794</v>
      </c>
      <c r="D2780" s="0" t="n">
        <f aca="false">A2780/SUM($A2780:$C2780)</f>
        <v>0.358942684551693</v>
      </c>
      <c r="E2780" s="0" t="n">
        <f aca="false">B2780/SUM($A2780:$C2780)</f>
        <v>0.211241663503061</v>
      </c>
      <c r="F2780" s="0" t="n">
        <f aca="false">C2780/SUM($A2780:$C2780)</f>
        <v>0.429815651945246</v>
      </c>
      <c r="G2780" s="0" t="n">
        <f aca="false">SUMPRODUCT(D2780:F2780,Stats!$B$6:$D$6)</f>
        <v>0.356786275082959</v>
      </c>
      <c r="H2780" s="0" t="n">
        <f aca="false">SQRT(SUMPRODUCT(MMULT(D2780:F2780,Stats!$B$12:$D$14),D2780:F2780))</f>
        <v>0.225493697146441</v>
      </c>
      <c r="I2780" s="0" t="n">
        <f aca="false">(G2780-Stats!$B$2)/H2780</f>
        <v>1.39598702343565</v>
      </c>
    </row>
    <row r="2781" customFormat="false" ht="15" hidden="false" customHeight="false" outlineLevel="0" collapsed="false">
      <c r="A2781" s="0" t="n">
        <v>0.486372100825148</v>
      </c>
      <c r="B2781" s="0" t="n">
        <v>0.46261927193373</v>
      </c>
      <c r="C2781" s="0" t="n">
        <v>0.785071861563513</v>
      </c>
      <c r="D2781" s="0" t="n">
        <f aca="false">A2781/SUM($A2781:$C2781)</f>
        <v>0.280481179231739</v>
      </c>
      <c r="E2781" s="0" t="n">
        <f aca="false">B2781/SUM($A2781:$C2781)</f>
        <v>0.266783392195328</v>
      </c>
      <c r="F2781" s="0" t="n">
        <f aca="false">C2781/SUM($A2781:$C2781)</f>
        <v>0.452735428572933</v>
      </c>
      <c r="G2781" s="0" t="n">
        <f aca="false">SUMPRODUCT(D2781:F2781,Stats!$B$6:$D$6)</f>
        <v>0.359350070240561</v>
      </c>
      <c r="H2781" s="0" t="n">
        <f aca="false">SQRT(SUMPRODUCT(MMULT(D2781:F2781,Stats!$B$12:$D$14),D2781:F2781))</f>
        <v>0.228294248468422</v>
      </c>
      <c r="I2781" s="0" t="n">
        <f aca="false">(G2781-Stats!$B$2)/H2781</f>
        <v>1.39009227069712</v>
      </c>
    </row>
    <row r="2782" customFormat="false" ht="15" hidden="false" customHeight="false" outlineLevel="0" collapsed="false">
      <c r="A2782" s="0" t="n">
        <v>0.821577691760838</v>
      </c>
      <c r="B2782" s="0" t="n">
        <v>0.554489114321171</v>
      </c>
      <c r="C2782" s="0" t="n">
        <v>0.179797813495075</v>
      </c>
      <c r="D2782" s="0" t="n">
        <f aca="false">A2782/SUM($A2782:$C2782)</f>
        <v>0.528052172035482</v>
      </c>
      <c r="E2782" s="0" t="n">
        <f aca="false">B2782/SUM($A2782:$C2782)</f>
        <v>0.356386479481674</v>
      </c>
      <c r="F2782" s="0" t="n">
        <f aca="false">C2782/SUM($A2782:$C2782)</f>
        <v>0.115561348482844</v>
      </c>
      <c r="G2782" s="0" t="n">
        <f aca="false">SUMPRODUCT(D2782:F2782,Stats!$B$6:$D$6)</f>
        <v>0.373803161486525</v>
      </c>
      <c r="H2782" s="0" t="n">
        <f aca="false">SQRT(SUMPRODUCT(MMULT(D2782:F2782,Stats!$B$12:$D$14),D2782:F2782))</f>
        <v>0.225039299414273</v>
      </c>
      <c r="I2782" s="0" t="n">
        <f aca="false">(G2782-Stats!$B$2)/H2782</f>
        <v>1.47442318897248</v>
      </c>
    </row>
    <row r="2783" customFormat="false" ht="15" hidden="false" customHeight="false" outlineLevel="0" collapsed="false">
      <c r="A2783" s="0" t="n">
        <v>0.46775823095758</v>
      </c>
      <c r="B2783" s="0" t="n">
        <v>0.968072502909678</v>
      </c>
      <c r="C2783" s="0" t="n">
        <v>0.752986193039185</v>
      </c>
      <c r="D2783" s="0" t="n">
        <f aca="false">A2783/SUM($A2783:$C2783)</f>
        <v>0.213703679466096</v>
      </c>
      <c r="E2783" s="0" t="n">
        <f aca="false">B2783/SUM($A2783:$C2783)</f>
        <v>0.442281166144809</v>
      </c>
      <c r="F2783" s="0" t="n">
        <f aca="false">C2783/SUM($A2783:$C2783)</f>
        <v>0.344015154389095</v>
      </c>
      <c r="G2783" s="0" t="n">
        <f aca="false">SUMPRODUCT(D2783:F2783,Stats!$B$6:$D$6)</f>
        <v>0.372445904755893</v>
      </c>
      <c r="H2783" s="0" t="n">
        <f aca="false">SQRT(SUMPRODUCT(MMULT(D2783:F2783,Stats!$B$12:$D$14),D2783:F2783))</f>
        <v>0.23121204334767</v>
      </c>
      <c r="I2783" s="0" t="n">
        <f aca="false">(G2783-Stats!$B$2)/H2783</f>
        <v>1.42918984656438</v>
      </c>
    </row>
    <row r="2784" customFormat="false" ht="15" hidden="false" customHeight="false" outlineLevel="0" collapsed="false">
      <c r="A2784" s="0" t="n">
        <v>0.811162603879132</v>
      </c>
      <c r="B2784" s="0" t="n">
        <v>0.0328254988192401</v>
      </c>
      <c r="C2784" s="0" t="n">
        <v>0.46785946263416</v>
      </c>
      <c r="D2784" s="0" t="n">
        <f aca="false">A2784/SUM($A2784:$C2784)</f>
        <v>0.618336021131781</v>
      </c>
      <c r="E2784" s="0" t="n">
        <f aca="false">B2784/SUM($A2784:$C2784)</f>
        <v>0.0250223422954781</v>
      </c>
      <c r="F2784" s="0" t="n">
        <f aca="false">C2784/SUM($A2784:$C2784)</f>
        <v>0.356641636572741</v>
      </c>
      <c r="G2784" s="0" t="n">
        <f aca="false">SUMPRODUCT(D2784:F2784,Stats!$B$6:$D$6)</f>
        <v>0.348089201689317</v>
      </c>
      <c r="H2784" s="0" t="n">
        <f aca="false">SQRT(SUMPRODUCT(MMULT(D2784:F2784,Stats!$B$12:$D$14),D2784:F2784))</f>
        <v>0.221341555120867</v>
      </c>
      <c r="I2784" s="0" t="n">
        <f aca="false">(G2784-Stats!$B$2)/H2784</f>
        <v>1.38288177076452</v>
      </c>
    </row>
    <row r="2785" customFormat="false" ht="15" hidden="false" customHeight="false" outlineLevel="0" collapsed="false">
      <c r="A2785" s="0" t="n">
        <v>0.646621133657555</v>
      </c>
      <c r="B2785" s="0" t="n">
        <v>0.830032683628075</v>
      </c>
      <c r="C2785" s="0" t="n">
        <v>0.0492736535827715</v>
      </c>
      <c r="D2785" s="0" t="n">
        <f aca="false">A2785/SUM($A2785:$C2785)</f>
        <v>0.423756139136525</v>
      </c>
      <c r="E2785" s="0" t="n">
        <f aca="false">B2785/SUM($A2785:$C2785)</f>
        <v>0.543952906985615</v>
      </c>
      <c r="F2785" s="0" t="n">
        <f aca="false">C2785/SUM($A2785:$C2785)</f>
        <v>0.0322909538778602</v>
      </c>
      <c r="G2785" s="0" t="n">
        <f aca="false">SUMPRODUCT(D2785:F2785,Stats!$B$6:$D$6)</f>
        <v>0.38689164006638</v>
      </c>
      <c r="H2785" s="0" t="n">
        <f aca="false">SQRT(SUMPRODUCT(MMULT(D2785:F2785,Stats!$B$12:$D$14),D2785:F2785))</f>
        <v>0.230376831363088</v>
      </c>
      <c r="I2785" s="0" t="n">
        <f aca="false">(G2785-Stats!$B$2)/H2785</f>
        <v>1.49707606457531</v>
      </c>
    </row>
    <row r="2786" customFormat="false" ht="15" hidden="false" customHeight="false" outlineLevel="0" collapsed="false">
      <c r="A2786" s="0" t="n">
        <v>0.852438885641873</v>
      </c>
      <c r="B2786" s="0" t="n">
        <v>0.548400936741912</v>
      </c>
      <c r="C2786" s="0" t="n">
        <v>0.19731397057606</v>
      </c>
      <c r="D2786" s="0" t="n">
        <f aca="false">A2786/SUM($A2786:$C2786)</f>
        <v>0.533389770995145</v>
      </c>
      <c r="E2786" s="0" t="n">
        <f aca="false">B2786/SUM($A2786:$C2786)</f>
        <v>0.343146535181856</v>
      </c>
      <c r="F2786" s="0" t="n">
        <f aca="false">C2786/SUM($A2786:$C2786)</f>
        <v>0.123463693823</v>
      </c>
      <c r="G2786" s="0" t="n">
        <f aca="false">SUMPRODUCT(D2786:F2786,Stats!$B$6:$D$6)</f>
        <v>0.372823448094285</v>
      </c>
      <c r="H2786" s="0" t="n">
        <f aca="false">SQRT(SUMPRODUCT(MMULT(D2786:F2786,Stats!$B$12:$D$14),D2786:F2786))</f>
        <v>0.224733873274257</v>
      </c>
      <c r="I2786" s="0" t="n">
        <f aca="false">(G2786-Stats!$B$2)/H2786</f>
        <v>1.47206757608169</v>
      </c>
    </row>
    <row r="2787" customFormat="false" ht="15" hidden="false" customHeight="false" outlineLevel="0" collapsed="false">
      <c r="A2787" s="0" t="n">
        <v>0.3172552164497</v>
      </c>
      <c r="B2787" s="0" t="n">
        <v>0.281929551751561</v>
      </c>
      <c r="C2787" s="0" t="n">
        <v>0.530859034288476</v>
      </c>
      <c r="D2787" s="0" t="n">
        <f aca="false">A2787/SUM($A2787:$C2787)</f>
        <v>0.280745946086972</v>
      </c>
      <c r="E2787" s="0" t="n">
        <f aca="false">B2787/SUM($A2787:$C2787)</f>
        <v>0.249485507668294</v>
      </c>
      <c r="F2787" s="0" t="n">
        <f aca="false">C2787/SUM($A2787:$C2787)</f>
        <v>0.469768546244735</v>
      </c>
      <c r="G2787" s="0" t="n">
        <f aca="false">SUMPRODUCT(D2787:F2787,Stats!$B$6:$D$6)</f>
        <v>0.35788509068457</v>
      </c>
      <c r="H2787" s="0" t="n">
        <f aca="false">SQRT(SUMPRODUCT(MMULT(D2787:F2787,Stats!$B$12:$D$14),D2787:F2787))</f>
        <v>0.22842282060871</v>
      </c>
      <c r="I2787" s="0" t="n">
        <f aca="false">(G2787-Stats!$B$2)/H2787</f>
        <v>1.38289637542688</v>
      </c>
    </row>
    <row r="2788" customFormat="false" ht="15" hidden="false" customHeight="false" outlineLevel="0" collapsed="false">
      <c r="A2788" s="0" t="n">
        <v>0.0516856799111318</v>
      </c>
      <c r="B2788" s="0" t="n">
        <v>0.158536158499924</v>
      </c>
      <c r="C2788" s="0" t="n">
        <v>0.812693043375782</v>
      </c>
      <c r="D2788" s="0" t="n">
        <f aca="false">A2788/SUM($A2788:$C2788)</f>
        <v>0.0505278404209417</v>
      </c>
      <c r="E2788" s="0" t="n">
        <f aca="false">B2788/SUM($A2788:$C2788)</f>
        <v>0.154984702366429</v>
      </c>
      <c r="F2788" s="0" t="n">
        <f aca="false">C2788/SUM($A2788:$C2788)</f>
        <v>0.79448745721263</v>
      </c>
      <c r="G2788" s="0" t="n">
        <f aca="false">SUMPRODUCT(D2788:F2788,Stats!$B$6:$D$6)</f>
        <v>0.34349363758102</v>
      </c>
      <c r="H2788" s="0" t="n">
        <f aca="false">SQRT(SUMPRODUCT(MMULT(D2788:F2788,Stats!$B$12:$D$14),D2788:F2788))</f>
        <v>0.247053546582017</v>
      </c>
      <c r="I2788" s="0" t="n">
        <f aca="false">(G2788-Stats!$B$2)/H2788</f>
        <v>1.22035745591262</v>
      </c>
    </row>
    <row r="2789" customFormat="false" ht="15" hidden="false" customHeight="false" outlineLevel="0" collapsed="false">
      <c r="A2789" s="0" t="n">
        <v>0.132603990746811</v>
      </c>
      <c r="B2789" s="0" t="n">
        <v>0.233396269458127</v>
      </c>
      <c r="C2789" s="0" t="n">
        <v>0.453370605604157</v>
      </c>
      <c r="D2789" s="0" t="n">
        <f aca="false">A2789/SUM($A2789:$C2789)</f>
        <v>0.161836350644308</v>
      </c>
      <c r="E2789" s="0" t="n">
        <f aca="false">B2789/SUM($A2789:$C2789)</f>
        <v>0.284848142882964</v>
      </c>
      <c r="F2789" s="0" t="n">
        <f aca="false">C2789/SUM($A2789:$C2789)</f>
        <v>0.553315506472728</v>
      </c>
      <c r="G2789" s="0" t="n">
        <f aca="false">SUMPRODUCT(D2789:F2789,Stats!$B$6:$D$6)</f>
        <v>0.357616035651423</v>
      </c>
      <c r="H2789" s="0" t="n">
        <f aca="false">SQRT(SUMPRODUCT(MMULT(D2789:F2789,Stats!$B$12:$D$14),D2789:F2789))</f>
        <v>0.23460136104582</v>
      </c>
      <c r="I2789" s="0" t="n">
        <f aca="false">(G2789-Stats!$B$2)/H2789</f>
        <v>1.34532909035332</v>
      </c>
    </row>
    <row r="2790" customFormat="false" ht="15" hidden="false" customHeight="false" outlineLevel="0" collapsed="false">
      <c r="A2790" s="0" t="n">
        <v>0.517120888113331</v>
      </c>
      <c r="B2790" s="0" t="n">
        <v>0.763610479614159</v>
      </c>
      <c r="C2790" s="0" t="n">
        <v>0.447332426666188</v>
      </c>
      <c r="D2790" s="0" t="n">
        <f aca="false">A2790/SUM($A2790:$C2790)</f>
        <v>0.299248725533754</v>
      </c>
      <c r="E2790" s="0" t="n">
        <f aca="false">B2790/SUM($A2790:$C2790)</f>
        <v>0.441887899099284</v>
      </c>
      <c r="F2790" s="0" t="n">
        <f aca="false">C2790/SUM($A2790:$C2790)</f>
        <v>0.258863375366962</v>
      </c>
      <c r="G2790" s="0" t="n">
        <f aca="false">SUMPRODUCT(D2790:F2790,Stats!$B$6:$D$6)</f>
        <v>0.374771304234528</v>
      </c>
      <c r="H2790" s="0" t="n">
        <f aca="false">SQRT(SUMPRODUCT(MMULT(D2790:F2790,Stats!$B$12:$D$14),D2790:F2790))</f>
        <v>0.228426786591531</v>
      </c>
      <c r="I2790" s="0" t="n">
        <f aca="false">(G2790-Stats!$B$2)/H2790</f>
        <v>1.45679632936213</v>
      </c>
    </row>
    <row r="2791" customFormat="false" ht="15" hidden="false" customHeight="false" outlineLevel="0" collapsed="false">
      <c r="A2791" s="0" t="n">
        <v>0.789864621035539</v>
      </c>
      <c r="B2791" s="0" t="n">
        <v>0.618346307045458</v>
      </c>
      <c r="C2791" s="0" t="n">
        <v>0.113099739423823</v>
      </c>
      <c r="D2791" s="0" t="n">
        <f aca="false">A2791/SUM($A2791:$C2791)</f>
        <v>0.519200080501005</v>
      </c>
      <c r="E2791" s="0" t="n">
        <f aca="false">B2791/SUM($A2791:$C2791)</f>
        <v>0.406456301302113</v>
      </c>
      <c r="F2791" s="0" t="n">
        <f aca="false">C2791/SUM($A2791:$C2791)</f>
        <v>0.0743436181968824</v>
      </c>
      <c r="G2791" s="0" t="n">
        <f aca="false">SUMPRODUCT(D2791:F2791,Stats!$B$6:$D$6)</f>
        <v>0.377820677289434</v>
      </c>
      <c r="H2791" s="0" t="n">
        <f aca="false">SQRT(SUMPRODUCT(MMULT(D2791:F2791,Stats!$B$12:$D$14),D2791:F2791))</f>
        <v>0.226465212593682</v>
      </c>
      <c r="I2791" s="0" t="n">
        <f aca="false">(G2791-Stats!$B$2)/H2791</f>
        <v>1.48287974759264</v>
      </c>
    </row>
    <row r="2792" customFormat="false" ht="15" hidden="false" customHeight="false" outlineLevel="0" collapsed="false">
      <c r="A2792" s="0" t="n">
        <v>0.156331438392839</v>
      </c>
      <c r="B2792" s="0" t="n">
        <v>0.437033725449771</v>
      </c>
      <c r="C2792" s="0" t="n">
        <v>0.39688939308904</v>
      </c>
      <c r="D2792" s="0" t="n">
        <f aca="false">A2792/SUM($A2792:$C2792)</f>
        <v>0.157869951012636</v>
      </c>
      <c r="E2792" s="0" t="n">
        <f aca="false">B2792/SUM($A2792:$C2792)</f>
        <v>0.44133472791475</v>
      </c>
      <c r="F2792" s="0" t="n">
        <f aca="false">C2792/SUM($A2792:$C2792)</f>
        <v>0.400795321072614</v>
      </c>
      <c r="G2792" s="0" t="n">
        <f aca="false">SUMPRODUCT(D2792:F2792,Stats!$B$6:$D$6)</f>
        <v>0.370825756667589</v>
      </c>
      <c r="H2792" s="0" t="n">
        <f aca="false">SQRT(SUMPRODUCT(MMULT(D2792:F2792,Stats!$B$12:$D$14),D2792:F2792))</f>
        <v>0.233752254337195</v>
      </c>
      <c r="I2792" s="0" t="n">
        <f aca="false">(G2792-Stats!$B$2)/H2792</f>
        <v>1.40672763819958</v>
      </c>
    </row>
    <row r="2793" customFormat="false" ht="15" hidden="false" customHeight="false" outlineLevel="0" collapsed="false">
      <c r="A2793" s="0" t="n">
        <v>0.743544269637295</v>
      </c>
      <c r="B2793" s="0" t="n">
        <v>0.580737139797352</v>
      </c>
      <c r="C2793" s="0" t="n">
        <v>0.388133081002249</v>
      </c>
      <c r="D2793" s="0" t="n">
        <f aca="false">A2793/SUM($A2793:$C2793)</f>
        <v>0.434208115961219</v>
      </c>
      <c r="E2793" s="0" t="n">
        <f aca="false">B2793/SUM($A2793:$C2793)</f>
        <v>0.339133511798996</v>
      </c>
      <c r="F2793" s="0" t="n">
        <f aca="false">C2793/SUM($A2793:$C2793)</f>
        <v>0.226658372239786</v>
      </c>
      <c r="G2793" s="0" t="n">
        <f aca="false">SUMPRODUCT(D2793:F2793,Stats!$B$6:$D$6)</f>
        <v>0.369746990356207</v>
      </c>
      <c r="H2793" s="0" t="n">
        <f aca="false">SQRT(SUMPRODUCT(MMULT(D2793:F2793,Stats!$B$12:$D$14),D2793:F2793))</f>
        <v>0.224500590057701</v>
      </c>
      <c r="I2793" s="0" t="n">
        <f aca="false">(G2793-Stats!$B$2)/H2793</f>
        <v>1.45989367008777</v>
      </c>
    </row>
    <row r="2794" customFormat="false" ht="15" hidden="false" customHeight="false" outlineLevel="0" collapsed="false">
      <c r="A2794" s="0" t="n">
        <v>0.170760283450386</v>
      </c>
      <c r="B2794" s="0" t="n">
        <v>0.226837102325495</v>
      </c>
      <c r="C2794" s="0" t="n">
        <v>0.575501018469059</v>
      </c>
      <c r="D2794" s="0" t="n">
        <f aca="false">A2794/SUM($A2794:$C2794)</f>
        <v>0.175481002440739</v>
      </c>
      <c r="E2794" s="0" t="n">
        <f aca="false">B2794/SUM($A2794:$C2794)</f>
        <v>0.233108081706809</v>
      </c>
      <c r="F2794" s="0" t="n">
        <f aca="false">C2794/SUM($A2794:$C2794)</f>
        <v>0.591410915852452</v>
      </c>
      <c r="G2794" s="0" t="n">
        <f aca="false">SUMPRODUCT(D2794:F2794,Stats!$B$6:$D$6)</f>
        <v>0.353588513235817</v>
      </c>
      <c r="H2794" s="0" t="n">
        <f aca="false">SQRT(SUMPRODUCT(MMULT(D2794:F2794,Stats!$B$12:$D$14),D2794:F2794))</f>
        <v>0.234657008825778</v>
      </c>
      <c r="I2794" s="0" t="n">
        <f aca="false">(G2794-Stats!$B$2)/H2794</f>
        <v>1.32784660809836</v>
      </c>
    </row>
    <row r="2795" customFormat="false" ht="15" hidden="false" customHeight="false" outlineLevel="0" collapsed="false">
      <c r="A2795" s="0" t="n">
        <v>0.423438804899793</v>
      </c>
      <c r="B2795" s="0" t="n">
        <v>0.514927508860672</v>
      </c>
      <c r="C2795" s="0" t="n">
        <v>0.170677435302234</v>
      </c>
      <c r="D2795" s="0" t="n">
        <f aca="false">A2795/SUM($A2795:$C2795)</f>
        <v>0.381805321257759</v>
      </c>
      <c r="E2795" s="0" t="n">
        <f aca="false">B2795/SUM($A2795:$C2795)</f>
        <v>0.464298644030824</v>
      </c>
      <c r="F2795" s="0" t="n">
        <f aca="false">C2795/SUM($A2795:$C2795)</f>
        <v>0.153896034711418</v>
      </c>
      <c r="G2795" s="0" t="n">
        <f aca="false">SUMPRODUCT(D2795:F2795,Stats!$B$6:$D$6)</f>
        <v>0.378955223538244</v>
      </c>
      <c r="H2795" s="0" t="n">
        <f aca="false">SQRT(SUMPRODUCT(MMULT(D2795:F2795,Stats!$B$12:$D$14),D2795:F2795))</f>
        <v>0.22763473024379</v>
      </c>
      <c r="I2795" s="0" t="n">
        <f aca="false">(G2795-Stats!$B$2)/H2795</f>
        <v>1.48024522961578</v>
      </c>
    </row>
    <row r="2796" customFormat="false" ht="15" hidden="false" customHeight="false" outlineLevel="0" collapsed="false">
      <c r="A2796" s="0" t="n">
        <v>0.662906252344566</v>
      </c>
      <c r="B2796" s="0" t="n">
        <v>0.852538740855967</v>
      </c>
      <c r="C2796" s="0" t="n">
        <v>0.257939506786901</v>
      </c>
      <c r="D2796" s="0" t="n">
        <f aca="false">A2796/SUM($A2796:$C2796)</f>
        <v>0.373808529593703</v>
      </c>
      <c r="E2796" s="0" t="n">
        <f aca="false">B2796/SUM($A2796:$C2796)</f>
        <v>0.480741058051431</v>
      </c>
      <c r="F2796" s="0" t="n">
        <f aca="false">C2796/SUM($A2796:$C2796)</f>
        <v>0.145450412354866</v>
      </c>
      <c r="G2796" s="0" t="n">
        <f aca="false">SUMPRODUCT(D2796:F2796,Stats!$B$6:$D$6)</f>
        <v>0.380134183548115</v>
      </c>
      <c r="H2796" s="0" t="n">
        <f aca="false">SQRT(SUMPRODUCT(MMULT(D2796:F2796,Stats!$B$12:$D$14),D2796:F2796))</f>
        <v>0.228136962357273</v>
      </c>
      <c r="I2796" s="0" t="n">
        <f aca="false">(G2796-Stats!$B$2)/H2796</f>
        <v>1.48215431666255</v>
      </c>
    </row>
    <row r="2797" customFormat="false" ht="15" hidden="false" customHeight="false" outlineLevel="0" collapsed="false">
      <c r="A2797" s="0" t="n">
        <v>0.491514225831827</v>
      </c>
      <c r="B2797" s="0" t="n">
        <v>0.975527329020902</v>
      </c>
      <c r="C2797" s="0" t="n">
        <v>0.333241740550728</v>
      </c>
      <c r="D2797" s="0" t="n">
        <f aca="false">A2797/SUM($A2797:$C2797)</f>
        <v>0.273020489101231</v>
      </c>
      <c r="E2797" s="0" t="n">
        <f aca="false">B2797/SUM($A2797:$C2797)</f>
        <v>0.541874343616725</v>
      </c>
      <c r="F2797" s="0" t="n">
        <f aca="false">C2797/SUM($A2797:$C2797)</f>
        <v>0.185105167282045</v>
      </c>
      <c r="G2797" s="0" t="n">
        <f aca="false">SUMPRODUCT(D2797:F2797,Stats!$B$6:$D$6)</f>
        <v>0.382558249061182</v>
      </c>
      <c r="H2797" s="0" t="n">
        <f aca="false">SQRT(SUMPRODUCT(MMULT(D2797:F2797,Stats!$B$12:$D$14),D2797:F2797))</f>
        <v>0.231079300252707</v>
      </c>
      <c r="I2797" s="0" t="n">
        <f aca="false">(G2797-Stats!$B$2)/H2797</f>
        <v>1.47377220152887</v>
      </c>
    </row>
    <row r="2798" customFormat="false" ht="15" hidden="false" customHeight="false" outlineLevel="0" collapsed="false">
      <c r="A2798" s="0" t="n">
        <v>0.595046344923761</v>
      </c>
      <c r="B2798" s="0" t="n">
        <v>0.0901957002002444</v>
      </c>
      <c r="C2798" s="0" t="n">
        <v>0.606015002479443</v>
      </c>
      <c r="D2798" s="0" t="n">
        <f aca="false">A2798/SUM($A2798:$C2798)</f>
        <v>0.460827180791119</v>
      </c>
      <c r="E2798" s="0" t="n">
        <f aca="false">B2798/SUM($A2798:$C2798)</f>
        <v>0.0698510806718508</v>
      </c>
      <c r="F2798" s="0" t="n">
        <f aca="false">C2798/SUM($A2798:$C2798)</f>
        <v>0.46932173853703</v>
      </c>
      <c r="G2798" s="0" t="n">
        <f aca="false">SUMPRODUCT(D2798:F2798,Stats!$B$6:$D$6)</f>
        <v>0.347561478802173</v>
      </c>
      <c r="H2798" s="0" t="n">
        <f aca="false">SQRT(SUMPRODUCT(MMULT(D2798:F2798,Stats!$B$12:$D$14),D2798:F2798))</f>
        <v>0.223572700066683</v>
      </c>
      <c r="I2798" s="0" t="n">
        <f aca="false">(G2798-Stats!$B$2)/H2798</f>
        <v>1.36672088636509</v>
      </c>
    </row>
    <row r="2799" customFormat="false" ht="15" hidden="false" customHeight="false" outlineLevel="0" collapsed="false">
      <c r="A2799" s="0" t="n">
        <v>0.0896317733046179</v>
      </c>
      <c r="B2799" s="0" t="n">
        <v>0.959235435323822</v>
      </c>
      <c r="C2799" s="0" t="n">
        <v>0.715662652072311</v>
      </c>
      <c r="D2799" s="0" t="n">
        <f aca="false">A2799/SUM($A2799:$C2799)</f>
        <v>0.0507964049239848</v>
      </c>
      <c r="E2799" s="0" t="n">
        <f aca="false">B2799/SUM($A2799:$C2799)</f>
        <v>0.543620970484954</v>
      </c>
      <c r="F2799" s="0" t="n">
        <f aca="false">C2799/SUM($A2799:$C2799)</f>
        <v>0.405582624591062</v>
      </c>
      <c r="G2799" s="0" t="n">
        <f aca="false">SUMPRODUCT(D2799:F2799,Stats!$B$6:$D$6)</f>
        <v>0.376579166625358</v>
      </c>
      <c r="H2799" s="0" t="n">
        <f aca="false">SQRT(SUMPRODUCT(MMULT(D2799:F2799,Stats!$B$12:$D$14),D2799:F2799))</f>
        <v>0.239987349405034</v>
      </c>
      <c r="I2799" s="0" t="n">
        <f aca="false">(G2799-Stats!$B$2)/H2799</f>
        <v>1.39415334789451</v>
      </c>
    </row>
    <row r="2800" customFormat="false" ht="15" hidden="false" customHeight="false" outlineLevel="0" collapsed="false">
      <c r="A2800" s="0" t="n">
        <v>0.788159788135706</v>
      </c>
      <c r="B2800" s="0" t="n">
        <v>0.704104360771637</v>
      </c>
      <c r="C2800" s="0" t="n">
        <v>0.589729036076466</v>
      </c>
      <c r="D2800" s="0" t="n">
        <f aca="false">A2800/SUM($A2800:$C2800)</f>
        <v>0.37856021519198</v>
      </c>
      <c r="E2800" s="0" t="n">
        <f aca="false">B2800/SUM($A2800:$C2800)</f>
        <v>0.338187639541727</v>
      </c>
      <c r="F2800" s="0" t="n">
        <f aca="false">C2800/SUM($A2800:$C2800)</f>
        <v>0.283252145266293</v>
      </c>
      <c r="G2800" s="0" t="n">
        <f aca="false">SUMPRODUCT(D2800:F2800,Stats!$B$6:$D$6)</f>
        <v>0.368132014566646</v>
      </c>
      <c r="H2800" s="0" t="n">
        <f aca="false">SQRT(SUMPRODUCT(MMULT(D2800:F2800,Stats!$B$12:$D$14),D2800:F2800))</f>
        <v>0.225265283011431</v>
      </c>
      <c r="I2800" s="0" t="n">
        <f aca="false">(G2800-Stats!$B$2)/H2800</f>
        <v>1.44776864950866</v>
      </c>
    </row>
    <row r="2801" customFormat="false" ht="15" hidden="false" customHeight="false" outlineLevel="0" collapsed="false">
      <c r="A2801" s="0" t="n">
        <v>0.449912781085505</v>
      </c>
      <c r="B2801" s="0" t="n">
        <v>0.858373379761062</v>
      </c>
      <c r="C2801" s="0" t="n">
        <v>0.956835667543063</v>
      </c>
      <c r="D2801" s="0" t="n">
        <f aca="false">A2801/SUM($A2801:$C2801)</f>
        <v>0.198626305855419</v>
      </c>
      <c r="E2801" s="0" t="n">
        <f aca="false">B2801/SUM($A2801:$C2801)</f>
        <v>0.378952411743485</v>
      </c>
      <c r="F2801" s="0" t="n">
        <f aca="false">C2801/SUM($A2801:$C2801)</f>
        <v>0.422421282401096</v>
      </c>
      <c r="G2801" s="0" t="n">
        <f aca="false">SUMPRODUCT(D2801:F2801,Stats!$B$6:$D$6)</f>
        <v>0.366640031369095</v>
      </c>
      <c r="H2801" s="0" t="n">
        <f aca="false">SQRT(SUMPRODUCT(MMULT(D2801:F2801,Stats!$B$12:$D$14),D2801:F2801))</f>
        <v>0.231687434204636</v>
      </c>
      <c r="I2801" s="0" t="n">
        <f aca="false">(G2801-Stats!$B$2)/H2801</f>
        <v>1.40119826732752</v>
      </c>
    </row>
    <row r="2802" customFormat="false" ht="15" hidden="false" customHeight="false" outlineLevel="0" collapsed="false">
      <c r="A2802" s="0" t="n">
        <v>0.499036172904081</v>
      </c>
      <c r="B2802" s="0" t="n">
        <v>0.931535049155262</v>
      </c>
      <c r="C2802" s="0" t="n">
        <v>0.583332909988518</v>
      </c>
      <c r="D2802" s="0" t="n">
        <f aca="false">A2802/SUM($A2802:$C2802)</f>
        <v>0.24779539649518</v>
      </c>
      <c r="E2802" s="0" t="n">
        <f aca="false">B2802/SUM($A2802:$C2802)</f>
        <v>0.462551833690326</v>
      </c>
      <c r="F2802" s="0" t="n">
        <f aca="false">C2802/SUM($A2802:$C2802)</f>
        <v>0.289652769814494</v>
      </c>
      <c r="G2802" s="0" t="n">
        <f aca="false">SUMPRODUCT(D2802:F2802,Stats!$B$6:$D$6)</f>
        <v>0.375111274576423</v>
      </c>
      <c r="H2802" s="0" t="n">
        <f aca="false">SQRT(SUMPRODUCT(MMULT(D2802:F2802,Stats!$B$12:$D$14),D2802:F2802))</f>
        <v>0.230188840556448</v>
      </c>
      <c r="I2802" s="0" t="n">
        <f aca="false">(G2802-Stats!$B$2)/H2802</f>
        <v>1.44712173609795</v>
      </c>
    </row>
    <row r="2803" customFormat="false" ht="15" hidden="false" customHeight="false" outlineLevel="0" collapsed="false">
      <c r="A2803" s="0" t="n">
        <v>0.538384186896433</v>
      </c>
      <c r="B2803" s="0" t="n">
        <v>0.454482732955357</v>
      </c>
      <c r="C2803" s="0" t="n">
        <v>0.20928776153012</v>
      </c>
      <c r="D2803" s="0" t="n">
        <f aca="false">A2803/SUM($A2803:$C2803)</f>
        <v>0.447849345208676</v>
      </c>
      <c r="E2803" s="0" t="n">
        <f aca="false">B2803/SUM($A2803:$C2803)</f>
        <v>0.378056784200945</v>
      </c>
      <c r="F2803" s="0" t="n">
        <f aca="false">C2803/SUM($A2803:$C2803)</f>
        <v>0.174093870590379</v>
      </c>
      <c r="G2803" s="0" t="n">
        <f aca="false">SUMPRODUCT(D2803:F2803,Stats!$B$6:$D$6)</f>
        <v>0.373436030988422</v>
      </c>
      <c r="H2803" s="0" t="n">
        <f aca="false">SQRT(SUMPRODUCT(MMULT(D2803:F2803,Stats!$B$12:$D$14),D2803:F2803))</f>
        <v>0.225206798172065</v>
      </c>
      <c r="I2803" s="0" t="n">
        <f aca="false">(G2803-Stats!$B$2)/H2803</f>
        <v>1.47169638607088</v>
      </c>
    </row>
    <row r="2804" customFormat="false" ht="15" hidden="false" customHeight="false" outlineLevel="0" collapsed="false">
      <c r="A2804" s="0" t="n">
        <v>0.00371966081805919</v>
      </c>
      <c r="B2804" s="0" t="n">
        <v>0.241506226856061</v>
      </c>
      <c r="C2804" s="0" t="n">
        <v>0.509723171603565</v>
      </c>
      <c r="D2804" s="0" t="n">
        <f aca="false">A2804/SUM($A2804:$C2804)</f>
        <v>0.00492703550305508</v>
      </c>
      <c r="E2804" s="0" t="n">
        <f aca="false">B2804/SUM($A2804:$C2804)</f>
        <v>0.319897381006247</v>
      </c>
      <c r="F2804" s="0" t="n">
        <f aca="false">C2804/SUM($A2804:$C2804)</f>
        <v>0.675175583490698</v>
      </c>
      <c r="G2804" s="0" t="n">
        <f aca="false">SUMPRODUCT(D2804:F2804,Stats!$B$6:$D$6)</f>
        <v>0.356272478695775</v>
      </c>
      <c r="H2804" s="0" t="n">
        <f aca="false">SQRT(SUMPRODUCT(MMULT(D2804:F2804,Stats!$B$12:$D$14),D2804:F2804))</f>
        <v>0.245765743582495</v>
      </c>
      <c r="I2804" s="0" t="n">
        <f aca="false">(G2804-Stats!$B$2)/H2804</f>
        <v>1.27874810425028</v>
      </c>
    </row>
    <row r="2805" customFormat="false" ht="15" hidden="false" customHeight="false" outlineLevel="0" collapsed="false">
      <c r="A2805" s="0" t="n">
        <v>0.379959952259753</v>
      </c>
      <c r="B2805" s="0" t="n">
        <v>0.448485228002634</v>
      </c>
      <c r="C2805" s="0" t="n">
        <v>0.98064821956405</v>
      </c>
      <c r="D2805" s="0" t="n">
        <f aca="false">A2805/SUM($A2805:$C2805)</f>
        <v>0.210027825150545</v>
      </c>
      <c r="E2805" s="0" t="n">
        <f aca="false">B2805/SUM($A2805:$C2805)</f>
        <v>0.247906066124425</v>
      </c>
      <c r="F2805" s="0" t="n">
        <f aca="false">C2805/SUM($A2805:$C2805)</f>
        <v>0.542066108725029</v>
      </c>
      <c r="G2805" s="0" t="n">
        <f aca="false">SUMPRODUCT(D2805:F2805,Stats!$B$6:$D$6)</f>
        <v>0.355800634184078</v>
      </c>
      <c r="H2805" s="0" t="n">
        <f aca="false">SQRT(SUMPRODUCT(MMULT(D2805:F2805,Stats!$B$12:$D$14),D2805:F2805))</f>
        <v>0.232202102842858</v>
      </c>
      <c r="I2805" s="0" t="n">
        <f aca="false">(G2805-Stats!$B$2)/H2805</f>
        <v>1.35141168121307</v>
      </c>
    </row>
    <row r="2806" customFormat="false" ht="15" hidden="false" customHeight="false" outlineLevel="0" collapsed="false">
      <c r="A2806" s="0" t="n">
        <v>0.350272370669328</v>
      </c>
      <c r="B2806" s="0" t="n">
        <v>0.452182939360108</v>
      </c>
      <c r="C2806" s="0" t="n">
        <v>0.13351555135282</v>
      </c>
      <c r="D2806" s="0" t="n">
        <f aca="false">A2806/SUM($A2806:$C2806)</f>
        <v>0.374234268524172</v>
      </c>
      <c r="E2806" s="0" t="n">
        <f aca="false">B2806/SUM($A2806:$C2806)</f>
        <v>0.483116470840041</v>
      </c>
      <c r="F2806" s="0" t="n">
        <f aca="false">C2806/SUM($A2806:$C2806)</f>
        <v>0.142649260635787</v>
      </c>
      <c r="G2806" s="0" t="n">
        <f aca="false">SUMPRODUCT(D2806:F2806,Stats!$B$6:$D$6)</f>
        <v>0.380348102406809</v>
      </c>
      <c r="H2806" s="0" t="n">
        <f aca="false">SQRT(SUMPRODUCT(MMULT(D2806:F2806,Stats!$B$12:$D$14),D2806:F2806))</f>
        <v>0.22820137804018</v>
      </c>
      <c r="I2806" s="0" t="n">
        <f aca="false">(G2806-Stats!$B$2)/H2806</f>
        <v>1.48267335330129</v>
      </c>
    </row>
    <row r="2807" customFormat="false" ht="15" hidden="false" customHeight="false" outlineLevel="0" collapsed="false">
      <c r="A2807" s="0" t="n">
        <v>0.0479577324369876</v>
      </c>
      <c r="B2807" s="0" t="n">
        <v>0.775409514592495</v>
      </c>
      <c r="C2807" s="0" t="n">
        <v>0.570683175071979</v>
      </c>
      <c r="D2807" s="0" t="n">
        <f aca="false">A2807/SUM($A2807:$C2807)</f>
        <v>0.0344017201075796</v>
      </c>
      <c r="E2807" s="0" t="n">
        <f aca="false">B2807/SUM($A2807:$C2807)</f>
        <v>0.556227739182923</v>
      </c>
      <c r="F2807" s="0" t="n">
        <f aca="false">C2807/SUM($A2807:$C2807)</f>
        <v>0.409370540709498</v>
      </c>
      <c r="G2807" s="0" t="n">
        <f aca="false">SUMPRODUCT(D2807:F2807,Stats!$B$6:$D$6)</f>
        <v>0.377200093449561</v>
      </c>
      <c r="H2807" s="0" t="n">
        <f aca="false">SQRT(SUMPRODUCT(MMULT(D2807:F2807,Stats!$B$12:$D$14),D2807:F2807))</f>
        <v>0.241029087439377</v>
      </c>
      <c r="I2807" s="0" t="n">
        <f aca="false">(G2807-Stats!$B$2)/H2807</f>
        <v>1.39070390636511</v>
      </c>
    </row>
    <row r="2808" customFormat="false" ht="15" hidden="false" customHeight="false" outlineLevel="0" collapsed="false">
      <c r="A2808" s="0" t="n">
        <v>0.760704806043895</v>
      </c>
      <c r="B2808" s="0" t="n">
        <v>0.149862798886552</v>
      </c>
      <c r="C2808" s="0" t="n">
        <v>0.571828771182691</v>
      </c>
      <c r="D2808" s="0" t="n">
        <f aca="false">A2808/SUM($A2808:$C2808)</f>
        <v>0.513158840848271</v>
      </c>
      <c r="E2808" s="0" t="n">
        <f aca="false">B2808/SUM($A2808:$C2808)</f>
        <v>0.101094957665435</v>
      </c>
      <c r="F2808" s="0" t="n">
        <f aca="false">C2808/SUM($A2808:$C2808)</f>
        <v>0.385746201486294</v>
      </c>
      <c r="G2808" s="0" t="n">
        <f aca="false">SUMPRODUCT(D2808:F2808,Stats!$B$6:$D$6)</f>
        <v>0.351663774335558</v>
      </c>
      <c r="H2808" s="0" t="n">
        <f aca="false">SQRT(SUMPRODUCT(MMULT(D2808:F2808,Stats!$B$12:$D$14),D2808:F2808))</f>
        <v>0.222059603778051</v>
      </c>
      <c r="I2808" s="0" t="n">
        <f aca="false">(G2808-Stats!$B$2)/H2808</f>
        <v>1.39450746136189</v>
      </c>
    </row>
    <row r="2809" customFormat="false" ht="15" hidden="false" customHeight="false" outlineLevel="0" collapsed="false">
      <c r="A2809" s="0" t="n">
        <v>0.253642474341376</v>
      </c>
      <c r="B2809" s="0" t="n">
        <v>0.22806181690002</v>
      </c>
      <c r="C2809" s="0" t="n">
        <v>0.0115260140529853</v>
      </c>
      <c r="D2809" s="0" t="n">
        <f aca="false">A2809/SUM($A2809:$C2809)</f>
        <v>0.514247546468158</v>
      </c>
      <c r="E2809" s="0" t="n">
        <f aca="false">B2809/SUM($A2809:$C2809)</f>
        <v>0.462384031256764</v>
      </c>
      <c r="F2809" s="0" t="n">
        <f aca="false">C2809/SUM($A2809:$C2809)</f>
        <v>0.0233684222750791</v>
      </c>
      <c r="G2809" s="0" t="n">
        <f aca="false">SUMPRODUCT(D2809:F2809,Stats!$B$6:$D$6)</f>
        <v>0.382444307906633</v>
      </c>
      <c r="H2809" s="0" t="n">
        <f aca="false">SQRT(SUMPRODUCT(MMULT(D2809:F2809,Stats!$B$12:$D$14),D2809:F2809))</f>
        <v>0.228416831680343</v>
      </c>
      <c r="I2809" s="0" t="n">
        <f aca="false">(G2809-Stats!$B$2)/H2809</f>
        <v>1.49045193124413</v>
      </c>
    </row>
    <row r="2810" customFormat="false" ht="15" hidden="false" customHeight="false" outlineLevel="0" collapsed="false">
      <c r="A2810" s="0" t="n">
        <v>0.130340723569072</v>
      </c>
      <c r="B2810" s="0" t="n">
        <v>0.309268111499695</v>
      </c>
      <c r="C2810" s="0" t="n">
        <v>0.116878760590939</v>
      </c>
      <c r="D2810" s="0" t="n">
        <f aca="false">A2810/SUM($A2810:$C2810)</f>
        <v>0.234220357444905</v>
      </c>
      <c r="E2810" s="0" t="n">
        <f aca="false">B2810/SUM($A2810:$C2810)</f>
        <v>0.555750233988708</v>
      </c>
      <c r="F2810" s="0" t="n">
        <f aca="false">C2810/SUM($A2810:$C2810)</f>
        <v>0.210029408566387</v>
      </c>
      <c r="G2810" s="0" t="n">
        <f aca="false">SUMPRODUCT(D2810:F2810,Stats!$B$6:$D$6)</f>
        <v>0.382669373466924</v>
      </c>
      <c r="H2810" s="0" t="n">
        <f aca="false">SQRT(SUMPRODUCT(MMULT(D2810:F2810,Stats!$B$12:$D$14),D2810:F2810))</f>
        <v>0.23229281237445</v>
      </c>
      <c r="I2810" s="0" t="n">
        <f aca="false">(G2810-Stats!$B$2)/H2810</f>
        <v>1.46655150447692</v>
      </c>
    </row>
    <row r="2811" customFormat="false" ht="15" hidden="false" customHeight="false" outlineLevel="0" collapsed="false">
      <c r="A2811" s="0" t="n">
        <v>0.985858440410938</v>
      </c>
      <c r="B2811" s="0" t="n">
        <v>0.308632648523951</v>
      </c>
      <c r="C2811" s="0" t="n">
        <v>0.130323946702328</v>
      </c>
      <c r="D2811" s="0" t="n">
        <f aca="false">A2811/SUM($A2811:$C2811)</f>
        <v>0.691920295443847</v>
      </c>
      <c r="E2811" s="0" t="n">
        <f aca="false">B2811/SUM($A2811:$C2811)</f>
        <v>0.216612430950325</v>
      </c>
      <c r="F2811" s="0" t="n">
        <f aca="false">C2811/SUM($A2811:$C2811)</f>
        <v>0.0914672736058289</v>
      </c>
      <c r="G2811" s="0" t="n">
        <f aca="false">SUMPRODUCT(D2811:F2811,Stats!$B$6:$D$6)</f>
        <v>0.366425128487708</v>
      </c>
      <c r="H2811" s="0" t="n">
        <f aca="false">SQRT(SUMPRODUCT(MMULT(D2811:F2811,Stats!$B$12:$D$14),D2811:F2811))</f>
        <v>0.224584213379755</v>
      </c>
      <c r="I2811" s="0" t="n">
        <f aca="false">(G2811-Stats!$B$2)/H2811</f>
        <v>1.44455891892601</v>
      </c>
    </row>
    <row r="2812" customFormat="false" ht="15" hidden="false" customHeight="false" outlineLevel="0" collapsed="false">
      <c r="A2812" s="0" t="n">
        <v>0.199082312827958</v>
      </c>
      <c r="B2812" s="0" t="n">
        <v>0.587703228341477</v>
      </c>
      <c r="C2812" s="0" t="n">
        <v>0.0640435238647885</v>
      </c>
      <c r="D2812" s="0" t="n">
        <f aca="false">A2812/SUM($A2812:$C2812)</f>
        <v>0.23398626235218</v>
      </c>
      <c r="E2812" s="0" t="n">
        <f aca="false">B2812/SUM($A2812:$C2812)</f>
        <v>0.690741833458448</v>
      </c>
      <c r="F2812" s="0" t="n">
        <f aca="false">C2812/SUM($A2812:$C2812)</f>
        <v>0.0752719041893715</v>
      </c>
      <c r="G2812" s="0" t="n">
        <f aca="false">SUMPRODUCT(D2812:F2812,Stats!$B$6:$D$6)</f>
        <v>0.39415250173694</v>
      </c>
      <c r="H2812" s="0" t="n">
        <f aca="false">SQRT(SUMPRODUCT(MMULT(D2812:F2812,Stats!$B$12:$D$14),D2812:F2812))</f>
        <v>0.236484709924352</v>
      </c>
      <c r="I2812" s="0" t="n">
        <f aca="false">(G2812-Stats!$B$2)/H2812</f>
        <v>1.48911319403943</v>
      </c>
    </row>
    <row r="2813" customFormat="false" ht="15" hidden="false" customHeight="false" outlineLevel="0" collapsed="false">
      <c r="A2813" s="0" t="n">
        <v>0.862434130141157</v>
      </c>
      <c r="B2813" s="0" t="n">
        <v>0.961499679237147</v>
      </c>
      <c r="C2813" s="0" t="n">
        <v>0.246747420667381</v>
      </c>
      <c r="D2813" s="0" t="n">
        <f aca="false">A2813/SUM($A2813:$C2813)</f>
        <v>0.416497777459512</v>
      </c>
      <c r="E2813" s="0" t="n">
        <f aca="false">B2813/SUM($A2813:$C2813)</f>
        <v>0.464339786001699</v>
      </c>
      <c r="F2813" s="0" t="n">
        <f aca="false">C2813/SUM($A2813:$C2813)</f>
        <v>0.119162436538789</v>
      </c>
      <c r="G2813" s="0" t="n">
        <f aca="false">SUMPRODUCT(D2813:F2813,Stats!$B$6:$D$6)</f>
        <v>0.379915356404365</v>
      </c>
      <c r="H2813" s="0" t="n">
        <f aca="false">SQRT(SUMPRODUCT(MMULT(D2813:F2813,Stats!$B$12:$D$14),D2813:F2813))</f>
        <v>0.227532269146649</v>
      </c>
      <c r="I2813" s="0" t="n">
        <f aca="false">(G2813-Stats!$B$2)/H2813</f>
        <v>1.48513157132263</v>
      </c>
    </row>
    <row r="2814" customFormat="false" ht="15" hidden="false" customHeight="false" outlineLevel="0" collapsed="false">
      <c r="A2814" s="0" t="n">
        <v>0.450095268590859</v>
      </c>
      <c r="B2814" s="0" t="n">
        <v>0.0221344510294971</v>
      </c>
      <c r="C2814" s="0" t="n">
        <v>0.640710224727222</v>
      </c>
      <c r="D2814" s="0" t="n">
        <f aca="false">A2814/SUM($A2814:$C2814)</f>
        <v>0.404420086525614</v>
      </c>
      <c r="E2814" s="0" t="n">
        <f aca="false">B2814/SUM($A2814:$C2814)</f>
        <v>0.0198882708289104</v>
      </c>
      <c r="F2814" s="0" t="n">
        <f aca="false">C2814/SUM($A2814:$C2814)</f>
        <v>0.575691642645476</v>
      </c>
      <c r="G2814" s="0" t="n">
        <f aca="false">SUMPRODUCT(D2814:F2814,Stats!$B$6:$D$6)</f>
        <v>0.341753574195635</v>
      </c>
      <c r="H2814" s="0" t="n">
        <f aca="false">SQRT(SUMPRODUCT(MMULT(D2814:F2814,Stats!$B$12:$D$14),D2814:F2814))</f>
        <v>0.22668276456545</v>
      </c>
      <c r="I2814" s="0" t="n">
        <f aca="false">(G2814-Stats!$B$2)/H2814</f>
        <v>1.32234832573293</v>
      </c>
    </row>
    <row r="2815" customFormat="false" ht="15" hidden="false" customHeight="false" outlineLevel="0" collapsed="false">
      <c r="A2815" s="0" t="n">
        <v>0.413926058052589</v>
      </c>
      <c r="B2815" s="0" t="n">
        <v>0.270058466101556</v>
      </c>
      <c r="C2815" s="0" t="n">
        <v>0.206837110616609</v>
      </c>
      <c r="D2815" s="0" t="n">
        <f aca="false">A2815/SUM($A2815:$C2815)</f>
        <v>0.464656494517121</v>
      </c>
      <c r="E2815" s="0" t="n">
        <f aca="false">B2815/SUM($A2815:$C2815)</f>
        <v>0.303156609090498</v>
      </c>
      <c r="F2815" s="0" t="n">
        <f aca="false">C2815/SUM($A2815:$C2815)</f>
        <v>0.232186896392381</v>
      </c>
      <c r="G2815" s="0" t="n">
        <f aca="false">SUMPRODUCT(D2815:F2815,Stats!$B$6:$D$6)</f>
        <v>0.367524479011229</v>
      </c>
      <c r="H2815" s="0" t="n">
        <f aca="false">SQRT(SUMPRODUCT(MMULT(D2815:F2815,Stats!$B$12:$D$14),D2815:F2815))</f>
        <v>0.223695288507196</v>
      </c>
      <c r="I2815" s="0" t="n">
        <f aca="false">(G2815-Stats!$B$2)/H2815</f>
        <v>1.45521383657018</v>
      </c>
    </row>
    <row r="2816" customFormat="false" ht="15" hidden="false" customHeight="false" outlineLevel="0" collapsed="false">
      <c r="A2816" s="0" t="n">
        <v>0.65402307765876</v>
      </c>
      <c r="B2816" s="0" t="n">
        <v>0.416217031032314</v>
      </c>
      <c r="C2816" s="0" t="n">
        <v>0.179659289029912</v>
      </c>
      <c r="D2816" s="0" t="n">
        <f aca="false">A2816/SUM($A2816:$C2816)</f>
        <v>0.523260575092106</v>
      </c>
      <c r="E2816" s="0" t="n">
        <f aca="false">B2816/SUM($A2816:$C2816)</f>
        <v>0.33300042530721</v>
      </c>
      <c r="F2816" s="0" t="n">
        <f aca="false">C2816/SUM($A2816:$C2816)</f>
        <v>0.143738999600684</v>
      </c>
      <c r="G2816" s="0" t="n">
        <f aca="false">SUMPRODUCT(D2816:F2816,Stats!$B$6:$D$6)</f>
        <v>0.371680570305424</v>
      </c>
      <c r="H2816" s="0" t="n">
        <f aca="false">SQRT(SUMPRODUCT(MMULT(D2816:F2816,Stats!$B$12:$D$14),D2816:F2816))</f>
        <v>0.224368999589555</v>
      </c>
      <c r="I2816" s="0" t="n">
        <f aca="false">(G2816-Stats!$B$2)/H2816</f>
        <v>1.46936774201658</v>
      </c>
    </row>
    <row r="2817" customFormat="false" ht="15" hidden="false" customHeight="false" outlineLevel="0" collapsed="false">
      <c r="A2817" s="0" t="n">
        <v>0.689109081486824</v>
      </c>
      <c r="B2817" s="0" t="n">
        <v>0.565072283036694</v>
      </c>
      <c r="C2817" s="0" t="n">
        <v>0.858672054929496</v>
      </c>
      <c r="D2817" s="0" t="n">
        <f aca="false">A2817/SUM($A2817:$C2817)</f>
        <v>0.326150917589552</v>
      </c>
      <c r="E2817" s="0" t="n">
        <f aca="false">B2817/SUM($A2817:$C2817)</f>
        <v>0.267445094787021</v>
      </c>
      <c r="F2817" s="0" t="n">
        <f aca="false">C2817/SUM($A2817:$C2817)</f>
        <v>0.406403987623426</v>
      </c>
      <c r="G2817" s="0" t="n">
        <f aca="false">SUMPRODUCT(D2817:F2817,Stats!$B$6:$D$6)</f>
        <v>0.360665715415435</v>
      </c>
      <c r="H2817" s="0" t="n">
        <f aca="false">SQRT(SUMPRODUCT(MMULT(D2817:F2817,Stats!$B$12:$D$14),D2817:F2817))</f>
        <v>0.226427280499603</v>
      </c>
      <c r="I2817" s="0" t="n">
        <f aca="false">(G2817-Stats!$B$2)/H2817</f>
        <v>1.40736449562222</v>
      </c>
    </row>
    <row r="2818" customFormat="false" ht="15" hidden="false" customHeight="false" outlineLevel="0" collapsed="false">
      <c r="A2818" s="0" t="n">
        <v>0.117475898876493</v>
      </c>
      <c r="B2818" s="0" t="n">
        <v>0.785666601944456</v>
      </c>
      <c r="C2818" s="0" t="n">
        <v>0.673516786817259</v>
      </c>
      <c r="D2818" s="0" t="n">
        <f aca="false">A2818/SUM($A2818:$C2818)</f>
        <v>0.0745093754862336</v>
      </c>
      <c r="E2818" s="0" t="n">
        <f aca="false">B2818/SUM($A2818:$C2818)</f>
        <v>0.498310959193576</v>
      </c>
      <c r="F2818" s="0" t="n">
        <f aca="false">C2818/SUM($A2818:$C2818)</f>
        <v>0.42717966532019</v>
      </c>
      <c r="G2818" s="0" t="n">
        <f aca="false">SUMPRODUCT(D2818:F2818,Stats!$B$6:$D$6)</f>
        <v>0.373376557127805</v>
      </c>
      <c r="H2818" s="0" t="n">
        <f aca="false">SQRT(SUMPRODUCT(MMULT(D2818:F2818,Stats!$B$12:$D$14),D2818:F2818))</f>
        <v>0.238453224282815</v>
      </c>
      <c r="I2818" s="0" t="n">
        <f aca="false">(G2818-Stats!$B$2)/H2818</f>
        <v>1.38969207954504</v>
      </c>
    </row>
    <row r="2819" customFormat="false" ht="15" hidden="false" customHeight="false" outlineLevel="0" collapsed="false">
      <c r="A2819" s="0" t="n">
        <v>0.115010936828098</v>
      </c>
      <c r="B2819" s="0" t="n">
        <v>0.694820729871721</v>
      </c>
      <c r="C2819" s="0" t="n">
        <v>0.44154728887983</v>
      </c>
      <c r="D2819" s="0" t="n">
        <f aca="false">A2819/SUM($A2819:$C2819)</f>
        <v>0.0919073605283891</v>
      </c>
      <c r="E2819" s="0" t="n">
        <f aca="false">B2819/SUM($A2819:$C2819)</f>
        <v>0.555244058383477</v>
      </c>
      <c r="F2819" s="0" t="n">
        <f aca="false">C2819/SUM($A2819:$C2819)</f>
        <v>0.352848581088134</v>
      </c>
      <c r="G2819" s="0" t="n">
        <f aca="false">SUMPRODUCT(D2819:F2819,Stats!$B$6:$D$6)</f>
        <v>0.378702065026584</v>
      </c>
      <c r="H2819" s="0" t="n">
        <f aca="false">SQRT(SUMPRODUCT(MMULT(D2819:F2819,Stats!$B$12:$D$14),D2819:F2819))</f>
        <v>0.237783154366402</v>
      </c>
      <c r="I2819" s="0" t="n">
        <f aca="false">(G2819-Stats!$B$2)/H2819</f>
        <v>1.41600470362907</v>
      </c>
    </row>
    <row r="2820" customFormat="false" ht="15" hidden="false" customHeight="false" outlineLevel="0" collapsed="false">
      <c r="A2820" s="0" t="n">
        <v>0.944984785555843</v>
      </c>
      <c r="B2820" s="0" t="n">
        <v>0.141611350617899</v>
      </c>
      <c r="C2820" s="0" t="n">
        <v>0.642833390815738</v>
      </c>
      <c r="D2820" s="0" t="n">
        <f aca="false">A2820/SUM($A2820:$C2820)</f>
        <v>0.546414161900447</v>
      </c>
      <c r="E2820" s="0" t="n">
        <f aca="false">B2820/SUM($A2820:$C2820)</f>
        <v>0.0818832733036602</v>
      </c>
      <c r="F2820" s="0" t="n">
        <f aca="false">C2820/SUM($A2820:$C2820)</f>
        <v>0.371702564795893</v>
      </c>
      <c r="G2820" s="0" t="n">
        <f aca="false">SUMPRODUCT(D2820:F2820,Stats!$B$6:$D$6)</f>
        <v>0.350945606762849</v>
      </c>
      <c r="H2820" s="0" t="n">
        <f aca="false">SQRT(SUMPRODUCT(MMULT(D2820:F2820,Stats!$B$12:$D$14),D2820:F2820))</f>
        <v>0.22166853337892</v>
      </c>
      <c r="I2820" s="0" t="n">
        <f aca="false">(G2820-Stats!$B$2)/H2820</f>
        <v>1.39372784243913</v>
      </c>
    </row>
    <row r="2821" customFormat="false" ht="15" hidden="false" customHeight="false" outlineLevel="0" collapsed="false">
      <c r="A2821" s="0" t="n">
        <v>0.381980045462946</v>
      </c>
      <c r="B2821" s="0" t="n">
        <v>0.956814670590878</v>
      </c>
      <c r="C2821" s="0" t="n">
        <v>0.329974895290277</v>
      </c>
      <c r="D2821" s="0" t="n">
        <f aca="false">A2821/SUM($A2821:$C2821)</f>
        <v>0.22889920985275</v>
      </c>
      <c r="E2821" s="0" t="n">
        <f aca="false">B2821/SUM($A2821:$C2821)</f>
        <v>0.573365348989198</v>
      </c>
      <c r="F2821" s="0" t="n">
        <f aca="false">C2821/SUM($A2821:$C2821)</f>
        <v>0.197735441158052</v>
      </c>
      <c r="G2821" s="0" t="n">
        <f aca="false">SUMPRODUCT(D2821:F2821,Stats!$B$6:$D$6)</f>
        <v>0.384021925808031</v>
      </c>
      <c r="H2821" s="0" t="n">
        <f aca="false">SQRT(SUMPRODUCT(MMULT(D2821:F2821,Stats!$B$12:$D$14),D2821:F2821))</f>
        <v>0.232849565985751</v>
      </c>
      <c r="I2821" s="0" t="n">
        <f aca="false">(G2821-Stats!$B$2)/H2821</f>
        <v>1.46885361095739</v>
      </c>
    </row>
    <row r="2822" customFormat="false" ht="15" hidden="false" customHeight="false" outlineLevel="0" collapsed="false">
      <c r="A2822" s="0" t="n">
        <v>0.9621859094918</v>
      </c>
      <c r="B2822" s="0" t="n">
        <v>0.901485851100749</v>
      </c>
      <c r="C2822" s="0" t="n">
        <v>0.270383235310656</v>
      </c>
      <c r="D2822" s="0" t="n">
        <f aca="false">A2822/SUM($A2822:$C2822)</f>
        <v>0.450872124354307</v>
      </c>
      <c r="E2822" s="0" t="n">
        <f aca="false">B2822/SUM($A2822:$C2822)</f>
        <v>0.422428593841936</v>
      </c>
      <c r="F2822" s="0" t="n">
        <f aca="false">C2822/SUM($A2822:$C2822)</f>
        <v>0.126699281803757</v>
      </c>
      <c r="G2822" s="0" t="n">
        <f aca="false">SUMPRODUCT(D2822:F2822,Stats!$B$6:$D$6)</f>
        <v>0.377296015042729</v>
      </c>
      <c r="H2822" s="0" t="n">
        <f aca="false">SQRT(SUMPRODUCT(MMULT(D2822:F2822,Stats!$B$12:$D$14),D2822:F2822))</f>
        <v>0.226354940108444</v>
      </c>
      <c r="I2822" s="0" t="n">
        <f aca="false">(G2822-Stats!$B$2)/H2822</f>
        <v>1.48128428247288</v>
      </c>
    </row>
    <row r="2823" customFormat="false" ht="15" hidden="false" customHeight="false" outlineLevel="0" collapsed="false">
      <c r="A2823" s="0" t="n">
        <v>0.803541776826428</v>
      </c>
      <c r="B2823" s="0" t="n">
        <v>0.995604201803506</v>
      </c>
      <c r="C2823" s="0" t="n">
        <v>0.252663002171282</v>
      </c>
      <c r="D2823" s="0" t="n">
        <f aca="false">A2823/SUM($A2823:$C2823)</f>
        <v>0.391626016040075</v>
      </c>
      <c r="E2823" s="0" t="n">
        <f aca="false">B2823/SUM($A2823:$C2823)</f>
        <v>0.485232402781827</v>
      </c>
      <c r="F2823" s="0" t="n">
        <f aca="false">C2823/SUM($A2823:$C2823)</f>
        <v>0.123141581178097</v>
      </c>
      <c r="G2823" s="0" t="n">
        <f aca="false">SUMPRODUCT(D2823:F2823,Stats!$B$6:$D$6)</f>
        <v>0.38100776715014</v>
      </c>
      <c r="H2823" s="0" t="n">
        <f aca="false">SQRT(SUMPRODUCT(MMULT(D2823:F2823,Stats!$B$12:$D$14),D2823:F2823))</f>
        <v>0.228190619273298</v>
      </c>
      <c r="I2823" s="0" t="n">
        <f aca="false">(G2823-Stats!$B$2)/H2823</f>
        <v>1.48563410814061</v>
      </c>
    </row>
    <row r="2824" customFormat="false" ht="15" hidden="false" customHeight="false" outlineLevel="0" collapsed="false">
      <c r="A2824" s="0" t="n">
        <v>0.43677716932332</v>
      </c>
      <c r="B2824" s="0" t="n">
        <v>0.52018073656676</v>
      </c>
      <c r="C2824" s="0" t="n">
        <v>0.294931135803864</v>
      </c>
      <c r="D2824" s="0" t="n">
        <f aca="false">A2824/SUM($A2824:$C2824)</f>
        <v>0.348894474491375</v>
      </c>
      <c r="E2824" s="0" t="n">
        <f aca="false">B2824/SUM($A2824:$C2824)</f>
        <v>0.415516646637387</v>
      </c>
      <c r="F2824" s="0" t="n">
        <f aca="false">C2824/SUM($A2824:$C2824)</f>
        <v>0.235588878871238</v>
      </c>
      <c r="G2824" s="0" t="n">
        <f aca="false">SUMPRODUCT(D2824:F2824,Stats!$B$6:$D$6)</f>
        <v>0.373895721788542</v>
      </c>
      <c r="H2824" s="0" t="n">
        <f aca="false">SQRT(SUMPRODUCT(MMULT(D2824:F2824,Stats!$B$12:$D$14),D2824:F2824))</f>
        <v>0.22693787363964</v>
      </c>
      <c r="I2824" s="0" t="n">
        <f aca="false">(G2824-Stats!$B$2)/H2824</f>
        <v>1.46249595303589</v>
      </c>
    </row>
    <row r="2825" customFormat="false" ht="15" hidden="false" customHeight="false" outlineLevel="0" collapsed="false">
      <c r="A2825" s="0" t="n">
        <v>0.0152648396460298</v>
      </c>
      <c r="B2825" s="0" t="n">
        <v>0.220129244197527</v>
      </c>
      <c r="C2825" s="0" t="n">
        <v>0.281936884341759</v>
      </c>
      <c r="D2825" s="0" t="n">
        <f aca="false">A2825/SUM($A2825:$C2825)</f>
        <v>0.0295069125661963</v>
      </c>
      <c r="E2825" s="0" t="n">
        <f aca="false">B2825/SUM($A2825:$C2825)</f>
        <v>0.425509505007389</v>
      </c>
      <c r="F2825" s="0" t="n">
        <f aca="false">C2825/SUM($A2825:$C2825)</f>
        <v>0.544983582426415</v>
      </c>
      <c r="G2825" s="0" t="n">
        <f aca="false">SUMPRODUCT(D2825:F2825,Stats!$B$6:$D$6)</f>
        <v>0.365939257974574</v>
      </c>
      <c r="H2825" s="0" t="n">
        <f aca="false">SQRT(SUMPRODUCT(MMULT(D2825:F2825,Stats!$B$12:$D$14),D2825:F2825))</f>
        <v>0.24184160093832</v>
      </c>
      <c r="I2825" s="0" t="n">
        <f aca="false">(G2825-Stats!$B$2)/H2825</f>
        <v>1.33946871306559</v>
      </c>
    </row>
    <row r="2826" customFormat="false" ht="15" hidden="false" customHeight="false" outlineLevel="0" collapsed="false">
      <c r="A2826" s="0" t="n">
        <v>0.443599701318187</v>
      </c>
      <c r="B2826" s="0" t="n">
        <v>0.171102478413402</v>
      </c>
      <c r="C2826" s="0" t="n">
        <v>0.873254356691673</v>
      </c>
      <c r="D2826" s="0" t="n">
        <f aca="false">A2826/SUM($A2826:$C2826)</f>
        <v>0.298126786945342</v>
      </c>
      <c r="E2826" s="0" t="n">
        <f aca="false">B2826/SUM($A2826:$C2826)</f>
        <v>0.114991583574542</v>
      </c>
      <c r="F2826" s="0" t="n">
        <f aca="false">C2826/SUM($A2826:$C2826)</f>
        <v>0.586881629480116</v>
      </c>
      <c r="G2826" s="0" t="n">
        <f aca="false">SUMPRODUCT(D2826:F2826,Stats!$B$6:$D$6)</f>
        <v>0.34691713613814</v>
      </c>
      <c r="H2826" s="0" t="n">
        <f aca="false">SQRT(SUMPRODUCT(MMULT(D2826:F2826,Stats!$B$12:$D$14),D2826:F2826))</f>
        <v>0.229745434953607</v>
      </c>
      <c r="I2826" s="0" t="n">
        <f aca="false">(G2826-Stats!$B$2)/H2826</f>
        <v>1.32719562501737</v>
      </c>
    </row>
    <row r="2827" customFormat="false" ht="15" hidden="false" customHeight="false" outlineLevel="0" collapsed="false">
      <c r="A2827" s="0" t="n">
        <v>0.704911132731336</v>
      </c>
      <c r="B2827" s="0" t="n">
        <v>0.085200477559662</v>
      </c>
      <c r="C2827" s="0" t="n">
        <v>0.650092451139931</v>
      </c>
      <c r="D2827" s="0" t="n">
        <f aca="false">A2827/SUM($A2827:$C2827)</f>
        <v>0.489452260001936</v>
      </c>
      <c r="E2827" s="0" t="n">
        <f aca="false">B2827/SUM($A2827:$C2827)</f>
        <v>0.059158614977804</v>
      </c>
      <c r="F2827" s="0" t="n">
        <f aca="false">C2827/SUM($A2827:$C2827)</f>
        <v>0.45138912502026</v>
      </c>
      <c r="G2827" s="0" t="n">
        <f aca="false">SUMPRODUCT(D2827:F2827,Stats!$B$6:$D$6)</f>
        <v>0.347440733085604</v>
      </c>
      <c r="H2827" s="0" t="n">
        <f aca="false">SQRT(SUMPRODUCT(MMULT(D2827:F2827,Stats!$B$12:$D$14),D2827:F2827))</f>
        <v>0.222920647828625</v>
      </c>
      <c r="I2827" s="0" t="n">
        <f aca="false">(G2827-Stats!$B$2)/H2827</f>
        <v>1.3701769488864</v>
      </c>
    </row>
    <row r="2828" customFormat="false" ht="15" hidden="false" customHeight="false" outlineLevel="0" collapsed="false">
      <c r="A2828" s="0" t="n">
        <v>0.65365647640562</v>
      </c>
      <c r="B2828" s="0" t="n">
        <v>0.956221173643628</v>
      </c>
      <c r="C2828" s="0" t="n">
        <v>0.00302087135616125</v>
      </c>
      <c r="D2828" s="0" t="n">
        <f aca="false">A2828/SUM($A2828:$C2828)</f>
        <v>0.405268197428845</v>
      </c>
      <c r="E2828" s="0" t="n">
        <f aca="false">B2828/SUM($A2828:$C2828)</f>
        <v>0.59285885686746</v>
      </c>
      <c r="F2828" s="0" t="n">
        <f aca="false">C2828/SUM($A2828:$C2828)</f>
        <v>0.00187294570369436</v>
      </c>
      <c r="G2828" s="0" t="n">
        <f aca="false">SUMPRODUCT(D2828:F2828,Stats!$B$6:$D$6)</f>
        <v>0.390544390000871</v>
      </c>
      <c r="H2828" s="0" t="n">
        <f aca="false">SQRT(SUMPRODUCT(MMULT(D2828:F2828,Stats!$B$12:$D$14),D2828:F2828))</f>
        <v>0.232252244216014</v>
      </c>
      <c r="I2828" s="0" t="n">
        <f aca="false">(G2828-Stats!$B$2)/H2828</f>
        <v>1.50071484207789</v>
      </c>
    </row>
    <row r="2829" customFormat="false" ht="15" hidden="false" customHeight="false" outlineLevel="0" collapsed="false">
      <c r="A2829" s="0" t="n">
        <v>0.247932449805807</v>
      </c>
      <c r="B2829" s="0" t="n">
        <v>0.927791479375316</v>
      </c>
      <c r="C2829" s="0" t="n">
        <v>0.932133915398283</v>
      </c>
      <c r="D2829" s="0" t="n">
        <f aca="false">A2829/SUM($A2829:$C2829)</f>
        <v>0.117622946178934</v>
      </c>
      <c r="E2829" s="0" t="n">
        <f aca="false">B2829/SUM($A2829:$C2829)</f>
        <v>0.440158467878295</v>
      </c>
      <c r="F2829" s="0" t="n">
        <f aca="false">C2829/SUM($A2829:$C2829)</f>
        <v>0.442218585942772</v>
      </c>
      <c r="G2829" s="0" t="n">
        <f aca="false">SUMPRODUCT(D2829:F2829,Stats!$B$6:$D$6)</f>
        <v>0.369615845590925</v>
      </c>
      <c r="H2829" s="0" t="n">
        <f aca="false">SQRT(SUMPRODUCT(MMULT(D2829:F2829,Stats!$B$12:$D$14),D2829:F2829))</f>
        <v>0.235935411743863</v>
      </c>
      <c r="I2829" s="0" t="n">
        <f aca="false">(G2829-Stats!$B$2)/H2829</f>
        <v>1.38858276156779</v>
      </c>
    </row>
    <row r="2830" customFormat="false" ht="15" hidden="false" customHeight="false" outlineLevel="0" collapsed="false">
      <c r="A2830" s="0" t="n">
        <v>0.720586419370637</v>
      </c>
      <c r="B2830" s="0" t="n">
        <v>0.76576332104754</v>
      </c>
      <c r="C2830" s="0" t="n">
        <v>0.0914829579296471</v>
      </c>
      <c r="D2830" s="0" t="n">
        <f aca="false">A2830/SUM($A2830:$C2830)</f>
        <v>0.456693805449194</v>
      </c>
      <c r="E2830" s="0" t="n">
        <f aca="false">B2830/SUM($A2830:$C2830)</f>
        <v>0.485326056336254</v>
      </c>
      <c r="F2830" s="0" t="n">
        <f aca="false">C2830/SUM($A2830:$C2830)</f>
        <v>0.0579801382145525</v>
      </c>
      <c r="G2830" s="0" t="n">
        <f aca="false">SUMPRODUCT(D2830:F2830,Stats!$B$6:$D$6)</f>
        <v>0.382809957581759</v>
      </c>
      <c r="H2830" s="0" t="n">
        <f aca="false">SQRT(SUMPRODUCT(MMULT(D2830:F2830,Stats!$B$12:$D$14),D2830:F2830))</f>
        <v>0.228446910885593</v>
      </c>
      <c r="I2830" s="0" t="n">
        <f aca="false">(G2830-Stats!$B$2)/H2830</f>
        <v>1.49185627531833</v>
      </c>
    </row>
    <row r="2831" customFormat="false" ht="15" hidden="false" customHeight="false" outlineLevel="0" collapsed="false">
      <c r="A2831" s="0" t="n">
        <v>0.513875834778234</v>
      </c>
      <c r="B2831" s="0" t="n">
        <v>0.231582991288999</v>
      </c>
      <c r="C2831" s="0" t="n">
        <v>0.181218043613617</v>
      </c>
      <c r="D2831" s="0" t="n">
        <f aca="false">A2831/SUM($A2831:$C2831)</f>
        <v>0.554536162055295</v>
      </c>
      <c r="E2831" s="0" t="n">
        <f aca="false">B2831/SUM($A2831:$C2831)</f>
        <v>0.249906951242624</v>
      </c>
      <c r="F2831" s="0" t="n">
        <f aca="false">C2831/SUM($A2831:$C2831)</f>
        <v>0.195556886702081</v>
      </c>
      <c r="G2831" s="0" t="n">
        <f aca="false">SUMPRODUCT(D2831:F2831,Stats!$B$6:$D$6)</f>
        <v>0.365470621046913</v>
      </c>
      <c r="H2831" s="0" t="n">
        <f aca="false">SQRT(SUMPRODUCT(MMULT(D2831:F2831,Stats!$B$12:$D$14),D2831:F2831))</f>
        <v>0.222820778371018</v>
      </c>
      <c r="I2831" s="0" t="n">
        <f aca="false">(G2831-Stats!$B$2)/H2831</f>
        <v>1.45170761637096</v>
      </c>
    </row>
    <row r="2832" customFormat="false" ht="15" hidden="false" customHeight="false" outlineLevel="0" collapsed="false">
      <c r="A2832" s="0" t="n">
        <v>0.810303299123333</v>
      </c>
      <c r="B2832" s="0" t="n">
        <v>0.135038136680547</v>
      </c>
      <c r="C2832" s="0" t="n">
        <v>0.468651636996385</v>
      </c>
      <c r="D2832" s="0" t="n">
        <f aca="false">A2832/SUM($A2832:$C2832)</f>
        <v>0.573060303271933</v>
      </c>
      <c r="E2832" s="0" t="n">
        <f aca="false">B2832/SUM($A2832:$C2832)</f>
        <v>0.0955012717375754</v>
      </c>
      <c r="F2832" s="0" t="n">
        <f aca="false">C2832/SUM($A2832:$C2832)</f>
        <v>0.331438424990491</v>
      </c>
      <c r="G2832" s="0" t="n">
        <f aca="false">SUMPRODUCT(D2832:F2832,Stats!$B$6:$D$6)</f>
        <v>0.352839436936037</v>
      </c>
      <c r="H2832" s="0" t="n">
        <f aca="false">SQRT(SUMPRODUCT(MMULT(D2832:F2832,Stats!$B$12:$D$14),D2832:F2832))</f>
        <v>0.221414613674168</v>
      </c>
      <c r="I2832" s="0" t="n">
        <f aca="false">(G2832-Stats!$B$2)/H2832</f>
        <v>1.40387949908973</v>
      </c>
    </row>
    <row r="2833" customFormat="false" ht="15" hidden="false" customHeight="false" outlineLevel="0" collapsed="false">
      <c r="A2833" s="0" t="n">
        <v>0.938578239586033</v>
      </c>
      <c r="B2833" s="0" t="n">
        <v>0.185832055565343</v>
      </c>
      <c r="C2833" s="0" t="n">
        <v>0.977993423738235</v>
      </c>
      <c r="D2833" s="0" t="n">
        <f aca="false">A2833/SUM($A2833:$C2833)</f>
        <v>0.446431021384297</v>
      </c>
      <c r="E2833" s="0" t="n">
        <f aca="false">B2833/SUM($A2833:$C2833)</f>
        <v>0.0883902810367412</v>
      </c>
      <c r="F2833" s="0" t="n">
        <f aca="false">C2833/SUM($A2833:$C2833)</f>
        <v>0.465178697578962</v>
      </c>
      <c r="G2833" s="0" t="n">
        <f aca="false">SUMPRODUCT(D2833:F2833,Stats!$B$6:$D$6)</f>
        <v>0.348742443157273</v>
      </c>
      <c r="H2833" s="0" t="n">
        <f aca="false">SQRT(SUMPRODUCT(MMULT(D2833:F2833,Stats!$B$12:$D$14),D2833:F2833))</f>
        <v>0.223761717918882</v>
      </c>
      <c r="I2833" s="0" t="n">
        <f aca="false">(G2833-Stats!$B$2)/H2833</f>
        <v>1.37084415515827</v>
      </c>
    </row>
    <row r="2834" customFormat="false" ht="15" hidden="false" customHeight="false" outlineLevel="0" collapsed="false">
      <c r="A2834" s="0" t="n">
        <v>0.994287985761059</v>
      </c>
      <c r="B2834" s="0" t="n">
        <v>0.555617154682403</v>
      </c>
      <c r="C2834" s="0" t="n">
        <v>0.170142740177158</v>
      </c>
      <c r="D2834" s="0" t="n">
        <f aca="false">A2834/SUM($A2834:$C2834)</f>
        <v>0.578058318587216</v>
      </c>
      <c r="E2834" s="0" t="n">
        <f aca="false">B2834/SUM($A2834:$C2834)</f>
        <v>0.323024237256656</v>
      </c>
      <c r="F2834" s="0" t="n">
        <f aca="false">C2834/SUM($A2834:$C2834)</f>
        <v>0.0989174441561288</v>
      </c>
      <c r="G2834" s="0" t="n">
        <f aca="false">SUMPRODUCT(D2834:F2834,Stats!$B$6:$D$6)</f>
        <v>0.37234249050903</v>
      </c>
      <c r="H2834" s="0" t="n">
        <f aca="false">SQRT(SUMPRODUCT(MMULT(D2834:F2834,Stats!$B$12:$D$14),D2834:F2834))</f>
        <v>0.224828562912615</v>
      </c>
      <c r="I2834" s="0" t="n">
        <f aca="false">(G2834-Stats!$B$2)/H2834</f>
        <v>1.4693083753661</v>
      </c>
    </row>
    <row r="2835" customFormat="false" ht="15" hidden="false" customHeight="false" outlineLevel="0" collapsed="false">
      <c r="A2835" s="0" t="n">
        <v>0.316104887940896</v>
      </c>
      <c r="B2835" s="0" t="n">
        <v>0.424492832676535</v>
      </c>
      <c r="C2835" s="0" t="n">
        <v>0.309324224358223</v>
      </c>
      <c r="D2835" s="0" t="n">
        <f aca="false">A2835/SUM($A2835:$C2835)</f>
        <v>0.301074655552824</v>
      </c>
      <c r="E2835" s="0" t="n">
        <f aca="false">B2835/SUM($A2835:$C2835)</f>
        <v>0.404308943829514</v>
      </c>
      <c r="F2835" s="0" t="n">
        <f aca="false">C2835/SUM($A2835:$C2835)</f>
        <v>0.294616400617663</v>
      </c>
      <c r="G2835" s="0" t="n">
        <f aca="false">SUMPRODUCT(D2835:F2835,Stats!$B$6:$D$6)</f>
        <v>0.371623183865844</v>
      </c>
      <c r="H2835" s="0" t="n">
        <f aca="false">SQRT(SUMPRODUCT(MMULT(D2835:F2835,Stats!$B$12:$D$14),D2835:F2835))</f>
        <v>0.227857705327316</v>
      </c>
      <c r="I2835" s="0" t="n">
        <f aca="false">(G2835-Stats!$B$2)/H2835</f>
        <v>1.44661855254068</v>
      </c>
    </row>
    <row r="2836" customFormat="false" ht="15" hidden="false" customHeight="false" outlineLevel="0" collapsed="false">
      <c r="A2836" s="0" t="n">
        <v>0.280635579876516</v>
      </c>
      <c r="B2836" s="0" t="n">
        <v>0.972229709216358</v>
      </c>
      <c r="C2836" s="0" t="n">
        <v>0.153364827415746</v>
      </c>
      <c r="D2836" s="0" t="n">
        <f aca="false">A2836/SUM($A2836:$C2836)</f>
        <v>0.199565900759739</v>
      </c>
      <c r="E2836" s="0" t="n">
        <f aca="false">B2836/SUM($A2836:$C2836)</f>
        <v>0.69137312435763</v>
      </c>
      <c r="F2836" s="0" t="n">
        <f aca="false">C2836/SUM($A2836:$C2836)</f>
        <v>0.109060974882631</v>
      </c>
      <c r="G2836" s="0" t="n">
        <f aca="false">SUMPRODUCT(D2836:F2836,Stats!$B$6:$D$6)</f>
        <v>0.393257104769808</v>
      </c>
      <c r="H2836" s="0" t="n">
        <f aca="false">SQRT(SUMPRODUCT(MMULT(D2836:F2836,Stats!$B$12:$D$14),D2836:F2836))</f>
        <v>0.237047080916073</v>
      </c>
      <c r="I2836" s="0" t="n">
        <f aca="false">(G2836-Stats!$B$2)/H2836</f>
        <v>1.48180312287486</v>
      </c>
    </row>
    <row r="2837" customFormat="false" ht="15" hidden="false" customHeight="false" outlineLevel="0" collapsed="false">
      <c r="A2837" s="0" t="n">
        <v>0.733327908716862</v>
      </c>
      <c r="B2837" s="0" t="n">
        <v>0.000410289439174871</v>
      </c>
      <c r="C2837" s="0" t="n">
        <v>0.596182669402377</v>
      </c>
      <c r="D2837" s="0" t="n">
        <f aca="false">A2837/SUM($A2837:$C2837)</f>
        <v>0.55140717512251</v>
      </c>
      <c r="E2837" s="0" t="n">
        <f aca="false">B2837/SUM($A2837:$C2837)</f>
        <v>0.000308506655684046</v>
      </c>
      <c r="F2837" s="0" t="n">
        <f aca="false">C2837/SUM($A2837:$C2837)</f>
        <v>0.448284318221806</v>
      </c>
      <c r="G2837" s="0" t="n">
        <f aca="false">SUMPRODUCT(D2837:F2837,Stats!$B$6:$D$6)</f>
        <v>0.34414018787425</v>
      </c>
      <c r="H2837" s="0" t="n">
        <f aca="false">SQRT(SUMPRODUCT(MMULT(D2837:F2837,Stats!$B$12:$D$14),D2837:F2837))</f>
        <v>0.222308897883192</v>
      </c>
      <c r="I2837" s="0" t="n">
        <f aca="false">(G2837-Stats!$B$2)/H2837</f>
        <v>1.35910074113634</v>
      </c>
    </row>
    <row r="2838" customFormat="false" ht="15" hidden="false" customHeight="false" outlineLevel="0" collapsed="false">
      <c r="A2838" s="0" t="n">
        <v>0.915943003954052</v>
      </c>
      <c r="B2838" s="0" t="n">
        <v>0.287934094093219</v>
      </c>
      <c r="C2838" s="0" t="n">
        <v>0.185525975257719</v>
      </c>
      <c r="D2838" s="0" t="n">
        <f aca="false">A2838/SUM($A2838:$C2838)</f>
        <v>0.659234905660088</v>
      </c>
      <c r="E2838" s="0" t="n">
        <f aca="false">B2838/SUM($A2838:$C2838)</f>
        <v>0.207235826395796</v>
      </c>
      <c r="F2838" s="0" t="n">
        <f aca="false">C2838/SUM($A2838:$C2838)</f>
        <v>0.133529267944115</v>
      </c>
      <c r="G2838" s="0" t="n">
        <f aca="false">SUMPRODUCT(D2838:F2838,Stats!$B$6:$D$6)</f>
        <v>0.364725767481557</v>
      </c>
      <c r="H2838" s="0" t="n">
        <f aca="false">SQRT(SUMPRODUCT(MMULT(D2838:F2838,Stats!$B$12:$D$14),D2838:F2838))</f>
        <v>0.223484329360173</v>
      </c>
      <c r="I2838" s="0" t="n">
        <f aca="false">(G2838-Stats!$B$2)/H2838</f>
        <v>1.44406441563715</v>
      </c>
    </row>
    <row r="2839" customFormat="false" ht="15" hidden="false" customHeight="false" outlineLevel="0" collapsed="false">
      <c r="A2839" s="0" t="n">
        <v>0.651679794878427</v>
      </c>
      <c r="B2839" s="0" t="n">
        <v>0.712601407298393</v>
      </c>
      <c r="C2839" s="0" t="n">
        <v>0.688030518951981</v>
      </c>
      <c r="D2839" s="0" t="n">
        <f aca="false">A2839/SUM($A2839:$C2839)</f>
        <v>0.317534509094941</v>
      </c>
      <c r="E2839" s="0" t="n">
        <f aca="false">B2839/SUM($A2839:$C2839)</f>
        <v>0.347218894655268</v>
      </c>
      <c r="F2839" s="0" t="n">
        <f aca="false">C2839/SUM($A2839:$C2839)</f>
        <v>0.335246596249791</v>
      </c>
      <c r="G2839" s="0" t="n">
        <f aca="false">SUMPRODUCT(D2839:F2839,Stats!$B$6:$D$6)</f>
        <v>0.367217934309202</v>
      </c>
      <c r="H2839" s="0" t="n">
        <f aca="false">SQRT(SUMPRODUCT(MMULT(D2839:F2839,Stats!$B$12:$D$14),D2839:F2839))</f>
        <v>0.22686443754637</v>
      </c>
      <c r="I2839" s="0" t="n">
        <f aca="false">(G2839-Stats!$B$2)/H2839</f>
        <v>1.43353421905418</v>
      </c>
    </row>
    <row r="2840" customFormat="false" ht="15" hidden="false" customHeight="false" outlineLevel="0" collapsed="false">
      <c r="A2840" s="0" t="n">
        <v>0.319316880021374</v>
      </c>
      <c r="B2840" s="0" t="n">
        <v>0.252202402159331</v>
      </c>
      <c r="C2840" s="0" t="n">
        <v>0.955918799962044</v>
      </c>
      <c r="D2840" s="0" t="n">
        <f aca="false">A2840/SUM($A2840:$C2840)</f>
        <v>0.209053894723787</v>
      </c>
      <c r="E2840" s="0" t="n">
        <f aca="false">B2840/SUM($A2840:$C2840)</f>
        <v>0.165114648579098</v>
      </c>
      <c r="F2840" s="0" t="n">
        <f aca="false">C2840/SUM($A2840:$C2840)</f>
        <v>0.625831456697115</v>
      </c>
      <c r="G2840" s="0" t="n">
        <f aca="false">SUMPRODUCT(D2840:F2840,Stats!$B$6:$D$6)</f>
        <v>0.348727125920871</v>
      </c>
      <c r="H2840" s="0" t="n">
        <f aca="false">SQRT(SUMPRODUCT(MMULT(D2840:F2840,Stats!$B$12:$D$14),D2840:F2840))</f>
        <v>0.233992959152256</v>
      </c>
      <c r="I2840" s="0" t="n">
        <f aca="false">(G2840-Stats!$B$2)/H2840</f>
        <v>1.31083912538278</v>
      </c>
    </row>
    <row r="2841" customFormat="false" ht="15" hidden="false" customHeight="false" outlineLevel="0" collapsed="false">
      <c r="A2841" s="0" t="n">
        <v>0.92329950826993</v>
      </c>
      <c r="B2841" s="0" t="n">
        <v>0.45731660989282</v>
      </c>
      <c r="C2841" s="0" t="n">
        <v>0.846193866154373</v>
      </c>
      <c r="D2841" s="0" t="n">
        <f aca="false">A2841/SUM($A2841:$C2841)</f>
        <v>0.414628780530221</v>
      </c>
      <c r="E2841" s="0" t="n">
        <f aca="false">B2841/SUM($A2841:$C2841)</f>
        <v>0.205368492648043</v>
      </c>
      <c r="F2841" s="0" t="n">
        <f aca="false">C2841/SUM($A2841:$C2841)</f>
        <v>0.380002726821736</v>
      </c>
      <c r="G2841" s="0" t="n">
        <f aca="false">SUMPRODUCT(D2841:F2841,Stats!$B$6:$D$6)</f>
        <v>0.35782191268468</v>
      </c>
      <c r="H2841" s="0" t="n">
        <f aca="false">SQRT(SUMPRODUCT(MMULT(D2841:F2841,Stats!$B$12:$D$14),D2841:F2841))</f>
        <v>0.223807467416827</v>
      </c>
      <c r="I2841" s="0" t="n">
        <f aca="false">(G2841-Stats!$B$2)/H2841</f>
        <v>1.41113215001215</v>
      </c>
    </row>
    <row r="2842" customFormat="false" ht="15" hidden="false" customHeight="false" outlineLevel="0" collapsed="false">
      <c r="A2842" s="0" t="n">
        <v>0.452323477634296</v>
      </c>
      <c r="B2842" s="0" t="n">
        <v>0.42438901807251</v>
      </c>
      <c r="C2842" s="0" t="n">
        <v>0.156762947599295</v>
      </c>
      <c r="D2842" s="0" t="n">
        <f aca="false">A2842/SUM($A2842:$C2842)</f>
        <v>0.437672206498983</v>
      </c>
      <c r="E2842" s="0" t="n">
        <f aca="false">B2842/SUM($A2842:$C2842)</f>
        <v>0.410642575807011</v>
      </c>
      <c r="F2842" s="0" t="n">
        <f aca="false">C2842/SUM($A2842:$C2842)</f>
        <v>0.151685217694005</v>
      </c>
      <c r="G2842" s="0" t="n">
        <f aca="false">SUMPRODUCT(D2842:F2842,Stats!$B$6:$D$6)</f>
        <v>0.375928885247267</v>
      </c>
      <c r="H2842" s="0" t="n">
        <f aca="false">SQRT(SUMPRODUCT(MMULT(D2842:F2842,Stats!$B$12:$D$14),D2842:F2842))</f>
        <v>0.226018402450072</v>
      </c>
      <c r="I2842" s="0" t="n">
        <f aca="false">(G2842-Stats!$B$2)/H2842</f>
        <v>1.4774411358873</v>
      </c>
    </row>
    <row r="2843" customFormat="false" ht="15" hidden="false" customHeight="false" outlineLevel="0" collapsed="false">
      <c r="A2843" s="0" t="n">
        <v>0.426406056491973</v>
      </c>
      <c r="B2843" s="0" t="n">
        <v>0.537416938599807</v>
      </c>
      <c r="C2843" s="0" t="n">
        <v>0.0225043274286865</v>
      </c>
      <c r="D2843" s="0" t="n">
        <f aca="false">A2843/SUM($A2843:$C2843)</f>
        <v>0.432316987227255</v>
      </c>
      <c r="E2843" s="0" t="n">
        <f aca="false">B2843/SUM($A2843:$C2843)</f>
        <v>0.54486672560838</v>
      </c>
      <c r="F2843" s="0" t="n">
        <f aca="false">C2843/SUM($A2843:$C2843)</f>
        <v>0.0228162871643653</v>
      </c>
      <c r="G2843" s="0" t="n">
        <f aca="false">SUMPRODUCT(D2843:F2843,Stats!$B$6:$D$6)</f>
        <v>0.387205480297678</v>
      </c>
      <c r="H2843" s="0" t="n">
        <f aca="false">SQRT(SUMPRODUCT(MMULT(D2843:F2843,Stats!$B$12:$D$14),D2843:F2843))</f>
        <v>0.230502018911896</v>
      </c>
      <c r="I2843" s="0" t="n">
        <f aca="false">(G2843-Stats!$B$2)/H2843</f>
        <v>1.49762454110922</v>
      </c>
    </row>
    <row r="2844" customFormat="false" ht="15" hidden="false" customHeight="false" outlineLevel="0" collapsed="false">
      <c r="A2844" s="0" t="n">
        <v>0.444113005175406</v>
      </c>
      <c r="B2844" s="0" t="n">
        <v>0.7813562183952</v>
      </c>
      <c r="C2844" s="0" t="n">
        <v>0.68004605637427</v>
      </c>
      <c r="D2844" s="0" t="n">
        <f aca="false">A2844/SUM($A2844:$C2844)</f>
        <v>0.23306714454069</v>
      </c>
      <c r="E2844" s="0" t="n">
        <f aca="false">B2844/SUM($A2844:$C2844)</f>
        <v>0.410049830940114</v>
      </c>
      <c r="F2844" s="0" t="n">
        <f aca="false">C2844/SUM($A2844:$C2844)</f>
        <v>0.356883024519196</v>
      </c>
      <c r="G2844" s="0" t="n">
        <f aca="false">SUMPRODUCT(D2844:F2844,Stats!$B$6:$D$6)</f>
        <v>0.370236528874821</v>
      </c>
      <c r="H2844" s="0" t="n">
        <f aca="false">SQRT(SUMPRODUCT(MMULT(D2844:F2844,Stats!$B$12:$D$14),D2844:F2844))</f>
        <v>0.230216386384342</v>
      </c>
      <c r="I2844" s="0" t="n">
        <f aca="false">(G2844-Stats!$B$2)/H2844</f>
        <v>1.42577396001185</v>
      </c>
    </row>
    <row r="2845" customFormat="false" ht="15" hidden="false" customHeight="false" outlineLevel="0" collapsed="false">
      <c r="A2845" s="0" t="n">
        <v>0.635156988863935</v>
      </c>
      <c r="B2845" s="0" t="n">
        <v>0.909555428437203</v>
      </c>
      <c r="C2845" s="0" t="n">
        <v>0.01803200982523</v>
      </c>
      <c r="D2845" s="0" t="n">
        <f aca="false">A2845/SUM($A2845:$C2845)</f>
        <v>0.406436892583828</v>
      </c>
      <c r="E2845" s="0" t="n">
        <f aca="false">B2845/SUM($A2845:$C2845)</f>
        <v>0.582024426162714</v>
      </c>
      <c r="F2845" s="0" t="n">
        <f aca="false">C2845/SUM($A2845:$C2845)</f>
        <v>0.0115386812534587</v>
      </c>
      <c r="G2845" s="0" t="n">
        <f aca="false">SUMPRODUCT(D2845:F2845,Stats!$B$6:$D$6)</f>
        <v>0.389654461940701</v>
      </c>
      <c r="H2845" s="0" t="n">
        <f aca="false">SQRT(SUMPRODUCT(MMULT(D2845:F2845,Stats!$B$12:$D$14),D2845:F2845))</f>
        <v>0.231793401102256</v>
      </c>
      <c r="I2845" s="0" t="n">
        <f aca="false">(G2845-Stats!$B$2)/H2845</f>
        <v>1.49984624362681</v>
      </c>
    </row>
    <row r="2846" customFormat="false" ht="15" hidden="false" customHeight="false" outlineLevel="0" collapsed="false">
      <c r="A2846" s="0" t="n">
        <v>0.557047586192234</v>
      </c>
      <c r="B2846" s="0" t="n">
        <v>0.787348848409707</v>
      </c>
      <c r="C2846" s="0" t="n">
        <v>0.541335382701267</v>
      </c>
      <c r="D2846" s="0" t="n">
        <f aca="false">A2846/SUM($A2846:$C2846)</f>
        <v>0.295401276618894</v>
      </c>
      <c r="E2846" s="0" t="n">
        <f aca="false">B2846/SUM($A2846:$C2846)</f>
        <v>0.41752959842174</v>
      </c>
      <c r="F2846" s="0" t="n">
        <f aca="false">C2846/SUM($A2846:$C2846)</f>
        <v>0.287069124959366</v>
      </c>
      <c r="G2846" s="0" t="n">
        <f aca="false">SUMPRODUCT(D2846:F2846,Stats!$B$6:$D$6)</f>
        <v>0.372591996443365</v>
      </c>
      <c r="H2846" s="0" t="n">
        <f aca="false">SQRT(SUMPRODUCT(MMULT(D2846:F2846,Stats!$B$12:$D$14),D2846:F2846))</f>
        <v>0.228176286035149</v>
      </c>
      <c r="I2846" s="0" t="n">
        <f aca="false">(G2846-Stats!$B$2)/H2846</f>
        <v>1.44884467263369</v>
      </c>
    </row>
    <row r="2847" customFormat="false" ht="15" hidden="false" customHeight="false" outlineLevel="0" collapsed="false">
      <c r="A2847" s="0" t="n">
        <v>0.323895552580379</v>
      </c>
      <c r="B2847" s="0" t="n">
        <v>0.136250565091978</v>
      </c>
      <c r="C2847" s="0" t="n">
        <v>0.887563071816191</v>
      </c>
      <c r="D2847" s="0" t="n">
        <f aca="false">A2847/SUM($A2847:$C2847)</f>
        <v>0.240330447478285</v>
      </c>
      <c r="E2847" s="0" t="n">
        <f aca="false">B2847/SUM($A2847:$C2847)</f>
        <v>0.101097897198196</v>
      </c>
      <c r="F2847" s="0" t="n">
        <f aca="false">C2847/SUM($A2847:$C2847)</f>
        <v>0.658571655323519</v>
      </c>
      <c r="G2847" s="0" t="n">
        <f aca="false">SUMPRODUCT(D2847:F2847,Stats!$B$6:$D$6)</f>
        <v>0.344140886517093</v>
      </c>
      <c r="H2847" s="0" t="n">
        <f aca="false">SQRT(SUMPRODUCT(MMULT(D2847:F2847,Stats!$B$12:$D$14),D2847:F2847))</f>
        <v>0.233690787950739</v>
      </c>
      <c r="I2847" s="0" t="n">
        <f aca="false">(G2847-Stats!$B$2)/H2847</f>
        <v>1.29290884406099</v>
      </c>
    </row>
    <row r="2848" customFormat="false" ht="15" hidden="false" customHeight="false" outlineLevel="0" collapsed="false">
      <c r="A2848" s="0" t="n">
        <v>0.470762392387603</v>
      </c>
      <c r="B2848" s="0" t="n">
        <v>0.878115196985701</v>
      </c>
      <c r="C2848" s="0" t="n">
        <v>0.585852122433168</v>
      </c>
      <c r="D2848" s="0" t="n">
        <f aca="false">A2848/SUM($A2848:$C2848)</f>
        <v>0.243322046234587</v>
      </c>
      <c r="E2848" s="0" t="n">
        <f aca="false">B2848/SUM($A2848:$C2848)</f>
        <v>0.453869701605915</v>
      </c>
      <c r="F2848" s="0" t="n">
        <f aca="false">C2848/SUM($A2848:$C2848)</f>
        <v>0.302808252159499</v>
      </c>
      <c r="G2848" s="0" t="n">
        <f aca="false">SUMPRODUCT(D2848:F2848,Stats!$B$6:$D$6)</f>
        <v>0.37424895856755</v>
      </c>
      <c r="H2848" s="0" t="n">
        <f aca="false">SQRT(SUMPRODUCT(MMULT(D2848:F2848,Stats!$B$12:$D$14),D2848:F2848))</f>
        <v>0.230225820110299</v>
      </c>
      <c r="I2848" s="0" t="n">
        <f aca="false">(G2848-Stats!$B$2)/H2848</f>
        <v>1.44314377252896</v>
      </c>
    </row>
    <row r="2849" customFormat="false" ht="15" hidden="false" customHeight="false" outlineLevel="0" collapsed="false">
      <c r="A2849" s="0" t="n">
        <v>0.674192116615001</v>
      </c>
      <c r="B2849" s="0" t="n">
        <v>0.80426115437845</v>
      </c>
      <c r="C2849" s="0" t="n">
        <v>0.659155544600134</v>
      </c>
      <c r="D2849" s="0" t="n">
        <f aca="false">A2849/SUM($A2849:$C2849)</f>
        <v>0.315395460430765</v>
      </c>
      <c r="E2849" s="0" t="n">
        <f aca="false">B2849/SUM($A2849:$C2849)</f>
        <v>0.376243374611607</v>
      </c>
      <c r="F2849" s="0" t="n">
        <f aca="false">C2849/SUM($A2849:$C2849)</f>
        <v>0.308361164957628</v>
      </c>
      <c r="G2849" s="0" t="n">
        <f aca="false">SUMPRODUCT(D2849:F2849,Stats!$B$6:$D$6)</f>
        <v>0.369629320747441</v>
      </c>
      <c r="H2849" s="0" t="n">
        <f aca="false">SQRT(SUMPRODUCT(MMULT(D2849:F2849,Stats!$B$12:$D$14),D2849:F2849))</f>
        <v>0.227159196490231</v>
      </c>
      <c r="I2849" s="0" t="n">
        <f aca="false">(G2849-Stats!$B$2)/H2849</f>
        <v>1.44228948600604</v>
      </c>
    </row>
    <row r="2850" customFormat="false" ht="15" hidden="false" customHeight="false" outlineLevel="0" collapsed="false">
      <c r="A2850" s="0" t="n">
        <v>0.398054840678938</v>
      </c>
      <c r="B2850" s="0" t="n">
        <v>0.513633383928651</v>
      </c>
      <c r="C2850" s="0" t="n">
        <v>0.80304552467588</v>
      </c>
      <c r="D2850" s="0" t="n">
        <f aca="false">A2850/SUM($A2850:$C2850)</f>
        <v>0.232137986929616</v>
      </c>
      <c r="E2850" s="0" t="n">
        <f aca="false">B2850/SUM($A2850:$C2850)</f>
        <v>0.299541187746075</v>
      </c>
      <c r="F2850" s="0" t="n">
        <f aca="false">C2850/SUM($A2850:$C2850)</f>
        <v>0.468320825324309</v>
      </c>
      <c r="G2850" s="0" t="n">
        <f aca="false">SUMPRODUCT(D2850:F2850,Stats!$B$6:$D$6)</f>
        <v>0.360805150078005</v>
      </c>
      <c r="H2850" s="0" t="n">
        <f aca="false">SQRT(SUMPRODUCT(MMULT(D2850:F2850,Stats!$B$12:$D$14),D2850:F2850))</f>
        <v>0.230369802276673</v>
      </c>
      <c r="I2850" s="0" t="n">
        <f aca="false">(G2850-Stats!$B$2)/H2850</f>
        <v>1.38388428920524</v>
      </c>
    </row>
    <row r="2851" customFormat="false" ht="15" hidden="false" customHeight="false" outlineLevel="0" collapsed="false">
      <c r="A2851" s="0" t="n">
        <v>0.373650296372984</v>
      </c>
      <c r="B2851" s="0" t="n">
        <v>0.388121456768497</v>
      </c>
      <c r="C2851" s="0" t="n">
        <v>0.0956901160580012</v>
      </c>
      <c r="D2851" s="0" t="n">
        <f aca="false">A2851/SUM($A2851:$C2851)</f>
        <v>0.435763163115137</v>
      </c>
      <c r="E2851" s="0" t="n">
        <f aca="false">B2851/SUM($A2851:$C2851)</f>
        <v>0.452639902379383</v>
      </c>
      <c r="F2851" s="0" t="n">
        <f aca="false">C2851/SUM($A2851:$C2851)</f>
        <v>0.11159693450548</v>
      </c>
      <c r="G2851" s="0" t="n">
        <f aca="false">SUMPRODUCT(D2851:F2851,Stats!$B$6:$D$6)</f>
        <v>0.379450776052324</v>
      </c>
      <c r="H2851" s="0" t="n">
        <f aca="false">SQRT(SUMPRODUCT(MMULT(D2851:F2851,Stats!$B$12:$D$14),D2851:F2851))</f>
        <v>0.227207495711971</v>
      </c>
      <c r="I2851" s="0" t="n">
        <f aca="false">(G2851-Stats!$B$2)/H2851</f>
        <v>1.48520969783544</v>
      </c>
    </row>
    <row r="2852" customFormat="false" ht="15" hidden="false" customHeight="false" outlineLevel="0" collapsed="false">
      <c r="A2852" s="0" t="n">
        <v>0.914584435221748</v>
      </c>
      <c r="B2852" s="0" t="n">
        <v>0.0910363149454417</v>
      </c>
      <c r="C2852" s="0" t="n">
        <v>0.648209177448556</v>
      </c>
      <c r="D2852" s="0" t="n">
        <f aca="false">A2852/SUM($A2852:$C2852)</f>
        <v>0.553009967923524</v>
      </c>
      <c r="E2852" s="0" t="n">
        <f aca="false">B2852/SUM($A2852:$C2852)</f>
        <v>0.0550457537533408</v>
      </c>
      <c r="F2852" s="0" t="n">
        <f aca="false">C2852/SUM($A2852:$C2852)</f>
        <v>0.391944278323135</v>
      </c>
      <c r="G2852" s="0" t="n">
        <f aca="false">SUMPRODUCT(D2852:F2852,Stats!$B$6:$D$6)</f>
        <v>0.348843253157904</v>
      </c>
      <c r="H2852" s="0" t="n">
        <f aca="false">SQRT(SUMPRODUCT(MMULT(D2852:F2852,Stats!$B$12:$D$14),D2852:F2852))</f>
        <v>0.221727288459403</v>
      </c>
      <c r="I2852" s="0" t="n">
        <f aca="false">(G2852-Stats!$B$2)/H2852</f>
        <v>1.38387681232157</v>
      </c>
    </row>
    <row r="2853" customFormat="false" ht="15" hidden="false" customHeight="false" outlineLevel="0" collapsed="false">
      <c r="A2853" s="0" t="n">
        <v>0.413194478802798</v>
      </c>
      <c r="B2853" s="0" t="n">
        <v>0.405619390255442</v>
      </c>
      <c r="C2853" s="0" t="n">
        <v>0.679551836572684</v>
      </c>
      <c r="D2853" s="0" t="n">
        <f aca="false">A2853/SUM($A2853:$C2853)</f>
        <v>0.275763438291463</v>
      </c>
      <c r="E2853" s="0" t="n">
        <f aca="false">B2853/SUM($A2853:$C2853)</f>
        <v>0.270707871069864</v>
      </c>
      <c r="F2853" s="0" t="n">
        <f aca="false">C2853/SUM($A2853:$C2853)</f>
        <v>0.453528690638673</v>
      </c>
      <c r="G2853" s="0" t="n">
        <f aca="false">SUMPRODUCT(D2853:F2853,Stats!$B$6:$D$6)</f>
        <v>0.35955400577929</v>
      </c>
      <c r="H2853" s="0" t="n">
        <f aca="false">SQRT(SUMPRODUCT(MMULT(D2853:F2853,Stats!$B$12:$D$14),D2853:F2853))</f>
        <v>0.228480338655542</v>
      </c>
      <c r="I2853" s="0" t="n">
        <f aca="false">(G2853-Stats!$B$2)/H2853</f>
        <v>1.38985265711653</v>
      </c>
    </row>
    <row r="2854" customFormat="false" ht="15" hidden="false" customHeight="false" outlineLevel="0" collapsed="false">
      <c r="A2854" s="0" t="n">
        <v>0.0670937326298787</v>
      </c>
      <c r="B2854" s="0" t="n">
        <v>0.593705782951435</v>
      </c>
      <c r="C2854" s="0" t="n">
        <v>0.772031785972355</v>
      </c>
      <c r="D2854" s="0" t="n">
        <f aca="false">A2854/SUM($A2854:$C2854)</f>
        <v>0.0468259819262231</v>
      </c>
      <c r="E2854" s="0" t="n">
        <f aca="false">B2854/SUM($A2854:$C2854)</f>
        <v>0.414358467956178</v>
      </c>
      <c r="F2854" s="0" t="n">
        <f aca="false">C2854/SUM($A2854:$C2854)</f>
        <v>0.538815550117599</v>
      </c>
      <c r="G2854" s="0" t="n">
        <f aca="false">SUMPRODUCT(D2854:F2854,Stats!$B$6:$D$6)</f>
        <v>0.365467722853718</v>
      </c>
      <c r="H2854" s="0" t="n">
        <f aca="false">SQRT(SUMPRODUCT(MMULT(D2854:F2854,Stats!$B$12:$D$14),D2854:F2854))</f>
        <v>0.240704452333916</v>
      </c>
      <c r="I2854" s="0" t="n">
        <f aca="false">(G2854-Stats!$B$2)/H2854</f>
        <v>1.3438377218091</v>
      </c>
    </row>
    <row r="2855" customFormat="false" ht="15" hidden="false" customHeight="false" outlineLevel="0" collapsed="false">
      <c r="A2855" s="0" t="n">
        <v>0.828212757886594</v>
      </c>
      <c r="B2855" s="0" t="n">
        <v>0.170530389393775</v>
      </c>
      <c r="C2855" s="0" t="n">
        <v>0.897419050078174</v>
      </c>
      <c r="D2855" s="0" t="n">
        <f aca="false">A2855/SUM($A2855:$C2855)</f>
        <v>0.436783709241931</v>
      </c>
      <c r="E2855" s="0" t="n">
        <f aca="false">B2855/SUM($A2855:$C2855)</f>
        <v>0.0899344948609003</v>
      </c>
      <c r="F2855" s="0" t="n">
        <f aca="false">C2855/SUM($A2855:$C2855)</f>
        <v>0.473281795897169</v>
      </c>
      <c r="G2855" s="0" t="n">
        <f aca="false">SUMPRODUCT(D2855:F2855,Stats!$B$6:$D$6)</f>
        <v>0.348607855402569</v>
      </c>
      <c r="H2855" s="0" t="n">
        <f aca="false">SQRT(SUMPRODUCT(MMULT(D2855:F2855,Stats!$B$12:$D$14),D2855:F2855))</f>
        <v>0.224047684248298</v>
      </c>
      <c r="I2855" s="0" t="n">
        <f aca="false">(G2855-Stats!$B$2)/H2855</f>
        <v>1.36849374913768</v>
      </c>
    </row>
    <row r="2856" customFormat="false" ht="15" hidden="false" customHeight="false" outlineLevel="0" collapsed="false">
      <c r="A2856" s="0" t="n">
        <v>0.656146091847442</v>
      </c>
      <c r="B2856" s="0" t="n">
        <v>0.881854800820683</v>
      </c>
      <c r="C2856" s="0" t="n">
        <v>0.485280717110198</v>
      </c>
      <c r="D2856" s="0" t="n">
        <f aca="false">A2856/SUM($A2856:$C2856)</f>
        <v>0.324297956684009</v>
      </c>
      <c r="E2856" s="0" t="n">
        <f aca="false">B2856/SUM($A2856:$C2856)</f>
        <v>0.435853712384259</v>
      </c>
      <c r="F2856" s="0" t="n">
        <f aca="false">C2856/SUM($A2856:$C2856)</f>
        <v>0.239848330931732</v>
      </c>
      <c r="G2856" s="0" t="n">
        <f aca="false">SUMPRODUCT(D2856:F2856,Stats!$B$6:$D$6)</f>
        <v>0.374948437477572</v>
      </c>
      <c r="H2856" s="0" t="n">
        <f aca="false">SQRT(SUMPRODUCT(MMULT(D2856:F2856,Stats!$B$12:$D$14),D2856:F2856))</f>
        <v>0.227764507554153</v>
      </c>
      <c r="I2856" s="0" t="n">
        <f aca="false">(G2856-Stats!$B$2)/H2856</f>
        <v>1.46181001180972</v>
      </c>
    </row>
    <row r="2857" customFormat="false" ht="15" hidden="false" customHeight="false" outlineLevel="0" collapsed="false">
      <c r="A2857" s="0" t="n">
        <v>0.542033345097202</v>
      </c>
      <c r="B2857" s="0" t="n">
        <v>0.919038277028671</v>
      </c>
      <c r="C2857" s="0" t="n">
        <v>0.899909543354672</v>
      </c>
      <c r="D2857" s="0" t="n">
        <f aca="false">A2857/SUM($A2857:$C2857)</f>
        <v>0.229579698907458</v>
      </c>
      <c r="E2857" s="0" t="n">
        <f aca="false">B2857/SUM($A2857:$C2857)</f>
        <v>0.389261164157408</v>
      </c>
      <c r="F2857" s="0" t="n">
        <f aca="false">C2857/SUM($A2857:$C2857)</f>
        <v>0.381159136935134</v>
      </c>
      <c r="G2857" s="0" t="n">
        <f aca="false">SUMPRODUCT(D2857:F2857,Stats!$B$6:$D$6)</f>
        <v>0.368370971431604</v>
      </c>
      <c r="H2857" s="0" t="n">
        <f aca="false">SQRT(SUMPRODUCT(MMULT(D2857:F2857,Stats!$B$12:$D$14),D2857:F2857))</f>
        <v>0.230271375889378</v>
      </c>
      <c r="I2857" s="0" t="n">
        <f aca="false">(G2857-Stats!$B$2)/H2857</f>
        <v>1.41733192052664</v>
      </c>
    </row>
    <row r="2858" customFormat="false" ht="15" hidden="false" customHeight="false" outlineLevel="0" collapsed="false">
      <c r="A2858" s="0" t="n">
        <v>0.448160873369002</v>
      </c>
      <c r="B2858" s="0" t="n">
        <v>0.274412631635682</v>
      </c>
      <c r="C2858" s="0" t="n">
        <v>0.393170434564264</v>
      </c>
      <c r="D2858" s="0" t="n">
        <f aca="false">A2858/SUM($A2858:$C2858)</f>
        <v>0.401670004626817</v>
      </c>
      <c r="E2858" s="0" t="n">
        <f aca="false">B2858/SUM($A2858:$C2858)</f>
        <v>0.245945885882828</v>
      </c>
      <c r="F2858" s="0" t="n">
        <f aca="false">C2858/SUM($A2858:$C2858)</f>
        <v>0.352384109490355</v>
      </c>
      <c r="G2858" s="0" t="n">
        <f aca="false">SUMPRODUCT(D2858:F2858,Stats!$B$6:$D$6)</f>
        <v>0.360918256123352</v>
      </c>
      <c r="H2858" s="0" t="n">
        <f aca="false">SQRT(SUMPRODUCT(MMULT(D2858:F2858,Stats!$B$12:$D$14),D2858:F2858))</f>
        <v>0.224141242772852</v>
      </c>
      <c r="I2858" s="0" t="n">
        <f aca="false">(G2858-Stats!$B$2)/H2858</f>
        <v>1.42284504260801</v>
      </c>
    </row>
    <row r="2859" customFormat="false" ht="15" hidden="false" customHeight="false" outlineLevel="0" collapsed="false">
      <c r="A2859" s="0" t="n">
        <v>0.38776432852975</v>
      </c>
      <c r="B2859" s="0" t="n">
        <v>0.286866874982794</v>
      </c>
      <c r="C2859" s="0" t="n">
        <v>0.268579604332967</v>
      </c>
      <c r="D2859" s="0" t="n">
        <f aca="false">A2859/SUM($A2859:$C2859)</f>
        <v>0.411110989509847</v>
      </c>
      <c r="E2859" s="0" t="n">
        <f aca="false">B2859/SUM($A2859:$C2859)</f>
        <v>0.304138664015161</v>
      </c>
      <c r="F2859" s="0" t="n">
        <f aca="false">C2859/SUM($A2859:$C2859)</f>
        <v>0.284750346474993</v>
      </c>
      <c r="G2859" s="0" t="n">
        <f aca="false">SUMPRODUCT(D2859:F2859,Stats!$B$6:$D$6)</f>
        <v>0.366131568261483</v>
      </c>
      <c r="H2859" s="0" t="n">
        <f aca="false">SQRT(SUMPRODUCT(MMULT(D2859:F2859,Stats!$B$12:$D$14),D2859:F2859))</f>
        <v>0.224312567629958</v>
      </c>
      <c r="I2859" s="0" t="n">
        <f aca="false">(G2859-Stats!$B$2)/H2859</f>
        <v>1.44499959001938</v>
      </c>
    </row>
    <row r="2860" customFormat="false" ht="15" hidden="false" customHeight="false" outlineLevel="0" collapsed="false">
      <c r="A2860" s="0" t="n">
        <v>0.861062936479719</v>
      </c>
      <c r="B2860" s="0" t="n">
        <v>0.0698619206846617</v>
      </c>
      <c r="C2860" s="0" t="n">
        <v>0.677611182099594</v>
      </c>
      <c r="D2860" s="0" t="n">
        <f aca="false">A2860/SUM($A2860:$C2860)</f>
        <v>0.535308451574215</v>
      </c>
      <c r="E2860" s="0" t="n">
        <f aca="false">B2860/SUM($A2860:$C2860)</f>
        <v>0.0434319896970594</v>
      </c>
      <c r="F2860" s="0" t="n">
        <f aca="false">C2860/SUM($A2860:$C2860)</f>
        <v>0.421259558728726</v>
      </c>
      <c r="G2860" s="0" t="n">
        <f aca="false">SUMPRODUCT(D2860:F2860,Stats!$B$6:$D$6)</f>
        <v>0.347366654623572</v>
      </c>
      <c r="H2860" s="0" t="n">
        <f aca="false">SQRT(SUMPRODUCT(MMULT(D2860:F2860,Stats!$B$12:$D$14),D2860:F2860))</f>
        <v>0.222100264135746</v>
      </c>
      <c r="I2860" s="0" t="n">
        <f aca="false">(G2860-Stats!$B$2)/H2860</f>
        <v>1.37490450905963</v>
      </c>
    </row>
    <row r="2861" customFormat="false" ht="15" hidden="false" customHeight="false" outlineLevel="0" collapsed="false">
      <c r="A2861" s="0" t="n">
        <v>0.172820051456452</v>
      </c>
      <c r="B2861" s="0" t="n">
        <v>0.344505893394063</v>
      </c>
      <c r="C2861" s="0" t="n">
        <v>0.0615430341348369</v>
      </c>
      <c r="D2861" s="0" t="n">
        <f aca="false">A2861/SUM($A2861:$C2861)</f>
        <v>0.298547784957095</v>
      </c>
      <c r="E2861" s="0" t="n">
        <f aca="false">B2861/SUM($A2861:$C2861)</f>
        <v>0.595136215448817</v>
      </c>
      <c r="F2861" s="0" t="n">
        <f aca="false">C2861/SUM($A2861:$C2861)</f>
        <v>0.106315999594088</v>
      </c>
      <c r="G2861" s="0" t="n">
        <f aca="false">SUMPRODUCT(D2861:F2861,Stats!$B$6:$D$6)</f>
        <v>0.387795449225997</v>
      </c>
      <c r="H2861" s="0" t="n">
        <f aca="false">SQRT(SUMPRODUCT(MMULT(D2861:F2861,Stats!$B$12:$D$14),D2861:F2861))</f>
        <v>0.232291821956833</v>
      </c>
      <c r="I2861" s="0" t="n">
        <f aca="false">(G2861-Stats!$B$2)/H2861</f>
        <v>1.488625153968</v>
      </c>
    </row>
    <row r="2862" customFormat="false" ht="15" hidden="false" customHeight="false" outlineLevel="0" collapsed="false">
      <c r="A2862" s="0" t="n">
        <v>0.269973636855462</v>
      </c>
      <c r="B2862" s="0" t="n">
        <v>0.768421071117242</v>
      </c>
      <c r="C2862" s="0" t="n">
        <v>0.885015324547259</v>
      </c>
      <c r="D2862" s="0" t="n">
        <f aca="false">A2862/SUM($A2862:$C2862)</f>
        <v>0.140361978096659</v>
      </c>
      <c r="E2862" s="0" t="n">
        <f aca="false">B2862/SUM($A2862:$C2862)</f>
        <v>0.399509755135514</v>
      </c>
      <c r="F2862" s="0" t="n">
        <f aca="false">C2862/SUM($A2862:$C2862)</f>
        <v>0.460128266767826</v>
      </c>
      <c r="G2862" s="0" t="n">
        <f aca="false">SUMPRODUCT(D2862:F2862,Stats!$B$6:$D$6)</f>
        <v>0.36678311870998</v>
      </c>
      <c r="H2862" s="0" t="n">
        <f aca="false">SQRT(SUMPRODUCT(MMULT(D2862:F2862,Stats!$B$12:$D$14),D2862:F2862))</f>
        <v>0.234746189762274</v>
      </c>
      <c r="I2862" s="0" t="n">
        <f aca="false">(G2862-Stats!$B$2)/H2862</f>
        <v>1.38355011870006</v>
      </c>
    </row>
    <row r="2863" customFormat="false" ht="15" hidden="false" customHeight="false" outlineLevel="0" collapsed="false">
      <c r="A2863" s="0" t="n">
        <v>0.221527151902367</v>
      </c>
      <c r="B2863" s="0" t="n">
        <v>0.463547839258922</v>
      </c>
      <c r="C2863" s="0" t="n">
        <v>0.470324047937206</v>
      </c>
      <c r="D2863" s="0" t="n">
        <f aca="false">A2863/SUM($A2863:$C2863)</f>
        <v>0.19173215867932</v>
      </c>
      <c r="E2863" s="0" t="n">
        <f aca="false">B2863/SUM($A2863:$C2863)</f>
        <v>0.401201510103909</v>
      </c>
      <c r="F2863" s="0" t="n">
        <f aca="false">C2863/SUM($A2863:$C2863)</f>
        <v>0.407066331216771</v>
      </c>
      <c r="G2863" s="0" t="n">
        <f aca="false">SUMPRODUCT(D2863:F2863,Stats!$B$6:$D$6)</f>
        <v>0.368343622565393</v>
      </c>
      <c r="H2863" s="0" t="n">
        <f aca="false">SQRT(SUMPRODUCT(MMULT(D2863:F2863,Stats!$B$12:$D$14),D2863:F2863))</f>
        <v>0.232016679245044</v>
      </c>
      <c r="I2863" s="0" t="n">
        <f aca="false">(G2863-Stats!$B$2)/H2863</f>
        <v>1.40655242384848</v>
      </c>
    </row>
    <row r="2864" customFormat="false" ht="15" hidden="false" customHeight="false" outlineLevel="0" collapsed="false">
      <c r="A2864" s="0" t="n">
        <v>0.873575305759734</v>
      </c>
      <c r="B2864" s="0" t="n">
        <v>0.762799052875805</v>
      </c>
      <c r="C2864" s="0" t="n">
        <v>0.51307721836805</v>
      </c>
      <c r="D2864" s="0" t="n">
        <f aca="false">A2864/SUM($A2864:$C2864)</f>
        <v>0.406417764934034</v>
      </c>
      <c r="E2864" s="0" t="n">
        <f aca="false">B2864/SUM($A2864:$C2864)</f>
        <v>0.354880780305446</v>
      </c>
      <c r="F2864" s="0" t="n">
        <f aca="false">C2864/SUM($A2864:$C2864)</f>
        <v>0.23870145476052</v>
      </c>
      <c r="G2864" s="0" t="n">
        <f aca="false">SUMPRODUCT(D2864:F2864,Stats!$B$6:$D$6)</f>
        <v>0.370320984436281</v>
      </c>
      <c r="H2864" s="0" t="n">
        <f aca="false">SQRT(SUMPRODUCT(MMULT(D2864:F2864,Stats!$B$12:$D$14),D2864:F2864))</f>
        <v>0.225050326701569</v>
      </c>
      <c r="I2864" s="0" t="n">
        <f aca="false">(G2864-Stats!$B$2)/H2864</f>
        <v>1.45887806184639</v>
      </c>
    </row>
    <row r="2865" customFormat="false" ht="15" hidden="false" customHeight="false" outlineLevel="0" collapsed="false">
      <c r="A2865" s="0" t="n">
        <v>0.670747200471773</v>
      </c>
      <c r="B2865" s="0" t="n">
        <v>0.847355053909367</v>
      </c>
      <c r="C2865" s="0" t="n">
        <v>0.00953895402554494</v>
      </c>
      <c r="D2865" s="0" t="n">
        <f aca="false">A2865/SUM($A2865:$C2865)</f>
        <v>0.439073780401195</v>
      </c>
      <c r="E2865" s="0" t="n">
        <f aca="false">B2865/SUM($A2865:$C2865)</f>
        <v>0.554681982422528</v>
      </c>
      <c r="F2865" s="0" t="n">
        <f aca="false">C2865/SUM($A2865:$C2865)</f>
        <v>0.00624423717627648</v>
      </c>
      <c r="G2865" s="0" t="n">
        <f aca="false">SUMPRODUCT(D2865:F2865,Stats!$B$6:$D$6)</f>
        <v>0.388227205375602</v>
      </c>
      <c r="H2865" s="0" t="n">
        <f aca="false">SQRT(SUMPRODUCT(MMULT(D2865:F2865,Stats!$B$12:$D$14),D2865:F2865))</f>
        <v>0.230997038955826</v>
      </c>
      <c r="I2865" s="0" t="n">
        <f aca="false">(G2865-Stats!$B$2)/H2865</f>
        <v>1.49883828355831</v>
      </c>
    </row>
    <row r="2866" customFormat="false" ht="15" hidden="false" customHeight="false" outlineLevel="0" collapsed="false">
      <c r="A2866" s="0" t="n">
        <v>0.402890031050049</v>
      </c>
      <c r="B2866" s="0" t="n">
        <v>0.907243167277079</v>
      </c>
      <c r="C2866" s="0" t="n">
        <v>0.740313030843951</v>
      </c>
      <c r="D2866" s="0" t="n">
        <f aca="false">A2866/SUM($A2866:$C2866)</f>
        <v>0.196488952169657</v>
      </c>
      <c r="E2866" s="0" t="n">
        <f aca="false">B2866/SUM($A2866:$C2866)</f>
        <v>0.442461330792295</v>
      </c>
      <c r="F2866" s="0" t="n">
        <f aca="false">C2866/SUM($A2866:$C2866)</f>
        <v>0.361049717038048</v>
      </c>
      <c r="G2866" s="0" t="n">
        <f aca="false">SUMPRODUCT(D2866:F2866,Stats!$B$6:$D$6)</f>
        <v>0.371986549683319</v>
      </c>
      <c r="H2866" s="0" t="n">
        <f aca="false">SQRT(SUMPRODUCT(MMULT(D2866:F2866,Stats!$B$12:$D$14),D2866:F2866))</f>
        <v>0.231936719941612</v>
      </c>
      <c r="I2866" s="0" t="n">
        <f aca="false">(G2866-Stats!$B$2)/H2866</f>
        <v>1.42274388361787</v>
      </c>
    </row>
    <row r="2867" customFormat="false" ht="15" hidden="false" customHeight="false" outlineLevel="0" collapsed="false">
      <c r="A2867" s="0" t="n">
        <v>0.542841374334075</v>
      </c>
      <c r="B2867" s="0" t="n">
        <v>0.529644527035133</v>
      </c>
      <c r="C2867" s="0" t="n">
        <v>0.347770097604438</v>
      </c>
      <c r="D2867" s="0" t="n">
        <f aca="false">A2867/SUM($A2867:$C2867)</f>
        <v>0.382213752116774</v>
      </c>
      <c r="E2867" s="0" t="n">
        <f aca="false">B2867/SUM($A2867:$C2867)</f>
        <v>0.372921872829887</v>
      </c>
      <c r="F2867" s="0" t="n">
        <f aca="false">C2867/SUM($A2867:$C2867)</f>
        <v>0.244864375053339</v>
      </c>
      <c r="G2867" s="0" t="n">
        <f aca="false">SUMPRODUCT(D2867:F2867,Stats!$B$6:$D$6)</f>
        <v>0.371189105393318</v>
      </c>
      <c r="H2867" s="0" t="n">
        <f aca="false">SQRT(SUMPRODUCT(MMULT(D2867:F2867,Stats!$B$12:$D$14),D2867:F2867))</f>
        <v>0.225673663795322</v>
      </c>
      <c r="I2867" s="0" t="n">
        <f aca="false">(G2867-Stats!$B$2)/H2867</f>
        <v>1.45869526756955</v>
      </c>
    </row>
    <row r="2868" customFormat="false" ht="15" hidden="false" customHeight="false" outlineLevel="0" collapsed="false">
      <c r="A2868" s="0" t="n">
        <v>0.520520533641515</v>
      </c>
      <c r="B2868" s="0" t="n">
        <v>0.655383199463453</v>
      </c>
      <c r="C2868" s="0" t="n">
        <v>0.418363038428793</v>
      </c>
      <c r="D2868" s="0" t="n">
        <f aca="false">A2868/SUM($A2868:$C2868)</f>
        <v>0.326495253451685</v>
      </c>
      <c r="E2868" s="0" t="n">
        <f aca="false">B2868/SUM($A2868:$C2868)</f>
        <v>0.411087536393262</v>
      </c>
      <c r="F2868" s="0" t="n">
        <f aca="false">C2868/SUM($A2868:$C2868)</f>
        <v>0.262417210155053</v>
      </c>
      <c r="G2868" s="0" t="n">
        <f aca="false">SUMPRODUCT(D2868:F2868,Stats!$B$6:$D$6)</f>
        <v>0.372901095601148</v>
      </c>
      <c r="H2868" s="0" t="n">
        <f aca="false">SQRT(SUMPRODUCT(MMULT(D2868:F2868,Stats!$B$12:$D$14),D2868:F2868))</f>
        <v>0.227311283422647</v>
      </c>
      <c r="I2868" s="0" t="n">
        <f aca="false">(G2868-Stats!$B$2)/H2868</f>
        <v>1.45571786239002</v>
      </c>
    </row>
    <row r="2869" customFormat="false" ht="15" hidden="false" customHeight="false" outlineLevel="0" collapsed="false">
      <c r="A2869" s="0" t="n">
        <v>0.714153146392174</v>
      </c>
      <c r="B2869" s="0" t="n">
        <v>0.861232227260386</v>
      </c>
      <c r="C2869" s="0" t="n">
        <v>0.154684848184861</v>
      </c>
      <c r="D2869" s="0" t="n">
        <f aca="false">A2869/SUM($A2869:$C2869)</f>
        <v>0.412788531574</v>
      </c>
      <c r="E2869" s="0" t="n">
        <f aca="false">B2869/SUM($A2869:$C2869)</f>
        <v>0.497801890576276</v>
      </c>
      <c r="F2869" s="0" t="n">
        <f aca="false">C2869/SUM($A2869:$C2869)</f>
        <v>0.0894095778497234</v>
      </c>
      <c r="G2869" s="0" t="n">
        <f aca="false">SUMPRODUCT(D2869:F2869,Stats!$B$6:$D$6)</f>
        <v>0.382661146227232</v>
      </c>
      <c r="H2869" s="0" t="n">
        <f aca="false">SQRT(SUMPRODUCT(MMULT(D2869:F2869,Stats!$B$12:$D$14),D2869:F2869))</f>
        <v>0.228599307166339</v>
      </c>
      <c r="I2869" s="0" t="n">
        <f aca="false">(G2869-Stats!$B$2)/H2869</f>
        <v>1.49021075544797</v>
      </c>
    </row>
    <row r="2870" customFormat="false" ht="15" hidden="false" customHeight="false" outlineLevel="0" collapsed="false">
      <c r="A2870" s="0" t="n">
        <v>0.451547022817424</v>
      </c>
      <c r="B2870" s="0" t="n">
        <v>0.408020091285081</v>
      </c>
      <c r="C2870" s="0" t="n">
        <v>0.687464804049728</v>
      </c>
      <c r="D2870" s="0" t="n">
        <f aca="false">A2870/SUM($A2870:$C2870)</f>
        <v>0.291879577608683</v>
      </c>
      <c r="E2870" s="0" t="n">
        <f aca="false">B2870/SUM($A2870:$C2870)</f>
        <v>0.263743809353603</v>
      </c>
      <c r="F2870" s="0" t="n">
        <f aca="false">C2870/SUM($A2870:$C2870)</f>
        <v>0.444376613037714</v>
      </c>
      <c r="G2870" s="0" t="n">
        <f aca="false">SUMPRODUCT(D2870:F2870,Stats!$B$6:$D$6)</f>
        <v>0.359405667701317</v>
      </c>
      <c r="H2870" s="0" t="n">
        <f aca="false">SQRT(SUMPRODUCT(MMULT(D2870:F2870,Stats!$B$12:$D$14),D2870:F2870))</f>
        <v>0.227811118409308</v>
      </c>
      <c r="I2870" s="0" t="n">
        <f aca="false">(G2870-Stats!$B$2)/H2870</f>
        <v>1.39328435731146</v>
      </c>
    </row>
    <row r="2871" customFormat="false" ht="15" hidden="false" customHeight="false" outlineLevel="0" collapsed="false">
      <c r="A2871" s="0" t="n">
        <v>0.249867465257929</v>
      </c>
      <c r="B2871" s="0" t="n">
        <v>0.640250914952276</v>
      </c>
      <c r="C2871" s="0" t="n">
        <v>0.877489241731488</v>
      </c>
      <c r="D2871" s="0" t="n">
        <f aca="false">A2871/SUM($A2871:$C2871)</f>
        <v>0.141359124138339</v>
      </c>
      <c r="E2871" s="0" t="n">
        <f aca="false">B2871/SUM($A2871:$C2871)</f>
        <v>0.362213257628392</v>
      </c>
      <c r="F2871" s="0" t="n">
        <f aca="false">C2871/SUM($A2871:$C2871)</f>
        <v>0.496427618233269</v>
      </c>
      <c r="G2871" s="0" t="n">
        <f aca="false">SUMPRODUCT(D2871:F2871,Stats!$B$6:$D$6)</f>
        <v>0.363636185860137</v>
      </c>
      <c r="H2871" s="0" t="n">
        <f aca="false">SQRT(SUMPRODUCT(MMULT(D2871:F2871,Stats!$B$12:$D$14),D2871:F2871))</f>
        <v>0.234931421553041</v>
      </c>
      <c r="I2871" s="0" t="n">
        <f aca="false">(G2871-Stats!$B$2)/H2871</f>
        <v>1.36906414533196</v>
      </c>
    </row>
    <row r="2872" customFormat="false" ht="15" hidden="false" customHeight="false" outlineLevel="0" collapsed="false">
      <c r="A2872" s="0" t="n">
        <v>0.418131599793623</v>
      </c>
      <c r="B2872" s="0" t="n">
        <v>0.91101569997922</v>
      </c>
      <c r="C2872" s="0" t="n">
        <v>0.993163738933478</v>
      </c>
      <c r="D2872" s="0" t="n">
        <f aca="false">A2872/SUM($A2872:$C2872)</f>
        <v>0.180049783523636</v>
      </c>
      <c r="E2872" s="0" t="n">
        <f aca="false">B2872/SUM($A2872:$C2872)</f>
        <v>0.392288407881278</v>
      </c>
      <c r="F2872" s="0" t="n">
        <f aca="false">C2872/SUM($A2872:$C2872)</f>
        <v>0.427661808595086</v>
      </c>
      <c r="G2872" s="0" t="n">
        <f aca="false">SUMPRODUCT(D2872:F2872,Stats!$B$6:$D$6)</f>
        <v>0.367262861832235</v>
      </c>
      <c r="H2872" s="0" t="n">
        <f aca="false">SQRT(SUMPRODUCT(MMULT(D2872:F2872,Stats!$B$12:$D$14),D2872:F2872))</f>
        <v>0.232603333427487</v>
      </c>
      <c r="I2872" s="0" t="n">
        <f aca="false">(G2872-Stats!$B$2)/H2872</f>
        <v>1.39835855763277</v>
      </c>
    </row>
    <row r="2873" customFormat="false" ht="15" hidden="false" customHeight="false" outlineLevel="0" collapsed="false">
      <c r="A2873" s="0" t="n">
        <v>0.106092049947952</v>
      </c>
      <c r="B2873" s="0" t="n">
        <v>0.233053187984859</v>
      </c>
      <c r="C2873" s="0" t="n">
        <v>0.950379751482093</v>
      </c>
      <c r="D2873" s="0" t="n">
        <f aca="false">A2873/SUM($A2873:$C2873)</f>
        <v>0.0822721938844235</v>
      </c>
      <c r="E2873" s="0" t="n">
        <f aca="false">B2873/SUM($A2873:$C2873)</f>
        <v>0.180727934625448</v>
      </c>
      <c r="F2873" s="0" t="n">
        <f aca="false">C2873/SUM($A2873:$C2873)</f>
        <v>0.736999871490128</v>
      </c>
      <c r="G2873" s="0" t="n">
        <f aca="false">SUMPRODUCT(D2873:F2873,Stats!$B$6:$D$6)</f>
        <v>0.3465600679118</v>
      </c>
      <c r="H2873" s="0" t="n">
        <f aca="false">SQRT(SUMPRODUCT(MMULT(D2873:F2873,Stats!$B$12:$D$14),D2873:F2873))</f>
        <v>0.243256163686729</v>
      </c>
      <c r="I2873" s="0" t="n">
        <f aca="false">(G2873-Stats!$B$2)/H2873</f>
        <v>1.25201377550301</v>
      </c>
    </row>
    <row r="2874" customFormat="false" ht="15" hidden="false" customHeight="false" outlineLevel="0" collapsed="false">
      <c r="A2874" s="0" t="n">
        <v>0.958327686481387</v>
      </c>
      <c r="B2874" s="0" t="n">
        <v>0.0977072753867585</v>
      </c>
      <c r="C2874" s="0" t="n">
        <v>0.0149985003771367</v>
      </c>
      <c r="D2874" s="0" t="n">
        <f aca="false">A2874/SUM($A2874:$C2874)</f>
        <v>0.894769136785304</v>
      </c>
      <c r="E2874" s="0" t="n">
        <f aca="false">B2874/SUM($A2874:$C2874)</f>
        <v>0.0912270987144771</v>
      </c>
      <c r="F2874" s="0" t="n">
        <f aca="false">C2874/SUM($A2874:$C2874)</f>
        <v>0.0140037645002186</v>
      </c>
      <c r="G2874" s="0" t="n">
        <f aca="false">SUMPRODUCT(D2874:F2874,Stats!$B$6:$D$6)</f>
        <v>0.361346645223472</v>
      </c>
      <c r="H2874" s="0" t="n">
        <f aca="false">SQRT(SUMPRODUCT(MMULT(D2874:F2874,Stats!$B$12:$D$14),D2874:F2874))</f>
        <v>0.229731792536939</v>
      </c>
      <c r="I2874" s="0" t="n">
        <f aca="false">(G2874-Stats!$B$2)/H2874</f>
        <v>1.3900846796036</v>
      </c>
    </row>
    <row r="2875" customFormat="false" ht="15" hidden="false" customHeight="false" outlineLevel="0" collapsed="false">
      <c r="A2875" s="0" t="n">
        <v>0.161100023256422</v>
      </c>
      <c r="B2875" s="0" t="n">
        <v>0.996012783382248</v>
      </c>
      <c r="C2875" s="0" t="n">
        <v>0.179999616610687</v>
      </c>
      <c r="D2875" s="0" t="n">
        <f aca="false">A2875/SUM($A2875:$C2875)</f>
        <v>0.120483528875551</v>
      </c>
      <c r="E2875" s="0" t="n">
        <f aca="false">B2875/SUM($A2875:$C2875)</f>
        <v>0.744898309269917</v>
      </c>
      <c r="F2875" s="0" t="n">
        <f aca="false">C2875/SUM($A2875:$C2875)</f>
        <v>0.134618161854532</v>
      </c>
      <c r="G2875" s="0" t="n">
        <f aca="false">SUMPRODUCT(D2875:F2875,Stats!$B$6:$D$6)</f>
        <v>0.39563214503243</v>
      </c>
      <c r="H2875" s="0" t="n">
        <f aca="false">SQRT(SUMPRODUCT(MMULT(D2875:F2875,Stats!$B$12:$D$14),D2875:F2875))</f>
        <v>0.240757869194045</v>
      </c>
      <c r="I2875" s="0" t="n">
        <f aca="false">(G2875-Stats!$B$2)/H2875</f>
        <v>1.46882901986233</v>
      </c>
    </row>
    <row r="2876" customFormat="false" ht="15" hidden="false" customHeight="false" outlineLevel="0" collapsed="false">
      <c r="A2876" s="0" t="n">
        <v>0.502547606722023</v>
      </c>
      <c r="B2876" s="0" t="n">
        <v>0.848417726430511</v>
      </c>
      <c r="C2876" s="0" t="n">
        <v>0.0204016106882063</v>
      </c>
      <c r="D2876" s="0" t="n">
        <f aca="false">A2876/SUM($A2876:$C2876)</f>
        <v>0.366457430652773</v>
      </c>
      <c r="E2876" s="0" t="n">
        <f aca="false">B2876/SUM($A2876:$C2876)</f>
        <v>0.618665726369615</v>
      </c>
      <c r="F2876" s="0" t="n">
        <f aca="false">C2876/SUM($A2876:$C2876)</f>
        <v>0.014876842977612</v>
      </c>
      <c r="G2876" s="0" t="n">
        <f aca="false">SUMPRODUCT(D2876:F2876,Stats!$B$6:$D$6)</f>
        <v>0.391670706405081</v>
      </c>
      <c r="H2876" s="0" t="n">
        <f aca="false">SQRT(SUMPRODUCT(MMULT(D2876:F2876,Stats!$B$12:$D$14),D2876:F2876))</f>
        <v>0.23306625535204</v>
      </c>
      <c r="I2876" s="0" t="n">
        <f aca="false">(G2876-Stats!$B$2)/H2876</f>
        <v>1.50030602189456</v>
      </c>
    </row>
    <row r="2877" customFormat="false" ht="15" hidden="false" customHeight="false" outlineLevel="0" collapsed="false">
      <c r="A2877" s="0" t="n">
        <v>0.60448898225846</v>
      </c>
      <c r="B2877" s="0" t="n">
        <v>0.277025448869624</v>
      </c>
      <c r="C2877" s="0" t="n">
        <v>0.862334916439732</v>
      </c>
      <c r="D2877" s="0" t="n">
        <f aca="false">A2877/SUM($A2877:$C2877)</f>
        <v>0.346640598915011</v>
      </c>
      <c r="E2877" s="0" t="n">
        <f aca="false">B2877/SUM($A2877:$C2877)</f>
        <v>0.158858590196451</v>
      </c>
      <c r="F2877" s="0" t="n">
        <f aca="false">C2877/SUM($A2877:$C2877)</f>
        <v>0.494500810888537</v>
      </c>
      <c r="G2877" s="0" t="n">
        <f aca="false">SUMPRODUCT(D2877:F2877,Stats!$B$6:$D$6)</f>
        <v>0.351988552464341</v>
      </c>
      <c r="H2877" s="0" t="n">
        <f aca="false">SQRT(SUMPRODUCT(MMULT(D2877:F2877,Stats!$B$12:$D$14),D2877:F2877))</f>
        <v>0.226510164574046</v>
      </c>
      <c r="I2877" s="0" t="n">
        <f aca="false">(G2877-Stats!$B$2)/H2877</f>
        <v>1.36854146500347</v>
      </c>
    </row>
    <row r="2878" customFormat="false" ht="15" hidden="false" customHeight="false" outlineLevel="0" collapsed="false">
      <c r="A2878" s="0" t="n">
        <v>0.283461149264079</v>
      </c>
      <c r="B2878" s="0" t="n">
        <v>0.686755720281909</v>
      </c>
      <c r="C2878" s="0" t="n">
        <v>0.674219632447397</v>
      </c>
      <c r="D2878" s="0" t="n">
        <f aca="false">A2878/SUM($A2878:$C2878)</f>
        <v>0.172375855753912</v>
      </c>
      <c r="E2878" s="0" t="n">
        <f aca="false">B2878/SUM($A2878:$C2878)</f>
        <v>0.417623738860956</v>
      </c>
      <c r="F2878" s="0" t="n">
        <f aca="false">C2878/SUM($A2878:$C2878)</f>
        <v>0.410000405385132</v>
      </c>
      <c r="G2878" s="0" t="n">
        <f aca="false">SUMPRODUCT(D2878:F2878,Stats!$B$6:$D$6)</f>
        <v>0.36920763038651</v>
      </c>
      <c r="H2878" s="0" t="n">
        <f aca="false">SQRT(SUMPRODUCT(MMULT(D2878:F2878,Stats!$B$12:$D$14),D2878:F2878))</f>
        <v>0.232984207021532</v>
      </c>
      <c r="I2878" s="0" t="n">
        <f aca="false">(G2878-Stats!$B$2)/H2878</f>
        <v>1.40441978694406</v>
      </c>
    </row>
    <row r="2879" customFormat="false" ht="15" hidden="false" customHeight="false" outlineLevel="0" collapsed="false">
      <c r="A2879" s="0" t="n">
        <v>0.22149354885964</v>
      </c>
      <c r="B2879" s="0" t="n">
        <v>0.0347991998683501</v>
      </c>
      <c r="C2879" s="0" t="n">
        <v>0.409249573785397</v>
      </c>
      <c r="D2879" s="0" t="n">
        <f aca="false">A2879/SUM($A2879:$C2879)</f>
        <v>0.33280159858682</v>
      </c>
      <c r="E2879" s="0" t="n">
        <f aca="false">B2879/SUM($A2879:$C2879)</f>
        <v>0.0522869826473735</v>
      </c>
      <c r="F2879" s="0" t="n">
        <f aca="false">C2879/SUM($A2879:$C2879)</f>
        <v>0.614911418765807</v>
      </c>
      <c r="G2879" s="0" t="n">
        <f aca="false">SUMPRODUCT(D2879:F2879,Stats!$B$6:$D$6)</f>
        <v>0.342536283899039</v>
      </c>
      <c r="H2879" s="0" t="n">
        <f aca="false">SQRT(SUMPRODUCT(MMULT(D2879:F2879,Stats!$B$12:$D$14),D2879:F2879))</f>
        <v>0.229433834029829</v>
      </c>
      <c r="I2879" s="0" t="n">
        <f aca="false">(G2879-Stats!$B$2)/H2879</f>
        <v>1.30990394319944</v>
      </c>
    </row>
    <row r="2880" customFormat="false" ht="15" hidden="false" customHeight="false" outlineLevel="0" collapsed="false">
      <c r="A2880" s="0" t="n">
        <v>0.28919315196587</v>
      </c>
      <c r="B2880" s="0" t="n">
        <v>0.808977749613709</v>
      </c>
      <c r="C2880" s="0" t="n">
        <v>0.800364188455345</v>
      </c>
      <c r="D2880" s="0" t="n">
        <f aca="false">A2880/SUM($A2880:$C2880)</f>
        <v>0.1523243649716</v>
      </c>
      <c r="E2880" s="0" t="n">
        <f aca="false">B2880/SUM($A2880:$C2880)</f>
        <v>0.426106293141428</v>
      </c>
      <c r="F2880" s="0" t="n">
        <f aca="false">C2880/SUM($A2880:$C2880)</f>
        <v>0.421569341886972</v>
      </c>
      <c r="G2880" s="0" t="n">
        <f aca="false">SUMPRODUCT(D2880:F2880,Stats!$B$6:$D$6)</f>
        <v>0.369376696606662</v>
      </c>
      <c r="H2880" s="0" t="n">
        <f aca="false">SQRT(SUMPRODUCT(MMULT(D2880:F2880,Stats!$B$12:$D$14),D2880:F2880))</f>
        <v>0.234023764338238</v>
      </c>
      <c r="I2880" s="0" t="n">
        <f aca="false">(G2880-Stats!$B$2)/H2880</f>
        <v>1.39890364353553</v>
      </c>
    </row>
    <row r="2881" customFormat="false" ht="15" hidden="false" customHeight="false" outlineLevel="0" collapsed="false">
      <c r="A2881" s="0" t="n">
        <v>0.457023952192626</v>
      </c>
      <c r="B2881" s="0" t="n">
        <v>0.606512225323219</v>
      </c>
      <c r="C2881" s="0" t="n">
        <v>0.604259515986925</v>
      </c>
      <c r="D2881" s="0" t="n">
        <f aca="false">A2881/SUM($A2881:$C2881)</f>
        <v>0.274028739834893</v>
      </c>
      <c r="E2881" s="0" t="n">
        <f aca="false">B2881/SUM($A2881:$C2881)</f>
        <v>0.363660985386884</v>
      </c>
      <c r="F2881" s="0" t="n">
        <f aca="false">C2881/SUM($A2881:$C2881)</f>
        <v>0.362310274778223</v>
      </c>
      <c r="G2881" s="0" t="n">
        <f aca="false">SUMPRODUCT(D2881:F2881,Stats!$B$6:$D$6)</f>
        <v>0.367417720403134</v>
      </c>
      <c r="H2881" s="0" t="n">
        <f aca="false">SQRT(SUMPRODUCT(MMULT(D2881:F2881,Stats!$B$12:$D$14),D2881:F2881))</f>
        <v>0.228412982251841</v>
      </c>
      <c r="I2881" s="0" t="n">
        <f aca="false">(G2881-Stats!$B$2)/H2881</f>
        <v>1.42469012573173</v>
      </c>
    </row>
    <row r="2882" customFormat="false" ht="15" hidden="false" customHeight="false" outlineLevel="0" collapsed="false">
      <c r="A2882" s="0" t="n">
        <v>0.827158148427623</v>
      </c>
      <c r="B2882" s="0" t="n">
        <v>0.425002414123198</v>
      </c>
      <c r="C2882" s="0" t="n">
        <v>0.275446679790509</v>
      </c>
      <c r="D2882" s="0" t="n">
        <f aca="false">A2882/SUM($A2882:$C2882)</f>
        <v>0.541473047194943</v>
      </c>
      <c r="E2882" s="0" t="n">
        <f aca="false">B2882/SUM($A2882:$C2882)</f>
        <v>0.278214453521316</v>
      </c>
      <c r="F2882" s="0" t="n">
        <f aca="false">C2882/SUM($A2882:$C2882)</f>
        <v>0.180312499283741</v>
      </c>
      <c r="G2882" s="0" t="n">
        <f aca="false">SUMPRODUCT(D2882:F2882,Stats!$B$6:$D$6)</f>
        <v>0.367519756210107</v>
      </c>
      <c r="H2882" s="0" t="n">
        <f aca="false">SQRT(SUMPRODUCT(MMULT(D2882:F2882,Stats!$B$12:$D$14),D2882:F2882))</f>
        <v>0.223272456853989</v>
      </c>
      <c r="I2882" s="0" t="n">
        <f aca="false">(G2882-Stats!$B$2)/H2882</f>
        <v>1.4579485566506</v>
      </c>
    </row>
    <row r="2883" customFormat="false" ht="15" hidden="false" customHeight="false" outlineLevel="0" collapsed="false">
      <c r="A2883" s="0" t="n">
        <v>0.265034918140548</v>
      </c>
      <c r="B2883" s="0" t="n">
        <v>0.536192279282204</v>
      </c>
      <c r="C2883" s="0" t="n">
        <v>0.449148202732213</v>
      </c>
      <c r="D2883" s="0" t="n">
        <f aca="false">A2883/SUM($A2883:$C2883)</f>
        <v>0.211964277374379</v>
      </c>
      <c r="E2883" s="0" t="n">
        <f aca="false">B2883/SUM($A2883:$C2883)</f>
        <v>0.428825038636998</v>
      </c>
      <c r="F2883" s="0" t="n">
        <f aca="false">C2883/SUM($A2883:$C2883)</f>
        <v>0.359210683988623</v>
      </c>
      <c r="G2883" s="0" t="n">
        <f aca="false">SUMPRODUCT(D2883:F2883,Stats!$B$6:$D$6)</f>
        <v>0.37125264571082</v>
      </c>
      <c r="H2883" s="0" t="n">
        <f aca="false">SQRT(SUMPRODUCT(MMULT(D2883:F2883,Stats!$B$12:$D$14),D2883:F2883))</f>
        <v>0.231192024810675</v>
      </c>
      <c r="I2883" s="0" t="n">
        <f aca="false">(G2883-Stats!$B$2)/H2883</f>
        <v>1.42415226468321</v>
      </c>
    </row>
    <row r="2884" customFormat="false" ht="15" hidden="false" customHeight="false" outlineLevel="0" collapsed="false">
      <c r="A2884" s="0" t="n">
        <v>0.440120770984936</v>
      </c>
      <c r="B2884" s="0" t="n">
        <v>0.0911373390897072</v>
      </c>
      <c r="C2884" s="0" t="n">
        <v>0.718603740690196</v>
      </c>
      <c r="D2884" s="0" t="n">
        <f aca="false">A2884/SUM($A2884:$C2884)</f>
        <v>0.35213553459177</v>
      </c>
      <c r="E2884" s="0" t="n">
        <f aca="false">B2884/SUM($A2884:$C2884)</f>
        <v>0.0729179301167859</v>
      </c>
      <c r="F2884" s="0" t="n">
        <f aca="false">C2884/SUM($A2884:$C2884)</f>
        <v>0.574946535291444</v>
      </c>
      <c r="G2884" s="0" t="n">
        <f aca="false">SUMPRODUCT(D2884:F2884,Stats!$B$6:$D$6)</f>
        <v>0.344825378204819</v>
      </c>
      <c r="H2884" s="0" t="n">
        <f aca="false">SQRT(SUMPRODUCT(MMULT(D2884:F2884,Stats!$B$12:$D$14),D2884:F2884))</f>
        <v>0.227877506013454</v>
      </c>
      <c r="I2884" s="0" t="n">
        <f aca="false">(G2884-Stats!$B$2)/H2884</f>
        <v>1.32889543817871</v>
      </c>
    </row>
    <row r="2885" customFormat="false" ht="15" hidden="false" customHeight="false" outlineLevel="0" collapsed="false">
      <c r="A2885" s="0" t="n">
        <v>0.213736687981911</v>
      </c>
      <c r="B2885" s="0" t="n">
        <v>0.196953630208721</v>
      </c>
      <c r="C2885" s="0" t="n">
        <v>0.412758320277394</v>
      </c>
      <c r="D2885" s="0" t="n">
        <f aca="false">A2885/SUM($A2885:$C2885)</f>
        <v>0.259562865243853</v>
      </c>
      <c r="E2885" s="0" t="n">
        <f aca="false">B2885/SUM($A2885:$C2885)</f>
        <v>0.239181438899627</v>
      </c>
      <c r="F2885" s="0" t="n">
        <f aca="false">C2885/SUM($A2885:$C2885)</f>
        <v>0.501255695856519</v>
      </c>
      <c r="G2885" s="0" t="n">
        <f aca="false">SUMPRODUCT(D2885:F2885,Stats!$B$6:$D$6)</f>
        <v>0.356423961863966</v>
      </c>
      <c r="H2885" s="0" t="n">
        <f aca="false">SQRT(SUMPRODUCT(MMULT(D2885:F2885,Stats!$B$12:$D$14),D2885:F2885))</f>
        <v>0.229574482832148</v>
      </c>
      <c r="I2885" s="0" t="n">
        <f aca="false">(G2885-Stats!$B$2)/H2885</f>
        <v>1.36959455591524</v>
      </c>
    </row>
    <row r="2886" customFormat="false" ht="15" hidden="false" customHeight="false" outlineLevel="0" collapsed="false">
      <c r="A2886" s="0" t="n">
        <v>0.227778341617801</v>
      </c>
      <c r="B2886" s="0" t="n">
        <v>0.583858267308015</v>
      </c>
      <c r="C2886" s="0" t="n">
        <v>0.371463339334472</v>
      </c>
      <c r="D2886" s="0" t="n">
        <f aca="false">A2886/SUM($A2886:$C2886)</f>
        <v>0.192526710826708</v>
      </c>
      <c r="E2886" s="0" t="n">
        <f aca="false">B2886/SUM($A2886:$C2886)</f>
        <v>0.493498683831878</v>
      </c>
      <c r="F2886" s="0" t="n">
        <f aca="false">C2886/SUM($A2886:$C2886)</f>
        <v>0.313974605341414</v>
      </c>
      <c r="G2886" s="0" t="n">
        <f aca="false">SUMPRODUCT(D2886:F2886,Stats!$B$6:$D$6)</f>
        <v>0.376221251019858</v>
      </c>
      <c r="H2886" s="0" t="n">
        <f aca="false">SQRT(SUMPRODUCT(MMULT(D2886:F2886,Stats!$B$12:$D$14),D2886:F2886))</f>
        <v>0.232556725250749</v>
      </c>
      <c r="I2886" s="0" t="n">
        <f aca="false">(G2886-Stats!$B$2)/H2886</f>
        <v>1.43716011936224</v>
      </c>
    </row>
    <row r="2887" customFormat="false" ht="15" hidden="false" customHeight="false" outlineLevel="0" collapsed="false">
      <c r="A2887" s="0" t="n">
        <v>0.44891172259279</v>
      </c>
      <c r="B2887" s="0" t="n">
        <v>0.537169321604029</v>
      </c>
      <c r="C2887" s="0" t="n">
        <v>0.203535522481805</v>
      </c>
      <c r="D2887" s="0" t="n">
        <f aca="false">A2887/SUM($A2887:$C2887)</f>
        <v>0.377358331387515</v>
      </c>
      <c r="E2887" s="0" t="n">
        <f aca="false">B2887/SUM($A2887:$C2887)</f>
        <v>0.45154828593535</v>
      </c>
      <c r="F2887" s="0" t="n">
        <f aca="false">C2887/SUM($A2887:$C2887)</f>
        <v>0.171093382677135</v>
      </c>
      <c r="G2887" s="0" t="n">
        <f aca="false">SUMPRODUCT(D2887:F2887,Stats!$B$6:$D$6)</f>
        <v>0.377747374180189</v>
      </c>
      <c r="H2887" s="0" t="n">
        <f aca="false">SQRT(SUMPRODUCT(MMULT(D2887:F2887,Stats!$B$12:$D$14),D2887:F2887))</f>
        <v>0.227337356224533</v>
      </c>
      <c r="I2887" s="0" t="n">
        <f aca="false">(G2887-Stats!$B$2)/H2887</f>
        <v>1.47686847316278</v>
      </c>
    </row>
    <row r="2888" customFormat="false" ht="15" hidden="false" customHeight="false" outlineLevel="0" collapsed="false">
      <c r="A2888" s="0" t="n">
        <v>0.15575162286553</v>
      </c>
      <c r="B2888" s="0" t="n">
        <v>0.880421902873605</v>
      </c>
      <c r="C2888" s="0" t="n">
        <v>0.433723702831421</v>
      </c>
      <c r="D2888" s="0" t="n">
        <f aca="false">A2888/SUM($A2888:$C2888)</f>
        <v>0.105960892937389</v>
      </c>
      <c r="E2888" s="0" t="n">
        <f aca="false">B2888/SUM($A2888:$C2888)</f>
        <v>0.598968339936117</v>
      </c>
      <c r="F2888" s="0" t="n">
        <f aca="false">C2888/SUM($A2888:$C2888)</f>
        <v>0.295070767126494</v>
      </c>
      <c r="G2888" s="0" t="n">
        <f aca="false">SUMPRODUCT(D2888:F2888,Stats!$B$6:$D$6)</f>
        <v>0.382811104593369</v>
      </c>
      <c r="H2888" s="0" t="n">
        <f aca="false">SQRT(SUMPRODUCT(MMULT(D2888:F2888,Stats!$B$12:$D$14),D2888:F2888))</f>
        <v>0.237657718148326</v>
      </c>
      <c r="I2888" s="0" t="n">
        <f aca="false">(G2888-Stats!$B$2)/H2888</f>
        <v>1.43404181126011</v>
      </c>
    </row>
    <row r="2889" customFormat="false" ht="15" hidden="false" customHeight="false" outlineLevel="0" collapsed="false">
      <c r="A2889" s="0" t="n">
        <v>0.412093609632539</v>
      </c>
      <c r="B2889" s="0" t="n">
        <v>0.0356121502728415</v>
      </c>
      <c r="C2889" s="0" t="n">
        <v>0.497976302587393</v>
      </c>
      <c r="D2889" s="0" t="n">
        <f aca="false">A2889/SUM($A2889:$C2889)</f>
        <v>0.435763377541792</v>
      </c>
      <c r="E2889" s="0" t="n">
        <f aca="false">B2889/SUM($A2889:$C2889)</f>
        <v>0.0376576353568233</v>
      </c>
      <c r="F2889" s="0" t="n">
        <f aca="false">C2889/SUM($A2889:$C2889)</f>
        <v>0.526578987101385</v>
      </c>
      <c r="G2889" s="0" t="n">
        <f aca="false">SUMPRODUCT(D2889:F2889,Stats!$B$6:$D$6)</f>
        <v>0.344130263019041</v>
      </c>
      <c r="H2889" s="0" t="n">
        <f aca="false">SQRT(SUMPRODUCT(MMULT(D2889:F2889,Stats!$B$12:$D$14),D2889:F2889))</f>
        <v>0.224972408804016</v>
      </c>
      <c r="I2889" s="0" t="n">
        <f aca="false">(G2889-Stats!$B$2)/H2889</f>
        <v>1.34296585356937</v>
      </c>
    </row>
    <row r="2890" customFormat="false" ht="15" hidden="false" customHeight="false" outlineLevel="0" collapsed="false">
      <c r="A2890" s="0" t="n">
        <v>0.554169721611</v>
      </c>
      <c r="B2890" s="0" t="n">
        <v>0.558840870954667</v>
      </c>
      <c r="C2890" s="0" t="n">
        <v>0.707031169322884</v>
      </c>
      <c r="D2890" s="0" t="n">
        <f aca="false">A2890/SUM($A2890:$C2890)</f>
        <v>0.304481871358804</v>
      </c>
      <c r="E2890" s="0" t="n">
        <f aca="false">B2890/SUM($A2890:$C2890)</f>
        <v>0.307048378040947</v>
      </c>
      <c r="F2890" s="0" t="n">
        <f aca="false">C2890/SUM($A2890:$C2890)</f>
        <v>0.38846975060025</v>
      </c>
      <c r="G2890" s="0" t="n">
        <f aca="false">SUMPRODUCT(D2890:F2890,Stats!$B$6:$D$6)</f>
        <v>0.363438966764384</v>
      </c>
      <c r="H2890" s="0" t="n">
        <f aca="false">SQRT(SUMPRODUCT(MMULT(D2890:F2890,Stats!$B$12:$D$14),D2890:F2890))</f>
        <v>0.227171828466239</v>
      </c>
      <c r="I2890" s="0" t="n">
        <f aca="false">(G2890-Stats!$B$2)/H2890</f>
        <v>1.41495963181083</v>
      </c>
    </row>
    <row r="2891" customFormat="false" ht="15" hidden="false" customHeight="false" outlineLevel="0" collapsed="false">
      <c r="A2891" s="0" t="n">
        <v>0.177481834991012</v>
      </c>
      <c r="B2891" s="0" t="n">
        <v>0.252223134230619</v>
      </c>
      <c r="C2891" s="0" t="n">
        <v>0.810730465230413</v>
      </c>
      <c r="D2891" s="0" t="n">
        <f aca="false">A2891/SUM($A2891:$C2891)</f>
        <v>0.143080268477991</v>
      </c>
      <c r="E2891" s="0" t="n">
        <f aca="false">B2891/SUM($A2891:$C2891)</f>
        <v>0.203334351168416</v>
      </c>
      <c r="F2891" s="0" t="n">
        <f aca="false">C2891/SUM($A2891:$C2891)</f>
        <v>0.653585380353593</v>
      </c>
      <c r="G2891" s="0" t="n">
        <f aca="false">SUMPRODUCT(D2891:F2891,Stats!$B$6:$D$6)</f>
        <v>0.35016093437096</v>
      </c>
      <c r="H2891" s="0" t="n">
        <f aca="false">SQRT(SUMPRODUCT(MMULT(D2891:F2891,Stats!$B$12:$D$14),D2891:F2891))</f>
        <v>0.23766393253025</v>
      </c>
      <c r="I2891" s="0" t="n">
        <f aca="false">(G2891-Stats!$B$2)/H2891</f>
        <v>1.2966247385128</v>
      </c>
    </row>
    <row r="2892" customFormat="false" ht="15" hidden="false" customHeight="false" outlineLevel="0" collapsed="false">
      <c r="A2892" s="0" t="n">
        <v>0.947170616843394</v>
      </c>
      <c r="B2892" s="0" t="n">
        <v>0.135932747367321</v>
      </c>
      <c r="C2892" s="0" t="n">
        <v>0.497649554505218</v>
      </c>
      <c r="D2892" s="0" t="n">
        <f aca="false">A2892/SUM($A2892:$C2892)</f>
        <v>0.599189541660182</v>
      </c>
      <c r="E2892" s="0" t="n">
        <f aca="false">B2892/SUM($A2892:$C2892)</f>
        <v>0.0859924063766655</v>
      </c>
      <c r="F2892" s="0" t="n">
        <f aca="false">C2892/SUM($A2892:$C2892)</f>
        <v>0.314818051963153</v>
      </c>
      <c r="G2892" s="0" t="n">
        <f aca="false">SUMPRODUCT(D2892:F2892,Stats!$B$6:$D$6)</f>
        <v>0.352750609523952</v>
      </c>
      <c r="H2892" s="0" t="n">
        <f aca="false">SQRT(SUMPRODUCT(MMULT(D2892:F2892,Stats!$B$12:$D$14),D2892:F2892))</f>
        <v>0.221320923301099</v>
      </c>
      <c r="I2892" s="0" t="n">
        <f aca="false">(G2892-Stats!$B$2)/H2892</f>
        <v>1.40407244326009</v>
      </c>
    </row>
    <row r="2893" customFormat="false" ht="15" hidden="false" customHeight="false" outlineLevel="0" collapsed="false">
      <c r="A2893" s="0" t="n">
        <v>0.214176252739587</v>
      </c>
      <c r="B2893" s="0" t="n">
        <v>0.0600731683549824</v>
      </c>
      <c r="C2893" s="0" t="n">
        <v>0.325503338126135</v>
      </c>
      <c r="D2893" s="0" t="n">
        <f aca="false">A2893/SUM($A2893:$C2893)</f>
        <v>0.357107573824052</v>
      </c>
      <c r="E2893" s="0" t="n">
        <f aca="false">B2893/SUM($A2893:$C2893)</f>
        <v>0.100163221313128</v>
      </c>
      <c r="F2893" s="0" t="n">
        <f aca="false">C2893/SUM($A2893:$C2893)</f>
        <v>0.54272920486282</v>
      </c>
      <c r="G2893" s="0" t="n">
        <f aca="false">SUMPRODUCT(D2893:F2893,Stats!$B$6:$D$6)</f>
        <v>0.347281417492499</v>
      </c>
      <c r="H2893" s="0" t="n">
        <f aca="false">SQRT(SUMPRODUCT(MMULT(D2893:F2893,Stats!$B$12:$D$14),D2893:F2893))</f>
        <v>0.22703871365543</v>
      </c>
      <c r="I2893" s="0" t="n">
        <f aca="false">(G2893-Stats!$B$2)/H2893</f>
        <v>1.3446227411058</v>
      </c>
    </row>
    <row r="2894" customFormat="false" ht="15" hidden="false" customHeight="false" outlineLevel="0" collapsed="false">
      <c r="A2894" s="0" t="n">
        <v>0.143687625184213</v>
      </c>
      <c r="B2894" s="0" t="n">
        <v>0.709933073434246</v>
      </c>
      <c r="C2894" s="0" t="n">
        <v>0.533725413671444</v>
      </c>
      <c r="D2894" s="0" t="n">
        <f aca="false">A2894/SUM($A2894:$C2894)</f>
        <v>0.103570135751523</v>
      </c>
      <c r="E2894" s="0" t="n">
        <f aca="false">B2894/SUM($A2894:$C2894)</f>
        <v>0.511720231271241</v>
      </c>
      <c r="F2894" s="0" t="n">
        <f aca="false">C2894/SUM($A2894:$C2894)</f>
        <v>0.384709632977236</v>
      </c>
      <c r="G2894" s="0" t="n">
        <f aca="false">SUMPRODUCT(D2894:F2894,Stats!$B$6:$D$6)</f>
        <v>0.375319204094896</v>
      </c>
      <c r="H2894" s="0" t="n">
        <f aca="false">SQRT(SUMPRODUCT(MMULT(D2894:F2894,Stats!$B$12:$D$14),D2894:F2894))</f>
        <v>0.236849776947416</v>
      </c>
      <c r="I2894" s="0" t="n">
        <f aca="false">(G2894-Stats!$B$2)/H2894</f>
        <v>1.40730216591632</v>
      </c>
    </row>
    <row r="2895" customFormat="false" ht="15" hidden="false" customHeight="false" outlineLevel="0" collapsed="false">
      <c r="A2895" s="0" t="n">
        <v>0.143834470990311</v>
      </c>
      <c r="B2895" s="0" t="n">
        <v>0.00924158840551437</v>
      </c>
      <c r="C2895" s="0" t="n">
        <v>0.808157049024213</v>
      </c>
      <c r="D2895" s="0" t="n">
        <f aca="false">A2895/SUM($A2895:$C2895)</f>
        <v>0.149635369121575</v>
      </c>
      <c r="E2895" s="0" t="n">
        <f aca="false">B2895/SUM($A2895:$C2895)</f>
        <v>0.00961430513011002</v>
      </c>
      <c r="F2895" s="0" t="n">
        <f aca="false">C2895/SUM($A2895:$C2895)</f>
        <v>0.840750325748315</v>
      </c>
      <c r="G2895" s="0" t="n">
        <f aca="false">SUMPRODUCT(D2895:F2895,Stats!$B$6:$D$6)</f>
        <v>0.333853532267029</v>
      </c>
      <c r="H2895" s="0" t="n">
        <f aca="false">SQRT(SUMPRODUCT(MMULT(D2895:F2895,Stats!$B$12:$D$14),D2895:F2895))</f>
        <v>0.244401142118571</v>
      </c>
      <c r="I2895" s="0" t="n">
        <f aca="false">(G2895-Stats!$B$2)/H2895</f>
        <v>1.19415780849926</v>
      </c>
    </row>
    <row r="2896" customFormat="false" ht="15" hidden="false" customHeight="false" outlineLevel="0" collapsed="false">
      <c r="A2896" s="0" t="n">
        <v>0.176194406164248</v>
      </c>
      <c r="B2896" s="0" t="n">
        <v>0.606216642220766</v>
      </c>
      <c r="C2896" s="0" t="n">
        <v>0.336921913076746</v>
      </c>
      <c r="D2896" s="0" t="n">
        <f aca="false">A2896/SUM($A2896:$C2896)</f>
        <v>0.157410182877266</v>
      </c>
      <c r="E2896" s="0" t="n">
        <f aca="false">B2896/SUM($A2896:$C2896)</f>
        <v>0.541587412407739</v>
      </c>
      <c r="F2896" s="0" t="n">
        <f aca="false">C2896/SUM($A2896:$C2896)</f>
        <v>0.301002404714994</v>
      </c>
      <c r="G2896" s="0" t="n">
        <f aca="false">SUMPRODUCT(D2896:F2896,Stats!$B$6:$D$6)</f>
        <v>0.379345917664993</v>
      </c>
      <c r="H2896" s="0" t="n">
        <f aca="false">SQRT(SUMPRODUCT(MMULT(D2896:F2896,Stats!$B$12:$D$14),D2896:F2896))</f>
        <v>0.23459114842093</v>
      </c>
      <c r="I2896" s="0" t="n">
        <f aca="false">(G2896-Stats!$B$2)/H2896</f>
        <v>1.43801639548517</v>
      </c>
    </row>
    <row r="2897" customFormat="false" ht="15" hidden="false" customHeight="false" outlineLevel="0" collapsed="false">
      <c r="A2897" s="0" t="n">
        <v>0.585485938315036</v>
      </c>
      <c r="B2897" s="0" t="n">
        <v>0.315653626982324</v>
      </c>
      <c r="C2897" s="0" t="n">
        <v>0.0869395606922542</v>
      </c>
      <c r="D2897" s="0" t="n">
        <f aca="false">A2897/SUM($A2897:$C2897)</f>
        <v>0.592549648013908</v>
      </c>
      <c r="E2897" s="0" t="n">
        <f aca="false">B2897/SUM($A2897:$C2897)</f>
        <v>0.319461891947348</v>
      </c>
      <c r="F2897" s="0" t="n">
        <f aca="false">C2897/SUM($A2897:$C2897)</f>
        <v>0.0879884600387439</v>
      </c>
      <c r="G2897" s="0" t="n">
        <f aca="false">SUMPRODUCT(D2897:F2897,Stats!$B$6:$D$6)</f>
        <v>0.372438880304114</v>
      </c>
      <c r="H2897" s="0" t="n">
        <f aca="false">SQRT(SUMPRODUCT(MMULT(D2897:F2897,Stats!$B$12:$D$14),D2897:F2897))</f>
        <v>0.225004684458928</v>
      </c>
      <c r="I2897" s="0" t="n">
        <f aca="false">(G2897-Stats!$B$2)/H2897</f>
        <v>1.46858667008967</v>
      </c>
    </row>
    <row r="2898" customFormat="false" ht="15" hidden="false" customHeight="false" outlineLevel="0" collapsed="false">
      <c r="A2898" s="0" t="n">
        <v>0.222950008557754</v>
      </c>
      <c r="B2898" s="0" t="n">
        <v>0.188058566479076</v>
      </c>
      <c r="C2898" s="0" t="n">
        <v>0.428019352439644</v>
      </c>
      <c r="D2898" s="0" t="n">
        <f aca="false">A2898/SUM($A2898:$C2898)</f>
        <v>0.265724180634029</v>
      </c>
      <c r="E2898" s="0" t="n">
        <f aca="false">B2898/SUM($A2898:$C2898)</f>
        <v>0.224138625569587</v>
      </c>
      <c r="F2898" s="0" t="n">
        <f aca="false">C2898/SUM($A2898:$C2898)</f>
        <v>0.510137193796384</v>
      </c>
      <c r="G2898" s="0" t="n">
        <f aca="false">SUMPRODUCT(D2898:F2898,Stats!$B$6:$D$6)</f>
        <v>0.3553135139648</v>
      </c>
      <c r="H2898" s="0" t="n">
        <f aca="false">SQRT(SUMPRODUCT(MMULT(D2898:F2898,Stats!$B$12:$D$14),D2898:F2898))</f>
        <v>0.229452254097387</v>
      </c>
      <c r="I2898" s="0" t="n">
        <f aca="false">(G2898-Stats!$B$2)/H2898</f>
        <v>1.36548457628932</v>
      </c>
    </row>
    <row r="2899" customFormat="false" ht="15" hidden="false" customHeight="false" outlineLevel="0" collapsed="false">
      <c r="A2899" s="0" t="n">
        <v>0.658283783426157</v>
      </c>
      <c r="B2899" s="0" t="n">
        <v>0.263806074946358</v>
      </c>
      <c r="C2899" s="0" t="n">
        <v>0.012069935300618</v>
      </c>
      <c r="D2899" s="0" t="n">
        <f aca="false">A2899/SUM($A2899:$C2899)</f>
        <v>0.704680064250864</v>
      </c>
      <c r="E2899" s="0" t="n">
        <f aca="false">B2899/SUM($A2899:$C2899)</f>
        <v>0.282399303345167</v>
      </c>
      <c r="F2899" s="0" t="n">
        <f aca="false">C2899/SUM($A2899:$C2899)</f>
        <v>0.0129206324039689</v>
      </c>
      <c r="G2899" s="0" t="n">
        <f aca="false">SUMPRODUCT(D2899:F2899,Stats!$B$6:$D$6)</f>
        <v>0.372376313399539</v>
      </c>
      <c r="H2899" s="0" t="n">
        <f aca="false">SQRT(SUMPRODUCT(MMULT(D2899:F2899,Stats!$B$12:$D$14),D2899:F2899))</f>
        <v>0.227107033329191</v>
      </c>
      <c r="I2899" s="0" t="n">
        <f aca="false">(G2899-Stats!$B$2)/H2899</f>
        <v>1.45471634478471</v>
      </c>
    </row>
    <row r="2900" customFormat="false" ht="15" hidden="false" customHeight="false" outlineLevel="0" collapsed="false">
      <c r="A2900" s="0" t="n">
        <v>0.518937364264757</v>
      </c>
      <c r="B2900" s="0" t="n">
        <v>0.605759489358972</v>
      </c>
      <c r="C2900" s="0" t="n">
        <v>0.96287049400181</v>
      </c>
      <c r="D2900" s="0" t="n">
        <f aca="false">A2900/SUM($A2900:$C2900)</f>
        <v>0.248584729424424</v>
      </c>
      <c r="E2900" s="0" t="n">
        <f aca="false">B2900/SUM($A2900:$C2900)</f>
        <v>0.290174824801691</v>
      </c>
      <c r="F2900" s="0" t="n">
        <f aca="false">C2900/SUM($A2900:$C2900)</f>
        <v>0.461240445773885</v>
      </c>
      <c r="G2900" s="0" t="n">
        <f aca="false">SUMPRODUCT(D2900:F2900,Stats!$B$6:$D$6)</f>
        <v>0.360461460419677</v>
      </c>
      <c r="H2900" s="0" t="n">
        <f aca="false">SQRT(SUMPRODUCT(MMULT(D2900:F2900,Stats!$B$12:$D$14),D2900:F2900))</f>
        <v>0.229621900533587</v>
      </c>
      <c r="I2900" s="0" t="n">
        <f aca="false">(G2900-Stats!$B$2)/H2900</f>
        <v>1.38689497682777</v>
      </c>
    </row>
    <row r="2901" customFormat="false" ht="15" hidden="false" customHeight="false" outlineLevel="0" collapsed="false">
      <c r="A2901" s="0" t="n">
        <v>0.589470803093247</v>
      </c>
      <c r="B2901" s="0" t="n">
        <v>0.471172559378142</v>
      </c>
      <c r="C2901" s="0" t="n">
        <v>0.573401625897704</v>
      </c>
      <c r="D2901" s="0" t="n">
        <f aca="false">A2901/SUM($A2901:$C2901)</f>
        <v>0.360743313243527</v>
      </c>
      <c r="E2901" s="0" t="n">
        <f aca="false">B2901/SUM($A2901:$C2901)</f>
        <v>0.288347360526719</v>
      </c>
      <c r="F2901" s="0" t="n">
        <f aca="false">C2901/SUM($A2901:$C2901)</f>
        <v>0.350909326229754</v>
      </c>
      <c r="G2901" s="0" t="n">
        <f aca="false">SUMPRODUCT(D2901:F2901,Stats!$B$6:$D$6)</f>
        <v>0.363398648676386</v>
      </c>
      <c r="H2901" s="0" t="n">
        <f aca="false">SQRT(SUMPRODUCT(MMULT(D2901:F2901,Stats!$B$12:$D$14),D2901:F2901))</f>
        <v>0.225321933017326</v>
      </c>
      <c r="I2901" s="0" t="n">
        <f aca="false">(G2901-Stats!$B$2)/H2901</f>
        <v>1.42639752984753</v>
      </c>
    </row>
    <row r="2902" customFormat="false" ht="15" hidden="false" customHeight="false" outlineLevel="0" collapsed="false">
      <c r="A2902" s="0" t="n">
        <v>0.927900629862027</v>
      </c>
      <c r="B2902" s="0" t="n">
        <v>0.828378145601646</v>
      </c>
      <c r="C2902" s="0" t="n">
        <v>0.322978733363808</v>
      </c>
      <c r="D2902" s="0" t="n">
        <f aca="false">A2902/SUM($A2902:$C2902)</f>
        <v>0.446265374020595</v>
      </c>
      <c r="E2902" s="0" t="n">
        <f aca="false">B2902/SUM($A2902:$C2902)</f>
        <v>0.398400939799313</v>
      </c>
      <c r="F2902" s="0" t="n">
        <f aca="false">C2902/SUM($A2902:$C2902)</f>
        <v>0.155333686180092</v>
      </c>
      <c r="G2902" s="0" t="n">
        <f aca="false">SUMPRODUCT(D2902:F2902,Stats!$B$6:$D$6)</f>
        <v>0.375123912240194</v>
      </c>
      <c r="H2902" s="0" t="n">
        <f aca="false">SQRT(SUMPRODUCT(MMULT(D2902:F2902,Stats!$B$12:$D$14),D2902:F2902))</f>
        <v>0.225700252382447</v>
      </c>
      <c r="I2902" s="0" t="n">
        <f aca="false">(G2902-Stats!$B$2)/H2902</f>
        <v>1.47595719864645</v>
      </c>
    </row>
    <row r="2903" customFormat="false" ht="15" hidden="false" customHeight="false" outlineLevel="0" collapsed="false">
      <c r="A2903" s="0" t="n">
        <v>0.237254363657137</v>
      </c>
      <c r="B2903" s="0" t="n">
        <v>0.262633612366074</v>
      </c>
      <c r="C2903" s="0" t="n">
        <v>0.504421039715213</v>
      </c>
      <c r="D2903" s="0" t="n">
        <f aca="false">A2903/SUM($A2903:$C2903)</f>
        <v>0.236236417217359</v>
      </c>
      <c r="E2903" s="0" t="n">
        <f aca="false">B2903/SUM($A2903:$C2903)</f>
        <v>0.261506775554505</v>
      </c>
      <c r="F2903" s="0" t="n">
        <f aca="false">C2903/SUM($A2903:$C2903)</f>
        <v>0.502256807228136</v>
      </c>
      <c r="G2903" s="0" t="n">
        <f aca="false">SUMPRODUCT(D2903:F2903,Stats!$B$6:$D$6)</f>
        <v>0.357680927578945</v>
      </c>
      <c r="H2903" s="0" t="n">
        <f aca="false">SQRT(SUMPRODUCT(MMULT(D2903:F2903,Stats!$B$12:$D$14),D2903:F2903))</f>
        <v>0.23052933312658</v>
      </c>
      <c r="I2903" s="0" t="n">
        <f aca="false">(G2903-Stats!$B$2)/H2903</f>
        <v>1.36937422798863</v>
      </c>
    </row>
    <row r="2904" customFormat="false" ht="15" hidden="false" customHeight="false" outlineLevel="0" collapsed="false">
      <c r="A2904" s="0" t="n">
        <v>0.744049451228578</v>
      </c>
      <c r="B2904" s="0" t="n">
        <v>0.503219207182962</v>
      </c>
      <c r="C2904" s="0" t="n">
        <v>0.0677963958281126</v>
      </c>
      <c r="D2904" s="0" t="n">
        <f aca="false">A2904/SUM($A2904:$C2904)</f>
        <v>0.565789083079828</v>
      </c>
      <c r="E2904" s="0" t="n">
        <f aca="false">B2904/SUM($A2904:$C2904)</f>
        <v>0.382657272779493</v>
      </c>
      <c r="F2904" s="0" t="n">
        <f aca="false">C2904/SUM($A2904:$C2904)</f>
        <v>0.0515536441406781</v>
      </c>
      <c r="G2904" s="0" t="n">
        <f aca="false">SUMPRODUCT(D2904:F2904,Stats!$B$6:$D$6)</f>
        <v>0.377079736759837</v>
      </c>
      <c r="H2904" s="0" t="n">
        <f aca="false">SQRT(SUMPRODUCT(MMULT(D2904:F2904,Stats!$B$12:$D$14),D2904:F2904))</f>
        <v>0.22649580134276</v>
      </c>
      <c r="I2904" s="0" t="n">
        <f aca="false">(G2904-Stats!$B$2)/H2904</f>
        <v>1.47940816021025</v>
      </c>
    </row>
    <row r="2905" customFormat="false" ht="15" hidden="false" customHeight="false" outlineLevel="0" collapsed="false">
      <c r="A2905" s="0" t="n">
        <v>0.723580700439981</v>
      </c>
      <c r="B2905" s="0" t="n">
        <v>0.805970128670954</v>
      </c>
      <c r="C2905" s="0" t="n">
        <v>0.28949786511972</v>
      </c>
      <c r="D2905" s="0" t="n">
        <f aca="false">A2905/SUM($A2905:$C2905)</f>
        <v>0.39777973109511</v>
      </c>
      <c r="E2905" s="0" t="n">
        <f aca="false">B2905/SUM($A2905:$C2905)</f>
        <v>0.44307232193794</v>
      </c>
      <c r="F2905" s="0" t="n">
        <f aca="false">C2905/SUM($A2905:$C2905)</f>
        <v>0.15914794696695</v>
      </c>
      <c r="G2905" s="0" t="n">
        <f aca="false">SUMPRODUCT(D2905:F2905,Stats!$B$6:$D$6)</f>
        <v>0.377589068977256</v>
      </c>
      <c r="H2905" s="0" t="n">
        <f aca="false">SQRT(SUMPRODUCT(MMULT(D2905:F2905,Stats!$B$12:$D$14),D2905:F2905))</f>
        <v>0.226980920641571</v>
      </c>
      <c r="I2905" s="0" t="n">
        <f aca="false">(G2905-Stats!$B$2)/H2905</f>
        <v>1.47849020978811</v>
      </c>
    </row>
    <row r="2906" customFormat="false" ht="15" hidden="false" customHeight="false" outlineLevel="0" collapsed="false">
      <c r="A2906" s="0" t="n">
        <v>0.66412573928335</v>
      </c>
      <c r="B2906" s="0" t="n">
        <v>0.426591901054393</v>
      </c>
      <c r="C2906" s="0" t="n">
        <v>0.889119355727443</v>
      </c>
      <c r="D2906" s="0" t="n">
        <f aca="false">A2906/SUM($A2906:$C2906)</f>
        <v>0.335444655597033</v>
      </c>
      <c r="E2906" s="0" t="n">
        <f aca="false">B2906/SUM($A2906:$C2906)</f>
        <v>0.215468193544327</v>
      </c>
      <c r="F2906" s="0" t="n">
        <f aca="false">C2906/SUM($A2906:$C2906)</f>
        <v>0.44908715085864</v>
      </c>
      <c r="G2906" s="0" t="n">
        <f aca="false">SUMPRODUCT(D2906:F2906,Stats!$B$6:$D$6)</f>
        <v>0.356498059980914</v>
      </c>
      <c r="H2906" s="0" t="n">
        <f aca="false">SQRT(SUMPRODUCT(MMULT(D2906:F2906,Stats!$B$12:$D$14),D2906:F2906))</f>
        <v>0.226350685545737</v>
      </c>
      <c r="I2906" s="0" t="n">
        <f aca="false">(G2906-Stats!$B$2)/H2906</f>
        <v>1.38942835195154</v>
      </c>
    </row>
    <row r="2907" customFormat="false" ht="15" hidden="false" customHeight="false" outlineLevel="0" collapsed="false">
      <c r="A2907" s="0" t="n">
        <v>0.84522555816074</v>
      </c>
      <c r="B2907" s="0" t="n">
        <v>0.525431998309642</v>
      </c>
      <c r="C2907" s="0" t="n">
        <v>0.691505545813595</v>
      </c>
      <c r="D2907" s="0" t="n">
        <f aca="false">A2907/SUM($A2907:$C2907)</f>
        <v>0.409873281713071</v>
      </c>
      <c r="E2907" s="0" t="n">
        <f aca="false">B2907/SUM($A2907:$C2907)</f>
        <v>0.254796527843842</v>
      </c>
      <c r="F2907" s="0" t="n">
        <f aca="false">C2907/SUM($A2907:$C2907)</f>
        <v>0.335330190443088</v>
      </c>
      <c r="G2907" s="0" t="n">
        <f aca="false">SUMPRODUCT(D2907:F2907,Stats!$B$6:$D$6)</f>
        <v>0.361897765865073</v>
      </c>
      <c r="H2907" s="0" t="n">
        <f aca="false">SQRT(SUMPRODUCT(MMULT(D2907:F2907,Stats!$B$12:$D$14),D2907:F2907))</f>
        <v>0.223981136462939</v>
      </c>
      <c r="I2907" s="0" t="n">
        <f aca="false">(G2907-Stats!$B$2)/H2907</f>
        <v>1.42823530104735</v>
      </c>
    </row>
    <row r="2908" customFormat="false" ht="15" hidden="false" customHeight="false" outlineLevel="0" collapsed="false">
      <c r="A2908" s="0" t="n">
        <v>0.883349701022104</v>
      </c>
      <c r="B2908" s="0" t="n">
        <v>0.495717010078276</v>
      </c>
      <c r="C2908" s="0" t="n">
        <v>0.313250740488822</v>
      </c>
      <c r="D2908" s="0" t="n">
        <f aca="false">A2908/SUM($A2908:$C2908)</f>
        <v>0.521976358627383</v>
      </c>
      <c r="E2908" s="0" t="n">
        <f aca="false">B2908/SUM($A2908:$C2908)</f>
        <v>0.292921998536837</v>
      </c>
      <c r="F2908" s="0" t="n">
        <f aca="false">C2908/SUM($A2908:$C2908)</f>
        <v>0.18510164283578</v>
      </c>
      <c r="G2908" s="0" t="n">
        <f aca="false">SUMPRODUCT(D2908:F2908,Stats!$B$6:$D$6)</f>
        <v>0.368233950523251</v>
      </c>
      <c r="H2908" s="0" t="n">
        <f aca="false">SQRT(SUMPRODUCT(MMULT(D2908:F2908,Stats!$B$12:$D$14),D2908:F2908))</f>
        <v>0.223460827127585</v>
      </c>
      <c r="I2908" s="0" t="n">
        <f aca="false">(G2908-Stats!$B$2)/H2908</f>
        <v>1.45991561347344</v>
      </c>
    </row>
    <row r="2909" customFormat="false" ht="15" hidden="false" customHeight="false" outlineLevel="0" collapsed="false">
      <c r="A2909" s="0" t="n">
        <v>0.753666137909581</v>
      </c>
      <c r="B2909" s="0" t="n">
        <v>0.220066254784692</v>
      </c>
      <c r="C2909" s="0" t="n">
        <v>0.388531148006042</v>
      </c>
      <c r="D2909" s="0" t="n">
        <f aca="false">A2909/SUM($A2909:$C2909)</f>
        <v>0.55324547372246</v>
      </c>
      <c r="E2909" s="0" t="n">
        <f aca="false">B2909/SUM($A2909:$C2909)</f>
        <v>0.161544553025004</v>
      </c>
      <c r="F2909" s="0" t="n">
        <f aca="false">C2909/SUM($A2909:$C2909)</f>
        <v>0.285209973252536</v>
      </c>
      <c r="G2909" s="0" t="n">
        <f aca="false">SUMPRODUCT(D2909:F2909,Stats!$B$6:$D$6)</f>
        <v>0.357914213639447</v>
      </c>
      <c r="H2909" s="0" t="n">
        <f aca="false">SQRT(SUMPRODUCT(MMULT(D2909:F2909,Stats!$B$12:$D$14),D2909:F2909))</f>
        <v>0.221730072349595</v>
      </c>
      <c r="I2909" s="0" t="n">
        <f aca="false">(G2909-Stats!$B$2)/H2909</f>
        <v>1.42476936164687</v>
      </c>
    </row>
    <row r="2910" customFormat="false" ht="15" hidden="false" customHeight="false" outlineLevel="0" collapsed="false">
      <c r="A2910" s="0" t="n">
        <v>0.865727237106794</v>
      </c>
      <c r="B2910" s="0" t="n">
        <v>0.724422340269315</v>
      </c>
      <c r="C2910" s="0" t="n">
        <v>0.403811005247499</v>
      </c>
      <c r="D2910" s="0" t="n">
        <f aca="false">A2910/SUM($A2910:$C2910)</f>
        <v>0.434174699666174</v>
      </c>
      <c r="E2910" s="0" t="n">
        <f aca="false">B2910/SUM($A2910:$C2910)</f>
        <v>0.363308255229467</v>
      </c>
      <c r="F2910" s="0" t="n">
        <f aca="false">C2910/SUM($A2910:$C2910)</f>
        <v>0.202517045104359</v>
      </c>
      <c r="G2910" s="0" t="n">
        <f aca="false">SUMPRODUCT(D2910:F2910,Stats!$B$6:$D$6)</f>
        <v>0.371803661614955</v>
      </c>
      <c r="H2910" s="0" t="n">
        <f aca="false">SQRT(SUMPRODUCT(MMULT(D2910:F2910,Stats!$B$12:$D$14),D2910:F2910))</f>
        <v>0.22494557571638</v>
      </c>
      <c r="I2910" s="0" t="n">
        <f aca="false">(G2910-Stats!$B$2)/H2910</f>
        <v>1.466148692032</v>
      </c>
    </row>
    <row r="2911" customFormat="false" ht="15" hidden="false" customHeight="false" outlineLevel="0" collapsed="false">
      <c r="A2911" s="0" t="n">
        <v>0.214744502408357</v>
      </c>
      <c r="B2911" s="0" t="n">
        <v>0.355968390832237</v>
      </c>
      <c r="C2911" s="0" t="n">
        <v>0.284104149227433</v>
      </c>
      <c r="D2911" s="0" t="n">
        <f aca="false">A2911/SUM($A2911:$C2911)</f>
        <v>0.2512169174685</v>
      </c>
      <c r="E2911" s="0" t="n">
        <f aca="false">B2911/SUM($A2911:$C2911)</f>
        <v>0.416426408397854</v>
      </c>
      <c r="F2911" s="0" t="n">
        <f aca="false">C2911/SUM($A2911:$C2911)</f>
        <v>0.332356674133646</v>
      </c>
      <c r="G2911" s="0" t="n">
        <f aca="false">SUMPRODUCT(D2911:F2911,Stats!$B$6:$D$6)</f>
        <v>0.371279733567248</v>
      </c>
      <c r="H2911" s="0" t="n">
        <f aca="false">SQRT(SUMPRODUCT(MMULT(D2911:F2911,Stats!$B$12:$D$14),D2911:F2911))</f>
        <v>0.229570764880787</v>
      </c>
      <c r="I2911" s="0" t="n">
        <f aca="false">(G2911-Stats!$B$2)/H2911</f>
        <v>1.43432781494734</v>
      </c>
    </row>
    <row r="2912" customFormat="false" ht="15" hidden="false" customHeight="false" outlineLevel="0" collapsed="false">
      <c r="A2912" s="0" t="n">
        <v>0.176089287943854</v>
      </c>
      <c r="B2912" s="0" t="n">
        <v>0.743332913565657</v>
      </c>
      <c r="C2912" s="0" t="n">
        <v>0.252069886850172</v>
      </c>
      <c r="D2912" s="0" t="n">
        <f aca="false">A2912/SUM($A2912:$C2912)</f>
        <v>0.150311973673176</v>
      </c>
      <c r="E2912" s="0" t="n">
        <f aca="false">B2912/SUM($A2912:$C2912)</f>
        <v>0.634518082496373</v>
      </c>
      <c r="F2912" s="0" t="n">
        <f aca="false">C2912/SUM($A2912:$C2912)</f>
        <v>0.215169943830452</v>
      </c>
      <c r="G2912" s="0" t="n">
        <f aca="false">SUMPRODUCT(D2912:F2912,Stats!$B$6:$D$6)</f>
        <v>0.387059825240071</v>
      </c>
      <c r="H2912" s="0" t="n">
        <f aca="false">SQRT(SUMPRODUCT(MMULT(D2912:F2912,Stats!$B$12:$D$14),D2912:F2912))</f>
        <v>0.236635691389003</v>
      </c>
      <c r="I2912" s="0" t="n">
        <f aca="false">(G2912-Stats!$B$2)/H2912</f>
        <v>1.45819011162112</v>
      </c>
    </row>
    <row r="2913" customFormat="false" ht="15" hidden="false" customHeight="false" outlineLevel="0" collapsed="false">
      <c r="A2913" s="0" t="n">
        <v>0.454167470167764</v>
      </c>
      <c r="B2913" s="0" t="n">
        <v>0.385859446836109</v>
      </c>
      <c r="C2913" s="0" t="n">
        <v>0.982077378635631</v>
      </c>
      <c r="D2913" s="0" t="n">
        <f aca="false">A2913/SUM($A2913:$C2913)</f>
        <v>0.249254376522045</v>
      </c>
      <c r="E2913" s="0" t="n">
        <f aca="false">B2913/SUM($A2913:$C2913)</f>
        <v>0.211765840056199</v>
      </c>
      <c r="F2913" s="0" t="n">
        <f aca="false">C2913/SUM($A2913:$C2913)</f>
        <v>0.538979783421756</v>
      </c>
      <c r="G2913" s="0" t="n">
        <f aca="false">SUMPRODUCT(D2913:F2913,Stats!$B$6:$D$6)</f>
        <v>0.353806276584666</v>
      </c>
      <c r="H2913" s="0" t="n">
        <f aca="false">SQRT(SUMPRODUCT(MMULT(D2913:F2913,Stats!$B$12:$D$14),D2913:F2913))</f>
        <v>0.230527178563288</v>
      </c>
      <c r="I2913" s="0" t="n">
        <f aca="false">(G2913-Stats!$B$2)/H2913</f>
        <v>1.3525792426209</v>
      </c>
    </row>
    <row r="2914" customFormat="false" ht="15" hidden="false" customHeight="false" outlineLevel="0" collapsed="false">
      <c r="A2914" s="0" t="n">
        <v>0.391092244148221</v>
      </c>
      <c r="B2914" s="0" t="n">
        <v>0.0799824827967548</v>
      </c>
      <c r="C2914" s="0" t="n">
        <v>0.089825752572084</v>
      </c>
      <c r="D2914" s="0" t="n">
        <f aca="false">A2914/SUM($A2914:$C2914)</f>
        <v>0.697257817438407</v>
      </c>
      <c r="E2914" s="0" t="n">
        <f aca="false">B2914/SUM($A2914:$C2914)</f>
        <v>0.142596566980332</v>
      </c>
      <c r="F2914" s="0" t="n">
        <f aca="false">C2914/SUM($A2914:$C2914)</f>
        <v>0.160145615581261</v>
      </c>
      <c r="G2914" s="0" t="n">
        <f aca="false">SUMPRODUCT(D2914:F2914,Stats!$B$6:$D$6)</f>
        <v>0.360272572606839</v>
      </c>
      <c r="H2914" s="0" t="n">
        <f aca="false">SQRT(SUMPRODUCT(MMULT(D2914:F2914,Stats!$B$12:$D$14),D2914:F2914))</f>
        <v>0.223032920436252</v>
      </c>
      <c r="I2914" s="0" t="n">
        <f aca="false">(G2914-Stats!$B$2)/H2914</f>
        <v>1.42702060298677</v>
      </c>
    </row>
    <row r="2915" customFormat="false" ht="15" hidden="false" customHeight="false" outlineLevel="0" collapsed="false">
      <c r="A2915" s="0" t="n">
        <v>0.590753721353065</v>
      </c>
      <c r="B2915" s="0" t="n">
        <v>0.599363551738266</v>
      </c>
      <c r="C2915" s="0" t="n">
        <v>0.418758990482655</v>
      </c>
      <c r="D2915" s="0" t="n">
        <f aca="false">A2915/SUM($A2915:$C2915)</f>
        <v>0.367184061775363</v>
      </c>
      <c r="E2915" s="0" t="n">
        <f aca="false">B2915/SUM($A2915:$C2915)</f>
        <v>0.372535517682901</v>
      </c>
      <c r="F2915" s="0" t="n">
        <f aca="false">C2915/SUM($A2915:$C2915)</f>
        <v>0.260280420541737</v>
      </c>
      <c r="G2915" s="0" t="n">
        <f aca="false">SUMPRODUCT(D2915:F2915,Stats!$B$6:$D$6)</f>
        <v>0.37074178349319</v>
      </c>
      <c r="H2915" s="0" t="n">
        <f aca="false">SQRT(SUMPRODUCT(MMULT(D2915:F2915,Stats!$B$12:$D$14),D2915:F2915))</f>
        <v>0.225919965516631</v>
      </c>
      <c r="I2915" s="0" t="n">
        <f aca="false">(G2915-Stats!$B$2)/H2915</f>
        <v>1.45512497198478</v>
      </c>
    </row>
    <row r="2916" customFormat="false" ht="15" hidden="false" customHeight="false" outlineLevel="0" collapsed="false">
      <c r="A2916" s="0" t="n">
        <v>0.43184369231203</v>
      </c>
      <c r="B2916" s="0" t="n">
        <v>0.0539325828408712</v>
      </c>
      <c r="C2916" s="0" t="n">
        <v>0.516546510389262</v>
      </c>
      <c r="D2916" s="0" t="n">
        <f aca="false">A2916/SUM($A2916:$C2916)</f>
        <v>0.430842936568026</v>
      </c>
      <c r="E2916" s="0" t="n">
        <f aca="false">B2916/SUM($A2916:$C2916)</f>
        <v>0.0538075993270957</v>
      </c>
      <c r="F2916" s="0" t="n">
        <f aca="false">C2916/SUM($A2916:$C2916)</f>
        <v>0.515349464104878</v>
      </c>
      <c r="G2916" s="0" t="n">
        <f aca="false">SUMPRODUCT(D2916:F2916,Stats!$B$6:$D$6)</f>
        <v>0.345369160820928</v>
      </c>
      <c r="H2916" s="0" t="n">
        <f aca="false">SQRT(SUMPRODUCT(MMULT(D2916:F2916,Stats!$B$12:$D$14),D2916:F2916))</f>
        <v>0.224842262239109</v>
      </c>
      <c r="I2916" s="0" t="n">
        <f aca="false">(G2916-Stats!$B$2)/H2916</f>
        <v>1.34925328450178</v>
      </c>
    </row>
    <row r="2917" customFormat="false" ht="15" hidden="false" customHeight="false" outlineLevel="0" collapsed="false">
      <c r="A2917" s="0" t="n">
        <v>0.504739475380352</v>
      </c>
      <c r="B2917" s="0" t="n">
        <v>0.149549318556945</v>
      </c>
      <c r="C2917" s="0" t="n">
        <v>0.103839386110928</v>
      </c>
      <c r="D2917" s="0" t="n">
        <f aca="false">A2917/SUM($A2917:$C2917)</f>
        <v>0.665770629114783</v>
      </c>
      <c r="E2917" s="0" t="n">
        <f aca="false">B2917/SUM($A2917:$C2917)</f>
        <v>0.197261258046669</v>
      </c>
      <c r="F2917" s="0" t="n">
        <f aca="false">C2917/SUM($A2917:$C2917)</f>
        <v>0.136968112838547</v>
      </c>
      <c r="G2917" s="0" t="n">
        <f aca="false">SUMPRODUCT(D2917:F2917,Stats!$B$6:$D$6)</f>
        <v>0.364057018903265</v>
      </c>
      <c r="H2917" s="0" t="n">
        <f aca="false">SQRT(SUMPRODUCT(MMULT(D2917:F2917,Stats!$B$12:$D$14),D2917:F2917))</f>
        <v>0.223409373179797</v>
      </c>
      <c r="I2917" s="0" t="n">
        <f aca="false">(G2917-Stats!$B$2)/H2917</f>
        <v>1.44155553690255</v>
      </c>
    </row>
    <row r="2918" customFormat="false" ht="15" hidden="false" customHeight="false" outlineLevel="0" collapsed="false">
      <c r="A2918" s="0" t="n">
        <v>0.123572490599491</v>
      </c>
      <c r="B2918" s="0" t="n">
        <v>0.101028246491259</v>
      </c>
      <c r="C2918" s="0" t="n">
        <v>0.60970819553676</v>
      </c>
      <c r="D2918" s="0" t="n">
        <f aca="false">A2918/SUM($A2918:$C2918)</f>
        <v>0.14811358930357</v>
      </c>
      <c r="E2918" s="0" t="n">
        <f aca="false">B2918/SUM($A2918:$C2918)</f>
        <v>0.121092130912572</v>
      </c>
      <c r="F2918" s="0" t="n">
        <f aca="false">C2918/SUM($A2918:$C2918)</f>
        <v>0.730794279783858</v>
      </c>
      <c r="G2918" s="0" t="n">
        <f aca="false">SUMPRODUCT(D2918:F2918,Stats!$B$6:$D$6)</f>
        <v>0.343299817755776</v>
      </c>
      <c r="H2918" s="0" t="n">
        <f aca="false">SQRT(SUMPRODUCT(MMULT(D2918:F2918,Stats!$B$12:$D$14),D2918:F2918))</f>
        <v>0.239861982792833</v>
      </c>
      <c r="I2918" s="0" t="n">
        <f aca="false">(G2918-Stats!$B$2)/H2918</f>
        <v>1.2561382768857</v>
      </c>
    </row>
    <row r="2919" customFormat="false" ht="15" hidden="false" customHeight="false" outlineLevel="0" collapsed="false">
      <c r="A2919" s="0" t="n">
        <v>0.196482652402919</v>
      </c>
      <c r="B2919" s="0" t="n">
        <v>0.251430152187464</v>
      </c>
      <c r="C2919" s="0" t="n">
        <v>0.17357214415144</v>
      </c>
      <c r="D2919" s="0" t="n">
        <f aca="false">A2919/SUM($A2919:$C2919)</f>
        <v>0.316150299055017</v>
      </c>
      <c r="E2919" s="0" t="n">
        <f aca="false">B2919/SUM($A2919:$C2919)</f>
        <v>0.404563542039878</v>
      </c>
      <c r="F2919" s="0" t="n">
        <f aca="false">C2919/SUM($A2919:$C2919)</f>
        <v>0.279286158905105</v>
      </c>
      <c r="G2919" s="0" t="n">
        <f aca="false">SUMPRODUCT(D2919:F2919,Stats!$B$6:$D$6)</f>
        <v>0.372060558636251</v>
      </c>
      <c r="H2919" s="0" t="n">
        <f aca="false">SQRT(SUMPRODUCT(MMULT(D2919:F2919,Stats!$B$12:$D$14),D2919:F2919))</f>
        <v>0.227463370029253</v>
      </c>
      <c r="I2919" s="0" t="n">
        <f aca="false">(G2919-Stats!$B$2)/H2919</f>
        <v>1.45104927704977</v>
      </c>
    </row>
    <row r="2920" customFormat="false" ht="15" hidden="false" customHeight="false" outlineLevel="0" collapsed="false">
      <c r="A2920" s="0" t="n">
        <v>0.957835304448503</v>
      </c>
      <c r="B2920" s="0" t="n">
        <v>0.854617463151835</v>
      </c>
      <c r="C2920" s="0" t="n">
        <v>0.230494837351521</v>
      </c>
      <c r="D2920" s="0" t="n">
        <f aca="false">A2920/SUM($A2920:$C2920)</f>
        <v>0.468849667082418</v>
      </c>
      <c r="E2920" s="0" t="n">
        <f aca="false">B2920/SUM($A2920:$C2920)</f>
        <v>0.418325688373185</v>
      </c>
      <c r="F2920" s="0" t="n">
        <f aca="false">C2920/SUM($A2920:$C2920)</f>
        <v>0.112824644544397</v>
      </c>
      <c r="G2920" s="0" t="n">
        <f aca="false">SUMPRODUCT(D2920:F2920,Stats!$B$6:$D$6)</f>
        <v>0.377442526958304</v>
      </c>
      <c r="H2920" s="0" t="n">
        <f aca="false">SQRT(SUMPRODUCT(MMULT(D2920:F2920,Stats!$B$12:$D$14),D2920:F2920))</f>
        <v>0.226316342133032</v>
      </c>
      <c r="I2920" s="0" t="n">
        <f aca="false">(G2920-Stats!$B$2)/H2920</f>
        <v>1.48218429034668</v>
      </c>
    </row>
    <row r="2921" customFormat="false" ht="15" hidden="false" customHeight="false" outlineLevel="0" collapsed="false">
      <c r="A2921" s="0" t="n">
        <v>0.327566293922126</v>
      </c>
      <c r="B2921" s="0" t="n">
        <v>0.209892842304997</v>
      </c>
      <c r="C2921" s="0" t="n">
        <v>0.491875959460824</v>
      </c>
      <c r="D2921" s="0" t="n">
        <f aca="false">A2921/SUM($A2921:$C2921)</f>
        <v>0.318230958309257</v>
      </c>
      <c r="E2921" s="0" t="n">
        <f aca="false">B2921/SUM($A2921:$C2921)</f>
        <v>0.203911090940426</v>
      </c>
      <c r="F2921" s="0" t="n">
        <f aca="false">C2921/SUM($A2921:$C2921)</f>
        <v>0.477857950750317</v>
      </c>
      <c r="G2921" s="0" t="n">
        <f aca="false">SUMPRODUCT(D2921:F2921,Stats!$B$6:$D$6)</f>
        <v>0.355039735513969</v>
      </c>
      <c r="H2921" s="0" t="n">
        <f aca="false">SQRT(SUMPRODUCT(MMULT(D2921:F2921,Stats!$B$12:$D$14),D2921:F2921))</f>
        <v>0.227183940398746</v>
      </c>
      <c r="I2921" s="0" t="n">
        <f aca="false">(G2921-Stats!$B$2)/H2921</f>
        <v>1.37791313490087</v>
      </c>
    </row>
    <row r="2922" customFormat="false" ht="15" hidden="false" customHeight="false" outlineLevel="0" collapsed="false">
      <c r="A2922" s="0" t="n">
        <v>0.0196105324742536</v>
      </c>
      <c r="B2922" s="0" t="n">
        <v>0.671368008896796</v>
      </c>
      <c r="C2922" s="0" t="n">
        <v>0.523158149817642</v>
      </c>
      <c r="D2922" s="0" t="n">
        <f aca="false">A2922/SUM($A2922:$C2922)</f>
        <v>0.0161518325049991</v>
      </c>
      <c r="E2922" s="0" t="n">
        <f aca="false">B2922/SUM($A2922:$C2922)</f>
        <v>0.552959163304338</v>
      </c>
      <c r="F2922" s="0" t="n">
        <f aca="false">C2922/SUM($A2922:$C2922)</f>
        <v>0.430889004190663</v>
      </c>
      <c r="G2922" s="0" t="n">
        <f aca="false">SUMPRODUCT(D2922:F2922,Stats!$B$6:$D$6)</f>
        <v>0.376418660469885</v>
      </c>
      <c r="H2922" s="0" t="n">
        <f aca="false">SQRT(SUMPRODUCT(MMULT(D2922:F2922,Stats!$B$12:$D$14),D2922:F2922))</f>
        <v>0.242166058582494</v>
      </c>
      <c r="I2922" s="0" t="n">
        <f aca="false">(G2922-Stats!$B$2)/H2922</f>
        <v>1.38094769526079</v>
      </c>
    </row>
    <row r="2923" customFormat="false" ht="15" hidden="false" customHeight="false" outlineLevel="0" collapsed="false">
      <c r="A2923" s="0" t="n">
        <v>0.898638928301103</v>
      </c>
      <c r="B2923" s="0" t="n">
        <v>0.164392684328414</v>
      </c>
      <c r="C2923" s="0" t="n">
        <v>0.804109246061132</v>
      </c>
      <c r="D2923" s="0" t="n">
        <f aca="false">A2923/SUM($A2923:$C2923)</f>
        <v>0.48129144842949</v>
      </c>
      <c r="E2923" s="0" t="n">
        <f aca="false">B2923/SUM($A2923:$C2923)</f>
        <v>0.0880451432270065</v>
      </c>
      <c r="F2923" s="0" t="n">
        <f aca="false">C2923/SUM($A2923:$C2923)</f>
        <v>0.430663408343504</v>
      </c>
      <c r="G2923" s="0" t="n">
        <f aca="false">SUMPRODUCT(D2923:F2923,Stats!$B$6:$D$6)</f>
        <v>0.349674330199793</v>
      </c>
      <c r="H2923" s="0" t="n">
        <f aca="false">SQRT(SUMPRODUCT(MMULT(D2923:F2923,Stats!$B$12:$D$14),D2923:F2923))</f>
        <v>0.222804710690866</v>
      </c>
      <c r="I2923" s="0" t="n">
        <f aca="false">(G2923-Stats!$B$2)/H2923</f>
        <v>1.38091483454621</v>
      </c>
    </row>
    <row r="2924" customFormat="false" ht="15" hidden="false" customHeight="false" outlineLevel="0" collapsed="false">
      <c r="A2924" s="0" t="n">
        <v>0.791961014466716</v>
      </c>
      <c r="B2924" s="0" t="n">
        <v>0.127181189216887</v>
      </c>
      <c r="C2924" s="0" t="n">
        <v>0.398559224144128</v>
      </c>
      <c r="D2924" s="0" t="n">
        <f aca="false">A2924/SUM($A2924:$C2924)</f>
        <v>0.601017042056551</v>
      </c>
      <c r="E2924" s="0" t="n">
        <f aca="false">B2924/SUM($A2924:$C2924)</f>
        <v>0.096517455723296</v>
      </c>
      <c r="F2924" s="0" t="n">
        <f aca="false">C2924/SUM($A2924:$C2924)</f>
        <v>0.302465502220153</v>
      </c>
      <c r="G2924" s="0" t="n">
        <f aca="false">SUMPRODUCT(D2924:F2924,Stats!$B$6:$D$6)</f>
        <v>0.353696824049175</v>
      </c>
      <c r="H2924" s="0" t="n">
        <f aca="false">SQRT(SUMPRODUCT(MMULT(D2924:F2924,Stats!$B$12:$D$14),D2924:F2924))</f>
        <v>0.221347713209368</v>
      </c>
      <c r="I2924" s="0" t="n">
        <f aca="false">(G2924-Stats!$B$2)/H2924</f>
        <v>1.40817729503421</v>
      </c>
    </row>
    <row r="2925" customFormat="false" ht="15" hidden="false" customHeight="false" outlineLevel="0" collapsed="false">
      <c r="A2925" s="0" t="n">
        <v>0.170152641144517</v>
      </c>
      <c r="B2925" s="0" t="n">
        <v>0.254720500457549</v>
      </c>
      <c r="C2925" s="0" t="n">
        <v>0.263246174830544</v>
      </c>
      <c r="D2925" s="0" t="n">
        <f aca="false">A2925/SUM($A2925:$C2925)</f>
        <v>0.247272002225766</v>
      </c>
      <c r="E2925" s="0" t="n">
        <f aca="false">B2925/SUM($A2925:$C2925)</f>
        <v>0.370169088956965</v>
      </c>
      <c r="F2925" s="0" t="n">
        <f aca="false">C2925/SUM($A2925:$C2925)</f>
        <v>0.382558908817269</v>
      </c>
      <c r="G2925" s="0" t="n">
        <f aca="false">SUMPRODUCT(D2925:F2925,Stats!$B$6:$D$6)</f>
        <v>0.36723383996369</v>
      </c>
      <c r="H2925" s="0" t="n">
        <f aca="false">SQRT(SUMPRODUCT(MMULT(D2925:F2925,Stats!$B$12:$D$14),D2925:F2925))</f>
        <v>0.229479735490128</v>
      </c>
      <c r="I2925" s="0" t="n">
        <f aca="false">(G2925-Stats!$B$2)/H2925</f>
        <v>1.41726605736689</v>
      </c>
    </row>
    <row r="2926" customFormat="false" ht="15" hidden="false" customHeight="false" outlineLevel="0" collapsed="false">
      <c r="A2926" s="0" t="n">
        <v>0.556236394025773</v>
      </c>
      <c r="B2926" s="0" t="n">
        <v>0.411410931760466</v>
      </c>
      <c r="C2926" s="0" t="n">
        <v>0.947732804006305</v>
      </c>
      <c r="D2926" s="0" t="n">
        <f aca="false">A2926/SUM($A2926:$C2926)</f>
        <v>0.290405223158507</v>
      </c>
      <c r="E2926" s="0" t="n">
        <f aca="false">B2926/SUM($A2926:$C2926)</f>
        <v>0.214793358958478</v>
      </c>
      <c r="F2926" s="0" t="n">
        <f aca="false">C2926/SUM($A2926:$C2926)</f>
        <v>0.494801417883016</v>
      </c>
      <c r="G2926" s="0" t="n">
        <f aca="false">SUMPRODUCT(D2926:F2926,Stats!$B$6:$D$6)</f>
        <v>0.3551986775417</v>
      </c>
      <c r="H2926" s="0" t="n">
        <f aca="false">SQRT(SUMPRODUCT(MMULT(D2926:F2926,Stats!$B$12:$D$14),D2926:F2926))</f>
        <v>0.2283398799636</v>
      </c>
      <c r="I2926" s="0" t="n">
        <f aca="false">(G2926-Stats!$B$2)/H2926</f>
        <v>1.3716337137062</v>
      </c>
    </row>
    <row r="2927" customFormat="false" ht="15" hidden="false" customHeight="false" outlineLevel="0" collapsed="false">
      <c r="A2927" s="0" t="n">
        <v>0.126370141947005</v>
      </c>
      <c r="B2927" s="0" t="n">
        <v>0.973692134850199</v>
      </c>
      <c r="C2927" s="0" t="n">
        <v>0.230638640214264</v>
      </c>
      <c r="D2927" s="0" t="n">
        <f aca="false">A2927/SUM($A2927:$C2927)</f>
        <v>0.0949650972141895</v>
      </c>
      <c r="E2927" s="0" t="n">
        <f aca="false">B2927/SUM($A2927:$C2927)</f>
        <v>0.731713732516957</v>
      </c>
      <c r="F2927" s="0" t="n">
        <f aca="false">C2927/SUM($A2927:$C2927)</f>
        <v>0.173321170268853</v>
      </c>
      <c r="G2927" s="0" t="n">
        <f aca="false">SUMPRODUCT(D2927:F2927,Stats!$B$6:$D$6)</f>
        <v>0.393806300979464</v>
      </c>
      <c r="H2927" s="0" t="n">
        <f aca="false">SQRT(SUMPRODUCT(MMULT(D2927:F2927,Stats!$B$12:$D$14),D2927:F2927))</f>
        <v>0.241129632387575</v>
      </c>
      <c r="I2927" s="0" t="n">
        <f aca="false">(G2927-Stats!$B$2)/H2927</f>
        <v>1.45899239963172</v>
      </c>
    </row>
    <row r="2928" customFormat="false" ht="15" hidden="false" customHeight="false" outlineLevel="0" collapsed="false">
      <c r="A2928" s="0" t="n">
        <v>0.772873936381853</v>
      </c>
      <c r="B2928" s="0" t="n">
        <v>0.338969926172821</v>
      </c>
      <c r="C2928" s="0" t="n">
        <v>0.143081395417314</v>
      </c>
      <c r="D2928" s="0" t="n">
        <f aca="false">A2928/SUM($A2928:$C2928)</f>
        <v>0.615872484414609</v>
      </c>
      <c r="E2928" s="0" t="n">
        <f aca="false">B2928/SUM($A2928:$C2928)</f>
        <v>0.270111645310742</v>
      </c>
      <c r="F2928" s="0" t="n">
        <f aca="false">C2928/SUM($A2928:$C2928)</f>
        <v>0.114015870274648</v>
      </c>
      <c r="G2928" s="0" t="n">
        <f aca="false">SUMPRODUCT(D2928:F2928,Stats!$B$6:$D$6)</f>
        <v>0.368881635158831</v>
      </c>
      <c r="H2928" s="0" t="n">
        <f aca="false">SQRT(SUMPRODUCT(MMULT(D2928:F2928,Stats!$B$12:$D$14),D2928:F2928))</f>
        <v>0.22409293066648</v>
      </c>
      <c r="I2928" s="0" t="n">
        <f aca="false">(G2928-Stats!$B$2)/H2928</f>
        <v>1.45868784966418</v>
      </c>
    </row>
    <row r="2929" customFormat="false" ht="15" hidden="false" customHeight="false" outlineLevel="0" collapsed="false">
      <c r="A2929" s="0" t="n">
        <v>0.85788918524624</v>
      </c>
      <c r="B2929" s="0" t="n">
        <v>0.308860899236463</v>
      </c>
      <c r="C2929" s="0" t="n">
        <v>0.658855404226842</v>
      </c>
      <c r="D2929" s="0" t="n">
        <f aca="false">A2929/SUM($A2929:$C2929)</f>
        <v>0.469920358232846</v>
      </c>
      <c r="E2929" s="0" t="n">
        <f aca="false">B2929/SUM($A2929:$C2929)</f>
        <v>0.169182718361997</v>
      </c>
      <c r="F2929" s="0" t="n">
        <f aca="false">C2929/SUM($A2929:$C2929)</f>
        <v>0.360896923405157</v>
      </c>
      <c r="G2929" s="0" t="n">
        <f aca="false">SUMPRODUCT(D2929:F2929,Stats!$B$6:$D$6)</f>
        <v>0.356266665247326</v>
      </c>
      <c r="H2929" s="0" t="n">
        <f aca="false">SQRT(SUMPRODUCT(MMULT(D2929:F2929,Stats!$B$12:$D$14),D2929:F2929))</f>
        <v>0.222630694773203</v>
      </c>
      <c r="I2929" s="0" t="n">
        <f aca="false">(G2929-Stats!$B$2)/H2929</f>
        <v>1.41160528456094</v>
      </c>
    </row>
    <row r="2930" customFormat="false" ht="15" hidden="false" customHeight="false" outlineLevel="0" collapsed="false">
      <c r="A2930" s="0" t="n">
        <v>0.566443685086627</v>
      </c>
      <c r="B2930" s="0" t="n">
        <v>0.471756309390874</v>
      </c>
      <c r="C2930" s="0" t="n">
        <v>0.495819472648539</v>
      </c>
      <c r="D2930" s="0" t="n">
        <f aca="false">A2930/SUM($A2930:$C2930)</f>
        <v>0.369254561122258</v>
      </c>
      <c r="E2930" s="0" t="n">
        <f aca="false">B2930/SUM($A2930:$C2930)</f>
        <v>0.307529545420113</v>
      </c>
      <c r="F2930" s="0" t="n">
        <f aca="false">C2930/SUM($A2930:$C2930)</f>
        <v>0.323215893457629</v>
      </c>
      <c r="G2930" s="0" t="n">
        <f aca="false">SUMPRODUCT(D2930:F2930,Stats!$B$6:$D$6)</f>
        <v>0.365266002525373</v>
      </c>
      <c r="H2930" s="0" t="n">
        <f aca="false">SQRT(SUMPRODUCT(MMULT(D2930:F2930,Stats!$B$12:$D$14),D2930:F2930))</f>
        <v>0.22519531779404</v>
      </c>
      <c r="I2930" s="0" t="n">
        <f aca="false">(G2930-Stats!$B$2)/H2930</f>
        <v>1.43549166870791</v>
      </c>
    </row>
    <row r="2931" customFormat="false" ht="15" hidden="false" customHeight="false" outlineLevel="0" collapsed="false">
      <c r="A2931" s="0" t="n">
        <v>0.732237914092288</v>
      </c>
      <c r="B2931" s="0" t="n">
        <v>0.0877729141234406</v>
      </c>
      <c r="C2931" s="0" t="n">
        <v>0.668180661957905</v>
      </c>
      <c r="D2931" s="0" t="n">
        <f aca="false">A2931/SUM($A2931:$C2931)</f>
        <v>0.49203205294962</v>
      </c>
      <c r="E2931" s="0" t="n">
        <f aca="false">B2931/SUM($A2931:$C2931)</f>
        <v>0.0589795834091215</v>
      </c>
      <c r="F2931" s="0" t="n">
        <f aca="false">C2931/SUM($A2931:$C2931)</f>
        <v>0.448988363641258</v>
      </c>
      <c r="G2931" s="0" t="n">
        <f aca="false">SUMPRODUCT(D2931:F2931,Stats!$B$6:$D$6)</f>
        <v>0.347496631912503</v>
      </c>
      <c r="H2931" s="0" t="n">
        <f aca="false">SQRT(SUMPRODUCT(MMULT(D2931:F2931,Stats!$B$12:$D$14),D2931:F2931))</f>
        <v>0.222857873684253</v>
      </c>
      <c r="I2931" s="0" t="n">
        <f aca="false">(G2931-Stats!$B$2)/H2931</f>
        <v>1.3708137247389</v>
      </c>
    </row>
    <row r="2932" customFormat="false" ht="15" hidden="false" customHeight="false" outlineLevel="0" collapsed="false">
      <c r="A2932" s="0" t="n">
        <v>0.895812101398579</v>
      </c>
      <c r="B2932" s="0" t="n">
        <v>0.0577881970198642</v>
      </c>
      <c r="C2932" s="0" t="n">
        <v>0.140653339233667</v>
      </c>
      <c r="D2932" s="0" t="n">
        <f aca="false">A2932/SUM($A2932:$C2932)</f>
        <v>0.818651243710446</v>
      </c>
      <c r="E2932" s="0" t="n">
        <f aca="false">B2932/SUM($A2932:$C2932)</f>
        <v>0.05281060535824</v>
      </c>
      <c r="F2932" s="0" t="n">
        <f aca="false">C2932/SUM($A2932:$C2932)</f>
        <v>0.128538150931314</v>
      </c>
      <c r="G2932" s="0" t="n">
        <f aca="false">SUMPRODUCT(D2932:F2932,Stats!$B$6:$D$6)</f>
        <v>0.355977968263652</v>
      </c>
      <c r="H2932" s="0" t="n">
        <f aca="false">SQRT(SUMPRODUCT(MMULT(D2932:F2932,Stats!$B$12:$D$14),D2932:F2932))</f>
        <v>0.225141199041947</v>
      </c>
      <c r="I2932" s="0" t="n">
        <f aca="false">(G2932-Stats!$B$2)/H2932</f>
        <v>1.3945824646921</v>
      </c>
    </row>
    <row r="2933" customFormat="false" ht="15" hidden="false" customHeight="false" outlineLevel="0" collapsed="false">
      <c r="A2933" s="0" t="n">
        <v>0.716631936702031</v>
      </c>
      <c r="B2933" s="0" t="n">
        <v>0.437281648244618</v>
      </c>
      <c r="C2933" s="0" t="n">
        <v>0.403548620813688</v>
      </c>
      <c r="D2933" s="0" t="n">
        <f aca="false">A2933/SUM($A2933:$C2933)</f>
        <v>0.460127978741018</v>
      </c>
      <c r="E2933" s="0" t="n">
        <f aca="false">B2933/SUM($A2933:$C2933)</f>
        <v>0.280765495706614</v>
      </c>
      <c r="F2933" s="0" t="n">
        <f aca="false">C2933/SUM($A2933:$C2933)</f>
        <v>0.259106525552368</v>
      </c>
      <c r="G2933" s="0" t="n">
        <f aca="false">SUMPRODUCT(D2933:F2933,Stats!$B$6:$D$6)</f>
        <v>0.365493824907118</v>
      </c>
      <c r="H2933" s="0" t="n">
        <f aca="false">SQRT(SUMPRODUCT(MMULT(D2933:F2933,Stats!$B$12:$D$14),D2933:F2933))</f>
        <v>0.223418352933721</v>
      </c>
      <c r="I2933" s="0" t="n">
        <f aca="false">(G2933-Stats!$B$2)/H2933</f>
        <v>1.44792860863622</v>
      </c>
    </row>
    <row r="2934" customFormat="false" ht="15" hidden="false" customHeight="false" outlineLevel="0" collapsed="false">
      <c r="A2934" s="0" t="n">
        <v>0.136966634544236</v>
      </c>
      <c r="B2934" s="0" t="n">
        <v>0.506770040717788</v>
      </c>
      <c r="C2934" s="0" t="n">
        <v>0.126545311196377</v>
      </c>
      <c r="D2934" s="0" t="n">
        <f aca="false">A2934/SUM($A2934:$C2934)</f>
        <v>0.177813627933817</v>
      </c>
      <c r="E2934" s="0" t="n">
        <f aca="false">B2934/SUM($A2934:$C2934)</f>
        <v>0.657901975674925</v>
      </c>
      <c r="F2934" s="0" t="n">
        <f aca="false">C2934/SUM($A2934:$C2934)</f>
        <v>0.164284396391258</v>
      </c>
      <c r="G2934" s="0" t="n">
        <f aca="false">SUMPRODUCT(D2934:F2934,Stats!$B$6:$D$6)</f>
        <v>0.389808453587409</v>
      </c>
      <c r="H2934" s="0" t="n">
        <f aca="false">SQRT(SUMPRODUCT(MMULT(D2934:F2934,Stats!$B$12:$D$14),D2934:F2934))</f>
        <v>0.236447173502238</v>
      </c>
      <c r="I2934" s="0" t="n">
        <f aca="false">(G2934-Stats!$B$2)/H2934</f>
        <v>1.47097742144977</v>
      </c>
    </row>
    <row r="2935" customFormat="false" ht="15" hidden="false" customHeight="false" outlineLevel="0" collapsed="false">
      <c r="A2935" s="0" t="n">
        <v>0.47662045631054</v>
      </c>
      <c r="B2935" s="0" t="n">
        <v>0.763615298961657</v>
      </c>
      <c r="C2935" s="0" t="n">
        <v>0.258264357887164</v>
      </c>
      <c r="D2935" s="0" t="n">
        <f aca="false">A2935/SUM($A2935:$C2935)</f>
        <v>0.318065011890896</v>
      </c>
      <c r="E2935" s="0" t="n">
        <f aca="false">B2935/SUM($A2935:$C2935)</f>
        <v>0.509586413945401</v>
      </c>
      <c r="F2935" s="0" t="n">
        <f aca="false">C2935/SUM($A2935:$C2935)</f>
        <v>0.172348574163703</v>
      </c>
      <c r="G2935" s="0" t="n">
        <f aca="false">SUMPRODUCT(D2935:F2935,Stats!$B$6:$D$6)</f>
        <v>0.381052201526139</v>
      </c>
      <c r="H2935" s="0" t="n">
        <f aca="false">SQRT(SUMPRODUCT(MMULT(D2935:F2935,Stats!$B$12:$D$14),D2935:F2935))</f>
        <v>0.229488011679266</v>
      </c>
      <c r="I2935" s="0" t="n">
        <f aca="false">(G2935-Stats!$B$2)/H2935</f>
        <v>1.4774288166303</v>
      </c>
    </row>
    <row r="2936" customFormat="false" ht="15" hidden="false" customHeight="false" outlineLevel="0" collapsed="false">
      <c r="A2936" s="0" t="n">
        <v>0.480786168179727</v>
      </c>
      <c r="B2936" s="0" t="n">
        <v>0.992015969396836</v>
      </c>
      <c r="C2936" s="0" t="n">
        <v>0.686650423354037</v>
      </c>
      <c r="D2936" s="0" t="n">
        <f aca="false">A2936/SUM($A2936:$C2936)</f>
        <v>0.2226426164104</v>
      </c>
      <c r="E2936" s="0" t="n">
        <f aca="false">B2936/SUM($A2936:$C2936)</f>
        <v>0.459383080390214</v>
      </c>
      <c r="F2936" s="0" t="n">
        <f aca="false">C2936/SUM($A2936:$C2936)</f>
        <v>0.317974303199386</v>
      </c>
      <c r="G2936" s="0" t="n">
        <f aca="false">SUMPRODUCT(D2936:F2936,Stats!$B$6:$D$6)</f>
        <v>0.374147993222717</v>
      </c>
      <c r="H2936" s="0" t="n">
        <f aca="false">SQRT(SUMPRODUCT(MMULT(D2936:F2936,Stats!$B$12:$D$14),D2936:F2936))</f>
        <v>0.231022146437031</v>
      </c>
      <c r="I2936" s="0" t="n">
        <f aca="false">(G2936-Stats!$B$2)/H2936</f>
        <v>1.43773226223248</v>
      </c>
    </row>
    <row r="2937" customFormat="false" ht="15" hidden="false" customHeight="false" outlineLevel="0" collapsed="false">
      <c r="A2937" s="0" t="n">
        <v>0.841356771305199</v>
      </c>
      <c r="B2937" s="0" t="n">
        <v>0.414847606560546</v>
      </c>
      <c r="C2937" s="0" t="n">
        <v>0.767860923125855</v>
      </c>
      <c r="D2937" s="0" t="n">
        <f aca="false">A2937/SUM($A2937:$C2937)</f>
        <v>0.415676693283074</v>
      </c>
      <c r="E2937" s="0" t="n">
        <f aca="false">B2937/SUM($A2937:$C2937)</f>
        <v>0.20495761987388</v>
      </c>
      <c r="F2937" s="0" t="n">
        <f aca="false">C2937/SUM($A2937:$C2937)</f>
        <v>0.379365686843046</v>
      </c>
      <c r="G2937" s="0" t="n">
        <f aca="false">SUMPRODUCT(D2937:F2937,Stats!$B$6:$D$6)</f>
        <v>0.357815837729431</v>
      </c>
      <c r="H2937" s="0" t="n">
        <f aca="false">SQRT(SUMPRODUCT(MMULT(D2937:F2937,Stats!$B$12:$D$14),D2937:F2937))</f>
        <v>0.223781355824022</v>
      </c>
      <c r="I2937" s="0" t="n">
        <f aca="false">(G2937-Stats!$B$2)/H2937</f>
        <v>1.41126965902281</v>
      </c>
    </row>
    <row r="2938" customFormat="false" ht="15" hidden="false" customHeight="false" outlineLevel="0" collapsed="false">
      <c r="A2938" s="0" t="n">
        <v>0.0405091729413218</v>
      </c>
      <c r="B2938" s="0" t="n">
        <v>0.122911182542245</v>
      </c>
      <c r="C2938" s="0" t="n">
        <v>0.203070592920062</v>
      </c>
      <c r="D2938" s="0" t="n">
        <f aca="false">A2938/SUM($A2938:$C2938)</f>
        <v>0.11053253325293</v>
      </c>
      <c r="E2938" s="0" t="n">
        <f aca="false">B2938/SUM($A2938:$C2938)</f>
        <v>0.335373037390486</v>
      </c>
      <c r="F2938" s="0" t="n">
        <f aca="false">C2938/SUM($A2938:$C2938)</f>
        <v>0.554094429356584</v>
      </c>
      <c r="G2938" s="0" t="n">
        <f aca="false">SUMPRODUCT(D2938:F2938,Stats!$B$6:$D$6)</f>
        <v>0.360501694189362</v>
      </c>
      <c r="H2938" s="0" t="n">
        <f aca="false">SQRT(SUMPRODUCT(MMULT(D2938:F2938,Stats!$B$12:$D$14),D2938:F2938))</f>
        <v>0.237242907204162</v>
      </c>
      <c r="I2938" s="0" t="n">
        <f aca="false">(G2938-Stats!$B$2)/H2938</f>
        <v>1.3425130299692</v>
      </c>
    </row>
    <row r="2939" customFormat="false" ht="15" hidden="false" customHeight="false" outlineLevel="0" collapsed="false">
      <c r="A2939" s="0" t="n">
        <v>0.40195192461522</v>
      </c>
      <c r="B2939" s="0" t="n">
        <v>0.845744878325763</v>
      </c>
      <c r="C2939" s="0" t="n">
        <v>0.346266050787931</v>
      </c>
      <c r="D2939" s="0" t="n">
        <f aca="false">A2939/SUM($A2939:$C2939)</f>
        <v>0.252171450341452</v>
      </c>
      <c r="E2939" s="0" t="n">
        <f aca="false">B2939/SUM($A2939:$C2939)</f>
        <v>0.530592589624802</v>
      </c>
      <c r="F2939" s="0" t="n">
        <f aca="false">C2939/SUM($A2939:$C2939)</f>
        <v>0.217235960033746</v>
      </c>
      <c r="G2939" s="0" t="n">
        <f aca="false">SUMPRODUCT(D2939:F2939,Stats!$B$6:$D$6)</f>
        <v>0.3810231172862</v>
      </c>
      <c r="H2939" s="0" t="n">
        <f aca="false">SQRT(SUMPRODUCT(MMULT(D2939:F2939,Stats!$B$12:$D$14),D2939:F2939))</f>
        <v>0.23127308332073</v>
      </c>
      <c r="I2939" s="0" t="n">
        <f aca="false">(G2939-Stats!$B$2)/H2939</f>
        <v>1.46589958683623</v>
      </c>
    </row>
    <row r="2940" customFormat="false" ht="15" hidden="false" customHeight="false" outlineLevel="0" collapsed="false">
      <c r="A2940" s="0" t="n">
        <v>0.654621193515463</v>
      </c>
      <c r="B2940" s="0" t="n">
        <v>0.709314294803483</v>
      </c>
      <c r="C2940" s="0" t="n">
        <v>0.586182354088341</v>
      </c>
      <c r="D2940" s="0" t="n">
        <f aca="false">A2940/SUM($A2940:$C2940)</f>
        <v>0.335682890172102</v>
      </c>
      <c r="E2940" s="0" t="n">
        <f aca="false">B2940/SUM($A2940:$C2940)</f>
        <v>0.363728939543409</v>
      </c>
      <c r="F2940" s="0" t="n">
        <f aca="false">C2940/SUM($A2940:$C2940)</f>
        <v>0.300588170284489</v>
      </c>
      <c r="G2940" s="0" t="n">
        <f aca="false">SUMPRODUCT(D2940:F2940,Stats!$B$6:$D$6)</f>
        <v>0.369123593689194</v>
      </c>
      <c r="H2940" s="0" t="n">
        <f aca="false">SQRT(SUMPRODUCT(MMULT(D2940:F2940,Stats!$B$12:$D$14),D2940:F2940))</f>
        <v>0.226496770009966</v>
      </c>
      <c r="I2940" s="0" t="n">
        <f aca="false">(G2940-Stats!$B$2)/H2940</f>
        <v>1.44427487277103</v>
      </c>
    </row>
    <row r="2941" customFormat="false" ht="15" hidden="false" customHeight="false" outlineLevel="0" collapsed="false">
      <c r="A2941" s="0" t="n">
        <v>0.357241968170136</v>
      </c>
      <c r="B2941" s="0" t="n">
        <v>0.577053341713544</v>
      </c>
      <c r="C2941" s="0" t="n">
        <v>0.342265592789746</v>
      </c>
      <c r="D2941" s="0" t="n">
        <f aca="false">A2941/SUM($A2941:$C2941)</f>
        <v>0.279847179575988</v>
      </c>
      <c r="E2941" s="0" t="n">
        <f aca="false">B2941/SUM($A2941:$C2941)</f>
        <v>0.452037455091297</v>
      </c>
      <c r="F2941" s="0" t="n">
        <f aca="false">C2941/SUM($A2941:$C2941)</f>
        <v>0.268115365332715</v>
      </c>
      <c r="G2941" s="0" t="n">
        <f aca="false">SUMPRODUCT(D2941:F2941,Stats!$B$6:$D$6)</f>
        <v>0.375100176485192</v>
      </c>
      <c r="H2941" s="0" t="n">
        <f aca="false">SQRT(SUMPRODUCT(MMULT(D2941:F2941,Stats!$B$12:$D$14),D2941:F2941))</f>
        <v>0.229086840228129</v>
      </c>
      <c r="I2941" s="0" t="n">
        <f aca="false">(G2941-Stats!$B$2)/H2941</f>
        <v>1.45403453185475</v>
      </c>
    </row>
    <row r="2942" customFormat="false" ht="15" hidden="false" customHeight="false" outlineLevel="0" collapsed="false">
      <c r="A2942" s="0" t="n">
        <v>0.0838737385520121</v>
      </c>
      <c r="B2942" s="0" t="n">
        <v>0.992803978186014</v>
      </c>
      <c r="C2942" s="0" t="n">
        <v>0.127182453632511</v>
      </c>
      <c r="D2942" s="0" t="n">
        <f aca="false">A2942/SUM($A2942:$C2942)</f>
        <v>0.0696706649296292</v>
      </c>
      <c r="E2942" s="0" t="n">
        <f aca="false">B2942/SUM($A2942:$C2942)</f>
        <v>0.82468379851826</v>
      </c>
      <c r="F2942" s="0" t="n">
        <f aca="false">C2942/SUM($A2942:$C2942)</f>
        <v>0.105645536552111</v>
      </c>
      <c r="G2942" s="0" t="n">
        <f aca="false">SUMPRODUCT(D2942:F2942,Stats!$B$6:$D$6)</f>
        <v>0.401021807818699</v>
      </c>
      <c r="H2942" s="0" t="n">
        <f aca="false">SQRT(SUMPRODUCT(MMULT(D2942:F2942,Stats!$B$12:$D$14),D2942:F2942))</f>
        <v>0.245075617987484</v>
      </c>
      <c r="I2942" s="0" t="n">
        <f aca="false">(G2942-Stats!$B$2)/H2942</f>
        <v>1.46494298685002</v>
      </c>
    </row>
    <row r="2943" customFormat="false" ht="15" hidden="false" customHeight="false" outlineLevel="0" collapsed="false">
      <c r="A2943" s="0" t="n">
        <v>0.0723483838360574</v>
      </c>
      <c r="B2943" s="0" t="n">
        <v>0.878530749207156</v>
      </c>
      <c r="C2943" s="0" t="n">
        <v>0.301834660892895</v>
      </c>
      <c r="D2943" s="0" t="n">
        <f aca="false">A2943/SUM($A2943:$C2943)</f>
        <v>0.0577533225755693</v>
      </c>
      <c r="E2943" s="0" t="n">
        <f aca="false">B2943/SUM($A2943:$C2943)</f>
        <v>0.701302047969597</v>
      </c>
      <c r="F2943" s="0" t="n">
        <f aca="false">C2943/SUM($A2943:$C2943)</f>
        <v>0.240944629454834</v>
      </c>
      <c r="G2943" s="0" t="n">
        <f aca="false">SUMPRODUCT(D2943:F2943,Stats!$B$6:$D$6)</f>
        <v>0.390191761133978</v>
      </c>
      <c r="H2943" s="0" t="n">
        <f aca="false">SQRT(SUMPRODUCT(MMULT(D2943:F2943,Stats!$B$12:$D$14),D2943:F2943))</f>
        <v>0.241766859046708</v>
      </c>
      <c r="I2943" s="0" t="n">
        <f aca="false">(G2943-Stats!$B$2)/H2943</f>
        <v>1.44019640453165</v>
      </c>
    </row>
    <row r="2944" customFormat="false" ht="15" hidden="false" customHeight="false" outlineLevel="0" collapsed="false">
      <c r="A2944" s="0" t="n">
        <v>0.650296974073508</v>
      </c>
      <c r="B2944" s="0" t="n">
        <v>0.329005729662233</v>
      </c>
      <c r="C2944" s="0" t="n">
        <v>0.391454270794471</v>
      </c>
      <c r="D2944" s="0" t="n">
        <f aca="false">A2944/SUM($A2944:$C2944)</f>
        <v>0.474407197013445</v>
      </c>
      <c r="E2944" s="0" t="n">
        <f aca="false">B2944/SUM($A2944:$C2944)</f>
        <v>0.240017549263238</v>
      </c>
      <c r="F2944" s="0" t="n">
        <f aca="false">C2944/SUM($A2944:$C2944)</f>
        <v>0.285575253723317</v>
      </c>
      <c r="G2944" s="0" t="n">
        <f aca="false">SUMPRODUCT(D2944:F2944,Stats!$B$6:$D$6)</f>
        <v>0.362419375808895</v>
      </c>
      <c r="H2944" s="0" t="n">
        <f aca="false">SQRT(SUMPRODUCT(MMULT(D2944:F2944,Stats!$B$12:$D$14),D2944:F2944))</f>
        <v>0.222850912571218</v>
      </c>
      <c r="I2944" s="0" t="n">
        <f aca="false">(G2944-Stats!$B$2)/H2944</f>
        <v>1.43781944669622</v>
      </c>
    </row>
    <row r="2945" customFormat="false" ht="15" hidden="false" customHeight="false" outlineLevel="0" collapsed="false">
      <c r="A2945" s="0" t="n">
        <v>0.262112972016797</v>
      </c>
      <c r="B2945" s="0" t="n">
        <v>0.34304400579301</v>
      </c>
      <c r="C2945" s="0" t="n">
        <v>0.410700400586543</v>
      </c>
      <c r="D2945" s="0" t="n">
        <f aca="false">A2945/SUM($A2945:$C2945)</f>
        <v>0.258021428589289</v>
      </c>
      <c r="E2945" s="0" t="n">
        <f aca="false">B2945/SUM($A2945:$C2945)</f>
        <v>0.337689141299092</v>
      </c>
      <c r="F2945" s="0" t="n">
        <f aca="false">C2945/SUM($A2945:$C2945)</f>
        <v>0.404289430111619</v>
      </c>
      <c r="G2945" s="0" t="n">
        <f aca="false">SUMPRODUCT(D2945:F2945,Stats!$B$6:$D$6)</f>
        <v>0.364765775046736</v>
      </c>
      <c r="H2945" s="0" t="n">
        <f aca="false">SQRT(SUMPRODUCT(MMULT(D2945:F2945,Stats!$B$12:$D$14),D2945:F2945))</f>
        <v>0.22900330384147</v>
      </c>
      <c r="I2945" s="0" t="n">
        <f aca="false">(G2945-Stats!$B$2)/H2945</f>
        <v>1.40943719864485</v>
      </c>
    </row>
    <row r="2946" customFormat="false" ht="15" hidden="false" customHeight="false" outlineLevel="0" collapsed="false">
      <c r="A2946" s="0" t="n">
        <v>0.720416069092343</v>
      </c>
      <c r="B2946" s="0" t="n">
        <v>0.511536194234792</v>
      </c>
      <c r="C2946" s="0" t="n">
        <v>0.943565217156977</v>
      </c>
      <c r="D2946" s="0" t="n">
        <f aca="false">A2946/SUM($A2946:$C2946)</f>
        <v>0.331146991718049</v>
      </c>
      <c r="E2946" s="0" t="n">
        <f aca="false">B2946/SUM($A2946:$C2946)</f>
        <v>0.235133111465949</v>
      </c>
      <c r="F2946" s="0" t="n">
        <f aca="false">C2946/SUM($A2946:$C2946)</f>
        <v>0.433719896816002</v>
      </c>
      <c r="G2946" s="0" t="n">
        <f aca="false">SUMPRODUCT(D2946:F2946,Stats!$B$6:$D$6)</f>
        <v>0.358053300025988</v>
      </c>
      <c r="H2946" s="0" t="n">
        <f aca="false">SQRT(SUMPRODUCT(MMULT(D2946:F2946,Stats!$B$12:$D$14),D2946:F2946))</f>
        <v>0.226379930638033</v>
      </c>
      <c r="I2946" s="0" t="n">
        <f aca="false">(G2946-Stats!$B$2)/H2946</f>
        <v>1.39611890124367</v>
      </c>
    </row>
    <row r="2947" customFormat="false" ht="15" hidden="false" customHeight="false" outlineLevel="0" collapsed="false">
      <c r="A2947" s="0" t="n">
        <v>0.0418803938387755</v>
      </c>
      <c r="B2947" s="0" t="n">
        <v>0.503068322632028</v>
      </c>
      <c r="C2947" s="0" t="n">
        <v>0.584224788831718</v>
      </c>
      <c r="D2947" s="0" t="n">
        <f aca="false">A2947/SUM($A2947:$C2947)</f>
        <v>0.0370894230533289</v>
      </c>
      <c r="E2947" s="0" t="n">
        <f aca="false">B2947/SUM($A2947:$C2947)</f>
        <v>0.445519063518276</v>
      </c>
      <c r="F2947" s="0" t="n">
        <f aca="false">C2947/SUM($A2947:$C2947)</f>
        <v>0.517391513428396</v>
      </c>
      <c r="G2947" s="0" t="n">
        <f aca="false">SUMPRODUCT(D2947:F2947,Stats!$B$6:$D$6)</f>
        <v>0.367851422763579</v>
      </c>
      <c r="H2947" s="0" t="n">
        <f aca="false">SQRT(SUMPRODUCT(MMULT(D2947:F2947,Stats!$B$12:$D$14),D2947:F2947))</f>
        <v>0.241094170163754</v>
      </c>
      <c r="I2947" s="0" t="n">
        <f aca="false">(G2947-Stats!$B$2)/H2947</f>
        <v>1.35155247653751</v>
      </c>
    </row>
    <row r="2948" customFormat="false" ht="15" hidden="false" customHeight="false" outlineLevel="0" collapsed="false">
      <c r="A2948" s="0" t="n">
        <v>0.920196986074274</v>
      </c>
      <c r="B2948" s="0" t="n">
        <v>0.0491585236214276</v>
      </c>
      <c r="C2948" s="0" t="n">
        <v>0.573499584935216</v>
      </c>
      <c r="D2948" s="0" t="n">
        <f aca="false">A2948/SUM($A2948:$C2948)</f>
        <v>0.59642476424165</v>
      </c>
      <c r="E2948" s="0" t="n">
        <f aca="false">B2948/SUM($A2948:$C2948)</f>
        <v>0.0318620483495161</v>
      </c>
      <c r="F2948" s="0" t="n">
        <f aca="false">C2948/SUM($A2948:$C2948)</f>
        <v>0.371713187408834</v>
      </c>
      <c r="G2948" s="0" t="n">
        <f aca="false">SUMPRODUCT(D2948:F2948,Stats!$B$6:$D$6)</f>
        <v>0.348067157305726</v>
      </c>
      <c r="H2948" s="0" t="n">
        <f aca="false">SQRT(SUMPRODUCT(MMULT(D2948:F2948,Stats!$B$12:$D$14),D2948:F2948))</f>
        <v>0.221423548430347</v>
      </c>
      <c r="I2948" s="0" t="n">
        <f aca="false">(G2948-Stats!$B$2)/H2948</f>
        <v>1.38227013104708</v>
      </c>
    </row>
    <row r="2949" customFormat="false" ht="15" hidden="false" customHeight="false" outlineLevel="0" collapsed="false">
      <c r="A2949" s="0" t="n">
        <v>0.853629928527957</v>
      </c>
      <c r="B2949" s="0" t="n">
        <v>0.241927728119237</v>
      </c>
      <c r="C2949" s="0" t="n">
        <v>0.876292348523937</v>
      </c>
      <c r="D2949" s="0" t="n">
        <f aca="false">A2949/SUM($A2949:$C2949)</f>
        <v>0.432908145289618</v>
      </c>
      <c r="E2949" s="0" t="n">
        <f aca="false">B2949/SUM($A2949:$C2949)</f>
        <v>0.122690735849475</v>
      </c>
      <c r="F2949" s="0" t="n">
        <f aca="false">C2949/SUM($A2949:$C2949)</f>
        <v>0.444401118860908</v>
      </c>
      <c r="G2949" s="0" t="n">
        <f aca="false">SUMPRODUCT(D2949:F2949,Stats!$B$6:$D$6)</f>
        <v>0.351288980674661</v>
      </c>
      <c r="H2949" s="0" t="n">
        <f aca="false">SQRT(SUMPRODUCT(MMULT(D2949:F2949,Stats!$B$12:$D$14),D2949:F2949))</f>
        <v>0.223779498697362</v>
      </c>
      <c r="I2949" s="0" t="n">
        <f aca="false">(G2949-Stats!$B$2)/H2949</f>
        <v>1.38211490540937</v>
      </c>
    </row>
    <row r="2950" customFormat="false" ht="15" hidden="false" customHeight="false" outlineLevel="0" collapsed="false">
      <c r="A2950" s="0" t="n">
        <v>0.0190434092742918</v>
      </c>
      <c r="B2950" s="0" t="n">
        <v>0.73245462913373</v>
      </c>
      <c r="C2950" s="0" t="n">
        <v>0.933113221168653</v>
      </c>
      <c r="D2950" s="0" t="n">
        <f aca="false">A2950/SUM($A2950:$C2950)</f>
        <v>0.0113043345555444</v>
      </c>
      <c r="E2950" s="0" t="n">
        <f aca="false">B2950/SUM($A2950:$C2950)</f>
        <v>0.434791483774</v>
      </c>
      <c r="F2950" s="0" t="n">
        <f aca="false">C2950/SUM($A2950:$C2950)</f>
        <v>0.553904181670455</v>
      </c>
      <c r="G2950" s="0" t="n">
        <f aca="false">SUMPRODUCT(D2950:F2950,Stats!$B$6:$D$6)</f>
        <v>0.366227348926264</v>
      </c>
      <c r="H2950" s="0" t="n">
        <f aca="false">SQRT(SUMPRODUCT(MMULT(D2950:F2950,Stats!$B$12:$D$14),D2950:F2950))</f>
        <v>0.243095964125451</v>
      </c>
      <c r="I2950" s="0" t="n">
        <f aca="false">(G2950-Stats!$B$2)/H2950</f>
        <v>1.33374221202185</v>
      </c>
    </row>
    <row r="2951" customFormat="false" ht="15" hidden="false" customHeight="false" outlineLevel="0" collapsed="false">
      <c r="A2951" s="0" t="n">
        <v>0.657197661640062</v>
      </c>
      <c r="B2951" s="0" t="n">
        <v>0.439029243980448</v>
      </c>
      <c r="C2951" s="0" t="n">
        <v>0.044881016472718</v>
      </c>
      <c r="D2951" s="0" t="n">
        <f aca="false">A2951/SUM($A2951:$C2951)</f>
        <v>0.575929453223417</v>
      </c>
      <c r="E2951" s="0" t="n">
        <f aca="false">B2951/SUM($A2951:$C2951)</f>
        <v>0.384739458451135</v>
      </c>
      <c r="F2951" s="0" t="n">
        <f aca="false">C2951/SUM($A2951:$C2951)</f>
        <v>0.0393310883254487</v>
      </c>
      <c r="G2951" s="0" t="n">
        <f aca="false">SUMPRODUCT(D2951:F2951,Stats!$B$6:$D$6)</f>
        <v>0.377536575304026</v>
      </c>
      <c r="H2951" s="0" t="n">
        <f aca="false">SQRT(SUMPRODUCT(MMULT(D2951:F2951,Stats!$B$12:$D$14),D2951:F2951))</f>
        <v>0.226798679535009</v>
      </c>
      <c r="I2951" s="0" t="n">
        <f aca="false">(G2951-Stats!$B$2)/H2951</f>
        <v>1.47944677628615</v>
      </c>
    </row>
    <row r="2952" customFormat="false" ht="15" hidden="false" customHeight="false" outlineLevel="0" collapsed="false">
      <c r="A2952" s="0" t="n">
        <v>0.920113813322629</v>
      </c>
      <c r="B2952" s="0" t="n">
        <v>0.470296222691575</v>
      </c>
      <c r="C2952" s="0" t="n">
        <v>0.028996744335948</v>
      </c>
      <c r="D2952" s="0" t="n">
        <f aca="false">A2952/SUM($A2952:$C2952)</f>
        <v>0.64823828240108</v>
      </c>
      <c r="E2952" s="0" t="n">
        <f aca="false">B2952/SUM($A2952:$C2952)</f>
        <v>0.331332940776539</v>
      </c>
      <c r="F2952" s="0" t="n">
        <f aca="false">C2952/SUM($A2952:$C2952)</f>
        <v>0.0204287768223813</v>
      </c>
      <c r="G2952" s="0" t="n">
        <f aca="false">SUMPRODUCT(D2952:F2952,Stats!$B$6:$D$6)</f>
        <v>0.374984857369219</v>
      </c>
      <c r="H2952" s="0" t="n">
        <f aca="false">SQRT(SUMPRODUCT(MMULT(D2952:F2952,Stats!$B$12:$D$14),D2952:F2952))</f>
        <v>0.22688179926469</v>
      </c>
      <c r="I2952" s="0" t="n">
        <f aca="false">(G2952-Stats!$B$2)/H2952</f>
        <v>1.46765786611532</v>
      </c>
    </row>
    <row r="2953" customFormat="false" ht="15" hidden="false" customHeight="false" outlineLevel="0" collapsed="false">
      <c r="A2953" s="0" t="n">
        <v>0.689821071328762</v>
      </c>
      <c r="B2953" s="0" t="n">
        <v>0.481837253576258</v>
      </c>
      <c r="C2953" s="0" t="n">
        <v>0.124345317442411</v>
      </c>
      <c r="D2953" s="0" t="n">
        <f aca="false">A2953/SUM($A2953:$C2953)</f>
        <v>0.532267849247167</v>
      </c>
      <c r="E2953" s="0" t="n">
        <f aca="false">B2953/SUM($A2953:$C2953)</f>
        <v>0.371786959412795</v>
      </c>
      <c r="F2953" s="0" t="n">
        <f aca="false">C2953/SUM($A2953:$C2953)</f>
        <v>0.0959451913400382</v>
      </c>
      <c r="G2953" s="0" t="n">
        <f aca="false">SUMPRODUCT(D2953:F2953,Stats!$B$6:$D$6)</f>
        <v>0.375230193157753</v>
      </c>
      <c r="H2953" s="0" t="n">
        <f aca="false">SQRT(SUMPRODUCT(MMULT(D2953:F2953,Stats!$B$12:$D$14),D2953:F2953))</f>
        <v>0.22554563297794</v>
      </c>
      <c r="I2953" s="0" t="n">
        <f aca="false">(G2953-Stats!$B$2)/H2953</f>
        <v>1.47744023574309</v>
      </c>
    </row>
    <row r="2954" customFormat="false" ht="15" hidden="false" customHeight="false" outlineLevel="0" collapsed="false">
      <c r="A2954" s="0" t="n">
        <v>0.21427180931026</v>
      </c>
      <c r="B2954" s="0" t="n">
        <v>0.0644906804558463</v>
      </c>
      <c r="C2954" s="0" t="n">
        <v>0.574293539708574</v>
      </c>
      <c r="D2954" s="0" t="n">
        <f aca="false">A2954/SUM($A2954:$C2954)</f>
        <v>0.251181401815084</v>
      </c>
      <c r="E2954" s="0" t="n">
        <f aca="false">B2954/SUM($A2954:$C2954)</f>
        <v>0.0755995834125459</v>
      </c>
      <c r="F2954" s="0" t="n">
        <f aca="false">C2954/SUM($A2954:$C2954)</f>
        <v>0.67321901477237</v>
      </c>
      <c r="G2954" s="0" t="n">
        <f aca="false">SUMPRODUCT(D2954:F2954,Stats!$B$6:$D$6)</f>
        <v>0.342269851240557</v>
      </c>
      <c r="H2954" s="0" t="n">
        <f aca="false">SQRT(SUMPRODUCT(MMULT(D2954:F2954,Stats!$B$12:$D$14),D2954:F2954))</f>
        <v>0.233760510765073</v>
      </c>
      <c r="I2954" s="0" t="n">
        <f aca="false">(G2954-Stats!$B$2)/H2954</f>
        <v>1.28451914422075</v>
      </c>
    </row>
    <row r="2955" customFormat="false" ht="15" hidden="false" customHeight="false" outlineLevel="0" collapsed="false">
      <c r="A2955" s="0" t="n">
        <v>0.622029479252009</v>
      </c>
      <c r="B2955" s="0" t="n">
        <v>0.505742298355444</v>
      </c>
      <c r="C2955" s="0" t="n">
        <v>0.817102133002615</v>
      </c>
      <c r="D2955" s="0" t="n">
        <f aca="false">A2955/SUM($A2955:$C2955)</f>
        <v>0.319830234679271</v>
      </c>
      <c r="E2955" s="0" t="n">
        <f aca="false">B2955/SUM($A2955:$C2955)</f>
        <v>0.260038604866062</v>
      </c>
      <c r="F2955" s="0" t="n">
        <f aca="false">C2955/SUM($A2955:$C2955)</f>
        <v>0.420131160454667</v>
      </c>
      <c r="G2955" s="0" t="n">
        <f aca="false">SUMPRODUCT(D2955:F2955,Stats!$B$6:$D$6)</f>
        <v>0.359861034060342</v>
      </c>
      <c r="H2955" s="0" t="n">
        <f aca="false">SQRT(SUMPRODUCT(MMULT(D2955:F2955,Stats!$B$12:$D$14),D2955:F2955))</f>
        <v>0.226688937191684</v>
      </c>
      <c r="I2955" s="0" t="n">
        <f aca="false">(G2955-Stats!$B$2)/H2955</f>
        <v>1.40219032299563</v>
      </c>
    </row>
    <row r="2956" customFormat="false" ht="15" hidden="false" customHeight="false" outlineLevel="0" collapsed="false">
      <c r="A2956" s="0" t="n">
        <v>0.861008821308014</v>
      </c>
      <c r="B2956" s="0" t="n">
        <v>0.615624396683127</v>
      </c>
      <c r="C2956" s="0" t="n">
        <v>0.0127564797074306</v>
      </c>
      <c r="D2956" s="0" t="n">
        <f aca="false">A2956/SUM($A2956:$C2956)</f>
        <v>0.578095056410326</v>
      </c>
      <c r="E2956" s="0" t="n">
        <f aca="false">B2956/SUM($A2956:$C2956)</f>
        <v>0.41334003963798</v>
      </c>
      <c r="F2956" s="0" t="n">
        <f aca="false">C2956/SUM($A2956:$C2956)</f>
        <v>0.00856490395169382</v>
      </c>
      <c r="G2956" s="0" t="n">
        <f aca="false">SUMPRODUCT(D2956:F2956,Stats!$B$6:$D$6)</f>
        <v>0.380030581429319</v>
      </c>
      <c r="H2956" s="0" t="n">
        <f aca="false">SQRT(SUMPRODUCT(MMULT(D2956:F2956,Stats!$B$12:$D$14),D2956:F2956))</f>
        <v>0.227938569798737</v>
      </c>
      <c r="I2956" s="0" t="n">
        <f aca="false">(G2956-Stats!$B$2)/H2956</f>
        <v>1.48298983242629</v>
      </c>
    </row>
    <row r="2957" customFormat="false" ht="15" hidden="false" customHeight="false" outlineLevel="0" collapsed="false">
      <c r="A2957" s="0" t="n">
        <v>0.695229655747736</v>
      </c>
      <c r="B2957" s="0" t="n">
        <v>0.417999216920352</v>
      </c>
      <c r="C2957" s="0" t="n">
        <v>0.565557483226387</v>
      </c>
      <c r="D2957" s="0" t="n">
        <f aca="false">A2957/SUM($A2957:$C2957)</f>
        <v>0.414126343895207</v>
      </c>
      <c r="E2957" s="0" t="n">
        <f aca="false">B2957/SUM($A2957:$C2957)</f>
        <v>0.24898892908719</v>
      </c>
      <c r="F2957" s="0" t="n">
        <f aca="false">C2957/SUM($A2957:$C2957)</f>
        <v>0.336884727017603</v>
      </c>
      <c r="G2957" s="0" t="n">
        <f aca="false">SUMPRODUCT(D2957:F2957,Stats!$B$6:$D$6)</f>
        <v>0.361520738401107</v>
      </c>
      <c r="H2957" s="0" t="n">
        <f aca="false">SQRT(SUMPRODUCT(MMULT(D2957:F2957,Stats!$B$12:$D$14),D2957:F2957))</f>
        <v>0.223866825069308</v>
      </c>
      <c r="I2957" s="0" t="n">
        <f aca="false">(G2957-Stats!$B$2)/H2957</f>
        <v>1.42728043023876</v>
      </c>
    </row>
    <row r="2958" customFormat="false" ht="15" hidden="false" customHeight="false" outlineLevel="0" collapsed="false">
      <c r="A2958" s="0" t="n">
        <v>0.649080602018884</v>
      </c>
      <c r="B2958" s="0" t="n">
        <v>0.350236614327077</v>
      </c>
      <c r="C2958" s="0" t="n">
        <v>0.917098505171794</v>
      </c>
      <c r="D2958" s="0" t="n">
        <f aca="false">A2958/SUM($A2958:$C2958)</f>
        <v>0.338695093518033</v>
      </c>
      <c r="E2958" s="0" t="n">
        <f aca="false">B2958/SUM($A2958:$C2958)</f>
        <v>0.182756074475165</v>
      </c>
      <c r="F2958" s="0" t="n">
        <f aca="false">C2958/SUM($A2958:$C2958)</f>
        <v>0.478548832006802</v>
      </c>
      <c r="G2958" s="0" t="n">
        <f aca="false">SUMPRODUCT(D2958:F2958,Stats!$B$6:$D$6)</f>
        <v>0.35380345246204</v>
      </c>
      <c r="H2958" s="0" t="n">
        <f aca="false">SQRT(SUMPRODUCT(MMULT(D2958:F2958,Stats!$B$12:$D$14),D2958:F2958))</f>
        <v>0.226542209685606</v>
      </c>
      <c r="I2958" s="0" t="n">
        <f aca="false">(G2958-Stats!$B$2)/H2958</f>
        <v>1.37635919105212</v>
      </c>
    </row>
    <row r="2959" customFormat="false" ht="15" hidden="false" customHeight="false" outlineLevel="0" collapsed="false">
      <c r="A2959" s="0" t="n">
        <v>0.133974866749781</v>
      </c>
      <c r="B2959" s="0" t="n">
        <v>0.671511807281037</v>
      </c>
      <c r="C2959" s="0" t="n">
        <v>0.00435957995658043</v>
      </c>
      <c r="D2959" s="0" t="n">
        <f aca="false">A2959/SUM($A2959:$C2959)</f>
        <v>0.165432470780887</v>
      </c>
      <c r="E2959" s="0" t="n">
        <f aca="false">B2959/SUM($A2959:$C2959)</f>
        <v>0.829184309953585</v>
      </c>
      <c r="F2959" s="0" t="n">
        <f aca="false">C2959/SUM($A2959:$C2959)</f>
        <v>0.00538321926552773</v>
      </c>
      <c r="G2959" s="0" t="n">
        <f aca="false">SUMPRODUCT(D2959:F2959,Stats!$B$6:$D$6)</f>
        <v>0.404045456258052</v>
      </c>
      <c r="H2959" s="0" t="n">
        <f aca="false">SQRT(SUMPRODUCT(MMULT(D2959:F2959,Stats!$B$12:$D$14),D2959:F2959))</f>
        <v>0.243275219983197</v>
      </c>
      <c r="I2959" s="0" t="n">
        <f aca="false">(G2959-Stats!$B$2)/H2959</f>
        <v>1.48821345751145</v>
      </c>
    </row>
    <row r="2960" customFormat="false" ht="15" hidden="false" customHeight="false" outlineLevel="0" collapsed="false">
      <c r="A2960" s="0" t="n">
        <v>0.924651105405181</v>
      </c>
      <c r="B2960" s="0" t="n">
        <v>0.112504133238092</v>
      </c>
      <c r="C2960" s="0" t="n">
        <v>0.0948842301475746</v>
      </c>
      <c r="D2960" s="0" t="n">
        <f aca="false">A2960/SUM($A2960:$C2960)</f>
        <v>0.816801119481124</v>
      </c>
      <c r="E2960" s="0" t="n">
        <f aca="false">B2960/SUM($A2960:$C2960)</f>
        <v>0.0993818116238114</v>
      </c>
      <c r="F2960" s="0" t="n">
        <f aca="false">C2960/SUM($A2960:$C2960)</f>
        <v>0.0838170688950645</v>
      </c>
      <c r="G2960" s="0" t="n">
        <f aca="false">SUMPRODUCT(D2960:F2960,Stats!$B$6:$D$6)</f>
        <v>0.359890781832758</v>
      </c>
      <c r="H2960" s="0" t="n">
        <f aca="false">SQRT(SUMPRODUCT(MMULT(D2960:F2960,Stats!$B$12:$D$14),D2960:F2960))</f>
        <v>0.226092715385292</v>
      </c>
      <c r="I2960" s="0" t="n">
        <f aca="false">(G2960-Stats!$B$2)/H2960</f>
        <v>1.40601956719848</v>
      </c>
    </row>
    <row r="2961" customFormat="false" ht="15" hidden="false" customHeight="false" outlineLevel="0" collapsed="false">
      <c r="A2961" s="0" t="n">
        <v>0.333007633052244</v>
      </c>
      <c r="B2961" s="0" t="n">
        <v>0.373566286039081</v>
      </c>
      <c r="C2961" s="0" t="n">
        <v>0.214300072322879</v>
      </c>
      <c r="D2961" s="0" t="n">
        <f aca="false">A2961/SUM($A2961:$C2961)</f>
        <v>0.36162128169223</v>
      </c>
      <c r="E2961" s="0" t="n">
        <f aca="false">B2961/SUM($A2961:$C2961)</f>
        <v>0.405664933011506</v>
      </c>
      <c r="F2961" s="0" t="n">
        <f aca="false">C2961/SUM($A2961:$C2961)</f>
        <v>0.232713785296264</v>
      </c>
      <c r="G2961" s="0" t="n">
        <f aca="false">SUMPRODUCT(D2961:F2961,Stats!$B$6:$D$6)</f>
        <v>0.373408146536843</v>
      </c>
      <c r="H2961" s="0" t="n">
        <f aca="false">SQRT(SUMPRODUCT(MMULT(D2961:F2961,Stats!$B$12:$D$14),D2961:F2961))</f>
        <v>0.226548733029748</v>
      </c>
      <c r="I2961" s="0" t="n">
        <f aca="false">(G2961-Stats!$B$2)/H2961</f>
        <v>1.46285588140246</v>
      </c>
    </row>
    <row r="2962" customFormat="false" ht="15" hidden="false" customHeight="false" outlineLevel="0" collapsed="false">
      <c r="A2962" s="0" t="n">
        <v>0.585121660927125</v>
      </c>
      <c r="B2962" s="0" t="n">
        <v>0.442914098041964</v>
      </c>
      <c r="C2962" s="0" t="n">
        <v>0.0341755890410874</v>
      </c>
      <c r="D2962" s="0" t="n">
        <f aca="false">A2962/SUM($A2962:$C2962)</f>
        <v>0.550852391120867</v>
      </c>
      <c r="E2962" s="0" t="n">
        <f aca="false">B2962/SUM($A2962:$C2962)</f>
        <v>0.416973607815119</v>
      </c>
      <c r="F2962" s="0" t="n">
        <f aca="false">C2962/SUM($A2962:$C2962)</f>
        <v>0.0321740010640143</v>
      </c>
      <c r="G2962" s="0" t="n">
        <f aca="false">SUMPRODUCT(D2962:F2962,Stats!$B$6:$D$6)</f>
        <v>0.37958864046706</v>
      </c>
      <c r="H2962" s="0" t="n">
        <f aca="false">SQRT(SUMPRODUCT(MMULT(D2962:F2962,Stats!$B$12:$D$14),D2962:F2962))</f>
        <v>0.227417484739107</v>
      </c>
      <c r="I2962" s="0" t="n">
        <f aca="false">(G2962-Stats!$B$2)/H2962</f>
        <v>1.48444452656902</v>
      </c>
    </row>
    <row r="2963" customFormat="false" ht="15" hidden="false" customHeight="false" outlineLevel="0" collapsed="false">
      <c r="A2963" s="0" t="n">
        <v>0.319652062255301</v>
      </c>
      <c r="B2963" s="0" t="n">
        <v>0.810432913573171</v>
      </c>
      <c r="C2963" s="0" t="n">
        <v>0.689701534861869</v>
      </c>
      <c r="D2963" s="0" t="n">
        <f aca="false">A2963/SUM($A2963:$C2963)</f>
        <v>0.175653605726553</v>
      </c>
      <c r="E2963" s="0" t="n">
        <f aca="false">B2963/SUM($A2963:$C2963)</f>
        <v>0.445345049439745</v>
      </c>
      <c r="F2963" s="0" t="n">
        <f aca="false">C2963/SUM($A2963:$C2963)</f>
        <v>0.379001344833702</v>
      </c>
      <c r="G2963" s="0" t="n">
        <f aca="false">SUMPRODUCT(D2963:F2963,Stats!$B$6:$D$6)</f>
        <v>0.371657465890063</v>
      </c>
      <c r="H2963" s="0" t="n">
        <f aca="false">SQRT(SUMPRODUCT(MMULT(D2963:F2963,Stats!$B$12:$D$14),D2963:F2963))</f>
        <v>0.232896474132396</v>
      </c>
      <c r="I2963" s="0" t="n">
        <f aca="false">(G2963-Stats!$B$2)/H2963</f>
        <v>1.41546782585752</v>
      </c>
    </row>
    <row r="2964" customFormat="false" ht="15" hidden="false" customHeight="false" outlineLevel="0" collapsed="false">
      <c r="A2964" s="0" t="n">
        <v>0.724870853579881</v>
      </c>
      <c r="B2964" s="0" t="n">
        <v>0.698116924083524</v>
      </c>
      <c r="C2964" s="0" t="n">
        <v>0.310973021383033</v>
      </c>
      <c r="D2964" s="0" t="n">
        <f aca="false">A2964/SUM($A2964:$C2964)</f>
        <v>0.418043391741331</v>
      </c>
      <c r="E2964" s="0" t="n">
        <f aca="false">B2964/SUM($A2964:$C2964)</f>
        <v>0.402614017841373</v>
      </c>
      <c r="F2964" s="0" t="n">
        <f aca="false">C2964/SUM($A2964:$C2964)</f>
        <v>0.179342590417296</v>
      </c>
      <c r="G2964" s="0" t="n">
        <f aca="false">SUMPRODUCT(D2964:F2964,Stats!$B$6:$D$6)</f>
        <v>0.374704290997823</v>
      </c>
      <c r="H2964" s="0" t="n">
        <f aca="false">SQRT(SUMPRODUCT(MMULT(D2964:F2964,Stats!$B$12:$D$14),D2964:F2964))</f>
        <v>0.2258817116634</v>
      </c>
      <c r="I2964" s="0" t="n">
        <f aca="false">(G2964-Stats!$B$2)/H2964</f>
        <v>1.47291380319274</v>
      </c>
    </row>
    <row r="2965" customFormat="false" ht="15" hidden="false" customHeight="false" outlineLevel="0" collapsed="false">
      <c r="A2965" s="0" t="n">
        <v>0.0996639220767759</v>
      </c>
      <c r="B2965" s="0" t="n">
        <v>0.272467184033096</v>
      </c>
      <c r="C2965" s="0" t="n">
        <v>0.831785300185159</v>
      </c>
      <c r="D2965" s="0" t="n">
        <f aca="false">A2965/SUM($A2965:$C2965)</f>
        <v>0.0827830915466005</v>
      </c>
      <c r="E2965" s="0" t="n">
        <f aca="false">B2965/SUM($A2965:$C2965)</f>
        <v>0.226317361079574</v>
      </c>
      <c r="F2965" s="0" t="n">
        <f aca="false">C2965/SUM($A2965:$C2965)</f>
        <v>0.690899547373825</v>
      </c>
      <c r="G2965" s="0" t="n">
        <f aca="false">SUMPRODUCT(D2965:F2965,Stats!$B$6:$D$6)</f>
        <v>0.350454423211121</v>
      </c>
      <c r="H2965" s="0" t="n">
        <f aca="false">SQRT(SUMPRODUCT(MMULT(D2965:F2965,Stats!$B$12:$D$14),D2965:F2965))</f>
        <v>0.241753319452494</v>
      </c>
      <c r="I2965" s="0" t="n">
        <f aca="false">(G2965-Stats!$B$2)/H2965</f>
        <v>1.27590563765448</v>
      </c>
    </row>
    <row r="2966" customFormat="false" ht="15" hidden="false" customHeight="false" outlineLevel="0" collapsed="false">
      <c r="A2966" s="0" t="n">
        <v>0.980470797783071</v>
      </c>
      <c r="B2966" s="0" t="n">
        <v>0.493847014741561</v>
      </c>
      <c r="C2966" s="0" t="n">
        <v>0.00970035492304222</v>
      </c>
      <c r="D2966" s="0" t="n">
        <f aca="false">A2966/SUM($A2966:$C2966)</f>
        <v>0.660686519403841</v>
      </c>
      <c r="E2966" s="0" t="n">
        <f aca="false">B2966/SUM($A2966:$C2966)</f>
        <v>0.332776933311346</v>
      </c>
      <c r="F2966" s="0" t="n">
        <f aca="false">C2966/SUM($A2966:$C2966)</f>
        <v>0.0065365472848123</v>
      </c>
      <c r="G2966" s="0" t="n">
        <f aca="false">SUMPRODUCT(D2966:F2966,Stats!$B$6:$D$6)</f>
        <v>0.375451015717015</v>
      </c>
      <c r="H2966" s="0" t="n">
        <f aca="false">SQRT(SUMPRODUCT(MMULT(D2966:F2966,Stats!$B$12:$D$14),D2966:F2966))</f>
        <v>0.227355547285511</v>
      </c>
      <c r="I2966" s="0" t="n">
        <f aca="false">(G2966-Stats!$B$2)/H2966</f>
        <v>1.46665001007549</v>
      </c>
    </row>
    <row r="2967" customFormat="false" ht="15" hidden="false" customHeight="false" outlineLevel="0" collapsed="false">
      <c r="A2967" s="0" t="n">
        <v>0.140044812134229</v>
      </c>
      <c r="B2967" s="0" t="n">
        <v>0.322080575316266</v>
      </c>
      <c r="C2967" s="0" t="n">
        <v>0.57858534859295</v>
      </c>
      <c r="D2967" s="0" t="n">
        <f aca="false">A2967/SUM($A2967:$C2967)</f>
        <v>0.134566510447129</v>
      </c>
      <c r="E2967" s="0" t="n">
        <f aca="false">B2967/SUM($A2967:$C2967)</f>
        <v>0.30948136130578</v>
      </c>
      <c r="F2967" s="0" t="n">
        <f aca="false">C2967/SUM($A2967:$C2967)</f>
        <v>0.555952128247091</v>
      </c>
      <c r="G2967" s="0" t="n">
        <f aca="false">SUMPRODUCT(D2967:F2967,Stats!$B$6:$D$6)</f>
        <v>0.358960695325991</v>
      </c>
      <c r="H2967" s="0" t="n">
        <f aca="false">SQRT(SUMPRODUCT(MMULT(D2967:F2967,Stats!$B$12:$D$14),D2967:F2967))</f>
        <v>0.236005157868676</v>
      </c>
      <c r="I2967" s="0" t="n">
        <f aca="false">(G2967-Stats!$B$2)/H2967</f>
        <v>1.3430244414504</v>
      </c>
    </row>
    <row r="2968" customFormat="false" ht="15" hidden="false" customHeight="false" outlineLevel="0" collapsed="false">
      <c r="A2968" s="0" t="n">
        <v>0.075093645805314</v>
      </c>
      <c r="B2968" s="0" t="n">
        <v>0.943357298709882</v>
      </c>
      <c r="C2968" s="0" t="n">
        <v>0.365083673284401</v>
      </c>
      <c r="D2968" s="0" t="n">
        <f aca="false">A2968/SUM($A2968:$C2968)</f>
        <v>0.0542766656064917</v>
      </c>
      <c r="E2968" s="0" t="n">
        <f aca="false">B2968/SUM($A2968:$C2968)</f>
        <v>0.681845821978938</v>
      </c>
      <c r="F2968" s="0" t="n">
        <f aca="false">C2968/SUM($A2968:$C2968)</f>
        <v>0.26387751241457</v>
      </c>
      <c r="G2968" s="0" t="n">
        <f aca="false">SUMPRODUCT(D2968:F2968,Stats!$B$6:$D$6)</f>
        <v>0.388439909645012</v>
      </c>
      <c r="H2968" s="0" t="n">
        <f aca="false">SQRT(SUMPRODUCT(MMULT(D2968:F2968,Stats!$B$12:$D$14),D2968:F2968))</f>
        <v>0.241501260410478</v>
      </c>
      <c r="I2968" s="0" t="n">
        <f aca="false">(G2968-Stats!$B$2)/H2968</f>
        <v>1.43452630042663</v>
      </c>
    </row>
    <row r="2969" customFormat="false" ht="15" hidden="false" customHeight="false" outlineLevel="0" collapsed="false">
      <c r="A2969" s="0" t="n">
        <v>0.912584217924823</v>
      </c>
      <c r="B2969" s="0" t="n">
        <v>0.780521802757022</v>
      </c>
      <c r="C2969" s="0" t="n">
        <v>0.755437272515581</v>
      </c>
      <c r="D2969" s="0" t="n">
        <f aca="false">A2969/SUM($A2969:$C2969)</f>
        <v>0.372704955007402</v>
      </c>
      <c r="E2969" s="0" t="n">
        <f aca="false">B2969/SUM($A2969:$C2969)</f>
        <v>0.318769859992052</v>
      </c>
      <c r="F2969" s="0" t="n">
        <f aca="false">C2969/SUM($A2969:$C2969)</f>
        <v>0.308525185000546</v>
      </c>
      <c r="G2969" s="0" t="n">
        <f aca="false">SUMPRODUCT(D2969:F2969,Stats!$B$6:$D$6)</f>
        <v>0.366317846313148</v>
      </c>
      <c r="H2969" s="0" t="n">
        <f aca="false">SQRT(SUMPRODUCT(MMULT(D2969:F2969,Stats!$B$12:$D$14),D2969:F2969))</f>
        <v>0.225198132653552</v>
      </c>
      <c r="I2969" s="0" t="n">
        <f aca="false">(G2969-Stats!$B$2)/H2969</f>
        <v>1.44014447407556</v>
      </c>
    </row>
    <row r="2970" customFormat="false" ht="15" hidden="false" customHeight="false" outlineLevel="0" collapsed="false">
      <c r="A2970" s="0" t="n">
        <v>0.606719579782232</v>
      </c>
      <c r="B2970" s="0" t="n">
        <v>0.626783817051845</v>
      </c>
      <c r="C2970" s="0" t="n">
        <v>0.638003235216248</v>
      </c>
      <c r="D2970" s="0" t="n">
        <f aca="false">A2970/SUM($A2970:$C2970)</f>
        <v>0.324187779723517</v>
      </c>
      <c r="E2970" s="0" t="n">
        <f aca="false">B2970/SUM($A2970:$C2970)</f>
        <v>0.334908680694961</v>
      </c>
      <c r="F2970" s="0" t="n">
        <f aca="false">C2970/SUM($A2970:$C2970)</f>
        <v>0.340903539581522</v>
      </c>
      <c r="G2970" s="0" t="n">
        <f aca="false">SUMPRODUCT(D2970:F2970,Stats!$B$6:$D$6)</f>
        <v>0.366353632494126</v>
      </c>
      <c r="H2970" s="0" t="n">
        <f aca="false">SQRT(SUMPRODUCT(MMULT(D2970:F2970,Stats!$B$12:$D$14),D2970:F2970))</f>
        <v>0.226590138045987</v>
      </c>
      <c r="I2970" s="0" t="n">
        <f aca="false">(G2970-Stats!$B$2)/H2970</f>
        <v>1.43145520494055</v>
      </c>
    </row>
    <row r="2971" customFormat="false" ht="15" hidden="false" customHeight="false" outlineLevel="0" collapsed="false">
      <c r="A2971" s="0" t="n">
        <v>0.628721387025582</v>
      </c>
      <c r="B2971" s="0" t="n">
        <v>0.553728231398361</v>
      </c>
      <c r="C2971" s="0" t="n">
        <v>0.986414018482889</v>
      </c>
      <c r="D2971" s="0" t="n">
        <f aca="false">A2971/SUM($A2971:$C2971)</f>
        <v>0.289885162131376</v>
      </c>
      <c r="E2971" s="0" t="n">
        <f aca="false">B2971/SUM($A2971:$C2971)</f>
        <v>0.255307997227558</v>
      </c>
      <c r="F2971" s="0" t="n">
        <f aca="false">C2971/SUM($A2971:$C2971)</f>
        <v>0.454806840641066</v>
      </c>
      <c r="G2971" s="0" t="n">
        <f aca="false">SUMPRODUCT(D2971:F2971,Stats!$B$6:$D$6)</f>
        <v>0.358632672475356</v>
      </c>
      <c r="H2971" s="0" t="n">
        <f aca="false">SQRT(SUMPRODUCT(MMULT(D2971:F2971,Stats!$B$12:$D$14),D2971:F2971))</f>
        <v>0.227957513174148</v>
      </c>
      <c r="I2971" s="0" t="n">
        <f aca="false">(G2971-Stats!$B$2)/H2971</f>
        <v>1.38899862551784</v>
      </c>
    </row>
    <row r="2972" customFormat="false" ht="15" hidden="false" customHeight="false" outlineLevel="0" collapsed="false">
      <c r="A2972" s="0" t="n">
        <v>0.732290567425696</v>
      </c>
      <c r="B2972" s="0" t="n">
        <v>0.776946388392521</v>
      </c>
      <c r="C2972" s="0" t="n">
        <v>0.872462815083674</v>
      </c>
      <c r="D2972" s="0" t="n">
        <f aca="false">A2972/SUM($A2972:$C2972)</f>
        <v>0.307465523729045</v>
      </c>
      <c r="E2972" s="0" t="n">
        <f aca="false">B2972/SUM($A2972:$C2972)</f>
        <v>0.326215082977613</v>
      </c>
      <c r="F2972" s="0" t="n">
        <f aca="false">C2972/SUM($A2972:$C2972)</f>
        <v>0.366319393293343</v>
      </c>
      <c r="G2972" s="0" t="n">
        <f aca="false">SUMPRODUCT(D2972:F2972,Stats!$B$6:$D$6)</f>
        <v>0.365152581742721</v>
      </c>
      <c r="H2972" s="0" t="n">
        <f aca="false">SQRT(SUMPRODUCT(MMULT(D2972:F2972,Stats!$B$12:$D$14),D2972:F2972))</f>
        <v>0.227093879630349</v>
      </c>
      <c r="I2972" s="0" t="n">
        <f aca="false">(G2972-Stats!$B$2)/H2972</f>
        <v>1.42299115356491</v>
      </c>
    </row>
    <row r="2973" customFormat="false" ht="15" hidden="false" customHeight="false" outlineLevel="0" collapsed="false">
      <c r="A2973" s="0" t="n">
        <v>0.215639762725849</v>
      </c>
      <c r="B2973" s="0" t="n">
        <v>0.0838041590950608</v>
      </c>
      <c r="C2973" s="0" t="n">
        <v>0.482894436598599</v>
      </c>
      <c r="D2973" s="0" t="n">
        <f aca="false">A2973/SUM($A2973:$C2973)</f>
        <v>0.275634909633586</v>
      </c>
      <c r="E2973" s="0" t="n">
        <f aca="false">B2973/SUM($A2973:$C2973)</f>
        <v>0.107120094768667</v>
      </c>
      <c r="F2973" s="0" t="n">
        <f aca="false">C2973/SUM($A2973:$C2973)</f>
        <v>0.617244995597748</v>
      </c>
      <c r="G2973" s="0" t="n">
        <f aca="false">SUMPRODUCT(D2973:F2973,Stats!$B$6:$D$6)</f>
        <v>0.34562696271779</v>
      </c>
      <c r="H2973" s="0" t="n">
        <f aca="false">SQRT(SUMPRODUCT(MMULT(D2973:F2973,Stats!$B$12:$D$14),D2973:F2973))</f>
        <v>0.231257363453636</v>
      </c>
      <c r="I2973" s="0" t="n">
        <f aca="false">(G2973-Stats!$B$2)/H2973</f>
        <v>1.31293965382712</v>
      </c>
    </row>
    <row r="2974" customFormat="false" ht="15" hidden="false" customHeight="false" outlineLevel="0" collapsed="false">
      <c r="A2974" s="0" t="n">
        <v>0.514080695619273</v>
      </c>
      <c r="B2974" s="0" t="n">
        <v>0.829181779949918</v>
      </c>
      <c r="C2974" s="0" t="n">
        <v>0.443783579282336</v>
      </c>
      <c r="D2974" s="0" t="n">
        <f aca="false">A2974/SUM($A2974:$C2974)</f>
        <v>0.287670647448414</v>
      </c>
      <c r="E2974" s="0" t="n">
        <f aca="false">B2974/SUM($A2974:$C2974)</f>
        <v>0.463995753046672</v>
      </c>
      <c r="F2974" s="0" t="n">
        <f aca="false">C2974/SUM($A2974:$C2974)</f>
        <v>0.248333599504914</v>
      </c>
      <c r="G2974" s="0" t="n">
        <f aca="false">SUMPRODUCT(D2974:F2974,Stats!$B$6:$D$6)</f>
        <v>0.376333716056457</v>
      </c>
      <c r="H2974" s="0" t="n">
        <f aca="false">SQRT(SUMPRODUCT(MMULT(D2974:F2974,Stats!$B$12:$D$14),D2974:F2974))</f>
        <v>0.229081879710555</v>
      </c>
      <c r="I2974" s="0" t="n">
        <f aca="false">(G2974-Stats!$B$2)/H2974</f>
        <v>1.45945072774367</v>
      </c>
    </row>
    <row r="2975" customFormat="false" ht="15" hidden="false" customHeight="false" outlineLevel="0" collapsed="false">
      <c r="A2975" s="0" t="n">
        <v>0.570853025544313</v>
      </c>
      <c r="B2975" s="0" t="n">
        <v>0.527070938513458</v>
      </c>
      <c r="C2975" s="0" t="n">
        <v>0.0382027837573911</v>
      </c>
      <c r="D2975" s="0" t="n">
        <f aca="false">A2975/SUM($A2975:$C2975)</f>
        <v>0.502455405298833</v>
      </c>
      <c r="E2975" s="0" t="n">
        <f aca="false">B2975/SUM($A2975:$C2975)</f>
        <v>0.463919135366759</v>
      </c>
      <c r="F2975" s="0" t="n">
        <f aca="false">C2975/SUM($A2975:$C2975)</f>
        <v>0.0336254593344072</v>
      </c>
      <c r="G2975" s="0" t="n">
        <f aca="false">SUMPRODUCT(D2975:F2975,Stats!$B$6:$D$6)</f>
        <v>0.382249801958428</v>
      </c>
      <c r="H2975" s="0" t="n">
        <f aca="false">SQRT(SUMPRODUCT(MMULT(D2975:F2975,Stats!$B$12:$D$14),D2975:F2975))</f>
        <v>0.228264127156882</v>
      </c>
      <c r="I2975" s="0" t="n">
        <f aca="false">(G2975-Stats!$B$2)/H2975</f>
        <v>1.49059690717228</v>
      </c>
    </row>
    <row r="2976" customFormat="false" ht="15" hidden="false" customHeight="false" outlineLevel="0" collapsed="false">
      <c r="A2976" s="0" t="n">
        <v>0.615214896596914</v>
      </c>
      <c r="B2976" s="0" t="n">
        <v>0.828043285774252</v>
      </c>
      <c r="C2976" s="0" t="n">
        <v>0.157500548075804</v>
      </c>
      <c r="D2976" s="0" t="n">
        <f aca="false">A2976/SUM($A2976:$C2976)</f>
        <v>0.384327059971824</v>
      </c>
      <c r="E2976" s="0" t="n">
        <f aca="false">B2976/SUM($A2976:$C2976)</f>
        <v>0.517281755223064</v>
      </c>
      <c r="F2976" s="0" t="n">
        <f aca="false">C2976/SUM($A2976:$C2976)</f>
        <v>0.0983911848051117</v>
      </c>
      <c r="G2976" s="0" t="n">
        <f aca="false">SUMPRODUCT(D2976:F2976,Stats!$B$6:$D$6)</f>
        <v>0.383534328069426</v>
      </c>
      <c r="H2976" s="0" t="n">
        <f aca="false">SQRT(SUMPRODUCT(MMULT(D2976:F2976,Stats!$B$12:$D$14),D2976:F2976))</f>
        <v>0.229222825383267</v>
      </c>
      <c r="I2976" s="0" t="n">
        <f aca="false">(G2976-Stats!$B$2)/H2976</f>
        <v>1.48996648784156</v>
      </c>
    </row>
    <row r="2977" customFormat="false" ht="15" hidden="false" customHeight="false" outlineLevel="0" collapsed="false">
      <c r="A2977" s="0" t="n">
        <v>0.594331733926596</v>
      </c>
      <c r="B2977" s="0" t="n">
        <v>0.593610544446414</v>
      </c>
      <c r="C2977" s="0" t="n">
        <v>0.164184964056359</v>
      </c>
      <c r="D2977" s="0" t="n">
        <f aca="false">A2977/SUM($A2977:$C2977)</f>
        <v>0.439553109557026</v>
      </c>
      <c r="E2977" s="0" t="n">
        <f aca="false">B2977/SUM($A2977:$C2977)</f>
        <v>0.439019735583371</v>
      </c>
      <c r="F2977" s="0" t="n">
        <f aca="false">C2977/SUM($A2977:$C2977)</f>
        <v>0.121427154859603</v>
      </c>
      <c r="G2977" s="0" t="n">
        <f aca="false">SUMPRODUCT(D2977:F2977,Stats!$B$6:$D$6)</f>
        <v>0.378396024737755</v>
      </c>
      <c r="H2977" s="0" t="n">
        <f aca="false">SQRT(SUMPRODUCT(MMULT(D2977:F2977,Stats!$B$12:$D$14),D2977:F2977))</f>
        <v>0.226807088788311</v>
      </c>
      <c r="I2977" s="0" t="n">
        <f aca="false">(G2977-Stats!$B$2)/H2977</f>
        <v>1.48318126446095</v>
      </c>
    </row>
    <row r="2978" customFormat="false" ht="15" hidden="false" customHeight="false" outlineLevel="0" collapsed="false">
      <c r="A2978" s="0" t="n">
        <v>0.123463573730736</v>
      </c>
      <c r="B2978" s="0" t="n">
        <v>0.980051942976485</v>
      </c>
      <c r="C2978" s="0" t="n">
        <v>0.393719169653038</v>
      </c>
      <c r="D2978" s="0" t="n">
        <f aca="false">A2978/SUM($A2978:$C2978)</f>
        <v>0.0824610696342288</v>
      </c>
      <c r="E2978" s="0" t="n">
        <f aca="false">B2978/SUM($A2978:$C2978)</f>
        <v>0.654574698211786</v>
      </c>
      <c r="F2978" s="0" t="n">
        <f aca="false">C2978/SUM($A2978:$C2978)</f>
        <v>0.262964232153985</v>
      </c>
      <c r="G2978" s="0" t="n">
        <f aca="false">SUMPRODUCT(D2978:F2978,Stats!$B$6:$D$6)</f>
        <v>0.386895947831694</v>
      </c>
      <c r="H2978" s="0" t="n">
        <f aca="false">SQRT(SUMPRODUCT(MMULT(D2978:F2978,Stats!$B$12:$D$14),D2978:F2978))</f>
        <v>0.239690477252555</v>
      </c>
      <c r="I2978" s="0" t="n">
        <f aca="false">(G2978-Stats!$B$2)/H2978</f>
        <v>1.43892219576286</v>
      </c>
    </row>
    <row r="2979" customFormat="false" ht="15" hidden="false" customHeight="false" outlineLevel="0" collapsed="false">
      <c r="A2979" s="0" t="n">
        <v>0.227421728723529</v>
      </c>
      <c r="B2979" s="0" t="n">
        <v>0.171324544454375</v>
      </c>
      <c r="C2979" s="0" t="n">
        <v>0.667601713583235</v>
      </c>
      <c r="D2979" s="0" t="n">
        <f aca="false">A2979/SUM($A2979:$C2979)</f>
        <v>0.213271588212293</v>
      </c>
      <c r="E2979" s="0" t="n">
        <f aca="false">B2979/SUM($A2979:$C2979)</f>
        <v>0.16066476101741</v>
      </c>
      <c r="F2979" s="0" t="n">
        <f aca="false">C2979/SUM($A2979:$C2979)</f>
        <v>0.626063650770297</v>
      </c>
      <c r="G2979" s="0" t="n">
        <f aca="false">SUMPRODUCT(D2979:F2979,Stats!$B$6:$D$6)</f>
        <v>0.348464682487687</v>
      </c>
      <c r="H2979" s="0" t="n">
        <f aca="false">SQRT(SUMPRODUCT(MMULT(D2979:F2979,Stats!$B$12:$D$14),D2979:F2979))</f>
        <v>0.233825705376453</v>
      </c>
      <c r="I2979" s="0" t="n">
        <f aca="false">(G2979-Stats!$B$2)/H2979</f>
        <v>1.31065436964806</v>
      </c>
    </row>
    <row r="2980" customFormat="false" ht="15" hidden="false" customHeight="false" outlineLevel="0" collapsed="false">
      <c r="A2980" s="0" t="n">
        <v>0.609445297327279</v>
      </c>
      <c r="B2980" s="0" t="n">
        <v>0.643552122987418</v>
      </c>
      <c r="C2980" s="0" t="n">
        <v>0.0880060275114523</v>
      </c>
      <c r="D2980" s="0" t="n">
        <f aca="false">A2980/SUM($A2980:$C2980)</f>
        <v>0.454469597610079</v>
      </c>
      <c r="E2980" s="0" t="n">
        <f aca="false">B2980/SUM($A2980:$C2980)</f>
        <v>0.479903406684492</v>
      </c>
      <c r="F2980" s="0" t="n">
        <f aca="false">C2980/SUM($A2980:$C2980)</f>
        <v>0.0656269957054291</v>
      </c>
      <c r="G2980" s="0" t="n">
        <f aca="false">SUMPRODUCT(D2980:F2980,Stats!$B$6:$D$6)</f>
        <v>0.38228708618502</v>
      </c>
      <c r="H2980" s="0" t="n">
        <f aca="false">SQRT(SUMPRODUCT(MMULT(D2980:F2980,Stats!$B$12:$D$14),D2980:F2980))</f>
        <v>0.228229068096375</v>
      </c>
      <c r="I2980" s="0" t="n">
        <f aca="false">(G2980-Stats!$B$2)/H2980</f>
        <v>1.49098924612585</v>
      </c>
    </row>
    <row r="2981" customFormat="false" ht="15" hidden="false" customHeight="false" outlineLevel="0" collapsed="false">
      <c r="A2981" s="0" t="n">
        <v>0.893534583498437</v>
      </c>
      <c r="B2981" s="0" t="n">
        <v>0.389266396809048</v>
      </c>
      <c r="C2981" s="0" t="n">
        <v>0.313369406430358</v>
      </c>
      <c r="D2981" s="0" t="n">
        <f aca="false">A2981/SUM($A2981:$C2981)</f>
        <v>0.559798998228873</v>
      </c>
      <c r="E2981" s="0" t="n">
        <f aca="false">B2981/SUM($A2981:$C2981)</f>
        <v>0.243875215355052</v>
      </c>
      <c r="F2981" s="0" t="n">
        <f aca="false">C2981/SUM($A2981:$C2981)</f>
        <v>0.196325786416075</v>
      </c>
      <c r="G2981" s="0" t="n">
        <f aca="false">SUMPRODUCT(D2981:F2981,Stats!$B$6:$D$6)</f>
        <v>0.365102360656786</v>
      </c>
      <c r="H2981" s="0" t="n">
        <f aca="false">SQRT(SUMPRODUCT(MMULT(D2981:F2981,Stats!$B$12:$D$14),D2981:F2981))</f>
        <v>0.222748618679805</v>
      </c>
      <c r="I2981" s="0" t="n">
        <f aca="false">(G2981-Stats!$B$2)/H2981</f>
        <v>1.45052464330312</v>
      </c>
    </row>
    <row r="2982" customFormat="false" ht="15" hidden="false" customHeight="false" outlineLevel="0" collapsed="false">
      <c r="A2982" s="0" t="n">
        <v>0.462361447247739</v>
      </c>
      <c r="B2982" s="0" t="n">
        <v>0.390066065747628</v>
      </c>
      <c r="C2982" s="0" t="n">
        <v>0.863577003139146</v>
      </c>
      <c r="D2982" s="0" t="n">
        <f aca="false">A2982/SUM($A2982:$C2982)</f>
        <v>0.269440693716389</v>
      </c>
      <c r="E2982" s="0" t="n">
        <f aca="false">B2982/SUM($A2982:$C2982)</f>
        <v>0.227310628894086</v>
      </c>
      <c r="F2982" s="0" t="n">
        <f aca="false">C2982/SUM($A2982:$C2982)</f>
        <v>0.503248677389525</v>
      </c>
      <c r="G2982" s="0" t="n">
        <f aca="false">SUMPRODUCT(D2982:F2982,Stats!$B$6:$D$6)</f>
        <v>0.355685975121104</v>
      </c>
      <c r="H2982" s="0" t="n">
        <f aca="false">SQRT(SUMPRODUCT(MMULT(D2982:F2982,Stats!$B$12:$D$14),D2982:F2982))</f>
        <v>0.229219312903821</v>
      </c>
      <c r="I2982" s="0" t="n">
        <f aca="false">(G2982-Stats!$B$2)/H2982</f>
        <v>1.36849714427302</v>
      </c>
    </row>
    <row r="2983" customFormat="false" ht="15" hidden="false" customHeight="false" outlineLevel="0" collapsed="false">
      <c r="A2983" s="0" t="n">
        <v>0.929260975197892</v>
      </c>
      <c r="B2983" s="0" t="n">
        <v>0.303453216449606</v>
      </c>
      <c r="C2983" s="0" t="n">
        <v>0.863935807459955</v>
      </c>
      <c r="D2983" s="0" t="n">
        <f aca="false">A2983/SUM($A2983:$C2983)</f>
        <v>0.443212255547411</v>
      </c>
      <c r="E2983" s="0" t="n">
        <f aca="false">B2983/SUM($A2983:$C2983)</f>
        <v>0.144732414365195</v>
      </c>
      <c r="F2983" s="0" t="n">
        <f aca="false">C2983/SUM($A2983:$C2983)</f>
        <v>0.412055330087394</v>
      </c>
      <c r="G2983" s="0" t="n">
        <f aca="false">SUMPRODUCT(D2983:F2983,Stats!$B$6:$D$6)</f>
        <v>0.353449153013055</v>
      </c>
      <c r="H2983" s="0" t="n">
        <f aca="false">SQRT(SUMPRODUCT(MMULT(D2983:F2983,Stats!$B$12:$D$14),D2983:F2983))</f>
        <v>0.223309120387706</v>
      </c>
      <c r="I2983" s="0" t="n">
        <f aca="false">(G2983-Stats!$B$2)/H2983</f>
        <v>1.39469965432814</v>
      </c>
    </row>
    <row r="2984" customFormat="false" ht="15" hidden="false" customHeight="false" outlineLevel="0" collapsed="false">
      <c r="A2984" s="0" t="n">
        <v>0.781523129533067</v>
      </c>
      <c r="B2984" s="0" t="n">
        <v>0.930807672344762</v>
      </c>
      <c r="C2984" s="0" t="n">
        <v>0.245750312185888</v>
      </c>
      <c r="D2984" s="0" t="n">
        <f aca="false">A2984/SUM($A2984:$C2984)</f>
        <v>0.399127045309746</v>
      </c>
      <c r="E2984" s="0" t="n">
        <f aca="false">B2984/SUM($A2984:$C2984)</f>
        <v>0.475367269343099</v>
      </c>
      <c r="F2984" s="0" t="n">
        <f aca="false">C2984/SUM($A2984:$C2984)</f>
        <v>0.125505685347155</v>
      </c>
      <c r="G2984" s="0" t="n">
        <f aca="false">SUMPRODUCT(D2984:F2984,Stats!$B$6:$D$6)</f>
        <v>0.380374950877088</v>
      </c>
      <c r="H2984" s="0" t="n">
        <f aca="false">SQRT(SUMPRODUCT(MMULT(D2984:F2984,Stats!$B$12:$D$14),D2984:F2984))</f>
        <v>0.227877388986639</v>
      </c>
      <c r="I2984" s="0" t="n">
        <f aca="false">(G2984-Stats!$B$2)/H2984</f>
        <v>1.48489919242022</v>
      </c>
    </row>
    <row r="2985" customFormat="false" ht="15" hidden="false" customHeight="false" outlineLevel="0" collapsed="false">
      <c r="A2985" s="0" t="n">
        <v>0.576959150120979</v>
      </c>
      <c r="B2985" s="0" t="n">
        <v>0.274544584740445</v>
      </c>
      <c r="C2985" s="0" t="n">
        <v>0.824094490484374</v>
      </c>
      <c r="D2985" s="0" t="n">
        <f aca="false">A2985/SUM($A2985:$C2985)</f>
        <v>0.34433024659113</v>
      </c>
      <c r="E2985" s="0" t="n">
        <f aca="false">B2985/SUM($A2985:$C2985)</f>
        <v>0.163848696296981</v>
      </c>
      <c r="F2985" s="0" t="n">
        <f aca="false">C2985/SUM($A2985:$C2985)</f>
        <v>0.491821057111888</v>
      </c>
      <c r="G2985" s="0" t="n">
        <f aca="false">SUMPRODUCT(D2985:F2985,Stats!$B$6:$D$6)</f>
        <v>0.352349569890501</v>
      </c>
      <c r="H2985" s="0" t="n">
        <f aca="false">SQRT(SUMPRODUCT(MMULT(D2985:F2985,Stats!$B$12:$D$14),D2985:F2985))</f>
        <v>0.226541117354669</v>
      </c>
      <c r="I2985" s="0" t="n">
        <f aca="false">(G2985-Stats!$B$2)/H2985</f>
        <v>1.36994808498548</v>
      </c>
    </row>
    <row r="2986" customFormat="false" ht="15" hidden="false" customHeight="false" outlineLevel="0" collapsed="false">
      <c r="A2986" s="0" t="n">
        <v>0.00532419057106426</v>
      </c>
      <c r="B2986" s="0" t="n">
        <v>0.564819162886396</v>
      </c>
      <c r="C2986" s="0" t="n">
        <v>0.339203431271918</v>
      </c>
      <c r="D2986" s="0" t="n">
        <f aca="false">A2986/SUM($A2986:$C2986)</f>
        <v>0.00585496167190907</v>
      </c>
      <c r="E2986" s="0" t="n">
        <f aca="false">B2986/SUM($A2986:$C2986)</f>
        <v>0.621126254990264</v>
      </c>
      <c r="F2986" s="0" t="n">
        <f aca="false">C2986/SUM($A2986:$C2986)</f>
        <v>0.373018783337827</v>
      </c>
      <c r="G2986" s="0" t="n">
        <f aca="false">SUMPRODUCT(D2986:F2986,Stats!$B$6:$D$6)</f>
        <v>0.381936655780512</v>
      </c>
      <c r="H2986" s="0" t="n">
        <f aca="false">SQRT(SUMPRODUCT(MMULT(D2986:F2986,Stats!$B$12:$D$14),D2986:F2986))</f>
        <v>0.243177743946814</v>
      </c>
      <c r="I2986" s="0" t="n">
        <f aca="false">(G2986-Stats!$B$2)/H2986</f>
        <v>1.39789378034061</v>
      </c>
    </row>
    <row r="2987" customFormat="false" ht="15" hidden="false" customHeight="false" outlineLevel="0" collapsed="false">
      <c r="A2987" s="0" t="n">
        <v>0.32268370707782</v>
      </c>
      <c r="B2987" s="0" t="n">
        <v>0.644906323864917</v>
      </c>
      <c r="C2987" s="0" t="n">
        <v>0.851484449313994</v>
      </c>
      <c r="D2987" s="0" t="n">
        <f aca="false">A2987/SUM($A2987:$C2987)</f>
        <v>0.177388947280641</v>
      </c>
      <c r="E2987" s="0" t="n">
        <f aca="false">B2987/SUM($A2987:$C2987)</f>
        <v>0.354524419348624</v>
      </c>
      <c r="F2987" s="0" t="n">
        <f aca="false">C2987/SUM($A2987:$C2987)</f>
        <v>0.468086633370736</v>
      </c>
      <c r="G2987" s="0" t="n">
        <f aca="false">SUMPRODUCT(D2987:F2987,Stats!$B$6:$D$6)</f>
        <v>0.363975271814056</v>
      </c>
      <c r="H2987" s="0" t="n">
        <f aca="false">SQRT(SUMPRODUCT(MMULT(D2987:F2987,Stats!$B$12:$D$14),D2987:F2987))</f>
        <v>0.232892615439965</v>
      </c>
      <c r="I2987" s="0" t="n">
        <f aca="false">(G2987-Stats!$B$2)/H2987</f>
        <v>1.38250528556177</v>
      </c>
    </row>
    <row r="2988" customFormat="false" ht="15" hidden="false" customHeight="false" outlineLevel="0" collapsed="false">
      <c r="A2988" s="0" t="n">
        <v>0.609195391393326</v>
      </c>
      <c r="B2988" s="0" t="n">
        <v>0.853172978646723</v>
      </c>
      <c r="C2988" s="0" t="n">
        <v>0.26459711188103</v>
      </c>
      <c r="D2988" s="0" t="n">
        <f aca="false">A2988/SUM($A2988:$C2988)</f>
        <v>0.352754816335794</v>
      </c>
      <c r="E2988" s="0" t="n">
        <f aca="false">B2988/SUM($A2988:$C2988)</f>
        <v>0.494030128325235</v>
      </c>
      <c r="F2988" s="0" t="n">
        <f aca="false">C2988/SUM($A2988:$C2988)</f>
        <v>0.153215055338971</v>
      </c>
      <c r="G2988" s="0" t="n">
        <f aca="false">SUMPRODUCT(D2988:F2988,Stats!$B$6:$D$6)</f>
        <v>0.380684712408114</v>
      </c>
      <c r="H2988" s="0" t="n">
        <f aca="false">SQRT(SUMPRODUCT(MMULT(D2988:F2988,Stats!$B$12:$D$14),D2988:F2988))</f>
        <v>0.228668060978936</v>
      </c>
      <c r="I2988" s="0" t="n">
        <f aca="false">(G2988-Stats!$B$2)/H2988</f>
        <v>1.48111944868117</v>
      </c>
    </row>
    <row r="2989" customFormat="false" ht="15" hidden="false" customHeight="false" outlineLevel="0" collapsed="false">
      <c r="A2989" s="0" t="n">
        <v>0.519501854764981</v>
      </c>
      <c r="B2989" s="0" t="n">
        <v>0.450536539067076</v>
      </c>
      <c r="C2989" s="0" t="n">
        <v>0.0116448995030962</v>
      </c>
      <c r="D2989" s="0" t="n">
        <f aca="false">A2989/SUM($A2989:$C2989)</f>
        <v>0.529194963683282</v>
      </c>
      <c r="E2989" s="0" t="n">
        <f aca="false">B2989/SUM($A2989:$C2989)</f>
        <v>0.458942860824728</v>
      </c>
      <c r="F2989" s="0" t="n">
        <f aca="false">C2989/SUM($A2989:$C2989)</f>
        <v>0.0118621754919899</v>
      </c>
      <c r="G2989" s="0" t="n">
        <f aca="false">SUMPRODUCT(D2989:F2989,Stats!$B$6:$D$6)</f>
        <v>0.382563587743301</v>
      </c>
      <c r="H2989" s="0" t="n">
        <f aca="false">SQRT(SUMPRODUCT(MMULT(D2989:F2989,Stats!$B$12:$D$14),D2989:F2989))</f>
        <v>0.228583657588645</v>
      </c>
      <c r="I2989" s="0" t="n">
        <f aca="false">(G2989-Stats!$B$2)/H2989</f>
        <v>1.48988598457101</v>
      </c>
    </row>
    <row r="2990" customFormat="false" ht="15" hidden="false" customHeight="false" outlineLevel="0" collapsed="false">
      <c r="A2990" s="0" t="n">
        <v>0.55681214314074</v>
      </c>
      <c r="B2990" s="0" t="n">
        <v>0.661524324146175</v>
      </c>
      <c r="C2990" s="0" t="n">
        <v>0.59191440441907</v>
      </c>
      <c r="D2990" s="0" t="n">
        <f aca="false">A2990/SUM($A2990:$C2990)</f>
        <v>0.307588385589893</v>
      </c>
      <c r="E2990" s="0" t="n">
        <f aca="false">B2990/SUM($A2990:$C2990)</f>
        <v>0.365432401931536</v>
      </c>
      <c r="F2990" s="0" t="n">
        <f aca="false">C2990/SUM($A2990:$C2990)</f>
        <v>0.326979212478571</v>
      </c>
      <c r="G2990" s="0" t="n">
        <f aca="false">SUMPRODUCT(D2990:F2990,Stats!$B$6:$D$6)</f>
        <v>0.368493885872285</v>
      </c>
      <c r="H2990" s="0" t="n">
        <f aca="false">SQRT(SUMPRODUCT(MMULT(D2990:F2990,Stats!$B$12:$D$14),D2990:F2990))</f>
        <v>0.227293293297939</v>
      </c>
      <c r="I2990" s="0" t="n">
        <f aca="false">(G2990-Stats!$B$2)/H2990</f>
        <v>1.43644311336681</v>
      </c>
    </row>
    <row r="2991" customFormat="false" ht="15" hidden="false" customHeight="false" outlineLevel="0" collapsed="false">
      <c r="A2991" s="0" t="n">
        <v>0.736279898783422</v>
      </c>
      <c r="B2991" s="0" t="n">
        <v>0.571339528453077</v>
      </c>
      <c r="C2991" s="0" t="n">
        <v>0.0667502548507569</v>
      </c>
      <c r="D2991" s="0" t="n">
        <f aca="false">A2991/SUM($A2991:$C2991)</f>
        <v>0.53572187190948</v>
      </c>
      <c r="E2991" s="0" t="n">
        <f aca="false">B2991/SUM($A2991:$C2991)</f>
        <v>0.415710224039127</v>
      </c>
      <c r="F2991" s="0" t="n">
        <f aca="false">C2991/SUM($A2991:$C2991)</f>
        <v>0.0485679040513927</v>
      </c>
      <c r="G2991" s="0" t="n">
        <f aca="false">SUMPRODUCT(D2991:F2991,Stats!$B$6:$D$6)</f>
        <v>0.379063891430305</v>
      </c>
      <c r="H2991" s="0" t="n">
        <f aca="false">SQRT(SUMPRODUCT(MMULT(D2991:F2991,Stats!$B$12:$D$14),D2991:F2991))</f>
        <v>0.227063400981621</v>
      </c>
      <c r="I2991" s="0" t="n">
        <f aca="false">(G2991-Stats!$B$2)/H2991</f>
        <v>1.48444835219212</v>
      </c>
    </row>
    <row r="2992" customFormat="false" ht="15" hidden="false" customHeight="false" outlineLevel="0" collapsed="false">
      <c r="A2992" s="0" t="n">
        <v>0.116445524084711</v>
      </c>
      <c r="B2992" s="0" t="n">
        <v>0.596474577543952</v>
      </c>
      <c r="C2992" s="0" t="n">
        <v>0.27497919197364</v>
      </c>
      <c r="D2992" s="0" t="n">
        <f aca="false">A2992/SUM($A2992:$C2992)</f>
        <v>0.1178718568166</v>
      </c>
      <c r="E2992" s="0" t="n">
        <f aca="false">B2992/SUM($A2992:$C2992)</f>
        <v>0.603780751142103</v>
      </c>
      <c r="F2992" s="0" t="n">
        <f aca="false">C2992/SUM($A2992:$C2992)</f>
        <v>0.278347392041296</v>
      </c>
      <c r="G2992" s="0" t="n">
        <f aca="false">SUMPRODUCT(D2992:F2992,Stats!$B$6:$D$6)</f>
        <v>0.383549145141406</v>
      </c>
      <c r="H2992" s="0" t="n">
        <f aca="false">SQRT(SUMPRODUCT(MMULT(D2992:F2992,Stats!$B$12:$D$14),D2992:F2992))</f>
        <v>0.237220064383534</v>
      </c>
      <c r="I2992" s="0" t="n">
        <f aca="false">(G2992-Stats!$B$2)/H2992</f>
        <v>1.43979872035274</v>
      </c>
    </row>
    <row r="2993" customFormat="false" ht="15" hidden="false" customHeight="false" outlineLevel="0" collapsed="false">
      <c r="A2993" s="0" t="n">
        <v>0.0796451290347658</v>
      </c>
      <c r="B2993" s="0" t="n">
        <v>0.429602743448547</v>
      </c>
      <c r="C2993" s="0" t="n">
        <v>0.554322598083655</v>
      </c>
      <c r="D2993" s="0" t="n">
        <f aca="false">A2993/SUM($A2993:$C2993)</f>
        <v>0.0748846750063573</v>
      </c>
      <c r="E2993" s="0" t="n">
        <f aca="false">B2993/SUM($A2993:$C2993)</f>
        <v>0.403925038666723</v>
      </c>
      <c r="F2993" s="0" t="n">
        <f aca="false">C2993/SUM($A2993:$C2993)</f>
        <v>0.52119028632692</v>
      </c>
      <c r="G2993" s="0" t="n">
        <f aca="false">SUMPRODUCT(D2993:F2993,Stats!$B$6:$D$6)</f>
        <v>0.365353406706121</v>
      </c>
      <c r="H2993" s="0" t="n">
        <f aca="false">SQRT(SUMPRODUCT(MMULT(D2993:F2993,Stats!$B$12:$D$14),D2993:F2993))</f>
        <v>0.23884427042451</v>
      </c>
      <c r="I2993" s="0" t="n">
        <f aca="false">(G2993-Stats!$B$2)/H2993</f>
        <v>1.3538252608338</v>
      </c>
    </row>
    <row r="2994" customFormat="false" ht="15" hidden="false" customHeight="false" outlineLevel="0" collapsed="false">
      <c r="A2994" s="0" t="n">
        <v>0.328745988349607</v>
      </c>
      <c r="B2994" s="0" t="n">
        <v>0.720433702225778</v>
      </c>
      <c r="C2994" s="0" t="n">
        <v>0.643770608101245</v>
      </c>
      <c r="D2994" s="0" t="n">
        <f aca="false">A2994/SUM($A2994:$C2994)</f>
        <v>0.194185256712253</v>
      </c>
      <c r="E2994" s="0" t="n">
        <f aca="false">B2994/SUM($A2994:$C2994)</f>
        <v>0.425549233659687</v>
      </c>
      <c r="F2994" s="0" t="n">
        <f aca="false">C2994/SUM($A2994:$C2994)</f>
        <v>0.38026550962806</v>
      </c>
      <c r="G2994" s="0" t="n">
        <f aca="false">SUMPRODUCT(D2994:F2994,Stats!$B$6:$D$6)</f>
        <v>0.370483581413321</v>
      </c>
      <c r="H2994" s="0" t="n">
        <f aca="false">SQRT(SUMPRODUCT(MMULT(D2994:F2994,Stats!$B$12:$D$14),D2994:F2994))</f>
        <v>0.231955887817384</v>
      </c>
      <c r="I2994" s="0" t="n">
        <f aca="false">(G2994-Stats!$B$2)/H2994</f>
        <v>1.41614677042357</v>
      </c>
    </row>
    <row r="2995" customFormat="false" ht="15" hidden="false" customHeight="false" outlineLevel="0" collapsed="false">
      <c r="A2995" s="0" t="n">
        <v>0.332818361091672</v>
      </c>
      <c r="B2995" s="0" t="n">
        <v>0.754872528908561</v>
      </c>
      <c r="C2995" s="0" t="n">
        <v>0.648695042533035</v>
      </c>
      <c r="D2995" s="0" t="n">
        <f aca="false">A2995/SUM($A2995:$C2995)</f>
        <v>0.191673034695756</v>
      </c>
      <c r="E2995" s="0" t="n">
        <f aca="false">B2995/SUM($A2995:$C2995)</f>
        <v>0.43473775890781</v>
      </c>
      <c r="F2995" s="0" t="n">
        <f aca="false">C2995/SUM($A2995:$C2995)</f>
        <v>0.373589206396434</v>
      </c>
      <c r="G2995" s="0" t="n">
        <f aca="false">SUMPRODUCT(D2995:F2995,Stats!$B$6:$D$6)</f>
        <v>0.371196373757393</v>
      </c>
      <c r="H2995" s="0" t="n">
        <f aca="false">SQRT(SUMPRODUCT(MMULT(D2995:F2995,Stats!$B$12:$D$14),D2995:F2995))</f>
        <v>0.232109041356106</v>
      </c>
      <c r="I2995" s="0" t="n">
        <f aca="false">(G2995-Stats!$B$2)/H2995</f>
        <v>1.41828328545088</v>
      </c>
    </row>
    <row r="2996" customFormat="false" ht="15" hidden="false" customHeight="false" outlineLevel="0" collapsed="false">
      <c r="A2996" s="0" t="n">
        <v>0.637445378717902</v>
      </c>
      <c r="B2996" s="0" t="n">
        <v>0.553427700787068</v>
      </c>
      <c r="C2996" s="0" t="n">
        <v>0.0113896680885528</v>
      </c>
      <c r="D2996" s="0" t="n">
        <f aca="false">A2996/SUM($A2996:$C2996)</f>
        <v>0.530204716060468</v>
      </c>
      <c r="E2996" s="0" t="n">
        <f aca="false">B2996/SUM($A2996:$C2996)</f>
        <v>0.460321757365286</v>
      </c>
      <c r="F2996" s="0" t="n">
        <f aca="false">C2996/SUM($A2996:$C2996)</f>
        <v>0.00947352657424563</v>
      </c>
      <c r="G2996" s="0" t="n">
        <f aca="false">SUMPRODUCT(D2996:F2996,Stats!$B$6:$D$6)</f>
        <v>0.382708793740758</v>
      </c>
      <c r="H2996" s="0" t="n">
        <f aca="false">SQRT(SUMPRODUCT(MMULT(D2996:F2996,Stats!$B$12:$D$14),D2996:F2996))</f>
        <v>0.228661535186903</v>
      </c>
      <c r="I2996" s="0" t="n">
        <f aca="false">(G2996-Stats!$B$2)/H2996</f>
        <v>1.49001358476086</v>
      </c>
    </row>
    <row r="2997" customFormat="false" ht="15" hidden="false" customHeight="false" outlineLevel="0" collapsed="false">
      <c r="A2997" s="0" t="n">
        <v>0.696507183476889</v>
      </c>
      <c r="B2997" s="0" t="n">
        <v>0.376041791109157</v>
      </c>
      <c r="C2997" s="0" t="n">
        <v>0.942609710158656</v>
      </c>
      <c r="D2997" s="0" t="n">
        <f aca="false">A2997/SUM($A2997:$C2997)</f>
        <v>0.345633913968978</v>
      </c>
      <c r="E2997" s="0" t="n">
        <f aca="false">B2997/SUM($A2997:$C2997)</f>
        <v>0.18660654069374</v>
      </c>
      <c r="F2997" s="0" t="n">
        <f aca="false">C2997/SUM($A2997:$C2997)</f>
        <v>0.467759545337282</v>
      </c>
      <c r="G2997" s="0" t="n">
        <f aca="false">SUMPRODUCT(D2997:F2997,Stats!$B$6:$D$6)</f>
        <v>0.35432251373483</v>
      </c>
      <c r="H2997" s="0" t="n">
        <f aca="false">SQRT(SUMPRODUCT(MMULT(D2997:F2997,Stats!$B$12:$D$14),D2997:F2997))</f>
        <v>0.226211231123948</v>
      </c>
      <c r="I2997" s="0" t="n">
        <f aca="false">(G2997-Stats!$B$2)/H2997</f>
        <v>1.38066758305072</v>
      </c>
    </row>
    <row r="2998" customFormat="false" ht="15" hidden="false" customHeight="false" outlineLevel="0" collapsed="false">
      <c r="A2998" s="0" t="n">
        <v>0.817984771077205</v>
      </c>
      <c r="B2998" s="0" t="n">
        <v>0.587694469531312</v>
      </c>
      <c r="C2998" s="0" t="n">
        <v>0.252181981819269</v>
      </c>
      <c r="D2998" s="0" t="n">
        <f aca="false">A2998/SUM($A2998:$C2998)</f>
        <v>0.493397613751615</v>
      </c>
      <c r="E2998" s="0" t="n">
        <f aca="false">B2998/SUM($A2998:$C2998)</f>
        <v>0.35448954446904</v>
      </c>
      <c r="F2998" s="0" t="n">
        <f aca="false">C2998/SUM($A2998:$C2998)</f>
        <v>0.152112841779345</v>
      </c>
      <c r="G2998" s="0" t="n">
        <f aca="false">SUMPRODUCT(D2998:F2998,Stats!$B$6:$D$6)</f>
        <v>0.372686120931846</v>
      </c>
      <c r="H2998" s="0" t="n">
        <f aca="false">SQRT(SUMPRODUCT(MMULT(D2998:F2998,Stats!$B$12:$D$14),D2998:F2998))</f>
        <v>0.224706628797292</v>
      </c>
      <c r="I2998" s="0" t="n">
        <f aca="false">(G2998-Stats!$B$2)/H2998</f>
        <v>1.47163491661013</v>
      </c>
    </row>
    <row r="2999" customFormat="false" ht="15" hidden="false" customHeight="false" outlineLevel="0" collapsed="false">
      <c r="A2999" s="0" t="n">
        <v>0.203717393277667</v>
      </c>
      <c r="B2999" s="0" t="n">
        <v>0.340384837677549</v>
      </c>
      <c r="C2999" s="0" t="n">
        <v>0.476567943580019</v>
      </c>
      <c r="D2999" s="0" t="n">
        <f aca="false">A2999/SUM($A2999:$C2999)</f>
        <v>0.19959179601817</v>
      </c>
      <c r="E2999" s="0" t="n">
        <f aca="false">B2999/SUM($A2999:$C2999)</f>
        <v>0.333491509960644</v>
      </c>
      <c r="F2999" s="0" t="n">
        <f aca="false">C2999/SUM($A2999:$C2999)</f>
        <v>0.466916694021186</v>
      </c>
      <c r="G2999" s="0" t="n">
        <f aca="false">SUMPRODUCT(D2999:F2999,Stats!$B$6:$D$6)</f>
        <v>0.362797326057815</v>
      </c>
      <c r="H2999" s="0" t="n">
        <f aca="false">SQRT(SUMPRODUCT(MMULT(D2999:F2999,Stats!$B$12:$D$14),D2999:F2999))</f>
        <v>0.231821057902779</v>
      </c>
      <c r="I2999" s="0" t="n">
        <f aca="false">(G2999-Stats!$B$2)/H2999</f>
        <v>1.38381443411561</v>
      </c>
    </row>
    <row r="3000" customFormat="false" ht="15" hidden="false" customHeight="false" outlineLevel="0" collapsed="false">
      <c r="A3000" s="0" t="n">
        <v>0.296065510038947</v>
      </c>
      <c r="B3000" s="0" t="n">
        <v>0.514929495392483</v>
      </c>
      <c r="C3000" s="0" t="n">
        <v>0.165370425513186</v>
      </c>
      <c r="D3000" s="0" t="n">
        <f aca="false">A3000/SUM($A3000:$C3000)</f>
        <v>0.303232274162461</v>
      </c>
      <c r="E3000" s="0" t="n">
        <f aca="false">B3000/SUM($A3000:$C3000)</f>
        <v>0.527394230758762</v>
      </c>
      <c r="F3000" s="0" t="n">
        <f aca="false">C3000/SUM($A3000:$C3000)</f>
        <v>0.169373495078777</v>
      </c>
      <c r="G3000" s="0" t="n">
        <f aca="false">SUMPRODUCT(D3000:F3000,Stats!$B$6:$D$6)</f>
        <v>0.382158876918864</v>
      </c>
      <c r="H3000" s="0" t="n">
        <f aca="false">SQRT(SUMPRODUCT(MMULT(D3000:F3000,Stats!$B$12:$D$14),D3000:F3000))</f>
        <v>0.230175458965482</v>
      </c>
      <c r="I3000" s="0" t="n">
        <f aca="false">(G3000-Stats!$B$2)/H3000</f>
        <v>1.4778242582754</v>
      </c>
    </row>
    <row r="3001" customFormat="false" ht="15" hidden="false" customHeight="false" outlineLevel="0" collapsed="false">
      <c r="A3001" s="0" t="n">
        <v>0.9777128128255</v>
      </c>
      <c r="B3001" s="0" t="n">
        <v>0.107924554964994</v>
      </c>
      <c r="C3001" s="0" t="n">
        <v>0.931944139654372</v>
      </c>
      <c r="D3001" s="0" t="n">
        <f aca="false">A3001/SUM($A3001:$C3001)</f>
        <v>0.484596438467415</v>
      </c>
      <c r="E3001" s="0" t="n">
        <f aca="false">B3001/SUM($A3001:$C3001)</f>
        <v>0.0534920421141613</v>
      </c>
      <c r="F3001" s="0" t="n">
        <f aca="false">C3001/SUM($A3001:$C3001)</f>
        <v>0.461911519418424</v>
      </c>
      <c r="G3001" s="0" t="n">
        <f aca="false">SUMPRODUCT(D3001:F3001,Stats!$B$6:$D$6)</f>
        <v>0.346824534838728</v>
      </c>
      <c r="H3001" s="0" t="n">
        <f aca="false">SQRT(SUMPRODUCT(MMULT(D3001:F3001,Stats!$B$12:$D$14),D3001:F3001))</f>
        <v>0.223121472420314</v>
      </c>
      <c r="I3001" s="0" t="n">
        <f aca="false">(G3001-Stats!$B$2)/H3001</f>
        <v>1.36618197940404</v>
      </c>
    </row>
    <row r="3002" customFormat="false" ht="15" hidden="false" customHeight="false" outlineLevel="0" collapsed="false">
      <c r="A3002" s="0" t="n">
        <v>0.913578011402695</v>
      </c>
      <c r="B3002" s="0" t="n">
        <v>0.525360481819498</v>
      </c>
      <c r="C3002" s="0" t="n">
        <v>0.724910271836084</v>
      </c>
      <c r="D3002" s="0" t="n">
        <f aca="false">A3002/SUM($A3002:$C3002)</f>
        <v>0.422200491159598</v>
      </c>
      <c r="E3002" s="0" t="n">
        <f aca="false">B3002/SUM($A3002:$C3002)</f>
        <v>0.24278983369956</v>
      </c>
      <c r="F3002" s="0" t="n">
        <f aca="false">C3002/SUM($A3002:$C3002)</f>
        <v>0.335009675140841</v>
      </c>
      <c r="G3002" s="0" t="n">
        <f aca="false">SUMPRODUCT(D3002:F3002,Stats!$B$6:$D$6)</f>
        <v>0.361215754310154</v>
      </c>
      <c r="H3002" s="0" t="n">
        <f aca="false">SQRT(SUMPRODUCT(MMULT(D3002:F3002,Stats!$B$12:$D$14),D3002:F3002))</f>
        <v>0.223674484751863</v>
      </c>
      <c r="I3002" s="0" t="n">
        <f aca="false">(G3002-Stats!$B$2)/H3002</f>
        <v>1.42714424787557</v>
      </c>
    </row>
    <row r="3003" customFormat="false" ht="15" hidden="false" customHeight="false" outlineLevel="0" collapsed="false">
      <c r="A3003" s="0" t="n">
        <v>0.436048297972588</v>
      </c>
      <c r="B3003" s="0" t="n">
        <v>0.630034577542438</v>
      </c>
      <c r="C3003" s="0" t="n">
        <v>0.340575937421119</v>
      </c>
      <c r="D3003" s="0" t="n">
        <f aca="false">A3003/SUM($A3003:$C3003)</f>
        <v>0.309988672421862</v>
      </c>
      <c r="E3003" s="0" t="n">
        <f aca="false">B3003/SUM($A3003:$C3003)</f>
        <v>0.447894380462705</v>
      </c>
      <c r="F3003" s="0" t="n">
        <f aca="false">C3003/SUM($A3003:$C3003)</f>
        <v>0.242116947115433</v>
      </c>
      <c r="G3003" s="0" t="n">
        <f aca="false">SUMPRODUCT(D3003:F3003,Stats!$B$6:$D$6)</f>
        <v>0.375578685716164</v>
      </c>
      <c r="H3003" s="0" t="n">
        <f aca="false">SQRT(SUMPRODUCT(MMULT(D3003:F3003,Stats!$B$12:$D$14),D3003:F3003))</f>
        <v>0.228280120028728</v>
      </c>
      <c r="I3003" s="0" t="n">
        <f aca="false">(G3003-Stats!$B$2)/H3003</f>
        <v>1.46126910076175</v>
      </c>
    </row>
    <row r="3004" customFormat="false" ht="15" hidden="false" customHeight="false" outlineLevel="0" collapsed="false">
      <c r="A3004" s="0" t="n">
        <v>0.301159019785445</v>
      </c>
      <c r="B3004" s="0" t="n">
        <v>0.578229786169514</v>
      </c>
      <c r="C3004" s="0" t="n">
        <v>0.49812967418398</v>
      </c>
      <c r="D3004" s="0" t="n">
        <f aca="false">A3004/SUM($A3004:$C3004)</f>
        <v>0.218624304593772</v>
      </c>
      <c r="E3004" s="0" t="n">
        <f aca="false">B3004/SUM($A3004:$C3004)</f>
        <v>0.419761908465426</v>
      </c>
      <c r="F3004" s="0" t="n">
        <f aca="false">C3004/SUM($A3004:$C3004)</f>
        <v>0.361613786940802</v>
      </c>
      <c r="G3004" s="0" t="n">
        <f aca="false">SUMPRODUCT(D3004:F3004,Stats!$B$6:$D$6)</f>
        <v>0.370664900291303</v>
      </c>
      <c r="H3004" s="0" t="n">
        <f aca="false">SQRT(SUMPRODUCT(MMULT(D3004:F3004,Stats!$B$12:$D$14),D3004:F3004))</f>
        <v>0.230861186486151</v>
      </c>
      <c r="I3004" s="0" t="n">
        <f aca="false">(G3004-Stats!$B$2)/H3004</f>
        <v>1.42364728040163</v>
      </c>
    </row>
    <row r="3005" customFormat="false" ht="15" hidden="false" customHeight="false" outlineLevel="0" collapsed="false">
      <c r="A3005" s="0" t="n">
        <v>0.579536369149981</v>
      </c>
      <c r="B3005" s="0" t="n">
        <v>0.286660581287023</v>
      </c>
      <c r="C3005" s="0" t="n">
        <v>0.366957831816995</v>
      </c>
      <c r="D3005" s="0" t="n">
        <f aca="false">A3005/SUM($A3005:$C3005)</f>
        <v>0.469962390358399</v>
      </c>
      <c r="E3005" s="0" t="n">
        <f aca="false">B3005/SUM($A3005:$C3005)</f>
        <v>0.232461152008068</v>
      </c>
      <c r="F3005" s="0" t="n">
        <f aca="false">C3005/SUM($A3005:$C3005)</f>
        <v>0.297576457633533</v>
      </c>
      <c r="G3005" s="0" t="n">
        <f aca="false">SUMPRODUCT(D3005:F3005,Stats!$B$6:$D$6)</f>
        <v>0.361653661908968</v>
      </c>
      <c r="H3005" s="0" t="n">
        <f aca="false">SQRT(SUMPRODUCT(MMULT(D3005:F3005,Stats!$B$12:$D$14),D3005:F3005))</f>
        <v>0.222840702307425</v>
      </c>
      <c r="I3005" s="0" t="n">
        <f aca="false">(G3005-Stats!$B$2)/H3005</f>
        <v>1.43444917647039</v>
      </c>
    </row>
    <row r="3006" customFormat="false" ht="15" hidden="false" customHeight="false" outlineLevel="0" collapsed="false">
      <c r="A3006" s="0" t="n">
        <v>0.0838979606289093</v>
      </c>
      <c r="B3006" s="0" t="n">
        <v>0.0522763722722057</v>
      </c>
      <c r="C3006" s="0" t="n">
        <v>0.253457129673016</v>
      </c>
      <c r="D3006" s="0" t="n">
        <f aca="false">A3006/SUM($A3006:$C3006)</f>
        <v>0.215326452526782</v>
      </c>
      <c r="E3006" s="0" t="n">
        <f aca="false">B3006/SUM($A3006:$C3006)</f>
        <v>0.134168765342608</v>
      </c>
      <c r="F3006" s="0" t="n">
        <f aca="false">C3006/SUM($A3006:$C3006)</f>
        <v>0.65050478213061</v>
      </c>
      <c r="G3006" s="0" t="n">
        <f aca="false">SUMPRODUCT(D3006:F3006,Stats!$B$6:$D$6)</f>
        <v>0.346266182392948</v>
      </c>
      <c r="H3006" s="0" t="n">
        <f aca="false">SQRT(SUMPRODUCT(MMULT(D3006:F3006,Stats!$B$12:$D$14),D3006:F3006))</f>
        <v>0.234411644098865</v>
      </c>
      <c r="I3006" s="0" t="n">
        <f aca="false">(G3006-Stats!$B$2)/H3006</f>
        <v>1.29799943839232</v>
      </c>
    </row>
    <row r="3007" customFormat="false" ht="15" hidden="false" customHeight="false" outlineLevel="0" collapsed="false">
      <c r="A3007" s="0" t="n">
        <v>0.0742468593305458</v>
      </c>
      <c r="B3007" s="0" t="n">
        <v>0.103774708634741</v>
      </c>
      <c r="C3007" s="0" t="n">
        <v>0.812928405393937</v>
      </c>
      <c r="D3007" s="0" t="n">
        <f aca="false">A3007/SUM($A3007:$C3007)</f>
        <v>0.0749249319608498</v>
      </c>
      <c r="E3007" s="0" t="n">
        <f aca="false">B3007/SUM($A3007:$C3007)</f>
        <v>0.104722449593449</v>
      </c>
      <c r="F3007" s="0" t="n">
        <f aca="false">C3007/SUM($A3007:$C3007)</f>
        <v>0.820352618445701</v>
      </c>
      <c r="G3007" s="0" t="n">
        <f aca="false">SUMPRODUCT(D3007:F3007,Stats!$B$6:$D$6)</f>
        <v>0.339888390736886</v>
      </c>
      <c r="H3007" s="0" t="n">
        <f aca="false">SQRT(SUMPRODUCT(MMULT(D3007:F3007,Stats!$B$12:$D$14),D3007:F3007))</f>
        <v>0.246874277118009</v>
      </c>
      <c r="I3007" s="0" t="n">
        <f aca="false">(G3007-Stats!$B$2)/H3007</f>
        <v>1.20664005263898</v>
      </c>
    </row>
    <row r="3008" customFormat="false" ht="15" hidden="false" customHeight="false" outlineLevel="0" collapsed="false">
      <c r="A3008" s="0" t="n">
        <v>0.0388736970166893</v>
      </c>
      <c r="B3008" s="0" t="n">
        <v>0.658942793934743</v>
      </c>
      <c r="C3008" s="0" t="n">
        <v>0.272557748815401</v>
      </c>
      <c r="D3008" s="0" t="n">
        <f aca="false">A3008/SUM($A3008:$C3008)</f>
        <v>0.040060520388536</v>
      </c>
      <c r="E3008" s="0" t="n">
        <f aca="false">B3008/SUM($A3008:$C3008)</f>
        <v>0.679060476804369</v>
      </c>
      <c r="F3008" s="0" t="n">
        <f aca="false">C3008/SUM($A3008:$C3008)</f>
        <v>0.280879002807095</v>
      </c>
      <c r="G3008" s="0" t="n">
        <f aca="false">SUMPRODUCT(D3008:F3008,Stats!$B$6:$D$6)</f>
        <v>0.387810834930212</v>
      </c>
      <c r="H3008" s="0" t="n">
        <f aca="false">SQRT(SUMPRODUCT(MMULT(D3008:F3008,Stats!$B$12:$D$14),D3008:F3008))</f>
        <v>0.242118784378344</v>
      </c>
      <c r="I3008" s="0" t="n">
        <f aca="false">(G3008-Stats!$B$2)/H3008</f>
        <v>1.42826933407131</v>
      </c>
    </row>
    <row r="3009" customFormat="false" ht="15" hidden="false" customHeight="false" outlineLevel="0" collapsed="false">
      <c r="A3009" s="0" t="n">
        <v>0.871545680708126</v>
      </c>
      <c r="B3009" s="0" t="n">
        <v>0.4849922845775</v>
      </c>
      <c r="C3009" s="0" t="n">
        <v>0.305576459327826</v>
      </c>
      <c r="D3009" s="0" t="n">
        <f aca="false">A3009/SUM($A3009:$C3009)</f>
        <v>0.524359615560654</v>
      </c>
      <c r="E3009" s="0" t="n">
        <f aca="false">B3009/SUM($A3009:$C3009)</f>
        <v>0.291792356407888</v>
      </c>
      <c r="F3009" s="0" t="n">
        <f aca="false">C3009/SUM($A3009:$C3009)</f>
        <v>0.183848028031459</v>
      </c>
      <c r="G3009" s="0" t="n">
        <f aca="false">SUMPRODUCT(D3009:F3009,Stats!$B$6:$D$6)</f>
        <v>0.368203520323282</v>
      </c>
      <c r="H3009" s="0" t="n">
        <f aca="false">SQRT(SUMPRODUCT(MMULT(D3009:F3009,Stats!$B$12:$D$14),D3009:F3009))</f>
        <v>0.223448749524443</v>
      </c>
      <c r="I3009" s="0" t="n">
        <f aca="false">(G3009-Stats!$B$2)/H3009</f>
        <v>1.45985833895928</v>
      </c>
    </row>
    <row r="3010" customFormat="false" ht="15" hidden="false" customHeight="false" outlineLevel="0" collapsed="false">
      <c r="A3010" s="0" t="n">
        <v>0.517638935689435</v>
      </c>
      <c r="B3010" s="0" t="n">
        <v>0.381958019045269</v>
      </c>
      <c r="C3010" s="0" t="n">
        <v>0.56430106466983</v>
      </c>
      <c r="D3010" s="0" t="n">
        <f aca="false">A3010/SUM($A3010:$C3010)</f>
        <v>0.353603139582082</v>
      </c>
      <c r="E3010" s="0" t="n">
        <f aca="false">B3010/SUM($A3010:$C3010)</f>
        <v>0.260918461520043</v>
      </c>
      <c r="F3010" s="0" t="n">
        <f aca="false">C3010/SUM($A3010:$C3010)</f>
        <v>0.385478398897875</v>
      </c>
      <c r="G3010" s="0" t="n">
        <f aca="false">SUMPRODUCT(D3010:F3010,Stats!$B$6:$D$6)</f>
        <v>0.360867196445212</v>
      </c>
      <c r="H3010" s="0" t="n">
        <f aca="false">SQRT(SUMPRODUCT(MMULT(D3010:F3010,Stats!$B$12:$D$14),D3010:F3010))</f>
        <v>0.225499096288393</v>
      </c>
      <c r="I3010" s="0" t="n">
        <f aca="false">(G3010-Stats!$B$2)/H3010</f>
        <v>1.41405088398851</v>
      </c>
    </row>
    <row r="3011" customFormat="false" ht="15" hidden="false" customHeight="false" outlineLevel="0" collapsed="false">
      <c r="A3011" s="0" t="n">
        <v>0.114532868326348</v>
      </c>
      <c r="B3011" s="0" t="n">
        <v>0.996990502812551</v>
      </c>
      <c r="C3011" s="0" t="n">
        <v>0.425555877696718</v>
      </c>
      <c r="D3011" s="0" t="n">
        <f aca="false">A3011/SUM($A3011:$C3011)</f>
        <v>0.0745133137495092</v>
      </c>
      <c r="E3011" s="0" t="n">
        <f aca="false">B3011/SUM($A3011:$C3011)</f>
        <v>0.648626610220521</v>
      </c>
      <c r="F3011" s="0" t="n">
        <f aca="false">C3011/SUM($A3011:$C3011)</f>
        <v>0.27686007602997</v>
      </c>
      <c r="G3011" s="0" t="n">
        <f aca="false">SUMPRODUCT(D3011:F3011,Stats!$B$6:$D$6)</f>
        <v>0.386170529996879</v>
      </c>
      <c r="H3011" s="0" t="n">
        <f aca="false">SQRT(SUMPRODUCT(MMULT(D3011:F3011,Stats!$B$12:$D$14),D3011:F3011))</f>
        <v>0.239930210091011</v>
      </c>
      <c r="I3011" s="0" t="n">
        <f aca="false">(G3011-Stats!$B$2)/H3011</f>
        <v>1.43446100374908</v>
      </c>
    </row>
    <row r="3012" customFormat="false" ht="15" hidden="false" customHeight="false" outlineLevel="0" collapsed="false">
      <c r="A3012" s="0" t="n">
        <v>0.348230639707369</v>
      </c>
      <c r="B3012" s="0" t="n">
        <v>0.710209848316265</v>
      </c>
      <c r="C3012" s="0" t="n">
        <v>0.363899406495333</v>
      </c>
      <c r="D3012" s="0" t="n">
        <f aca="false">A3012/SUM($A3012:$C3012)</f>
        <v>0.244829411766686</v>
      </c>
      <c r="E3012" s="0" t="n">
        <f aca="false">B3012/SUM($A3012:$C3012)</f>
        <v>0.49932498628006</v>
      </c>
      <c r="F3012" s="0" t="n">
        <f aca="false">C3012/SUM($A3012:$C3012)</f>
        <v>0.255845601953254</v>
      </c>
      <c r="G3012" s="0" t="n">
        <f aca="false">SUMPRODUCT(D3012:F3012,Stats!$B$6:$D$6)</f>
        <v>0.378159373832729</v>
      </c>
      <c r="H3012" s="0" t="n">
        <f aca="false">SQRT(SUMPRODUCT(MMULT(D3012:F3012,Stats!$B$12:$D$14),D3012:F3012))</f>
        <v>0.23085101339508</v>
      </c>
      <c r="I3012" s="0" t="n">
        <f aca="false">(G3012-Stats!$B$2)/H3012</f>
        <v>1.45617456423041</v>
      </c>
    </row>
    <row r="3013" customFormat="false" ht="15" hidden="false" customHeight="false" outlineLevel="0" collapsed="false">
      <c r="A3013" s="0" t="n">
        <v>0.833274305028758</v>
      </c>
      <c r="B3013" s="0" t="n">
        <v>0.454270724360425</v>
      </c>
      <c r="C3013" s="0" t="n">
        <v>0.719558413265435</v>
      </c>
      <c r="D3013" s="0" t="n">
        <f aca="false">A3013/SUM($A3013:$C3013)</f>
        <v>0.415162610615953</v>
      </c>
      <c r="E3013" s="0" t="n">
        <f aca="false">B3013/SUM($A3013:$C3013)</f>
        <v>0.226331495779611</v>
      </c>
      <c r="F3013" s="0" t="n">
        <f aca="false">C3013/SUM($A3013:$C3013)</f>
        <v>0.358505893604437</v>
      </c>
      <c r="G3013" s="0" t="n">
        <f aca="false">SUMPRODUCT(D3013:F3013,Stats!$B$6:$D$6)</f>
        <v>0.359620863660837</v>
      </c>
      <c r="H3013" s="0" t="n">
        <f aca="false">SQRT(SUMPRODUCT(MMULT(D3013:F3013,Stats!$B$12:$D$14),D3013:F3013))</f>
        <v>0.223788779578504</v>
      </c>
      <c r="I3013" s="0" t="n">
        <f aca="false">(G3013-Stats!$B$2)/H3013</f>
        <v>1.41928859998728</v>
      </c>
    </row>
    <row r="3014" customFormat="false" ht="15" hidden="false" customHeight="false" outlineLevel="0" collapsed="false">
      <c r="A3014" s="0" t="n">
        <v>0.107453216441887</v>
      </c>
      <c r="B3014" s="0" t="n">
        <v>0.846119185555112</v>
      </c>
      <c r="C3014" s="0" t="n">
        <v>0.73571798677811</v>
      </c>
      <c r="D3014" s="0" t="n">
        <f aca="false">A3014/SUM($A3014:$C3014)</f>
        <v>0.0636084933389102</v>
      </c>
      <c r="E3014" s="0" t="n">
        <f aca="false">B3014/SUM($A3014:$C3014)</f>
        <v>0.500872550496559</v>
      </c>
      <c r="F3014" s="0" t="n">
        <f aca="false">C3014/SUM($A3014:$C3014)</f>
        <v>0.435518956164531</v>
      </c>
      <c r="G3014" s="0" t="n">
        <f aca="false">SUMPRODUCT(D3014:F3014,Stats!$B$6:$D$6)</f>
        <v>0.373293995038403</v>
      </c>
      <c r="H3014" s="0" t="n">
        <f aca="false">SQRT(SUMPRODUCT(MMULT(D3014:F3014,Stats!$B$12:$D$14),D3014:F3014))</f>
        <v>0.239115625134536</v>
      </c>
      <c r="I3014" s="0" t="n">
        <f aca="false">(G3014-Stats!$B$2)/H3014</f>
        <v>1.38549705755115</v>
      </c>
    </row>
    <row r="3015" customFormat="false" ht="15" hidden="false" customHeight="false" outlineLevel="0" collapsed="false">
      <c r="A3015" s="0" t="n">
        <v>0.211716778461966</v>
      </c>
      <c r="B3015" s="0" t="n">
        <v>0.145286009745787</v>
      </c>
      <c r="C3015" s="0" t="n">
        <v>0.316292348725624</v>
      </c>
      <c r="D3015" s="0" t="n">
        <f aca="false">A3015/SUM($A3015:$C3015)</f>
        <v>0.314448696935881</v>
      </c>
      <c r="E3015" s="0" t="n">
        <f aca="false">B3015/SUM($A3015:$C3015)</f>
        <v>0.215783542426154</v>
      </c>
      <c r="F3015" s="0" t="n">
        <f aca="false">C3015/SUM($A3015:$C3015)</f>
        <v>0.469767760637965</v>
      </c>
      <c r="G3015" s="0" t="n">
        <f aca="false">SUMPRODUCT(D3015:F3015,Stats!$B$6:$D$6)</f>
        <v>0.355945944886942</v>
      </c>
      <c r="H3015" s="0" t="n">
        <f aca="false">SQRT(SUMPRODUCT(MMULT(D3015:F3015,Stats!$B$12:$D$14),D3015:F3015))</f>
        <v>0.227224017754947</v>
      </c>
      <c r="I3015" s="0" t="n">
        <f aca="false">(G3015-Stats!$B$2)/H3015</f>
        <v>1.38165827709957</v>
      </c>
    </row>
    <row r="3016" customFormat="false" ht="15" hidden="false" customHeight="false" outlineLevel="0" collapsed="false">
      <c r="A3016" s="0" t="n">
        <v>0.976070586031904</v>
      </c>
      <c r="B3016" s="0" t="n">
        <v>0.256831574567059</v>
      </c>
      <c r="C3016" s="0" t="n">
        <v>0.456127208946633</v>
      </c>
      <c r="D3016" s="0" t="n">
        <f aca="false">A3016/SUM($A3016:$C3016)</f>
        <v>0.577888462824361</v>
      </c>
      <c r="E3016" s="0" t="n">
        <f aca="false">B3016/SUM($A3016:$C3016)</f>
        <v>0.152058678906309</v>
      </c>
      <c r="F3016" s="0" t="n">
        <f aca="false">C3016/SUM($A3016:$C3016)</f>
        <v>0.27005285826933</v>
      </c>
      <c r="G3016" s="0" t="n">
        <f aca="false">SUMPRODUCT(D3016:F3016,Stats!$B$6:$D$6)</f>
        <v>0.357786360335912</v>
      </c>
      <c r="H3016" s="0" t="n">
        <f aca="false">SQRT(SUMPRODUCT(MMULT(D3016:F3016,Stats!$B$12:$D$14),D3016:F3016))</f>
        <v>0.221643871467978</v>
      </c>
      <c r="I3016" s="0" t="n">
        <f aca="false">(G3016-Stats!$B$2)/H3016</f>
        <v>1.42474663632437</v>
      </c>
    </row>
    <row r="3017" customFormat="false" ht="15" hidden="false" customHeight="false" outlineLevel="0" collapsed="false">
      <c r="A3017" s="0" t="n">
        <v>0.0300202257173363</v>
      </c>
      <c r="B3017" s="0" t="n">
        <v>0.397227529566233</v>
      </c>
      <c r="C3017" s="0" t="n">
        <v>0.571320015433103</v>
      </c>
      <c r="D3017" s="0" t="n">
        <f aca="false">A3017/SUM($A3017:$C3017)</f>
        <v>0.0300632832319341</v>
      </c>
      <c r="E3017" s="0" t="n">
        <f aca="false">B3017/SUM($A3017:$C3017)</f>
        <v>0.397797266460085</v>
      </c>
      <c r="F3017" s="0" t="n">
        <f aca="false">C3017/SUM($A3017:$C3017)</f>
        <v>0.572139450307981</v>
      </c>
      <c r="G3017" s="0" t="n">
        <f aca="false">SUMPRODUCT(D3017:F3017,Stats!$B$6:$D$6)</f>
        <v>0.363595919023673</v>
      </c>
      <c r="H3017" s="0" t="n">
        <f aca="false">SQRT(SUMPRODUCT(MMULT(D3017:F3017,Stats!$B$12:$D$14),D3017:F3017))</f>
        <v>0.242159725088517</v>
      </c>
      <c r="I3017" s="0" t="n">
        <f aca="false">(G3017-Stats!$B$2)/H3017</f>
        <v>1.32803222710184</v>
      </c>
    </row>
    <row r="3018" customFormat="false" ht="15" hidden="false" customHeight="false" outlineLevel="0" collapsed="false">
      <c r="A3018" s="0" t="n">
        <v>0.953124612507965</v>
      </c>
      <c r="B3018" s="0" t="n">
        <v>0.516736044940064</v>
      </c>
      <c r="C3018" s="0" t="n">
        <v>0.819107326177688</v>
      </c>
      <c r="D3018" s="0" t="n">
        <f aca="false">A3018/SUM($A3018:$C3018)</f>
        <v>0.416399276584996</v>
      </c>
      <c r="E3018" s="0" t="n">
        <f aca="false">B3018/SUM($A3018:$C3018)</f>
        <v>0.225750665206578</v>
      </c>
      <c r="F3018" s="0" t="n">
        <f aca="false">C3018/SUM($A3018:$C3018)</f>
        <v>0.357850058208427</v>
      </c>
      <c r="G3018" s="0" t="n">
        <f aca="false">SUMPRODUCT(D3018:F3018,Stats!$B$6:$D$6)</f>
        <v>0.359605527830216</v>
      </c>
      <c r="H3018" s="0" t="n">
        <f aca="false">SQRT(SUMPRODUCT(MMULT(D3018:F3018,Stats!$B$12:$D$14),D3018:F3018))</f>
        <v>0.223759277700129</v>
      </c>
      <c r="I3018" s="0" t="n">
        <f aca="false">(G3018-Stats!$B$2)/H3018</f>
        <v>1.41940719104329</v>
      </c>
    </row>
    <row r="3019" customFormat="false" ht="15" hidden="false" customHeight="false" outlineLevel="0" collapsed="false">
      <c r="A3019" s="0" t="n">
        <v>0.547127642568901</v>
      </c>
      <c r="B3019" s="0" t="n">
        <v>0.0407850134355181</v>
      </c>
      <c r="C3019" s="0" t="n">
        <v>0.315008275189774</v>
      </c>
      <c r="D3019" s="0" t="n">
        <f aca="false">A3019/SUM($A3019:$C3019)</f>
        <v>0.605952995070428</v>
      </c>
      <c r="E3019" s="0" t="n">
        <f aca="false">B3019/SUM($A3019:$C3019)</f>
        <v>0.0451700830343764</v>
      </c>
      <c r="F3019" s="0" t="n">
        <f aca="false">C3019/SUM($A3019:$C3019)</f>
        <v>0.348876921895196</v>
      </c>
      <c r="G3019" s="0" t="n">
        <f aca="false">SUMPRODUCT(D3019:F3019,Stats!$B$6:$D$6)</f>
        <v>0.34946258563549</v>
      </c>
      <c r="H3019" s="0" t="n">
        <f aca="false">SQRT(SUMPRODUCT(MMULT(D3019:F3019,Stats!$B$12:$D$14),D3019:F3019))</f>
        <v>0.221320026385499</v>
      </c>
      <c r="I3019" s="0" t="n">
        <f aca="false">(G3019-Stats!$B$2)/H3019</f>
        <v>1.38922171055567</v>
      </c>
    </row>
    <row r="3020" customFormat="false" ht="15" hidden="false" customHeight="false" outlineLevel="0" collapsed="false">
      <c r="A3020" s="0" t="n">
        <v>0.575549507831103</v>
      </c>
      <c r="B3020" s="0" t="n">
        <v>0.950593965931124</v>
      </c>
      <c r="C3020" s="0" t="n">
        <v>0.859130359751233</v>
      </c>
      <c r="D3020" s="0" t="n">
        <f aca="false">A3020/SUM($A3020:$C3020)</f>
        <v>0.241292844345393</v>
      </c>
      <c r="E3020" s="0" t="n">
        <f aca="false">B3020/SUM($A3020:$C3020)</f>
        <v>0.398526136737482</v>
      </c>
      <c r="F3020" s="0" t="n">
        <f aca="false">C3020/SUM($A3020:$C3020)</f>
        <v>0.360181018917124</v>
      </c>
      <c r="G3020" s="0" t="n">
        <f aca="false">SUMPRODUCT(D3020:F3020,Stats!$B$6:$D$6)</f>
        <v>0.36948252949818</v>
      </c>
      <c r="H3020" s="0" t="n">
        <f aca="false">SQRT(SUMPRODUCT(MMULT(D3020:F3020,Stats!$B$12:$D$14),D3020:F3020))</f>
        <v>0.229826393572254</v>
      </c>
      <c r="I3020" s="0" t="n">
        <f aca="false">(G3020-Stats!$B$2)/H3020</f>
        <v>1.42491262386374</v>
      </c>
    </row>
    <row r="3021" customFormat="false" ht="15" hidden="false" customHeight="false" outlineLevel="0" collapsed="false">
      <c r="A3021" s="0" t="n">
        <v>0.228355614178848</v>
      </c>
      <c r="B3021" s="0" t="n">
        <v>0.220109830019164</v>
      </c>
      <c r="C3021" s="0" t="n">
        <v>0.201172967113901</v>
      </c>
      <c r="D3021" s="0" t="n">
        <f aca="false">A3021/SUM($A3021:$C3021)</f>
        <v>0.351511872146992</v>
      </c>
      <c r="E3021" s="0" t="n">
        <f aca="false">B3021/SUM($A3021:$C3021)</f>
        <v>0.338818989435466</v>
      </c>
      <c r="F3021" s="0" t="n">
        <f aca="false">C3021/SUM($A3021:$C3021)</f>
        <v>0.309669138417542</v>
      </c>
      <c r="G3021" s="0" t="n">
        <f aca="false">SUMPRODUCT(D3021:F3021,Stats!$B$6:$D$6)</f>
        <v>0.367439903196756</v>
      </c>
      <c r="H3021" s="0" t="n">
        <f aca="false">SQRT(SUMPRODUCT(MMULT(D3021:F3021,Stats!$B$12:$D$14),D3021:F3021))</f>
        <v>0.225867870779358</v>
      </c>
      <c r="I3021" s="0" t="n">
        <f aca="false">(G3021-Stats!$B$2)/H3021</f>
        <v>1.44084194920607</v>
      </c>
    </row>
    <row r="3022" customFormat="false" ht="15" hidden="false" customHeight="false" outlineLevel="0" collapsed="false">
      <c r="A3022" s="0" t="n">
        <v>0.922498896302503</v>
      </c>
      <c r="B3022" s="0" t="n">
        <v>0.852666153101721</v>
      </c>
      <c r="C3022" s="0" t="n">
        <v>0.774883432252949</v>
      </c>
      <c r="D3022" s="0" t="n">
        <f aca="false">A3022/SUM($A3022:$C3022)</f>
        <v>0.361757395178232</v>
      </c>
      <c r="E3022" s="0" t="n">
        <f aca="false">B3022/SUM($A3022:$C3022)</f>
        <v>0.334372526340208</v>
      </c>
      <c r="F3022" s="0" t="n">
        <f aca="false">C3022/SUM($A3022:$C3022)</f>
        <v>0.30387007848156</v>
      </c>
      <c r="G3022" s="0" t="n">
        <f aca="false">SUMPRODUCT(D3022:F3022,Stats!$B$6:$D$6)</f>
        <v>0.367343966312498</v>
      </c>
      <c r="H3022" s="0" t="n">
        <f aca="false">SQRT(SUMPRODUCT(MMULT(D3022:F3022,Stats!$B$12:$D$14),D3022:F3022))</f>
        <v>0.225583831858736</v>
      </c>
      <c r="I3022" s="0" t="n">
        <f aca="false">(G3022-Stats!$B$2)/H3022</f>
        <v>1.44223087103261</v>
      </c>
    </row>
    <row r="3023" customFormat="false" ht="15" hidden="false" customHeight="false" outlineLevel="0" collapsed="false">
      <c r="A3023" s="0" t="n">
        <v>0.392735114224228</v>
      </c>
      <c r="B3023" s="0" t="n">
        <v>0.504380704298767</v>
      </c>
      <c r="C3023" s="0" t="n">
        <v>0.464331744795153</v>
      </c>
      <c r="D3023" s="0" t="n">
        <f aca="false">A3023/SUM($A3023:$C3023)</f>
        <v>0.288468777502562</v>
      </c>
      <c r="E3023" s="0" t="n">
        <f aca="false">B3023/SUM($A3023:$C3023)</f>
        <v>0.370473838206064</v>
      </c>
      <c r="F3023" s="0" t="n">
        <f aca="false">C3023/SUM($A3023:$C3023)</f>
        <v>0.341057384291375</v>
      </c>
      <c r="G3023" s="0" t="n">
        <f aca="false">SUMPRODUCT(D3023:F3023,Stats!$B$6:$D$6)</f>
        <v>0.36839576341753</v>
      </c>
      <c r="H3023" s="0" t="n">
        <f aca="false">SQRT(SUMPRODUCT(MMULT(D3023:F3023,Stats!$B$12:$D$14),D3023:F3023))</f>
        <v>0.227939723996978</v>
      </c>
      <c r="I3023" s="0" t="n">
        <f aca="false">(G3023-Stats!$B$2)/H3023</f>
        <v>1.43193892531807</v>
      </c>
    </row>
    <row r="3024" customFormat="false" ht="15" hidden="false" customHeight="false" outlineLevel="0" collapsed="false">
      <c r="A3024" s="0" t="n">
        <v>0.253398107559373</v>
      </c>
      <c r="B3024" s="0" t="n">
        <v>0.505028046148767</v>
      </c>
      <c r="C3024" s="0" t="n">
        <v>0.0304965478527545</v>
      </c>
      <c r="D3024" s="0" t="n">
        <f aca="false">A3024/SUM($A3024:$C3024)</f>
        <v>0.32119510195108</v>
      </c>
      <c r="E3024" s="0" t="n">
        <f aca="false">B3024/SUM($A3024:$C3024)</f>
        <v>0.640148959016596</v>
      </c>
      <c r="F3024" s="0" t="n">
        <f aca="false">C3024/SUM($A3024:$C3024)</f>
        <v>0.0386559390323243</v>
      </c>
      <c r="G3024" s="0" t="n">
        <f aca="false">SUMPRODUCT(D3024:F3024,Stats!$B$6:$D$6)</f>
        <v>0.392251124378596</v>
      </c>
      <c r="H3024" s="0" t="n">
        <f aca="false">SQRT(SUMPRODUCT(MMULT(D3024:F3024,Stats!$B$12:$D$14),D3024:F3024))</f>
        <v>0.23387100342389</v>
      </c>
      <c r="I3024" s="0" t="n">
        <f aca="false">(G3024-Stats!$B$2)/H3024</f>
        <v>1.4976252688486</v>
      </c>
    </row>
    <row r="3025" customFormat="false" ht="15" hidden="false" customHeight="false" outlineLevel="0" collapsed="false">
      <c r="A3025" s="0" t="n">
        <v>0.131810373497459</v>
      </c>
      <c r="B3025" s="0" t="n">
        <v>0.886589596168946</v>
      </c>
      <c r="C3025" s="0" t="n">
        <v>0.751679767031423</v>
      </c>
      <c r="D3025" s="0" t="n">
        <f aca="false">A3025/SUM($A3025:$C3025)</f>
        <v>0.0744657829614828</v>
      </c>
      <c r="E3025" s="0" t="n">
        <f aca="false">B3025/SUM($A3025:$C3025)</f>
        <v>0.500875512999727</v>
      </c>
      <c r="F3025" s="0" t="n">
        <f aca="false">C3025/SUM($A3025:$C3025)</f>
        <v>0.42465870403879</v>
      </c>
      <c r="G3025" s="0" t="n">
        <f aca="false">SUMPRODUCT(D3025:F3025,Stats!$B$6:$D$6)</f>
        <v>0.373593632772295</v>
      </c>
      <c r="H3025" s="0" t="n">
        <f aca="false">SQRT(SUMPRODUCT(MMULT(D3025:F3025,Stats!$B$12:$D$14),D3025:F3025))</f>
        <v>0.238458993705111</v>
      </c>
      <c r="I3025" s="0" t="n">
        <f aca="false">(G3025-Stats!$B$2)/H3025</f>
        <v>1.39056878342093</v>
      </c>
    </row>
    <row r="3026" customFormat="false" ht="15" hidden="false" customHeight="false" outlineLevel="0" collapsed="false">
      <c r="A3026" s="0" t="n">
        <v>0.422868409059087</v>
      </c>
      <c r="B3026" s="0" t="n">
        <v>0.517150362283877</v>
      </c>
      <c r="C3026" s="0" t="n">
        <v>0.369998885959977</v>
      </c>
      <c r="D3026" s="0" t="n">
        <f aca="false">A3026/SUM($A3026:$C3026)</f>
        <v>0.322795961338175</v>
      </c>
      <c r="E3026" s="0" t="n">
        <f aca="false">B3026/SUM($A3026:$C3026)</f>
        <v>0.394765947925148</v>
      </c>
      <c r="F3026" s="0" t="n">
        <f aca="false">C3026/SUM($A3026:$C3026)</f>
        <v>0.282438090736677</v>
      </c>
      <c r="G3026" s="0" t="n">
        <f aca="false">SUMPRODUCT(D3026:F3026,Stats!$B$6:$D$6)</f>
        <v>0.371409904443709</v>
      </c>
      <c r="H3026" s="0" t="n">
        <f aca="false">SQRT(SUMPRODUCT(MMULT(D3026:F3026,Stats!$B$12:$D$14),D3026:F3026))</f>
        <v>0.227172045324388</v>
      </c>
      <c r="I3026" s="0" t="n">
        <f aca="false">(G3026-Stats!$B$2)/H3026</f>
        <v>1.45004595073893</v>
      </c>
    </row>
    <row r="3027" customFormat="false" ht="15" hidden="false" customHeight="false" outlineLevel="0" collapsed="false">
      <c r="A3027" s="0" t="n">
        <v>0.740779867160673</v>
      </c>
      <c r="B3027" s="0" t="n">
        <v>0.78418717923208</v>
      </c>
      <c r="C3027" s="0" t="n">
        <v>0.763285190203159</v>
      </c>
      <c r="D3027" s="0" t="n">
        <f aca="false">A3027/SUM($A3027:$C3027)</f>
        <v>0.323731735214071</v>
      </c>
      <c r="E3027" s="0" t="n">
        <f aca="false">B3027/SUM($A3027:$C3027)</f>
        <v>0.342701371243349</v>
      </c>
      <c r="F3027" s="0" t="n">
        <f aca="false">C3027/SUM($A3027:$C3027)</f>
        <v>0.33356689354258</v>
      </c>
      <c r="G3027" s="0" t="n">
        <f aca="false">SUMPRODUCT(D3027:F3027,Stats!$B$6:$D$6)</f>
        <v>0.3670043190151</v>
      </c>
      <c r="H3027" s="0" t="n">
        <f aca="false">SQRT(SUMPRODUCT(MMULT(D3027:F3027,Stats!$B$12:$D$14),D3027:F3027))</f>
        <v>0.226650098562862</v>
      </c>
      <c r="I3027" s="0" t="n">
        <f aca="false">(G3027-Stats!$B$2)/H3027</f>
        <v>1.43394739766662</v>
      </c>
    </row>
    <row r="3028" customFormat="false" ht="15" hidden="false" customHeight="false" outlineLevel="0" collapsed="false">
      <c r="A3028" s="0" t="n">
        <v>0.72261172483445</v>
      </c>
      <c r="B3028" s="0" t="n">
        <v>0.204504338692796</v>
      </c>
      <c r="C3028" s="0" t="n">
        <v>0.337969979240479</v>
      </c>
      <c r="D3028" s="0" t="n">
        <f aca="false">A3028/SUM($A3028:$C3028)</f>
        <v>0.571195713497508</v>
      </c>
      <c r="E3028" s="0" t="n">
        <f aca="false">B3028/SUM($A3028:$C3028)</f>
        <v>0.161652513567683</v>
      </c>
      <c r="F3028" s="0" t="n">
        <f aca="false">C3028/SUM($A3028:$C3028)</f>
        <v>0.267151772934809</v>
      </c>
      <c r="G3028" s="0" t="n">
        <f aca="false">SUMPRODUCT(D3028:F3028,Stats!$B$6:$D$6)</f>
        <v>0.358418373477554</v>
      </c>
      <c r="H3028" s="0" t="n">
        <f aca="false">SQRT(SUMPRODUCT(MMULT(D3028:F3028,Stats!$B$12:$D$14),D3028:F3028))</f>
        <v>0.221715710419892</v>
      </c>
      <c r="I3028" s="0" t="n">
        <f aca="false">(G3028-Stats!$B$2)/H3028</f>
        <v>1.42713555515895</v>
      </c>
    </row>
    <row r="3029" customFormat="false" ht="15" hidden="false" customHeight="false" outlineLevel="0" collapsed="false">
      <c r="A3029" s="0" t="n">
        <v>0.469845434983675</v>
      </c>
      <c r="B3029" s="0" t="n">
        <v>0.330792991427656</v>
      </c>
      <c r="C3029" s="0" t="n">
        <v>0.754940200158329</v>
      </c>
      <c r="D3029" s="0" t="n">
        <f aca="false">A3029/SUM($A3029:$C3029)</f>
        <v>0.302039014266847</v>
      </c>
      <c r="E3029" s="0" t="n">
        <f aca="false">B3029/SUM($A3029:$C3029)</f>
        <v>0.212649483463987</v>
      </c>
      <c r="F3029" s="0" t="n">
        <f aca="false">C3029/SUM($A3029:$C3029)</f>
        <v>0.485311502269167</v>
      </c>
      <c r="G3029" s="0" t="n">
        <f aca="false">SUMPRODUCT(D3029:F3029,Stats!$B$6:$D$6)</f>
        <v>0.355337002493549</v>
      </c>
      <c r="H3029" s="0" t="n">
        <f aca="false">SQRT(SUMPRODUCT(MMULT(D3029:F3029,Stats!$B$12:$D$14),D3029:F3029))</f>
        <v>0.227816133283993</v>
      </c>
      <c r="I3029" s="0" t="n">
        <f aca="false">(G3029-Stats!$B$2)/H3029</f>
        <v>1.37539426192853</v>
      </c>
    </row>
    <row r="3030" customFormat="false" ht="15" hidden="false" customHeight="false" outlineLevel="0" collapsed="false">
      <c r="A3030" s="0" t="n">
        <v>0.329353524249955</v>
      </c>
      <c r="B3030" s="0" t="n">
        <v>0.138232086785337</v>
      </c>
      <c r="C3030" s="0" t="n">
        <v>0.399040452048304</v>
      </c>
      <c r="D3030" s="0" t="n">
        <f aca="false">A3030/SUM($A3030:$C3030)</f>
        <v>0.380041102246639</v>
      </c>
      <c r="E3030" s="0" t="n">
        <f aca="false">B3030/SUM($A3030:$C3030)</f>
        <v>0.159506034579072</v>
      </c>
      <c r="F3030" s="0" t="n">
        <f aca="false">C3030/SUM($A3030:$C3030)</f>
        <v>0.460452863174289</v>
      </c>
      <c r="G3030" s="0" t="n">
        <f aca="false">SUMPRODUCT(D3030:F3030,Stats!$B$6:$D$6)</f>
        <v>0.352964664638837</v>
      </c>
      <c r="H3030" s="0" t="n">
        <f aca="false">SQRT(SUMPRODUCT(MMULT(D3030:F3030,Stats!$B$12:$D$14),D3030:F3030))</f>
        <v>0.225168221399745</v>
      </c>
      <c r="I3030" s="0" t="n">
        <f aca="false">(G3030-Stats!$B$2)/H3030</f>
        <v>1.38103264619556</v>
      </c>
    </row>
    <row r="3031" customFormat="false" ht="15" hidden="false" customHeight="false" outlineLevel="0" collapsed="false">
      <c r="A3031" s="0" t="n">
        <v>0.97991443278238</v>
      </c>
      <c r="B3031" s="0" t="n">
        <v>0.225881412933576</v>
      </c>
      <c r="C3031" s="0" t="n">
        <v>0.612158658943229</v>
      </c>
      <c r="D3031" s="0" t="n">
        <f aca="false">A3031/SUM($A3031:$C3031)</f>
        <v>0.539020327665508</v>
      </c>
      <c r="E3031" s="0" t="n">
        <f aca="false">B3031/SUM($A3031:$C3031)</f>
        <v>0.124250311190225</v>
      </c>
      <c r="F3031" s="0" t="n">
        <f aca="false">C3031/SUM($A3031:$C3031)</f>
        <v>0.336729361144267</v>
      </c>
      <c r="G3031" s="0" t="n">
        <f aca="false">SUMPRODUCT(D3031:F3031,Stats!$B$6:$D$6)</f>
        <v>0.35434772392755</v>
      </c>
      <c r="H3031" s="0" t="n">
        <f aca="false">SQRT(SUMPRODUCT(MMULT(D3031:F3031,Stats!$B$12:$D$14),D3031:F3031))</f>
        <v>0.221676729250737</v>
      </c>
      <c r="I3031" s="0" t="n">
        <f aca="false">(G3031-Stats!$B$2)/H3031</f>
        <v>1.40902351357889</v>
      </c>
    </row>
    <row r="3032" customFormat="false" ht="15" hidden="false" customHeight="false" outlineLevel="0" collapsed="false">
      <c r="A3032" s="0" t="n">
        <v>0.432973049839706</v>
      </c>
      <c r="B3032" s="0" t="n">
        <v>0.0710245676493266</v>
      </c>
      <c r="C3032" s="0" t="n">
        <v>0.48787660599806</v>
      </c>
      <c r="D3032" s="0" t="n">
        <f aca="false">A3032/SUM($A3032:$C3032)</f>
        <v>0.436520114735435</v>
      </c>
      <c r="E3032" s="0" t="n">
        <f aca="false">B3032/SUM($A3032:$C3032)</f>
        <v>0.0716064254594987</v>
      </c>
      <c r="F3032" s="0" t="n">
        <f aca="false">C3032/SUM($A3032:$C3032)</f>
        <v>0.491873459805066</v>
      </c>
      <c r="G3032" s="0" t="n">
        <f aca="false">SUMPRODUCT(D3032:F3032,Stats!$B$6:$D$6)</f>
        <v>0.347040624029238</v>
      </c>
      <c r="H3032" s="0" t="n">
        <f aca="false">SQRT(SUMPRODUCT(MMULT(D3032:F3032,Stats!$B$12:$D$14),D3032:F3032))</f>
        <v>0.224329273409774</v>
      </c>
      <c r="I3032" s="0" t="n">
        <f aca="false">(G3032-Stats!$B$2)/H3032</f>
        <v>1.35978964935188</v>
      </c>
    </row>
    <row r="3033" customFormat="false" ht="15" hidden="false" customHeight="false" outlineLevel="0" collapsed="false">
      <c r="A3033" s="0" t="n">
        <v>0.702164328648313</v>
      </c>
      <c r="B3033" s="0" t="n">
        <v>0.513219975827819</v>
      </c>
      <c r="C3033" s="0" t="n">
        <v>0.872106063746581</v>
      </c>
      <c r="D3033" s="0" t="n">
        <f aca="false">A3033/SUM($A3033:$C3033)</f>
        <v>0.336367697469251</v>
      </c>
      <c r="E3033" s="0" t="n">
        <f aca="false">B3033/SUM($A3033:$C3033)</f>
        <v>0.245855015017278</v>
      </c>
      <c r="F3033" s="0" t="n">
        <f aca="false">C3033/SUM($A3033:$C3033)</f>
        <v>0.417777287513471</v>
      </c>
      <c r="G3033" s="0" t="n">
        <f aca="false">SUMPRODUCT(D3033:F3033,Stats!$B$6:$D$6)</f>
        <v>0.359109835798911</v>
      </c>
      <c r="H3033" s="0" t="n">
        <f aca="false">SQRT(SUMPRODUCT(MMULT(D3033:F3033,Stats!$B$12:$D$14),D3033:F3033))</f>
        <v>0.226127723707801</v>
      </c>
      <c r="I3033" s="0" t="n">
        <f aca="false">(G3033-Stats!$B$2)/H3033</f>
        <v>1.40234833040054</v>
      </c>
    </row>
    <row r="3034" customFormat="false" ht="15" hidden="false" customHeight="false" outlineLevel="0" collapsed="false">
      <c r="A3034" s="0" t="n">
        <v>0.288937016657583</v>
      </c>
      <c r="B3034" s="0" t="n">
        <v>0.0862491713039649</v>
      </c>
      <c r="C3034" s="0" t="n">
        <v>0.936565611658006</v>
      </c>
      <c r="D3034" s="0" t="n">
        <f aca="false">A3034/SUM($A3034:$C3034)</f>
        <v>0.220268054323526</v>
      </c>
      <c r="E3034" s="0" t="n">
        <f aca="false">B3034/SUM($A3034:$C3034)</f>
        <v>0.06575113625076</v>
      </c>
      <c r="F3034" s="0" t="n">
        <f aca="false">C3034/SUM($A3034:$C3034)</f>
        <v>0.713980809425714</v>
      </c>
      <c r="G3034" s="0" t="n">
        <f aca="false">SUMPRODUCT(D3034:F3034,Stats!$B$6:$D$6)</f>
        <v>0.340579193527709</v>
      </c>
      <c r="H3034" s="0" t="n">
        <f aca="false">SQRT(SUMPRODUCT(MMULT(D3034:F3034,Stats!$B$12:$D$14),D3034:F3034))</f>
        <v>0.236283807109816</v>
      </c>
      <c r="I3034" s="0" t="n">
        <f aca="false">(G3034-Stats!$B$2)/H3034</f>
        <v>1.26364644780309</v>
      </c>
    </row>
    <row r="3035" customFormat="false" ht="15" hidden="false" customHeight="false" outlineLevel="0" collapsed="false">
      <c r="A3035" s="0" t="n">
        <v>0.378196349528219</v>
      </c>
      <c r="B3035" s="0" t="n">
        <v>0.576405551453633</v>
      </c>
      <c r="C3035" s="0" t="n">
        <v>0.792003126130196</v>
      </c>
      <c r="D3035" s="0" t="n">
        <f aca="false">A3035/SUM($A3035:$C3035)</f>
        <v>0.21653226897758</v>
      </c>
      <c r="E3035" s="0" t="n">
        <f aca="false">B3035/SUM($A3035:$C3035)</f>
        <v>0.330014824477346</v>
      </c>
      <c r="F3035" s="0" t="n">
        <f aca="false">C3035/SUM($A3035:$C3035)</f>
        <v>0.453452906545074</v>
      </c>
      <c r="G3035" s="0" t="n">
        <f aca="false">SUMPRODUCT(D3035:F3035,Stats!$B$6:$D$6)</f>
        <v>0.362968540836101</v>
      </c>
      <c r="H3035" s="0" t="n">
        <f aca="false">SQRT(SUMPRODUCT(MMULT(D3035:F3035,Stats!$B$12:$D$14),D3035:F3035))</f>
        <v>0.230960056488821</v>
      </c>
      <c r="I3035" s="0" t="n">
        <f aca="false">(G3035-Stats!$B$2)/H3035</f>
        <v>1.38971450611694</v>
      </c>
    </row>
    <row r="3036" customFormat="false" ht="15" hidden="false" customHeight="false" outlineLevel="0" collapsed="false">
      <c r="A3036" s="0" t="n">
        <v>0.324313663875581</v>
      </c>
      <c r="B3036" s="0" t="n">
        <v>0.716164538177611</v>
      </c>
      <c r="C3036" s="0" t="n">
        <v>0.135418849817828</v>
      </c>
      <c r="D3036" s="0" t="n">
        <f aca="false">A3036/SUM($A3036:$C3036)</f>
        <v>0.275801068945238</v>
      </c>
      <c r="E3036" s="0" t="n">
        <f aca="false">B3036/SUM($A3036:$C3036)</f>
        <v>0.609036766473809</v>
      </c>
      <c r="F3036" s="0" t="n">
        <f aca="false">C3036/SUM($A3036:$C3036)</f>
        <v>0.115162164580953</v>
      </c>
      <c r="G3036" s="0" t="n">
        <f aca="false">SUMPRODUCT(D3036:F3036,Stats!$B$6:$D$6)</f>
        <v>0.388351339343745</v>
      </c>
      <c r="H3036" s="0" t="n">
        <f aca="false">SQRT(SUMPRODUCT(MMULT(D3036:F3036,Stats!$B$12:$D$14),D3036:F3036))</f>
        <v>0.233012656939596</v>
      </c>
      <c r="I3036" s="0" t="n">
        <f aca="false">(G3036-Stats!$B$2)/H3036</f>
        <v>1.48640569097296</v>
      </c>
    </row>
    <row r="3037" customFormat="false" ht="15" hidden="false" customHeight="false" outlineLevel="0" collapsed="false">
      <c r="A3037" s="0" t="n">
        <v>0.291293747205505</v>
      </c>
      <c r="B3037" s="0" t="n">
        <v>0.14471063613652</v>
      </c>
      <c r="C3037" s="0" t="n">
        <v>0.811230558401358</v>
      </c>
      <c r="D3037" s="0" t="n">
        <f aca="false">A3037/SUM($A3037:$C3037)</f>
        <v>0.2335516248433</v>
      </c>
      <c r="E3037" s="0" t="n">
        <f aca="false">B3037/SUM($A3037:$C3037)</f>
        <v>0.116025161974891</v>
      </c>
      <c r="F3037" s="0" t="n">
        <f aca="false">C3037/SUM($A3037:$C3037)</f>
        <v>0.650423213181809</v>
      </c>
      <c r="G3037" s="0" t="n">
        <f aca="false">SUMPRODUCT(D3037:F3037,Stats!$B$6:$D$6)</f>
        <v>0.345224472170366</v>
      </c>
      <c r="H3037" s="0" t="n">
        <f aca="false">SQRT(SUMPRODUCT(MMULT(D3037:F3037,Stats!$B$12:$D$14),D3037:F3037))</f>
        <v>0.233700508003071</v>
      </c>
      <c r="I3037" s="0" t="n">
        <f aca="false">(G3037-Stats!$B$2)/H3037</f>
        <v>1.29749171176975</v>
      </c>
    </row>
    <row r="3038" customFormat="false" ht="15" hidden="false" customHeight="false" outlineLevel="0" collapsed="false">
      <c r="A3038" s="0" t="n">
        <v>0.222649235226785</v>
      </c>
      <c r="B3038" s="0" t="n">
        <v>0.71740355540521</v>
      </c>
      <c r="C3038" s="0" t="n">
        <v>0.943298397245653</v>
      </c>
      <c r="D3038" s="0" t="n">
        <f aca="false">A3038/SUM($A3038:$C3038)</f>
        <v>0.118219712106742</v>
      </c>
      <c r="E3038" s="0" t="n">
        <f aca="false">B3038/SUM($A3038:$C3038)</f>
        <v>0.380918630589366</v>
      </c>
      <c r="F3038" s="0" t="n">
        <f aca="false">C3038/SUM($A3038:$C3038)</f>
        <v>0.500861657303892</v>
      </c>
      <c r="G3038" s="0" t="n">
        <f aca="false">SUMPRODUCT(D3038:F3038,Stats!$B$6:$D$6)</f>
        <v>0.36459020188847</v>
      </c>
      <c r="H3038" s="0" t="n">
        <f aca="false">SQRT(SUMPRODUCT(MMULT(D3038:F3038,Stats!$B$12:$D$14),D3038:F3038))</f>
        <v>0.236205736389107</v>
      </c>
      <c r="I3038" s="0" t="n">
        <f aca="false">(G3038-Stats!$B$2)/H3038</f>
        <v>1.3657170516683</v>
      </c>
    </row>
    <row r="3039" customFormat="false" ht="15" hidden="false" customHeight="false" outlineLevel="0" collapsed="false">
      <c r="A3039" s="0" t="n">
        <v>0.527772209068877</v>
      </c>
      <c r="B3039" s="0" t="n">
        <v>0.540029192260688</v>
      </c>
      <c r="C3039" s="0" t="n">
        <v>0.461033568097812</v>
      </c>
      <c r="D3039" s="0" t="n">
        <f aca="false">A3039/SUM($A3039:$C3039)</f>
        <v>0.345212020671239</v>
      </c>
      <c r="E3039" s="0" t="n">
        <f aca="false">B3039/SUM($A3039:$C3039)</f>
        <v>0.353229225560529</v>
      </c>
      <c r="F3039" s="0" t="n">
        <f aca="false">C3039/SUM($A3039:$C3039)</f>
        <v>0.301558753768232</v>
      </c>
      <c r="G3039" s="0" t="n">
        <f aca="false">SUMPRODUCT(D3039:F3039,Stats!$B$6:$D$6)</f>
        <v>0.368492690269875</v>
      </c>
      <c r="H3039" s="0" t="n">
        <f aca="false">SQRT(SUMPRODUCT(MMULT(D3039:F3039,Stats!$B$12:$D$14),D3039:F3039))</f>
        <v>0.226155505635518</v>
      </c>
      <c r="I3039" s="0" t="n">
        <f aca="false">(G3039-Stats!$B$2)/H3039</f>
        <v>1.4436645676717</v>
      </c>
    </row>
    <row r="3040" customFormat="false" ht="15" hidden="false" customHeight="false" outlineLevel="0" collapsed="false">
      <c r="A3040" s="0" t="n">
        <v>0.325890143393643</v>
      </c>
      <c r="B3040" s="0" t="n">
        <v>0.475655030924917</v>
      </c>
      <c r="C3040" s="0" t="n">
        <v>0.602807532266759</v>
      </c>
      <c r="D3040" s="0" t="n">
        <f aca="false">A3040/SUM($A3040:$C3040)</f>
        <v>0.232057190380644</v>
      </c>
      <c r="E3040" s="0" t="n">
        <f aca="false">B3040/SUM($A3040:$C3040)</f>
        <v>0.338700547728833</v>
      </c>
      <c r="F3040" s="0" t="n">
        <f aca="false">C3040/SUM($A3040:$C3040)</f>
        <v>0.429242261890522</v>
      </c>
      <c r="G3040" s="0" t="n">
        <f aca="false">SUMPRODUCT(D3040:F3040,Stats!$B$6:$D$6)</f>
        <v>0.364135905324726</v>
      </c>
      <c r="H3040" s="0" t="n">
        <f aca="false">SQRT(SUMPRODUCT(MMULT(D3040:F3040,Stats!$B$12:$D$14),D3040:F3040))</f>
        <v>0.230163634289138</v>
      </c>
      <c r="I3040" s="0" t="n">
        <f aca="false">(G3040-Stats!$B$2)/H3040</f>
        <v>1.39959514594755</v>
      </c>
    </row>
    <row r="3041" customFormat="false" ht="15" hidden="false" customHeight="false" outlineLevel="0" collapsed="false">
      <c r="A3041" s="0" t="n">
        <v>0.985991572170659</v>
      </c>
      <c r="B3041" s="0" t="n">
        <v>0.937764559318224</v>
      </c>
      <c r="C3041" s="0" t="n">
        <v>0.862152958293122</v>
      </c>
      <c r="D3041" s="0" t="n">
        <f aca="false">A3041/SUM($A3041:$C3041)</f>
        <v>0.353920943000984</v>
      </c>
      <c r="E3041" s="0" t="n">
        <f aca="false">B3041/SUM($A3041:$C3041)</f>
        <v>0.336609892532998</v>
      </c>
      <c r="F3041" s="0" t="n">
        <f aca="false">C3041/SUM($A3041:$C3041)</f>
        <v>0.309469164466018</v>
      </c>
      <c r="G3041" s="0" t="n">
        <f aca="false">SUMPRODUCT(D3041:F3041,Stats!$B$6:$D$6)</f>
        <v>0.367318308824965</v>
      </c>
      <c r="H3041" s="0" t="n">
        <f aca="false">SQRT(SUMPRODUCT(MMULT(D3041:F3041,Stats!$B$12:$D$14),D3041:F3041))</f>
        <v>0.225789724954972</v>
      </c>
      <c r="I3041" s="0" t="n">
        <f aca="false">(G3041-Stats!$B$2)/H3041</f>
        <v>1.44080209535594</v>
      </c>
    </row>
    <row r="3042" customFormat="false" ht="15" hidden="false" customHeight="false" outlineLevel="0" collapsed="false">
      <c r="A3042" s="0" t="n">
        <v>0.889130535704858</v>
      </c>
      <c r="B3042" s="0" t="n">
        <v>0.467849183292043</v>
      </c>
      <c r="C3042" s="0" t="n">
        <v>0.657444327177465</v>
      </c>
      <c r="D3042" s="0" t="n">
        <f aca="false">A3042/SUM($A3042:$C3042)</f>
        <v>0.441382010601702</v>
      </c>
      <c r="E3042" s="0" t="n">
        <f aca="false">B3042/SUM($A3042:$C3042)</f>
        <v>0.232249602153303</v>
      </c>
      <c r="F3042" s="0" t="n">
        <f aca="false">C3042/SUM($A3042:$C3042)</f>
        <v>0.326368387244995</v>
      </c>
      <c r="G3042" s="0" t="n">
        <f aca="false">SUMPRODUCT(D3042:F3042,Stats!$B$6:$D$6)</f>
        <v>0.360847563219051</v>
      </c>
      <c r="H3042" s="0" t="n">
        <f aca="false">SQRT(SUMPRODUCT(MMULT(D3042:F3042,Stats!$B$12:$D$14),D3042:F3042))</f>
        <v>0.223265293467942</v>
      </c>
      <c r="I3042" s="0" t="n">
        <f aca="false">(G3042-Stats!$B$2)/H3042</f>
        <v>1.42811073887233</v>
      </c>
    </row>
    <row r="3043" customFormat="false" ht="15" hidden="false" customHeight="false" outlineLevel="0" collapsed="false">
      <c r="A3043" s="0" t="n">
        <v>0.895066722936214</v>
      </c>
      <c r="B3043" s="0" t="n">
        <v>0.392950764991353</v>
      </c>
      <c r="C3043" s="0" t="n">
        <v>0.961762478345469</v>
      </c>
      <c r="D3043" s="0" t="n">
        <f aca="false">A3043/SUM($A3043:$C3043)</f>
        <v>0.397846338910633</v>
      </c>
      <c r="E3043" s="0" t="n">
        <f aca="false">B3043/SUM($A3043:$C3043)</f>
        <v>0.174661865107774</v>
      </c>
      <c r="F3043" s="0" t="n">
        <f aca="false">C3043/SUM($A3043:$C3043)</f>
        <v>0.427491795981593</v>
      </c>
      <c r="G3043" s="0" t="n">
        <f aca="false">SUMPRODUCT(D3043:F3043,Stats!$B$6:$D$6)</f>
        <v>0.354745600261997</v>
      </c>
      <c r="H3043" s="0" t="n">
        <f aca="false">SQRT(SUMPRODUCT(MMULT(D3043:F3043,Stats!$B$12:$D$14),D3043:F3043))</f>
        <v>0.224422910474744</v>
      </c>
      <c r="I3043" s="0" t="n">
        <f aca="false">(G3043-Stats!$B$2)/H3043</f>
        <v>1.39355469368263</v>
      </c>
    </row>
    <row r="3044" customFormat="false" ht="15" hidden="false" customHeight="false" outlineLevel="0" collapsed="false">
      <c r="A3044" s="0" t="n">
        <v>0.415786062069183</v>
      </c>
      <c r="B3044" s="0" t="n">
        <v>0.601082665393216</v>
      </c>
      <c r="C3044" s="0" t="n">
        <v>0.709804713272372</v>
      </c>
      <c r="D3044" s="0" t="n">
        <f aca="false">A3044/SUM($A3044:$C3044)</f>
        <v>0.240801793935192</v>
      </c>
      <c r="E3044" s="0" t="n">
        <f aca="false">B3044/SUM($A3044:$C3044)</f>
        <v>0.348116008049229</v>
      </c>
      <c r="F3044" s="0" t="n">
        <f aca="false">C3044/SUM($A3044:$C3044)</f>
        <v>0.411082198015579</v>
      </c>
      <c r="G3044" s="0" t="n">
        <f aca="false">SUMPRODUCT(D3044:F3044,Stats!$B$6:$D$6)</f>
        <v>0.365178415501994</v>
      </c>
      <c r="H3044" s="0" t="n">
        <f aca="false">SQRT(SUMPRODUCT(MMULT(D3044:F3044,Stats!$B$12:$D$14),D3044:F3044))</f>
        <v>0.229743798838584</v>
      </c>
      <c r="I3044" s="0" t="n">
        <f aca="false">(G3044-Stats!$B$2)/H3044</f>
        <v>1.40669048364198</v>
      </c>
    </row>
    <row r="3045" customFormat="false" ht="15" hidden="false" customHeight="false" outlineLevel="0" collapsed="false">
      <c r="A3045" s="0" t="n">
        <v>0.950592013075938</v>
      </c>
      <c r="B3045" s="0" t="n">
        <v>0.244616274052266</v>
      </c>
      <c r="C3045" s="0" t="n">
        <v>0.746130978238642</v>
      </c>
      <c r="D3045" s="0" t="n">
        <f aca="false">A3045/SUM($A3045:$C3045)</f>
        <v>0.489657851172298</v>
      </c>
      <c r="E3045" s="0" t="n">
        <f aca="false">B3045/SUM($A3045:$C3045)</f>
        <v>0.126003877022516</v>
      </c>
      <c r="F3045" s="0" t="n">
        <f aca="false">C3045/SUM($A3045:$C3045)</f>
        <v>0.384338271805186</v>
      </c>
      <c r="G3045" s="0" t="n">
        <f aca="false">SUMPRODUCT(D3045:F3045,Stats!$B$6:$D$6)</f>
        <v>0.353135824435819</v>
      </c>
      <c r="H3045" s="0" t="n">
        <f aca="false">SQRT(SUMPRODUCT(MMULT(D3045:F3045,Stats!$B$12:$D$14),D3045:F3045))</f>
        <v>0.222364949318379</v>
      </c>
      <c r="I3045" s="0" t="n">
        <f aca="false">(G3045-Stats!$B$2)/H3045</f>
        <v>1.39921253502205</v>
      </c>
    </row>
    <row r="3046" customFormat="false" ht="15" hidden="false" customHeight="false" outlineLevel="0" collapsed="false">
      <c r="A3046" s="0" t="n">
        <v>0.520815586144082</v>
      </c>
      <c r="B3046" s="0" t="n">
        <v>0.268557140620641</v>
      </c>
      <c r="C3046" s="0" t="n">
        <v>0.776606839796391</v>
      </c>
      <c r="D3046" s="0" t="n">
        <f aca="false">A3046/SUM($A3046:$C3046)</f>
        <v>0.332581342225168</v>
      </c>
      <c r="E3046" s="0" t="n">
        <f aca="false">B3046/SUM($A3046:$C3046)</f>
        <v>0.171494664652868</v>
      </c>
      <c r="F3046" s="0" t="n">
        <f aca="false">C3046/SUM($A3046:$C3046)</f>
        <v>0.495923993121964</v>
      </c>
      <c r="G3046" s="0" t="n">
        <f aca="false">SUMPRODUCT(D3046:F3046,Stats!$B$6:$D$6)</f>
        <v>0.35267637213131</v>
      </c>
      <c r="H3046" s="0" t="n">
        <f aca="false">SQRT(SUMPRODUCT(MMULT(D3046:F3046,Stats!$B$12:$D$14),D3046:F3046))</f>
        <v>0.226951336522196</v>
      </c>
      <c r="I3046" s="0" t="n">
        <f aca="false">(G3046-Stats!$B$2)/H3046</f>
        <v>1.36891184203678</v>
      </c>
    </row>
    <row r="3047" customFormat="false" ht="15" hidden="false" customHeight="false" outlineLevel="0" collapsed="false">
      <c r="A3047" s="0" t="n">
        <v>0.552222280173847</v>
      </c>
      <c r="B3047" s="0" t="n">
        <v>0.660973820649676</v>
      </c>
      <c r="C3047" s="0" t="n">
        <v>0.322901068577901</v>
      </c>
      <c r="D3047" s="0" t="n">
        <f aca="false">A3047/SUM($A3047:$C3047)</f>
        <v>0.359496971398647</v>
      </c>
      <c r="E3047" s="0" t="n">
        <f aca="false">B3047/SUM($A3047:$C3047)</f>
        <v>0.430294276830964</v>
      </c>
      <c r="F3047" s="0" t="n">
        <f aca="false">C3047/SUM($A3047:$C3047)</f>
        <v>0.210208751770389</v>
      </c>
      <c r="G3047" s="0" t="n">
        <f aca="false">SUMPRODUCT(D3047:F3047,Stats!$B$6:$D$6)</f>
        <v>0.375445854746664</v>
      </c>
      <c r="H3047" s="0" t="n">
        <f aca="false">SQRT(SUMPRODUCT(MMULT(D3047:F3047,Stats!$B$12:$D$14),D3047:F3047))</f>
        <v>0.227054212499382</v>
      </c>
      <c r="I3047" s="0" t="n">
        <f aca="false">(G3047-Stats!$B$2)/H3047</f>
        <v>1.46857374314327</v>
      </c>
    </row>
    <row r="3048" customFormat="false" ht="15" hidden="false" customHeight="false" outlineLevel="0" collapsed="false">
      <c r="A3048" s="0" t="n">
        <v>0.481273951827605</v>
      </c>
      <c r="B3048" s="0" t="n">
        <v>0.617354250988067</v>
      </c>
      <c r="C3048" s="0" t="n">
        <v>0.404910814269844</v>
      </c>
      <c r="D3048" s="0" t="n">
        <f aca="false">A3048/SUM($A3048:$C3048)</f>
        <v>0.320094088918633</v>
      </c>
      <c r="E3048" s="0" t="n">
        <f aca="false">B3048/SUM($A3048:$C3048)</f>
        <v>0.410600751941081</v>
      </c>
      <c r="F3048" s="0" t="n">
        <f aca="false">C3048/SUM($A3048:$C3048)</f>
        <v>0.269305159140286</v>
      </c>
      <c r="G3048" s="0" t="n">
        <f aca="false">SUMPRODUCT(D3048:F3048,Stats!$B$6:$D$6)</f>
        <v>0.372683154109779</v>
      </c>
      <c r="H3048" s="0" t="n">
        <f aca="false">SQRT(SUMPRODUCT(MMULT(D3048:F3048,Stats!$B$12:$D$14),D3048:F3048))</f>
        <v>0.227450888430131</v>
      </c>
      <c r="I3048" s="0" t="n">
        <f aca="false">(G3048-Stats!$B$2)/H3048</f>
        <v>1.45386617916579</v>
      </c>
    </row>
    <row r="3049" customFormat="false" ht="15" hidden="false" customHeight="false" outlineLevel="0" collapsed="false">
      <c r="A3049" s="0" t="n">
        <v>0.198372539847701</v>
      </c>
      <c r="B3049" s="0" t="n">
        <v>0.961640492315304</v>
      </c>
      <c r="C3049" s="0" t="n">
        <v>0.511467540042617</v>
      </c>
      <c r="D3049" s="0" t="n">
        <f aca="false">A3049/SUM($A3049:$C3049)</f>
        <v>0.118680733205254</v>
      </c>
      <c r="E3049" s="0" t="n">
        <f aca="false">B3049/SUM($A3049:$C3049)</f>
        <v>0.575322566296035</v>
      </c>
      <c r="F3049" s="0" t="n">
        <f aca="false">C3049/SUM($A3049:$C3049)</f>
        <v>0.305996700498711</v>
      </c>
      <c r="G3049" s="0" t="n">
        <f aca="false">SUMPRODUCT(D3049:F3049,Stats!$B$6:$D$6)</f>
        <v>0.381149278971841</v>
      </c>
      <c r="H3049" s="0" t="n">
        <f aca="false">SQRT(SUMPRODUCT(MMULT(D3049:F3049,Stats!$B$12:$D$14),D3049:F3049))</f>
        <v>0.236732454884507</v>
      </c>
      <c r="I3049" s="0" t="n">
        <f aca="false">(G3049-Stats!$B$2)/H3049</f>
        <v>1.43262688310861</v>
      </c>
    </row>
    <row r="3050" customFormat="false" ht="15" hidden="false" customHeight="false" outlineLevel="0" collapsed="false">
      <c r="A3050" s="0" t="n">
        <v>0.733920370287701</v>
      </c>
      <c r="B3050" s="0" t="n">
        <v>0.411047193556058</v>
      </c>
      <c r="C3050" s="0" t="n">
        <v>0.355131764025716</v>
      </c>
      <c r="D3050" s="0" t="n">
        <f aca="false">A3050/SUM($A3050:$C3050)</f>
        <v>0.489247849560772</v>
      </c>
      <c r="E3050" s="0" t="n">
        <f aca="false">B3050/SUM($A3050:$C3050)</f>
        <v>0.274013317598009</v>
      </c>
      <c r="F3050" s="0" t="n">
        <f aca="false">C3050/SUM($A3050:$C3050)</f>
        <v>0.236738832841219</v>
      </c>
      <c r="G3050" s="0" t="n">
        <f aca="false">SUMPRODUCT(D3050:F3050,Stats!$B$6:$D$6)</f>
        <v>0.365722093841365</v>
      </c>
      <c r="H3050" s="0" t="n">
        <f aca="false">SQRT(SUMPRODUCT(MMULT(D3050:F3050,Stats!$B$12:$D$14),D3050:F3050))</f>
        <v>0.223134467077736</v>
      </c>
      <c r="I3050" s="0" t="n">
        <f aca="false">(G3050-Stats!$B$2)/H3050</f>
        <v>1.45079376611317</v>
      </c>
    </row>
    <row r="3051" customFormat="false" ht="15" hidden="false" customHeight="false" outlineLevel="0" collapsed="false">
      <c r="A3051" s="0" t="n">
        <v>0.407164298467125</v>
      </c>
      <c r="B3051" s="0" t="n">
        <v>0.40919664378565</v>
      </c>
      <c r="C3051" s="0" t="n">
        <v>0.544180115941954</v>
      </c>
      <c r="D3051" s="0" t="n">
        <f aca="false">A3051/SUM($A3051:$C3051)</f>
        <v>0.29926645433794</v>
      </c>
      <c r="E3051" s="0" t="n">
        <f aca="false">B3051/SUM($A3051:$C3051)</f>
        <v>0.300760231615945</v>
      </c>
      <c r="F3051" s="0" t="n">
        <f aca="false">C3051/SUM($A3051:$C3051)</f>
        <v>0.399973314046115</v>
      </c>
      <c r="G3051" s="0" t="n">
        <f aca="false">SUMPRODUCT(D3051:F3051,Stats!$B$6:$D$6)</f>
        <v>0.362759948620161</v>
      </c>
      <c r="H3051" s="0" t="n">
        <f aca="false">SQRT(SUMPRODUCT(MMULT(D3051:F3051,Stats!$B$12:$D$14),D3051:F3051))</f>
        <v>0.227370644164351</v>
      </c>
      <c r="I3051" s="0" t="n">
        <f aca="false">(G3051-Stats!$B$2)/H3051</f>
        <v>1.41073598044744</v>
      </c>
    </row>
    <row r="3052" customFormat="false" ht="15" hidden="false" customHeight="false" outlineLevel="0" collapsed="false">
      <c r="A3052" s="0" t="n">
        <v>0.543469869981363</v>
      </c>
      <c r="B3052" s="0" t="n">
        <v>0.497153815882872</v>
      </c>
      <c r="C3052" s="0" t="n">
        <v>0.134785784917438</v>
      </c>
      <c r="D3052" s="0" t="n">
        <f aca="false">A3052/SUM($A3052:$C3052)</f>
        <v>0.462366420801377</v>
      </c>
      <c r="E3052" s="0" t="n">
        <f aca="false">B3052/SUM($A3052:$C3052)</f>
        <v>0.42296223421805</v>
      </c>
      <c r="F3052" s="0" t="n">
        <f aca="false">C3052/SUM($A3052:$C3052)</f>
        <v>0.114671344980573</v>
      </c>
      <c r="G3052" s="0" t="n">
        <f aca="false">SUMPRODUCT(D3052:F3052,Stats!$B$6:$D$6)</f>
        <v>0.377658385751005</v>
      </c>
      <c r="H3052" s="0" t="n">
        <f aca="false">SQRT(SUMPRODUCT(MMULT(D3052:F3052,Stats!$B$12:$D$14),D3052:F3052))</f>
        <v>0.226418005019971</v>
      </c>
      <c r="I3052" s="0" t="n">
        <f aca="false">(G3052-Stats!$B$2)/H3052</f>
        <v>1.48247214580571</v>
      </c>
    </row>
    <row r="3053" customFormat="false" ht="15" hidden="false" customHeight="false" outlineLevel="0" collapsed="false">
      <c r="A3053" s="0" t="n">
        <v>0.496075478500531</v>
      </c>
      <c r="B3053" s="0" t="n">
        <v>0.169103900420652</v>
      </c>
      <c r="C3053" s="0" t="n">
        <v>0.126135786295765</v>
      </c>
      <c r="D3053" s="0" t="n">
        <f aca="false">A3053/SUM($A3053:$C3053)</f>
        <v>0.626900001802097</v>
      </c>
      <c r="E3053" s="0" t="n">
        <f aca="false">B3053/SUM($A3053:$C3053)</f>
        <v>0.213699809954091</v>
      </c>
      <c r="F3053" s="0" t="n">
        <f aca="false">C3053/SUM($A3053:$C3053)</f>
        <v>0.159400188243813</v>
      </c>
      <c r="G3053" s="0" t="n">
        <f aca="false">SUMPRODUCT(D3053:F3053,Stats!$B$6:$D$6)</f>
        <v>0.364384316052546</v>
      </c>
      <c r="H3053" s="0" t="n">
        <f aca="false">SQRT(SUMPRODUCT(MMULT(D3053:F3053,Stats!$B$12:$D$14),D3053:F3053))</f>
        <v>0.222978075869786</v>
      </c>
      <c r="I3053" s="0" t="n">
        <f aca="false">(G3053-Stats!$B$2)/H3053</f>
        <v>1.4458117229463</v>
      </c>
    </row>
    <row r="3054" customFormat="false" ht="15" hidden="false" customHeight="false" outlineLevel="0" collapsed="false">
      <c r="A3054" s="0" t="n">
        <v>0.932645717341168</v>
      </c>
      <c r="B3054" s="0" t="n">
        <v>0.604950013147704</v>
      </c>
      <c r="C3054" s="0" t="n">
        <v>0.659490058124584</v>
      </c>
      <c r="D3054" s="0" t="n">
        <f aca="false">A3054/SUM($A3054:$C3054)</f>
        <v>0.424492171482182</v>
      </c>
      <c r="E3054" s="0" t="n">
        <f aca="false">B3054/SUM($A3054:$C3054)</f>
        <v>0.275342008165042</v>
      </c>
      <c r="F3054" s="0" t="n">
        <f aca="false">C3054/SUM($A3054:$C3054)</f>
        <v>0.300165820352776</v>
      </c>
      <c r="G3054" s="0" t="n">
        <f aca="false">SUMPRODUCT(D3054:F3054,Stats!$B$6:$D$6)</f>
        <v>0.364049570191572</v>
      </c>
      <c r="H3054" s="0" t="n">
        <f aca="false">SQRT(SUMPRODUCT(MMULT(D3054:F3054,Stats!$B$12:$D$14),D3054:F3054))</f>
        <v>0.223825371038944</v>
      </c>
      <c r="I3054" s="0" t="n">
        <f aca="false">(G3054-Stats!$B$2)/H3054</f>
        <v>1.43884300826441</v>
      </c>
    </row>
    <row r="3055" customFormat="false" ht="15" hidden="false" customHeight="false" outlineLevel="0" collapsed="false">
      <c r="A3055" s="0" t="n">
        <v>0.401793670333364</v>
      </c>
      <c r="B3055" s="0" t="n">
        <v>0.908980891914864</v>
      </c>
      <c r="C3055" s="0" t="n">
        <v>0.637930489579666</v>
      </c>
      <c r="D3055" s="0" t="n">
        <f aca="false">A3055/SUM($A3055:$C3055)</f>
        <v>0.206184958547975</v>
      </c>
      <c r="E3055" s="0" t="n">
        <f aca="false">B3055/SUM($A3055:$C3055)</f>
        <v>0.466453807908096</v>
      </c>
      <c r="F3055" s="0" t="n">
        <f aca="false">C3055/SUM($A3055:$C3055)</f>
        <v>0.327361233543929</v>
      </c>
      <c r="G3055" s="0" t="n">
        <f aca="false">SUMPRODUCT(D3055:F3055,Stats!$B$6:$D$6)</f>
        <v>0.374295992738785</v>
      </c>
      <c r="H3055" s="0" t="n">
        <f aca="false">SQRT(SUMPRODUCT(MMULT(D3055:F3055,Stats!$B$12:$D$14),D3055:F3055))</f>
        <v>0.231725276986278</v>
      </c>
      <c r="I3055" s="0" t="n">
        <f aca="false">(G3055-Stats!$B$2)/H3055</f>
        <v>1.43400839589227</v>
      </c>
    </row>
    <row r="3056" customFormat="false" ht="15" hidden="false" customHeight="false" outlineLevel="0" collapsed="false">
      <c r="A3056" s="0" t="n">
        <v>0.769169869523588</v>
      </c>
      <c r="B3056" s="0" t="n">
        <v>0.368562469027714</v>
      </c>
      <c r="C3056" s="0" t="n">
        <v>0.960011880819126</v>
      </c>
      <c r="D3056" s="0" t="n">
        <f aca="false">A3056/SUM($A3056:$C3056)</f>
        <v>0.366665231357153</v>
      </c>
      <c r="E3056" s="0" t="n">
        <f aca="false">B3056/SUM($A3056:$C3056)</f>
        <v>0.175694665548084</v>
      </c>
      <c r="F3056" s="0" t="n">
        <f aca="false">C3056/SUM($A3056:$C3056)</f>
        <v>0.457640103094763</v>
      </c>
      <c r="G3056" s="0" t="n">
        <f aca="false">SUMPRODUCT(D3056:F3056,Stats!$B$6:$D$6)</f>
        <v>0.353973698289608</v>
      </c>
      <c r="H3056" s="0" t="n">
        <f aca="false">SQRT(SUMPRODUCT(MMULT(D3056:F3056,Stats!$B$12:$D$14),D3056:F3056))</f>
        <v>0.225499482169896</v>
      </c>
      <c r="I3056" s="0" t="n">
        <f aca="false">(G3056-Stats!$B$2)/H3056</f>
        <v>1.38347855741221</v>
      </c>
    </row>
    <row r="3057" customFormat="false" ht="15" hidden="false" customHeight="false" outlineLevel="0" collapsed="false">
      <c r="A3057" s="0" t="n">
        <v>0.820461290158315</v>
      </c>
      <c r="B3057" s="0" t="n">
        <v>0.853948463014544</v>
      </c>
      <c r="C3057" s="0" t="n">
        <v>0.172194267425754</v>
      </c>
      <c r="D3057" s="0" t="n">
        <f aca="false">A3057/SUM($A3057:$C3057)</f>
        <v>0.444308190064672</v>
      </c>
      <c r="E3057" s="0" t="n">
        <f aca="false">B3057/SUM($A3057:$C3057)</f>
        <v>0.462442653372822</v>
      </c>
      <c r="F3057" s="0" t="n">
        <f aca="false">C3057/SUM($A3057:$C3057)</f>
        <v>0.0932491565625067</v>
      </c>
      <c r="G3057" s="0" t="n">
        <f aca="false">SUMPRODUCT(D3057:F3057,Stats!$B$6:$D$6)</f>
        <v>0.380520746576885</v>
      </c>
      <c r="H3057" s="0" t="n">
        <f aca="false">SQRT(SUMPRODUCT(MMULT(D3057:F3057,Stats!$B$12:$D$14),D3057:F3057))</f>
        <v>0.227555470462069</v>
      </c>
      <c r="I3057" s="0" t="n">
        <f aca="false">(G3057-Stats!$B$2)/H3057</f>
        <v>1.48764055590267</v>
      </c>
    </row>
    <row r="3058" customFormat="false" ht="15" hidden="false" customHeight="false" outlineLevel="0" collapsed="false">
      <c r="A3058" s="0" t="n">
        <v>0.27096320787122</v>
      </c>
      <c r="B3058" s="0" t="n">
        <v>0.285626599683577</v>
      </c>
      <c r="C3058" s="0" t="n">
        <v>0.270909223246871</v>
      </c>
      <c r="D3058" s="0" t="n">
        <f aca="false">A3058/SUM($A3058:$C3058)</f>
        <v>0.327448368862396</v>
      </c>
      <c r="E3058" s="0" t="n">
        <f aca="false">B3058/SUM($A3058:$C3058)</f>
        <v>0.345168500568353</v>
      </c>
      <c r="F3058" s="0" t="n">
        <f aca="false">C3058/SUM($A3058:$C3058)</f>
        <v>0.327383130569251</v>
      </c>
      <c r="G3058" s="0" t="n">
        <f aca="false">SUMPRODUCT(D3058:F3058,Stats!$B$6:$D$6)</f>
        <v>0.367316789328907</v>
      </c>
      <c r="H3058" s="0" t="n">
        <f aca="false">SQRT(SUMPRODUCT(MMULT(D3058:F3058,Stats!$B$12:$D$14),D3058:F3058))</f>
        <v>0.226558566878639</v>
      </c>
      <c r="I3058" s="0" t="n">
        <f aca="false">(G3058-Stats!$B$2)/H3058</f>
        <v>1.43590592847972</v>
      </c>
    </row>
    <row r="3059" customFormat="false" ht="15" hidden="false" customHeight="false" outlineLevel="0" collapsed="false">
      <c r="A3059" s="0" t="n">
        <v>0.855408162104288</v>
      </c>
      <c r="B3059" s="0" t="n">
        <v>0.0318847952085921</v>
      </c>
      <c r="C3059" s="0" t="n">
        <v>0.0760999889807743</v>
      </c>
      <c r="D3059" s="0" t="n">
        <f aca="false">A3059/SUM($A3059:$C3059)</f>
        <v>0.887912004541031</v>
      </c>
      <c r="E3059" s="0" t="n">
        <f aca="false">B3059/SUM($A3059:$C3059)</f>
        <v>0.0330963552631962</v>
      </c>
      <c r="F3059" s="0" t="n">
        <f aca="false">C3059/SUM($A3059:$C3059)</f>
        <v>0.0789916401957733</v>
      </c>
      <c r="G3059" s="0" t="n">
        <f aca="false">SUMPRODUCT(D3059:F3059,Stats!$B$6:$D$6)</f>
        <v>0.356209861805781</v>
      </c>
      <c r="H3059" s="0" t="n">
        <f aca="false">SQRT(SUMPRODUCT(MMULT(D3059:F3059,Stats!$B$12:$D$14),D3059:F3059))</f>
        <v>0.227787909833316</v>
      </c>
      <c r="I3059" s="0" t="n">
        <f aca="false">(G3059-Stats!$B$2)/H3059</f>
        <v>1.37939657129171</v>
      </c>
    </row>
    <row r="3060" customFormat="false" ht="15" hidden="false" customHeight="false" outlineLevel="0" collapsed="false">
      <c r="A3060" s="0" t="n">
        <v>0.273914870629904</v>
      </c>
      <c r="B3060" s="0" t="n">
        <v>0.199872974649444</v>
      </c>
      <c r="C3060" s="0" t="n">
        <v>0.231859613882848</v>
      </c>
      <c r="D3060" s="0" t="n">
        <f aca="false">A3060/SUM($A3060:$C3060)</f>
        <v>0.388175238319597</v>
      </c>
      <c r="E3060" s="0" t="n">
        <f aca="false">B3060/SUM($A3060:$C3060)</f>
        <v>0.283247635989152</v>
      </c>
      <c r="F3060" s="0" t="n">
        <f aca="false">C3060/SUM($A3060:$C3060)</f>
        <v>0.328577125691251</v>
      </c>
      <c r="G3060" s="0" t="n">
        <f aca="false">SUMPRODUCT(D3060:F3060,Stats!$B$6:$D$6)</f>
        <v>0.363721018967372</v>
      </c>
      <c r="H3060" s="0" t="n">
        <f aca="false">SQRT(SUMPRODUCT(MMULT(D3060:F3060,Stats!$B$12:$D$14),D3060:F3060))</f>
        <v>0.224601451269798</v>
      </c>
      <c r="I3060" s="0" t="n">
        <f aca="false">(G3060-Stats!$B$2)/H3060</f>
        <v>1.43240846017914</v>
      </c>
    </row>
    <row r="3061" customFormat="false" ht="15" hidden="false" customHeight="false" outlineLevel="0" collapsed="false">
      <c r="A3061" s="0" t="n">
        <v>0.7979431892533</v>
      </c>
      <c r="B3061" s="0" t="n">
        <v>0.563126593892047</v>
      </c>
      <c r="C3061" s="0" t="n">
        <v>0.00577066129296799</v>
      </c>
      <c r="D3061" s="0" t="n">
        <f aca="false">A3061/SUM($A3061:$C3061)</f>
        <v>0.583786639106369</v>
      </c>
      <c r="E3061" s="0" t="n">
        <f aca="false">B3061/SUM($A3061:$C3061)</f>
        <v>0.411991462634438</v>
      </c>
      <c r="F3061" s="0" t="n">
        <f aca="false">C3061/SUM($A3061:$C3061)</f>
        <v>0.00422189825919248</v>
      </c>
      <c r="G3061" s="0" t="n">
        <f aca="false">SUMPRODUCT(D3061:F3061,Stats!$B$6:$D$6)</f>
        <v>0.380072742765527</v>
      </c>
      <c r="H3061" s="0" t="n">
        <f aca="false">SQRT(SUMPRODUCT(MMULT(D3061:F3061,Stats!$B$12:$D$14),D3061:F3061))</f>
        <v>0.22803955843315</v>
      </c>
      <c r="I3061" s="0" t="n">
        <f aca="false">(G3061-Stats!$B$2)/H3061</f>
        <v>1.48251796788421</v>
      </c>
    </row>
    <row r="3062" customFormat="false" ht="15" hidden="false" customHeight="false" outlineLevel="0" collapsed="false">
      <c r="A3062" s="0" t="n">
        <v>0.429322765704195</v>
      </c>
      <c r="B3062" s="0" t="n">
        <v>0.407884926850359</v>
      </c>
      <c r="C3062" s="0" t="n">
        <v>0.113945269444544</v>
      </c>
      <c r="D3062" s="0" t="n">
        <f aca="false">A3062/SUM($A3062:$C3062)</f>
        <v>0.451370897065663</v>
      </c>
      <c r="E3062" s="0" t="n">
        <f aca="false">B3062/SUM($A3062:$C3062)</f>
        <v>0.428832104978238</v>
      </c>
      <c r="F3062" s="0" t="n">
        <f aca="false">C3062/SUM($A3062:$C3062)</f>
        <v>0.119796997956099</v>
      </c>
      <c r="G3062" s="0" t="n">
        <f aca="false">SUMPRODUCT(D3062:F3062,Stats!$B$6:$D$6)</f>
        <v>0.377854792607951</v>
      </c>
      <c r="H3062" s="0" t="n">
        <f aca="false">SQRT(SUMPRODUCT(MMULT(D3062:F3062,Stats!$B$12:$D$14),D3062:F3062))</f>
        <v>0.22654266544233</v>
      </c>
      <c r="I3062" s="0" t="n">
        <f aca="false">(G3062-Stats!$B$2)/H3062</f>
        <v>1.48252335581991</v>
      </c>
    </row>
    <row r="3063" customFormat="false" ht="15" hidden="false" customHeight="false" outlineLevel="0" collapsed="false">
      <c r="A3063" s="0" t="n">
        <v>0.676141788601457</v>
      </c>
      <c r="B3063" s="0" t="n">
        <v>0.702097188379491</v>
      </c>
      <c r="C3063" s="0" t="n">
        <v>0.720893219052098</v>
      </c>
      <c r="D3063" s="0" t="n">
        <f aca="false">A3063/SUM($A3063:$C3063)</f>
        <v>0.322105387111509</v>
      </c>
      <c r="E3063" s="0" t="n">
        <f aca="false">B3063/SUM($A3063:$C3063)</f>
        <v>0.334470210931126</v>
      </c>
      <c r="F3063" s="0" t="n">
        <f aca="false">C3063/SUM($A3063:$C3063)</f>
        <v>0.343424401957364</v>
      </c>
      <c r="G3063" s="0" t="n">
        <f aca="false">SUMPRODUCT(D3063:F3063,Stats!$B$6:$D$6)</f>
        <v>0.366258891700976</v>
      </c>
      <c r="H3063" s="0" t="n">
        <f aca="false">SQRT(SUMPRODUCT(MMULT(D3063:F3063,Stats!$B$12:$D$14),D3063:F3063))</f>
        <v>0.226651248885611</v>
      </c>
      <c r="I3063" s="0" t="n">
        <f aca="false">(G3063-Stats!$B$2)/H3063</f>
        <v>1.43065124633232</v>
      </c>
    </row>
    <row r="3064" customFormat="false" ht="15" hidden="false" customHeight="false" outlineLevel="0" collapsed="false">
      <c r="A3064" s="0" t="n">
        <v>0.728470945558592</v>
      </c>
      <c r="B3064" s="0" t="n">
        <v>5.28269322968011E-005</v>
      </c>
      <c r="C3064" s="0" t="n">
        <v>0.953920803846722</v>
      </c>
      <c r="D3064" s="0" t="n">
        <f aca="false">A3064/SUM($A3064:$C3064)</f>
        <v>0.432983621454174</v>
      </c>
      <c r="E3064" s="0" t="n">
        <f aca="false">B3064/SUM($A3064:$C3064)</f>
        <v>3.13989138422593E-005</v>
      </c>
      <c r="F3064" s="0" t="n">
        <f aca="false">C3064/SUM($A3064:$C3064)</f>
        <v>0.566984979631984</v>
      </c>
      <c r="G3064" s="0" t="n">
        <f aca="false">SUMPRODUCT(D3064:F3064,Stats!$B$6:$D$6)</f>
        <v>0.340851118369727</v>
      </c>
      <c r="H3064" s="0" t="n">
        <f aca="false">SQRT(SUMPRODUCT(MMULT(D3064:F3064,Stats!$B$12:$D$14),D3064:F3064))</f>
        <v>0.225936052993981</v>
      </c>
      <c r="I3064" s="0" t="n">
        <f aca="false">(G3064-Stats!$B$2)/H3064</f>
        <v>1.32272434792728</v>
      </c>
    </row>
    <row r="3065" customFormat="false" ht="15" hidden="false" customHeight="false" outlineLevel="0" collapsed="false">
      <c r="A3065" s="0" t="n">
        <v>0.814208767054663</v>
      </c>
      <c r="B3065" s="0" t="n">
        <v>0.903981696589285</v>
      </c>
      <c r="C3065" s="0" t="n">
        <v>0.0156432953074341</v>
      </c>
      <c r="D3065" s="0" t="n">
        <f aca="false">A3065/SUM($A3065:$C3065)</f>
        <v>0.469600250226466</v>
      </c>
      <c r="E3065" s="0" t="n">
        <f aca="false">B3065/SUM($A3065:$C3065)</f>
        <v>0.521377376534652</v>
      </c>
      <c r="F3065" s="0" t="n">
        <f aca="false">C3065/SUM($A3065:$C3065)</f>
        <v>0.00902237323888258</v>
      </c>
      <c r="G3065" s="0" t="n">
        <f aca="false">SUMPRODUCT(D3065:F3065,Stats!$B$6:$D$6)</f>
        <v>0.386234295424722</v>
      </c>
      <c r="H3065" s="0" t="n">
        <f aca="false">SQRT(SUMPRODUCT(MMULT(D3065:F3065,Stats!$B$12:$D$14),D3065:F3065))</f>
        <v>0.230033067106462</v>
      </c>
      <c r="I3065" s="0" t="n">
        <f aca="false">(G3065-Stats!$B$2)/H3065</f>
        <v>1.49645570419407</v>
      </c>
    </row>
    <row r="3066" customFormat="false" ht="15" hidden="false" customHeight="false" outlineLevel="0" collapsed="false">
      <c r="A3066" s="0" t="n">
        <v>0.933858795785739</v>
      </c>
      <c r="B3066" s="0" t="n">
        <v>0.809788528688105</v>
      </c>
      <c r="C3066" s="0" t="n">
        <v>0.837219142958699</v>
      </c>
      <c r="D3066" s="0" t="n">
        <f aca="false">A3066/SUM($A3066:$C3066)</f>
        <v>0.361839253432878</v>
      </c>
      <c r="E3066" s="0" t="n">
        <f aca="false">B3066/SUM($A3066:$C3066)</f>
        <v>0.313766147496072</v>
      </c>
      <c r="F3066" s="0" t="n">
        <f aca="false">C3066/SUM($A3066:$C3066)</f>
        <v>0.324394599071051</v>
      </c>
      <c r="G3066" s="0" t="n">
        <f aca="false">SUMPRODUCT(D3066:F3066,Stats!$B$6:$D$6)</f>
        <v>0.365592346183011</v>
      </c>
      <c r="H3066" s="0" t="n">
        <f aca="false">SQRT(SUMPRODUCT(MMULT(D3066:F3066,Stats!$B$12:$D$14),D3066:F3066))</f>
        <v>0.225419644431383</v>
      </c>
      <c r="I3066" s="0" t="n">
        <f aca="false">(G3066-Stats!$B$2)/H3066</f>
        <v>1.43551085354281</v>
      </c>
    </row>
    <row r="3067" customFormat="false" ht="15" hidden="false" customHeight="false" outlineLevel="0" collapsed="false">
      <c r="A3067" s="0" t="n">
        <v>0.0932873847219685</v>
      </c>
      <c r="B3067" s="0" t="n">
        <v>0.738778028918598</v>
      </c>
      <c r="C3067" s="0" t="n">
        <v>0.959916689642091</v>
      </c>
      <c r="D3067" s="0" t="n">
        <f aca="false">A3067/SUM($A3067:$C3067)</f>
        <v>0.0520582122729235</v>
      </c>
      <c r="E3067" s="0" t="n">
        <f aca="false">B3067/SUM($A3067:$C3067)</f>
        <v>0.412268642396183</v>
      </c>
      <c r="F3067" s="0" t="n">
        <f aca="false">C3067/SUM($A3067:$C3067)</f>
        <v>0.535673145330894</v>
      </c>
      <c r="G3067" s="0" t="n">
        <f aca="false">SUMPRODUCT(D3067:F3067,Stats!$B$6:$D$6)</f>
        <v>0.365434127599165</v>
      </c>
      <c r="H3067" s="0" t="n">
        <f aca="false">SQRT(SUMPRODUCT(MMULT(D3067:F3067,Stats!$B$12:$D$14),D3067:F3067))</f>
        <v>0.240352416618381</v>
      </c>
      <c r="I3067" s="0" t="n">
        <f aca="false">(G3067-Stats!$B$2)/H3067</f>
        <v>1.34566621858725</v>
      </c>
    </row>
    <row r="3068" customFormat="false" ht="15" hidden="false" customHeight="false" outlineLevel="0" collapsed="false">
      <c r="A3068" s="0" t="n">
        <v>0.678547341418161</v>
      </c>
      <c r="B3068" s="0" t="n">
        <v>0.570561404624607</v>
      </c>
      <c r="C3068" s="0" t="n">
        <v>0.945629677748997</v>
      </c>
      <c r="D3068" s="0" t="n">
        <f aca="false">A3068/SUM($A3068:$C3068)</f>
        <v>0.309170028675153</v>
      </c>
      <c r="E3068" s="0" t="n">
        <f aca="false">B3068/SUM($A3068:$C3068)</f>
        <v>0.259967838736276</v>
      </c>
      <c r="F3068" s="0" t="n">
        <f aca="false">C3068/SUM($A3068:$C3068)</f>
        <v>0.43086213258857</v>
      </c>
      <c r="G3068" s="0" t="n">
        <f aca="false">SUMPRODUCT(D3068:F3068,Stats!$B$6:$D$6)</f>
        <v>0.359561059839582</v>
      </c>
      <c r="H3068" s="0" t="n">
        <f aca="false">SQRT(SUMPRODUCT(MMULT(D3068:F3068,Stats!$B$12:$D$14),D3068:F3068))</f>
        <v>0.227109394155905</v>
      </c>
      <c r="I3068" s="0" t="n">
        <f aca="false">(G3068-Stats!$B$2)/H3068</f>
        <v>1.39827355455664</v>
      </c>
    </row>
    <row r="3069" customFormat="false" ht="15" hidden="false" customHeight="false" outlineLevel="0" collapsed="false">
      <c r="A3069" s="0" t="n">
        <v>0.442937121734436</v>
      </c>
      <c r="B3069" s="0" t="n">
        <v>0.599293566310479</v>
      </c>
      <c r="C3069" s="0" t="n">
        <v>0.476338293494366</v>
      </c>
      <c r="D3069" s="0" t="n">
        <f aca="false">A3069/SUM($A3069:$C3069)</f>
        <v>0.291680606623123</v>
      </c>
      <c r="E3069" s="0" t="n">
        <f aca="false">B3069/SUM($A3069:$C3069)</f>
        <v>0.394643624093396</v>
      </c>
      <c r="F3069" s="0" t="n">
        <f aca="false">C3069/SUM($A3069:$C3069)</f>
        <v>0.313675769283481</v>
      </c>
      <c r="G3069" s="0" t="n">
        <f aca="false">SUMPRODUCT(D3069:F3069,Stats!$B$6:$D$6)</f>
        <v>0.370541499117465</v>
      </c>
      <c r="H3069" s="0" t="n">
        <f aca="false">SQRT(SUMPRODUCT(MMULT(D3069:F3069,Stats!$B$12:$D$14),D3069:F3069))</f>
        <v>0.228029090344807</v>
      </c>
      <c r="I3069" s="0" t="n">
        <f aca="false">(G3069-Stats!$B$2)/H3069</f>
        <v>1.44078765836706</v>
      </c>
    </row>
    <row r="3070" customFormat="false" ht="15" hidden="false" customHeight="false" outlineLevel="0" collapsed="false">
      <c r="A3070" s="0" t="n">
        <v>0.932846221360299</v>
      </c>
      <c r="B3070" s="0" t="n">
        <v>0.0760847267655073</v>
      </c>
      <c r="C3070" s="0" t="n">
        <v>0.501119700825348</v>
      </c>
      <c r="D3070" s="0" t="n">
        <f aca="false">A3070/SUM($A3070:$C3070)</f>
        <v>0.617758233479276</v>
      </c>
      <c r="E3070" s="0" t="n">
        <f aca="false">B3070/SUM($A3070:$C3070)</f>
        <v>0.0503855462188331</v>
      </c>
      <c r="F3070" s="0" t="n">
        <f aca="false">C3070/SUM($A3070:$C3070)</f>
        <v>0.331856220301891</v>
      </c>
      <c r="G3070" s="0" t="n">
        <f aca="false">SUMPRODUCT(D3070:F3070,Stats!$B$6:$D$6)</f>
        <v>0.350232015936811</v>
      </c>
      <c r="H3070" s="0" t="n">
        <f aca="false">SQRT(SUMPRODUCT(MMULT(D3070:F3070,Stats!$B$12:$D$14),D3070:F3070))</f>
        <v>0.221283600588832</v>
      </c>
      <c r="I3070" s="0" t="n">
        <f aca="false">(G3070-Stats!$B$2)/H3070</f>
        <v>1.39292751526372</v>
      </c>
    </row>
    <row r="3071" customFormat="false" ht="15" hidden="false" customHeight="false" outlineLevel="0" collapsed="false">
      <c r="A3071" s="0" t="n">
        <v>0.686952441385438</v>
      </c>
      <c r="B3071" s="0" t="n">
        <v>0.791906538422237</v>
      </c>
      <c r="C3071" s="0" t="n">
        <v>0.583018647444136</v>
      </c>
      <c r="D3071" s="0" t="n">
        <f aca="false">A3071/SUM($A3071:$C3071)</f>
        <v>0.333168386089454</v>
      </c>
      <c r="E3071" s="0" t="n">
        <f aca="false">B3071/SUM($A3071:$C3071)</f>
        <v>0.384070581083774</v>
      </c>
      <c r="F3071" s="0" t="n">
        <f aca="false">C3071/SUM($A3071:$C3071)</f>
        <v>0.282761032826772</v>
      </c>
      <c r="G3071" s="0" t="n">
        <f aca="false">SUMPRODUCT(D3071:F3071,Stats!$B$6:$D$6)</f>
        <v>0.370785601874474</v>
      </c>
      <c r="H3071" s="0" t="n">
        <f aca="false">SQRT(SUMPRODUCT(MMULT(D3071:F3071,Stats!$B$12:$D$14),D3071:F3071))</f>
        <v>0.226787574874791</v>
      </c>
      <c r="I3071" s="0" t="n">
        <f aca="false">(G3071-Stats!$B$2)/H3071</f>
        <v>1.44975138984575</v>
      </c>
    </row>
    <row r="3072" customFormat="false" ht="15" hidden="false" customHeight="false" outlineLevel="0" collapsed="false">
      <c r="A3072" s="0" t="n">
        <v>0.908917744121454</v>
      </c>
      <c r="B3072" s="0" t="n">
        <v>0.941991446883872</v>
      </c>
      <c r="C3072" s="0" t="n">
        <v>0.0643192231935835</v>
      </c>
      <c r="D3072" s="0" t="n">
        <f aca="false">A3072/SUM($A3072:$C3072)</f>
        <v>0.474574070321336</v>
      </c>
      <c r="E3072" s="0" t="n">
        <f aca="false">B3072/SUM($A3072:$C3072)</f>
        <v>0.491842873622926</v>
      </c>
      <c r="F3072" s="0" t="n">
        <f aca="false">C3072/SUM($A3072:$C3072)</f>
        <v>0.0335830560557377</v>
      </c>
      <c r="G3072" s="0" t="n">
        <f aca="false">SUMPRODUCT(D3072:F3072,Stats!$B$6:$D$6)</f>
        <v>0.383857666970801</v>
      </c>
      <c r="H3072" s="0" t="n">
        <f aca="false">SQRT(SUMPRODUCT(MMULT(D3072:F3072,Stats!$B$12:$D$14),D3072:F3072))</f>
        <v>0.228911812857193</v>
      </c>
      <c r="I3072" s="0" t="n">
        <f aca="false">(G3072-Stats!$B$2)/H3072</f>
        <v>1.49340334473726</v>
      </c>
    </row>
    <row r="3073" customFormat="false" ht="15" hidden="false" customHeight="false" outlineLevel="0" collapsed="false">
      <c r="A3073" s="0" t="n">
        <v>0.402370539541374</v>
      </c>
      <c r="B3073" s="0" t="n">
        <v>0.0234590217211544</v>
      </c>
      <c r="C3073" s="0" t="n">
        <v>0.329416657374443</v>
      </c>
      <c r="D3073" s="0" t="n">
        <f aca="false">A3073/SUM($A3073:$C3073)</f>
        <v>0.532767367266733</v>
      </c>
      <c r="E3073" s="0" t="n">
        <f aca="false">B3073/SUM($A3073:$C3073)</f>
        <v>0.0310614222782764</v>
      </c>
      <c r="F3073" s="0" t="n">
        <f aca="false">C3073/SUM($A3073:$C3073)</f>
        <v>0.436171210454991</v>
      </c>
      <c r="G3073" s="0" t="n">
        <f aca="false">SUMPRODUCT(D3073:F3073,Stats!$B$6:$D$6)</f>
        <v>0.346243685124178</v>
      </c>
      <c r="H3073" s="0" t="n">
        <f aca="false">SQRT(SUMPRODUCT(MMULT(D3073:F3073,Stats!$B$12:$D$14),D3073:F3073))</f>
        <v>0.222281202924364</v>
      </c>
      <c r="I3073" s="0" t="n">
        <f aca="false">(G3073-Stats!$B$2)/H3073</f>
        <v>1.36873330322809</v>
      </c>
    </row>
    <row r="3074" customFormat="false" ht="15" hidden="false" customHeight="false" outlineLevel="0" collapsed="false">
      <c r="A3074" s="0" t="n">
        <v>0.536868217970602</v>
      </c>
      <c r="B3074" s="0" t="n">
        <v>0.910794930509949</v>
      </c>
      <c r="C3074" s="0" t="n">
        <v>0.846554322465403</v>
      </c>
      <c r="D3074" s="0" t="n">
        <f aca="false">A3074/SUM($A3074:$C3074)</f>
        <v>0.234009297187176</v>
      </c>
      <c r="E3074" s="0" t="n">
        <f aca="false">B3074/SUM($A3074:$C3074)</f>
        <v>0.39699590036441</v>
      </c>
      <c r="F3074" s="0" t="n">
        <f aca="false">C3074/SUM($A3074:$C3074)</f>
        <v>0.368994802448414</v>
      </c>
      <c r="G3074" s="0" t="n">
        <f aca="false">SUMPRODUCT(D3074:F3074,Stats!$B$6:$D$6)</f>
        <v>0.369151444986903</v>
      </c>
      <c r="H3074" s="0" t="n">
        <f aca="false">SQRT(SUMPRODUCT(MMULT(D3074:F3074,Stats!$B$12:$D$14),D3074:F3074))</f>
        <v>0.230113243494923</v>
      </c>
      <c r="I3074" s="0" t="n">
        <f aca="false">(G3074-Stats!$B$2)/H3074</f>
        <v>1.4216975955759</v>
      </c>
    </row>
    <row r="3075" customFormat="false" ht="15" hidden="false" customHeight="false" outlineLevel="0" collapsed="false">
      <c r="A3075" s="0" t="n">
        <v>0.127499726671986</v>
      </c>
      <c r="B3075" s="0" t="n">
        <v>0.0930303747408957</v>
      </c>
      <c r="C3075" s="0" t="n">
        <v>0.589267338756667</v>
      </c>
      <c r="D3075" s="0" t="n">
        <f aca="false">A3075/SUM($A3075:$C3075)</f>
        <v>0.157446443205959</v>
      </c>
      <c r="E3075" s="0" t="n">
        <f aca="false">B3075/SUM($A3075:$C3075)</f>
        <v>0.114881043241403</v>
      </c>
      <c r="F3075" s="0" t="n">
        <f aca="false">C3075/SUM($A3075:$C3075)</f>
        <v>0.727672513552638</v>
      </c>
      <c r="G3075" s="0" t="n">
        <f aca="false">SUMPRODUCT(D3075:F3075,Stats!$B$6:$D$6)</f>
        <v>0.343028521313162</v>
      </c>
      <c r="H3075" s="0" t="n">
        <f aca="false">SQRT(SUMPRODUCT(MMULT(D3075:F3075,Stats!$B$12:$D$14),D3075:F3075))</f>
        <v>0.239335718463606</v>
      </c>
      <c r="I3075" s="0" t="n">
        <f aca="false">(G3075-Stats!$B$2)/H3075</f>
        <v>1.25776680240454</v>
      </c>
    </row>
    <row r="3076" customFormat="false" ht="15" hidden="false" customHeight="false" outlineLevel="0" collapsed="false">
      <c r="A3076" s="0" t="n">
        <v>0.532117972458783</v>
      </c>
      <c r="B3076" s="0" t="n">
        <v>0.266377641430024</v>
      </c>
      <c r="C3076" s="0" t="n">
        <v>0.899453084553835</v>
      </c>
      <c r="D3076" s="0" t="n">
        <f aca="false">A3076/SUM($A3076:$C3076)</f>
        <v>0.313388721901222</v>
      </c>
      <c r="E3076" s="0" t="n">
        <f aca="false">B3076/SUM($A3076:$C3076)</f>
        <v>0.156882031638733</v>
      </c>
      <c r="F3076" s="0" t="n">
        <f aca="false">C3076/SUM($A3076:$C3076)</f>
        <v>0.529729246460045</v>
      </c>
      <c r="G3076" s="0" t="n">
        <f aca="false">SUMPRODUCT(D3076:F3076,Stats!$B$6:$D$6)</f>
        <v>0.350903413281824</v>
      </c>
      <c r="H3076" s="0" t="n">
        <f aca="false">SQRT(SUMPRODUCT(MMULT(D3076:F3076,Stats!$B$12:$D$14),D3076:F3076))</f>
        <v>0.228080053099806</v>
      </c>
      <c r="I3076" s="0" t="n">
        <f aca="false">(G3076-Stats!$B$2)/H3076</f>
        <v>1.35436400107575</v>
      </c>
    </row>
    <row r="3077" customFormat="false" ht="15" hidden="false" customHeight="false" outlineLevel="0" collapsed="false">
      <c r="A3077" s="0" t="n">
        <v>0.927366409461554</v>
      </c>
      <c r="B3077" s="0" t="n">
        <v>0.402611438340163</v>
      </c>
      <c r="C3077" s="0" t="n">
        <v>0.89030255711352</v>
      </c>
      <c r="D3077" s="0" t="n">
        <f aca="false">A3077/SUM($A3077:$C3077)</f>
        <v>0.417679860349422</v>
      </c>
      <c r="E3077" s="0" t="n">
        <f aca="false">B3077/SUM($A3077:$C3077)</f>
        <v>0.181333599778148</v>
      </c>
      <c r="F3077" s="0" t="n">
        <f aca="false">C3077/SUM($A3077:$C3077)</f>
        <v>0.400986539872431</v>
      </c>
      <c r="G3077" s="0" t="n">
        <f aca="false">SUMPRODUCT(D3077:F3077,Stats!$B$6:$D$6)</f>
        <v>0.355860355482626</v>
      </c>
      <c r="H3077" s="0" t="n">
        <f aca="false">SQRT(SUMPRODUCT(MMULT(D3077:F3077,Stats!$B$12:$D$14),D3077:F3077))</f>
        <v>0.223797251273754</v>
      </c>
      <c r="I3077" s="0" t="n">
        <f aca="false">(G3077-Stats!$B$2)/H3077</f>
        <v>1.40243168178462</v>
      </c>
    </row>
    <row r="3078" customFormat="false" ht="15" hidden="false" customHeight="false" outlineLevel="0" collapsed="false">
      <c r="A3078" s="0" t="n">
        <v>0.383948894262973</v>
      </c>
      <c r="B3078" s="0" t="n">
        <v>0.7368168318297</v>
      </c>
      <c r="C3078" s="0" t="n">
        <v>0.475942217547724</v>
      </c>
      <c r="D3078" s="0" t="n">
        <f aca="false">A3078/SUM($A3078:$C3078)</f>
        <v>0.240462819636002</v>
      </c>
      <c r="E3078" s="0" t="n">
        <f aca="false">B3078/SUM($A3078:$C3078)</f>
        <v>0.461459990077962</v>
      </c>
      <c r="F3078" s="0" t="n">
        <f aca="false">C3078/SUM($A3078:$C3078)</f>
        <v>0.298077190286036</v>
      </c>
      <c r="G3078" s="0" t="n">
        <f aca="false">SUMPRODUCT(D3078:F3078,Stats!$B$6:$D$6)</f>
        <v>0.374816151153812</v>
      </c>
      <c r="H3078" s="0" t="n">
        <f aca="false">SQRT(SUMPRODUCT(MMULT(D3078:F3078,Stats!$B$12:$D$14),D3078:F3078))</f>
        <v>0.230415730604991</v>
      </c>
      <c r="I3078" s="0" t="n">
        <f aca="false">(G3078-Stats!$B$2)/H3078</f>
        <v>1.44441592715894</v>
      </c>
    </row>
    <row r="3079" customFormat="false" ht="15" hidden="false" customHeight="false" outlineLevel="0" collapsed="false">
      <c r="A3079" s="0" t="n">
        <v>0.122583156507183</v>
      </c>
      <c r="B3079" s="0" t="n">
        <v>0.927934201237022</v>
      </c>
      <c r="C3079" s="0" t="n">
        <v>0.454096593377537</v>
      </c>
      <c r="D3079" s="0" t="n">
        <f aca="false">A3079/SUM($A3079:$C3079)</f>
        <v>0.0814715006568915</v>
      </c>
      <c r="E3079" s="0" t="n">
        <f aca="false">B3079/SUM($A3079:$C3079)</f>
        <v>0.616725772444962</v>
      </c>
      <c r="F3079" s="0" t="n">
        <f aca="false">C3079/SUM($A3079:$C3079)</f>
        <v>0.301802726898147</v>
      </c>
      <c r="G3079" s="0" t="n">
        <f aca="false">SUMPRODUCT(D3079:F3079,Stats!$B$6:$D$6)</f>
        <v>0.383647213075477</v>
      </c>
      <c r="H3079" s="0" t="n">
        <f aca="false">SQRT(SUMPRODUCT(MMULT(D3079:F3079,Stats!$B$12:$D$14),D3079:F3079))</f>
        <v>0.239064145741914</v>
      </c>
      <c r="I3079" s="0" t="n">
        <f aca="false">(G3079-Stats!$B$2)/H3079</f>
        <v>1.42910268712695</v>
      </c>
    </row>
    <row r="3080" customFormat="false" ht="15" hidden="false" customHeight="false" outlineLevel="0" collapsed="false">
      <c r="A3080" s="0" t="n">
        <v>0.734487040322404</v>
      </c>
      <c r="B3080" s="0" t="n">
        <v>0.367173814431292</v>
      </c>
      <c r="C3080" s="0" t="n">
        <v>0.0188808785762347</v>
      </c>
      <c r="D3080" s="0" t="n">
        <f aca="false">A3080/SUM($A3080:$C3080)</f>
        <v>0.65547495329756</v>
      </c>
      <c r="E3080" s="0" t="n">
        <f aca="false">B3080/SUM($A3080:$C3080)</f>
        <v>0.327675269478948</v>
      </c>
      <c r="F3080" s="0" t="n">
        <f aca="false">C3080/SUM($A3080:$C3080)</f>
        <v>0.0168497772234918</v>
      </c>
      <c r="G3080" s="0" t="n">
        <f aca="false">SUMPRODUCT(D3080:F3080,Stats!$B$6:$D$6)</f>
        <v>0.37487308923417</v>
      </c>
      <c r="H3080" s="0" t="n">
        <f aca="false">SQRT(SUMPRODUCT(MMULT(D3080:F3080,Stats!$B$12:$D$14),D3080:F3080))</f>
        <v>0.226985984965944</v>
      </c>
      <c r="I3080" s="0" t="n">
        <f aca="false">(G3080-Stats!$B$2)/H3080</f>
        <v>1.46649181571326</v>
      </c>
    </row>
    <row r="3081" customFormat="false" ht="15" hidden="false" customHeight="false" outlineLevel="0" collapsed="false">
      <c r="A3081" s="0" t="n">
        <v>0.100530358691836</v>
      </c>
      <c r="B3081" s="0" t="n">
        <v>0.496219479489924</v>
      </c>
      <c r="C3081" s="0" t="n">
        <v>0.689964357126362</v>
      </c>
      <c r="D3081" s="0" t="n">
        <f aca="false">A3081/SUM($A3081:$C3081)</f>
        <v>0.0781295170741179</v>
      </c>
      <c r="E3081" s="0" t="n">
        <f aca="false">B3081/SUM($A3081:$C3081)</f>
        <v>0.385648562283171</v>
      </c>
      <c r="F3081" s="0" t="n">
        <f aca="false">C3081/SUM($A3081:$C3081)</f>
        <v>0.536221920642711</v>
      </c>
      <c r="G3081" s="0" t="n">
        <f aca="false">SUMPRODUCT(D3081:F3081,Stats!$B$6:$D$6)</f>
        <v>0.363887310375005</v>
      </c>
      <c r="H3081" s="0" t="n">
        <f aca="false">SQRT(SUMPRODUCT(MMULT(D3081:F3081,Stats!$B$12:$D$14),D3081:F3081))</f>
        <v>0.238817803734448</v>
      </c>
      <c r="I3081" s="0" t="n">
        <f aca="false">(G3081-Stats!$B$2)/H3081</f>
        <v>1.34783632267603</v>
      </c>
    </row>
    <row r="3082" customFormat="false" ht="15" hidden="false" customHeight="false" outlineLevel="0" collapsed="false">
      <c r="A3082" s="0" t="n">
        <v>0.334735326579279</v>
      </c>
      <c r="B3082" s="0" t="n">
        <v>0.69548845917765</v>
      </c>
      <c r="C3082" s="0" t="n">
        <v>0.698635589431956</v>
      </c>
      <c r="D3082" s="0" t="n">
        <f aca="false">A3082/SUM($A3082:$C3082)</f>
        <v>0.19361628330396</v>
      </c>
      <c r="E3082" s="0" t="n">
        <f aca="false">B3082/SUM($A3082:$C3082)</f>
        <v>0.402281683032586</v>
      </c>
      <c r="F3082" s="0" t="n">
        <f aca="false">C3082/SUM($A3082:$C3082)</f>
        <v>0.404102033663453</v>
      </c>
      <c r="G3082" s="0" t="n">
        <f aca="false">SUMPRODUCT(D3082:F3082,Stats!$B$6:$D$6)</f>
        <v>0.368487513682572</v>
      </c>
      <c r="H3082" s="0" t="n">
        <f aca="false">SQRT(SUMPRODUCT(MMULT(D3082:F3082,Stats!$B$12:$D$14),D3082:F3082))</f>
        <v>0.231926757057069</v>
      </c>
      <c r="I3082" s="0" t="n">
        <f aca="false">(G3082-Stats!$B$2)/H3082</f>
        <v>1.40771818579878</v>
      </c>
    </row>
    <row r="3083" customFormat="false" ht="15" hidden="false" customHeight="false" outlineLevel="0" collapsed="false">
      <c r="A3083" s="0" t="n">
        <v>0.703935907327831</v>
      </c>
      <c r="B3083" s="0" t="n">
        <v>0.492521854020508</v>
      </c>
      <c r="C3083" s="0" t="n">
        <v>0.914886150121504</v>
      </c>
      <c r="D3083" s="0" t="n">
        <f aca="false">A3083/SUM($A3083:$C3083)</f>
        <v>0.33340655849751</v>
      </c>
      <c r="E3083" s="0" t="n">
        <f aca="false">B3083/SUM($A3083:$C3083)</f>
        <v>0.233274101554413</v>
      </c>
      <c r="F3083" s="0" t="n">
        <f aca="false">C3083/SUM($A3083:$C3083)</f>
        <v>0.433319339948077</v>
      </c>
      <c r="G3083" s="0" t="n">
        <f aca="false">SUMPRODUCT(D3083:F3083,Stats!$B$6:$D$6)</f>
        <v>0.357957380203319</v>
      </c>
      <c r="H3083" s="0" t="n">
        <f aca="false">SQRT(SUMPRODUCT(MMULT(D3083:F3083,Stats!$B$12:$D$14),D3083:F3083))</f>
        <v>0.226304115718027</v>
      </c>
      <c r="I3083" s="0" t="n">
        <f aca="false">(G3083-Stats!$B$2)/H3083</f>
        <v>1.39616276619997</v>
      </c>
    </row>
    <row r="3084" customFormat="false" ht="15" hidden="false" customHeight="false" outlineLevel="0" collapsed="false">
      <c r="A3084" s="0" t="n">
        <v>0.489196517980616</v>
      </c>
      <c r="B3084" s="0" t="n">
        <v>0.450265193496638</v>
      </c>
      <c r="C3084" s="0" t="n">
        <v>0.199380819010627</v>
      </c>
      <c r="D3084" s="0" t="n">
        <f aca="false">A3084/SUM($A3084:$C3084)</f>
        <v>0.429555891077446</v>
      </c>
      <c r="E3084" s="0" t="n">
        <f aca="false">B3084/SUM($A3084:$C3084)</f>
        <v>0.395370897593493</v>
      </c>
      <c r="F3084" s="0" t="n">
        <f aca="false">C3084/SUM($A3084:$C3084)</f>
        <v>0.175073211329061</v>
      </c>
      <c r="G3084" s="0" t="n">
        <f aca="false">SUMPRODUCT(D3084:F3084,Stats!$B$6:$D$6)</f>
        <v>0.374405257719616</v>
      </c>
      <c r="H3084" s="0" t="n">
        <f aca="false">SQRT(SUMPRODUCT(MMULT(D3084:F3084,Stats!$B$12:$D$14),D3084:F3084))</f>
        <v>0.225660842781921</v>
      </c>
      <c r="I3084" s="0" t="n">
        <f aca="false">(G3084-Stats!$B$2)/H3084</f>
        <v>1.47303029458617</v>
      </c>
    </row>
    <row r="3085" customFormat="false" ht="15" hidden="false" customHeight="false" outlineLevel="0" collapsed="false">
      <c r="A3085" s="0" t="n">
        <v>0.307655087356337</v>
      </c>
      <c r="B3085" s="0" t="n">
        <v>0.0423344925183034</v>
      </c>
      <c r="C3085" s="0" t="n">
        <v>0.63353529361617</v>
      </c>
      <c r="D3085" s="0" t="n">
        <f aca="false">A3085/SUM($A3085:$C3085)</f>
        <v>0.312808649428846</v>
      </c>
      <c r="E3085" s="0" t="n">
        <f aca="false">B3085/SUM($A3085:$C3085)</f>
        <v>0.0430436419650946</v>
      </c>
      <c r="F3085" s="0" t="n">
        <f aca="false">C3085/SUM($A3085:$C3085)</f>
        <v>0.64414770860606</v>
      </c>
      <c r="G3085" s="0" t="n">
        <f aca="false">SUMPRODUCT(D3085:F3085,Stats!$B$6:$D$6)</f>
        <v>0.341198254592125</v>
      </c>
      <c r="H3085" s="0" t="n">
        <f aca="false">SQRT(SUMPRODUCT(MMULT(D3085:F3085,Stats!$B$12:$D$14),D3085:F3085))</f>
        <v>0.230859682326244</v>
      </c>
      <c r="I3085" s="0" t="n">
        <f aca="false">(G3085-Stats!$B$2)/H3085</f>
        <v>1.2960177869833</v>
      </c>
    </row>
    <row r="3086" customFormat="false" ht="15" hidden="false" customHeight="false" outlineLevel="0" collapsed="false">
      <c r="A3086" s="0" t="n">
        <v>0.248535743927093</v>
      </c>
      <c r="B3086" s="0" t="n">
        <v>0.304155254485465</v>
      </c>
      <c r="C3086" s="0" t="n">
        <v>0.770814521664321</v>
      </c>
      <c r="D3086" s="0" t="n">
        <f aca="false">A3086/SUM($A3086:$C3086)</f>
        <v>0.187785951895883</v>
      </c>
      <c r="E3086" s="0" t="n">
        <f aca="false">B3086/SUM($A3086:$C3086)</f>
        <v>0.22981034069869</v>
      </c>
      <c r="F3086" s="0" t="n">
        <f aca="false">C3086/SUM($A3086:$C3086)</f>
        <v>0.582403707405426</v>
      </c>
      <c r="G3086" s="0" t="n">
        <f aca="false">SUMPRODUCT(D3086:F3086,Stats!$B$6:$D$6)</f>
        <v>0.353647135794964</v>
      </c>
      <c r="H3086" s="0" t="n">
        <f aca="false">SQRT(SUMPRODUCT(MMULT(D3086:F3086,Stats!$B$12:$D$14),D3086:F3086))</f>
        <v>0.233913571928104</v>
      </c>
      <c r="I3086" s="0" t="n">
        <f aca="false">(G3086-Stats!$B$2)/H3086</f>
        <v>1.33231745907738</v>
      </c>
    </row>
    <row r="3087" customFormat="false" ht="15" hidden="false" customHeight="false" outlineLevel="0" collapsed="false">
      <c r="A3087" s="0" t="n">
        <v>0.327221183161454</v>
      </c>
      <c r="B3087" s="0" t="n">
        <v>0.242195892013142</v>
      </c>
      <c r="C3087" s="0" t="n">
        <v>0.169057749133706</v>
      </c>
      <c r="D3087" s="0" t="n">
        <f aca="false">A3087/SUM($A3087:$C3087)</f>
        <v>0.44310404686842</v>
      </c>
      <c r="E3087" s="0" t="n">
        <f aca="false">B3087/SUM($A3087:$C3087)</f>
        <v>0.327967703218586</v>
      </c>
      <c r="F3087" s="0" t="n">
        <f aca="false">C3087/SUM($A3087:$C3087)</f>
        <v>0.228928249912995</v>
      </c>
      <c r="G3087" s="0" t="n">
        <f aca="false">SUMPRODUCT(D3087:F3087,Stats!$B$6:$D$6)</f>
        <v>0.369041933178316</v>
      </c>
      <c r="H3087" s="0" t="n">
        <f aca="false">SQRT(SUMPRODUCT(MMULT(D3087:F3087,Stats!$B$12:$D$14),D3087:F3087))</f>
        <v>0.224241728308216</v>
      </c>
      <c r="I3087" s="0" t="n">
        <f aca="false">(G3087-Stats!$B$2)/H3087</f>
        <v>1.45843476879024</v>
      </c>
    </row>
    <row r="3088" customFormat="false" ht="15" hidden="false" customHeight="false" outlineLevel="0" collapsed="false">
      <c r="A3088" s="0" t="n">
        <v>0.774858402181956</v>
      </c>
      <c r="B3088" s="0" t="n">
        <v>0.129706257990027</v>
      </c>
      <c r="C3088" s="0" t="n">
        <v>0.453753760250354</v>
      </c>
      <c r="D3088" s="0" t="n">
        <f aca="false">A3088/SUM($A3088:$C3088)</f>
        <v>0.570454166366258</v>
      </c>
      <c r="E3088" s="0" t="n">
        <f aca="false">B3088/SUM($A3088:$C3088)</f>
        <v>0.0954903180578954</v>
      </c>
      <c r="F3088" s="0" t="n">
        <f aca="false">C3088/SUM($A3088:$C3088)</f>
        <v>0.334055515575847</v>
      </c>
      <c r="G3088" s="0" t="n">
        <f aca="false">SUMPRODUCT(D3088:F3088,Stats!$B$6:$D$6)</f>
        <v>0.352766641409181</v>
      </c>
      <c r="H3088" s="0" t="n">
        <f aca="false">SQRT(SUMPRODUCT(MMULT(D3088:F3088,Stats!$B$12:$D$14),D3088:F3088))</f>
        <v>0.221429098132543</v>
      </c>
      <c r="I3088" s="0" t="n">
        <f aca="false">(G3088-Stats!$B$2)/H3088</f>
        <v>1.4034589131694</v>
      </c>
    </row>
    <row r="3089" customFormat="false" ht="15" hidden="false" customHeight="false" outlineLevel="0" collapsed="false">
      <c r="A3089" s="0" t="n">
        <v>0.506930116077194</v>
      </c>
      <c r="B3089" s="0" t="n">
        <v>0.687389912685715</v>
      </c>
      <c r="C3089" s="0" t="n">
        <v>0.633283482332996</v>
      </c>
      <c r="D3089" s="0" t="n">
        <f aca="false">A3089/SUM($A3089:$C3089)</f>
        <v>0.277374229694502</v>
      </c>
      <c r="E3089" s="0" t="n">
        <f aca="false">B3089/SUM($A3089:$C3089)</f>
        <v>0.376115447640789</v>
      </c>
      <c r="F3089" s="0" t="n">
        <f aca="false">C3089/SUM($A3089:$C3089)</f>
        <v>0.346510322664708</v>
      </c>
      <c r="G3089" s="0" t="n">
        <f aca="false">SUMPRODUCT(D3089:F3089,Stats!$B$6:$D$6)</f>
        <v>0.368570011644278</v>
      </c>
      <c r="H3089" s="0" t="n">
        <f aca="false">SQRT(SUMPRODUCT(MMULT(D3089:F3089,Stats!$B$12:$D$14),D3089:F3089))</f>
        <v>0.228354883096495</v>
      </c>
      <c r="I3089" s="0" t="n">
        <f aca="false">(G3089-Stats!$B$2)/H3089</f>
        <v>1.43009865703761</v>
      </c>
    </row>
    <row r="3090" customFormat="false" ht="15" hidden="false" customHeight="false" outlineLevel="0" collapsed="false">
      <c r="A3090" s="0" t="n">
        <v>0.810720672945175</v>
      </c>
      <c r="B3090" s="0" t="n">
        <v>0.0447514339262382</v>
      </c>
      <c r="C3090" s="0" t="n">
        <v>0.296440724779397</v>
      </c>
      <c r="D3090" s="0" t="n">
        <f aca="false">A3090/SUM($A3090:$C3090)</f>
        <v>0.703803838857605</v>
      </c>
      <c r="E3090" s="0" t="n">
        <f aca="false">B3090/SUM($A3090:$C3090)</f>
        <v>0.0388496704755903</v>
      </c>
      <c r="F3090" s="0" t="n">
        <f aca="false">C3090/SUM($A3090:$C3090)</f>
        <v>0.257346490666804</v>
      </c>
      <c r="G3090" s="0" t="n">
        <f aca="false">SUMPRODUCT(D3090:F3090,Stats!$B$6:$D$6)</f>
        <v>0.351622833713875</v>
      </c>
      <c r="H3090" s="0" t="n">
        <f aca="false">SQRT(SUMPRODUCT(MMULT(D3090:F3090,Stats!$B$12:$D$14),D3090:F3090))</f>
        <v>0.221861511802196</v>
      </c>
      <c r="I3090" s="0" t="n">
        <f aca="false">(G3090-Stats!$B$2)/H3090</f>
        <v>1.39556803340421</v>
      </c>
    </row>
    <row r="3091" customFormat="false" ht="15" hidden="false" customHeight="false" outlineLevel="0" collapsed="false">
      <c r="A3091" s="0" t="n">
        <v>0.28013411877538</v>
      </c>
      <c r="B3091" s="0" t="n">
        <v>0.146016905592108</v>
      </c>
      <c r="C3091" s="0" t="n">
        <v>0.289178253856443</v>
      </c>
      <c r="D3091" s="0" t="n">
        <f aca="false">A3091/SUM($A3091:$C3091)</f>
        <v>0.391615619971429</v>
      </c>
      <c r="E3091" s="0" t="n">
        <f aca="false">B3091/SUM($A3091:$C3091)</f>
        <v>0.204125442697731</v>
      </c>
      <c r="F3091" s="0" t="n">
        <f aca="false">C3091/SUM($A3091:$C3091)</f>
        <v>0.40425893733084</v>
      </c>
      <c r="G3091" s="0" t="n">
        <f aca="false">SUMPRODUCT(D3091:F3091,Stats!$B$6:$D$6)</f>
        <v>0.357081533524028</v>
      </c>
      <c r="H3091" s="0" t="n">
        <f aca="false">SQRT(SUMPRODUCT(MMULT(D3091:F3091,Stats!$B$12:$D$14),D3091:F3091))</f>
        <v>0.224453152593209</v>
      </c>
      <c r="I3091" s="0" t="n">
        <f aca="false">(G3091-Stats!$B$2)/H3091</f>
        <v>1.4037741501233</v>
      </c>
    </row>
    <row r="3092" customFormat="false" ht="15" hidden="false" customHeight="false" outlineLevel="0" collapsed="false">
      <c r="A3092" s="0" t="n">
        <v>0.309765314142903</v>
      </c>
      <c r="B3092" s="0" t="n">
        <v>0.521884461927478</v>
      </c>
      <c r="C3092" s="0" t="n">
        <v>0.663704478926256</v>
      </c>
      <c r="D3092" s="0" t="n">
        <f aca="false">A3092/SUM($A3092:$C3092)</f>
        <v>0.207151792364813</v>
      </c>
      <c r="E3092" s="0" t="n">
        <f aca="false">B3092/SUM($A3092:$C3092)</f>
        <v>0.349003896691123</v>
      </c>
      <c r="F3092" s="0" t="n">
        <f aca="false">C3092/SUM($A3092:$C3092)</f>
        <v>0.443844310944063</v>
      </c>
      <c r="G3092" s="0" t="n">
        <f aca="false">SUMPRODUCT(D3092:F3092,Stats!$B$6:$D$6)</f>
        <v>0.364326100802244</v>
      </c>
      <c r="H3092" s="0" t="n">
        <f aca="false">SQRT(SUMPRODUCT(MMULT(D3092:F3092,Stats!$B$12:$D$14),D3092:F3092))</f>
        <v>0.231343607493001</v>
      </c>
      <c r="I3092" s="0" t="n">
        <f aca="false">(G3092-Stats!$B$2)/H3092</f>
        <v>1.39327861398546</v>
      </c>
    </row>
    <row r="3093" customFormat="false" ht="15" hidden="false" customHeight="false" outlineLevel="0" collapsed="false">
      <c r="A3093" s="0" t="n">
        <v>0.381100513611814</v>
      </c>
      <c r="B3093" s="0" t="n">
        <v>0.719470231313381</v>
      </c>
      <c r="C3093" s="0" t="n">
        <v>0.33616533857958</v>
      </c>
      <c r="D3093" s="0" t="n">
        <f aca="false">A3093/SUM($A3093:$C3093)</f>
        <v>0.265254362291895</v>
      </c>
      <c r="E3093" s="0" t="n">
        <f aca="false">B3093/SUM($A3093:$C3093)</f>
        <v>0.500767148242219</v>
      </c>
      <c r="F3093" s="0" t="n">
        <f aca="false">C3093/SUM($A3093:$C3093)</f>
        <v>0.233978489465886</v>
      </c>
      <c r="G3093" s="0" t="n">
        <f aca="false">SUMPRODUCT(D3093:F3093,Stats!$B$6:$D$6)</f>
        <v>0.378845331181784</v>
      </c>
      <c r="H3093" s="0" t="n">
        <f aca="false">SQRT(SUMPRODUCT(MMULT(D3093:F3093,Stats!$B$12:$D$14),D3093:F3093))</f>
        <v>0.230324378899051</v>
      </c>
      <c r="I3093" s="0" t="n">
        <f aca="false">(G3093-Stats!$B$2)/H3093</f>
        <v>1.46248231642652</v>
      </c>
    </row>
    <row r="3094" customFormat="false" ht="15" hidden="false" customHeight="false" outlineLevel="0" collapsed="false">
      <c r="A3094" s="0" t="n">
        <v>0.29028367731476</v>
      </c>
      <c r="B3094" s="0" t="n">
        <v>0.541188055857024</v>
      </c>
      <c r="C3094" s="0" t="n">
        <v>0.0237163603057906</v>
      </c>
      <c r="D3094" s="0" t="n">
        <f aca="false">A3094/SUM($A3094:$C3094)</f>
        <v>0.339438399024404</v>
      </c>
      <c r="E3094" s="0" t="n">
        <f aca="false">B3094/SUM($A3094:$C3094)</f>
        <v>0.632829268770935</v>
      </c>
      <c r="F3094" s="0" t="n">
        <f aca="false">C3094/SUM($A3094:$C3094)</f>
        <v>0.0277323322046608</v>
      </c>
      <c r="G3094" s="0" t="n">
        <f aca="false">SUMPRODUCT(D3094:F3094,Stats!$B$6:$D$6)</f>
        <v>0.392131173132384</v>
      </c>
      <c r="H3094" s="0" t="n">
        <f aca="false">SQRT(SUMPRODUCT(MMULT(D3094:F3094,Stats!$B$12:$D$14),D3094:F3094))</f>
        <v>0.233572468051279</v>
      </c>
      <c r="I3094" s="0" t="n">
        <f aca="false">(G3094-Stats!$B$2)/H3094</f>
        <v>1.49902587429746</v>
      </c>
    </row>
    <row r="3095" customFormat="false" ht="15" hidden="false" customHeight="false" outlineLevel="0" collapsed="false">
      <c r="A3095" s="0" t="n">
        <v>0.0797891236340004</v>
      </c>
      <c r="B3095" s="0" t="n">
        <v>0.417969543586527</v>
      </c>
      <c r="C3095" s="0" t="n">
        <v>0.942912711391757</v>
      </c>
      <c r="D3095" s="0" t="n">
        <f aca="false">A3095/SUM($A3095:$C3095)</f>
        <v>0.0553832919974135</v>
      </c>
      <c r="E3095" s="0" t="n">
        <f aca="false">B3095/SUM($A3095:$C3095)</f>
        <v>0.290121362714329</v>
      </c>
      <c r="F3095" s="0" t="n">
        <f aca="false">C3095/SUM($A3095:$C3095)</f>
        <v>0.654495345288257</v>
      </c>
      <c r="G3095" s="0" t="n">
        <f aca="false">SUMPRODUCT(D3095:F3095,Stats!$B$6:$D$6)</f>
        <v>0.355129454755999</v>
      </c>
      <c r="H3095" s="0" t="n">
        <f aca="false">SQRT(SUMPRODUCT(MMULT(D3095:F3095,Stats!$B$12:$D$14),D3095:F3095))</f>
        <v>0.242272177298803</v>
      </c>
      <c r="I3095" s="0" t="n">
        <f aca="false">(G3095-Stats!$B$2)/H3095</f>
        <v>1.29246972659929</v>
      </c>
    </row>
    <row r="3096" customFormat="false" ht="15" hidden="false" customHeight="false" outlineLevel="0" collapsed="false">
      <c r="A3096" s="0" t="n">
        <v>0.721511779843424</v>
      </c>
      <c r="B3096" s="0" t="n">
        <v>0.0881265695005578</v>
      </c>
      <c r="C3096" s="0" t="n">
        <v>0.846318012780874</v>
      </c>
      <c r="D3096" s="0" t="n">
        <f aca="false">A3096/SUM($A3096:$C3096)</f>
        <v>0.435707000707198</v>
      </c>
      <c r="E3096" s="0" t="n">
        <f aca="false">B3096/SUM($A3096:$C3096)</f>
        <v>0.0532179298417486</v>
      </c>
      <c r="F3096" s="0" t="n">
        <f aca="false">C3096/SUM($A3096:$C3096)</f>
        <v>0.511075069451053</v>
      </c>
      <c r="G3096" s="0" t="n">
        <f aca="false">SUMPRODUCT(D3096:F3096,Stats!$B$6:$D$6)</f>
        <v>0.345453096790496</v>
      </c>
      <c r="H3096" s="0" t="n">
        <f aca="false">SQRT(SUMPRODUCT(MMULT(D3096:F3096,Stats!$B$12:$D$14),D3096:F3096))</f>
        <v>0.224674150397319</v>
      </c>
      <c r="I3096" s="0" t="n">
        <f aca="false">(G3096-Stats!$B$2)/H3096</f>
        <v>1.35063644951528</v>
      </c>
    </row>
    <row r="3097" customFormat="false" ht="15" hidden="false" customHeight="false" outlineLevel="0" collapsed="false">
      <c r="A3097" s="0" t="n">
        <v>0.732300770608181</v>
      </c>
      <c r="B3097" s="0" t="n">
        <v>0.610946525702653</v>
      </c>
      <c r="C3097" s="0" t="n">
        <v>0.820292960609177</v>
      </c>
      <c r="D3097" s="0" t="n">
        <f aca="false">A3097/SUM($A3097:$C3097)</f>
        <v>0.338473374029414</v>
      </c>
      <c r="E3097" s="0" t="n">
        <f aca="false">B3097/SUM($A3097:$C3097)</f>
        <v>0.282382786152724</v>
      </c>
      <c r="F3097" s="0" t="n">
        <f aca="false">C3097/SUM($A3097:$C3097)</f>
        <v>0.379143839817862</v>
      </c>
      <c r="G3097" s="0" t="n">
        <f aca="false">SUMPRODUCT(D3097:F3097,Stats!$B$6:$D$6)</f>
        <v>0.362276898934077</v>
      </c>
      <c r="H3097" s="0" t="n">
        <f aca="false">SQRT(SUMPRODUCT(MMULT(D3097:F3097,Stats!$B$12:$D$14),D3097:F3097))</f>
        <v>0.225984751601891</v>
      </c>
      <c r="I3097" s="0" t="n">
        <f aca="false">(G3097-Stats!$B$2)/H3097</f>
        <v>1.41725004303962</v>
      </c>
    </row>
    <row r="3098" customFormat="false" ht="15" hidden="false" customHeight="false" outlineLevel="0" collapsed="false">
      <c r="A3098" s="0" t="n">
        <v>0.404109847742957</v>
      </c>
      <c r="B3098" s="0" t="n">
        <v>0.221501050853853</v>
      </c>
      <c r="C3098" s="0" t="n">
        <v>0.512023389108759</v>
      </c>
      <c r="D3098" s="0" t="n">
        <f aca="false">A3098/SUM($A3098:$C3098)</f>
        <v>0.355219469130087</v>
      </c>
      <c r="E3098" s="0" t="n">
        <f aca="false">B3098/SUM($A3098:$C3098)</f>
        <v>0.194703212840557</v>
      </c>
      <c r="F3098" s="0" t="n">
        <f aca="false">C3098/SUM($A3098:$C3098)</f>
        <v>0.450077318029356</v>
      </c>
      <c r="G3098" s="0" t="n">
        <f aca="false">SUMPRODUCT(D3098:F3098,Stats!$B$6:$D$6)</f>
        <v>0.355275966387914</v>
      </c>
      <c r="H3098" s="0" t="n">
        <f aca="false">SQRT(SUMPRODUCT(MMULT(D3098:F3098,Stats!$B$12:$D$14),D3098:F3098))</f>
        <v>0.225755608706348</v>
      </c>
      <c r="I3098" s="0" t="n">
        <f aca="false">(G3098-Stats!$B$2)/H3098</f>
        <v>1.38767744546009</v>
      </c>
    </row>
    <row r="3099" customFormat="false" ht="15" hidden="false" customHeight="false" outlineLevel="0" collapsed="false">
      <c r="A3099" s="0" t="n">
        <v>0.548841755593474</v>
      </c>
      <c r="B3099" s="0" t="n">
        <v>0.538326372009912</v>
      </c>
      <c r="C3099" s="0" t="n">
        <v>0.565073791480105</v>
      </c>
      <c r="D3099" s="0" t="n">
        <f aca="false">A3099/SUM($A3099:$C3099)</f>
        <v>0.332180021130271</v>
      </c>
      <c r="E3099" s="0" t="n">
        <f aca="false">B3099/SUM($A3099:$C3099)</f>
        <v>0.325815708820973</v>
      </c>
      <c r="F3099" s="0" t="n">
        <f aca="false">C3099/SUM($A3099:$C3099)</f>
        <v>0.342004270048756</v>
      </c>
      <c r="G3099" s="0" t="n">
        <f aca="false">SUMPRODUCT(D3099:F3099,Stats!$B$6:$D$6)</f>
        <v>0.365800082442029</v>
      </c>
      <c r="H3099" s="0" t="n">
        <f aca="false">SQRT(SUMPRODUCT(MMULT(D3099:F3099,Stats!$B$12:$D$14),D3099:F3099))</f>
        <v>0.226302439799153</v>
      </c>
      <c r="I3099" s="0" t="n">
        <f aca="false">(G3099-Stats!$B$2)/H3099</f>
        <v>1.43082895053808</v>
      </c>
    </row>
    <row r="3100" customFormat="false" ht="15" hidden="false" customHeight="false" outlineLevel="0" collapsed="false">
      <c r="A3100" s="0" t="n">
        <v>0.948704918239181</v>
      </c>
      <c r="B3100" s="0" t="n">
        <v>0.902245623096231</v>
      </c>
      <c r="C3100" s="0" t="n">
        <v>0.875717036558939</v>
      </c>
      <c r="D3100" s="0" t="n">
        <f aca="false">A3100/SUM($A3100:$C3100)</f>
        <v>0.347935672808275</v>
      </c>
      <c r="E3100" s="0" t="n">
        <f aca="false">B3100/SUM($A3100:$C3100)</f>
        <v>0.330896817203138</v>
      </c>
      <c r="F3100" s="0" t="n">
        <f aca="false">C3100/SUM($A3100:$C3100)</f>
        <v>0.321167509988587</v>
      </c>
      <c r="G3100" s="0" t="n">
        <f aca="false">SUMPRODUCT(D3100:F3100,Stats!$B$6:$D$6)</f>
        <v>0.366667008486409</v>
      </c>
      <c r="H3100" s="0" t="n">
        <f aca="false">SQRT(SUMPRODUCT(MMULT(D3100:F3100,Stats!$B$12:$D$14),D3100:F3100))</f>
        <v>0.225895173165991</v>
      </c>
      <c r="I3100" s="0" t="n">
        <f aca="false">(G3100-Stats!$B$2)/H3100</f>
        <v>1.43724632950807</v>
      </c>
    </row>
    <row r="3101" customFormat="false" ht="15" hidden="false" customHeight="false" outlineLevel="0" collapsed="false">
      <c r="A3101" s="0" t="n">
        <v>0.801416810908627</v>
      </c>
      <c r="B3101" s="0" t="n">
        <v>0.943428107265285</v>
      </c>
      <c r="C3101" s="0" t="n">
        <v>0.0984946416794033</v>
      </c>
      <c r="D3101" s="0" t="n">
        <f aca="false">A3101/SUM($A3101:$C3101)</f>
        <v>0.434763528306418</v>
      </c>
      <c r="E3101" s="0" t="n">
        <f aca="false">B3101/SUM($A3101:$C3101)</f>
        <v>0.511803754344837</v>
      </c>
      <c r="F3101" s="0" t="n">
        <f aca="false">C3101/SUM($A3101:$C3101)</f>
        <v>0.0534327173487456</v>
      </c>
      <c r="G3101" s="0" t="n">
        <f aca="false">SUMPRODUCT(D3101:F3101,Stats!$B$6:$D$6)</f>
        <v>0.384458843437104</v>
      </c>
      <c r="H3101" s="0" t="n">
        <f aca="false">SQRT(SUMPRODUCT(MMULT(D3101:F3101,Stats!$B$12:$D$14),D3101:F3101))</f>
        <v>0.229224619665404</v>
      </c>
      <c r="I3101" s="0" t="n">
        <f aca="false">(G3101-Stats!$B$2)/H3101</f>
        <v>1.49398805388787</v>
      </c>
    </row>
    <row r="3102" customFormat="false" ht="15" hidden="false" customHeight="false" outlineLevel="0" collapsed="false">
      <c r="A3102" s="0" t="n">
        <v>0.26512326144574</v>
      </c>
      <c r="B3102" s="0" t="n">
        <v>0.495055945654585</v>
      </c>
      <c r="C3102" s="0" t="n">
        <v>0.846534493123405</v>
      </c>
      <c r="D3102" s="0" t="n">
        <f aca="false">A3102/SUM($A3102:$C3102)</f>
        <v>0.165009647586139</v>
      </c>
      <c r="E3102" s="0" t="n">
        <f aca="false">B3102/SUM($A3102:$C3102)</f>
        <v>0.308117087434837</v>
      </c>
      <c r="F3102" s="0" t="n">
        <f aca="false">C3102/SUM($A3102:$C3102)</f>
        <v>0.526873264979024</v>
      </c>
      <c r="G3102" s="0" t="n">
        <f aca="false">SUMPRODUCT(D3102:F3102,Stats!$B$6:$D$6)</f>
        <v>0.3596840352435</v>
      </c>
      <c r="H3102" s="0" t="n">
        <f aca="false">SQRT(SUMPRODUCT(MMULT(D3102:F3102,Stats!$B$12:$D$14),D3102:F3102))</f>
        <v>0.234064609958206</v>
      </c>
      <c r="I3102" s="0" t="n">
        <f aca="false">(G3102-Stats!$B$2)/H3102</f>
        <v>1.35724933085879</v>
      </c>
    </row>
    <row r="3103" customFormat="false" ht="15" hidden="false" customHeight="false" outlineLevel="0" collapsed="false">
      <c r="A3103" s="0" t="n">
        <v>0.505165711522733</v>
      </c>
      <c r="B3103" s="0" t="n">
        <v>0.748034739341589</v>
      </c>
      <c r="C3103" s="0" t="n">
        <v>0.138959905248916</v>
      </c>
      <c r="D3103" s="0" t="n">
        <f aca="false">A3103/SUM($A3103:$C3103)</f>
        <v>0.362864600550113</v>
      </c>
      <c r="E3103" s="0" t="n">
        <f aca="false">B3103/SUM($A3103:$C3103)</f>
        <v>0.537319379952768</v>
      </c>
      <c r="F3103" s="0" t="n">
        <f aca="false">C3103/SUM($A3103:$C3103)</f>
        <v>0.0998160194971198</v>
      </c>
      <c r="G3103" s="0" t="n">
        <f aca="false">SUMPRODUCT(D3103:F3103,Stats!$B$6:$D$6)</f>
        <v>0.384647977793571</v>
      </c>
      <c r="H3103" s="0" t="n">
        <f aca="false">SQRT(SUMPRODUCT(MMULT(D3103:F3103,Stats!$B$12:$D$14),D3103:F3103))</f>
        <v>0.229932701433651</v>
      </c>
      <c r="I3103" s="0" t="n">
        <f aca="false">(G3103-Stats!$B$2)/H3103</f>
        <v>1.490209855567</v>
      </c>
    </row>
    <row r="3104" customFormat="false" ht="15" hidden="false" customHeight="false" outlineLevel="0" collapsed="false">
      <c r="A3104" s="0" t="n">
        <v>0.25241381297656</v>
      </c>
      <c r="B3104" s="0" t="n">
        <v>0.731776095037672</v>
      </c>
      <c r="C3104" s="0" t="n">
        <v>0.164734008887724</v>
      </c>
      <c r="D3104" s="0" t="n">
        <f aca="false">A3104/SUM($A3104:$C3104)</f>
        <v>0.219695846925345</v>
      </c>
      <c r="E3104" s="0" t="n">
        <f aca="false">B3104/SUM($A3104:$C3104)</f>
        <v>0.636923023598366</v>
      </c>
      <c r="F3104" s="0" t="n">
        <f aca="false">C3104/SUM($A3104:$C3104)</f>
        <v>0.143381129476289</v>
      </c>
      <c r="G3104" s="0" t="n">
        <f aca="false">SUMPRODUCT(D3104:F3104,Stats!$B$6:$D$6)</f>
        <v>0.389177751382812</v>
      </c>
      <c r="H3104" s="0" t="n">
        <f aca="false">SQRT(SUMPRODUCT(MMULT(D3104:F3104,Stats!$B$12:$D$14),D3104:F3104))</f>
        <v>0.234837547406783</v>
      </c>
      <c r="I3104" s="0" t="n">
        <f aca="false">(G3104-Stats!$B$2)/H3104</f>
        <v>1.47837411528333</v>
      </c>
    </row>
    <row r="3105" customFormat="false" ht="15" hidden="false" customHeight="false" outlineLevel="0" collapsed="false">
      <c r="A3105" s="0" t="n">
        <v>0.351355934654927</v>
      </c>
      <c r="B3105" s="0" t="n">
        <v>0.264866257813571</v>
      </c>
      <c r="C3105" s="0" t="n">
        <v>0.349861694222479</v>
      </c>
      <c r="D3105" s="0" t="n">
        <f aca="false">A3105/SUM($A3105:$C3105)</f>
        <v>0.36369091700555</v>
      </c>
      <c r="E3105" s="0" t="n">
        <f aca="false">B3105/SUM($A3105:$C3105)</f>
        <v>0.274164864420614</v>
      </c>
      <c r="F3105" s="0" t="n">
        <f aca="false">C3105/SUM($A3105:$C3105)</f>
        <v>0.362144218573836</v>
      </c>
      <c r="G3105" s="0" t="n">
        <f aca="false">SUMPRODUCT(D3105:F3105,Stats!$B$6:$D$6)</f>
        <v>0.362272808371265</v>
      </c>
      <c r="H3105" s="0" t="n">
        <f aca="false">SQRT(SUMPRODUCT(MMULT(D3105:F3105,Stats!$B$12:$D$14),D3105:F3105))</f>
        <v>0.225201293403935</v>
      </c>
      <c r="I3105" s="0" t="n">
        <f aca="false">(G3105-Stats!$B$2)/H3105</f>
        <v>1.42216238428437</v>
      </c>
    </row>
    <row r="3106" customFormat="false" ht="15" hidden="false" customHeight="false" outlineLevel="0" collapsed="false">
      <c r="A3106" s="0" t="n">
        <v>0.70832404907797</v>
      </c>
      <c r="B3106" s="0" t="n">
        <v>0.367847181142801</v>
      </c>
      <c r="C3106" s="0" t="n">
        <v>0.55526332260794</v>
      </c>
      <c r="D3106" s="0" t="n">
        <f aca="false">A3106/SUM($A3106:$C3106)</f>
        <v>0.434172518811632</v>
      </c>
      <c r="E3106" s="0" t="n">
        <f aca="false">B3106/SUM($A3106:$C3106)</f>
        <v>0.225474678408029</v>
      </c>
      <c r="F3106" s="0" t="n">
        <f aca="false">C3106/SUM($A3106:$C3106)</f>
        <v>0.340352802780339</v>
      </c>
      <c r="G3106" s="0" t="n">
        <f aca="false">SUMPRODUCT(D3106:F3106,Stats!$B$6:$D$6)</f>
        <v>0.360072127995662</v>
      </c>
      <c r="H3106" s="0" t="n">
        <f aca="false">SQRT(SUMPRODUCT(MMULT(D3106:F3106,Stats!$B$12:$D$14),D3106:F3106))</f>
        <v>0.223376031106949</v>
      </c>
      <c r="I3106" s="0" t="n">
        <f aca="false">(G3106-Stats!$B$2)/H3106</f>
        <v>1.42393132521624</v>
      </c>
    </row>
    <row r="3107" customFormat="false" ht="15" hidden="false" customHeight="false" outlineLevel="0" collapsed="false">
      <c r="A3107" s="0" t="n">
        <v>0.0999318770544097</v>
      </c>
      <c r="B3107" s="0" t="n">
        <v>0.805017693234628</v>
      </c>
      <c r="C3107" s="0" t="n">
        <v>0.369888625648125</v>
      </c>
      <c r="D3107" s="0" t="n">
        <f aca="false">A3107/SUM($A3107:$C3107)</f>
        <v>0.0783878906145791</v>
      </c>
      <c r="E3107" s="0" t="n">
        <f aca="false">B3107/SUM($A3107:$C3107)</f>
        <v>0.631466562423509</v>
      </c>
      <c r="F3107" s="0" t="n">
        <f aca="false">C3107/SUM($A3107:$C3107)</f>
        <v>0.290145546961912</v>
      </c>
      <c r="G3107" s="0" t="n">
        <f aca="false">SUMPRODUCT(D3107:F3107,Stats!$B$6:$D$6)</f>
        <v>0.384816821305367</v>
      </c>
      <c r="H3107" s="0" t="n">
        <f aca="false">SQRT(SUMPRODUCT(MMULT(D3107:F3107,Stats!$B$12:$D$14),D3107:F3107))</f>
        <v>0.239447902625292</v>
      </c>
      <c r="I3107" s="0" t="n">
        <f aca="false">(G3107-Stats!$B$2)/H3107</f>
        <v>1.43169690586864</v>
      </c>
    </row>
    <row r="3108" customFormat="false" ht="15" hidden="false" customHeight="false" outlineLevel="0" collapsed="false">
      <c r="A3108" s="0" t="n">
        <v>0.648534159033342</v>
      </c>
      <c r="B3108" s="0" t="n">
        <v>0.725389601661833</v>
      </c>
      <c r="C3108" s="0" t="n">
        <v>0.2096609221117</v>
      </c>
      <c r="D3108" s="0" t="n">
        <f aca="false">A3108/SUM($A3108:$C3108)</f>
        <v>0.409535508946593</v>
      </c>
      <c r="E3108" s="0" t="n">
        <f aca="false">B3108/SUM($A3108:$C3108)</f>
        <v>0.458068084098978</v>
      </c>
      <c r="F3108" s="0" t="n">
        <f aca="false">C3108/SUM($A3108:$C3108)</f>
        <v>0.13239640695443</v>
      </c>
      <c r="G3108" s="0" t="n">
        <f aca="false">SUMPRODUCT(D3108:F3108,Stats!$B$6:$D$6)</f>
        <v>0.379189569150029</v>
      </c>
      <c r="H3108" s="0" t="n">
        <f aca="false">SQRT(SUMPRODUCT(MMULT(D3108:F3108,Stats!$B$12:$D$14),D3108:F3108))</f>
        <v>0.227351007885717</v>
      </c>
      <c r="I3108" s="0" t="n">
        <f aca="false">(G3108-Stats!$B$2)/H3108</f>
        <v>1.48312326514746</v>
      </c>
    </row>
    <row r="3109" customFormat="false" ht="15" hidden="false" customHeight="false" outlineLevel="0" collapsed="false">
      <c r="A3109" s="0" t="n">
        <v>0.88467498495335</v>
      </c>
      <c r="B3109" s="0" t="n">
        <v>0.616224251606953</v>
      </c>
      <c r="C3109" s="0" t="n">
        <v>0.428725141751482</v>
      </c>
      <c r="D3109" s="0" t="n">
        <f aca="false">A3109/SUM($A3109:$C3109)</f>
        <v>0.45847004986916</v>
      </c>
      <c r="E3109" s="0" t="n">
        <f aca="false">B3109/SUM($A3109:$C3109)</f>
        <v>0.319349329606876</v>
      </c>
      <c r="F3109" s="0" t="n">
        <f aca="false">C3109/SUM($A3109:$C3109)</f>
        <v>0.222180620523965</v>
      </c>
      <c r="G3109" s="0" t="n">
        <f aca="false">SUMPRODUCT(D3109:F3109,Stats!$B$6:$D$6)</f>
        <v>0.368732106400368</v>
      </c>
      <c r="H3109" s="0" t="n">
        <f aca="false">SQRT(SUMPRODUCT(MMULT(D3109:F3109,Stats!$B$12:$D$14),D3109:F3109))</f>
        <v>0.223994129656166</v>
      </c>
      <c r="I3109" s="0" t="n">
        <f aca="false">(G3109-Stats!$B$2)/H3109</f>
        <v>1.45866370204392</v>
      </c>
    </row>
    <row r="3110" customFormat="false" ht="15" hidden="false" customHeight="false" outlineLevel="0" collapsed="false">
      <c r="A3110" s="0" t="n">
        <v>0.18233518357822</v>
      </c>
      <c r="B3110" s="0" t="n">
        <v>0.942300937901207</v>
      </c>
      <c r="C3110" s="0" t="n">
        <v>0.755068204131625</v>
      </c>
      <c r="D3110" s="0" t="n">
        <f aca="false">A3110/SUM($A3110:$C3110)</f>
        <v>0.0970020556392273</v>
      </c>
      <c r="E3110" s="0" t="n">
        <f aca="false">B3110/SUM($A3110:$C3110)</f>
        <v>0.501302744831895</v>
      </c>
      <c r="F3110" s="0" t="n">
        <f aca="false">C3110/SUM($A3110:$C3110)</f>
        <v>0.401695199528877</v>
      </c>
      <c r="G3110" s="0" t="n">
        <f aca="false">SUMPRODUCT(D3110:F3110,Stats!$B$6:$D$6)</f>
        <v>0.374251424943596</v>
      </c>
      <c r="H3110" s="0" t="n">
        <f aca="false">SQRT(SUMPRODUCT(MMULT(D3110:F3110,Stats!$B$12:$D$14),D3110:F3110))</f>
        <v>0.237161777482096</v>
      </c>
      <c r="I3110" s="0" t="n">
        <f aca="false">(G3110-Stats!$B$2)/H3110</f>
        <v>1.40094845160569</v>
      </c>
    </row>
    <row r="3111" customFormat="false" ht="15" hidden="false" customHeight="false" outlineLevel="0" collapsed="false">
      <c r="A3111" s="0" t="n">
        <v>0.208024562733249</v>
      </c>
      <c r="B3111" s="0" t="n">
        <v>0.337710774724225</v>
      </c>
      <c r="C3111" s="0" t="n">
        <v>0.809674258088073</v>
      </c>
      <c r="D3111" s="0" t="n">
        <f aca="false">A3111/SUM($A3111:$C3111)</f>
        <v>0.153477268728882</v>
      </c>
      <c r="E3111" s="0" t="n">
        <f aca="false">B3111/SUM($A3111:$C3111)</f>
        <v>0.24915772754899</v>
      </c>
      <c r="F3111" s="0" t="n">
        <f aca="false">C3111/SUM($A3111:$C3111)</f>
        <v>0.597365003722128</v>
      </c>
      <c r="G3111" s="0" t="n">
        <f aca="false">SUMPRODUCT(D3111:F3111,Stats!$B$6:$D$6)</f>
        <v>0.354347807401982</v>
      </c>
      <c r="H3111" s="0" t="n">
        <f aca="false">SQRT(SUMPRODUCT(MMULT(D3111:F3111,Stats!$B$12:$D$14),D3111:F3111))</f>
        <v>0.235817426171009</v>
      </c>
      <c r="I3111" s="0" t="n">
        <f aca="false">(G3111-Stats!$B$2)/H3111</f>
        <v>1.32453234043643</v>
      </c>
    </row>
    <row r="3112" customFormat="false" ht="15" hidden="false" customHeight="false" outlineLevel="0" collapsed="false">
      <c r="A3112" s="0" t="n">
        <v>0.695677663215339</v>
      </c>
      <c r="B3112" s="0" t="n">
        <v>0.765784292715724</v>
      </c>
      <c r="C3112" s="0" t="n">
        <v>0.441201102212932</v>
      </c>
      <c r="D3112" s="0" t="n">
        <f aca="false">A3112/SUM($A3112:$C3112)</f>
        <v>0.365633662900859</v>
      </c>
      <c r="E3112" s="0" t="n">
        <f aca="false">B3112/SUM($A3112:$C3112)</f>
        <v>0.402480244433152</v>
      </c>
      <c r="F3112" s="0" t="n">
        <f aca="false">C3112/SUM($A3112:$C3112)</f>
        <v>0.231886092665989</v>
      </c>
      <c r="G3112" s="0" t="n">
        <f aca="false">SUMPRODUCT(D3112:F3112,Stats!$B$6:$D$6)</f>
        <v>0.373247726983839</v>
      </c>
      <c r="H3112" s="0" t="n">
        <f aca="false">SQRT(SUMPRODUCT(MMULT(D3112:F3112,Stats!$B$12:$D$14),D3112:F3112))</f>
        <v>0.226428437146814</v>
      </c>
      <c r="I3112" s="0" t="n">
        <f aca="false">(G3112-Stats!$B$2)/H3112</f>
        <v>1.46292458296244</v>
      </c>
    </row>
    <row r="3113" customFormat="false" ht="15" hidden="false" customHeight="false" outlineLevel="0" collapsed="false">
      <c r="A3113" s="0" t="n">
        <v>0.716476262642167</v>
      </c>
      <c r="B3113" s="0" t="n">
        <v>0.386493722863914</v>
      </c>
      <c r="C3113" s="0" t="n">
        <v>0.211262916938196</v>
      </c>
      <c r="D3113" s="0" t="n">
        <f aca="false">A3113/SUM($A3113:$C3113)</f>
        <v>0.545166888844152</v>
      </c>
      <c r="E3113" s="0" t="n">
        <f aca="false">B3113/SUM($A3113:$C3113)</f>
        <v>0.294083127994356</v>
      </c>
      <c r="F3113" s="0" t="n">
        <f aca="false">C3113/SUM($A3113:$C3113)</f>
        <v>0.160749983161492</v>
      </c>
      <c r="G3113" s="0" t="n">
        <f aca="false">SUMPRODUCT(D3113:F3113,Stats!$B$6:$D$6)</f>
        <v>0.368972248058794</v>
      </c>
      <c r="H3113" s="0" t="n">
        <f aca="false">SQRT(SUMPRODUCT(MMULT(D3113:F3113,Stats!$B$12:$D$14),D3113:F3113))</f>
        <v>0.223637855297833</v>
      </c>
      <c r="I3113" s="0" t="n">
        <f aca="false">(G3113-Stats!$B$2)/H3113</f>
        <v>1.4620612759112</v>
      </c>
    </row>
    <row r="3114" customFormat="false" ht="15" hidden="false" customHeight="false" outlineLevel="0" collapsed="false">
      <c r="A3114" s="0" t="n">
        <v>0.63267703484136</v>
      </c>
      <c r="B3114" s="0" t="n">
        <v>0.976013925598794</v>
      </c>
      <c r="C3114" s="0" t="n">
        <v>0.31060097139533</v>
      </c>
      <c r="D3114" s="0" t="n">
        <f aca="false">A3114/SUM($A3114:$C3114)</f>
        <v>0.329640855748458</v>
      </c>
      <c r="E3114" s="0" t="n">
        <f aca="false">B3114/SUM($A3114:$C3114)</f>
        <v>0.50852812404906</v>
      </c>
      <c r="F3114" s="0" t="n">
        <f aca="false">C3114/SUM($A3114:$C3114)</f>
        <v>0.161831020202482</v>
      </c>
      <c r="G3114" s="0" t="n">
        <f aca="false">SUMPRODUCT(D3114:F3114,Stats!$B$6:$D$6)</f>
        <v>0.381281326400438</v>
      </c>
      <c r="H3114" s="0" t="n">
        <f aca="false">SQRT(SUMPRODUCT(MMULT(D3114:F3114,Stats!$B$12:$D$14),D3114:F3114))</f>
        <v>0.22930793500172</v>
      </c>
      <c r="I3114" s="0" t="n">
        <f aca="false">(G3114-Stats!$B$2)/H3114</f>
        <v>1.47958825061109</v>
      </c>
    </row>
    <row r="3115" customFormat="false" ht="15" hidden="false" customHeight="false" outlineLevel="0" collapsed="false">
      <c r="A3115" s="0" t="n">
        <v>0.46096959221254</v>
      </c>
      <c r="B3115" s="0" t="n">
        <v>0.674001371069854</v>
      </c>
      <c r="C3115" s="0" t="n">
        <v>0.541506282122488</v>
      </c>
      <c r="D3115" s="0" t="n">
        <f aca="false">A3115/SUM($A3115:$C3115)</f>
        <v>0.274963226298495</v>
      </c>
      <c r="E3115" s="0" t="n">
        <f aca="false">B3115/SUM($A3115:$C3115)</f>
        <v>0.402034309095008</v>
      </c>
      <c r="F3115" s="0" t="n">
        <f aca="false">C3115/SUM($A3115:$C3115)</f>
        <v>0.323002464606497</v>
      </c>
      <c r="G3115" s="0" t="n">
        <f aca="false">SUMPRODUCT(D3115:F3115,Stats!$B$6:$D$6)</f>
        <v>0.370709569530585</v>
      </c>
      <c r="H3115" s="0" t="n">
        <f aca="false">SQRT(SUMPRODUCT(MMULT(D3115:F3115,Stats!$B$12:$D$14),D3115:F3115))</f>
        <v>0.22862829489387</v>
      </c>
      <c r="I3115" s="0" t="n">
        <f aca="false">(G3115-Stats!$B$2)/H3115</f>
        <v>1.43774666947139</v>
      </c>
    </row>
    <row r="3116" customFormat="false" ht="15" hidden="false" customHeight="false" outlineLevel="0" collapsed="false">
      <c r="A3116" s="0" t="n">
        <v>0.843427795709049</v>
      </c>
      <c r="B3116" s="0" t="n">
        <v>0.761742706469516</v>
      </c>
      <c r="C3116" s="0" t="n">
        <v>0.058297203862357</v>
      </c>
      <c r="D3116" s="0" t="n">
        <f aca="false">A3116/SUM($A3116:$C3116)</f>
        <v>0.507029858557591</v>
      </c>
      <c r="E3116" s="0" t="n">
        <f aca="false">B3116/SUM($A3116:$C3116)</f>
        <v>0.457924553451341</v>
      </c>
      <c r="F3116" s="0" t="n">
        <f aca="false">C3116/SUM($A3116:$C3116)</f>
        <v>0.0350455879910679</v>
      </c>
      <c r="G3116" s="0" t="n">
        <f aca="false">SUMPRODUCT(D3116:F3116,Stats!$B$6:$D$6)</f>
        <v>0.381865721972153</v>
      </c>
      <c r="H3116" s="0" t="n">
        <f aca="false">SQRT(SUMPRODUCT(MMULT(D3116:F3116,Stats!$B$12:$D$14),D3116:F3116))</f>
        <v>0.228112576899589</v>
      </c>
      <c r="I3116" s="0" t="n">
        <f aca="false">(G3116-Stats!$B$2)/H3116</f>
        <v>1.48990347920078</v>
      </c>
    </row>
    <row r="3117" customFormat="false" ht="15" hidden="false" customHeight="false" outlineLevel="0" collapsed="false">
      <c r="A3117" s="0" t="n">
        <v>0.998421233923774</v>
      </c>
      <c r="B3117" s="0" t="n">
        <v>0.752402453719467</v>
      </c>
      <c r="C3117" s="0" t="n">
        <v>0.863903316294113</v>
      </c>
      <c r="D3117" s="0" t="n">
        <f aca="false">A3117/SUM($A3117:$C3117)</f>
        <v>0.38184530638201</v>
      </c>
      <c r="E3117" s="0" t="n">
        <f aca="false">B3117/SUM($A3117:$C3117)</f>
        <v>0.287755644312569</v>
      </c>
      <c r="F3117" s="0" t="n">
        <f aca="false">C3117/SUM($A3117:$C3117)</f>
        <v>0.330399049305421</v>
      </c>
      <c r="G3117" s="0" t="n">
        <f aca="false">SUMPRODUCT(D3117:F3117,Stats!$B$6:$D$6)</f>
        <v>0.363930165088788</v>
      </c>
      <c r="H3117" s="0" t="n">
        <f aca="false">SQRT(SUMPRODUCT(MMULT(D3117:F3117,Stats!$B$12:$D$14),D3117:F3117))</f>
        <v>0.224774182616386</v>
      </c>
      <c r="I3117" s="0" t="n">
        <f aca="false">(G3117-Stats!$B$2)/H3117</f>
        <v>1.43223817496076</v>
      </c>
    </row>
    <row r="3118" customFormat="false" ht="15" hidden="false" customHeight="false" outlineLevel="0" collapsed="false">
      <c r="A3118" s="0" t="n">
        <v>0.651197712095346</v>
      </c>
      <c r="B3118" s="0" t="n">
        <v>0.856285128046762</v>
      </c>
      <c r="C3118" s="0" t="n">
        <v>0.112382974928709</v>
      </c>
      <c r="D3118" s="0" t="n">
        <f aca="false">A3118/SUM($A3118:$C3118)</f>
        <v>0.402007194692776</v>
      </c>
      <c r="E3118" s="0" t="n">
        <f aca="false">B3118/SUM($A3118:$C3118)</f>
        <v>0.528614851971135</v>
      </c>
      <c r="F3118" s="0" t="n">
        <f aca="false">C3118/SUM($A3118:$C3118)</f>
        <v>0.0693779533360893</v>
      </c>
      <c r="G3118" s="0" t="n">
        <f aca="false">SUMPRODUCT(D3118:F3118,Stats!$B$6:$D$6)</f>
        <v>0.384986448486852</v>
      </c>
      <c r="H3118" s="0" t="n">
        <f aca="false">SQRT(SUMPRODUCT(MMULT(D3118:F3118,Stats!$B$12:$D$14),D3118:F3118))</f>
        <v>0.229645502283017</v>
      </c>
      <c r="I3118" s="0" t="n">
        <f aca="false">(G3118-Stats!$B$2)/H3118</f>
        <v>1.49354742451761</v>
      </c>
    </row>
    <row r="3119" customFormat="false" ht="15" hidden="false" customHeight="false" outlineLevel="0" collapsed="false">
      <c r="A3119" s="0" t="n">
        <v>0.347737835559316</v>
      </c>
      <c r="B3119" s="0" t="n">
        <v>0.876420943604493</v>
      </c>
      <c r="C3119" s="0" t="n">
        <v>0.201655211266892</v>
      </c>
      <c r="D3119" s="0" t="n">
        <f aca="false">A3119/SUM($A3119:$C3119)</f>
        <v>0.243887237671355</v>
      </c>
      <c r="E3119" s="0" t="n">
        <f aca="false">B3119/SUM($A3119:$C3119)</f>
        <v>0.614681122142552</v>
      </c>
      <c r="F3119" s="0" t="n">
        <f aca="false">C3119/SUM($A3119:$C3119)</f>
        <v>0.141431640186093</v>
      </c>
      <c r="G3119" s="0" t="n">
        <f aca="false">SUMPRODUCT(D3119:F3119,Stats!$B$6:$D$6)</f>
        <v>0.387951737577538</v>
      </c>
      <c r="H3119" s="0" t="n">
        <f aca="false">SQRT(SUMPRODUCT(MMULT(D3119:F3119,Stats!$B$12:$D$14),D3119:F3119))</f>
        <v>0.233681643572622</v>
      </c>
      <c r="I3119" s="0" t="n">
        <f aca="false">(G3119-Stats!$B$2)/H3119</f>
        <v>1.48044036445689</v>
      </c>
    </row>
    <row r="3120" customFormat="false" ht="15" hidden="false" customHeight="false" outlineLevel="0" collapsed="false">
      <c r="A3120" s="0" t="n">
        <v>0.0782420985800227</v>
      </c>
      <c r="B3120" s="0" t="n">
        <v>0.788118939945219</v>
      </c>
      <c r="C3120" s="0" t="n">
        <v>0.835486155643296</v>
      </c>
      <c r="D3120" s="0" t="n">
        <f aca="false">A3120/SUM($A3120:$C3120)</f>
        <v>0.0459748083424429</v>
      </c>
      <c r="E3120" s="0" t="n">
        <f aca="false">B3120/SUM($A3120:$C3120)</f>
        <v>0.463096183162476</v>
      </c>
      <c r="F3120" s="0" t="n">
        <f aca="false">C3120/SUM($A3120:$C3120)</f>
        <v>0.490929008495081</v>
      </c>
      <c r="G3120" s="0" t="n">
        <f aca="false">SUMPRODUCT(D3120:F3120,Stats!$B$6:$D$6)</f>
        <v>0.369592480873807</v>
      </c>
      <c r="H3120" s="0" t="n">
        <f aca="false">SQRT(SUMPRODUCT(MMULT(D3120:F3120,Stats!$B$12:$D$14),D3120:F3120))</f>
        <v>0.240354433470279</v>
      </c>
      <c r="I3120" s="0" t="n">
        <f aca="false">(G3120-Stats!$B$2)/H3120</f>
        <v>1.36295584876039</v>
      </c>
    </row>
    <row r="3121" customFormat="false" ht="15" hidden="false" customHeight="false" outlineLevel="0" collapsed="false">
      <c r="A3121" s="0" t="n">
        <v>0.162652218189901</v>
      </c>
      <c r="B3121" s="0" t="n">
        <v>0.854345982782716</v>
      </c>
      <c r="C3121" s="0" t="n">
        <v>0.68676779559717</v>
      </c>
      <c r="D3121" s="0" t="n">
        <f aca="false">A3121/SUM($A3121:$C3121)</f>
        <v>0.0954662896884728</v>
      </c>
      <c r="E3121" s="0" t="n">
        <f aca="false">B3121/SUM($A3121:$C3121)</f>
        <v>0.501445611957735</v>
      </c>
      <c r="F3121" s="0" t="n">
        <f aca="false">C3121/SUM($A3121:$C3121)</f>
        <v>0.403088098353793</v>
      </c>
      <c r="G3121" s="0" t="n">
        <f aca="false">SUMPRODUCT(D3121:F3121,Stats!$B$6:$D$6)</f>
        <v>0.374221236683747</v>
      </c>
      <c r="H3121" s="0" t="n">
        <f aca="false">SQRT(SUMPRODUCT(MMULT(D3121:F3121,Stats!$B$12:$D$14),D3121:F3121))</f>
        <v>0.237247931326274</v>
      </c>
      <c r="I3121" s="0" t="n">
        <f aca="false">(G3121-Stats!$B$2)/H3121</f>
        <v>1.40031246985611</v>
      </c>
    </row>
    <row r="3122" customFormat="false" ht="15" hidden="false" customHeight="false" outlineLevel="0" collapsed="false">
      <c r="A3122" s="0" t="n">
        <v>0.520082683216584</v>
      </c>
      <c r="B3122" s="0" t="n">
        <v>0.830250192781385</v>
      </c>
      <c r="C3122" s="0" t="n">
        <v>0.419249249318966</v>
      </c>
      <c r="D3122" s="0" t="n">
        <f aca="false">A3122/SUM($A3122:$C3122)</f>
        <v>0.293901410833609</v>
      </c>
      <c r="E3122" s="0" t="n">
        <f aca="false">B3122/SUM($A3122:$C3122)</f>
        <v>0.469178672695219</v>
      </c>
      <c r="F3122" s="0" t="n">
        <f aca="false">C3122/SUM($A3122:$C3122)</f>
        <v>0.236919916471171</v>
      </c>
      <c r="G3122" s="0" t="n">
        <f aca="false">SUMPRODUCT(D3122:F3122,Stats!$B$6:$D$6)</f>
        <v>0.376946662464635</v>
      </c>
      <c r="H3122" s="0" t="n">
        <f aca="false">SQRT(SUMPRODUCT(MMULT(D3122:F3122,Stats!$B$12:$D$14),D3122:F3122))</f>
        <v>0.22902893747263</v>
      </c>
      <c r="I3122" s="0" t="n">
        <f aca="false">(G3122-Stats!$B$2)/H3122</f>
        <v>1.46246437747484</v>
      </c>
    </row>
    <row r="3123" customFormat="false" ht="15" hidden="false" customHeight="false" outlineLevel="0" collapsed="false">
      <c r="A3123" s="0" t="n">
        <v>0.193993956223397</v>
      </c>
      <c r="B3123" s="0" t="n">
        <v>0.284852676610614</v>
      </c>
      <c r="C3123" s="0" t="n">
        <v>0.505164018293315</v>
      </c>
      <c r="D3123" s="0" t="n">
        <f aca="false">A3123/SUM($A3123:$C3123)</f>
        <v>0.197146195522527</v>
      </c>
      <c r="E3123" s="0" t="n">
        <f aca="false">B3123/SUM($A3123:$C3123)</f>
        <v>0.289481294012696</v>
      </c>
      <c r="F3123" s="0" t="n">
        <f aca="false">C3123/SUM($A3123:$C3123)</f>
        <v>0.513372510464777</v>
      </c>
      <c r="G3123" s="0" t="n">
        <f aca="false">SUMPRODUCT(D3123:F3123,Stats!$B$6:$D$6)</f>
        <v>0.358984033922893</v>
      </c>
      <c r="H3123" s="0" t="n">
        <f aca="false">SQRT(SUMPRODUCT(MMULT(D3123:F3123,Stats!$B$12:$D$14),D3123:F3123))</f>
        <v>0.232373518312503</v>
      </c>
      <c r="I3123" s="0" t="n">
        <f aca="false">(G3123-Stats!$B$2)/H3123</f>
        <v>1.36411427698316</v>
      </c>
    </row>
    <row r="3124" customFormat="false" ht="15" hidden="false" customHeight="false" outlineLevel="0" collapsed="false">
      <c r="A3124" s="0" t="n">
        <v>0.531330792673176</v>
      </c>
      <c r="B3124" s="0" t="n">
        <v>0.805580826441234</v>
      </c>
      <c r="C3124" s="0" t="n">
        <v>0.791352723652334</v>
      </c>
      <c r="D3124" s="0" t="n">
        <f aca="false">A3124/SUM($A3124:$C3124)</f>
        <v>0.249654510483621</v>
      </c>
      <c r="E3124" s="0" t="n">
        <f aca="false">B3124/SUM($A3124:$C3124)</f>
        <v>0.37851539879392</v>
      </c>
      <c r="F3124" s="0" t="n">
        <f aca="false">C3124/SUM($A3124:$C3124)</f>
        <v>0.37183009072246</v>
      </c>
      <c r="G3124" s="0" t="n">
        <f aca="false">SUMPRODUCT(D3124:F3124,Stats!$B$6:$D$6)</f>
        <v>0.368009918861735</v>
      </c>
      <c r="H3124" s="0" t="n">
        <f aca="false">SQRT(SUMPRODUCT(MMULT(D3124:F3124,Stats!$B$12:$D$14),D3124:F3124))</f>
        <v>0.229407044650566</v>
      </c>
      <c r="I3124" s="0" t="n">
        <f aca="false">(G3124-Stats!$B$2)/H3124</f>
        <v>1.42109811561504</v>
      </c>
    </row>
    <row r="3125" customFormat="false" ht="15" hidden="false" customHeight="false" outlineLevel="0" collapsed="false">
      <c r="A3125" s="0" t="n">
        <v>0.581366557204575</v>
      </c>
      <c r="B3125" s="0" t="n">
        <v>0.780785483365476</v>
      </c>
      <c r="C3125" s="0" t="n">
        <v>0.191773458293671</v>
      </c>
      <c r="D3125" s="0" t="n">
        <f aca="false">A3125/SUM($A3125:$C3125)</f>
        <v>0.374127689924445</v>
      </c>
      <c r="E3125" s="0" t="n">
        <f aca="false">B3125/SUM($A3125:$C3125)</f>
        <v>0.502460049684757</v>
      </c>
      <c r="F3125" s="0" t="n">
        <f aca="false">C3125/SUM($A3125:$C3125)</f>
        <v>0.123412260390798</v>
      </c>
      <c r="G3125" s="0" t="n">
        <f aca="false">SUMPRODUCT(D3125:F3125,Stats!$B$6:$D$6)</f>
        <v>0.381991559780446</v>
      </c>
      <c r="H3125" s="0" t="n">
        <f aca="false">SQRT(SUMPRODUCT(MMULT(D3125:F3125,Stats!$B$12:$D$14),D3125:F3125))</f>
        <v>0.228772845557108</v>
      </c>
      <c r="I3125" s="0" t="n">
        <f aca="false">(G3125-Stats!$B$2)/H3125</f>
        <v>1.48615347661781</v>
      </c>
    </row>
    <row r="3126" customFormat="false" ht="15" hidden="false" customHeight="false" outlineLevel="0" collapsed="false">
      <c r="A3126" s="0" t="n">
        <v>0.0500645270932943</v>
      </c>
      <c r="B3126" s="0" t="n">
        <v>0.8736338226347</v>
      </c>
      <c r="C3126" s="0" t="n">
        <v>0.0755544937627696</v>
      </c>
      <c r="D3126" s="0" t="n">
        <f aca="false">A3126/SUM($A3126:$C3126)</f>
        <v>0.0501019610996554</v>
      </c>
      <c r="E3126" s="0" t="n">
        <f aca="false">B3126/SUM($A3126:$C3126)</f>
        <v>0.874287051896465</v>
      </c>
      <c r="F3126" s="0" t="n">
        <f aca="false">C3126/SUM($A3126:$C3126)</f>
        <v>0.0756109870038793</v>
      </c>
      <c r="G3126" s="0" t="n">
        <f aca="false">SUMPRODUCT(D3126:F3126,Stats!$B$6:$D$6)</f>
        <v>0.404704105969743</v>
      </c>
      <c r="H3126" s="0" t="n">
        <f aca="false">SQRT(SUMPRODUCT(MMULT(D3126:F3126,Stats!$B$12:$D$14),D3126:F3126))</f>
        <v>0.247596018379524</v>
      </c>
      <c r="I3126" s="0" t="n">
        <f aca="false">(G3126-Stats!$B$2)/H3126</f>
        <v>1.46490282171573</v>
      </c>
    </row>
    <row r="3127" customFormat="false" ht="15" hidden="false" customHeight="false" outlineLevel="0" collapsed="false">
      <c r="A3127" s="0" t="n">
        <v>0.246688429743997</v>
      </c>
      <c r="B3127" s="0" t="n">
        <v>0.695318949624385</v>
      </c>
      <c r="C3127" s="0" t="n">
        <v>0.409447937627309</v>
      </c>
      <c r="D3127" s="0" t="n">
        <f aca="false">A3127/SUM($A3127:$C3127)</f>
        <v>0.182535394727212</v>
      </c>
      <c r="E3127" s="0" t="n">
        <f aca="false">B3127/SUM($A3127:$C3127)</f>
        <v>0.51449644015615</v>
      </c>
      <c r="F3127" s="0" t="n">
        <f aca="false">C3127/SUM($A3127:$C3127)</f>
        <v>0.302968165116638</v>
      </c>
      <c r="G3127" s="0" t="n">
        <f aca="false">SUMPRODUCT(D3127:F3127,Stats!$B$6:$D$6)</f>
        <v>0.377732933097791</v>
      </c>
      <c r="H3127" s="0" t="n">
        <f aca="false">SQRT(SUMPRODUCT(MMULT(D3127:F3127,Stats!$B$12:$D$14),D3127:F3127))</f>
        <v>0.233212323357111</v>
      </c>
      <c r="I3127" s="0" t="n">
        <f aca="false">(G3127-Stats!$B$2)/H3127</f>
        <v>1.43960202559148</v>
      </c>
    </row>
    <row r="3128" customFormat="false" ht="15" hidden="false" customHeight="false" outlineLevel="0" collapsed="false">
      <c r="A3128" s="0" t="n">
        <v>0.876313969915509</v>
      </c>
      <c r="B3128" s="0" t="n">
        <v>0.29797979466227</v>
      </c>
      <c r="C3128" s="0" t="n">
        <v>0.0118713466693593</v>
      </c>
      <c r="D3128" s="0" t="n">
        <f aca="false">A3128/SUM($A3128:$C3128)</f>
        <v>0.738779080253127</v>
      </c>
      <c r="E3128" s="0" t="n">
        <f aca="false">B3128/SUM($A3128:$C3128)</f>
        <v>0.251212745879006</v>
      </c>
      <c r="F3128" s="0" t="n">
        <f aca="false">C3128/SUM($A3128:$C3128)</f>
        <v>0.0100081738678671</v>
      </c>
      <c r="G3128" s="0" t="n">
        <f aca="false">SUMPRODUCT(D3128:F3128,Stats!$B$6:$D$6)</f>
        <v>0.37066218917085</v>
      </c>
      <c r="H3128" s="0" t="n">
        <f aca="false">SQRT(SUMPRODUCT(MMULT(D3128:F3128,Stats!$B$12:$D$14),D3128:F3128))</f>
        <v>0.227365942950015</v>
      </c>
      <c r="I3128" s="0" t="n">
        <f aca="false">(G3128-Stats!$B$2)/H3128</f>
        <v>1.44552075348903</v>
      </c>
    </row>
    <row r="3129" customFormat="false" ht="15" hidden="false" customHeight="false" outlineLevel="0" collapsed="false">
      <c r="A3129" s="0" t="n">
        <v>0.300655640560744</v>
      </c>
      <c r="B3129" s="0" t="n">
        <v>0.578075049184832</v>
      </c>
      <c r="C3129" s="0" t="n">
        <v>0.375938375403293</v>
      </c>
      <c r="D3129" s="0" t="n">
        <f aca="false">A3129/SUM($A3129:$C3129)</f>
        <v>0.239629436089644</v>
      </c>
      <c r="E3129" s="0" t="n">
        <f aca="false">B3129/SUM($A3129:$C3129)</f>
        <v>0.460739062787239</v>
      </c>
      <c r="F3129" s="0" t="n">
        <f aca="false">C3129/SUM($A3129:$C3129)</f>
        <v>0.299631501123117</v>
      </c>
      <c r="G3129" s="0" t="n">
        <f aca="false">SUMPRODUCT(D3129:F3129,Stats!$B$6:$D$6)</f>
        <v>0.374731810407069</v>
      </c>
      <c r="H3129" s="0" t="n">
        <f aca="false">SQRT(SUMPRODUCT(MMULT(D3129:F3129,Stats!$B$12:$D$14),D3129:F3129))</f>
        <v>0.230434802947308</v>
      </c>
      <c r="I3129" s="0" t="n">
        <f aca="false">(G3129-Stats!$B$2)/H3129</f>
        <v>1.4439303705489</v>
      </c>
    </row>
    <row r="3130" customFormat="false" ht="15" hidden="false" customHeight="false" outlineLevel="0" collapsed="false">
      <c r="A3130" s="0" t="n">
        <v>0.534872755758755</v>
      </c>
      <c r="B3130" s="0" t="n">
        <v>0.876598118835019</v>
      </c>
      <c r="C3130" s="0" t="n">
        <v>0.912485054230369</v>
      </c>
      <c r="D3130" s="0" t="n">
        <f aca="false">A3130/SUM($A3130:$C3130)</f>
        <v>0.230156152758622</v>
      </c>
      <c r="E3130" s="0" t="n">
        <f aca="false">B3130/SUM($A3130:$C3130)</f>
        <v>0.377200835851717</v>
      </c>
      <c r="F3130" s="0" t="n">
        <f aca="false">C3130/SUM($A3130:$C3130)</f>
        <v>0.392643011389661</v>
      </c>
      <c r="G3130" s="0" t="n">
        <f aca="false">SUMPRODUCT(D3130:F3130,Stats!$B$6:$D$6)</f>
        <v>0.367360372329118</v>
      </c>
      <c r="H3130" s="0" t="n">
        <f aca="false">SQRT(SUMPRODUCT(MMULT(D3130:F3130,Stats!$B$12:$D$14),D3130:F3130))</f>
        <v>0.230220340235746</v>
      </c>
      <c r="I3130" s="0" t="n">
        <f aca="false">(G3130-Stats!$B$2)/H3130</f>
        <v>1.41325641338185</v>
      </c>
    </row>
    <row r="3131" customFormat="false" ht="15" hidden="false" customHeight="false" outlineLevel="0" collapsed="false">
      <c r="A3131" s="0" t="n">
        <v>0.265974064654112</v>
      </c>
      <c r="B3131" s="0" t="n">
        <v>0.462140473269901</v>
      </c>
      <c r="C3131" s="0" t="n">
        <v>0.549144015241451</v>
      </c>
      <c r="D3131" s="0" t="n">
        <f aca="false">A3131/SUM($A3131:$C3131)</f>
        <v>0.208238233359206</v>
      </c>
      <c r="E3131" s="0" t="n">
        <f aca="false">B3131/SUM($A3131:$C3131)</f>
        <v>0.361822179326626</v>
      </c>
      <c r="F3131" s="0" t="n">
        <f aca="false">C3131/SUM($A3131:$C3131)</f>
        <v>0.429939587314168</v>
      </c>
      <c r="G3131" s="0" t="n">
        <f aca="false">SUMPRODUCT(D3131:F3131,Stats!$B$6:$D$6)</f>
        <v>0.365447065600769</v>
      </c>
      <c r="H3131" s="0" t="n">
        <f aca="false">SQRT(SUMPRODUCT(MMULT(D3131:F3131,Stats!$B$12:$D$14),D3131:F3131))</f>
        <v>0.231246916408923</v>
      </c>
      <c r="I3131" s="0" t="n">
        <f aca="false">(G3131-Stats!$B$2)/H3131</f>
        <v>1.39870866441654</v>
      </c>
    </row>
    <row r="3132" customFormat="false" ht="15" hidden="false" customHeight="false" outlineLevel="0" collapsed="false">
      <c r="A3132" s="0" t="n">
        <v>0.949112456888247</v>
      </c>
      <c r="B3132" s="0" t="n">
        <v>0.998617319164385</v>
      </c>
      <c r="C3132" s="0" t="n">
        <v>0.235407248841527</v>
      </c>
      <c r="D3132" s="0" t="n">
        <f aca="false">A3132/SUM($A3132:$C3132)</f>
        <v>0.434747084615205</v>
      </c>
      <c r="E3132" s="0" t="n">
        <f aca="false">B3132/SUM($A3132:$C3132)</f>
        <v>0.457423106189498</v>
      </c>
      <c r="F3132" s="0" t="n">
        <f aca="false">C3132/SUM($A3132:$C3132)</f>
        <v>0.107829809195298</v>
      </c>
      <c r="G3132" s="0" t="n">
        <f aca="false">SUMPRODUCT(D3132:F3132,Stats!$B$6:$D$6)</f>
        <v>0.379829872440294</v>
      </c>
      <c r="H3132" s="0" t="n">
        <f aca="false">SQRT(SUMPRODUCT(MMULT(D3132:F3132,Stats!$B$12:$D$14),D3132:F3132))</f>
        <v>0.227352620427586</v>
      </c>
      <c r="I3132" s="0" t="n">
        <f aca="false">(G3132-Stats!$B$2)/H3132</f>
        <v>1.48592909026046</v>
      </c>
    </row>
    <row r="3133" customFormat="false" ht="15" hidden="false" customHeight="false" outlineLevel="0" collapsed="false">
      <c r="A3133" s="0" t="n">
        <v>0.726979871345815</v>
      </c>
      <c r="B3133" s="0" t="n">
        <v>0.378031062233195</v>
      </c>
      <c r="C3133" s="0" t="n">
        <v>0.00810819688621323</v>
      </c>
      <c r="D3133" s="0" t="n">
        <f aca="false">A3133/SUM($A3133:$C3133)</f>
        <v>0.653101587645859</v>
      </c>
      <c r="E3133" s="0" t="n">
        <f aca="false">B3133/SUM($A3133:$C3133)</f>
        <v>0.339614199313239</v>
      </c>
      <c r="F3133" s="0" t="n">
        <f aca="false">C3133/SUM($A3133:$C3133)</f>
        <v>0.00728421304090285</v>
      </c>
      <c r="G3133" s="0" t="n">
        <f aca="false">SUMPRODUCT(D3133:F3133,Stats!$B$6:$D$6)</f>
        <v>0.375823806557807</v>
      </c>
      <c r="H3133" s="0" t="n">
        <f aca="false">SQRT(SUMPRODUCT(MMULT(D3133:F3133,Stats!$B$12:$D$14),D3133:F3133))</f>
        <v>0.227353473493913</v>
      </c>
      <c r="I3133" s="0" t="n">
        <f aca="false">(G3133-Stats!$B$2)/H3133</f>
        <v>1.46830308518134</v>
      </c>
    </row>
    <row r="3134" customFormat="false" ht="15" hidden="false" customHeight="false" outlineLevel="0" collapsed="false">
      <c r="A3134" s="0" t="n">
        <v>0.00925252243590236</v>
      </c>
      <c r="B3134" s="0" t="n">
        <v>0.460566007562256</v>
      </c>
      <c r="C3134" s="0" t="n">
        <v>0.488334913004335</v>
      </c>
      <c r="D3134" s="0" t="n">
        <f aca="false">A3134/SUM($A3134:$C3134)</f>
        <v>0.00965661867989372</v>
      </c>
      <c r="E3134" s="0" t="n">
        <f aca="false">B3134/SUM($A3134:$C3134)</f>
        <v>0.480680845981219</v>
      </c>
      <c r="F3134" s="0" t="n">
        <f aca="false">C3134/SUM($A3134:$C3134)</f>
        <v>0.509662535338888</v>
      </c>
      <c r="G3134" s="0" t="n">
        <f aca="false">SUMPRODUCT(D3134:F3134,Stats!$B$6:$D$6)</f>
        <v>0.370087709815589</v>
      </c>
      <c r="H3134" s="0" t="n">
        <f aca="false">SQRT(SUMPRODUCT(MMULT(D3134:F3134,Stats!$B$12:$D$14),D3134:F3134))</f>
        <v>0.242785761880493</v>
      </c>
      <c r="I3134" s="0" t="n">
        <f aca="false">(G3134-Stats!$B$2)/H3134</f>
        <v>1.3513465834009</v>
      </c>
    </row>
    <row r="3135" customFormat="false" ht="15" hidden="false" customHeight="false" outlineLevel="0" collapsed="false">
      <c r="A3135" s="0" t="n">
        <v>0.0225696965734427</v>
      </c>
      <c r="B3135" s="0" t="n">
        <v>0.686927416774303</v>
      </c>
      <c r="C3135" s="0" t="n">
        <v>0.294003388594953</v>
      </c>
      <c r="D3135" s="0" t="n">
        <f aca="false">A3135/SUM($A3135:$C3135)</f>
        <v>0.0224909669001156</v>
      </c>
      <c r="E3135" s="0" t="n">
        <f aca="false">B3135/SUM($A3135:$C3135)</f>
        <v>0.684531213930103</v>
      </c>
      <c r="F3135" s="0" t="n">
        <f aca="false">C3135/SUM($A3135:$C3135)</f>
        <v>0.292977819169782</v>
      </c>
      <c r="G3135" s="0" t="n">
        <f aca="false">SUMPRODUCT(D3135:F3135,Stats!$B$6:$D$6)</f>
        <v>0.387791993856039</v>
      </c>
      <c r="H3135" s="0" t="n">
        <f aca="false">SQRT(SUMPRODUCT(MMULT(D3135:F3135,Stats!$B$12:$D$14),D3135:F3135))</f>
        <v>0.243094489982303</v>
      </c>
      <c r="I3135" s="0" t="n">
        <f aca="false">(G3135-Stats!$B$2)/H3135</f>
        <v>1.42245920045827</v>
      </c>
    </row>
    <row r="3136" customFormat="false" ht="15" hidden="false" customHeight="false" outlineLevel="0" collapsed="false">
      <c r="A3136" s="0" t="n">
        <v>0.559893101535949</v>
      </c>
      <c r="B3136" s="0" t="n">
        <v>0.300919073165419</v>
      </c>
      <c r="C3136" s="0" t="n">
        <v>0.167134314869307</v>
      </c>
      <c r="D3136" s="0" t="n">
        <f aca="false">A3136/SUM($A3136:$C3136)</f>
        <v>0.544671446633171</v>
      </c>
      <c r="E3136" s="0" t="n">
        <f aca="false">B3136/SUM($A3136:$C3136)</f>
        <v>0.292738071697777</v>
      </c>
      <c r="F3136" s="0" t="n">
        <f aca="false">C3136/SUM($A3136:$C3136)</f>
        <v>0.162590481669052</v>
      </c>
      <c r="G3136" s="0" t="n">
        <f aca="false">SUMPRODUCT(D3136:F3136,Stats!$B$6:$D$6)</f>
        <v>0.368844104221908</v>
      </c>
      <c r="H3136" s="0" t="n">
        <f aca="false">SQRT(SUMPRODUCT(MMULT(D3136:F3136,Stats!$B$12:$D$14),D3136:F3136))</f>
        <v>0.223603548784577</v>
      </c>
      <c r="I3136" s="0" t="n">
        <f aca="false">(G3136-Stats!$B$2)/H3136</f>
        <v>1.46171250858274</v>
      </c>
    </row>
    <row r="3137" customFormat="false" ht="15" hidden="false" customHeight="false" outlineLevel="0" collapsed="false">
      <c r="A3137" s="0" t="n">
        <v>0.407173738598875</v>
      </c>
      <c r="B3137" s="0" t="n">
        <v>0.232273364790501</v>
      </c>
      <c r="C3137" s="0" t="n">
        <v>0.534800976919168</v>
      </c>
      <c r="D3137" s="0" t="n">
        <f aca="false">A3137/SUM($A3137:$C3137)</f>
        <v>0.346752739414219</v>
      </c>
      <c r="E3137" s="0" t="n">
        <f aca="false">B3137/SUM($A3137:$C3137)</f>
        <v>0.197806041743299</v>
      </c>
      <c r="F3137" s="0" t="n">
        <f aca="false">C3137/SUM($A3137:$C3137)</f>
        <v>0.455441218842482</v>
      </c>
      <c r="G3137" s="0" t="n">
        <f aca="false">SUMPRODUCT(D3137:F3137,Stats!$B$6:$D$6)</f>
        <v>0.355306591645207</v>
      </c>
      <c r="H3137" s="0" t="n">
        <f aca="false">SQRT(SUMPRODUCT(MMULT(D3137:F3137,Stats!$B$12:$D$14),D3137:F3137))</f>
        <v>0.226055568351743</v>
      </c>
      <c r="I3137" s="0" t="n">
        <f aca="false">(G3137-Stats!$B$2)/H3137</f>
        <v>1.38597157296166</v>
      </c>
    </row>
    <row r="3138" customFormat="false" ht="15" hidden="false" customHeight="false" outlineLevel="0" collapsed="false">
      <c r="A3138" s="0" t="n">
        <v>0.19882853028648</v>
      </c>
      <c r="B3138" s="0" t="n">
        <v>0.508405976644627</v>
      </c>
      <c r="C3138" s="0" t="n">
        <v>0.157378514868868</v>
      </c>
      <c r="D3138" s="0" t="n">
        <f aca="false">A3138/SUM($A3138:$C3138)</f>
        <v>0.229962451724997</v>
      </c>
      <c r="E3138" s="0" t="n">
        <f aca="false">B3138/SUM($A3138:$C3138)</f>
        <v>0.588015636852443</v>
      </c>
      <c r="F3138" s="0" t="n">
        <f aca="false">C3138/SUM($A3138:$C3138)</f>
        <v>0.182021911422561</v>
      </c>
      <c r="G3138" s="0" t="n">
        <f aca="false">SUMPRODUCT(D3138:F3138,Stats!$B$6:$D$6)</f>
        <v>0.385298178948901</v>
      </c>
      <c r="H3138" s="0" t="n">
        <f aca="false">SQRT(SUMPRODUCT(MMULT(D3138:F3138,Stats!$B$12:$D$14),D3138:F3138))</f>
        <v>0.233200208464692</v>
      </c>
      <c r="I3138" s="0" t="n">
        <f aca="false">(G3138-Stats!$B$2)/H3138</f>
        <v>1.47211780473549</v>
      </c>
    </row>
    <row r="3139" customFormat="false" ht="15" hidden="false" customHeight="false" outlineLevel="0" collapsed="false">
      <c r="A3139" s="0" t="n">
        <v>0.670974709485785</v>
      </c>
      <c r="B3139" s="0" t="n">
        <v>0.753937684441424</v>
      </c>
      <c r="C3139" s="0" t="n">
        <v>0.110394234249934</v>
      </c>
      <c r="D3139" s="0" t="n">
        <f aca="false">A3139/SUM($A3139:$C3139)</f>
        <v>0.437029774490343</v>
      </c>
      <c r="E3139" s="0" t="n">
        <f aca="false">B3139/SUM($A3139:$C3139)</f>
        <v>0.491066520918084</v>
      </c>
      <c r="F3139" s="0" t="n">
        <f aca="false">C3139/SUM($A3139:$C3139)</f>
        <v>0.0719037045915733</v>
      </c>
      <c r="G3139" s="0" t="n">
        <f aca="false">SUMPRODUCT(D3139:F3139,Stats!$B$6:$D$6)</f>
        <v>0.382756319496499</v>
      </c>
      <c r="H3139" s="0" t="n">
        <f aca="false">SQRT(SUMPRODUCT(MMULT(D3139:F3139,Stats!$B$12:$D$14),D3139:F3139))</f>
        <v>0.228485333420571</v>
      </c>
      <c r="I3139" s="0" t="n">
        <f aca="false">(G3139-Stats!$B$2)/H3139</f>
        <v>1.49137064683829</v>
      </c>
    </row>
    <row r="3140" customFormat="false" ht="15" hidden="false" customHeight="false" outlineLevel="0" collapsed="false">
      <c r="A3140" s="0" t="n">
        <v>0.467802412037339</v>
      </c>
      <c r="B3140" s="0" t="n">
        <v>0.0708717006548736</v>
      </c>
      <c r="C3140" s="0" t="n">
        <v>0.598182445542002</v>
      </c>
      <c r="D3140" s="0" t="n">
        <f aca="false">A3140/SUM($A3140:$C3140)</f>
        <v>0.411487631090362</v>
      </c>
      <c r="E3140" s="0" t="n">
        <f aca="false">B3140/SUM($A3140:$C3140)</f>
        <v>0.0623400552528392</v>
      </c>
      <c r="F3140" s="0" t="n">
        <f aca="false">C3140/SUM($A3140:$C3140)</f>
        <v>0.526172313656799</v>
      </c>
      <c r="G3140" s="0" t="n">
        <f aca="false">SUMPRODUCT(D3140:F3140,Stats!$B$6:$D$6)</f>
        <v>0.345561671377846</v>
      </c>
      <c r="H3140" s="0" t="n">
        <f aca="false">SQRT(SUMPRODUCT(MMULT(D3140:F3140,Stats!$B$12:$D$14),D3140:F3140))</f>
        <v>0.22542744943903</v>
      </c>
      <c r="I3140" s="0" t="n">
        <f aca="false">(G3140-Stats!$B$2)/H3140</f>
        <v>1.34660473750314</v>
      </c>
    </row>
    <row r="3141" customFormat="false" ht="15" hidden="false" customHeight="false" outlineLevel="0" collapsed="false">
      <c r="A3141" s="0" t="n">
        <v>0.264404297929645</v>
      </c>
      <c r="B3141" s="0" t="n">
        <v>0.527624456838708</v>
      </c>
      <c r="C3141" s="0" t="n">
        <v>0.517461009384291</v>
      </c>
      <c r="D3141" s="0" t="n">
        <f aca="false">A3141/SUM($A3141:$C3141)</f>
        <v>0.201913986017858</v>
      </c>
      <c r="E3141" s="0" t="n">
        <f aca="false">B3141/SUM($A3141:$C3141)</f>
        <v>0.402923696910397</v>
      </c>
      <c r="F3141" s="0" t="n">
        <f aca="false">C3141/SUM($A3141:$C3141)</f>
        <v>0.395162317071745</v>
      </c>
      <c r="G3141" s="0" t="n">
        <f aca="false">SUMPRODUCT(D3141:F3141,Stats!$B$6:$D$6)</f>
        <v>0.36877096357678</v>
      </c>
      <c r="H3141" s="0" t="n">
        <f aca="false">SQRT(SUMPRODUCT(MMULT(D3141:F3141,Stats!$B$12:$D$14),D3141:F3141))</f>
        <v>0.231536063041705</v>
      </c>
      <c r="I3141" s="0" t="n">
        <f aca="false">(G3141-Stats!$B$2)/H3141</f>
        <v>1.41131778472851</v>
      </c>
    </row>
    <row r="3142" customFormat="false" ht="15" hidden="false" customHeight="false" outlineLevel="0" collapsed="false">
      <c r="A3142" s="0" t="n">
        <v>0.9243543461938</v>
      </c>
      <c r="B3142" s="0" t="n">
        <v>0.549083222568723</v>
      </c>
      <c r="C3142" s="0" t="n">
        <v>0.582998479718316</v>
      </c>
      <c r="D3142" s="0" t="n">
        <f aca="false">A3142/SUM($A3142:$C3142)</f>
        <v>0.449493358607798</v>
      </c>
      <c r="E3142" s="0" t="n">
        <f aca="false">B3142/SUM($A3142:$C3142)</f>
        <v>0.267007195761983</v>
      </c>
      <c r="F3142" s="0" t="n">
        <f aca="false">C3142/SUM($A3142:$C3142)</f>
        <v>0.283499445630219</v>
      </c>
      <c r="G3142" s="0" t="n">
        <f aca="false">SUMPRODUCT(D3142:F3142,Stats!$B$6:$D$6)</f>
        <v>0.364029564746187</v>
      </c>
      <c r="H3142" s="0" t="n">
        <f aca="false">SQRT(SUMPRODUCT(MMULT(D3142:F3142,Stats!$B$12:$D$14),D3142:F3142))</f>
        <v>0.223384349541062</v>
      </c>
      <c r="I3142" s="0" t="n">
        <f aca="false">(G3142-Stats!$B$2)/H3142</f>
        <v>1.44159411976617</v>
      </c>
    </row>
    <row r="3143" customFormat="false" ht="15" hidden="false" customHeight="false" outlineLevel="0" collapsed="false">
      <c r="A3143" s="0" t="n">
        <v>0.40165312576438</v>
      </c>
      <c r="B3143" s="0" t="n">
        <v>0.949079603182817</v>
      </c>
      <c r="C3143" s="0" t="n">
        <v>0.77718590943961</v>
      </c>
      <c r="D3143" s="0" t="n">
        <f aca="false">A3143/SUM($A3143:$C3143)</f>
        <v>0.188753986415983</v>
      </c>
      <c r="E3143" s="0" t="n">
        <f aca="false">B3143/SUM($A3143:$C3143)</f>
        <v>0.446013106921382</v>
      </c>
      <c r="F3143" s="0" t="n">
        <f aca="false">C3143/SUM($A3143:$C3143)</f>
        <v>0.365232906662635</v>
      </c>
      <c r="G3143" s="0" t="n">
        <f aca="false">SUMPRODUCT(D3143:F3143,Stats!$B$6:$D$6)</f>
        <v>0.372075564439854</v>
      </c>
      <c r="H3143" s="0" t="n">
        <f aca="false">SQRT(SUMPRODUCT(MMULT(D3143:F3143,Stats!$B$12:$D$14),D3143:F3143))</f>
        <v>0.232298968093327</v>
      </c>
      <c r="I3143" s="0" t="n">
        <f aca="false">(G3143-Stats!$B$2)/H3143</f>
        <v>1.4209084403132</v>
      </c>
    </row>
    <row r="3144" customFormat="false" ht="15" hidden="false" customHeight="false" outlineLevel="0" collapsed="false">
      <c r="A3144" s="0" t="n">
        <v>0.285405290302842</v>
      </c>
      <c r="B3144" s="0" t="n">
        <v>0.844209585776232</v>
      </c>
      <c r="C3144" s="0" t="n">
        <v>0.43239636018509</v>
      </c>
      <c r="D3144" s="0" t="n">
        <f aca="false">A3144/SUM($A3144:$C3144)</f>
        <v>0.182716541134135</v>
      </c>
      <c r="E3144" s="0" t="n">
        <f aca="false">B3144/SUM($A3144:$C3144)</f>
        <v>0.540463196535842</v>
      </c>
      <c r="F3144" s="0" t="n">
        <f aca="false">C3144/SUM($A3144:$C3144)</f>
        <v>0.276820262330023</v>
      </c>
      <c r="G3144" s="0" t="n">
        <f aca="false">SUMPRODUCT(D3144:F3144,Stats!$B$6:$D$6)</f>
        <v>0.379948045014092</v>
      </c>
      <c r="H3144" s="0" t="n">
        <f aca="false">SQRT(SUMPRODUCT(MMULT(D3144:F3144,Stats!$B$12:$D$14),D3144:F3144))</f>
        <v>0.233591057394248</v>
      </c>
      <c r="I3144" s="0" t="n">
        <f aca="false">(G3144-Stats!$B$2)/H3144</f>
        <v>1.4467507822601</v>
      </c>
    </row>
    <row r="3145" customFormat="false" ht="15" hidden="false" customHeight="false" outlineLevel="0" collapsed="false">
      <c r="A3145" s="0" t="n">
        <v>0.828667143533594</v>
      </c>
      <c r="B3145" s="0" t="n">
        <v>0.822888068293502</v>
      </c>
      <c r="C3145" s="0" t="n">
        <v>0.188870186762854</v>
      </c>
      <c r="D3145" s="0" t="n">
        <f aca="false">A3145/SUM($A3145:$C3145)</f>
        <v>0.450258480549378</v>
      </c>
      <c r="E3145" s="0" t="n">
        <f aca="false">B3145/SUM($A3145:$C3145)</f>
        <v>0.447118404757922</v>
      </c>
      <c r="F3145" s="0" t="n">
        <f aca="false">C3145/SUM($A3145:$C3145)</f>
        <v>0.1026231146927</v>
      </c>
      <c r="G3145" s="0" t="n">
        <f aca="false">SUMPRODUCT(D3145:F3145,Stats!$B$6:$D$6)</f>
        <v>0.379380525855344</v>
      </c>
      <c r="H3145" s="0" t="n">
        <f aca="false">SQRT(SUMPRODUCT(MMULT(D3145:F3145,Stats!$B$12:$D$14),D3145:F3145))</f>
        <v>0.227095273341372</v>
      </c>
      <c r="I3145" s="0" t="n">
        <f aca="false">(G3145-Stats!$B$2)/H3145</f>
        <v>1.48563429300526</v>
      </c>
    </row>
    <row r="3146" customFormat="false" ht="15" hidden="false" customHeight="false" outlineLevel="0" collapsed="false">
      <c r="A3146" s="0" t="n">
        <v>0.701141131383577</v>
      </c>
      <c r="B3146" s="0" t="n">
        <v>0.290642969306531</v>
      </c>
      <c r="C3146" s="0" t="n">
        <v>0.297492669992668</v>
      </c>
      <c r="D3146" s="0" t="n">
        <f aca="false">A3146/SUM($A3146:$C3146)</f>
        <v>0.543825148584866</v>
      </c>
      <c r="E3146" s="0" t="n">
        <f aca="false">B3146/SUM($A3146:$C3146)</f>
        <v>0.225431013662499</v>
      </c>
      <c r="F3146" s="0" t="n">
        <f aca="false">C3146/SUM($A3146:$C3146)</f>
        <v>0.230743837752635</v>
      </c>
      <c r="G3146" s="0" t="n">
        <f aca="false">SUMPRODUCT(D3146:F3146,Stats!$B$6:$D$6)</f>
        <v>0.363092040635533</v>
      </c>
      <c r="H3146" s="0" t="n">
        <f aca="false">SQRT(SUMPRODUCT(MMULT(D3146:F3146,Stats!$B$12:$D$14),D3146:F3146))</f>
        <v>0.222389174043749</v>
      </c>
      <c r="I3146" s="0" t="n">
        <f aca="false">(G3146-Stats!$B$2)/H3146</f>
        <v>1.44382945804892</v>
      </c>
    </row>
    <row r="3147" customFormat="false" ht="15" hidden="false" customHeight="false" outlineLevel="0" collapsed="false">
      <c r="A3147" s="0" t="n">
        <v>0.296348076880581</v>
      </c>
      <c r="B3147" s="0" t="n">
        <v>0.725568247559948</v>
      </c>
      <c r="C3147" s="0" t="n">
        <v>0.229826041792536</v>
      </c>
      <c r="D3147" s="0" t="n">
        <f aca="false">A3147/SUM($A3147:$C3147)</f>
        <v>0.236748459487232</v>
      </c>
      <c r="E3147" s="0" t="n">
        <f aca="false">B3147/SUM($A3147:$C3147)</f>
        <v>0.579646632672056</v>
      </c>
      <c r="F3147" s="0" t="n">
        <f aca="false">C3147/SUM($A3147:$C3147)</f>
        <v>0.183604907840712</v>
      </c>
      <c r="G3147" s="0" t="n">
        <f aca="false">SUMPRODUCT(D3147:F3147,Stats!$B$6:$D$6)</f>
        <v>0.384772986762774</v>
      </c>
      <c r="H3147" s="0" t="n">
        <f aca="false">SQRT(SUMPRODUCT(MMULT(D3147:F3147,Stats!$B$12:$D$14),D3147:F3147))</f>
        <v>0.23282321796943</v>
      </c>
      <c r="I3147" s="0" t="n">
        <f aca="false">(G3147-Stats!$B$2)/H3147</f>
        <v>1.47224572253692</v>
      </c>
    </row>
    <row r="3148" customFormat="false" ht="15" hidden="false" customHeight="false" outlineLevel="0" collapsed="false">
      <c r="A3148" s="0" t="n">
        <v>0.000905835246090225</v>
      </c>
      <c r="B3148" s="0" t="n">
        <v>0.715236853482633</v>
      </c>
      <c r="C3148" s="0" t="n">
        <v>0.171184743835125</v>
      </c>
      <c r="D3148" s="0" t="n">
        <f aca="false">A3148/SUM($A3148:$C3148)</f>
        <v>0.00102085793005734</v>
      </c>
      <c r="E3148" s="0" t="n">
        <f aca="false">B3148/SUM($A3148:$C3148)</f>
        <v>0.80605741154201</v>
      </c>
      <c r="F3148" s="0" t="n">
        <f aca="false">C3148/SUM($A3148:$C3148)</f>
        <v>0.192921730527933</v>
      </c>
      <c r="G3148" s="0" t="n">
        <f aca="false">SUMPRODUCT(D3148:F3148,Stats!$B$6:$D$6)</f>
        <v>0.397543462139052</v>
      </c>
      <c r="H3148" s="0" t="n">
        <f aca="false">SQRT(SUMPRODUCT(MMULT(D3148:F3148,Stats!$B$12:$D$14),D3148:F3148))</f>
        <v>0.246954607016044</v>
      </c>
      <c r="I3148" s="0" t="n">
        <f aca="false">(G3148-Stats!$B$2)/H3148</f>
        <v>1.43971180143221</v>
      </c>
    </row>
    <row r="3149" customFormat="false" ht="15" hidden="false" customHeight="false" outlineLevel="0" collapsed="false">
      <c r="A3149" s="0" t="n">
        <v>0.104482395307835</v>
      </c>
      <c r="B3149" s="0" t="n">
        <v>0.23751612059406</v>
      </c>
      <c r="C3149" s="0" t="n">
        <v>0.379900522322704</v>
      </c>
      <c r="D3149" s="0" t="n">
        <f aca="false">A3149/SUM($A3149:$C3149)</f>
        <v>0.144732697753405</v>
      </c>
      <c r="E3149" s="0" t="n">
        <f aca="false">B3149/SUM($A3149:$C3149)</f>
        <v>0.329015704437278</v>
      </c>
      <c r="F3149" s="0" t="n">
        <f aca="false">C3149/SUM($A3149:$C3149)</f>
        <v>0.526251597809317</v>
      </c>
      <c r="G3149" s="0" t="n">
        <f aca="false">SUMPRODUCT(D3149:F3149,Stats!$B$6:$D$6)</f>
        <v>0.360903656850369</v>
      </c>
      <c r="H3149" s="0" t="n">
        <f aca="false">SQRT(SUMPRODUCT(MMULT(D3149:F3149,Stats!$B$12:$D$14),D3149:F3149))</f>
        <v>0.2350707019275</v>
      </c>
      <c r="I3149" s="0" t="n">
        <f aca="false">(G3149-Stats!$B$2)/H3149</f>
        <v>1.3566286833513</v>
      </c>
    </row>
    <row r="3150" customFormat="false" ht="15" hidden="false" customHeight="false" outlineLevel="0" collapsed="false">
      <c r="A3150" s="0" t="n">
        <v>0.475906327473201</v>
      </c>
      <c r="B3150" s="0" t="n">
        <v>0.0445700407126308</v>
      </c>
      <c r="C3150" s="0" t="n">
        <v>0.970573332627361</v>
      </c>
      <c r="D3150" s="0" t="n">
        <f aca="false">A3150/SUM($A3150:$C3150)</f>
        <v>0.319175361635263</v>
      </c>
      <c r="E3150" s="0" t="n">
        <f aca="false">B3150/SUM($A3150:$C3150)</f>
        <v>0.0298917203687598</v>
      </c>
      <c r="F3150" s="0" t="n">
        <f aca="false">C3150/SUM($A3150:$C3150)</f>
        <v>0.650932917995978</v>
      </c>
      <c r="G3150" s="0" t="n">
        <f aca="false">SUMPRODUCT(D3150:F3150,Stats!$B$6:$D$6)</f>
        <v>0.340254410506473</v>
      </c>
      <c r="H3150" s="0" t="n">
        <f aca="false">SQRT(SUMPRODUCT(MMULT(D3150:F3150,Stats!$B$12:$D$14),D3150:F3150))</f>
        <v>0.23089087998531</v>
      </c>
      <c r="I3150" s="0" t="n">
        <f aca="false">(G3150-Stats!$B$2)/H3150</f>
        <v>1.29175483468836</v>
      </c>
    </row>
    <row r="3151" customFormat="false" ht="15" hidden="false" customHeight="false" outlineLevel="0" collapsed="false">
      <c r="A3151" s="0" t="n">
        <v>0.716063053419558</v>
      </c>
      <c r="B3151" s="0" t="n">
        <v>0.323194065324336</v>
      </c>
      <c r="C3151" s="0" t="n">
        <v>0.318697257285397</v>
      </c>
      <c r="D3151" s="0" t="n">
        <f aca="false">A3151/SUM($A3151:$C3151)</f>
        <v>0.527310096759917</v>
      </c>
      <c r="E3151" s="0" t="n">
        <f aca="false">B3151/SUM($A3151:$C3151)</f>
        <v>0.238000680309575</v>
      </c>
      <c r="F3151" s="0" t="n">
        <f aca="false">C3151/SUM($A3151:$C3151)</f>
        <v>0.234689222930508</v>
      </c>
      <c r="G3151" s="0" t="n">
        <f aca="false">SUMPRODUCT(D3151:F3151,Stats!$B$6:$D$6)</f>
        <v>0.363706490506999</v>
      </c>
      <c r="H3151" s="0" t="n">
        <f aca="false">SQRT(SUMPRODUCT(MMULT(D3151:F3151,Stats!$B$12:$D$14),D3151:F3151))</f>
        <v>0.222547730692944</v>
      </c>
      <c r="I3151" s="0" t="n">
        <f aca="false">(G3151-Stats!$B$2)/H3151</f>
        <v>1.44556176558308</v>
      </c>
    </row>
    <row r="3152" customFormat="false" ht="15" hidden="false" customHeight="false" outlineLevel="0" collapsed="false">
      <c r="A3152" s="0" t="n">
        <v>0.448542549368459</v>
      </c>
      <c r="B3152" s="0" t="n">
        <v>0.626244822763033</v>
      </c>
      <c r="C3152" s="0" t="n">
        <v>0.146373066588968</v>
      </c>
      <c r="D3152" s="0" t="n">
        <f aca="false">A3152/SUM($A3152:$C3152)</f>
        <v>0.367308451163424</v>
      </c>
      <c r="E3152" s="0" t="n">
        <f aca="false">B3152/SUM($A3152:$C3152)</f>
        <v>0.512827637471794</v>
      </c>
      <c r="F3152" s="0" t="n">
        <f aca="false">C3152/SUM($A3152:$C3152)</f>
        <v>0.119863911364782</v>
      </c>
      <c r="G3152" s="0" t="n">
        <f aca="false">SUMPRODUCT(D3152:F3152,Stats!$B$6:$D$6)</f>
        <v>0.382685941722831</v>
      </c>
      <c r="H3152" s="0" t="n">
        <f aca="false">SQRT(SUMPRODUCT(MMULT(D3152:F3152,Stats!$B$12:$D$14),D3152:F3152))</f>
        <v>0.229122523063919</v>
      </c>
      <c r="I3152" s="0" t="n">
        <f aca="false">(G3152-Stats!$B$2)/H3152</f>
        <v>1.4869159834967</v>
      </c>
    </row>
    <row r="3153" customFormat="false" ht="15" hidden="false" customHeight="false" outlineLevel="0" collapsed="false">
      <c r="A3153" s="0" t="n">
        <v>0.188929813764952</v>
      </c>
      <c r="B3153" s="0" t="n">
        <v>0.859434582833551</v>
      </c>
      <c r="C3153" s="0" t="n">
        <v>0.256254923889073</v>
      </c>
      <c r="D3153" s="0" t="n">
        <f aca="false">A3153/SUM($A3153:$C3153)</f>
        <v>0.144816047714473</v>
      </c>
      <c r="E3153" s="0" t="n">
        <f aca="false">B3153/SUM($A3153:$C3153)</f>
        <v>0.658762728205155</v>
      </c>
      <c r="F3153" s="0" t="n">
        <f aca="false">C3153/SUM($A3153:$C3153)</f>
        <v>0.196421224080372</v>
      </c>
      <c r="G3153" s="0" t="n">
        <f aca="false">SUMPRODUCT(D3153:F3153,Stats!$B$6:$D$6)</f>
        <v>0.388971819510895</v>
      </c>
      <c r="H3153" s="0" t="n">
        <f aca="false">SQRT(SUMPRODUCT(MMULT(D3153:F3153,Stats!$B$12:$D$14),D3153:F3153))</f>
        <v>0.237429490061613</v>
      </c>
      <c r="I3153" s="0" t="n">
        <f aca="false">(G3153-Stats!$B$2)/H3153</f>
        <v>1.46136783354442</v>
      </c>
    </row>
    <row r="3154" customFormat="false" ht="15" hidden="false" customHeight="false" outlineLevel="0" collapsed="false">
      <c r="A3154" s="0" t="n">
        <v>0.380194997975178</v>
      </c>
      <c r="B3154" s="0" t="n">
        <v>0.871271850950117</v>
      </c>
      <c r="C3154" s="0" t="n">
        <v>0.663147829399823</v>
      </c>
      <c r="D3154" s="0" t="n">
        <f aca="false">A3154/SUM($A3154:$C3154)</f>
        <v>0.198575202770182</v>
      </c>
      <c r="E3154" s="0" t="n">
        <f aca="false">B3154/SUM($A3154:$C3154)</f>
        <v>0.455063810391496</v>
      </c>
      <c r="F3154" s="0" t="n">
        <f aca="false">C3154/SUM($A3154:$C3154)</f>
        <v>0.346360986838321</v>
      </c>
      <c r="G3154" s="0" t="n">
        <f aca="false">SUMPRODUCT(D3154:F3154,Stats!$B$6:$D$6)</f>
        <v>0.373116716134062</v>
      </c>
      <c r="H3154" s="0" t="n">
        <f aca="false">SQRT(SUMPRODUCT(MMULT(D3154:F3154,Stats!$B$12:$D$14),D3154:F3154))</f>
        <v>0.231934710834561</v>
      </c>
      <c r="I3154" s="0" t="n">
        <f aca="false">(G3154-Stats!$B$2)/H3154</f>
        <v>1.4276289863756</v>
      </c>
    </row>
    <row r="3155" customFormat="false" ht="15" hidden="false" customHeight="false" outlineLevel="0" collapsed="false">
      <c r="A3155" s="0" t="n">
        <v>0.341711879341688</v>
      </c>
      <c r="B3155" s="0" t="n">
        <v>0.683699545724621</v>
      </c>
      <c r="C3155" s="0" t="n">
        <v>0.0196832153814137</v>
      </c>
      <c r="D3155" s="0" t="n">
        <f aca="false">A3155/SUM($A3155:$C3155)</f>
        <v>0.32696740191424</v>
      </c>
      <c r="E3155" s="0" t="n">
        <f aca="false">B3155/SUM($A3155:$C3155)</f>
        <v>0.654198690973787</v>
      </c>
      <c r="F3155" s="0" t="n">
        <f aca="false">C3155/SUM($A3155:$C3155)</f>
        <v>0.0188339071119735</v>
      </c>
      <c r="G3155" s="0" t="n">
        <f aca="false">SUMPRODUCT(D3155:F3155,Stats!$B$6:$D$6)</f>
        <v>0.39360611267745</v>
      </c>
      <c r="H3155" s="0" t="n">
        <f aca="false">SQRT(SUMPRODUCT(MMULT(D3155:F3155,Stats!$B$12:$D$14),D3155:F3155))</f>
        <v>0.234468169148371</v>
      </c>
      <c r="I3155" s="0" t="n">
        <f aca="false">(G3155-Stats!$B$2)/H3155</f>
        <v>1.49958996120686</v>
      </c>
    </row>
    <row r="3156" customFormat="false" ht="15" hidden="false" customHeight="false" outlineLevel="0" collapsed="false">
      <c r="A3156" s="0" t="n">
        <v>0.735642660011365</v>
      </c>
      <c r="B3156" s="0" t="n">
        <v>0.48701604051624</v>
      </c>
      <c r="C3156" s="0" t="n">
        <v>0.813182147284461</v>
      </c>
      <c r="D3156" s="0" t="n">
        <f aca="false">A3156/SUM($A3156:$C3156)</f>
        <v>0.361345859035084</v>
      </c>
      <c r="E3156" s="0" t="n">
        <f aca="false">B3156/SUM($A3156:$C3156)</f>
        <v>0.239221077148363</v>
      </c>
      <c r="F3156" s="0" t="n">
        <f aca="false">C3156/SUM($A3156:$C3156)</f>
        <v>0.399433063816552</v>
      </c>
      <c r="G3156" s="0" t="n">
        <f aca="false">SUMPRODUCT(D3156:F3156,Stats!$B$6:$D$6)</f>
        <v>0.359233962512954</v>
      </c>
      <c r="H3156" s="0" t="n">
        <f aca="false">SQRT(SUMPRODUCT(MMULT(D3156:F3156,Stats!$B$12:$D$14),D3156:F3156))</f>
        <v>0.225286052396417</v>
      </c>
      <c r="I3156" s="0" t="n">
        <f aca="false">(G3156-Stats!$B$2)/H3156</f>
        <v>1.40813849387686</v>
      </c>
    </row>
    <row r="3157" customFormat="false" ht="15" hidden="false" customHeight="false" outlineLevel="0" collapsed="false">
      <c r="A3157" s="0" t="n">
        <v>0.954637652006468</v>
      </c>
      <c r="B3157" s="0" t="n">
        <v>0.925788549494568</v>
      </c>
      <c r="C3157" s="0" t="n">
        <v>0.909265043455341</v>
      </c>
      <c r="D3157" s="0" t="n">
        <f aca="false">A3157/SUM($A3157:$C3157)</f>
        <v>0.342201902713214</v>
      </c>
      <c r="E3157" s="0" t="n">
        <f aca="false">B3157/SUM($A3157:$C3157)</f>
        <v>0.331860578179878</v>
      </c>
      <c r="F3157" s="0" t="n">
        <f aca="false">C3157/SUM($A3157:$C3157)</f>
        <v>0.325937519106907</v>
      </c>
      <c r="G3157" s="0" t="n">
        <f aca="false">SUMPRODUCT(D3157:F3157,Stats!$B$6:$D$6)</f>
        <v>0.366590930878844</v>
      </c>
      <c r="H3157" s="0" t="n">
        <f aca="false">SQRT(SUMPRODUCT(MMULT(D3157:F3157,Stats!$B$12:$D$14),D3157:F3157))</f>
        <v>0.226054574111034</v>
      </c>
      <c r="I3157" s="0" t="n">
        <f aca="false">(G3157-Stats!$B$2)/H3157</f>
        <v>1.43589631908714</v>
      </c>
    </row>
    <row r="3158" customFormat="false" ht="15" hidden="false" customHeight="false" outlineLevel="0" collapsed="false">
      <c r="A3158" s="0" t="n">
        <v>0.512169955933887</v>
      </c>
      <c r="B3158" s="0" t="n">
        <v>0.360142114138938</v>
      </c>
      <c r="C3158" s="0" t="n">
        <v>0.465035324730673</v>
      </c>
      <c r="D3158" s="0" t="n">
        <f aca="false">A3158/SUM($A3158:$C3158)</f>
        <v>0.382974504548343</v>
      </c>
      <c r="E3158" s="0" t="n">
        <f aca="false">B3158/SUM($A3158:$C3158)</f>
        <v>0.269295858008424</v>
      </c>
      <c r="F3158" s="0" t="n">
        <f aca="false">C3158/SUM($A3158:$C3158)</f>
        <v>0.347729637443233</v>
      </c>
      <c r="G3158" s="0" t="n">
        <f aca="false">SUMPRODUCT(D3158:F3158,Stats!$B$6:$D$6)</f>
        <v>0.362390128574676</v>
      </c>
      <c r="H3158" s="0" t="n">
        <f aca="false">SQRT(SUMPRODUCT(MMULT(D3158:F3158,Stats!$B$12:$D$14),D3158:F3158))</f>
        <v>0.224667140174214</v>
      </c>
      <c r="I3158" s="0" t="n">
        <f aca="false">(G3158-Stats!$B$2)/H3158</f>
        <v>1.42606581597217</v>
      </c>
    </row>
    <row r="3159" customFormat="false" ht="15" hidden="false" customHeight="false" outlineLevel="0" collapsed="false">
      <c r="A3159" s="0" t="n">
        <v>0.689896003313361</v>
      </c>
      <c r="B3159" s="0" t="n">
        <v>0.883997776871187</v>
      </c>
      <c r="C3159" s="0" t="n">
        <v>0.20698630300012</v>
      </c>
      <c r="D3159" s="0" t="n">
        <f aca="false">A3159/SUM($A3159:$C3159)</f>
        <v>0.387390487336829</v>
      </c>
      <c r="E3159" s="0" t="n">
        <f aca="false">B3159/SUM($A3159:$C3159)</f>
        <v>0.496382538733531</v>
      </c>
      <c r="F3159" s="0" t="n">
        <f aca="false">C3159/SUM($A3159:$C3159)</f>
        <v>0.11622697392964</v>
      </c>
      <c r="G3159" s="0" t="n">
        <f aca="false">SUMPRODUCT(D3159:F3159,Stats!$B$6:$D$6)</f>
        <v>0.381839999176841</v>
      </c>
      <c r="H3159" s="0" t="n">
        <f aca="false">SQRT(SUMPRODUCT(MMULT(D3159:F3159,Stats!$B$12:$D$14),D3159:F3159))</f>
        <v>0.228543399281328</v>
      </c>
      <c r="I3159" s="0" t="n">
        <f aca="false">(G3159-Stats!$B$2)/H3159</f>
        <v>1.48698234228376</v>
      </c>
    </row>
    <row r="3160" customFormat="false" ht="15" hidden="false" customHeight="false" outlineLevel="0" collapsed="false">
      <c r="A3160" s="0" t="n">
        <v>0.918193158461703</v>
      </c>
      <c r="B3160" s="0" t="n">
        <v>0.815180231969889</v>
      </c>
      <c r="C3160" s="0" t="n">
        <v>0.978856015178235</v>
      </c>
      <c r="D3160" s="0" t="n">
        <f aca="false">A3160/SUM($A3160:$C3160)</f>
        <v>0.338538162208021</v>
      </c>
      <c r="E3160" s="0" t="n">
        <f aca="false">B3160/SUM($A3160:$C3160)</f>
        <v>0.300557257540168</v>
      </c>
      <c r="F3160" s="0" t="n">
        <f aca="false">C3160/SUM($A3160:$C3160)</f>
        <v>0.360904580251811</v>
      </c>
      <c r="G3160" s="0" t="n">
        <f aca="false">SUMPRODUCT(D3160:F3160,Stats!$B$6:$D$6)</f>
        <v>0.363825575062298</v>
      </c>
      <c r="H3160" s="0" t="n">
        <f aca="false">SQRT(SUMPRODUCT(MMULT(D3160:F3160,Stats!$B$12:$D$14),D3160:F3160))</f>
        <v>0.226011012076062</v>
      </c>
      <c r="I3160" s="0" t="n">
        <f aca="false">(G3160-Stats!$B$2)/H3160</f>
        <v>1.42393758651897</v>
      </c>
    </row>
    <row r="3161" customFormat="false" ht="15" hidden="false" customHeight="false" outlineLevel="0" collapsed="false">
      <c r="A3161" s="0" t="n">
        <v>0.880251773281687</v>
      </c>
      <c r="B3161" s="0" t="n">
        <v>0.279937329691907</v>
      </c>
      <c r="C3161" s="0" t="n">
        <v>0.105955911344048</v>
      </c>
      <c r="D3161" s="0" t="n">
        <f aca="false">A3161/SUM($A3161:$C3161)</f>
        <v>0.695221924288094</v>
      </c>
      <c r="E3161" s="0" t="n">
        <f aca="false">B3161/SUM($A3161:$C3161)</f>
        <v>0.221094208425069</v>
      </c>
      <c r="F3161" s="0" t="n">
        <f aca="false">C3161/SUM($A3161:$C3161)</f>
        <v>0.0836838672868369</v>
      </c>
      <c r="G3161" s="0" t="n">
        <f aca="false">SUMPRODUCT(D3161:F3161,Stats!$B$6:$D$6)</f>
        <v>0.366897628598544</v>
      </c>
      <c r="H3161" s="0" t="n">
        <f aca="false">SQRT(SUMPRODUCT(MMULT(D3161:F3161,Stats!$B$12:$D$14),D3161:F3161))</f>
        <v>0.224808887142571</v>
      </c>
      <c r="I3161" s="0" t="n">
        <f aca="false">(G3161-Stats!$B$2)/H3161</f>
        <v>1.44521701400754</v>
      </c>
    </row>
    <row r="3162" customFormat="false" ht="15" hidden="false" customHeight="false" outlineLevel="0" collapsed="false">
      <c r="A3162" s="0" t="n">
        <v>0.112241071991589</v>
      </c>
      <c r="B3162" s="0" t="n">
        <v>0.291223318578276</v>
      </c>
      <c r="C3162" s="0" t="n">
        <v>0.614183723984539</v>
      </c>
      <c r="D3162" s="0" t="n">
        <f aca="false">A3162/SUM($A3162:$C3162)</f>
        <v>0.110294580598457</v>
      </c>
      <c r="E3162" s="0" t="n">
        <f aca="false">B3162/SUM($A3162:$C3162)</f>
        <v>0.286172906344737</v>
      </c>
      <c r="F3162" s="0" t="n">
        <f aca="false">C3162/SUM($A3162:$C3162)</f>
        <v>0.603532513056805</v>
      </c>
      <c r="G3162" s="0" t="n">
        <f aca="false">SUMPRODUCT(D3162:F3162,Stats!$B$6:$D$6)</f>
        <v>0.356307546184326</v>
      </c>
      <c r="H3162" s="0" t="n">
        <f aca="false">SQRT(SUMPRODUCT(MMULT(D3162:F3162,Stats!$B$12:$D$14),D3162:F3162))</f>
        <v>0.238121555663639</v>
      </c>
      <c r="I3162" s="0" t="n">
        <f aca="false">(G3162-Stats!$B$2)/H3162</f>
        <v>1.3199457953664</v>
      </c>
    </row>
    <row r="3163" customFormat="false" ht="15" hidden="false" customHeight="false" outlineLevel="0" collapsed="false">
      <c r="A3163" s="0" t="n">
        <v>0.804320326097173</v>
      </c>
      <c r="B3163" s="0" t="n">
        <v>0.899250306981565</v>
      </c>
      <c r="C3163" s="0" t="n">
        <v>0.623753384369233</v>
      </c>
      <c r="D3163" s="0" t="n">
        <f aca="false">A3163/SUM($A3163:$C3163)</f>
        <v>0.345598773555885</v>
      </c>
      <c r="E3163" s="0" t="n">
        <f aca="false">B3163/SUM($A3163:$C3163)</f>
        <v>0.386388100771477</v>
      </c>
      <c r="F3163" s="0" t="n">
        <f aca="false">C3163/SUM($A3163:$C3163)</f>
        <v>0.268013125672639</v>
      </c>
      <c r="G3163" s="0" t="n">
        <f aca="false">SUMPRODUCT(D3163:F3163,Stats!$B$6:$D$6)</f>
        <v>0.37132561682523</v>
      </c>
      <c r="H3163" s="0" t="n">
        <f aca="false">SQRT(SUMPRODUCT(MMULT(D3163:F3163,Stats!$B$12:$D$14),D3163:F3163))</f>
        <v>0.226540005533499</v>
      </c>
      <c r="I3163" s="0" t="n">
        <f aca="false">(G3163-Stats!$B$2)/H3163</f>
        <v>1.45371947020868</v>
      </c>
    </row>
    <row r="3164" customFormat="false" ht="15" hidden="false" customHeight="false" outlineLevel="0" collapsed="false">
      <c r="A3164" s="0" t="n">
        <v>0.00563131274805373</v>
      </c>
      <c r="B3164" s="0" t="n">
        <v>0.186316776518534</v>
      </c>
      <c r="C3164" s="0" t="n">
        <v>0.099726203853368</v>
      </c>
      <c r="D3164" s="0" t="n">
        <f aca="false">A3164/SUM($A3164:$C3164)</f>
        <v>0.0193068531608227</v>
      </c>
      <c r="E3164" s="0" t="n">
        <f aca="false">B3164/SUM($A3164:$C3164)</f>
        <v>0.638783673821773</v>
      </c>
      <c r="F3164" s="0" t="n">
        <f aca="false">C3164/SUM($A3164:$C3164)</f>
        <v>0.341909473017405</v>
      </c>
      <c r="G3164" s="0" t="n">
        <f aca="false">SUMPRODUCT(D3164:F3164,Stats!$B$6:$D$6)</f>
        <v>0.383810468073343</v>
      </c>
      <c r="H3164" s="0" t="n">
        <f aca="false">SQRT(SUMPRODUCT(MMULT(D3164:F3164,Stats!$B$12:$D$14),D3164:F3164))</f>
        <v>0.242583662067392</v>
      </c>
      <c r="I3164" s="0" t="n">
        <f aca="false">(G3164-Stats!$B$2)/H3164</f>
        <v>1.40904158656153</v>
      </c>
    </row>
    <row r="3165" customFormat="false" ht="15" hidden="false" customHeight="false" outlineLevel="0" collapsed="false">
      <c r="A3165" s="0" t="n">
        <v>0.36332447556901</v>
      </c>
      <c r="B3165" s="0" t="n">
        <v>0.501350993633746</v>
      </c>
      <c r="C3165" s="0" t="n">
        <v>0.0433971785785609</v>
      </c>
      <c r="D3165" s="0" t="n">
        <f aca="false">A3165/SUM($A3165:$C3165)</f>
        <v>0.400105075796211</v>
      </c>
      <c r="E3165" s="0" t="n">
        <f aca="false">B3165/SUM($A3165:$C3165)</f>
        <v>0.552104498311551</v>
      </c>
      <c r="F3165" s="0" t="n">
        <f aca="false">C3165/SUM($A3165:$C3165)</f>
        <v>0.0477904258922374</v>
      </c>
      <c r="G3165" s="0" t="n">
        <f aca="false">SUMPRODUCT(D3165:F3165,Stats!$B$6:$D$6)</f>
        <v>0.38693328010149</v>
      </c>
      <c r="H3165" s="0" t="n">
        <f aca="false">SQRT(SUMPRODUCT(MMULT(D3165:F3165,Stats!$B$12:$D$14),D3165:F3165))</f>
        <v>0.230520903994198</v>
      </c>
      <c r="I3165" s="0" t="n">
        <f aca="false">(G3165-Stats!$B$2)/H3165</f>
        <v>1.49632104561837</v>
      </c>
    </row>
    <row r="3166" customFormat="false" ht="15" hidden="false" customHeight="false" outlineLevel="0" collapsed="false">
      <c r="A3166" s="0" t="n">
        <v>0.348477975795655</v>
      </c>
      <c r="B3166" s="0" t="n">
        <v>0.179179674625323</v>
      </c>
      <c r="C3166" s="0" t="n">
        <v>0.647070166258874</v>
      </c>
      <c r="D3166" s="0" t="n">
        <f aca="false">A3166/SUM($A3166:$C3166)</f>
        <v>0.296645717286718</v>
      </c>
      <c r="E3166" s="0" t="n">
        <f aca="false">B3166/SUM($A3166:$C3166)</f>
        <v>0.152528672668823</v>
      </c>
      <c r="F3166" s="0" t="n">
        <f aca="false">C3166/SUM($A3166:$C3166)</f>
        <v>0.550825610044458</v>
      </c>
      <c r="G3166" s="0" t="n">
        <f aca="false">SUMPRODUCT(D3166:F3166,Stats!$B$6:$D$6)</f>
        <v>0.350071202529385</v>
      </c>
      <c r="H3166" s="0" t="n">
        <f aca="false">SQRT(SUMPRODUCT(MMULT(D3166:F3166,Stats!$B$12:$D$14),D3166:F3166))</f>
        <v>0.229016591173355</v>
      </c>
      <c r="I3166" s="0" t="n">
        <f aca="false">(G3166-Stats!$B$2)/H3166</f>
        <v>1.34519163415628</v>
      </c>
    </row>
    <row r="3167" customFormat="false" ht="15" hidden="false" customHeight="false" outlineLevel="0" collapsed="false">
      <c r="A3167" s="0" t="n">
        <v>0.46427236932434</v>
      </c>
      <c r="B3167" s="0" t="n">
        <v>0.495317646933909</v>
      </c>
      <c r="C3167" s="0" t="n">
        <v>0.427691788033461</v>
      </c>
      <c r="D3167" s="0" t="n">
        <f aca="false">A3167/SUM($A3167:$C3167)</f>
        <v>0.33466334517476</v>
      </c>
      <c r="E3167" s="0" t="n">
        <f aca="false">B3167/SUM($A3167:$C3167)</f>
        <v>0.357041839229484</v>
      </c>
      <c r="F3167" s="0" t="n">
        <f aca="false">C3167/SUM($A3167:$C3167)</f>
        <v>0.308294815595757</v>
      </c>
      <c r="G3167" s="0" t="n">
        <f aca="false">SUMPRODUCT(D3167:F3167,Stats!$B$6:$D$6)</f>
        <v>0.368526318811749</v>
      </c>
      <c r="H3167" s="0" t="n">
        <f aca="false">SQRT(SUMPRODUCT(MMULT(D3167:F3167,Stats!$B$12:$D$14),D3167:F3167))</f>
        <v>0.226458072769311</v>
      </c>
      <c r="I3167" s="0" t="n">
        <f aca="false">(G3167-Stats!$B$2)/H3167</f>
        <v>1.44188420760949</v>
      </c>
    </row>
    <row r="3168" customFormat="false" ht="15" hidden="false" customHeight="false" outlineLevel="0" collapsed="false">
      <c r="A3168" s="0" t="n">
        <v>0.956019710486567</v>
      </c>
      <c r="B3168" s="0" t="n">
        <v>0.214735125121563</v>
      </c>
      <c r="C3168" s="0" t="n">
        <v>0.516664259843874</v>
      </c>
      <c r="D3168" s="0" t="n">
        <f aca="false">A3168/SUM($A3168:$C3168)</f>
        <v>0.566557361513371</v>
      </c>
      <c r="E3168" s="0" t="n">
        <f aca="false">B3168/SUM($A3168:$C3168)</f>
        <v>0.127256545632514</v>
      </c>
      <c r="F3168" s="0" t="n">
        <f aca="false">C3168/SUM($A3168:$C3168)</f>
        <v>0.306186092854115</v>
      </c>
      <c r="G3168" s="0" t="n">
        <f aca="false">SUMPRODUCT(D3168:F3168,Stats!$B$6:$D$6)</f>
        <v>0.355362917642009</v>
      </c>
      <c r="H3168" s="0" t="n">
        <f aca="false">SQRT(SUMPRODUCT(MMULT(D3168:F3168,Stats!$B$12:$D$14),D3168:F3168))</f>
        <v>0.221509630681554</v>
      </c>
      <c r="I3168" s="0" t="n">
        <f aca="false">(G3168-Stats!$B$2)/H3168</f>
        <v>1.41466949621032</v>
      </c>
    </row>
    <row r="3169" customFormat="false" ht="15" hidden="false" customHeight="false" outlineLevel="0" collapsed="false">
      <c r="A3169" s="0" t="n">
        <v>0.736017368365336</v>
      </c>
      <c r="B3169" s="0" t="n">
        <v>0.556844413134563</v>
      </c>
      <c r="C3169" s="0" t="n">
        <v>0.929020885716801</v>
      </c>
      <c r="D3169" s="0" t="n">
        <f aca="false">A3169/SUM($A3169:$C3169)</f>
        <v>0.331258431970815</v>
      </c>
      <c r="E3169" s="0" t="n">
        <f aca="false">B3169/SUM($A3169:$C3169)</f>
        <v>0.250618280321755</v>
      </c>
      <c r="F3169" s="0" t="n">
        <f aca="false">C3169/SUM($A3169:$C3169)</f>
        <v>0.41812328770743</v>
      </c>
      <c r="G3169" s="0" t="n">
        <f aca="false">SUMPRODUCT(D3169:F3169,Stats!$B$6:$D$6)</f>
        <v>0.359374367097287</v>
      </c>
      <c r="H3169" s="0" t="n">
        <f aca="false">SQRT(SUMPRODUCT(MMULT(D3169:F3169,Stats!$B$12:$D$14),D3169:F3169))</f>
        <v>0.226296225757538</v>
      </c>
      <c r="I3169" s="0" t="n">
        <f aca="false">(G3169-Stats!$B$2)/H3169</f>
        <v>1.40247309045858</v>
      </c>
    </row>
    <row r="3170" customFormat="false" ht="15" hidden="false" customHeight="false" outlineLevel="0" collapsed="false">
      <c r="A3170" s="0" t="n">
        <v>0.377968355641284</v>
      </c>
      <c r="B3170" s="0" t="n">
        <v>0.463675805773178</v>
      </c>
      <c r="C3170" s="0" t="n">
        <v>0.0885223152147284</v>
      </c>
      <c r="D3170" s="0" t="n">
        <f aca="false">A3170/SUM($A3170:$C3170)</f>
        <v>0.406344848086759</v>
      </c>
      <c r="E3170" s="0" t="n">
        <f aca="false">B3170/SUM($A3170:$C3170)</f>
        <v>0.498486902531128</v>
      </c>
      <c r="F3170" s="0" t="n">
        <f aca="false">C3170/SUM($A3170:$C3170)</f>
        <v>0.0951682493821132</v>
      </c>
      <c r="G3170" s="0" t="n">
        <f aca="false">SUMPRODUCT(D3170:F3170,Stats!$B$6:$D$6)</f>
        <v>0.382541767775916</v>
      </c>
      <c r="H3170" s="0" t="n">
        <f aca="false">SQRT(SUMPRODUCT(MMULT(D3170:F3170,Stats!$B$12:$D$14),D3170:F3170))</f>
        <v>0.228607395541734</v>
      </c>
      <c r="I3170" s="0" t="n">
        <f aca="false">(G3170-Stats!$B$2)/H3170</f>
        <v>1.48963583163585</v>
      </c>
    </row>
    <row r="3171" customFormat="false" ht="15" hidden="false" customHeight="false" outlineLevel="0" collapsed="false">
      <c r="A3171" s="0" t="n">
        <v>0.608999111051929</v>
      </c>
      <c r="B3171" s="0" t="n">
        <v>0.288211968448106</v>
      </c>
      <c r="C3171" s="0" t="n">
        <v>0.160309039515569</v>
      </c>
      <c r="D3171" s="0" t="n">
        <f aca="false">A3171/SUM($A3171:$C3171)</f>
        <v>0.575874728150626</v>
      </c>
      <c r="E3171" s="0" t="n">
        <f aca="false">B3171/SUM($A3171:$C3171)</f>
        <v>0.27253568349734</v>
      </c>
      <c r="F3171" s="0" t="n">
        <f aca="false">C3171/SUM($A3171:$C3171)</f>
        <v>0.151589588352034</v>
      </c>
      <c r="G3171" s="0" t="n">
        <f aca="false">SUMPRODUCT(D3171:F3171,Stats!$B$6:$D$6)</f>
        <v>0.367985030354345</v>
      </c>
      <c r="H3171" s="0" t="n">
        <f aca="false">SQRT(SUMPRODUCT(MMULT(D3171:F3171,Stats!$B$12:$D$14),D3171:F3171))</f>
        <v>0.223486045882057</v>
      </c>
      <c r="I3171" s="0" t="n">
        <f aca="false">(G3171-Stats!$B$2)/H3171</f>
        <v>1.45863706643403</v>
      </c>
    </row>
    <row r="3172" customFormat="false" ht="15" hidden="false" customHeight="false" outlineLevel="0" collapsed="false">
      <c r="A3172" s="0" t="n">
        <v>0.544531292904508</v>
      </c>
      <c r="B3172" s="0" t="n">
        <v>0.532310263379911</v>
      </c>
      <c r="C3172" s="0" t="n">
        <v>0.0758716412240476</v>
      </c>
      <c r="D3172" s="0" t="n">
        <f aca="false">A3172/SUM($A3172:$C3172)</f>
        <v>0.472390959070726</v>
      </c>
      <c r="E3172" s="0" t="n">
        <f aca="false">B3172/SUM($A3172:$C3172)</f>
        <v>0.461788990123886</v>
      </c>
      <c r="F3172" s="0" t="n">
        <f aca="false">C3172/SUM($A3172:$C3172)</f>
        <v>0.0658200508053872</v>
      </c>
      <c r="G3172" s="0" t="n">
        <f aca="false">SUMPRODUCT(D3172:F3172,Stats!$B$6:$D$6)</f>
        <v>0.381239482681025</v>
      </c>
      <c r="H3172" s="0" t="n">
        <f aca="false">SQRT(SUMPRODUCT(MMULT(D3172:F3172,Stats!$B$12:$D$14),D3172:F3172))</f>
        <v>0.227765647129055</v>
      </c>
      <c r="I3172" s="0" t="n">
        <f aca="false">(G3172-Stats!$B$2)/H3172</f>
        <v>1.48942339179362</v>
      </c>
    </row>
    <row r="3173" customFormat="false" ht="15" hidden="false" customHeight="false" outlineLevel="0" collapsed="false">
      <c r="A3173" s="0" t="n">
        <v>0.698215453494473</v>
      </c>
      <c r="B3173" s="0" t="n">
        <v>0.623772190650853</v>
      </c>
      <c r="C3173" s="0" t="n">
        <v>0.189017282746497</v>
      </c>
      <c r="D3173" s="0" t="n">
        <f aca="false">A3173/SUM($A3173:$C3173)</f>
        <v>0.46208681458817</v>
      </c>
      <c r="E3173" s="0" t="n">
        <f aca="false">B3173/SUM($A3173:$C3173)</f>
        <v>0.412819428679143</v>
      </c>
      <c r="F3173" s="0" t="n">
        <f aca="false">C3173/SUM($A3173:$C3173)</f>
        <v>0.125093756732687</v>
      </c>
      <c r="G3173" s="0" t="n">
        <f aca="false">SUMPRODUCT(D3173:F3173,Stats!$B$6:$D$6)</f>
        <v>0.376787387852478</v>
      </c>
      <c r="H3173" s="0" t="n">
        <f aca="false">SQRT(SUMPRODUCT(MMULT(D3173:F3173,Stats!$B$12:$D$14),D3173:F3173))</f>
        <v>0.226120362558027</v>
      </c>
      <c r="I3173" s="0" t="n">
        <f aca="false">(G3173-Stats!$B$2)/H3173</f>
        <v>1.48057160383583</v>
      </c>
    </row>
    <row r="3174" customFormat="false" ht="15" hidden="false" customHeight="false" outlineLevel="0" collapsed="false">
      <c r="A3174" s="0" t="n">
        <v>0.469434862154044</v>
      </c>
      <c r="B3174" s="0" t="n">
        <v>0.72032291647856</v>
      </c>
      <c r="C3174" s="0" t="n">
        <v>0.529435740541277</v>
      </c>
      <c r="D3174" s="0" t="n">
        <f aca="false">A3174/SUM($A3174:$C3174)</f>
        <v>0.273055276743726</v>
      </c>
      <c r="E3174" s="0" t="n">
        <f aca="false">B3174/SUM($A3174:$C3174)</f>
        <v>0.418988850554006</v>
      </c>
      <c r="F3174" s="0" t="n">
        <f aca="false">C3174/SUM($A3174:$C3174)</f>
        <v>0.307955872702269</v>
      </c>
      <c r="G3174" s="0" t="n">
        <f aca="false">SUMPRODUCT(D3174:F3174,Stats!$B$6:$D$6)</f>
        <v>0.372100015886838</v>
      </c>
      <c r="H3174" s="0" t="n">
        <f aca="false">SQRT(SUMPRODUCT(MMULT(D3174:F3174,Stats!$B$12:$D$14),D3174:F3174))</f>
        <v>0.22885569134972</v>
      </c>
      <c r="I3174" s="0" t="n">
        <f aca="false">(G3174-Stats!$B$2)/H3174</f>
        <v>1.44239373703145</v>
      </c>
    </row>
    <row r="3175" customFormat="false" ht="15" hidden="false" customHeight="false" outlineLevel="0" collapsed="false">
      <c r="A3175" s="0" t="n">
        <v>0.39548907618357</v>
      </c>
      <c r="B3175" s="0" t="n">
        <v>0.322338458080944</v>
      </c>
      <c r="C3175" s="0" t="n">
        <v>0.610393866644054</v>
      </c>
      <c r="D3175" s="0" t="n">
        <f aca="false">A3175/SUM($A3175:$C3175)</f>
        <v>0.297758397743807</v>
      </c>
      <c r="E3175" s="0" t="n">
        <f aca="false">B3175/SUM($A3175:$C3175)</f>
        <v>0.242684282801383</v>
      </c>
      <c r="F3175" s="0" t="n">
        <f aca="false">C3175/SUM($A3175:$C3175)</f>
        <v>0.45955731945481</v>
      </c>
      <c r="G3175" s="0" t="n">
        <f aca="false">SUMPRODUCT(D3175:F3175,Stats!$B$6:$D$6)</f>
        <v>0.357775327659669</v>
      </c>
      <c r="H3175" s="0" t="n">
        <f aca="false">SQRT(SUMPRODUCT(MMULT(D3175:F3175,Stats!$B$12:$D$14),D3175:F3175))</f>
        <v>0.227709337386784</v>
      </c>
      <c r="I3175" s="0" t="n">
        <f aca="false">(G3175-Stats!$B$2)/H3175</f>
        <v>1.38674738279748</v>
      </c>
    </row>
    <row r="3176" customFormat="false" ht="15" hidden="false" customHeight="false" outlineLevel="0" collapsed="false">
      <c r="A3176" s="0" t="n">
        <v>0.939108698310241</v>
      </c>
      <c r="B3176" s="0" t="n">
        <v>0.671744840477483</v>
      </c>
      <c r="C3176" s="0" t="n">
        <v>0.0747459036363155</v>
      </c>
      <c r="D3176" s="0" t="n">
        <f aca="false">A3176/SUM($A3176:$C3176)</f>
        <v>0.557136336589979</v>
      </c>
      <c r="E3176" s="0" t="n">
        <f aca="false">B3176/SUM($A3176:$C3176)</f>
        <v>0.398519852089803</v>
      </c>
      <c r="F3176" s="0" t="n">
        <f aca="false">C3176/SUM($A3176:$C3176)</f>
        <v>0.0443438113202175</v>
      </c>
      <c r="G3176" s="0" t="n">
        <f aca="false">SUMPRODUCT(D3176:F3176,Stats!$B$6:$D$6)</f>
        <v>0.378191257409794</v>
      </c>
      <c r="H3176" s="0" t="n">
        <f aca="false">SQRT(SUMPRODUCT(MMULT(D3176:F3176,Stats!$B$12:$D$14),D3176:F3176))</f>
        <v>0.226873846233769</v>
      </c>
      <c r="I3176" s="0" t="n">
        <f aca="false">(G3176-Stats!$B$2)/H3176</f>
        <v>1.48184227926998</v>
      </c>
    </row>
    <row r="3177" customFormat="false" ht="15" hidden="false" customHeight="false" outlineLevel="0" collapsed="false">
      <c r="A3177" s="0" t="n">
        <v>0.460684973482134</v>
      </c>
      <c r="B3177" s="0" t="n">
        <v>0.890824131510628</v>
      </c>
      <c r="C3177" s="0" t="n">
        <v>0.0944624258010869</v>
      </c>
      <c r="D3177" s="0" t="n">
        <f aca="false">A3177/SUM($A3177:$C3177)</f>
        <v>0.318598923748668</v>
      </c>
      <c r="E3177" s="0" t="n">
        <f aca="false">B3177/SUM($A3177:$C3177)</f>
        <v>0.61607307788526</v>
      </c>
      <c r="F3177" s="0" t="n">
        <f aca="false">C3177/SUM($A3177:$C3177)</f>
        <v>0.0653279983660718</v>
      </c>
      <c r="G3177" s="0" t="n">
        <f aca="false">SUMPRODUCT(D3177:F3177,Stats!$B$6:$D$6)</f>
        <v>0.390130357561588</v>
      </c>
      <c r="H3177" s="0" t="n">
        <f aca="false">SQRT(SUMPRODUCT(MMULT(D3177:F3177,Stats!$B$12:$D$14),D3177:F3177))</f>
        <v>0.232917096133111</v>
      </c>
      <c r="I3177" s="0" t="n">
        <f aca="false">(G3177-Stats!$B$2)/H3177</f>
        <v>1.49465351981992</v>
      </c>
    </row>
    <row r="3178" customFormat="false" ht="15" hidden="false" customHeight="false" outlineLevel="0" collapsed="false">
      <c r="A3178" s="0" t="n">
        <v>0.988875712137543</v>
      </c>
      <c r="B3178" s="0" t="n">
        <v>0.949069393645421</v>
      </c>
      <c r="C3178" s="0" t="n">
        <v>0.0782744807298759</v>
      </c>
      <c r="D3178" s="0" t="n">
        <f aca="false">A3178/SUM($A3178:$C3178)</f>
        <v>0.490460324238719</v>
      </c>
      <c r="E3178" s="0" t="n">
        <f aca="false">B3178/SUM($A3178:$C3178)</f>
        <v>0.470717277023822</v>
      </c>
      <c r="F3178" s="0" t="n">
        <f aca="false">C3178/SUM($A3178:$C3178)</f>
        <v>0.0388223987374588</v>
      </c>
      <c r="G3178" s="0" t="n">
        <f aca="false">SUMPRODUCT(D3178:F3178,Stats!$B$6:$D$6)</f>
        <v>0.382497654625522</v>
      </c>
      <c r="H3178" s="0" t="n">
        <f aca="false">SQRT(SUMPRODUCT(MMULT(D3178:F3178,Stats!$B$12:$D$14),D3178:F3178))</f>
        <v>0.228331052731329</v>
      </c>
      <c r="I3178" s="0" t="n">
        <f aca="false">(G3178-Stats!$B$2)/H3178</f>
        <v>1.49124549881604</v>
      </c>
    </row>
    <row r="3179" customFormat="false" ht="15" hidden="false" customHeight="false" outlineLevel="0" collapsed="false">
      <c r="A3179" s="0" t="n">
        <v>0.933413320449555</v>
      </c>
      <c r="B3179" s="0" t="n">
        <v>0.363132590259462</v>
      </c>
      <c r="C3179" s="0" t="n">
        <v>0.844709167075863</v>
      </c>
      <c r="D3179" s="0" t="n">
        <f aca="false">A3179/SUM($A3179:$C3179)</f>
        <v>0.435918789000686</v>
      </c>
      <c r="E3179" s="0" t="n">
        <f aca="false">B3179/SUM($A3179:$C3179)</f>
        <v>0.169588665090346</v>
      </c>
      <c r="F3179" s="0" t="n">
        <f aca="false">C3179/SUM($A3179:$C3179)</f>
        <v>0.394492545908968</v>
      </c>
      <c r="G3179" s="0" t="n">
        <f aca="false">SUMPRODUCT(D3179:F3179,Stats!$B$6:$D$6)</f>
        <v>0.355363636527682</v>
      </c>
      <c r="H3179" s="0" t="n">
        <f aca="false">SQRT(SUMPRODUCT(MMULT(D3179:F3179,Stats!$B$12:$D$14),D3179:F3179))</f>
        <v>0.223367692930969</v>
      </c>
      <c r="I3179" s="0" t="n">
        <f aca="false">(G3179-Stats!$B$2)/H3179</f>
        <v>1.40290492512956</v>
      </c>
    </row>
    <row r="3180" customFormat="false" ht="15" hidden="false" customHeight="false" outlineLevel="0" collapsed="false">
      <c r="A3180" s="0" t="n">
        <v>0.418383337713272</v>
      </c>
      <c r="B3180" s="0" t="n">
        <v>0.440855112702516</v>
      </c>
      <c r="C3180" s="0" t="n">
        <v>0.634243090977543</v>
      </c>
      <c r="D3180" s="0" t="n">
        <f aca="false">A3180/SUM($A3180:$C3180)</f>
        <v>0.280139610780154</v>
      </c>
      <c r="E3180" s="0" t="n">
        <f aca="false">B3180/SUM($A3180:$C3180)</f>
        <v>0.295186181070055</v>
      </c>
      <c r="F3180" s="0" t="n">
        <f aca="false">C3180/SUM($A3180:$C3180)</f>
        <v>0.424674208149792</v>
      </c>
      <c r="G3180" s="0" t="n">
        <f aca="false">SUMPRODUCT(D3180:F3180,Stats!$B$6:$D$6)</f>
        <v>0.361758107311657</v>
      </c>
      <c r="H3180" s="0" t="n">
        <f aca="false">SQRT(SUMPRODUCT(MMULT(D3180:F3180,Stats!$B$12:$D$14),D3180:F3180))</f>
        <v>0.22815628433119</v>
      </c>
      <c r="I3180" s="0" t="n">
        <f aca="false">(G3180-Stats!$B$2)/H3180</f>
        <v>1.40148717905793</v>
      </c>
    </row>
    <row r="3181" customFormat="false" ht="15" hidden="false" customHeight="false" outlineLevel="0" collapsed="false">
      <c r="A3181" s="0" t="n">
        <v>0.774477419275983</v>
      </c>
      <c r="B3181" s="0" t="n">
        <v>0.0337891509482486</v>
      </c>
      <c r="C3181" s="0" t="n">
        <v>0.593155995527134</v>
      </c>
      <c r="D3181" s="0" t="n">
        <f aca="false">A3181/SUM($A3181:$C3181)</f>
        <v>0.552636612398738</v>
      </c>
      <c r="E3181" s="0" t="n">
        <f aca="false">B3181/SUM($A3181:$C3181)</f>
        <v>0.0241106085873055</v>
      </c>
      <c r="F3181" s="0" t="n">
        <f aca="false">C3181/SUM($A3181:$C3181)</f>
        <v>0.423252779013956</v>
      </c>
      <c r="G3181" s="0" t="n">
        <f aca="false">SUMPRODUCT(D3181:F3181,Stats!$B$6:$D$6)</f>
        <v>0.346199965078958</v>
      </c>
      <c r="H3181" s="0" t="n">
        <f aca="false">SQRT(SUMPRODUCT(MMULT(D3181:F3181,Stats!$B$12:$D$14),D3181:F3181))</f>
        <v>0.221999029248829</v>
      </c>
      <c r="I3181" s="0" t="n">
        <f aca="false">(G3181-Stats!$B$2)/H3181</f>
        <v>1.37027610484726</v>
      </c>
    </row>
    <row r="3182" customFormat="false" ht="15" hidden="false" customHeight="false" outlineLevel="0" collapsed="false">
      <c r="A3182" s="0" t="n">
        <v>0.186732994097371</v>
      </c>
      <c r="B3182" s="0" t="n">
        <v>0.345949517863203</v>
      </c>
      <c r="C3182" s="0" t="n">
        <v>0.347968666155217</v>
      </c>
      <c r="D3182" s="0" t="n">
        <f aca="false">A3182/SUM($A3182:$C3182)</f>
        <v>0.212039680111367</v>
      </c>
      <c r="E3182" s="0" t="n">
        <f aca="false">B3182/SUM($A3182:$C3182)</f>
        <v>0.392833764900405</v>
      </c>
      <c r="F3182" s="0" t="n">
        <f aca="false">C3182/SUM($A3182:$C3182)</f>
        <v>0.395126554988228</v>
      </c>
      <c r="G3182" s="0" t="n">
        <f aca="false">SUMPRODUCT(D3182:F3182,Stats!$B$6:$D$6)</f>
        <v>0.368191388073766</v>
      </c>
      <c r="H3182" s="0" t="n">
        <f aca="false">SQRT(SUMPRODUCT(MMULT(D3182:F3182,Stats!$B$12:$D$14),D3182:F3182))</f>
        <v>0.231053091879945</v>
      </c>
      <c r="I3182" s="0" t="n">
        <f aca="false">(G3182-Stats!$B$2)/H3182</f>
        <v>1.41175945935082</v>
      </c>
    </row>
    <row r="3183" customFormat="false" ht="15" hidden="false" customHeight="false" outlineLevel="0" collapsed="false">
      <c r="A3183" s="0" t="n">
        <v>0.469060340221154</v>
      </c>
      <c r="B3183" s="0" t="n">
        <v>0.334136411876173</v>
      </c>
      <c r="C3183" s="0" t="n">
        <v>0.107361118450668</v>
      </c>
      <c r="D3183" s="0" t="n">
        <f aca="false">A3183/SUM($A3183:$C3183)</f>
        <v>0.515135122536322</v>
      </c>
      <c r="E3183" s="0" t="n">
        <f aca="false">B3183/SUM($A3183:$C3183)</f>
        <v>0.366957908644601</v>
      </c>
      <c r="F3183" s="0" t="n">
        <f aca="false">C3183/SUM($A3183:$C3183)</f>
        <v>0.117906968819077</v>
      </c>
      <c r="G3183" s="0" t="n">
        <f aca="false">SUMPRODUCT(D3183:F3183,Stats!$B$6:$D$6)</f>
        <v>0.374346748259628</v>
      </c>
      <c r="H3183" s="0" t="n">
        <f aca="false">SQRT(SUMPRODUCT(MMULT(D3183:F3183,Stats!$B$12:$D$14),D3183:F3183))</f>
        <v>0.225197375989998</v>
      </c>
      <c r="I3183" s="0" t="n">
        <f aca="false">(G3183-Stats!$B$2)/H3183</f>
        <v>1.47580204608774</v>
      </c>
    </row>
    <row r="3184" customFormat="false" ht="15" hidden="false" customHeight="false" outlineLevel="0" collapsed="false">
      <c r="A3184" s="0" t="n">
        <v>0.145628738525451</v>
      </c>
      <c r="B3184" s="0" t="n">
        <v>0.0334379855610977</v>
      </c>
      <c r="C3184" s="0" t="n">
        <v>0.470249085328754</v>
      </c>
      <c r="D3184" s="0" t="n">
        <f aca="false">A3184/SUM($A3184:$C3184)</f>
        <v>0.224280290751872</v>
      </c>
      <c r="E3184" s="0" t="n">
        <f aca="false">B3184/SUM($A3184:$C3184)</f>
        <v>0.0514972607723936</v>
      </c>
      <c r="F3184" s="0" t="n">
        <f aca="false">C3184/SUM($A3184:$C3184)</f>
        <v>0.724222448475734</v>
      </c>
      <c r="G3184" s="0" t="n">
        <f aca="false">SUMPRODUCT(D3184:F3184,Stats!$B$6:$D$6)</f>
        <v>0.33947663472345</v>
      </c>
      <c r="H3184" s="0" t="n">
        <f aca="false">SQRT(SUMPRODUCT(MMULT(D3184:F3184,Stats!$B$12:$D$14),D3184:F3184))</f>
        <v>0.236511878859272</v>
      </c>
      <c r="I3184" s="0" t="n">
        <f aca="false">(G3184-Stats!$B$2)/H3184</f>
        <v>1.25776614755343</v>
      </c>
    </row>
    <row r="3185" customFormat="false" ht="15" hidden="false" customHeight="false" outlineLevel="0" collapsed="false">
      <c r="A3185" s="0" t="n">
        <v>0.954447694852989</v>
      </c>
      <c r="B3185" s="0" t="n">
        <v>0.115675223648117</v>
      </c>
      <c r="C3185" s="0" t="n">
        <v>0.946264493003082</v>
      </c>
      <c r="D3185" s="0" t="n">
        <f aca="false">A3185/SUM($A3185:$C3185)</f>
        <v>0.473345394544488</v>
      </c>
      <c r="E3185" s="0" t="n">
        <f aca="false">B3185/SUM($A3185:$C3185)</f>
        <v>0.0573675589264987</v>
      </c>
      <c r="F3185" s="0" t="n">
        <f aca="false">C3185/SUM($A3185:$C3185)</f>
        <v>0.469287046529013</v>
      </c>
      <c r="G3185" s="0" t="n">
        <f aca="false">SUMPRODUCT(D3185:F3185,Stats!$B$6:$D$6)</f>
        <v>0.34684414973683</v>
      </c>
      <c r="H3185" s="0" t="n">
        <f aca="false">SQRT(SUMPRODUCT(MMULT(D3185:F3185,Stats!$B$12:$D$14),D3185:F3185))</f>
        <v>0.223380756350451</v>
      </c>
      <c r="I3185" s="0" t="n">
        <f aca="false">(G3185-Stats!$B$2)/H3185</f>
        <v>1.36468402523705</v>
      </c>
    </row>
    <row r="3186" customFormat="false" ht="15" hidden="false" customHeight="false" outlineLevel="0" collapsed="false">
      <c r="A3186" s="0" t="n">
        <v>0.733361514732094</v>
      </c>
      <c r="B3186" s="0" t="n">
        <v>0.637498802934163</v>
      </c>
      <c r="C3186" s="0" t="n">
        <v>0.645277755323563</v>
      </c>
      <c r="D3186" s="0" t="n">
        <f aca="false">A3186/SUM($A3186:$C3186)</f>
        <v>0.363745680197666</v>
      </c>
      <c r="E3186" s="0" t="n">
        <f aca="false">B3186/SUM($A3186:$C3186)</f>
        <v>0.316197988359393</v>
      </c>
      <c r="F3186" s="0" t="n">
        <f aca="false">C3186/SUM($A3186:$C3186)</f>
        <v>0.320056331442941</v>
      </c>
      <c r="G3186" s="0" t="n">
        <f aca="false">SUMPRODUCT(D3186:F3186,Stats!$B$6:$D$6)</f>
        <v>0.365851897220076</v>
      </c>
      <c r="H3186" s="0" t="n">
        <f aca="false">SQRT(SUMPRODUCT(MMULT(D3186:F3186,Stats!$B$12:$D$14),D3186:F3186))</f>
        <v>0.225389003249463</v>
      </c>
      <c r="I3186" s="0" t="n">
        <f aca="false">(G3186-Stats!$B$2)/H3186</f>
        <v>1.4368575775706</v>
      </c>
    </row>
    <row r="3187" customFormat="false" ht="15" hidden="false" customHeight="false" outlineLevel="0" collapsed="false">
      <c r="A3187" s="0" t="n">
        <v>0.826727648396282</v>
      </c>
      <c r="B3187" s="0" t="n">
        <v>0.106919864379821</v>
      </c>
      <c r="C3187" s="0" t="n">
        <v>0.504754323565542</v>
      </c>
      <c r="D3187" s="0" t="n">
        <f aca="false">A3187/SUM($A3187:$C3187)</f>
        <v>0.574754305444254</v>
      </c>
      <c r="E3187" s="0" t="n">
        <f aca="false">B3187/SUM($A3187:$C3187)</f>
        <v>0.0743324025863007</v>
      </c>
      <c r="F3187" s="0" t="n">
        <f aca="false">C3187/SUM($A3187:$C3187)</f>
        <v>0.350913291969445</v>
      </c>
      <c r="G3187" s="0" t="n">
        <f aca="false">SUMPRODUCT(D3187:F3187,Stats!$B$6:$D$6)</f>
        <v>0.351084395636887</v>
      </c>
      <c r="H3187" s="0" t="n">
        <f aca="false">SQRT(SUMPRODUCT(MMULT(D3187:F3187,Stats!$B$12:$D$14),D3187:F3187))</f>
        <v>0.221421383460019</v>
      </c>
      <c r="I3187" s="0" t="n">
        <f aca="false">(G3187-Stats!$B$2)/H3187</f>
        <v>1.39591032630639</v>
      </c>
    </row>
    <row r="3188" customFormat="false" ht="15" hidden="false" customHeight="false" outlineLevel="0" collapsed="false">
      <c r="A3188" s="0" t="n">
        <v>0.697091138260759</v>
      </c>
      <c r="B3188" s="0" t="n">
        <v>0.586820445073564</v>
      </c>
      <c r="C3188" s="0" t="n">
        <v>0.832779071023295</v>
      </c>
      <c r="D3188" s="0" t="n">
        <f aca="false">A3188/SUM($A3188:$C3188)</f>
        <v>0.329330663800902</v>
      </c>
      <c r="E3188" s="0" t="n">
        <f aca="false">B3188/SUM($A3188:$C3188)</f>
        <v>0.277234863708346</v>
      </c>
      <c r="F3188" s="0" t="n">
        <f aca="false">C3188/SUM($A3188:$C3188)</f>
        <v>0.393434472490753</v>
      </c>
      <c r="G3188" s="0" t="n">
        <f aca="false">SUMPRODUCT(D3188:F3188,Stats!$B$6:$D$6)</f>
        <v>0.361586635439964</v>
      </c>
      <c r="H3188" s="0" t="n">
        <f aca="false">SQRT(SUMPRODUCT(MMULT(D3188:F3188,Stats!$B$12:$D$14),D3188:F3188))</f>
        <v>0.226295612556476</v>
      </c>
      <c r="I3188" s="0" t="n">
        <f aca="false">(G3188-Stats!$B$2)/H3188</f>
        <v>1.41225290154579</v>
      </c>
    </row>
    <row r="3189" customFormat="false" ht="15" hidden="false" customHeight="false" outlineLevel="0" collapsed="false">
      <c r="A3189" s="0" t="n">
        <v>0.0722717090113515</v>
      </c>
      <c r="B3189" s="0" t="n">
        <v>0.690701039499166</v>
      </c>
      <c r="C3189" s="0" t="n">
        <v>0.534027730384718</v>
      </c>
      <c r="D3189" s="0" t="n">
        <f aca="false">A3189/SUM($A3189:$C3189)</f>
        <v>0.0557221914620351</v>
      </c>
      <c r="E3189" s="0" t="n">
        <f aca="false">B3189/SUM($A3189:$C3189)</f>
        <v>0.532537227810042</v>
      </c>
      <c r="F3189" s="0" t="n">
        <f aca="false">C3189/SUM($A3189:$C3189)</f>
        <v>0.411740580727923</v>
      </c>
      <c r="G3189" s="0" t="n">
        <f aca="false">SUMPRODUCT(D3189:F3189,Stats!$B$6:$D$6)</f>
        <v>0.375771619145251</v>
      </c>
      <c r="H3189" s="0" t="n">
        <f aca="false">SQRT(SUMPRODUCT(MMULT(D3189:F3189,Stats!$B$12:$D$14),D3189:F3189))</f>
        <v>0.239651978021693</v>
      </c>
      <c r="I3189" s="0" t="n">
        <f aca="false">(G3189-Stats!$B$2)/H3189</f>
        <v>1.39273467258859</v>
      </c>
    </row>
    <row r="3190" customFormat="false" ht="15" hidden="false" customHeight="false" outlineLevel="0" collapsed="false">
      <c r="A3190" s="0" t="n">
        <v>0.379160863979943</v>
      </c>
      <c r="B3190" s="0" t="n">
        <v>0.340274982234031</v>
      </c>
      <c r="C3190" s="0" t="n">
        <v>0.620832632774193</v>
      </c>
      <c r="D3190" s="0" t="n">
        <f aca="false">A3190/SUM($A3190:$C3190)</f>
        <v>0.282899187680807</v>
      </c>
      <c r="E3190" s="0" t="n">
        <f aca="false">B3190/SUM($A3190:$C3190)</f>
        <v>0.253885686016372</v>
      </c>
      <c r="F3190" s="0" t="n">
        <f aca="false">C3190/SUM($A3190:$C3190)</f>
        <v>0.46321512630282</v>
      </c>
      <c r="G3190" s="0" t="n">
        <f aca="false">SUMPRODUCT(D3190:F3190,Stats!$B$6:$D$6)</f>
        <v>0.358318979286</v>
      </c>
      <c r="H3190" s="0" t="n">
        <f aca="false">SQRT(SUMPRODUCT(MMULT(D3190:F3190,Stats!$B$12:$D$14),D3190:F3190))</f>
        <v>0.228284422945386</v>
      </c>
      <c r="I3190" s="0" t="n">
        <f aca="false">(G3190-Stats!$B$2)/H3190</f>
        <v>1.38563540694003</v>
      </c>
    </row>
    <row r="3191" customFormat="false" ht="15" hidden="false" customHeight="false" outlineLevel="0" collapsed="false">
      <c r="A3191" s="0" t="n">
        <v>0.890995374644265</v>
      </c>
      <c r="B3191" s="0" t="n">
        <v>0.496175926101115</v>
      </c>
      <c r="C3191" s="0" t="n">
        <v>0.82472316407692</v>
      </c>
      <c r="D3191" s="0" t="n">
        <f aca="false">A3191/SUM($A3191:$C3191)</f>
        <v>0.40282002094338</v>
      </c>
      <c r="E3191" s="0" t="n">
        <f aca="false">B3191/SUM($A3191:$C3191)</f>
        <v>0.22432169978823</v>
      </c>
      <c r="F3191" s="0" t="n">
        <f aca="false">C3191/SUM($A3191:$C3191)</f>
        <v>0.37285827926839</v>
      </c>
      <c r="G3191" s="0" t="n">
        <f aca="false">SUMPRODUCT(D3191:F3191,Stats!$B$6:$D$6)</f>
        <v>0.359109461086255</v>
      </c>
      <c r="H3191" s="0" t="n">
        <f aca="false">SQRT(SUMPRODUCT(MMULT(D3191:F3191,Stats!$B$12:$D$14),D3191:F3191))</f>
        <v>0.224093436671443</v>
      </c>
      <c r="I3191" s="0" t="n">
        <f aca="false">(G3191-Stats!$B$2)/H3191</f>
        <v>1.4150769687699</v>
      </c>
    </row>
    <row r="3192" customFormat="false" ht="15" hidden="false" customHeight="false" outlineLevel="0" collapsed="false">
      <c r="A3192" s="0" t="n">
        <v>0.402156381843968</v>
      </c>
      <c r="B3192" s="0" t="n">
        <v>0.102394462793177</v>
      </c>
      <c r="C3192" s="0" t="n">
        <v>0.0615057364586386</v>
      </c>
      <c r="D3192" s="0" t="n">
        <f aca="false">A3192/SUM($A3192:$C3192)</f>
        <v>0.710452621300623</v>
      </c>
      <c r="E3192" s="0" t="n">
        <f aca="false">B3192/SUM($A3192:$C3192)</f>
        <v>0.180890861819784</v>
      </c>
      <c r="F3192" s="0" t="n">
        <f aca="false">C3192/SUM($A3192:$C3192)</f>
        <v>0.108656516879593</v>
      </c>
      <c r="G3192" s="0" t="n">
        <f aca="false">SUMPRODUCT(D3192:F3192,Stats!$B$6:$D$6)</f>
        <v>0.363895768861515</v>
      </c>
      <c r="H3192" s="0" t="n">
        <f aca="false">SQRT(SUMPRODUCT(MMULT(D3192:F3192,Stats!$B$12:$D$14),D3192:F3192))</f>
        <v>0.224218996041197</v>
      </c>
      <c r="I3192" s="0" t="n">
        <f aca="false">(G3192-Stats!$B$2)/H3192</f>
        <v>1.43563112200526</v>
      </c>
    </row>
    <row r="3193" customFormat="false" ht="15" hidden="false" customHeight="false" outlineLevel="0" collapsed="false">
      <c r="A3193" s="0" t="n">
        <v>0.0513343713236776</v>
      </c>
      <c r="B3193" s="0" t="n">
        <v>0.38015014195767</v>
      </c>
      <c r="C3193" s="0" t="n">
        <v>0.337237750835842</v>
      </c>
      <c r="D3193" s="0" t="n">
        <f aca="false">A3193/SUM($A3193:$C3193)</f>
        <v>0.0667788273084956</v>
      </c>
      <c r="E3193" s="0" t="n">
        <f aca="false">B3193/SUM($A3193:$C3193)</f>
        <v>0.494522091661075</v>
      </c>
      <c r="F3193" s="0" t="n">
        <f aca="false">C3193/SUM($A3193:$C3193)</f>
        <v>0.438699081030429</v>
      </c>
      <c r="G3193" s="0" t="n">
        <f aca="false">SUMPRODUCT(D3193:F3193,Stats!$B$6:$D$6)</f>
        <v>0.37284090713621</v>
      </c>
      <c r="H3193" s="0" t="n">
        <f aca="false">SQRT(SUMPRODUCT(MMULT(D3193:F3193,Stats!$B$12:$D$14),D3193:F3193))</f>
        <v>0.238919933645793</v>
      </c>
      <c r="I3193" s="0" t="n">
        <f aca="false">(G3193-Stats!$B$2)/H3193</f>
        <v>1.38473547220507</v>
      </c>
    </row>
    <row r="3194" customFormat="false" ht="15" hidden="false" customHeight="false" outlineLevel="0" collapsed="false">
      <c r="A3194" s="0" t="n">
        <v>0.71793702362257</v>
      </c>
      <c r="B3194" s="0" t="n">
        <v>0.742821501584866</v>
      </c>
      <c r="C3194" s="0" t="n">
        <v>0.0508539688337398</v>
      </c>
      <c r="D3194" s="0" t="n">
        <f aca="false">A3194/SUM($A3194:$C3194)</f>
        <v>0.4749477967751</v>
      </c>
      <c r="E3194" s="0" t="n">
        <f aca="false">B3194/SUM($A3194:$C3194)</f>
        <v>0.491410003895239</v>
      </c>
      <c r="F3194" s="0" t="n">
        <f aca="false">C3194/SUM($A3194:$C3194)</f>
        <v>0.0336421993296614</v>
      </c>
      <c r="G3194" s="0" t="n">
        <f aca="false">SUMPRODUCT(D3194:F3194,Stats!$B$6:$D$6)</f>
        <v>0.383831129353891</v>
      </c>
      <c r="H3194" s="0" t="n">
        <f aca="false">SQRT(SUMPRODUCT(MMULT(D3194:F3194,Stats!$B$12:$D$14),D3194:F3194))</f>
        <v>0.228900234422837</v>
      </c>
      <c r="I3194" s="0" t="n">
        <f aca="false">(G3194-Stats!$B$2)/H3194</f>
        <v>1.49336295008961</v>
      </c>
    </row>
    <row r="3195" customFormat="false" ht="15" hidden="false" customHeight="false" outlineLevel="0" collapsed="false">
      <c r="A3195" s="0" t="n">
        <v>0.221123262889015</v>
      </c>
      <c r="B3195" s="0" t="n">
        <v>0.2742618501589</v>
      </c>
      <c r="C3195" s="0" t="n">
        <v>0.547611984142809</v>
      </c>
      <c r="D3195" s="0" t="n">
        <f aca="false">A3195/SUM($A3195:$C3195)</f>
        <v>0.21200755350576</v>
      </c>
      <c r="E3195" s="0" t="n">
        <f aca="false">B3195/SUM($A3195:$C3195)</f>
        <v>0.262955525856797</v>
      </c>
      <c r="F3195" s="0" t="n">
        <f aca="false">C3195/SUM($A3195:$C3195)</f>
        <v>0.525036920637443</v>
      </c>
      <c r="G3195" s="0" t="n">
        <f aca="false">SUMPRODUCT(D3195:F3195,Stats!$B$6:$D$6)</f>
        <v>0.357136133930689</v>
      </c>
      <c r="H3195" s="0" t="n">
        <f aca="false">SQRT(SUMPRODUCT(MMULT(D3195:F3195,Stats!$B$12:$D$14),D3195:F3195))</f>
        <v>0.231860606312098</v>
      </c>
      <c r="I3195" s="0" t="n">
        <f aca="false">(G3195-Stats!$B$2)/H3195</f>
        <v>1.359162036808</v>
      </c>
    </row>
    <row r="3196" customFormat="false" ht="15" hidden="false" customHeight="false" outlineLevel="0" collapsed="false">
      <c r="A3196" s="0" t="n">
        <v>0.14451522390695</v>
      </c>
      <c r="B3196" s="0" t="n">
        <v>0.1339412194</v>
      </c>
      <c r="C3196" s="0" t="n">
        <v>0.943788889207958</v>
      </c>
      <c r="D3196" s="0" t="n">
        <f aca="false">A3196/SUM($A3196:$C3196)</f>
        <v>0.118237492966812</v>
      </c>
      <c r="E3196" s="0" t="n">
        <f aca="false">B3196/SUM($A3196:$C3196)</f>
        <v>0.109586198316177</v>
      </c>
      <c r="F3196" s="0" t="n">
        <f aca="false">C3196/SUM($A3196:$C3196)</f>
        <v>0.772176308717011</v>
      </c>
      <c r="G3196" s="0" t="n">
        <f aca="false">SUMPRODUCT(D3196:F3196,Stats!$B$6:$D$6)</f>
        <v>0.34149668775455</v>
      </c>
      <c r="H3196" s="0" t="n">
        <f aca="false">SQRT(SUMPRODUCT(MMULT(D3196:F3196,Stats!$B$12:$D$14),D3196:F3196))</f>
        <v>0.242790331002959</v>
      </c>
      <c r="I3196" s="0" t="n">
        <f aca="false">(G3196-Stats!$B$2)/H3196</f>
        <v>1.23356101751392</v>
      </c>
    </row>
    <row r="3197" customFormat="false" ht="15" hidden="false" customHeight="false" outlineLevel="0" collapsed="false">
      <c r="A3197" s="0" t="n">
        <v>0.804202907297781</v>
      </c>
      <c r="B3197" s="0" t="n">
        <v>0.18065490209117</v>
      </c>
      <c r="C3197" s="0" t="n">
        <v>0.406567807905491</v>
      </c>
      <c r="D3197" s="0" t="n">
        <f aca="false">A3197/SUM($A3197:$C3197)</f>
        <v>0.577970462310097</v>
      </c>
      <c r="E3197" s="0" t="n">
        <f aca="false">B3197/SUM($A3197:$C3197)</f>
        <v>0.129834394196684</v>
      </c>
      <c r="F3197" s="0" t="n">
        <f aca="false">C3197/SUM($A3197:$C3197)</f>
        <v>0.292195143493219</v>
      </c>
      <c r="G3197" s="0" t="n">
        <f aca="false">SUMPRODUCT(D3197:F3197,Stats!$B$6:$D$6)</f>
        <v>0.355897038759371</v>
      </c>
      <c r="H3197" s="0" t="n">
        <f aca="false">SQRT(SUMPRODUCT(MMULT(D3197:F3197,Stats!$B$12:$D$14),D3197:F3197))</f>
        <v>0.221496685196378</v>
      </c>
      <c r="I3197" s="0" t="n">
        <f aca="false">(G3197-Stats!$B$2)/H3197</f>
        <v>1.41716359538777</v>
      </c>
    </row>
    <row r="3198" customFormat="false" ht="15" hidden="false" customHeight="false" outlineLevel="0" collapsed="false">
      <c r="A3198" s="0" t="n">
        <v>0.355621999257566</v>
      </c>
      <c r="B3198" s="0" t="n">
        <v>0.791004074065407</v>
      </c>
      <c r="C3198" s="0" t="n">
        <v>0.510212916478122</v>
      </c>
      <c r="D3198" s="0" t="n">
        <f aca="false">A3198/SUM($A3198:$C3198)</f>
        <v>0.214638840253426</v>
      </c>
      <c r="E3198" s="0" t="n">
        <f aca="false">B3198/SUM($A3198:$C3198)</f>
        <v>0.477417587909594</v>
      </c>
      <c r="F3198" s="0" t="n">
        <f aca="false">C3198/SUM($A3198:$C3198)</f>
        <v>0.30794357183698</v>
      </c>
      <c r="G3198" s="0" t="n">
        <f aca="false">SUMPRODUCT(D3198:F3198,Stats!$B$6:$D$6)</f>
        <v>0.375462269003072</v>
      </c>
      <c r="H3198" s="0" t="n">
        <f aca="false">SQRT(SUMPRODUCT(MMULT(D3198:F3198,Stats!$B$12:$D$14),D3198:F3198))</f>
        <v>0.231522589094578</v>
      </c>
      <c r="I3198" s="0" t="n">
        <f aca="false">(G3198-Stats!$B$2)/H3198</f>
        <v>1.44030122636047</v>
      </c>
    </row>
    <row r="3199" customFormat="false" ht="15" hidden="false" customHeight="false" outlineLevel="0" collapsed="false">
      <c r="A3199" s="0" t="n">
        <v>0.127849736993467</v>
      </c>
      <c r="B3199" s="0" t="n">
        <v>0.738992063156244</v>
      </c>
      <c r="C3199" s="0" t="n">
        <v>0.396887978224919</v>
      </c>
      <c r="D3199" s="0" t="n">
        <f aca="false">A3199/SUM($A3199:$C3199)</f>
        <v>0.101168571937826</v>
      </c>
      <c r="E3199" s="0" t="n">
        <f aca="false">B3199/SUM($A3199:$C3199)</f>
        <v>0.584770633565914</v>
      </c>
      <c r="F3199" s="0" t="n">
        <f aca="false">C3199/SUM($A3199:$C3199)</f>
        <v>0.31406079449626</v>
      </c>
      <c r="G3199" s="0" t="n">
        <f aca="false">SUMPRODUCT(D3199:F3199,Stats!$B$6:$D$6)</f>
        <v>0.381470544243787</v>
      </c>
      <c r="H3199" s="0" t="n">
        <f aca="false">SQRT(SUMPRODUCT(MMULT(D3199:F3199,Stats!$B$12:$D$14),D3199:F3199))</f>
        <v>0.237668092417787</v>
      </c>
      <c r="I3199" s="0" t="n">
        <f aca="false">(G3199-Stats!$B$2)/H3199</f>
        <v>1.42833874244695</v>
      </c>
    </row>
    <row r="3200" customFormat="false" ht="15" hidden="false" customHeight="false" outlineLevel="0" collapsed="false">
      <c r="A3200" s="0" t="n">
        <v>0.262924247632147</v>
      </c>
      <c r="B3200" s="0" t="n">
        <v>0.37549862202072</v>
      </c>
      <c r="C3200" s="0" t="n">
        <v>0.497756563606896</v>
      </c>
      <c r="D3200" s="0" t="n">
        <f aca="false">A3200/SUM($A3200:$C3200)</f>
        <v>0.231410849321399</v>
      </c>
      <c r="E3200" s="0" t="n">
        <f aca="false">B3200/SUM($A3200:$C3200)</f>
        <v>0.330492359770493</v>
      </c>
      <c r="F3200" s="0" t="n">
        <f aca="false">C3200/SUM($A3200:$C3200)</f>
        <v>0.438096790908109</v>
      </c>
      <c r="G3200" s="0" t="n">
        <f aca="false">SUMPRODUCT(D3200:F3200,Stats!$B$6:$D$6)</f>
        <v>0.363419456581224</v>
      </c>
      <c r="H3200" s="0" t="n">
        <f aca="false">SQRT(SUMPRODUCT(MMULT(D3200:F3200,Stats!$B$12:$D$14),D3200:F3200))</f>
        <v>0.230223352082209</v>
      </c>
      <c r="I3200" s="0" t="n">
        <f aca="false">(G3200-Stats!$B$2)/H3200</f>
        <v>1.39612013149061</v>
      </c>
    </row>
    <row r="3201" customFormat="false" ht="15" hidden="false" customHeight="false" outlineLevel="0" collapsed="false">
      <c r="A3201" s="0" t="n">
        <v>0.343115516417009</v>
      </c>
      <c r="B3201" s="0" t="n">
        <v>0.241905772591758</v>
      </c>
      <c r="C3201" s="0" t="n">
        <v>0.39850202880398</v>
      </c>
      <c r="D3201" s="0" t="n">
        <f aca="false">A3201/SUM($A3201:$C3201)</f>
        <v>0.3488636316016</v>
      </c>
      <c r="E3201" s="0" t="n">
        <f aca="false">B3201/SUM($A3201:$C3201)</f>
        <v>0.245958350158622</v>
      </c>
      <c r="F3201" s="0" t="n">
        <f aca="false">C3201/SUM($A3201:$C3201)</f>
        <v>0.405178018239778</v>
      </c>
      <c r="G3201" s="0" t="n">
        <f aca="false">SUMPRODUCT(D3201:F3201,Stats!$B$6:$D$6)</f>
        <v>0.359463201573488</v>
      </c>
      <c r="H3201" s="0" t="n">
        <f aca="false">SQRT(SUMPRODUCT(MMULT(D3201:F3201,Stats!$B$12:$D$14),D3201:F3201))</f>
        <v>0.225684080719364</v>
      </c>
      <c r="I3201" s="0" t="n">
        <f aca="false">(G3201-Stats!$B$2)/H3201</f>
        <v>1.4066707787345</v>
      </c>
    </row>
    <row r="3202" customFormat="false" ht="15" hidden="false" customHeight="false" outlineLevel="0" collapsed="false">
      <c r="A3202" s="0" t="n">
        <v>0.0191729107498982</v>
      </c>
      <c r="B3202" s="0" t="n">
        <v>0.772497846096314</v>
      </c>
      <c r="C3202" s="0" t="n">
        <v>0.170944893567586</v>
      </c>
      <c r="D3202" s="0" t="n">
        <f aca="false">A3202/SUM($A3202:$C3202)</f>
        <v>0.0199175140583434</v>
      </c>
      <c r="E3202" s="0" t="n">
        <f aca="false">B3202/SUM($A3202:$C3202)</f>
        <v>0.8024987395169</v>
      </c>
      <c r="F3202" s="0" t="n">
        <f aca="false">C3202/SUM($A3202:$C3202)</f>
        <v>0.177583746424756</v>
      </c>
      <c r="G3202" s="0" t="n">
        <f aca="false">SUMPRODUCT(D3202:F3202,Stats!$B$6:$D$6)</f>
        <v>0.397761639768973</v>
      </c>
      <c r="H3202" s="0" t="n">
        <f aca="false">SQRT(SUMPRODUCT(MMULT(D3202:F3202,Stats!$B$12:$D$14),D3202:F3202))</f>
        <v>0.246058411127536</v>
      </c>
      <c r="I3202" s="0" t="n">
        <f aca="false">(G3202-Stats!$B$2)/H3202</f>
        <v>1.44584222152266</v>
      </c>
    </row>
    <row r="3203" customFormat="false" ht="15" hidden="false" customHeight="false" outlineLevel="0" collapsed="false">
      <c r="A3203" s="0" t="n">
        <v>0.0439046136306373</v>
      </c>
      <c r="B3203" s="0" t="n">
        <v>0.653698692905079</v>
      </c>
      <c r="C3203" s="0" t="n">
        <v>0.773936128823672</v>
      </c>
      <c r="D3203" s="0" t="n">
        <f aca="false">A3203/SUM($A3203:$C3203)</f>
        <v>0.0298358389694902</v>
      </c>
      <c r="E3203" s="0" t="n">
        <f aca="false">B3203/SUM($A3203:$C3203)</f>
        <v>0.444227777521592</v>
      </c>
      <c r="F3203" s="0" t="n">
        <f aca="false">C3203/SUM($A3203:$C3203)</f>
        <v>0.525936383508918</v>
      </c>
      <c r="G3203" s="0" t="n">
        <f aca="false">SUMPRODUCT(D3203:F3203,Stats!$B$6:$D$6)</f>
        <v>0.367541502332668</v>
      </c>
      <c r="H3203" s="0" t="n">
        <f aca="false">SQRT(SUMPRODUCT(MMULT(D3203:F3203,Stats!$B$12:$D$14),D3203:F3203))</f>
        <v>0.241624086116263</v>
      </c>
      <c r="I3203" s="0" t="n">
        <f aca="false">(G3203-Stats!$B$2)/H3203</f>
        <v>1.34730567455111</v>
      </c>
    </row>
    <row r="3204" customFormat="false" ht="15" hidden="false" customHeight="false" outlineLevel="0" collapsed="false">
      <c r="A3204" s="0" t="n">
        <v>0.813829131592843</v>
      </c>
      <c r="B3204" s="0" t="n">
        <v>0.4935091826606</v>
      </c>
      <c r="C3204" s="0" t="n">
        <v>0.205368184689985</v>
      </c>
      <c r="D3204" s="0" t="n">
        <f aca="false">A3204/SUM($A3204:$C3204)</f>
        <v>0.537995395776559</v>
      </c>
      <c r="E3204" s="0" t="n">
        <f aca="false">B3204/SUM($A3204:$C3204)</f>
        <v>0.326242521603033</v>
      </c>
      <c r="F3204" s="0" t="n">
        <f aca="false">C3204/SUM($A3204:$C3204)</f>
        <v>0.135762082620408</v>
      </c>
      <c r="G3204" s="0" t="n">
        <f aca="false">SUMPRODUCT(D3204:F3204,Stats!$B$6:$D$6)</f>
        <v>0.371511689690517</v>
      </c>
      <c r="H3204" s="0" t="n">
        <f aca="false">SQRT(SUMPRODUCT(MMULT(D3204:F3204,Stats!$B$12:$D$14),D3204:F3204))</f>
        <v>0.224338763790979</v>
      </c>
      <c r="I3204" s="0" t="n">
        <f aca="false">(G3204-Stats!$B$2)/H3204</f>
        <v>1.46881298676287</v>
      </c>
    </row>
    <row r="3205" customFormat="false" ht="15" hidden="false" customHeight="false" outlineLevel="0" collapsed="false">
      <c r="A3205" s="0" t="n">
        <v>0.737227677249827</v>
      </c>
      <c r="B3205" s="0" t="n">
        <v>0.699713077154337</v>
      </c>
      <c r="C3205" s="0" t="n">
        <v>0.246270734103173</v>
      </c>
      <c r="D3205" s="0" t="n">
        <f aca="false">A3205/SUM($A3205:$C3205)</f>
        <v>0.437988738957335</v>
      </c>
      <c r="E3205" s="0" t="n">
        <f aca="false">B3205/SUM($A3205:$C3205)</f>
        <v>0.415701224671915</v>
      </c>
      <c r="F3205" s="0" t="n">
        <f aca="false">C3205/SUM($A3205:$C3205)</f>
        <v>0.14631003637075</v>
      </c>
      <c r="G3205" s="0" t="n">
        <f aca="false">SUMPRODUCT(D3205:F3205,Stats!$B$6:$D$6)</f>
        <v>0.376368171913257</v>
      </c>
      <c r="H3205" s="0" t="n">
        <f aca="false">SQRT(SUMPRODUCT(MMULT(D3205:F3205,Stats!$B$12:$D$14),D3205:F3205))</f>
        <v>0.226151129715944</v>
      </c>
      <c r="I3205" s="0" t="n">
        <f aca="false">(G3205-Stats!$B$2)/H3205</f>
        <v>1.47851647848604</v>
      </c>
    </row>
    <row r="3206" customFormat="false" ht="15" hidden="false" customHeight="false" outlineLevel="0" collapsed="false">
      <c r="A3206" s="0" t="n">
        <v>0.903407755862793</v>
      </c>
      <c r="B3206" s="0" t="n">
        <v>0.104371458082829</v>
      </c>
      <c r="C3206" s="0" t="n">
        <v>0.982688239591326</v>
      </c>
      <c r="D3206" s="0" t="n">
        <f aca="false">A3206/SUM($A3206:$C3206)</f>
        <v>0.453867132696638</v>
      </c>
      <c r="E3206" s="0" t="n">
        <f aca="false">B3206/SUM($A3206:$C3206)</f>
        <v>0.0524356516844156</v>
      </c>
      <c r="F3206" s="0" t="n">
        <f aca="false">C3206/SUM($A3206:$C3206)</f>
        <v>0.493697215618946</v>
      </c>
      <c r="G3206" s="0" t="n">
        <f aca="false">SUMPRODUCT(D3206:F3206,Stats!$B$6:$D$6)</f>
        <v>0.345887273153352</v>
      </c>
      <c r="H3206" s="0" t="n">
        <f aca="false">SQRT(SUMPRODUCT(MMULT(D3206:F3206,Stats!$B$12:$D$14),D3206:F3206))</f>
        <v>0.224058105273189</v>
      </c>
      <c r="I3206" s="0" t="n">
        <f aca="false">(G3206-Stats!$B$2)/H3206</f>
        <v>1.35628779321698</v>
      </c>
    </row>
    <row r="3207" customFormat="false" ht="15" hidden="false" customHeight="false" outlineLevel="0" collapsed="false">
      <c r="A3207" s="0" t="n">
        <v>0.860247810977465</v>
      </c>
      <c r="B3207" s="0" t="n">
        <v>0.687898645479075</v>
      </c>
      <c r="C3207" s="0" t="n">
        <v>0.938749888279833</v>
      </c>
      <c r="D3207" s="0" t="n">
        <f aca="false">A3207/SUM($A3207:$C3207)</f>
        <v>0.345912210132207</v>
      </c>
      <c r="E3207" s="0" t="n">
        <f aca="false">B3207/SUM($A3207:$C3207)</f>
        <v>0.276609295331124</v>
      </c>
      <c r="F3207" s="0" t="n">
        <f aca="false">C3207/SUM($A3207:$C3207)</f>
        <v>0.37747849453667</v>
      </c>
      <c r="G3207" s="0" t="n">
        <f aca="false">SUMPRODUCT(D3207:F3207,Stats!$B$6:$D$6)</f>
        <v>0.361990621000288</v>
      </c>
      <c r="H3207" s="0" t="n">
        <f aca="false">SQRT(SUMPRODUCT(MMULT(D3207:F3207,Stats!$B$12:$D$14),D3207:F3207))</f>
        <v>0.225742142835451</v>
      </c>
      <c r="I3207" s="0" t="n">
        <f aca="false">(G3207-Stats!$B$2)/H3207</f>
        <v>1.41750502135322</v>
      </c>
    </row>
    <row r="3208" customFormat="false" ht="15" hidden="false" customHeight="false" outlineLevel="0" collapsed="false">
      <c r="A3208" s="0" t="n">
        <v>0.722311168323708</v>
      </c>
      <c r="B3208" s="0" t="n">
        <v>0.190456997030046</v>
      </c>
      <c r="C3208" s="0" t="n">
        <v>0.442156138112812</v>
      </c>
      <c r="D3208" s="0" t="n">
        <f aca="false">A3208/SUM($A3208:$C3208)</f>
        <v>0.533100754393201</v>
      </c>
      <c r="E3208" s="0" t="n">
        <f aca="false">B3208/SUM($A3208:$C3208)</f>
        <v>0.140566522087443</v>
      </c>
      <c r="F3208" s="0" t="n">
        <f aca="false">C3208/SUM($A3208:$C3208)</f>
        <v>0.326332723519357</v>
      </c>
      <c r="G3208" s="0" t="n">
        <f aca="false">SUMPRODUCT(D3208:F3208,Stats!$B$6:$D$6)</f>
        <v>0.355573220868667</v>
      </c>
      <c r="H3208" s="0" t="n">
        <f aca="false">SQRT(SUMPRODUCT(MMULT(D3208:F3208,Stats!$B$12:$D$14),D3208:F3208))</f>
        <v>0.221752097781621</v>
      </c>
      <c r="I3208" s="0" t="n">
        <f aca="false">(G3208-Stats!$B$2)/H3208</f>
        <v>1.41407104602668</v>
      </c>
    </row>
    <row r="3209" customFormat="false" ht="15" hidden="false" customHeight="false" outlineLevel="0" collapsed="false">
      <c r="A3209" s="0" t="n">
        <v>0.0715030243316354</v>
      </c>
      <c r="B3209" s="0" t="n">
        <v>0.389657422288115</v>
      </c>
      <c r="C3209" s="0" t="n">
        <v>0.741603019737209</v>
      </c>
      <c r="D3209" s="0" t="n">
        <f aca="false">A3209/SUM($A3209:$C3209)</f>
        <v>0.0594489493002396</v>
      </c>
      <c r="E3209" s="0" t="n">
        <f aca="false">B3209/SUM($A3209:$C3209)</f>
        <v>0.323968455300979</v>
      </c>
      <c r="F3209" s="0" t="n">
        <f aca="false">C3209/SUM($A3209:$C3209)</f>
        <v>0.616582595398781</v>
      </c>
      <c r="G3209" s="0" t="n">
        <f aca="false">SUMPRODUCT(D3209:F3209,Stats!$B$6:$D$6)</f>
        <v>0.358122402152192</v>
      </c>
      <c r="H3209" s="0" t="n">
        <f aca="false">SQRT(SUMPRODUCT(MMULT(D3209:F3209,Stats!$B$12:$D$14),D3209:F3209))</f>
        <v>0.241186590929573</v>
      </c>
      <c r="I3209" s="0" t="n">
        <f aca="false">(G3209-Stats!$B$2)/H3209</f>
        <v>1.31069642360217</v>
      </c>
    </row>
    <row r="3210" customFormat="false" ht="15" hidden="false" customHeight="false" outlineLevel="0" collapsed="false">
      <c r="A3210" s="0" t="n">
        <v>0.386443350930817</v>
      </c>
      <c r="B3210" s="0" t="n">
        <v>0.330294175468134</v>
      </c>
      <c r="C3210" s="0" t="n">
        <v>0.595355722510312</v>
      </c>
      <c r="D3210" s="0" t="n">
        <f aca="false">A3210/SUM($A3210:$C3210)</f>
        <v>0.294524304009693</v>
      </c>
      <c r="E3210" s="0" t="n">
        <f aca="false">B3210/SUM($A3210:$C3210)</f>
        <v>0.251730717875963</v>
      </c>
      <c r="F3210" s="0" t="n">
        <f aca="false">C3210/SUM($A3210:$C3210)</f>
        <v>0.453744978114344</v>
      </c>
      <c r="G3210" s="0" t="n">
        <f aca="false">SUMPRODUCT(D3210:F3210,Stats!$B$6:$D$6)</f>
        <v>0.358456120902208</v>
      </c>
      <c r="H3210" s="0" t="n">
        <f aca="false">SQRT(SUMPRODUCT(MMULT(D3210:F3210,Stats!$B$12:$D$14),D3210:F3210))</f>
        <v>0.2277796482384</v>
      </c>
      <c r="I3210" s="0" t="n">
        <f aca="false">(G3210-Stats!$B$2)/H3210</f>
        <v>1.38930814648988</v>
      </c>
    </row>
    <row r="3211" customFormat="false" ht="15" hidden="false" customHeight="false" outlineLevel="0" collapsed="false">
      <c r="A3211" s="0" t="n">
        <v>0.872204528998895</v>
      </c>
      <c r="B3211" s="0" t="n">
        <v>0.0475831925461124</v>
      </c>
      <c r="C3211" s="0" t="n">
        <v>0.385470434699735</v>
      </c>
      <c r="D3211" s="0" t="n">
        <f aca="false">A3211/SUM($A3211:$C3211)</f>
        <v>0.668223772305892</v>
      </c>
      <c r="E3211" s="0" t="n">
        <f aca="false">B3211/SUM($A3211:$C3211)</f>
        <v>0.0364550049493737</v>
      </c>
      <c r="F3211" s="0" t="n">
        <f aca="false">C3211/SUM($A3211:$C3211)</f>
        <v>0.295321222744735</v>
      </c>
      <c r="G3211" s="0" t="n">
        <f aca="false">SUMPRODUCT(D3211:F3211,Stats!$B$6:$D$6)</f>
        <v>0.350437909127652</v>
      </c>
      <c r="H3211" s="0" t="n">
        <f aca="false">SQRT(SUMPRODUCT(MMULT(D3211:F3211,Stats!$B$12:$D$14),D3211:F3211))</f>
        <v>0.221444540359985</v>
      </c>
      <c r="I3211" s="0" t="n">
        <f aca="false">(G3211-Stats!$B$2)/H3211</f>
        <v>1.39284494721003</v>
      </c>
    </row>
    <row r="3212" customFormat="false" ht="15" hidden="false" customHeight="false" outlineLevel="0" collapsed="false">
      <c r="A3212" s="0" t="n">
        <v>0.158240741815263</v>
      </c>
      <c r="B3212" s="0" t="n">
        <v>0.69535425073187</v>
      </c>
      <c r="C3212" s="0" t="n">
        <v>0.105724560431135</v>
      </c>
      <c r="D3212" s="0" t="n">
        <f aca="false">A3212/SUM($A3212:$C3212)</f>
        <v>0.164951023174702</v>
      </c>
      <c r="E3212" s="0" t="n">
        <f aca="false">B3212/SUM($A3212:$C3212)</f>
        <v>0.724841111153316</v>
      </c>
      <c r="F3212" s="0" t="n">
        <f aca="false">C3212/SUM($A3212:$C3212)</f>
        <v>0.110207865671982</v>
      </c>
      <c r="G3212" s="0" t="n">
        <f aca="false">SUMPRODUCT(D3212:F3212,Stats!$B$6:$D$6)</f>
        <v>0.395151184340865</v>
      </c>
      <c r="H3212" s="0" t="n">
        <f aca="false">SQRT(SUMPRODUCT(MMULT(D3212:F3212,Stats!$B$12:$D$14),D3212:F3212))</f>
        <v>0.238945953888021</v>
      </c>
      <c r="I3212" s="0" t="n">
        <f aca="false">(G3212-Stats!$B$2)/H3212</f>
        <v>1.47795423439714</v>
      </c>
    </row>
    <row r="3213" customFormat="false" ht="15" hidden="false" customHeight="false" outlineLevel="0" collapsed="false">
      <c r="A3213" s="0" t="n">
        <v>0.664807758580245</v>
      </c>
      <c r="B3213" s="0" t="n">
        <v>0.286180870797907</v>
      </c>
      <c r="C3213" s="0" t="n">
        <v>0.198916813737225</v>
      </c>
      <c r="D3213" s="0" t="n">
        <f aca="false">A3213/SUM($A3213:$C3213)</f>
        <v>0.578141239838918</v>
      </c>
      <c r="E3213" s="0" t="n">
        <f aca="false">B3213/SUM($A3213:$C3213)</f>
        <v>0.248873394339775</v>
      </c>
      <c r="F3213" s="0" t="n">
        <f aca="false">C3213/SUM($A3213:$C3213)</f>
        <v>0.172985365821306</v>
      </c>
      <c r="G3213" s="0" t="n">
        <f aca="false">SUMPRODUCT(D3213:F3213,Stats!$B$6:$D$6)</f>
        <v>0.366033552527254</v>
      </c>
      <c r="H3213" s="0" t="n">
        <f aca="false">SQRT(SUMPRODUCT(MMULT(D3213:F3213,Stats!$B$12:$D$14),D3213:F3213))</f>
        <v>0.22300648974838</v>
      </c>
      <c r="I3213" s="0" t="n">
        <f aca="false">(G3213-Stats!$B$2)/H3213</f>
        <v>1.4530229720797</v>
      </c>
    </row>
    <row r="3214" customFormat="false" ht="15" hidden="false" customHeight="false" outlineLevel="0" collapsed="false">
      <c r="A3214" s="0" t="n">
        <v>0.936352557824985</v>
      </c>
      <c r="B3214" s="0" t="n">
        <v>0.0185245767459559</v>
      </c>
      <c r="C3214" s="0" t="n">
        <v>0.437777271889569</v>
      </c>
      <c r="D3214" s="0" t="n">
        <f aca="false">A3214/SUM($A3214:$C3214)</f>
        <v>0.67235098203923</v>
      </c>
      <c r="E3214" s="0" t="n">
        <f aca="false">B3214/SUM($A3214:$C3214)</f>
        <v>0.01330163223555</v>
      </c>
      <c r="F3214" s="0" t="n">
        <f aca="false">C3214/SUM($A3214:$C3214)</f>
        <v>0.31434738572522</v>
      </c>
      <c r="G3214" s="0" t="n">
        <f aca="false">SUMPRODUCT(D3214:F3214,Stats!$B$6:$D$6)</f>
        <v>0.348581054902183</v>
      </c>
      <c r="H3214" s="0" t="n">
        <f aca="false">SQRT(SUMPRODUCT(MMULT(D3214:F3214,Stats!$B$12:$D$14),D3214:F3214))</f>
        <v>0.221443811113646</v>
      </c>
      <c r="I3214" s="0" t="n">
        <f aca="false">(G3214-Stats!$B$2)/H3214</f>
        <v>1.38446431787992</v>
      </c>
    </row>
    <row r="3215" customFormat="false" ht="15" hidden="false" customHeight="false" outlineLevel="0" collapsed="false">
      <c r="A3215" s="0" t="n">
        <v>0.0216269924617938</v>
      </c>
      <c r="B3215" s="0" t="n">
        <v>0.483593048104329</v>
      </c>
      <c r="C3215" s="0" t="n">
        <v>0.501047377794418</v>
      </c>
      <c r="D3215" s="0" t="n">
        <f aca="false">A3215/SUM($A3215:$C3215)</f>
        <v>0.0214922912808103</v>
      </c>
      <c r="E3215" s="0" t="n">
        <f aca="false">B3215/SUM($A3215:$C3215)</f>
        <v>0.480581045635187</v>
      </c>
      <c r="F3215" s="0" t="n">
        <f aca="false">C3215/SUM($A3215:$C3215)</f>
        <v>0.497926663084003</v>
      </c>
      <c r="G3215" s="0" t="n">
        <f aca="false">SUMPRODUCT(D3215:F3215,Stats!$B$6:$D$6)</f>
        <v>0.370405579596422</v>
      </c>
      <c r="H3215" s="0" t="n">
        <f aca="false">SQRT(SUMPRODUCT(MMULT(D3215:F3215,Stats!$B$12:$D$14),D3215:F3215))</f>
        <v>0.24194401616887</v>
      </c>
      <c r="I3215" s="0" t="n">
        <f aca="false">(G3215-Stats!$B$2)/H3215</f>
        <v>1.3573618591468</v>
      </c>
    </row>
    <row r="3216" customFormat="false" ht="15" hidden="false" customHeight="false" outlineLevel="0" collapsed="false">
      <c r="A3216" s="0" t="n">
        <v>0.321662471394747</v>
      </c>
      <c r="B3216" s="0" t="n">
        <v>0.132161777525024</v>
      </c>
      <c r="C3216" s="0" t="n">
        <v>0.376387537734475</v>
      </c>
      <c r="D3216" s="0" t="n">
        <f aca="false">A3216/SUM($A3216:$C3216)</f>
        <v>0.387446283665819</v>
      </c>
      <c r="E3216" s="0" t="n">
        <f aca="false">B3216/SUM($A3216:$C3216)</f>
        <v>0.159190437487807</v>
      </c>
      <c r="F3216" s="0" t="n">
        <f aca="false">C3216/SUM($A3216:$C3216)</f>
        <v>0.453363278846374</v>
      </c>
      <c r="G3216" s="0" t="n">
        <f aca="false">SUMPRODUCT(D3216:F3216,Stats!$B$6:$D$6)</f>
        <v>0.35314199815172</v>
      </c>
      <c r="H3216" s="0" t="n">
        <f aca="false">SQRT(SUMPRODUCT(MMULT(D3216:F3216,Stats!$B$12:$D$14),D3216:F3216))</f>
        <v>0.224904424391437</v>
      </c>
      <c r="I3216" s="0" t="n">
        <f aca="false">(G3216-Stats!$B$2)/H3216</f>
        <v>1.38344098384739</v>
      </c>
    </row>
    <row r="3217" customFormat="false" ht="15" hidden="false" customHeight="false" outlineLevel="0" collapsed="false">
      <c r="A3217" s="0" t="n">
        <v>0.672262939932566</v>
      </c>
      <c r="B3217" s="0" t="n">
        <v>0.782395808644459</v>
      </c>
      <c r="C3217" s="0" t="n">
        <v>0.530750602388142</v>
      </c>
      <c r="D3217" s="0" t="n">
        <f aca="false">A3217/SUM($A3217:$C3217)</f>
        <v>0.338601679097441</v>
      </c>
      <c r="E3217" s="0" t="n">
        <f aca="false">B3217/SUM($A3217:$C3217)</f>
        <v>0.394072793232344</v>
      </c>
      <c r="F3217" s="0" t="n">
        <f aca="false">C3217/SUM($A3217:$C3217)</f>
        <v>0.267325527670215</v>
      </c>
      <c r="G3217" s="0" t="n">
        <f aca="false">SUMPRODUCT(D3217:F3217,Stats!$B$6:$D$6)</f>
        <v>0.371786744333778</v>
      </c>
      <c r="H3217" s="0" t="n">
        <f aca="false">SQRT(SUMPRODUCT(MMULT(D3217:F3217,Stats!$B$12:$D$14),D3217:F3217))</f>
        <v>0.226797190944278</v>
      </c>
      <c r="I3217" s="0" t="n">
        <f aca="false">(G3217-Stats!$B$2)/H3217</f>
        <v>1.4541041842745</v>
      </c>
    </row>
    <row r="3218" customFormat="false" ht="15" hidden="false" customHeight="false" outlineLevel="0" collapsed="false">
      <c r="A3218" s="0" t="n">
        <v>0.589834394439756</v>
      </c>
      <c r="B3218" s="0" t="n">
        <v>0.200616371124653</v>
      </c>
      <c r="C3218" s="0" t="n">
        <v>0.287330333227649</v>
      </c>
      <c r="D3218" s="0" t="n">
        <f aca="false">A3218/SUM($A3218:$C3218)</f>
        <v>0.547267339444738</v>
      </c>
      <c r="E3218" s="0" t="n">
        <f aca="false">B3218/SUM($A3218:$C3218)</f>
        <v>0.186138327485514</v>
      </c>
      <c r="F3218" s="0" t="n">
        <f aca="false">C3218/SUM($A3218:$C3218)</f>
        <v>0.266594333069749</v>
      </c>
      <c r="G3218" s="0" t="n">
        <f aca="false">SUMPRODUCT(D3218:F3218,Stats!$B$6:$D$6)</f>
        <v>0.359842626708894</v>
      </c>
      <c r="H3218" s="0" t="n">
        <f aca="false">SQRT(SUMPRODUCT(MMULT(D3218:F3218,Stats!$B$12:$D$14),D3218:F3218))</f>
        <v>0.221938266644713</v>
      </c>
      <c r="I3218" s="0" t="n">
        <f aca="false">(G3218-Stats!$B$2)/H3218</f>
        <v>1.43212178554907</v>
      </c>
    </row>
    <row r="3219" customFormat="false" ht="15" hidden="false" customHeight="false" outlineLevel="0" collapsed="false">
      <c r="A3219" s="0" t="n">
        <v>0.161895610052358</v>
      </c>
      <c r="B3219" s="0" t="n">
        <v>0.249295350004611</v>
      </c>
      <c r="C3219" s="0" t="n">
        <v>0.224886780225532</v>
      </c>
      <c r="D3219" s="0" t="n">
        <f aca="false">A3219/SUM($A3219:$C3219)</f>
        <v>0.254521735001221</v>
      </c>
      <c r="E3219" s="0" t="n">
        <f aca="false">B3219/SUM($A3219:$C3219)</f>
        <v>0.391925914423435</v>
      </c>
      <c r="F3219" s="0" t="n">
        <f aca="false">C3219/SUM($A3219:$C3219)</f>
        <v>0.353552350575344</v>
      </c>
      <c r="G3219" s="0" t="n">
        <f aca="false">SUMPRODUCT(D3219:F3219,Stats!$B$6:$D$6)</f>
        <v>0.369285544228735</v>
      </c>
      <c r="H3219" s="0" t="n">
        <f aca="false">SQRT(SUMPRODUCT(MMULT(D3219:F3219,Stats!$B$12:$D$14),D3219:F3219))</f>
        <v>0.229278853293997</v>
      </c>
      <c r="I3219" s="0" t="n">
        <f aca="false">(G3219-Stats!$B$2)/H3219</f>
        <v>1.42745630278021</v>
      </c>
    </row>
    <row r="3220" customFormat="false" ht="15" hidden="false" customHeight="false" outlineLevel="0" collapsed="false">
      <c r="A3220" s="0" t="n">
        <v>0.519448786391238</v>
      </c>
      <c r="B3220" s="0" t="n">
        <v>0.562688755790729</v>
      </c>
      <c r="C3220" s="0" t="n">
        <v>0.944947420821505</v>
      </c>
      <c r="D3220" s="0" t="n">
        <f aca="false">A3220/SUM($A3220:$C3220)</f>
        <v>0.256254077096791</v>
      </c>
      <c r="E3220" s="0" t="n">
        <f aca="false">B3220/SUM($A3220:$C3220)</f>
        <v>0.277585185653496</v>
      </c>
      <c r="F3220" s="0" t="n">
        <f aca="false">C3220/SUM($A3220:$C3220)</f>
        <v>0.466160737249713</v>
      </c>
      <c r="G3220" s="0" t="n">
        <f aca="false">SUMPRODUCT(D3220:F3220,Stats!$B$6:$D$6)</f>
        <v>0.359601393732539</v>
      </c>
      <c r="H3220" s="0" t="n">
        <f aca="false">SQRT(SUMPRODUCT(MMULT(D3220:F3220,Stats!$B$12:$D$14),D3220:F3220))</f>
        <v>0.229346026688593</v>
      </c>
      <c r="I3220" s="0" t="n">
        <f aca="false">(G3220-Stats!$B$2)/H3220</f>
        <v>1.38481315032233</v>
      </c>
    </row>
    <row r="3221" customFormat="false" ht="15" hidden="false" customHeight="false" outlineLevel="0" collapsed="false">
      <c r="A3221" s="0" t="n">
        <v>0.195570647101523</v>
      </c>
      <c r="B3221" s="0" t="n">
        <v>0.641675710161496</v>
      </c>
      <c r="C3221" s="0" t="n">
        <v>0.817259268987523</v>
      </c>
      <c r="D3221" s="0" t="n">
        <f aca="false">A3221/SUM($A3221:$C3221)</f>
        <v>0.118204884890435</v>
      </c>
      <c r="E3221" s="0" t="n">
        <f aca="false">B3221/SUM($A3221:$C3221)</f>
        <v>0.387835314658717</v>
      </c>
      <c r="F3221" s="0" t="n">
        <f aca="false">C3221/SUM($A3221:$C3221)</f>
        <v>0.493959800450848</v>
      </c>
      <c r="G3221" s="0" t="n">
        <f aca="false">SUMPRODUCT(D3221:F3221,Stats!$B$6:$D$6)</f>
        <v>0.36517849498586</v>
      </c>
      <c r="H3221" s="0" t="n">
        <f aca="false">SQRT(SUMPRODUCT(MMULT(D3221:F3221,Stats!$B$12:$D$14),D3221:F3221))</f>
        <v>0.23614977754385</v>
      </c>
      <c r="I3221" s="0" t="n">
        <f aca="false">(G3221-Stats!$B$2)/H3221</f>
        <v>1.3685318629015</v>
      </c>
    </row>
    <row r="3222" customFormat="false" ht="15" hidden="false" customHeight="false" outlineLevel="0" collapsed="false">
      <c r="A3222" s="0" t="n">
        <v>0.560241463783053</v>
      </c>
      <c r="B3222" s="0" t="n">
        <v>0.255003652501076</v>
      </c>
      <c r="C3222" s="0" t="n">
        <v>0.26255023002</v>
      </c>
      <c r="D3222" s="0" t="n">
        <f aca="false">A3222/SUM($A3222:$C3222)</f>
        <v>0.519803194274477</v>
      </c>
      <c r="E3222" s="0" t="n">
        <f aca="false">B3222/SUM($A3222:$C3222)</f>
        <v>0.236597470359758</v>
      </c>
      <c r="F3222" s="0" t="n">
        <f aca="false">C3222/SUM($A3222:$C3222)</f>
        <v>0.243599335365765</v>
      </c>
      <c r="G3222" s="0" t="n">
        <f aca="false">SUMPRODUCT(D3222:F3222,Stats!$B$6:$D$6)</f>
        <v>0.363380058699233</v>
      </c>
      <c r="H3222" s="0" t="n">
        <f aca="false">SQRT(SUMPRODUCT(MMULT(D3222:F3222,Stats!$B$12:$D$14),D3222:F3222))</f>
        <v>0.222536499657586</v>
      </c>
      <c r="I3222" s="0" t="n">
        <f aca="false">(G3222-Stats!$B$2)/H3222</f>
        <v>1.44416785198714</v>
      </c>
    </row>
    <row r="3223" customFormat="false" ht="15" hidden="false" customHeight="false" outlineLevel="0" collapsed="false">
      <c r="A3223" s="0" t="n">
        <v>0.0392530530709999</v>
      </c>
      <c r="B3223" s="0" t="n">
        <v>0.305444226548482</v>
      </c>
      <c r="C3223" s="0" t="n">
        <v>0.74460367900338</v>
      </c>
      <c r="D3223" s="0" t="n">
        <f aca="false">A3223/SUM($A3223:$C3223)</f>
        <v>0.0360350854006639</v>
      </c>
      <c r="E3223" s="0" t="n">
        <f aca="false">B3223/SUM($A3223:$C3223)</f>
        <v>0.280403890339578</v>
      </c>
      <c r="F3223" s="0" t="n">
        <f aca="false">C3223/SUM($A3223:$C3223)</f>
        <v>0.683561024259758</v>
      </c>
      <c r="G3223" s="0" t="n">
        <f aca="false">SUMPRODUCT(D3223:F3223,Stats!$B$6:$D$6)</f>
        <v>0.353768849054243</v>
      </c>
      <c r="H3223" s="0" t="n">
        <f aca="false">SQRT(SUMPRODUCT(MMULT(D3223:F3223,Stats!$B$12:$D$14),D3223:F3223))</f>
        <v>0.244134944181704</v>
      </c>
      <c r="I3223" s="0" t="n">
        <f aca="false">(G3223-Stats!$B$2)/H3223</f>
        <v>1.27703492058147</v>
      </c>
    </row>
    <row r="3224" customFormat="false" ht="15" hidden="false" customHeight="false" outlineLevel="0" collapsed="false">
      <c r="A3224" s="0" t="n">
        <v>0.0475177572071104</v>
      </c>
      <c r="B3224" s="0" t="n">
        <v>0.219295282504831</v>
      </c>
      <c r="C3224" s="0" t="n">
        <v>0.706232498531782</v>
      </c>
      <c r="D3224" s="0" t="n">
        <f aca="false">A3224/SUM($A3224:$C3224)</f>
        <v>0.0488340528161472</v>
      </c>
      <c r="E3224" s="0" t="n">
        <f aca="false">B3224/SUM($A3224:$C3224)</f>
        <v>0.225370009815412</v>
      </c>
      <c r="F3224" s="0" t="n">
        <f aca="false">C3224/SUM($A3224:$C3224)</f>
        <v>0.725795937368441</v>
      </c>
      <c r="G3224" s="0" t="n">
        <f aca="false">SUMPRODUCT(D3224:F3224,Stats!$B$6:$D$6)</f>
        <v>0.34943765931327</v>
      </c>
      <c r="H3224" s="0" t="n">
        <f aca="false">SQRT(SUMPRODUCT(MMULT(D3224:F3224,Stats!$B$12:$D$14),D3224:F3224))</f>
        <v>0.244668732036276</v>
      </c>
      <c r="I3224" s="0" t="n">
        <f aca="false">(G3224-Stats!$B$2)/H3224</f>
        <v>1.25654658343383</v>
      </c>
    </row>
    <row r="3225" customFormat="false" ht="15" hidden="false" customHeight="false" outlineLevel="0" collapsed="false">
      <c r="A3225" s="0" t="n">
        <v>0.782651562822877</v>
      </c>
      <c r="B3225" s="0" t="n">
        <v>0.455318410061928</v>
      </c>
      <c r="C3225" s="0" t="n">
        <v>0.698074338478649</v>
      </c>
      <c r="D3225" s="0" t="n">
        <f aca="false">A3225/SUM($A3225:$C3225)</f>
        <v>0.404252918297979</v>
      </c>
      <c r="E3225" s="0" t="n">
        <f aca="false">B3225/SUM($A3225:$C3225)</f>
        <v>0.235179746346442</v>
      </c>
      <c r="F3225" s="0" t="n">
        <f aca="false">C3225/SUM($A3225:$C3225)</f>
        <v>0.36056733535558</v>
      </c>
      <c r="G3225" s="0" t="n">
        <f aca="false">SUMPRODUCT(D3225:F3225,Stats!$B$6:$D$6)</f>
        <v>0.36007313708297</v>
      </c>
      <c r="H3225" s="0" t="n">
        <f aca="false">SQRT(SUMPRODUCT(MMULT(D3225:F3225,Stats!$B$12:$D$14),D3225:F3225))</f>
        <v>0.224060754530661</v>
      </c>
      <c r="I3225" s="0" t="n">
        <f aca="false">(G3225-Stats!$B$2)/H3225</f>
        <v>1.4195843343884</v>
      </c>
    </row>
    <row r="3226" customFormat="false" ht="15" hidden="false" customHeight="false" outlineLevel="0" collapsed="false">
      <c r="A3226" s="0" t="n">
        <v>0.387952168654892</v>
      </c>
      <c r="B3226" s="0" t="n">
        <v>0.159913245024128</v>
      </c>
      <c r="C3226" s="0" t="n">
        <v>0.398149493522907</v>
      </c>
      <c r="D3226" s="0" t="n">
        <f aca="false">A3226/SUM($A3226:$C3226)</f>
        <v>0.410090967596226</v>
      </c>
      <c r="E3226" s="0" t="n">
        <f aca="false">B3226/SUM($A3226:$C3226)</f>
        <v>0.16903882148867</v>
      </c>
      <c r="F3226" s="0" t="n">
        <f aca="false">C3226/SUM($A3226:$C3226)</f>
        <v>0.420870210915103</v>
      </c>
      <c r="G3226" s="0" t="n">
        <f aca="false">SUMPRODUCT(D3226:F3226,Stats!$B$6:$D$6)</f>
        <v>0.354604645271329</v>
      </c>
      <c r="H3226" s="0" t="n">
        <f aca="false">SQRT(SUMPRODUCT(MMULT(D3226:F3226,Stats!$B$12:$D$14),D3226:F3226))</f>
        <v>0.224081919553141</v>
      </c>
      <c r="I3226" s="0" t="n">
        <f aca="false">(G3226-Stats!$B$2)/H3226</f>
        <v>1.39504626653823</v>
      </c>
    </row>
    <row r="3227" customFormat="false" ht="15" hidden="false" customHeight="false" outlineLevel="0" collapsed="false">
      <c r="A3227" s="0" t="n">
        <v>0.579967820203143</v>
      </c>
      <c r="B3227" s="0" t="n">
        <v>0.94805328185289</v>
      </c>
      <c r="C3227" s="0" t="n">
        <v>0.0687509520886773</v>
      </c>
      <c r="D3227" s="0" t="n">
        <f aca="false">A3227/SUM($A3227:$C3227)</f>
        <v>0.363212656870924</v>
      </c>
      <c r="E3227" s="0" t="n">
        <f aca="false">B3227/SUM($A3227:$C3227)</f>
        <v>0.593731133628026</v>
      </c>
      <c r="F3227" s="0" t="n">
        <f aca="false">C3227/SUM($A3227:$C3227)</f>
        <v>0.0430562095010504</v>
      </c>
      <c r="G3227" s="0" t="n">
        <f aca="false">SUMPRODUCT(D3227:F3227,Stats!$B$6:$D$6)</f>
        <v>0.389458967017412</v>
      </c>
      <c r="H3227" s="0" t="n">
        <f aca="false">SQRT(SUMPRODUCT(MMULT(D3227:F3227,Stats!$B$12:$D$14),D3227:F3227))</f>
        <v>0.232013744058972</v>
      </c>
      <c r="I3227" s="0" t="n">
        <f aca="false">(G3227-Stats!$B$2)/H3227</f>
        <v>1.49757924224134</v>
      </c>
    </row>
    <row r="3228" customFormat="false" ht="15" hidden="false" customHeight="false" outlineLevel="0" collapsed="false">
      <c r="A3228" s="0" t="n">
        <v>0.507394093844961</v>
      </c>
      <c r="B3228" s="0" t="n">
        <v>0.328919778210724</v>
      </c>
      <c r="C3228" s="0" t="n">
        <v>0.508311694276695</v>
      </c>
      <c r="D3228" s="0" t="n">
        <f aca="false">A3228/SUM($A3228:$C3228)</f>
        <v>0.377349729582293</v>
      </c>
      <c r="E3228" s="0" t="n">
        <f aca="false">B3228/SUM($A3228:$C3228)</f>
        <v>0.244618120052477</v>
      </c>
      <c r="F3228" s="0" t="n">
        <f aca="false">C3228/SUM($A3228:$C3228)</f>
        <v>0.37803215036523</v>
      </c>
      <c r="G3228" s="0" t="n">
        <f aca="false">SUMPRODUCT(D3228:F3228,Stats!$B$6:$D$6)</f>
        <v>0.360134623333597</v>
      </c>
      <c r="H3228" s="0" t="n">
        <f aca="false">SQRT(SUMPRODUCT(MMULT(D3228:F3228,Stats!$B$12:$D$14),D3228:F3228))</f>
        <v>0.224785556057666</v>
      </c>
      <c r="I3228" s="0" t="n">
        <f aca="false">(G3228-Stats!$B$2)/H3228</f>
        <v>1.41528054076564</v>
      </c>
    </row>
    <row r="3229" customFormat="false" ht="15" hidden="false" customHeight="false" outlineLevel="0" collapsed="false">
      <c r="A3229" s="0" t="n">
        <v>0.0239754473765317</v>
      </c>
      <c r="B3229" s="0" t="n">
        <v>0.313025354701581</v>
      </c>
      <c r="C3229" s="0" t="n">
        <v>0.819868147527005</v>
      </c>
      <c r="D3229" s="0" t="n">
        <f aca="false">A3229/SUM($A3229:$C3229)</f>
        <v>0.0207244281080544</v>
      </c>
      <c r="E3229" s="0" t="n">
        <f aca="false">B3229/SUM($A3229:$C3229)</f>
        <v>0.270579787631459</v>
      </c>
      <c r="F3229" s="0" t="n">
        <f aca="false">C3229/SUM($A3229:$C3229)</f>
        <v>0.708695784260487</v>
      </c>
      <c r="G3229" s="0" t="n">
        <f aca="false">SUMPRODUCT(D3229:F3229,Stats!$B$6:$D$6)</f>
        <v>0.352510501559822</v>
      </c>
      <c r="H3229" s="0" t="n">
        <f aca="false">SQRT(SUMPRODUCT(MMULT(D3229:F3229,Stats!$B$12:$D$14),D3229:F3229))</f>
        <v>0.245741153397562</v>
      </c>
      <c r="I3229" s="0" t="n">
        <f aca="false">(G3229-Stats!$B$2)/H3229</f>
        <v>1.26356736454913</v>
      </c>
    </row>
    <row r="3230" customFormat="false" ht="15" hidden="false" customHeight="false" outlineLevel="0" collapsed="false">
      <c r="A3230" s="0" t="n">
        <v>0.553941733854638</v>
      </c>
      <c r="B3230" s="0" t="n">
        <v>0.450582492816117</v>
      </c>
      <c r="C3230" s="0" t="n">
        <v>0.28552507171534</v>
      </c>
      <c r="D3230" s="0" t="n">
        <f aca="false">A3230/SUM($A3230:$C3230)</f>
        <v>0.429395787081658</v>
      </c>
      <c r="E3230" s="0" t="n">
        <f aca="false">B3230/SUM($A3230:$C3230)</f>
        <v>0.349275406280841</v>
      </c>
      <c r="F3230" s="0" t="n">
        <f aca="false">C3230/SUM($A3230:$C3230)</f>
        <v>0.221328806637501</v>
      </c>
      <c r="G3230" s="0" t="n">
        <f aca="false">SUMPRODUCT(D3230:F3230,Stats!$B$6:$D$6)</f>
        <v>0.37047750255992</v>
      </c>
      <c r="H3230" s="0" t="n">
        <f aca="false">SQRT(SUMPRODUCT(MMULT(D3230:F3230,Stats!$B$12:$D$14),D3230:F3230))</f>
        <v>0.224716754781319</v>
      </c>
      <c r="I3230" s="0" t="n">
        <f aca="false">(G3230-Stats!$B$2)/H3230</f>
        <v>1.4617401487467</v>
      </c>
    </row>
    <row r="3231" customFormat="false" ht="15" hidden="false" customHeight="false" outlineLevel="0" collapsed="false">
      <c r="A3231" s="0" t="n">
        <v>0.298042522791356</v>
      </c>
      <c r="B3231" s="0" t="n">
        <v>0.383101433590585</v>
      </c>
      <c r="C3231" s="0" t="n">
        <v>0.83557070996456</v>
      </c>
      <c r="D3231" s="0" t="n">
        <f aca="false">A3231/SUM($A3231:$C3231)</f>
        <v>0.196505334460362</v>
      </c>
      <c r="E3231" s="0" t="n">
        <f aca="false">B3231/SUM($A3231:$C3231)</f>
        <v>0.252586357929411</v>
      </c>
      <c r="F3231" s="0" t="n">
        <f aca="false">C3231/SUM($A3231:$C3231)</f>
        <v>0.550908307610227</v>
      </c>
      <c r="G3231" s="0" t="n">
        <f aca="false">SUMPRODUCT(D3231:F3231,Stats!$B$6:$D$6)</f>
        <v>0.355826111883583</v>
      </c>
      <c r="H3231" s="0" t="n">
        <f aca="false">SQRT(SUMPRODUCT(MMULT(D3231:F3231,Stats!$B$12:$D$14),D3231:F3231))</f>
        <v>0.232943796143933</v>
      </c>
      <c r="I3231" s="0" t="n">
        <f aca="false">(G3231-Stats!$B$2)/H3231</f>
        <v>1.34721815767814</v>
      </c>
    </row>
    <row r="3232" customFormat="false" ht="15" hidden="false" customHeight="false" outlineLevel="0" collapsed="false">
      <c r="A3232" s="0" t="n">
        <v>0.967213206808268</v>
      </c>
      <c r="B3232" s="0" t="n">
        <v>0.438655381350375</v>
      </c>
      <c r="C3232" s="0" t="n">
        <v>0.393352838747762</v>
      </c>
      <c r="D3232" s="0" t="n">
        <f aca="false">A3232/SUM($A3232:$C3232)</f>
        <v>0.537573192684406</v>
      </c>
      <c r="E3232" s="0" t="n">
        <f aca="false">B3232/SUM($A3232:$C3232)</f>
        <v>0.243802888733157</v>
      </c>
      <c r="F3232" s="0" t="n">
        <f aca="false">C3232/SUM($A3232:$C3232)</f>
        <v>0.218623918582437</v>
      </c>
      <c r="G3232" s="0" t="n">
        <f aca="false">SUMPRODUCT(D3232:F3232,Stats!$B$6:$D$6)</f>
        <v>0.364483336658398</v>
      </c>
      <c r="H3232" s="0" t="n">
        <f aca="false">SQRT(SUMPRODUCT(MMULT(D3232:F3232,Stats!$B$12:$D$14),D3232:F3232))</f>
        <v>0.222643953648332</v>
      </c>
      <c r="I3232" s="0" t="n">
        <f aca="false">(G3232-Stats!$B$2)/H3232</f>
        <v>1.44842620414369</v>
      </c>
    </row>
    <row r="3233" customFormat="false" ht="15" hidden="false" customHeight="false" outlineLevel="0" collapsed="false">
      <c r="A3233" s="0" t="n">
        <v>0.846550775819863</v>
      </c>
      <c r="B3233" s="0" t="n">
        <v>0.426905320636304</v>
      </c>
      <c r="C3233" s="0" t="n">
        <v>0.552018172295651</v>
      </c>
      <c r="D3233" s="0" t="n">
        <f aca="false">A3233/SUM($A3233:$C3233)</f>
        <v>0.463742924406543</v>
      </c>
      <c r="E3233" s="0" t="n">
        <f aca="false">B3233/SUM($A3233:$C3233)</f>
        <v>0.233859949682119</v>
      </c>
      <c r="F3233" s="0" t="n">
        <f aca="false">C3233/SUM($A3233:$C3233)</f>
        <v>0.302397125911338</v>
      </c>
      <c r="G3233" s="0" t="n">
        <f aca="false">SUMPRODUCT(D3233:F3233,Stats!$B$6:$D$6)</f>
        <v>0.361601218843071</v>
      </c>
      <c r="H3233" s="0" t="n">
        <f aca="false">SQRT(SUMPRODUCT(MMULT(D3233:F3233,Stats!$B$12:$D$14),D3233:F3233))</f>
        <v>0.222929039766612</v>
      </c>
      <c r="I3233" s="0" t="n">
        <f aca="false">(G3233-Stats!$B$2)/H3233</f>
        <v>1.43364551867117</v>
      </c>
    </row>
    <row r="3234" customFormat="false" ht="15" hidden="false" customHeight="false" outlineLevel="0" collapsed="false">
      <c r="A3234" s="0" t="n">
        <v>0.230941664598744</v>
      </c>
      <c r="B3234" s="0" t="n">
        <v>0.743502535779075</v>
      </c>
      <c r="C3234" s="0" t="n">
        <v>0.531988318270782</v>
      </c>
      <c r="D3234" s="0" t="n">
        <f aca="false">A3234/SUM($A3234:$C3234)</f>
        <v>0.153303690500467</v>
      </c>
      <c r="E3234" s="0" t="n">
        <f aca="false">B3234/SUM($A3234:$C3234)</f>
        <v>0.493551836258859</v>
      </c>
      <c r="F3234" s="0" t="n">
        <f aca="false">C3234/SUM($A3234:$C3234)</f>
        <v>0.353144473240674</v>
      </c>
      <c r="G3234" s="0" t="n">
        <f aca="false">SUMPRODUCT(D3234:F3234,Stats!$B$6:$D$6)</f>
        <v>0.375144215299914</v>
      </c>
      <c r="H3234" s="0" t="n">
        <f aca="false">SQRT(SUMPRODUCT(MMULT(D3234:F3234,Stats!$B$12:$D$14),D3234:F3234))</f>
        <v>0.234240972939866</v>
      </c>
      <c r="I3234" s="0" t="n">
        <f aca="false">(G3234-Stats!$B$2)/H3234</f>
        <v>1.42222861832732</v>
      </c>
    </row>
    <row r="3235" customFormat="false" ht="15" hidden="false" customHeight="false" outlineLevel="0" collapsed="false">
      <c r="A3235" s="0" t="n">
        <v>0.809034550240342</v>
      </c>
      <c r="B3235" s="0" t="n">
        <v>0.78073273002867</v>
      </c>
      <c r="C3235" s="0" t="n">
        <v>0.215004768270029</v>
      </c>
      <c r="D3235" s="0" t="n">
        <f aca="false">A3235/SUM($A3235:$C3235)</f>
        <v>0.448275199571743</v>
      </c>
      <c r="E3235" s="0" t="n">
        <f aca="false">B3235/SUM($A3235:$C3235)</f>
        <v>0.432593540364653</v>
      </c>
      <c r="F3235" s="0" t="n">
        <f aca="false">C3235/SUM($A3235:$C3235)</f>
        <v>0.119131260063604</v>
      </c>
      <c r="G3235" s="0" t="n">
        <f aca="false">SUMPRODUCT(D3235:F3235,Stats!$B$6:$D$6)</f>
        <v>0.378089578198084</v>
      </c>
      <c r="H3235" s="0" t="n">
        <f aca="false">SQRT(SUMPRODUCT(MMULT(D3235:F3235,Stats!$B$12:$D$14),D3235:F3235))</f>
        <v>0.226642658128092</v>
      </c>
      <c r="I3235" s="0" t="n">
        <f aca="false">(G3235-Stats!$B$2)/H3235</f>
        <v>1.48290520846317</v>
      </c>
    </row>
    <row r="3236" customFormat="false" ht="15" hidden="false" customHeight="false" outlineLevel="0" collapsed="false">
      <c r="A3236" s="0" t="n">
        <v>0.715635550557762</v>
      </c>
      <c r="B3236" s="0" t="n">
        <v>0.800054407951371</v>
      </c>
      <c r="C3236" s="0" t="n">
        <v>0.346107240782395</v>
      </c>
      <c r="D3236" s="0" t="n">
        <f aca="false">A3236/SUM($A3236:$C3236)</f>
        <v>0.384378895204098</v>
      </c>
      <c r="E3236" s="0" t="n">
        <f aca="false">B3236/SUM($A3236:$C3236)</f>
        <v>0.429721565944893</v>
      </c>
      <c r="F3236" s="0" t="n">
        <f aca="false">C3236/SUM($A3236:$C3236)</f>
        <v>0.185899538851009</v>
      </c>
      <c r="G3236" s="0" t="n">
        <f aca="false">SUMPRODUCT(D3236:F3236,Stats!$B$6:$D$6)</f>
        <v>0.376083218899962</v>
      </c>
      <c r="H3236" s="0" t="n">
        <f aca="false">SQRT(SUMPRODUCT(MMULT(D3236:F3236,Stats!$B$12:$D$14),D3236:F3236))</f>
        <v>0.226752102564675</v>
      </c>
      <c r="I3236" s="0" t="n">
        <f aca="false">(G3236-Stats!$B$2)/H3236</f>
        <v>1.47334121766158</v>
      </c>
    </row>
    <row r="3237" customFormat="false" ht="15" hidden="false" customHeight="false" outlineLevel="0" collapsed="false">
      <c r="A3237" s="0" t="n">
        <v>0.172609112902275</v>
      </c>
      <c r="B3237" s="0" t="n">
        <v>0.00263215557958818</v>
      </c>
      <c r="C3237" s="0" t="n">
        <v>0.450903653093148</v>
      </c>
      <c r="D3237" s="0" t="n">
        <f aca="false">A3237/SUM($A3237:$C3237)</f>
        <v>0.275669588548434</v>
      </c>
      <c r="E3237" s="0" t="n">
        <f aca="false">B3237/SUM($A3237:$C3237)</f>
        <v>0.00420374818814665</v>
      </c>
      <c r="F3237" s="0" t="n">
        <f aca="false">C3237/SUM($A3237:$C3237)</f>
        <v>0.72012666326342</v>
      </c>
      <c r="G3237" s="0" t="n">
        <f aca="false">SUMPRODUCT(D3237:F3237,Stats!$B$6:$D$6)</f>
        <v>0.336868366922056</v>
      </c>
      <c r="H3237" s="0" t="n">
        <f aca="false">SQRT(SUMPRODUCT(MMULT(D3237:F3237,Stats!$B$12:$D$14),D3237:F3237))</f>
        <v>0.234613493418235</v>
      </c>
      <c r="I3237" s="0" t="n">
        <f aca="false">(G3237-Stats!$B$2)/H3237</f>
        <v>1.25682612123424</v>
      </c>
    </row>
    <row r="3238" customFormat="false" ht="15" hidden="false" customHeight="false" outlineLevel="0" collapsed="false">
      <c r="A3238" s="0" t="n">
        <v>0.352432731538842</v>
      </c>
      <c r="B3238" s="0" t="n">
        <v>0.554909833825409</v>
      </c>
      <c r="C3238" s="0" t="n">
        <v>0.188041092588786</v>
      </c>
      <c r="D3238" s="0" t="n">
        <f aca="false">A3238/SUM($A3238:$C3238)</f>
        <v>0.321743645689803</v>
      </c>
      <c r="E3238" s="0" t="n">
        <f aca="false">B3238/SUM($A3238:$C3238)</f>
        <v>0.506589476478387</v>
      </c>
      <c r="F3238" s="0" t="n">
        <f aca="false">C3238/SUM($A3238:$C3238)</f>
        <v>0.171666877831811</v>
      </c>
      <c r="G3238" s="0" t="n">
        <f aca="false">SUMPRODUCT(D3238:F3238,Stats!$B$6:$D$6)</f>
        <v>0.380898559137304</v>
      </c>
      <c r="H3238" s="0" t="n">
        <f aca="false">SQRT(SUMPRODUCT(MMULT(D3238:F3238,Stats!$B$12:$D$14),D3238:F3238))</f>
        <v>0.229358618749952</v>
      </c>
      <c r="I3238" s="0" t="n">
        <f aca="false">(G3238-Stats!$B$2)/H3238</f>
        <v>1.47759243138263</v>
      </c>
    </row>
    <row r="3239" customFormat="false" ht="15" hidden="false" customHeight="false" outlineLevel="0" collapsed="false">
      <c r="A3239" s="0" t="n">
        <v>0.859665547666475</v>
      </c>
      <c r="B3239" s="0" t="n">
        <v>0.25775521562811</v>
      </c>
      <c r="C3239" s="0" t="n">
        <v>0.22642960508765</v>
      </c>
      <c r="D3239" s="0" t="n">
        <f aca="false">A3239/SUM($A3239:$C3239)</f>
        <v>0.639703324039986</v>
      </c>
      <c r="E3239" s="0" t="n">
        <f aca="false">B3239/SUM($A3239:$C3239)</f>
        <v>0.191803508554604</v>
      </c>
      <c r="F3239" s="0" t="n">
        <f aca="false">C3239/SUM($A3239:$C3239)</f>
        <v>0.16849316740541</v>
      </c>
      <c r="G3239" s="0" t="n">
        <f aca="false">SUMPRODUCT(D3239:F3239,Stats!$B$6:$D$6)</f>
        <v>0.362873695806811</v>
      </c>
      <c r="H3239" s="0" t="n">
        <f aca="false">SQRT(SUMPRODUCT(MMULT(D3239:F3239,Stats!$B$12:$D$14),D3239:F3239))</f>
        <v>0.222766271544989</v>
      </c>
      <c r="I3239" s="0" t="n">
        <f aca="false">(G3239-Stats!$B$2)/H3239</f>
        <v>1.44040519950081</v>
      </c>
    </row>
    <row r="3240" customFormat="false" ht="15" hidden="false" customHeight="false" outlineLevel="0" collapsed="false">
      <c r="A3240" s="0" t="n">
        <v>0.480714056484356</v>
      </c>
      <c r="B3240" s="0" t="n">
        <v>0.498851023744274</v>
      </c>
      <c r="C3240" s="0" t="n">
        <v>0.215085228785093</v>
      </c>
      <c r="D3240" s="0" t="n">
        <f aca="false">A3240/SUM($A3240:$C3240)</f>
        <v>0.402388927418621</v>
      </c>
      <c r="E3240" s="0" t="n">
        <f aca="false">B3240/SUM($A3240:$C3240)</f>
        <v>0.417570748511432</v>
      </c>
      <c r="F3240" s="0" t="n">
        <f aca="false">C3240/SUM($A3240:$C3240)</f>
        <v>0.180040324069947</v>
      </c>
      <c r="G3240" s="0" t="n">
        <f aca="false">SUMPRODUCT(D3240:F3240,Stats!$B$6:$D$6)</f>
        <v>0.375545642185351</v>
      </c>
      <c r="H3240" s="0" t="n">
        <f aca="false">SQRT(SUMPRODUCT(MMULT(D3240:F3240,Stats!$B$12:$D$14),D3240:F3240))</f>
        <v>0.226324837130943</v>
      </c>
      <c r="I3240" s="0" t="n">
        <f aca="false">(G3240-Stats!$B$2)/H3240</f>
        <v>1.47374740843125</v>
      </c>
    </row>
    <row r="3241" customFormat="false" ht="15" hidden="false" customHeight="false" outlineLevel="0" collapsed="false">
      <c r="A3241" s="0" t="n">
        <v>0.271860726725916</v>
      </c>
      <c r="B3241" s="0" t="n">
        <v>0.169705239155245</v>
      </c>
      <c r="C3241" s="0" t="n">
        <v>0.718460178323167</v>
      </c>
      <c r="D3241" s="0" t="n">
        <f aca="false">A3241/SUM($A3241:$C3241)</f>
        <v>0.234357413480873</v>
      </c>
      <c r="E3241" s="0" t="n">
        <f aca="false">B3241/SUM($A3241:$C3241)</f>
        <v>0.146294322764292</v>
      </c>
      <c r="F3241" s="0" t="n">
        <f aca="false">C3241/SUM($A3241:$C3241)</f>
        <v>0.619348263754836</v>
      </c>
      <c r="G3241" s="0" t="n">
        <f aca="false">SUMPRODUCT(D3241:F3241,Stats!$B$6:$D$6)</f>
        <v>0.347823000283975</v>
      </c>
      <c r="H3241" s="0" t="n">
        <f aca="false">SQRT(SUMPRODUCT(MMULT(D3241:F3241,Stats!$B$12:$D$14),D3241:F3241))</f>
        <v>0.232813820414535</v>
      </c>
      <c r="I3241" s="0" t="n">
        <f aca="false">(G3241-Stats!$B$2)/H3241</f>
        <v>1.31359469871438</v>
      </c>
    </row>
    <row r="3242" customFormat="false" ht="15" hidden="false" customHeight="false" outlineLevel="0" collapsed="false">
      <c r="A3242" s="0" t="n">
        <v>0.770089031254082</v>
      </c>
      <c r="B3242" s="0" t="n">
        <v>0.462328497459283</v>
      </c>
      <c r="C3242" s="0" t="n">
        <v>0.714087022685017</v>
      </c>
      <c r="D3242" s="0" t="n">
        <f aca="false">A3242/SUM($A3242:$C3242)</f>
        <v>0.395626627587819</v>
      </c>
      <c r="E3242" s="0" t="n">
        <f aca="false">B3242/SUM($A3242:$C3242)</f>
        <v>0.237517295876417</v>
      </c>
      <c r="F3242" s="0" t="n">
        <f aca="false">C3242/SUM($A3242:$C3242)</f>
        <v>0.366856076535764</v>
      </c>
      <c r="G3242" s="0" t="n">
        <f aca="false">SUMPRODUCT(D3242:F3242,Stats!$B$6:$D$6)</f>
        <v>0.360034227038227</v>
      </c>
      <c r="H3242" s="0" t="n">
        <f aca="false">SQRT(SUMPRODUCT(MMULT(D3242:F3242,Stats!$B$12:$D$14),D3242:F3242))</f>
        <v>0.224281769824829</v>
      </c>
      <c r="I3242" s="0" t="n">
        <f aca="false">(G3242-Stats!$B$2)/H3242</f>
        <v>1.41801193778086</v>
      </c>
    </row>
    <row r="3243" customFormat="false" ht="15" hidden="false" customHeight="false" outlineLevel="0" collapsed="false">
      <c r="A3243" s="0" t="n">
        <v>0.735935391937446</v>
      </c>
      <c r="B3243" s="0" t="n">
        <v>0.138275527677809</v>
      </c>
      <c r="C3243" s="0" t="n">
        <v>0.966178024834537</v>
      </c>
      <c r="D3243" s="0" t="n">
        <f aca="false">A3243/SUM($A3243:$C3243)</f>
        <v>0.399880359071307</v>
      </c>
      <c r="E3243" s="0" t="n">
        <f aca="false">B3243/SUM($A3243:$C3243)</f>
        <v>0.0751338612931887</v>
      </c>
      <c r="F3243" s="0" t="n">
        <f aca="false">C3243/SUM($A3243:$C3243)</f>
        <v>0.524985779635505</v>
      </c>
      <c r="G3243" s="0" t="n">
        <f aca="false">SUMPRODUCT(D3243:F3243,Stats!$B$6:$D$6)</f>
        <v>0.346330528637981</v>
      </c>
      <c r="H3243" s="0" t="n">
        <f aca="false">SQRT(SUMPRODUCT(MMULT(D3243:F3243,Stats!$B$12:$D$14),D3243:F3243))</f>
        <v>0.225651411657574</v>
      </c>
      <c r="I3243" s="0" t="n">
        <f aca="false">(G3243-Stats!$B$2)/H3243</f>
        <v>1.34867549200093</v>
      </c>
    </row>
    <row r="3244" customFormat="false" ht="15" hidden="false" customHeight="false" outlineLevel="0" collapsed="false">
      <c r="A3244" s="0" t="n">
        <v>0.821031947096431</v>
      </c>
      <c r="B3244" s="0" t="n">
        <v>0.204483461195824</v>
      </c>
      <c r="C3244" s="0" t="n">
        <v>0.18616503574607</v>
      </c>
      <c r="D3244" s="0" t="n">
        <f aca="false">A3244/SUM($A3244:$C3244)</f>
        <v>0.677597753711425</v>
      </c>
      <c r="E3244" s="0" t="n">
        <f aca="false">B3244/SUM($A3244:$C3244)</f>
        <v>0.168760222385297</v>
      </c>
      <c r="F3244" s="0" t="n">
        <f aca="false">C3244/SUM($A3244:$C3244)</f>
        <v>0.153642023903278</v>
      </c>
      <c r="G3244" s="0" t="n">
        <f aca="false">SUMPRODUCT(D3244:F3244,Stats!$B$6:$D$6)</f>
        <v>0.361957329514992</v>
      </c>
      <c r="H3244" s="0" t="n">
        <f aca="false">SQRT(SUMPRODUCT(MMULT(D3244:F3244,Stats!$B$12:$D$14),D3244:F3244))</f>
        <v>0.223078620047737</v>
      </c>
      <c r="I3244" s="0" t="n">
        <f aca="false">(G3244-Stats!$B$2)/H3244</f>
        <v>1.43428056640535</v>
      </c>
    </row>
    <row r="3245" customFormat="false" ht="15" hidden="false" customHeight="false" outlineLevel="0" collapsed="false">
      <c r="A3245" s="0" t="n">
        <v>0.125661145579583</v>
      </c>
      <c r="B3245" s="0" t="n">
        <v>0.138378562541918</v>
      </c>
      <c r="C3245" s="0" t="n">
        <v>0.748161799028696</v>
      </c>
      <c r="D3245" s="0" t="n">
        <f aca="false">A3245/SUM($A3245:$C3245)</f>
        <v>0.124146372725106</v>
      </c>
      <c r="E3245" s="0" t="n">
        <f aca="false">B3245/SUM($A3245:$C3245)</f>
        <v>0.136710488538509</v>
      </c>
      <c r="F3245" s="0" t="n">
        <f aca="false">C3245/SUM($A3245:$C3245)</f>
        <v>0.739143138736385</v>
      </c>
      <c r="G3245" s="0" t="n">
        <f aca="false">SUMPRODUCT(D3245:F3245,Stats!$B$6:$D$6)</f>
        <v>0.343968261264652</v>
      </c>
      <c r="H3245" s="0" t="n">
        <f aca="false">SQRT(SUMPRODUCT(MMULT(D3245:F3245,Stats!$B$12:$D$14),D3245:F3245))</f>
        <v>0.241264795184488</v>
      </c>
      <c r="I3245" s="0" t="n">
        <f aca="false">(G3245-Stats!$B$2)/H3245</f>
        <v>1.25160515455123</v>
      </c>
    </row>
    <row r="3246" customFormat="false" ht="15" hidden="false" customHeight="false" outlineLevel="0" collapsed="false">
      <c r="A3246" s="0" t="n">
        <v>0.469654256951624</v>
      </c>
      <c r="B3246" s="0" t="n">
        <v>0.782934172739867</v>
      </c>
      <c r="C3246" s="0" t="n">
        <v>0.746254894350205</v>
      </c>
      <c r="D3246" s="0" t="n">
        <f aca="false">A3246/SUM($A3246:$C3246)</f>
        <v>0.234963016511957</v>
      </c>
      <c r="E3246" s="0" t="n">
        <f aca="false">B3246/SUM($A3246:$C3246)</f>
        <v>0.391693617665221</v>
      </c>
      <c r="F3246" s="0" t="n">
        <f aca="false">C3246/SUM($A3246:$C3246)</f>
        <v>0.373343365822822</v>
      </c>
      <c r="G3246" s="0" t="n">
        <f aca="false">SUMPRODUCT(D3246:F3246,Stats!$B$6:$D$6)</f>
        <v>0.368726448540498</v>
      </c>
      <c r="H3246" s="0" t="n">
        <f aca="false">SQRT(SUMPRODUCT(MMULT(D3246:F3246,Stats!$B$12:$D$14),D3246:F3246))</f>
        <v>0.230052892880935</v>
      </c>
      <c r="I3246" s="0" t="n">
        <f aca="false">(G3246-Stats!$B$2)/H3246</f>
        <v>1.42022316889359</v>
      </c>
    </row>
    <row r="3247" customFormat="false" ht="15" hidden="false" customHeight="false" outlineLevel="0" collapsed="false">
      <c r="A3247" s="0" t="n">
        <v>0.604612713505222</v>
      </c>
      <c r="B3247" s="0" t="n">
        <v>0.68636660657868</v>
      </c>
      <c r="C3247" s="0" t="n">
        <v>0.0183557243791418</v>
      </c>
      <c r="D3247" s="0" t="n">
        <f aca="false">A3247/SUM($A3247:$C3247)</f>
        <v>0.461770817226673</v>
      </c>
      <c r="E3247" s="0" t="n">
        <f aca="false">B3247/SUM($A3247:$C3247)</f>
        <v>0.524210063330397</v>
      </c>
      <c r="F3247" s="0" t="n">
        <f aca="false">C3247/SUM($A3247:$C3247)</f>
        <v>0.0140191194429303</v>
      </c>
      <c r="G3247" s="0" t="n">
        <f aca="false">SUMPRODUCT(D3247:F3247,Stats!$B$6:$D$6)</f>
        <v>0.386259501201947</v>
      </c>
      <c r="H3247" s="0" t="n">
        <f aca="false">SQRT(SUMPRODUCT(MMULT(D3247:F3247,Stats!$B$12:$D$14),D3247:F3247))</f>
        <v>0.230030448315816</v>
      </c>
      <c r="I3247" s="0" t="n">
        <f aca="false">(G3247-Stats!$B$2)/H3247</f>
        <v>1.49658231648231</v>
      </c>
    </row>
    <row r="3248" customFormat="false" ht="15" hidden="false" customHeight="false" outlineLevel="0" collapsed="false">
      <c r="A3248" s="0" t="n">
        <v>0.311777646805022</v>
      </c>
      <c r="B3248" s="0" t="n">
        <v>0.63782217925941</v>
      </c>
      <c r="C3248" s="0" t="n">
        <v>0.0093449534862442</v>
      </c>
      <c r="D3248" s="0" t="n">
        <f aca="false">A3248/SUM($A3248:$C3248)</f>
        <v>0.32512575640811</v>
      </c>
      <c r="E3248" s="0" t="n">
        <f aca="false">B3248/SUM($A3248:$C3248)</f>
        <v>0.665129205415007</v>
      </c>
      <c r="F3248" s="0" t="n">
        <f aca="false">C3248/SUM($A3248:$C3248)</f>
        <v>0.00974503817688322</v>
      </c>
      <c r="G3248" s="0" t="n">
        <f aca="false">SUMPRODUCT(D3248:F3248,Stats!$B$6:$D$6)</f>
        <v>0.394485662396432</v>
      </c>
      <c r="H3248" s="0" t="n">
        <f aca="false">SQRT(SUMPRODUCT(MMULT(D3248:F3248,Stats!$B$12:$D$14),D3248:F3248))</f>
        <v>0.234945516120392</v>
      </c>
      <c r="I3248" s="0" t="n">
        <f aca="false">(G3248-Stats!$B$2)/H3248</f>
        <v>1.50028682486457</v>
      </c>
    </row>
    <row r="3249" customFormat="false" ht="15" hidden="false" customHeight="false" outlineLevel="0" collapsed="false">
      <c r="A3249" s="0" t="n">
        <v>0.0329769436825934</v>
      </c>
      <c r="B3249" s="0" t="n">
        <v>0.851887982470383</v>
      </c>
      <c r="C3249" s="0" t="n">
        <v>0.684024861692072</v>
      </c>
      <c r="D3249" s="0" t="n">
        <f aca="false">A3249/SUM($A3249:$C3249)</f>
        <v>0.0210192863374354</v>
      </c>
      <c r="E3249" s="0" t="n">
        <f aca="false">B3249/SUM($A3249:$C3249)</f>
        <v>0.54298777968368</v>
      </c>
      <c r="F3249" s="0" t="n">
        <f aca="false">C3249/SUM($A3249:$C3249)</f>
        <v>0.435992933978884</v>
      </c>
      <c r="G3249" s="0" t="n">
        <f aca="false">SUMPRODUCT(D3249:F3249,Stats!$B$6:$D$6)</f>
        <v>0.375704181061226</v>
      </c>
      <c r="H3249" s="0" t="n">
        <f aca="false">SQRT(SUMPRODUCT(MMULT(D3249:F3249,Stats!$B$12:$D$14),D3249:F3249))</f>
        <v>0.241835203143223</v>
      </c>
      <c r="I3249" s="0" t="n">
        <f aca="false">(G3249-Stats!$B$2)/H3249</f>
        <v>1.37988256764915</v>
      </c>
    </row>
    <row r="3250" customFormat="false" ht="15" hidden="false" customHeight="false" outlineLevel="0" collapsed="false">
      <c r="A3250" s="0" t="n">
        <v>0.265369733120344</v>
      </c>
      <c r="B3250" s="0" t="n">
        <v>0.687962840118709</v>
      </c>
      <c r="C3250" s="0" t="n">
        <v>0.792456669139263</v>
      </c>
      <c r="D3250" s="0" t="n">
        <f aca="false">A3250/SUM($A3250:$C3250)</f>
        <v>0.152005595336827</v>
      </c>
      <c r="E3250" s="0" t="n">
        <f aca="false">B3250/SUM($A3250:$C3250)</f>
        <v>0.39406981290679</v>
      </c>
      <c r="F3250" s="0" t="n">
        <f aca="false">C3250/SUM($A3250:$C3250)</f>
        <v>0.453924591756384</v>
      </c>
      <c r="G3250" s="0" t="n">
        <f aca="false">SUMPRODUCT(D3250:F3250,Stats!$B$6:$D$6)</f>
        <v>0.3666411754273</v>
      </c>
      <c r="H3250" s="0" t="n">
        <f aca="false">SQRT(SUMPRODUCT(MMULT(D3250:F3250,Stats!$B$12:$D$14),D3250:F3250))</f>
        <v>0.234106205477406</v>
      </c>
      <c r="I3250" s="0" t="n">
        <f aca="false">(G3250-Stats!$B$2)/H3250</f>
        <v>1.38672605779615</v>
      </c>
    </row>
    <row r="3251" customFormat="false" ht="15" hidden="false" customHeight="false" outlineLevel="0" collapsed="false">
      <c r="A3251" s="0" t="n">
        <v>0.306794283110101</v>
      </c>
      <c r="B3251" s="0" t="n">
        <v>0.0360373774991875</v>
      </c>
      <c r="C3251" s="0" t="n">
        <v>0.932779124687735</v>
      </c>
      <c r="D3251" s="0" t="n">
        <f aca="false">A3251/SUM($A3251:$C3251)</f>
        <v>0.240507752557662</v>
      </c>
      <c r="E3251" s="0" t="n">
        <f aca="false">B3251/SUM($A3251:$C3251)</f>
        <v>0.0282510762017399</v>
      </c>
      <c r="F3251" s="0" t="n">
        <f aca="false">C3251/SUM($A3251:$C3251)</f>
        <v>0.731241171240598</v>
      </c>
      <c r="G3251" s="0" t="n">
        <f aca="false">SUMPRODUCT(D3251:F3251,Stats!$B$6:$D$6)</f>
        <v>0.337945540769505</v>
      </c>
      <c r="H3251" s="0" t="n">
        <f aca="false">SQRT(SUMPRODUCT(MMULT(D3251:F3251,Stats!$B$12:$D$14),D3251:F3251))</f>
        <v>0.236199365305834</v>
      </c>
      <c r="I3251" s="0" t="n">
        <f aca="false">(G3251-Stats!$B$2)/H3251</f>
        <v>1.25294807793539</v>
      </c>
    </row>
    <row r="3252" customFormat="false" ht="15" hidden="false" customHeight="false" outlineLevel="0" collapsed="false">
      <c r="A3252" s="0" t="n">
        <v>0.345179838295631</v>
      </c>
      <c r="B3252" s="0" t="n">
        <v>0.106481763284706</v>
      </c>
      <c r="C3252" s="0" t="n">
        <v>0.491856871393147</v>
      </c>
      <c r="D3252" s="0" t="n">
        <f aca="false">A3252/SUM($A3252:$C3252)</f>
        <v>0.365843222134063</v>
      </c>
      <c r="E3252" s="0" t="n">
        <f aca="false">B3252/SUM($A3252:$C3252)</f>
        <v>0.112856045042903</v>
      </c>
      <c r="F3252" s="0" t="n">
        <f aca="false">C3252/SUM($A3252:$C3252)</f>
        <v>0.521300732823034</v>
      </c>
      <c r="G3252" s="0" t="n">
        <f aca="false">SUMPRODUCT(D3252:F3252,Stats!$B$6:$D$6)</f>
        <v>0.348602628016583</v>
      </c>
      <c r="H3252" s="0" t="n">
        <f aca="false">SQRT(SUMPRODUCT(MMULT(D3252:F3252,Stats!$B$12:$D$14),D3252:F3252))</f>
        <v>0.226403138567142</v>
      </c>
      <c r="I3252" s="0" t="n">
        <f aca="false">(G3252-Stats!$B$2)/H3252</f>
        <v>1.35423311689497</v>
      </c>
    </row>
    <row r="3253" customFormat="false" ht="15" hidden="false" customHeight="false" outlineLevel="0" collapsed="false">
      <c r="A3253" s="0" t="n">
        <v>0.768467795664134</v>
      </c>
      <c r="B3253" s="0" t="n">
        <v>0.221647314617559</v>
      </c>
      <c r="C3253" s="0" t="n">
        <v>0.269490050133363</v>
      </c>
      <c r="D3253" s="0" t="n">
        <f aca="false">A3253/SUM($A3253:$C3253)</f>
        <v>0.610086255450806</v>
      </c>
      <c r="E3253" s="0" t="n">
        <f aca="false">B3253/SUM($A3253:$C3253)</f>
        <v>0.175965708607071</v>
      </c>
      <c r="F3253" s="0" t="n">
        <f aca="false">C3253/SUM($A3253:$C3253)</f>
        <v>0.213948035942122</v>
      </c>
      <c r="G3253" s="0" t="n">
        <f aca="false">SUMPRODUCT(D3253:F3253,Stats!$B$6:$D$6)</f>
        <v>0.360709008779255</v>
      </c>
      <c r="H3253" s="0" t="n">
        <f aca="false">SQRT(SUMPRODUCT(MMULT(D3253:F3253,Stats!$B$12:$D$14),D3253:F3253))</f>
        <v>0.222093514173434</v>
      </c>
      <c r="I3253" s="0" t="n">
        <f aca="false">(G3253-Stats!$B$2)/H3253</f>
        <v>1.43502168429094</v>
      </c>
    </row>
    <row r="3254" customFormat="false" ht="15" hidden="false" customHeight="false" outlineLevel="0" collapsed="false">
      <c r="A3254" s="0" t="n">
        <v>0.242714986798583</v>
      </c>
      <c r="B3254" s="0" t="n">
        <v>0.991673052831678</v>
      </c>
      <c r="C3254" s="0" t="n">
        <v>0.197403733730543</v>
      </c>
      <c r="D3254" s="0" t="n">
        <f aca="false">A3254/SUM($A3254:$C3254)</f>
        <v>0.169518355472085</v>
      </c>
      <c r="E3254" s="0" t="n">
        <f aca="false">B3254/SUM($A3254:$C3254)</f>
        <v>0.692609827268355</v>
      </c>
      <c r="F3254" s="0" t="n">
        <f aca="false">C3254/SUM($A3254:$C3254)</f>
        <v>0.13787181725956</v>
      </c>
      <c r="G3254" s="0" t="n">
        <f aca="false">SUMPRODUCT(D3254:F3254,Stats!$B$6:$D$6)</f>
        <v>0.392533815157347</v>
      </c>
      <c r="H3254" s="0" t="n">
        <f aca="false">SQRT(SUMPRODUCT(MMULT(D3254:F3254,Stats!$B$12:$D$14),D3254:F3254))</f>
        <v>0.237735941989339</v>
      </c>
      <c r="I3254" s="0" t="n">
        <f aca="false">(G3254-Stats!$B$2)/H3254</f>
        <v>1.47446705880538</v>
      </c>
    </row>
    <row r="3255" customFormat="false" ht="15" hidden="false" customHeight="false" outlineLevel="0" collapsed="false">
      <c r="A3255" s="0" t="n">
        <v>0.575520216966124</v>
      </c>
      <c r="B3255" s="0" t="n">
        <v>0.925264641656964</v>
      </c>
      <c r="C3255" s="0" t="n">
        <v>0.146896568877779</v>
      </c>
      <c r="D3255" s="0" t="n">
        <f aca="false">A3255/SUM($A3255:$C3255)</f>
        <v>0.349290953554686</v>
      </c>
      <c r="E3255" s="0" t="n">
        <f aca="false">B3255/SUM($A3255:$C3255)</f>
        <v>0.561555544787785</v>
      </c>
      <c r="F3255" s="0" t="n">
        <f aca="false">C3255/SUM($A3255:$C3255)</f>
        <v>0.0891535016575295</v>
      </c>
      <c r="G3255" s="0" t="n">
        <f aca="false">SUMPRODUCT(D3255:F3255,Stats!$B$6:$D$6)</f>
        <v>0.38633651017833</v>
      </c>
      <c r="H3255" s="0" t="n">
        <f aca="false">SQRT(SUMPRODUCT(MMULT(D3255:F3255,Stats!$B$12:$D$14),D3255:F3255))</f>
        <v>0.230806817628473</v>
      </c>
      <c r="I3255" s="0" t="n">
        <f aca="false">(G3255-Stats!$B$2)/H3255</f>
        <v>1.4918818851036</v>
      </c>
    </row>
    <row r="3256" customFormat="false" ht="15" hidden="false" customHeight="false" outlineLevel="0" collapsed="false">
      <c r="A3256" s="0" t="n">
        <v>0.9708541978677</v>
      </c>
      <c r="B3256" s="0" t="n">
        <v>0.947477234395625</v>
      </c>
      <c r="C3256" s="0" t="n">
        <v>0.884571987058263</v>
      </c>
      <c r="D3256" s="0" t="n">
        <f aca="false">A3256/SUM($A3256:$C3256)</f>
        <v>0.346374474116802</v>
      </c>
      <c r="E3256" s="0" t="n">
        <f aca="false">B3256/SUM($A3256:$C3256)</f>
        <v>0.338034206909973</v>
      </c>
      <c r="F3256" s="0" t="n">
        <f aca="false">C3256/SUM($A3256:$C3256)</f>
        <v>0.315591318973225</v>
      </c>
      <c r="G3256" s="0" t="n">
        <f aca="false">SUMPRODUCT(D3256:F3256,Stats!$B$6:$D$6)</f>
        <v>0.36723144597493</v>
      </c>
      <c r="H3256" s="0" t="n">
        <f aca="false">SQRT(SUMPRODUCT(MMULT(D3256:F3256,Stats!$B$12:$D$14),D3256:F3256))</f>
        <v>0.225990572094442</v>
      </c>
      <c r="I3256" s="0" t="n">
        <f aca="false">(G3256-Stats!$B$2)/H3256</f>
        <v>1.43913723019832</v>
      </c>
    </row>
    <row r="3257" customFormat="false" ht="15" hidden="false" customHeight="false" outlineLevel="0" collapsed="false">
      <c r="A3257" s="0" t="n">
        <v>0.214556521330002</v>
      </c>
      <c r="B3257" s="0" t="n">
        <v>0.634055056010983</v>
      </c>
      <c r="C3257" s="0" t="n">
        <v>0.76089147296124</v>
      </c>
      <c r="D3257" s="0" t="n">
        <f aca="false">A3257/SUM($A3257:$C3257)</f>
        <v>0.133306066919049</v>
      </c>
      <c r="E3257" s="0" t="n">
        <f aca="false">B3257/SUM($A3257:$C3257)</f>
        <v>0.393944612836815</v>
      </c>
      <c r="F3257" s="0" t="n">
        <f aca="false">C3257/SUM($A3257:$C3257)</f>
        <v>0.472749320244136</v>
      </c>
      <c r="G3257" s="0" t="n">
        <f aca="false">SUMPRODUCT(D3257:F3257,Stats!$B$6:$D$6)</f>
        <v>0.366114886929638</v>
      </c>
      <c r="H3257" s="0" t="n">
        <f aca="false">SQRT(SUMPRODUCT(MMULT(D3257:F3257,Stats!$B$12:$D$14),D3257:F3257))</f>
        <v>0.235187373987563</v>
      </c>
      <c r="I3257" s="0" t="n">
        <f aca="false">(G3257-Stats!$B$2)/H3257</f>
        <v>1.37811346516747</v>
      </c>
    </row>
    <row r="3258" customFormat="false" ht="15" hidden="false" customHeight="false" outlineLevel="0" collapsed="false">
      <c r="A3258" s="0" t="n">
        <v>0.98602792819643</v>
      </c>
      <c r="B3258" s="0" t="n">
        <v>0.18042382208137</v>
      </c>
      <c r="C3258" s="0" t="n">
        <v>0.766025899519296</v>
      </c>
      <c r="D3258" s="0" t="n">
        <f aca="false">A3258/SUM($A3258:$C3258)</f>
        <v>0.510240275379102</v>
      </c>
      <c r="E3258" s="0" t="n">
        <f aca="false">B3258/SUM($A3258:$C3258)</f>
        <v>0.0933639890222349</v>
      </c>
      <c r="F3258" s="0" t="n">
        <f aca="false">C3258/SUM($A3258:$C3258)</f>
        <v>0.396395735598664</v>
      </c>
      <c r="G3258" s="0" t="n">
        <f aca="false">SUMPRODUCT(D3258:F3258,Stats!$B$6:$D$6)</f>
        <v>0.350925287598703</v>
      </c>
      <c r="H3258" s="0" t="n">
        <f aca="false">SQRT(SUMPRODUCT(MMULT(D3258:F3258,Stats!$B$12:$D$14),D3258:F3258))</f>
        <v>0.222152430078506</v>
      </c>
      <c r="I3258" s="0" t="n">
        <f aca="false">(G3258-Stats!$B$2)/H3258</f>
        <v>1.39060053265918</v>
      </c>
    </row>
    <row r="3259" customFormat="false" ht="15" hidden="false" customHeight="false" outlineLevel="0" collapsed="false">
      <c r="A3259" s="0" t="n">
        <v>0.338801169927113</v>
      </c>
      <c r="B3259" s="0" t="n">
        <v>0.175626465568002</v>
      </c>
      <c r="C3259" s="0" t="n">
        <v>0.421376941213855</v>
      </c>
      <c r="D3259" s="0" t="n">
        <f aca="false">A3259/SUM($A3259:$C3259)</f>
        <v>0.362042651168267</v>
      </c>
      <c r="E3259" s="0" t="n">
        <f aca="false">B3259/SUM($A3259:$C3259)</f>
        <v>0.187674296470791</v>
      </c>
      <c r="F3259" s="0" t="n">
        <f aca="false">C3259/SUM($A3259:$C3259)</f>
        <v>0.450283052360943</v>
      </c>
      <c r="G3259" s="0" t="n">
        <f aca="false">SUMPRODUCT(D3259:F3259,Stats!$B$6:$D$6)</f>
        <v>0.354865858592282</v>
      </c>
      <c r="H3259" s="0" t="n">
        <f aca="false">SQRT(SUMPRODUCT(MMULT(D3259:F3259,Stats!$B$12:$D$14),D3259:F3259))</f>
        <v>0.225560086555595</v>
      </c>
      <c r="I3259" s="0" t="n">
        <f aca="false">(G3259-Stats!$B$2)/H3259</f>
        <v>1.38706214991262</v>
      </c>
    </row>
    <row r="3260" customFormat="false" ht="15" hidden="false" customHeight="false" outlineLevel="0" collapsed="false">
      <c r="A3260" s="0" t="n">
        <v>0.793835912148616</v>
      </c>
      <c r="B3260" s="0" t="n">
        <v>0.464849803704052</v>
      </c>
      <c r="C3260" s="0" t="n">
        <v>0.537523100203049</v>
      </c>
      <c r="D3260" s="0" t="n">
        <f aca="false">A3260/SUM($A3260:$C3260)</f>
        <v>0.441950793834647</v>
      </c>
      <c r="E3260" s="0" t="n">
        <f aca="false">B3260/SUM($A3260:$C3260)</f>
        <v>0.258794968351627</v>
      </c>
      <c r="F3260" s="0" t="n">
        <f aca="false">C3260/SUM($A3260:$C3260)</f>
        <v>0.299254237813726</v>
      </c>
      <c r="G3260" s="0" t="n">
        <f aca="false">SUMPRODUCT(D3260:F3260,Stats!$B$6:$D$6)</f>
        <v>0.363122611475024</v>
      </c>
      <c r="H3260" s="0" t="n">
        <f aca="false">SQRT(SUMPRODUCT(MMULT(D3260:F3260,Stats!$B$12:$D$14),D3260:F3260))</f>
        <v>0.223417507481723</v>
      </c>
      <c r="I3260" s="0" t="n">
        <f aca="false">(G3260-Stats!$B$2)/H3260</f>
        <v>1.43732071445339</v>
      </c>
    </row>
    <row r="3261" customFormat="false" ht="15" hidden="false" customHeight="false" outlineLevel="0" collapsed="false">
      <c r="A3261" s="0" t="n">
        <v>0.995159410200121</v>
      </c>
      <c r="B3261" s="0" t="n">
        <v>0.399109299557426</v>
      </c>
      <c r="C3261" s="0" t="n">
        <v>0.61540075470924</v>
      </c>
      <c r="D3261" s="0" t="n">
        <f aca="false">A3261/SUM($A3261:$C3261)</f>
        <v>0.495185615244525</v>
      </c>
      <c r="E3261" s="0" t="n">
        <f aca="false">B3261/SUM($A3261:$C3261)</f>
        <v>0.198594498555174</v>
      </c>
      <c r="F3261" s="0" t="n">
        <f aca="false">C3261/SUM($A3261:$C3261)</f>
        <v>0.306219886200301</v>
      </c>
      <c r="G3261" s="0" t="n">
        <f aca="false">SUMPRODUCT(D3261:F3261,Stats!$B$6:$D$6)</f>
        <v>0.359466679283749</v>
      </c>
      <c r="H3261" s="0" t="n">
        <f aca="false">SQRT(SUMPRODUCT(MMULT(D3261:F3261,Stats!$B$12:$D$14),D3261:F3261))</f>
        <v>0.222338789272453</v>
      </c>
      <c r="I3261" s="0" t="n">
        <f aca="false">(G3261-Stats!$B$2)/H3261</f>
        <v>1.42785107503094</v>
      </c>
    </row>
    <row r="3262" customFormat="false" ht="15" hidden="false" customHeight="false" outlineLevel="0" collapsed="false">
      <c r="A3262" s="0" t="n">
        <v>0.365244201615372</v>
      </c>
      <c r="B3262" s="0" t="n">
        <v>0.392785646328705</v>
      </c>
      <c r="C3262" s="0" t="n">
        <v>0.695640753445408</v>
      </c>
      <c r="D3262" s="0" t="n">
        <f aca="false">A3262/SUM($A3262:$C3262)</f>
        <v>0.251256509739039</v>
      </c>
      <c r="E3262" s="0" t="n">
        <f aca="false">B3262/SUM($A3262:$C3262)</f>
        <v>0.270202648353253</v>
      </c>
      <c r="F3262" s="0" t="n">
        <f aca="false">C3262/SUM($A3262:$C3262)</f>
        <v>0.478540841907708</v>
      </c>
      <c r="G3262" s="0" t="n">
        <f aca="false">SUMPRODUCT(D3262:F3262,Stats!$B$6:$D$6)</f>
        <v>0.358835235467008</v>
      </c>
      <c r="H3262" s="0" t="n">
        <f aca="false">SQRT(SUMPRODUCT(MMULT(D3262:F3262,Stats!$B$12:$D$14),D3262:F3262))</f>
        <v>0.229657231226677</v>
      </c>
      <c r="I3262" s="0" t="n">
        <f aca="false">(G3262-Stats!$B$2)/H3262</f>
        <v>1.37960051932475</v>
      </c>
    </row>
    <row r="3263" customFormat="false" ht="15" hidden="false" customHeight="false" outlineLevel="0" collapsed="false">
      <c r="A3263" s="0" t="n">
        <v>0.937886976094884</v>
      </c>
      <c r="B3263" s="0" t="n">
        <v>0.542358950492321</v>
      </c>
      <c r="C3263" s="0" t="n">
        <v>0.76839992894878</v>
      </c>
      <c r="D3263" s="0" t="n">
        <f aca="false">A3263/SUM($A3263:$C3263)</f>
        <v>0.41708967812156</v>
      </c>
      <c r="E3263" s="0" t="n">
        <f aca="false">B3263/SUM($A3263:$C3263)</f>
        <v>0.241193582865473</v>
      </c>
      <c r="F3263" s="0" t="n">
        <f aca="false">C3263/SUM($A3263:$C3263)</f>
        <v>0.341716739012967</v>
      </c>
      <c r="G3263" s="0" t="n">
        <f aca="false">SUMPRODUCT(D3263:F3263,Stats!$B$6:$D$6)</f>
        <v>0.360938963396546</v>
      </c>
      <c r="H3263" s="0" t="n">
        <f aca="false">SQRT(SUMPRODUCT(MMULT(D3263:F3263,Stats!$B$12:$D$14),D3263:F3263))</f>
        <v>0.223776340914768</v>
      </c>
      <c r="I3263" s="0" t="n">
        <f aca="false">(G3263-Stats!$B$2)/H3263</f>
        <v>1.42525774660881</v>
      </c>
    </row>
    <row r="3264" customFormat="false" ht="15" hidden="false" customHeight="false" outlineLevel="0" collapsed="false">
      <c r="A3264" s="0" t="n">
        <v>0.0892065588169638</v>
      </c>
      <c r="B3264" s="0" t="n">
        <v>0.211158037431927</v>
      </c>
      <c r="C3264" s="0" t="n">
        <v>0.502131640919532</v>
      </c>
      <c r="D3264" s="0" t="n">
        <f aca="false">A3264/SUM($A3264:$C3264)</f>
        <v>0.111161342178657</v>
      </c>
      <c r="E3264" s="0" t="n">
        <f aca="false">B3264/SUM($A3264:$C3264)</f>
        <v>0.263126514059418</v>
      </c>
      <c r="F3264" s="0" t="n">
        <f aca="false">C3264/SUM($A3264:$C3264)</f>
        <v>0.625712143761925</v>
      </c>
      <c r="G3264" s="0" t="n">
        <f aca="false">SUMPRODUCT(D3264:F3264,Stats!$B$6:$D$6)</f>
        <v>0.354369891814631</v>
      </c>
      <c r="H3264" s="0" t="n">
        <f aca="false">SQRT(SUMPRODUCT(MMULT(D3264:F3264,Stats!$B$12:$D$14),D3264:F3264))</f>
        <v>0.238556593577924</v>
      </c>
      <c r="I3264" s="0" t="n">
        <f aca="false">(G3264-Stats!$B$2)/H3264</f>
        <v>1.30941629878948</v>
      </c>
    </row>
    <row r="3265" customFormat="false" ht="15" hidden="false" customHeight="false" outlineLevel="0" collapsed="false">
      <c r="A3265" s="0" t="n">
        <v>0.0200117236287748</v>
      </c>
      <c r="B3265" s="0" t="n">
        <v>0.252854978762559</v>
      </c>
      <c r="C3265" s="0" t="n">
        <v>0.517401289824966</v>
      </c>
      <c r="D3265" s="0" t="n">
        <f aca="false">A3265/SUM($A3265:$C3265)</f>
        <v>0.0253227054946919</v>
      </c>
      <c r="E3265" s="0" t="n">
        <f aca="false">B3265/SUM($A3265:$C3265)</f>
        <v>0.319961052773287</v>
      </c>
      <c r="F3265" s="0" t="n">
        <f aca="false">C3265/SUM($A3265:$C3265)</f>
        <v>0.654716241732022</v>
      </c>
      <c r="G3265" s="0" t="n">
        <f aca="false">SUMPRODUCT(D3265:F3265,Stats!$B$6:$D$6)</f>
        <v>0.35684030076676</v>
      </c>
      <c r="H3265" s="0" t="n">
        <f aca="false">SQRT(SUMPRODUCT(MMULT(D3265:F3265,Stats!$B$12:$D$14),D3265:F3265))</f>
        <v>0.244029454019414</v>
      </c>
      <c r="I3265" s="0" t="n">
        <f aca="false">(G3265-Stats!$B$2)/H3265</f>
        <v>1.29017336055554</v>
      </c>
    </row>
    <row r="3266" customFormat="false" ht="15" hidden="false" customHeight="false" outlineLevel="0" collapsed="false">
      <c r="A3266" s="0" t="n">
        <v>0.0149611982563007</v>
      </c>
      <c r="B3266" s="0" t="n">
        <v>0.264546286226042</v>
      </c>
      <c r="C3266" s="0" t="n">
        <v>0.51403081947587</v>
      </c>
      <c r="D3266" s="0" t="n">
        <f aca="false">A3266/SUM($A3266:$C3266)</f>
        <v>0.0188537820816884</v>
      </c>
      <c r="E3266" s="0" t="n">
        <f aca="false">B3266/SUM($A3266:$C3266)</f>
        <v>0.333375572302522</v>
      </c>
      <c r="F3266" s="0" t="n">
        <f aca="false">C3266/SUM($A3266:$C3266)</f>
        <v>0.64777064561579</v>
      </c>
      <c r="G3266" s="0" t="n">
        <f aca="false">SUMPRODUCT(D3266:F3266,Stats!$B$6:$D$6)</f>
        <v>0.357803676999888</v>
      </c>
      <c r="H3266" s="0" t="n">
        <f aca="false">SQRT(SUMPRODUCT(MMULT(D3266:F3266,Stats!$B$12:$D$14),D3266:F3266))</f>
        <v>0.244257304065182</v>
      </c>
      <c r="I3266" s="0" t="n">
        <f aca="false">(G3266-Stats!$B$2)/H3266</f>
        <v>1.2929139548499</v>
      </c>
    </row>
    <row r="3267" customFormat="false" ht="15" hidden="false" customHeight="false" outlineLevel="0" collapsed="false">
      <c r="A3267" s="0" t="n">
        <v>0.573149247981246</v>
      </c>
      <c r="B3267" s="0" t="n">
        <v>0.925751693055306</v>
      </c>
      <c r="C3267" s="0" t="n">
        <v>0.645345623250608</v>
      </c>
      <c r="D3267" s="0" t="n">
        <f aca="false">A3267/SUM($A3267:$C3267)</f>
        <v>0.267296335005105</v>
      </c>
      <c r="E3267" s="0" t="n">
        <f aca="false">B3267/SUM($A3267:$C3267)</f>
        <v>0.431737519590274</v>
      </c>
      <c r="F3267" s="0" t="n">
        <f aca="false">C3267/SUM($A3267:$C3267)</f>
        <v>0.300966145404621</v>
      </c>
      <c r="G3267" s="0" t="n">
        <f aca="false">SUMPRODUCT(D3267:F3267,Stats!$B$6:$D$6)</f>
        <v>0.373026296844747</v>
      </c>
      <c r="H3267" s="0" t="n">
        <f aca="false">SQRT(SUMPRODUCT(MMULT(D3267:F3267,Stats!$B$12:$D$14),D3267:F3267))</f>
        <v>0.22918037351033</v>
      </c>
      <c r="I3267" s="0" t="n">
        <f aca="false">(G3267-Stats!$B$2)/H3267</f>
        <v>1.44439199471776</v>
      </c>
    </row>
    <row r="3268" customFormat="false" ht="15" hidden="false" customHeight="false" outlineLevel="0" collapsed="false">
      <c r="A3268" s="0" t="n">
        <v>0.414735802529994</v>
      </c>
      <c r="B3268" s="0" t="n">
        <v>0.930351177133068</v>
      </c>
      <c r="C3268" s="0" t="n">
        <v>0.784882983387794</v>
      </c>
      <c r="D3268" s="0" t="n">
        <f aca="false">A3268/SUM($A3268:$C3268)</f>
        <v>0.194714390214193</v>
      </c>
      <c r="E3268" s="0" t="n">
        <f aca="false">B3268/SUM($A3268:$C3268)</f>
        <v>0.436790749762725</v>
      </c>
      <c r="F3268" s="0" t="n">
        <f aca="false">C3268/SUM($A3268:$C3268)</f>
        <v>0.368494860023082</v>
      </c>
      <c r="G3268" s="0" t="n">
        <f aca="false">SUMPRODUCT(D3268:F3268,Stats!$B$6:$D$6)</f>
        <v>0.371454974835907</v>
      </c>
      <c r="H3268" s="0" t="n">
        <f aca="false">SQRT(SUMPRODUCT(MMULT(D3268:F3268,Stats!$B$12:$D$14),D3268:F3268))</f>
        <v>0.231982844026149</v>
      </c>
      <c r="I3268" s="0" t="n">
        <f aca="false">(G3268-Stats!$B$2)/H3268</f>
        <v>1.42016956563724</v>
      </c>
    </row>
    <row r="3269" customFormat="false" ht="15" hidden="false" customHeight="false" outlineLevel="0" collapsed="false">
      <c r="A3269" s="0" t="n">
        <v>0.200008921112748</v>
      </c>
      <c r="B3269" s="0" t="n">
        <v>0.13084236134882</v>
      </c>
      <c r="C3269" s="0" t="n">
        <v>0.675811635742733</v>
      </c>
      <c r="D3269" s="0" t="n">
        <f aca="false">A3269/SUM($A3269:$C3269)</f>
        <v>0.198685098552678</v>
      </c>
      <c r="E3269" s="0" t="n">
        <f aca="false">B3269/SUM($A3269:$C3269)</f>
        <v>0.129976339629375</v>
      </c>
      <c r="F3269" s="0" t="n">
        <f aca="false">C3269/SUM($A3269:$C3269)</f>
        <v>0.671338561817947</v>
      </c>
      <c r="G3269" s="0" t="n">
        <f aca="false">SUMPRODUCT(D3269:F3269,Stats!$B$6:$D$6)</f>
        <v>0.345450472181773</v>
      </c>
      <c r="H3269" s="0" t="n">
        <f aca="false">SQRT(SUMPRODUCT(MMULT(D3269:F3269,Stats!$B$12:$D$14),D3269:F3269))</f>
        <v>0.235706046719144</v>
      </c>
      <c r="I3269" s="0" t="n">
        <f aca="false">(G3269-Stats!$B$2)/H3269</f>
        <v>1.2874106388257</v>
      </c>
    </row>
    <row r="3270" customFormat="false" ht="15" hidden="false" customHeight="false" outlineLevel="0" collapsed="false">
      <c r="A3270" s="0" t="n">
        <v>0.559883165576984</v>
      </c>
      <c r="B3270" s="0" t="n">
        <v>0.789673613792756</v>
      </c>
      <c r="C3270" s="0" t="n">
        <v>0.738805050078687</v>
      </c>
      <c r="D3270" s="0" t="n">
        <f aca="false">A3270/SUM($A3270:$C3270)</f>
        <v>0.268096820044283</v>
      </c>
      <c r="E3270" s="0" t="n">
        <f aca="false">B3270/SUM($A3270:$C3270)</f>
        <v>0.378130648940908</v>
      </c>
      <c r="F3270" s="0" t="n">
        <f aca="false">C3270/SUM($A3270:$C3270)</f>
        <v>0.353772531014809</v>
      </c>
      <c r="G3270" s="0" t="n">
        <f aca="false">SUMPRODUCT(D3270:F3270,Stats!$B$6:$D$6)</f>
        <v>0.368485711116801</v>
      </c>
      <c r="H3270" s="0" t="n">
        <f aca="false">SQRT(SUMPRODUCT(MMULT(D3270:F3270,Stats!$B$12:$D$14),D3270:F3270))</f>
        <v>0.228698701294863</v>
      </c>
      <c r="I3270" s="0" t="n">
        <f aca="false">(G3270-Stats!$B$2)/H3270</f>
        <v>1.42758008361342</v>
      </c>
    </row>
    <row r="3271" customFormat="false" ht="15" hidden="false" customHeight="false" outlineLevel="0" collapsed="false">
      <c r="A3271" s="0" t="n">
        <v>0.625211533857515</v>
      </c>
      <c r="B3271" s="0" t="n">
        <v>0.986382171628892</v>
      </c>
      <c r="C3271" s="0" t="n">
        <v>0.533589730110409</v>
      </c>
      <c r="D3271" s="0" t="n">
        <f aca="false">A3271/SUM($A3271:$C3271)</f>
        <v>0.291448984493754</v>
      </c>
      <c r="E3271" s="0" t="n">
        <f aca="false">B3271/SUM($A3271:$C3271)</f>
        <v>0.459812506129327</v>
      </c>
      <c r="F3271" s="0" t="n">
        <f aca="false">C3271/SUM($A3271:$C3271)</f>
        <v>0.248738509376918</v>
      </c>
      <c r="G3271" s="0" t="n">
        <f aca="false">SUMPRODUCT(D3271:F3271,Stats!$B$6:$D$6)</f>
        <v>0.376081852209119</v>
      </c>
      <c r="H3271" s="0" t="n">
        <f aca="false">SQRT(SUMPRODUCT(MMULT(D3271:F3271,Stats!$B$12:$D$14),D3271:F3271))</f>
        <v>0.228916711436028</v>
      </c>
      <c r="I3271" s="0" t="n">
        <f aca="false">(G3271-Stats!$B$2)/H3271</f>
        <v>1.45940351018226</v>
      </c>
    </row>
    <row r="3272" customFormat="false" ht="15" hidden="false" customHeight="false" outlineLevel="0" collapsed="false">
      <c r="A3272" s="0" t="n">
        <v>0.11310575650172</v>
      </c>
      <c r="B3272" s="0" t="n">
        <v>0.828273564815988</v>
      </c>
      <c r="C3272" s="0" t="n">
        <v>0.251853362345709</v>
      </c>
      <c r="D3272" s="0" t="n">
        <f aca="false">A3272/SUM($A3272:$C3272)</f>
        <v>0.0947893550438686</v>
      </c>
      <c r="E3272" s="0" t="n">
        <f aca="false">B3272/SUM($A3272:$C3272)</f>
        <v>0.694142539134157</v>
      </c>
      <c r="F3272" s="0" t="n">
        <f aca="false">C3272/SUM($A3272:$C3272)</f>
        <v>0.211068105821975</v>
      </c>
      <c r="G3272" s="0" t="n">
        <f aca="false">SUMPRODUCT(D3272:F3272,Stats!$B$6:$D$6)</f>
        <v>0.390603645910019</v>
      </c>
      <c r="H3272" s="0" t="n">
        <f aca="false">SQRT(SUMPRODUCT(MMULT(D3272:F3272,Stats!$B$12:$D$14),D3272:F3272))</f>
        <v>0.240092525017387</v>
      </c>
      <c r="I3272" s="0" t="n">
        <f aca="false">(G3272-Stats!$B$2)/H3272</f>
        <v>1.45195543211841</v>
      </c>
    </row>
    <row r="3273" customFormat="false" ht="15" hidden="false" customHeight="false" outlineLevel="0" collapsed="false">
      <c r="A3273" s="0" t="n">
        <v>0.777302148143918</v>
      </c>
      <c r="B3273" s="0" t="n">
        <v>0.957107096000051</v>
      </c>
      <c r="C3273" s="0" t="n">
        <v>0.696795513964341</v>
      </c>
      <c r="D3273" s="0" t="n">
        <f aca="false">A3273/SUM($A3273:$C3273)</f>
        <v>0.319718915303838</v>
      </c>
      <c r="E3273" s="0" t="n">
        <f aca="false">B3273/SUM($A3273:$C3273)</f>
        <v>0.393676054148876</v>
      </c>
      <c r="F3273" s="0" t="n">
        <f aca="false">C3273/SUM($A3273:$C3273)</f>
        <v>0.286605030547287</v>
      </c>
      <c r="G3273" s="0" t="n">
        <f aca="false">SUMPRODUCT(D3273:F3273,Stats!$B$6:$D$6)</f>
        <v>0.371232291603856</v>
      </c>
      <c r="H3273" s="0" t="n">
        <f aca="false">SQRT(SUMPRODUCT(MMULT(D3273:F3273,Stats!$B$12:$D$14),D3273:F3273))</f>
        <v>0.227235276466375</v>
      </c>
      <c r="I3273" s="0" t="n">
        <f aca="false">(G3273-Stats!$B$2)/H3273</f>
        <v>1.44886083148526</v>
      </c>
    </row>
    <row r="3274" customFormat="false" ht="15" hidden="false" customHeight="false" outlineLevel="0" collapsed="false">
      <c r="A3274" s="0" t="n">
        <v>0.596030160949801</v>
      </c>
      <c r="B3274" s="0" t="n">
        <v>0.460386175675041</v>
      </c>
      <c r="C3274" s="0" t="n">
        <v>0.364409865995403</v>
      </c>
      <c r="D3274" s="0" t="n">
        <f aca="false">A3274/SUM($A3274:$C3274)</f>
        <v>0.419495473725513</v>
      </c>
      <c r="E3274" s="0" t="n">
        <f aca="false">B3274/SUM($A3274:$C3274)</f>
        <v>0.324027087075119</v>
      </c>
      <c r="F3274" s="0" t="n">
        <f aca="false">C3274/SUM($A3274:$C3274)</f>
        <v>0.256477439199368</v>
      </c>
      <c r="G3274" s="0" t="n">
        <f aca="false">SUMPRODUCT(D3274:F3274,Stats!$B$6:$D$6)</f>
        <v>0.368055536927064</v>
      </c>
      <c r="H3274" s="0" t="n">
        <f aca="false">SQRT(SUMPRODUCT(MMULT(D3274:F3274,Stats!$B$12:$D$14),D3274:F3274))</f>
        <v>0.224427222560116</v>
      </c>
      <c r="I3274" s="0" t="n">
        <f aca="false">(G3274-Stats!$B$2)/H3274</f>
        <v>1.45283416694125</v>
      </c>
    </row>
    <row r="3275" customFormat="false" ht="15" hidden="false" customHeight="false" outlineLevel="0" collapsed="false">
      <c r="A3275" s="0" t="n">
        <v>0.353004750971836</v>
      </c>
      <c r="B3275" s="0" t="n">
        <v>0.636372705709591</v>
      </c>
      <c r="C3275" s="0" t="n">
        <v>0.751273116937746</v>
      </c>
      <c r="D3275" s="0" t="n">
        <f aca="false">A3275/SUM($A3275:$C3275)</f>
        <v>0.202800468009996</v>
      </c>
      <c r="E3275" s="0" t="n">
        <f aca="false">B3275/SUM($A3275:$C3275)</f>
        <v>0.365594746788518</v>
      </c>
      <c r="F3275" s="0" t="n">
        <f aca="false">C3275/SUM($A3275:$C3275)</f>
        <v>0.431604785201486</v>
      </c>
      <c r="G3275" s="0" t="n">
        <f aca="false">SUMPRODUCT(D3275:F3275,Stats!$B$6:$D$6)</f>
        <v>0.365618217058514</v>
      </c>
      <c r="H3275" s="0" t="n">
        <f aca="false">SQRT(SUMPRODUCT(MMULT(D3275:F3275,Stats!$B$12:$D$14),D3275:F3275))</f>
        <v>0.231506624559789</v>
      </c>
      <c r="I3275" s="0" t="n">
        <f aca="false">(G3275-Stats!$B$2)/H3275</f>
        <v>1.39787886274907</v>
      </c>
    </row>
    <row r="3276" customFormat="false" ht="15" hidden="false" customHeight="false" outlineLevel="0" collapsed="false">
      <c r="A3276" s="0" t="n">
        <v>0.678517069484414</v>
      </c>
      <c r="B3276" s="0" t="n">
        <v>0.198410101193563</v>
      </c>
      <c r="C3276" s="0" t="n">
        <v>0.493987180143491</v>
      </c>
      <c r="D3276" s="0" t="n">
        <f aca="false">A3276/SUM($A3276:$C3276)</f>
        <v>0.494937607938701</v>
      </c>
      <c r="E3276" s="0" t="n">
        <f aca="false">B3276/SUM($A3276:$C3276)</f>
        <v>0.144728298361362</v>
      </c>
      <c r="F3276" s="0" t="n">
        <f aca="false">C3276/SUM($A3276:$C3276)</f>
        <v>0.360334093699937</v>
      </c>
      <c r="G3276" s="0" t="n">
        <f aca="false">SUMPRODUCT(D3276:F3276,Stats!$B$6:$D$6)</f>
        <v>0.354875109383872</v>
      </c>
      <c r="H3276" s="0" t="n">
        <f aca="false">SQRT(SUMPRODUCT(MMULT(D3276:F3276,Stats!$B$12:$D$14),D3276:F3276))</f>
        <v>0.222224148756354</v>
      </c>
      <c r="I3276" s="0" t="n">
        <f aca="false">(G3276-Stats!$B$2)/H3276</f>
        <v>1.40792578635055</v>
      </c>
    </row>
    <row r="3277" customFormat="false" ht="15" hidden="false" customHeight="false" outlineLevel="0" collapsed="false">
      <c r="A3277" s="0" t="n">
        <v>0.791640072183063</v>
      </c>
      <c r="B3277" s="0" t="n">
        <v>0.475704078189056</v>
      </c>
      <c r="C3277" s="0" t="n">
        <v>0.536623279735494</v>
      </c>
      <c r="D3277" s="0" t="n">
        <f aca="false">A3277/SUM($A3277:$C3277)</f>
        <v>0.438832796518859</v>
      </c>
      <c r="E3277" s="0" t="n">
        <f aca="false">B3277/SUM($A3277:$C3277)</f>
        <v>0.263698817533906</v>
      </c>
      <c r="F3277" s="0" t="n">
        <f aca="false">C3277/SUM($A3277:$C3277)</f>
        <v>0.297468385947235</v>
      </c>
      <c r="G3277" s="0" t="n">
        <f aca="false">SUMPRODUCT(D3277:F3277,Stats!$B$6:$D$6)</f>
        <v>0.363454016788388</v>
      </c>
      <c r="H3277" s="0" t="n">
        <f aca="false">SQRT(SUMPRODUCT(MMULT(D3277:F3277,Stats!$B$12:$D$14),D3277:F3277))</f>
        <v>0.223503162257301</v>
      </c>
      <c r="I3277" s="0" t="n">
        <f aca="false">(G3277-Stats!$B$2)/H3277</f>
        <v>1.4382526562122</v>
      </c>
    </row>
    <row r="3278" customFormat="false" ht="15" hidden="false" customHeight="false" outlineLevel="0" collapsed="false">
      <c r="A3278" s="0" t="n">
        <v>0.771136048170822</v>
      </c>
      <c r="B3278" s="0" t="n">
        <v>0.661265306265092</v>
      </c>
      <c r="C3278" s="0" t="n">
        <v>0.409344920882393</v>
      </c>
      <c r="D3278" s="0" t="n">
        <f aca="false">A3278/SUM($A3278:$C3278)</f>
        <v>0.418698307418891</v>
      </c>
      <c r="E3278" s="0" t="n">
        <f aca="false">B3278/SUM($A3278:$C3278)</f>
        <v>0.359042564726135</v>
      </c>
      <c r="F3278" s="0" t="n">
        <f aca="false">C3278/SUM($A3278:$C3278)</f>
        <v>0.222259127854974</v>
      </c>
      <c r="G3278" s="0" t="n">
        <f aca="false">SUMPRODUCT(D3278:F3278,Stats!$B$6:$D$6)</f>
        <v>0.371013838965725</v>
      </c>
      <c r="H3278" s="0" t="n">
        <f aca="false">SQRT(SUMPRODUCT(MMULT(D3278:F3278,Stats!$B$12:$D$14),D3278:F3278))</f>
        <v>0.224986286477355</v>
      </c>
      <c r="I3278" s="0" t="n">
        <f aca="false">(G3278-Stats!$B$2)/H3278</f>
        <v>1.46237285888462</v>
      </c>
    </row>
    <row r="3279" customFormat="false" ht="15" hidden="false" customHeight="false" outlineLevel="0" collapsed="false">
      <c r="A3279" s="0" t="n">
        <v>0.895412711194219</v>
      </c>
      <c r="B3279" s="0" t="n">
        <v>0.162567068663479</v>
      </c>
      <c r="C3279" s="0" t="n">
        <v>0.995516448590325</v>
      </c>
      <c r="D3279" s="0" t="n">
        <f aca="false">A3279/SUM($A3279:$C3279)</f>
        <v>0.436043026906822</v>
      </c>
      <c r="E3279" s="0" t="n">
        <f aca="false">B3279/SUM($A3279:$C3279)</f>
        <v>0.0791659933002859</v>
      </c>
      <c r="F3279" s="0" t="n">
        <f aca="false">C3279/SUM($A3279:$C3279)</f>
        <v>0.484790979792892</v>
      </c>
      <c r="G3279" s="0" t="n">
        <f aca="false">SUMPRODUCT(D3279:F3279,Stats!$B$6:$D$6)</f>
        <v>0.34767088844091</v>
      </c>
      <c r="H3279" s="0" t="n">
        <f aca="false">SQRT(SUMPRODUCT(MMULT(D3279:F3279,Stats!$B$12:$D$14),D3279:F3279))</f>
        <v>0.224227782521294</v>
      </c>
      <c r="I3279" s="0" t="n">
        <f aca="false">(G3279-Stats!$B$2)/H3279</f>
        <v>1.36321594498167</v>
      </c>
    </row>
    <row r="3280" customFormat="false" ht="15" hidden="false" customHeight="false" outlineLevel="0" collapsed="false">
      <c r="A3280" s="0" t="n">
        <v>0.118852578476237</v>
      </c>
      <c r="B3280" s="0" t="n">
        <v>0.0149499711042389</v>
      </c>
      <c r="C3280" s="0" t="n">
        <v>0.890018901148765</v>
      </c>
      <c r="D3280" s="0" t="n">
        <f aca="false">A3280/SUM($A3280:$C3280)</f>
        <v>0.116087212659572</v>
      </c>
      <c r="E3280" s="0" t="n">
        <f aca="false">B3280/SUM($A3280:$C3280)</f>
        <v>0.0146021272494246</v>
      </c>
      <c r="F3280" s="0" t="n">
        <f aca="false">C3280/SUM($A3280:$C3280)</f>
        <v>0.869310660091003</v>
      </c>
      <c r="G3280" s="0" t="n">
        <f aca="false">SUMPRODUCT(D3280:F3280,Stats!$B$6:$D$6)</f>
        <v>0.333352984861545</v>
      </c>
      <c r="H3280" s="0" t="n">
        <f aca="false">SQRT(SUMPRODUCT(MMULT(D3280:F3280,Stats!$B$12:$D$14),D3280:F3280))</f>
        <v>0.247222242632781</v>
      </c>
      <c r="I3280" s="0" t="n">
        <f aca="false">(G3280-Stats!$B$2)/H3280</f>
        <v>1.17850635832276</v>
      </c>
    </row>
    <row r="3281" customFormat="false" ht="15" hidden="false" customHeight="false" outlineLevel="0" collapsed="false">
      <c r="A3281" s="0" t="n">
        <v>0.244953508365956</v>
      </c>
      <c r="B3281" s="0" t="n">
        <v>0.729699627446721</v>
      </c>
      <c r="C3281" s="0" t="n">
        <v>0.811015374932069</v>
      </c>
      <c r="D3281" s="0" t="n">
        <f aca="false">A3281/SUM($A3281:$C3281)</f>
        <v>0.137177481090146</v>
      </c>
      <c r="E3281" s="0" t="n">
        <f aca="false">B3281/SUM($A3281:$C3281)</f>
        <v>0.408642266499053</v>
      </c>
      <c r="F3281" s="0" t="n">
        <f aca="false">C3281/SUM($A3281:$C3281)</f>
        <v>0.454180252410802</v>
      </c>
      <c r="G3281" s="0" t="n">
        <f aca="false">SUMPRODUCT(D3281:F3281,Stats!$B$6:$D$6)</f>
        <v>0.367472605802028</v>
      </c>
      <c r="H3281" s="0" t="n">
        <f aca="false">SQRT(SUMPRODUCT(MMULT(D3281:F3281,Stats!$B$12:$D$14),D3281:F3281))</f>
        <v>0.23489284955269</v>
      </c>
      <c r="I3281" s="0" t="n">
        <f aca="false">(G3281-Stats!$B$2)/H3281</f>
        <v>1.38562159904752</v>
      </c>
    </row>
    <row r="3282" customFormat="false" ht="15" hidden="false" customHeight="false" outlineLevel="0" collapsed="false">
      <c r="A3282" s="0" t="n">
        <v>0.858986391032117</v>
      </c>
      <c r="B3282" s="0" t="n">
        <v>0.991594235664167</v>
      </c>
      <c r="C3282" s="0" t="n">
        <v>0.294039710039999</v>
      </c>
      <c r="D3282" s="0" t="n">
        <f aca="false">A3282/SUM($A3282:$C3282)</f>
        <v>0.400530749577492</v>
      </c>
      <c r="E3282" s="0" t="n">
        <f aca="false">B3282/SUM($A3282:$C3282)</f>
        <v>0.462363532919393</v>
      </c>
      <c r="F3282" s="0" t="n">
        <f aca="false">C3282/SUM($A3282:$C3282)</f>
        <v>0.137105717503115</v>
      </c>
      <c r="G3282" s="0" t="n">
        <f aca="false">SUMPRODUCT(D3282:F3282,Stats!$B$6:$D$6)</f>
        <v>0.379306866288581</v>
      </c>
      <c r="H3282" s="0" t="n">
        <f aca="false">SQRT(SUMPRODUCT(MMULT(D3282:F3282,Stats!$B$12:$D$14),D3282:F3282))</f>
        <v>0.227494411547221</v>
      </c>
      <c r="I3282" s="0" t="n">
        <f aca="false">(G3282-Stats!$B$2)/H3282</f>
        <v>1.4827039661964</v>
      </c>
    </row>
    <row r="3283" customFormat="false" ht="15" hidden="false" customHeight="false" outlineLevel="0" collapsed="false">
      <c r="A3283" s="0" t="n">
        <v>0.710243341927259</v>
      </c>
      <c r="B3283" s="0" t="n">
        <v>0.115399858280828</v>
      </c>
      <c r="C3283" s="0" t="n">
        <v>0.406809291356849</v>
      </c>
      <c r="D3283" s="0" t="n">
        <f aca="false">A3283/SUM($A3283:$C3283)</f>
        <v>0.576284560085079</v>
      </c>
      <c r="E3283" s="0" t="n">
        <f aca="false">B3283/SUM($A3283:$C3283)</f>
        <v>0.0936343259238305</v>
      </c>
      <c r="F3283" s="0" t="n">
        <f aca="false">C3283/SUM($A3283:$C3283)</f>
        <v>0.330081113991091</v>
      </c>
      <c r="G3283" s="0" t="n">
        <f aca="false">SUMPRODUCT(D3283:F3283,Stats!$B$6:$D$6)</f>
        <v>0.352769442619015</v>
      </c>
      <c r="H3283" s="0" t="n">
        <f aca="false">SQRT(SUMPRODUCT(MMULT(D3283:F3283,Stats!$B$12:$D$14),D3283:F3283))</f>
        <v>0.22139737757084</v>
      </c>
      <c r="I3283" s="0" t="n">
        <f aca="false">(G3283-Stats!$B$2)/H3283</f>
        <v>1.40367264521721</v>
      </c>
    </row>
    <row r="3284" customFormat="false" ht="15" hidden="false" customHeight="false" outlineLevel="0" collapsed="false">
      <c r="A3284" s="0" t="n">
        <v>0.84797169331259</v>
      </c>
      <c r="B3284" s="0" t="n">
        <v>0.367658046059108</v>
      </c>
      <c r="C3284" s="0" t="n">
        <v>0.591095380535614</v>
      </c>
      <c r="D3284" s="0" t="n">
        <f aca="false">A3284/SUM($A3284:$C3284)</f>
        <v>0.469341840642639</v>
      </c>
      <c r="E3284" s="0" t="n">
        <f aca="false">B3284/SUM($A3284:$C3284)</f>
        <v>0.203494179611545</v>
      </c>
      <c r="F3284" s="0" t="n">
        <f aca="false">C3284/SUM($A3284:$C3284)</f>
        <v>0.327163979745817</v>
      </c>
      <c r="G3284" s="0" t="n">
        <f aca="false">SUMPRODUCT(D3284:F3284,Stats!$B$6:$D$6)</f>
        <v>0.359171075266204</v>
      </c>
      <c r="H3284" s="0" t="n">
        <f aca="false">SQRT(SUMPRODUCT(MMULT(D3284:F3284,Stats!$B$12:$D$14),D3284:F3284))</f>
        <v>0.222691476647267</v>
      </c>
      <c r="I3284" s="0" t="n">
        <f aca="false">(G3284-Stats!$B$2)/H3284</f>
        <v>1.42426230245259</v>
      </c>
    </row>
    <row r="3285" customFormat="false" ht="15" hidden="false" customHeight="false" outlineLevel="0" collapsed="false">
      <c r="A3285" s="0" t="n">
        <v>0.503773443724634</v>
      </c>
      <c r="B3285" s="0" t="n">
        <v>0.645951531112045</v>
      </c>
      <c r="C3285" s="0" t="n">
        <v>0.972894389387695</v>
      </c>
      <c r="D3285" s="0" t="n">
        <f aca="false">A3285/SUM($A3285:$C3285)</f>
        <v>0.237335742910608</v>
      </c>
      <c r="E3285" s="0" t="n">
        <f aca="false">B3285/SUM($A3285:$C3285)</f>
        <v>0.304318118452708</v>
      </c>
      <c r="F3285" s="0" t="n">
        <f aca="false">C3285/SUM($A3285:$C3285)</f>
        <v>0.458346138636684</v>
      </c>
      <c r="G3285" s="0" t="n">
        <f aca="false">SUMPRODUCT(D3285:F3285,Stats!$B$6:$D$6)</f>
        <v>0.361355056637149</v>
      </c>
      <c r="H3285" s="0" t="n">
        <f aca="false">SQRT(SUMPRODUCT(MMULT(D3285:F3285,Stats!$B$12:$D$14),D3285:F3285))</f>
        <v>0.230075041067218</v>
      </c>
      <c r="I3285" s="0" t="n">
        <f aca="false">(G3285-Stats!$B$2)/H3285</f>
        <v>1.3880473742645</v>
      </c>
    </row>
    <row r="3286" customFormat="false" ht="15" hidden="false" customHeight="false" outlineLevel="0" collapsed="false">
      <c r="A3286" s="0" t="n">
        <v>0.0557355265014021</v>
      </c>
      <c r="B3286" s="0" t="n">
        <v>0.57396151750163</v>
      </c>
      <c r="C3286" s="0" t="n">
        <v>0.863028779250285</v>
      </c>
      <c r="D3286" s="0" t="n">
        <f aca="false">A3286/SUM($A3286:$C3286)</f>
        <v>0.0373380868965806</v>
      </c>
      <c r="E3286" s="0" t="n">
        <f aca="false">B3286/SUM($A3286:$C3286)</f>
        <v>0.384505653054699</v>
      </c>
      <c r="F3286" s="0" t="n">
        <f aca="false">C3286/SUM($A3286:$C3286)</f>
        <v>0.57815626004872</v>
      </c>
      <c r="G3286" s="0" t="n">
        <f aca="false">SUMPRODUCT(D3286:F3286,Stats!$B$6:$D$6)</f>
        <v>0.362665225576911</v>
      </c>
      <c r="H3286" s="0" t="n">
        <f aca="false">SQRT(SUMPRODUCT(MMULT(D3286:F3286,Stats!$B$12:$D$14),D3286:F3286))</f>
        <v>0.241804781228409</v>
      </c>
      <c r="I3286" s="0" t="n">
        <f aca="false">(G3286-Stats!$B$2)/H3286</f>
        <v>1.32613269244668</v>
      </c>
    </row>
    <row r="3287" customFormat="false" ht="15" hidden="false" customHeight="false" outlineLevel="0" collapsed="false">
      <c r="A3287" s="0" t="n">
        <v>0.481382711748428</v>
      </c>
      <c r="B3287" s="0" t="n">
        <v>0.0785271859415728</v>
      </c>
      <c r="C3287" s="0" t="n">
        <v>0.560539352416771</v>
      </c>
      <c r="D3287" s="0" t="n">
        <f aca="false">A3287/SUM($A3287:$C3287)</f>
        <v>0.429633659625864</v>
      </c>
      <c r="E3287" s="0" t="n">
        <f aca="false">B3287/SUM($A3287:$C3287)</f>
        <v>0.0700854464707703</v>
      </c>
      <c r="F3287" s="0" t="n">
        <f aca="false">C3287/SUM($A3287:$C3287)</f>
        <v>0.500280893903365</v>
      </c>
      <c r="G3287" s="0" t="n">
        <f aca="false">SUMPRODUCT(D3287:F3287,Stats!$B$6:$D$6)</f>
        <v>0.3467212771052</v>
      </c>
      <c r="H3287" s="0" t="n">
        <f aca="false">SQRT(SUMPRODUCT(MMULT(D3287:F3287,Stats!$B$12:$D$14),D3287:F3287))</f>
        <v>0.224596606599973</v>
      </c>
      <c r="I3287" s="0" t="n">
        <f aca="false">(G3287-Stats!$B$2)/H3287</f>
        <v>1.35674924798813</v>
      </c>
    </row>
    <row r="3288" customFormat="false" ht="15" hidden="false" customHeight="false" outlineLevel="0" collapsed="false">
      <c r="A3288" s="0" t="n">
        <v>0.33207389082382</v>
      </c>
      <c r="B3288" s="0" t="n">
        <v>0.154941785337936</v>
      </c>
      <c r="C3288" s="0" t="n">
        <v>0.849034513283473</v>
      </c>
      <c r="D3288" s="0" t="n">
        <f aca="false">A3288/SUM($A3288:$C3288)</f>
        <v>0.248548964288316</v>
      </c>
      <c r="E3288" s="0" t="n">
        <f aca="false">B3288/SUM($A3288:$C3288)</f>
        <v>0.11597003358255</v>
      </c>
      <c r="F3288" s="0" t="n">
        <f aca="false">C3288/SUM($A3288:$C3288)</f>
        <v>0.635481002129134</v>
      </c>
      <c r="G3288" s="0" t="n">
        <f aca="false">SUMPRODUCT(D3288:F3288,Stats!$B$6:$D$6)</f>
        <v>0.345633325876723</v>
      </c>
      <c r="H3288" s="0" t="n">
        <f aca="false">SQRT(SUMPRODUCT(MMULT(D3288:F3288,Stats!$B$12:$D$14),D3288:F3288))</f>
        <v>0.232713379731431</v>
      </c>
      <c r="I3288" s="0" t="n">
        <f aca="false">(G3288-Stats!$B$2)/H3288</f>
        <v>1.30475233623068</v>
      </c>
    </row>
    <row r="3289" customFormat="false" ht="15" hidden="false" customHeight="false" outlineLevel="0" collapsed="false">
      <c r="A3289" s="0" t="n">
        <v>0.521599512991122</v>
      </c>
      <c r="B3289" s="0" t="n">
        <v>0.933276412379067</v>
      </c>
      <c r="C3289" s="0" t="n">
        <v>0.806016504603069</v>
      </c>
      <c r="D3289" s="0" t="n">
        <f aca="false">A3289/SUM($A3289:$C3289)</f>
        <v>0.230705143719417</v>
      </c>
      <c r="E3289" s="0" t="n">
        <f aca="false">B3289/SUM($A3289:$C3289)</f>
        <v>0.412791161581317</v>
      </c>
      <c r="F3289" s="0" t="n">
        <f aca="false">C3289/SUM($A3289:$C3289)</f>
        <v>0.356503694699267</v>
      </c>
      <c r="G3289" s="0" t="n">
        <f aca="false">SUMPRODUCT(D3289:F3289,Stats!$B$6:$D$6)</f>
        <v>0.370404721365768</v>
      </c>
      <c r="H3289" s="0" t="n">
        <f aca="false">SQRT(SUMPRODUCT(MMULT(D3289:F3289,Stats!$B$12:$D$14),D3289:F3289))</f>
        <v>0.230326920047289</v>
      </c>
      <c r="I3289" s="0" t="n">
        <f aca="false">(G3289-Stats!$B$2)/H3289</f>
        <v>1.42581996623904</v>
      </c>
    </row>
    <row r="3290" customFormat="false" ht="15" hidden="false" customHeight="false" outlineLevel="0" collapsed="false">
      <c r="A3290" s="0" t="n">
        <v>0.692971793773667</v>
      </c>
      <c r="B3290" s="0" t="n">
        <v>0.00502550336531193</v>
      </c>
      <c r="C3290" s="0" t="n">
        <v>0.42782345663825</v>
      </c>
      <c r="D3290" s="0" t="n">
        <f aca="false">A3290/SUM($A3290:$C3290)</f>
        <v>0.615525865417461</v>
      </c>
      <c r="E3290" s="0" t="n">
        <f aca="false">B3290/SUM($A3290:$C3290)</f>
        <v>0.00446385745550606</v>
      </c>
      <c r="F3290" s="0" t="n">
        <f aca="false">C3290/SUM($A3290:$C3290)</f>
        <v>0.380010277127033</v>
      </c>
      <c r="G3290" s="0" t="n">
        <f aca="false">SUMPRODUCT(D3290:F3290,Stats!$B$6:$D$6)</f>
        <v>0.346261911804718</v>
      </c>
      <c r="H3290" s="0" t="n">
        <f aca="false">SQRT(SUMPRODUCT(MMULT(D3290:F3290,Stats!$B$12:$D$14),D3290:F3290))</f>
        <v>0.221464137336933</v>
      </c>
      <c r="I3290" s="0" t="n">
        <f aca="false">(G3290-Stats!$B$2)/H3290</f>
        <v>1.37386538273607</v>
      </c>
    </row>
    <row r="3291" customFormat="false" ht="15" hidden="false" customHeight="false" outlineLevel="0" collapsed="false">
      <c r="A3291" s="0" t="n">
        <v>0.197486281652032</v>
      </c>
      <c r="B3291" s="0" t="n">
        <v>0.910797911048868</v>
      </c>
      <c r="C3291" s="0" t="n">
        <v>0.17458398467636</v>
      </c>
      <c r="D3291" s="0" t="n">
        <f aca="false">A3291/SUM($A3291:$C3291)</f>
        <v>0.153941211680673</v>
      </c>
      <c r="E3291" s="0" t="n">
        <f aca="false">B3291/SUM($A3291:$C3291)</f>
        <v>0.709969993106333</v>
      </c>
      <c r="F3291" s="0" t="n">
        <f aca="false">C3291/SUM($A3291:$C3291)</f>
        <v>0.136088795212994</v>
      </c>
      <c r="G3291" s="0" t="n">
        <f aca="false">SUMPRODUCT(D3291:F3291,Stats!$B$6:$D$6)</f>
        <v>0.393581862777989</v>
      </c>
      <c r="H3291" s="0" t="n">
        <f aca="false">SQRT(SUMPRODUCT(MMULT(D3291:F3291,Stats!$B$12:$D$14),D3291:F3291))</f>
        <v>0.23869372098951</v>
      </c>
      <c r="I3291" s="0" t="n">
        <f aca="false">(G3291-Stats!$B$2)/H3291</f>
        <v>1.47294139670075</v>
      </c>
    </row>
    <row r="3292" customFormat="false" ht="15" hidden="false" customHeight="false" outlineLevel="0" collapsed="false">
      <c r="A3292" s="0" t="n">
        <v>0.286060051659286</v>
      </c>
      <c r="B3292" s="0" t="n">
        <v>0.516836767734499</v>
      </c>
      <c r="C3292" s="0" t="n">
        <v>0.263363618998079</v>
      </c>
      <c r="D3292" s="0" t="n">
        <f aca="false">A3292/SUM($A3292:$C3292)</f>
        <v>0.268283471241531</v>
      </c>
      <c r="E3292" s="0" t="n">
        <f aca="false">B3292/SUM($A3292:$C3292)</f>
        <v>0.484719069680568</v>
      </c>
      <c r="F3292" s="0" t="n">
        <f aca="false">C3292/SUM($A3292:$C3292)</f>
        <v>0.246997459077901</v>
      </c>
      <c r="G3292" s="0" t="n">
        <f aca="false">SUMPRODUCT(D3292:F3292,Stats!$B$6:$D$6)</f>
        <v>0.377562952432276</v>
      </c>
      <c r="H3292" s="0" t="n">
        <f aca="false">SQRT(SUMPRODUCT(MMULT(D3292:F3292,Stats!$B$12:$D$14),D3292:F3292))</f>
        <v>0.229942536477344</v>
      </c>
      <c r="I3292" s="0" t="n">
        <f aca="false">(G3292-Stats!$B$2)/H3292</f>
        <v>1.45933396044511</v>
      </c>
    </row>
    <row r="3293" customFormat="false" ht="15" hidden="false" customHeight="false" outlineLevel="0" collapsed="false">
      <c r="A3293" s="0" t="n">
        <v>0.209864677279121</v>
      </c>
      <c r="B3293" s="0" t="n">
        <v>0.599099325102752</v>
      </c>
      <c r="C3293" s="0" t="n">
        <v>0.0889295227550239</v>
      </c>
      <c r="D3293" s="0" t="n">
        <f aca="false">A3293/SUM($A3293:$C3293)</f>
        <v>0.233730026338172</v>
      </c>
      <c r="E3293" s="0" t="n">
        <f aca="false">B3293/SUM($A3293:$C3293)</f>
        <v>0.667227581367636</v>
      </c>
      <c r="F3293" s="0" t="n">
        <f aca="false">C3293/SUM($A3293:$C3293)</f>
        <v>0.0990423922941924</v>
      </c>
      <c r="G3293" s="0" t="n">
        <f aca="false">SUMPRODUCT(D3293:F3293,Stats!$B$6:$D$6)</f>
        <v>0.392144060038655</v>
      </c>
      <c r="H3293" s="0" t="n">
        <f aca="false">SQRT(SUMPRODUCT(MMULT(D3293:F3293,Stats!$B$12:$D$14),D3293:F3293))</f>
        <v>0.235609965411744</v>
      </c>
      <c r="I3293" s="0" t="n">
        <f aca="false">(G3293-Stats!$B$2)/H3293</f>
        <v>1.48611736106644</v>
      </c>
    </row>
    <row r="3294" customFormat="false" ht="15" hidden="false" customHeight="false" outlineLevel="0" collapsed="false">
      <c r="A3294" s="0" t="n">
        <v>0.0581677587209247</v>
      </c>
      <c r="B3294" s="0" t="n">
        <v>0.372245295186071</v>
      </c>
      <c r="C3294" s="0" t="n">
        <v>0.720664454507862</v>
      </c>
      <c r="D3294" s="0" t="n">
        <f aca="false">A3294/SUM($A3294:$C3294)</f>
        <v>0.050533311871437</v>
      </c>
      <c r="E3294" s="0" t="n">
        <f aca="false">B3294/SUM($A3294:$C3294)</f>
        <v>0.323388557646903</v>
      </c>
      <c r="F3294" s="0" t="n">
        <f aca="false">C3294/SUM($A3294:$C3294)</f>
        <v>0.62607813048166</v>
      </c>
      <c r="G3294" s="0" t="n">
        <f aca="false">SUMPRODUCT(D3294:F3294,Stats!$B$6:$D$6)</f>
        <v>0.357827199863987</v>
      </c>
      <c r="H3294" s="0" t="n">
        <f aca="false">SQRT(SUMPRODUCT(MMULT(D3294:F3294,Stats!$B$12:$D$14),D3294:F3294))</f>
        <v>0.241899491044699</v>
      </c>
      <c r="I3294" s="0" t="n">
        <f aca="false">(G3294-Stats!$B$2)/H3294</f>
        <v>1.30561332932126</v>
      </c>
    </row>
    <row r="3295" customFormat="false" ht="15" hidden="false" customHeight="false" outlineLevel="0" collapsed="false">
      <c r="A3295" s="0" t="n">
        <v>0.554806758273948</v>
      </c>
      <c r="B3295" s="0" t="n">
        <v>0.422876468466779</v>
      </c>
      <c r="C3295" s="0" t="n">
        <v>0.565751564224582</v>
      </c>
      <c r="D3295" s="0" t="n">
        <f aca="false">A3295/SUM($A3295:$C3295)</f>
        <v>0.359462389678903</v>
      </c>
      <c r="E3295" s="0" t="n">
        <f aca="false">B3295/SUM($A3295:$C3295)</f>
        <v>0.273984019890014</v>
      </c>
      <c r="F3295" s="0" t="n">
        <f aca="false">C3295/SUM($A3295:$C3295)</f>
        <v>0.366553590431083</v>
      </c>
      <c r="G3295" s="0" t="n">
        <f aca="false">SUMPRODUCT(D3295:F3295,Stats!$B$6:$D$6)</f>
        <v>0.362140816078007</v>
      </c>
      <c r="H3295" s="0" t="n">
        <f aca="false">SQRT(SUMPRODUCT(MMULT(D3295:F3295,Stats!$B$12:$D$14),D3295:F3295))</f>
        <v>0.225323991662063</v>
      </c>
      <c r="I3295" s="0" t="n">
        <f aca="false">(G3295-Stats!$B$2)/H3295</f>
        <v>1.42080216898584</v>
      </c>
    </row>
    <row r="3296" customFormat="false" ht="15" hidden="false" customHeight="false" outlineLevel="0" collapsed="false">
      <c r="A3296" s="0" t="n">
        <v>0.365451484653274</v>
      </c>
      <c r="B3296" s="0" t="n">
        <v>0.936146335432113</v>
      </c>
      <c r="C3296" s="0" t="n">
        <v>0.0549048909107743</v>
      </c>
      <c r="D3296" s="0" t="n">
        <f aca="false">A3296/SUM($A3296:$C3296)</f>
        <v>0.269407117059796</v>
      </c>
      <c r="E3296" s="0" t="n">
        <f aca="false">B3296/SUM($A3296:$C3296)</f>
        <v>0.690117555861459</v>
      </c>
      <c r="F3296" s="0" t="n">
        <f aca="false">C3296/SUM($A3296:$C3296)</f>
        <v>0.0404753270787453</v>
      </c>
      <c r="G3296" s="0" t="n">
        <f aca="false">SUMPRODUCT(D3296:F3296,Stats!$B$6:$D$6)</f>
        <v>0.395076083842354</v>
      </c>
      <c r="H3296" s="0" t="n">
        <f aca="false">SQRT(SUMPRODUCT(MMULT(D3296:F3296,Stats!$B$12:$D$14),D3296:F3296))</f>
        <v>0.236132778632854</v>
      </c>
      <c r="I3296" s="0" t="n">
        <f aca="false">(G3296-Stats!$B$2)/H3296</f>
        <v>1.4952438449527</v>
      </c>
    </row>
    <row r="3297" customFormat="false" ht="15" hidden="false" customHeight="false" outlineLevel="0" collapsed="false">
      <c r="A3297" s="0" t="n">
        <v>0.673391479029835</v>
      </c>
      <c r="B3297" s="0" t="n">
        <v>0.891282664827751</v>
      </c>
      <c r="C3297" s="0" t="n">
        <v>0.803884708735253</v>
      </c>
      <c r="D3297" s="0" t="n">
        <f aca="false">A3297/SUM($A3297:$C3297)</f>
        <v>0.28430430524987</v>
      </c>
      <c r="E3297" s="0" t="n">
        <f aca="false">B3297/SUM($A3297:$C3297)</f>
        <v>0.376297453555807</v>
      </c>
      <c r="F3297" s="0" t="n">
        <f aca="false">C3297/SUM($A3297:$C3297)</f>
        <v>0.339398241194323</v>
      </c>
      <c r="G3297" s="0" t="n">
        <f aca="false">SUMPRODUCT(D3297:F3297,Stats!$B$6:$D$6)</f>
        <v>0.368776596940158</v>
      </c>
      <c r="H3297" s="0" t="n">
        <f aca="false">SQRT(SUMPRODUCT(MMULT(D3297:F3297,Stats!$B$12:$D$14),D3297:F3297))</f>
        <v>0.228117548421511</v>
      </c>
      <c r="I3297" s="0" t="n">
        <f aca="false">(G3297-Stats!$B$2)/H3297</f>
        <v>1.43249214802338</v>
      </c>
    </row>
    <row r="3298" customFormat="false" ht="15" hidden="false" customHeight="false" outlineLevel="0" collapsed="false">
      <c r="A3298" s="0" t="n">
        <v>0.184041034821447</v>
      </c>
      <c r="B3298" s="0" t="n">
        <v>0.295926348980288</v>
      </c>
      <c r="C3298" s="0" t="n">
        <v>0.717047938707105</v>
      </c>
      <c r="D3298" s="0" t="n">
        <f aca="false">A3298/SUM($A3298:$C3298)</f>
        <v>0.153749940673869</v>
      </c>
      <c r="E3298" s="0" t="n">
        <f aca="false">B3298/SUM($A3298:$C3298)</f>
        <v>0.247220184583813</v>
      </c>
      <c r="F3298" s="0" t="n">
        <f aca="false">C3298/SUM($A3298:$C3298)</f>
        <v>0.599029874742317</v>
      </c>
      <c r="G3298" s="0" t="n">
        <f aca="false">SUMPRODUCT(D3298:F3298,Stats!$B$6:$D$6)</f>
        <v>0.35419041550944</v>
      </c>
      <c r="H3298" s="0" t="n">
        <f aca="false">SQRT(SUMPRODUCT(MMULT(D3298:F3298,Stats!$B$12:$D$14),D3298:F3298))</f>
        <v>0.235839222907661</v>
      </c>
      <c r="I3298" s="0" t="n">
        <f aca="false">(G3298-Stats!$B$2)/H3298</f>
        <v>1.32374255503578</v>
      </c>
    </row>
    <row r="3299" customFormat="false" ht="15" hidden="false" customHeight="false" outlineLevel="0" collapsed="false">
      <c r="A3299" s="0" t="n">
        <v>0.0842705591807655</v>
      </c>
      <c r="B3299" s="0" t="n">
        <v>0.811861699832584</v>
      </c>
      <c r="C3299" s="0" t="n">
        <v>0.71890694460479</v>
      </c>
      <c r="D3299" s="0" t="n">
        <f aca="false">A3299/SUM($A3299:$C3299)</f>
        <v>0.0521786461851674</v>
      </c>
      <c r="E3299" s="0" t="n">
        <f aca="false">B3299/SUM($A3299:$C3299)</f>
        <v>0.502688540323843</v>
      </c>
      <c r="F3299" s="0" t="n">
        <f aca="false">C3299/SUM($A3299:$C3299)</f>
        <v>0.44513281349099</v>
      </c>
      <c r="G3299" s="0" t="n">
        <f aca="false">SUMPRODUCT(D3299:F3299,Stats!$B$6:$D$6)</f>
        <v>0.373133386324582</v>
      </c>
      <c r="H3299" s="0" t="n">
        <f aca="false">SQRT(SUMPRODUCT(MMULT(D3299:F3299,Stats!$B$12:$D$14),D3299:F3299))</f>
        <v>0.239827338495338</v>
      </c>
      <c r="I3299" s="0" t="n">
        <f aca="false">(G3299-Stats!$B$2)/H3299</f>
        <v>1.38071576160621</v>
      </c>
    </row>
    <row r="3300" customFormat="false" ht="15" hidden="false" customHeight="false" outlineLevel="0" collapsed="false">
      <c r="A3300" s="0" t="n">
        <v>0.729606649235343</v>
      </c>
      <c r="B3300" s="0" t="n">
        <v>0.100241370267591</v>
      </c>
      <c r="C3300" s="0" t="n">
        <v>0.717760544816231</v>
      </c>
      <c r="D3300" s="0" t="n">
        <f aca="false">A3300/SUM($A3300:$C3300)</f>
        <v>0.471441336043728</v>
      </c>
      <c r="E3300" s="0" t="n">
        <f aca="false">B3300/SUM($A3300:$C3300)</f>
        <v>0.0647717856948474</v>
      </c>
      <c r="F3300" s="0" t="n">
        <f aca="false">C3300/SUM($A3300:$C3300)</f>
        <v>0.463786878261425</v>
      </c>
      <c r="G3300" s="0" t="n">
        <f aca="false">SUMPRODUCT(D3300:F3300,Stats!$B$6:$D$6)</f>
        <v>0.34742184438648</v>
      </c>
      <c r="H3300" s="0" t="n">
        <f aca="false">SQRT(SUMPRODUCT(MMULT(D3300:F3300,Stats!$B$12:$D$14),D3300:F3300))</f>
        <v>0.223332618635384</v>
      </c>
      <c r="I3300" s="0" t="n">
        <f aca="false">(G3300-Stats!$B$2)/H3300</f>
        <v>1.36756487365205</v>
      </c>
    </row>
    <row r="3301" customFormat="false" ht="15" hidden="false" customHeight="false" outlineLevel="0" collapsed="false">
      <c r="A3301" s="0" t="n">
        <v>0.67981812521997</v>
      </c>
      <c r="B3301" s="0" t="n">
        <v>0.830922490821851</v>
      </c>
      <c r="C3301" s="0" t="n">
        <v>0.0415959562564695</v>
      </c>
      <c r="D3301" s="0" t="n">
        <f aca="false">A3301/SUM($A3301:$C3301)</f>
        <v>0.437932170993997</v>
      </c>
      <c r="E3301" s="0" t="n">
        <f aca="false">B3301/SUM($A3301:$C3301)</f>
        <v>0.535272121812888</v>
      </c>
      <c r="F3301" s="0" t="n">
        <f aca="false">C3301/SUM($A3301:$C3301)</f>
        <v>0.0267957071931155</v>
      </c>
      <c r="G3301" s="0" t="n">
        <f aca="false">SUMPRODUCT(D3301:F3301,Stats!$B$6:$D$6)</f>
        <v>0.38654368823661</v>
      </c>
      <c r="H3301" s="0" t="n">
        <f aca="false">SQRT(SUMPRODUCT(MMULT(D3301:F3301,Stats!$B$12:$D$14),D3301:F3301))</f>
        <v>0.230173116758616</v>
      </c>
      <c r="I3301" s="0" t="n">
        <f aca="false">(G3301-Stats!$B$2)/H3301</f>
        <v>1.49688935479783</v>
      </c>
    </row>
    <row r="3302" customFormat="false" ht="15" hidden="false" customHeight="false" outlineLevel="0" collapsed="false">
      <c r="A3302" s="0" t="n">
        <v>0.0231106684677922</v>
      </c>
      <c r="B3302" s="0" t="n">
        <v>0.373007099878561</v>
      </c>
      <c r="C3302" s="0" t="n">
        <v>0.148788283849153</v>
      </c>
      <c r="D3302" s="0" t="n">
        <f aca="false">A3302/SUM($A3302:$C3302)</f>
        <v>0.0424122073423041</v>
      </c>
      <c r="E3302" s="0" t="n">
        <f aca="false">B3302/SUM($A3302:$C3302)</f>
        <v>0.684534698000987</v>
      </c>
      <c r="F3302" s="0" t="n">
        <f aca="false">C3302/SUM($A3302:$C3302)</f>
        <v>0.273053094656709</v>
      </c>
      <c r="G3302" s="0" t="n">
        <f aca="false">SUMPRODUCT(D3302:F3302,Stats!$B$6:$D$6)</f>
        <v>0.388341610939964</v>
      </c>
      <c r="H3302" s="0" t="n">
        <f aca="false">SQRT(SUMPRODUCT(MMULT(D3302:F3302,Stats!$B$12:$D$14),D3302:F3302))</f>
        <v>0.242110151065365</v>
      </c>
      <c r="I3302" s="0" t="n">
        <f aca="false">(G3302-Stats!$B$2)/H3302</f>
        <v>1.43051255561134</v>
      </c>
    </row>
    <row r="3303" customFormat="false" ht="15" hidden="false" customHeight="false" outlineLevel="0" collapsed="false">
      <c r="A3303" s="0" t="n">
        <v>0.558384477570222</v>
      </c>
      <c r="B3303" s="0" t="n">
        <v>0.917348901506749</v>
      </c>
      <c r="C3303" s="0" t="n">
        <v>0.391479730334016</v>
      </c>
      <c r="D3303" s="0" t="n">
        <f aca="false">A3303/SUM($A3303:$C3303)</f>
        <v>0.299046999378858</v>
      </c>
      <c r="E3303" s="0" t="n">
        <f aca="false">B3303/SUM($A3303:$C3303)</f>
        <v>0.491293091765046</v>
      </c>
      <c r="F3303" s="0" t="n">
        <f aca="false">C3303/SUM($A3303:$C3303)</f>
        <v>0.209659908856096</v>
      </c>
      <c r="G3303" s="0" t="n">
        <f aca="false">SUMPRODUCT(D3303:F3303,Stats!$B$6:$D$6)</f>
        <v>0.378970781741016</v>
      </c>
      <c r="H3303" s="0" t="n">
        <f aca="false">SQRT(SUMPRODUCT(MMULT(D3303:F3303,Stats!$B$12:$D$14),D3303:F3303))</f>
        <v>0.229370743934438</v>
      </c>
      <c r="I3303" s="0" t="n">
        <f aca="false">(G3303-Stats!$B$2)/H3303</f>
        <v>1.46910968661868</v>
      </c>
    </row>
    <row r="3304" customFormat="false" ht="15" hidden="false" customHeight="false" outlineLevel="0" collapsed="false">
      <c r="A3304" s="0" t="n">
        <v>0.844950377272604</v>
      </c>
      <c r="B3304" s="0" t="n">
        <v>0.000240874517866474</v>
      </c>
      <c r="C3304" s="0" t="n">
        <v>0.168514643459184</v>
      </c>
      <c r="D3304" s="0" t="n">
        <f aca="false">A3304/SUM($A3304:$C3304)</f>
        <v>0.833526155102916</v>
      </c>
      <c r="E3304" s="0" t="n">
        <f aca="false">B3304/SUM($A3304:$C3304)</f>
        <v>0.000237617753823116</v>
      </c>
      <c r="F3304" s="0" t="n">
        <f aca="false">C3304/SUM($A3304:$C3304)</f>
        <v>0.166236227143261</v>
      </c>
      <c r="G3304" s="0" t="n">
        <f aca="false">SUMPRODUCT(D3304:F3304,Stats!$B$6:$D$6)</f>
        <v>0.351913476648678</v>
      </c>
      <c r="H3304" s="0" t="n">
        <f aca="false">SQRT(SUMPRODUCT(MMULT(D3304:F3304,Stats!$B$12:$D$14),D3304:F3304))</f>
        <v>0.224817511816733</v>
      </c>
      <c r="I3304" s="0" t="n">
        <f aca="false">(G3304-Stats!$B$2)/H3304</f>
        <v>1.37851128297031</v>
      </c>
    </row>
    <row r="3305" customFormat="false" ht="15" hidden="false" customHeight="false" outlineLevel="0" collapsed="false">
      <c r="A3305" s="0" t="n">
        <v>0.0304235396540856</v>
      </c>
      <c r="B3305" s="0" t="n">
        <v>0.328147180515069</v>
      </c>
      <c r="C3305" s="0" t="n">
        <v>0.908189595696503</v>
      </c>
      <c r="D3305" s="0" t="n">
        <f aca="false">A3305/SUM($A3305:$C3305)</f>
        <v>0.0240168082888635</v>
      </c>
      <c r="E3305" s="0" t="n">
        <f aca="false">B3305/SUM($A3305:$C3305)</f>
        <v>0.259044411484287</v>
      </c>
      <c r="F3305" s="0" t="n">
        <f aca="false">C3305/SUM($A3305:$C3305)</f>
        <v>0.71693878022685</v>
      </c>
      <c r="G3305" s="0" t="n">
        <f aca="false">SUMPRODUCT(D3305:F3305,Stats!$B$6:$D$6)</f>
        <v>0.351619473502909</v>
      </c>
      <c r="H3305" s="0" t="n">
        <f aca="false">SQRT(SUMPRODUCT(MMULT(D3305:F3305,Stats!$B$12:$D$14),D3305:F3305))</f>
        <v>0.245797014166316</v>
      </c>
      <c r="I3305" s="0" t="n">
        <f aca="false">(G3305-Stats!$B$2)/H3305</f>
        <v>1.2596551449295</v>
      </c>
    </row>
    <row r="3306" customFormat="false" ht="15" hidden="false" customHeight="false" outlineLevel="0" collapsed="false">
      <c r="A3306" s="0" t="n">
        <v>0.0969521235989878</v>
      </c>
      <c r="B3306" s="0" t="n">
        <v>0.6064097767438</v>
      </c>
      <c r="C3306" s="0" t="n">
        <v>0.451495939119444</v>
      </c>
      <c r="D3306" s="0" t="n">
        <f aca="false">A3306/SUM($A3306:$C3306)</f>
        <v>0.0839515655399925</v>
      </c>
      <c r="E3306" s="0" t="n">
        <f aca="false">B3306/SUM($A3306:$C3306)</f>
        <v>0.525094739821985</v>
      </c>
      <c r="F3306" s="0" t="n">
        <f aca="false">C3306/SUM($A3306:$C3306)</f>
        <v>0.390953694638023</v>
      </c>
      <c r="G3306" s="0" t="n">
        <f aca="false">SUMPRODUCT(D3306:F3306,Stats!$B$6:$D$6)</f>
        <v>0.375916578407914</v>
      </c>
      <c r="H3306" s="0" t="n">
        <f aca="false">SQRT(SUMPRODUCT(MMULT(D3306:F3306,Stats!$B$12:$D$14),D3306:F3306))</f>
        <v>0.237990974683159</v>
      </c>
      <c r="I3306" s="0" t="n">
        <f aca="false">(G3306-Stats!$B$2)/H3306</f>
        <v>1.40306403993875</v>
      </c>
    </row>
    <row r="3307" customFormat="false" ht="15" hidden="false" customHeight="false" outlineLevel="0" collapsed="false">
      <c r="A3307" s="0" t="n">
        <v>0.938468212365813</v>
      </c>
      <c r="B3307" s="0" t="n">
        <v>0.122519142537094</v>
      </c>
      <c r="C3307" s="0" t="n">
        <v>0.212027850502229</v>
      </c>
      <c r="D3307" s="0" t="n">
        <f aca="false">A3307/SUM($A3307:$C3307)</f>
        <v>0.737201102061579</v>
      </c>
      <c r="E3307" s="0" t="n">
        <f aca="false">B3307/SUM($A3307:$C3307)</f>
        <v>0.0962432671792811</v>
      </c>
      <c r="F3307" s="0" t="n">
        <f aca="false">C3307/SUM($A3307:$C3307)</f>
        <v>0.16655563075914</v>
      </c>
      <c r="G3307" s="0" t="n">
        <f aca="false">SUMPRODUCT(D3307:F3307,Stats!$B$6:$D$6)</f>
        <v>0.35742871002708</v>
      </c>
      <c r="H3307" s="0" t="n">
        <f aca="false">SQRT(SUMPRODUCT(MMULT(D3307:F3307,Stats!$B$12:$D$14),D3307:F3307))</f>
        <v>0.223235445905992</v>
      </c>
      <c r="I3307" s="0" t="n">
        <f aca="false">(G3307-Stats!$B$2)/H3307</f>
        <v>1.41298667309273</v>
      </c>
    </row>
    <row r="3308" customFormat="false" ht="15" hidden="false" customHeight="false" outlineLevel="0" collapsed="false">
      <c r="A3308" s="0" t="n">
        <v>0.0295419686114933</v>
      </c>
      <c r="B3308" s="0" t="n">
        <v>0.433935249631374</v>
      </c>
      <c r="C3308" s="0" t="n">
        <v>0.277832899564654</v>
      </c>
      <c r="D3308" s="0" t="n">
        <f aca="false">A3308/SUM($A3308:$C3308)</f>
        <v>0.0398510257742951</v>
      </c>
      <c r="E3308" s="0" t="n">
        <f aca="false">B3308/SUM($A3308:$C3308)</f>
        <v>0.585362642715263</v>
      </c>
      <c r="F3308" s="0" t="n">
        <f aca="false">C3308/SUM($A3308:$C3308)</f>
        <v>0.374786331510442</v>
      </c>
      <c r="G3308" s="0" t="n">
        <f aca="false">SUMPRODUCT(D3308:F3308,Stats!$B$6:$D$6)</f>
        <v>0.379830124357121</v>
      </c>
      <c r="H3308" s="0" t="n">
        <f aca="false">SQRT(SUMPRODUCT(MMULT(D3308:F3308,Stats!$B$12:$D$14),D3308:F3308))</f>
        <v>0.24088075268521</v>
      </c>
      <c r="I3308" s="0" t="n">
        <f aca="false">(G3308-Stats!$B$2)/H3308</f>
        <v>1.40247869782526</v>
      </c>
    </row>
    <row r="3309" customFormat="false" ht="15" hidden="false" customHeight="false" outlineLevel="0" collapsed="false">
      <c r="A3309" s="0" t="n">
        <v>0.869905933890321</v>
      </c>
      <c r="B3309" s="0" t="n">
        <v>0.604940813197755</v>
      </c>
      <c r="C3309" s="0" t="n">
        <v>0.614090737975702</v>
      </c>
      <c r="D3309" s="0" t="n">
        <f aca="false">A3309/SUM($A3309:$C3309)</f>
        <v>0.416434642065778</v>
      </c>
      <c r="E3309" s="0" t="n">
        <f aca="false">B3309/SUM($A3309:$C3309)</f>
        <v>0.289592588348466</v>
      </c>
      <c r="F3309" s="0" t="n">
        <f aca="false">C3309/SUM($A3309:$C3309)</f>
        <v>0.293972769585756</v>
      </c>
      <c r="G3309" s="0" t="n">
        <f aca="false">SUMPRODUCT(D3309:F3309,Stats!$B$6:$D$6)</f>
        <v>0.36504030112409</v>
      </c>
      <c r="H3309" s="0" t="n">
        <f aca="false">SQRT(SUMPRODUCT(MMULT(D3309:F3309,Stats!$B$12:$D$14),D3309:F3309))</f>
        <v>0.224082907956596</v>
      </c>
      <c r="I3309" s="0" t="n">
        <f aca="false">(G3309-Stats!$B$2)/H3309</f>
        <v>1.44161062559337</v>
      </c>
    </row>
    <row r="3310" customFormat="false" ht="15" hidden="false" customHeight="false" outlineLevel="0" collapsed="false">
      <c r="A3310" s="0" t="n">
        <v>0.531910696881302</v>
      </c>
      <c r="B3310" s="0" t="n">
        <v>0.091850337229201</v>
      </c>
      <c r="C3310" s="0" t="n">
        <v>0.445018683725355</v>
      </c>
      <c r="D3310" s="0" t="n">
        <f aca="false">A3310/SUM($A3310:$C3310)</f>
        <v>0.497680380722749</v>
      </c>
      <c r="E3310" s="0" t="n">
        <f aca="false">B3310/SUM($A3310:$C3310)</f>
        <v>0.0859394463577454</v>
      </c>
      <c r="F3310" s="0" t="n">
        <f aca="false">C3310/SUM($A3310:$C3310)</f>
        <v>0.416380172919506</v>
      </c>
      <c r="G3310" s="0" t="n">
        <f aca="false">SUMPRODUCT(D3310:F3310,Stats!$B$6:$D$6)</f>
        <v>0.349947025850482</v>
      </c>
      <c r="H3310" s="0" t="n">
        <f aca="false">SQRT(SUMPRODUCT(MMULT(D3310:F3310,Stats!$B$12:$D$14),D3310:F3310))</f>
        <v>0.22245174363958</v>
      </c>
      <c r="I3310" s="0" t="n">
        <f aca="false">(G3310-Stats!$B$2)/H3310</f>
        <v>1.38433181422674</v>
      </c>
    </row>
    <row r="3311" customFormat="false" ht="15" hidden="false" customHeight="false" outlineLevel="0" collapsed="false">
      <c r="A3311" s="0" t="n">
        <v>0.999505189708517</v>
      </c>
      <c r="B3311" s="0" t="n">
        <v>0.835229290846015</v>
      </c>
      <c r="C3311" s="0" t="n">
        <v>0.893459054167116</v>
      </c>
      <c r="D3311" s="0" t="n">
        <f aca="false">A3311/SUM($A3311:$C3311)</f>
        <v>0.366361541799671</v>
      </c>
      <c r="E3311" s="0" t="n">
        <f aca="false">B3311/SUM($A3311:$C3311)</f>
        <v>0.30614737562276</v>
      </c>
      <c r="F3311" s="0" t="n">
        <f aca="false">C3311/SUM($A3311:$C3311)</f>
        <v>0.327491082577569</v>
      </c>
      <c r="G3311" s="0" t="n">
        <f aca="false">SUMPRODUCT(D3311:F3311,Stats!$B$6:$D$6)</f>
        <v>0.365068587568482</v>
      </c>
      <c r="H3311" s="0" t="n">
        <f aca="false">SQRT(SUMPRODUCT(MMULT(D3311:F3311,Stats!$B$12:$D$14),D3311:F3311))</f>
        <v>0.22525786154898</v>
      </c>
      <c r="I3311" s="0" t="n">
        <f aca="false">(G3311-Stats!$B$2)/H3311</f>
        <v>1.43421670323473</v>
      </c>
    </row>
    <row r="3312" customFormat="false" ht="15" hidden="false" customHeight="false" outlineLevel="0" collapsed="false">
      <c r="A3312" s="0" t="n">
        <v>0.8232263592465</v>
      </c>
      <c r="B3312" s="0" t="n">
        <v>0.103041693430983</v>
      </c>
      <c r="C3312" s="0" t="n">
        <v>0.2274482540648</v>
      </c>
      <c r="D3312" s="0" t="n">
        <f aca="false">A3312/SUM($A3312:$C3312)</f>
        <v>0.71354314265612</v>
      </c>
      <c r="E3312" s="0" t="n">
        <f aca="false">B3312/SUM($A3312:$C3312)</f>
        <v>0.0893128517199682</v>
      </c>
      <c r="F3312" s="0" t="n">
        <f aca="false">C3312/SUM($A3312:$C3312)</f>
        <v>0.197144005623912</v>
      </c>
      <c r="G3312" s="0" t="n">
        <f aca="false">SUMPRODUCT(D3312:F3312,Stats!$B$6:$D$6)</f>
        <v>0.356186480219424</v>
      </c>
      <c r="H3312" s="0" t="n">
        <f aca="false">SQRT(SUMPRODUCT(MMULT(D3312:F3312,Stats!$B$12:$D$14),D3312:F3312))</f>
        <v>0.222547268385506</v>
      </c>
      <c r="I3312" s="0" t="n">
        <f aca="false">(G3312-Stats!$B$2)/H3312</f>
        <v>1.41177414802134</v>
      </c>
    </row>
    <row r="3313" customFormat="false" ht="15" hidden="false" customHeight="false" outlineLevel="0" collapsed="false">
      <c r="A3313" s="0" t="n">
        <v>0.00312165135640963</v>
      </c>
      <c r="B3313" s="0" t="n">
        <v>0.303510124878112</v>
      </c>
      <c r="C3313" s="0" t="n">
        <v>0.108607402346493</v>
      </c>
      <c r="D3313" s="0" t="n">
        <f aca="false">A3313/SUM($A3313:$C3313)</f>
        <v>0.00751771874483802</v>
      </c>
      <c r="E3313" s="0" t="n">
        <f aca="false">B3313/SUM($A3313:$C3313)</f>
        <v>0.730928439641194</v>
      </c>
      <c r="F3313" s="0" t="n">
        <f aca="false">C3313/SUM($A3313:$C3313)</f>
        <v>0.261553841613968</v>
      </c>
      <c r="G3313" s="0" t="n">
        <f aca="false">SUMPRODUCT(D3313:F3313,Stats!$B$6:$D$6)</f>
        <v>0.391328134267505</v>
      </c>
      <c r="H3313" s="0" t="n">
        <f aca="false">SQRT(SUMPRODUCT(MMULT(D3313:F3313,Stats!$B$12:$D$14),D3313:F3313))</f>
        <v>0.244753061962342</v>
      </c>
      <c r="I3313" s="0" t="n">
        <f aca="false">(G3313-Stats!$B$2)/H3313</f>
        <v>1.42726767733453</v>
      </c>
    </row>
    <row r="3314" customFormat="false" ht="15" hidden="false" customHeight="false" outlineLevel="0" collapsed="false">
      <c r="A3314" s="0" t="n">
        <v>0.472793345301583</v>
      </c>
      <c r="B3314" s="0" t="n">
        <v>0.677127488573902</v>
      </c>
      <c r="C3314" s="0" t="n">
        <v>0.874505295038077</v>
      </c>
      <c r="D3314" s="0" t="n">
        <f aca="false">A3314/SUM($A3314:$C3314)</f>
        <v>0.233544380083315</v>
      </c>
      <c r="E3314" s="0" t="n">
        <f aca="false">B3314/SUM($A3314:$C3314)</f>
        <v>0.3344787339498</v>
      </c>
      <c r="F3314" s="0" t="n">
        <f aca="false">C3314/SUM($A3314:$C3314)</f>
        <v>0.431976885966885</v>
      </c>
      <c r="G3314" s="0" t="n">
        <f aca="false">SUMPRODUCT(D3314:F3314,Stats!$B$6:$D$6)</f>
        <v>0.363817581416953</v>
      </c>
      <c r="H3314" s="0" t="n">
        <f aca="false">SQRT(SUMPRODUCT(MMULT(D3314:F3314,Stats!$B$12:$D$14),D3314:F3314))</f>
        <v>0.230106969966008</v>
      </c>
      <c r="I3314" s="0" t="n">
        <f aca="false">(G3314-Stats!$B$2)/H3314</f>
        <v>1.39855642558108</v>
      </c>
    </row>
    <row r="3315" customFormat="false" ht="15" hidden="false" customHeight="false" outlineLevel="0" collapsed="false">
      <c r="A3315" s="0" t="n">
        <v>0.749217165090898</v>
      </c>
      <c r="B3315" s="0" t="n">
        <v>0.938585595778505</v>
      </c>
      <c r="C3315" s="0" t="n">
        <v>0.0538982903937888</v>
      </c>
      <c r="D3315" s="0" t="n">
        <f aca="false">A3315/SUM($A3315:$C3315)</f>
        <v>0.430164042530444</v>
      </c>
      <c r="E3315" s="0" t="n">
        <f aca="false">B3315/SUM($A3315:$C3315)</f>
        <v>0.538890181582989</v>
      </c>
      <c r="F3315" s="0" t="n">
        <f aca="false">C3315/SUM($A3315:$C3315)</f>
        <v>0.0309457758865669</v>
      </c>
      <c r="G3315" s="0" t="n">
        <f aca="false">SUMPRODUCT(D3315:F3315,Stats!$B$6:$D$6)</f>
        <v>0.386637430164997</v>
      </c>
      <c r="H3315" s="0" t="n">
        <f aca="false">SQRT(SUMPRODUCT(MMULT(D3315:F3315,Stats!$B$12:$D$14),D3315:F3315))</f>
        <v>0.230235894528398</v>
      </c>
      <c r="I3315" s="0" t="n">
        <f aca="false">(G3315-Stats!$B$2)/H3315</f>
        <v>1.49688835822465</v>
      </c>
    </row>
    <row r="3316" customFormat="false" ht="15" hidden="false" customHeight="false" outlineLevel="0" collapsed="false">
      <c r="A3316" s="0" t="n">
        <v>0.0121798354165414</v>
      </c>
      <c r="B3316" s="0" t="n">
        <v>0.661338113836213</v>
      </c>
      <c r="C3316" s="0" t="n">
        <v>0.289352410222246</v>
      </c>
      <c r="D3316" s="0" t="n">
        <f aca="false">A3316/SUM($A3316:$C3316)</f>
        <v>0.0126495070667482</v>
      </c>
      <c r="E3316" s="0" t="n">
        <f aca="false">B3316/SUM($A3316:$C3316)</f>
        <v>0.68684024524008</v>
      </c>
      <c r="F3316" s="0" t="n">
        <f aca="false">C3316/SUM($A3316:$C3316)</f>
        <v>0.300510247693172</v>
      </c>
      <c r="G3316" s="0" t="n">
        <f aca="false">SUMPRODUCT(D3316:F3316,Stats!$B$6:$D$6)</f>
        <v>0.387717148709686</v>
      </c>
      <c r="H3316" s="0" t="n">
        <f aca="false">SQRT(SUMPRODUCT(MMULT(D3316:F3316,Stats!$B$12:$D$14),D3316:F3316))</f>
        <v>0.243644758818576</v>
      </c>
      <c r="I3316" s="0" t="n">
        <f aca="false">(G3316-Stats!$B$2)/H3316</f>
        <v>1.41893940335945</v>
      </c>
    </row>
    <row r="3317" customFormat="false" ht="15" hidden="false" customHeight="false" outlineLevel="0" collapsed="false">
      <c r="A3317" s="0" t="n">
        <v>0.253501016105773</v>
      </c>
      <c r="B3317" s="0" t="n">
        <v>0.330887087693794</v>
      </c>
      <c r="C3317" s="0" t="n">
        <v>0.269796057892364</v>
      </c>
      <c r="D3317" s="0" t="n">
        <f aca="false">A3317/SUM($A3317:$C3317)</f>
        <v>0.296775598840008</v>
      </c>
      <c r="E3317" s="0" t="n">
        <f aca="false">B3317/SUM($A3317:$C3317)</f>
        <v>0.387372070957611</v>
      </c>
      <c r="F3317" s="0" t="n">
        <f aca="false">C3317/SUM($A3317:$C3317)</f>
        <v>0.315852330202381</v>
      </c>
      <c r="G3317" s="0" t="n">
        <f aca="false">SUMPRODUCT(D3317:F3317,Stats!$B$6:$D$6)</f>
        <v>0.37006308553123</v>
      </c>
      <c r="H3317" s="0" t="n">
        <f aca="false">SQRT(SUMPRODUCT(MMULT(D3317:F3317,Stats!$B$12:$D$14),D3317:F3317))</f>
        <v>0.22780575445677</v>
      </c>
      <c r="I3317" s="0" t="n">
        <f aca="false">(G3317-Stats!$B$2)/H3317</f>
        <v>1.4401000813765</v>
      </c>
    </row>
    <row r="3318" customFormat="false" ht="15" hidden="false" customHeight="false" outlineLevel="0" collapsed="false">
      <c r="A3318" s="0" t="n">
        <v>0.511436406301587</v>
      </c>
      <c r="B3318" s="0" t="n">
        <v>0.440148447224133</v>
      </c>
      <c r="C3318" s="0" t="n">
        <v>0.512428551376656</v>
      </c>
      <c r="D3318" s="0" t="n">
        <f aca="false">A3318/SUM($A3318:$C3318)</f>
        <v>0.349338608915054</v>
      </c>
      <c r="E3318" s="0" t="n">
        <f aca="false">B3318/SUM($A3318:$C3318)</f>
        <v>0.300645093651641</v>
      </c>
      <c r="F3318" s="0" t="n">
        <f aca="false">C3318/SUM($A3318:$C3318)</f>
        <v>0.350016297433306</v>
      </c>
      <c r="G3318" s="0" t="n">
        <f aca="false">SUMPRODUCT(D3318:F3318,Stats!$B$6:$D$6)</f>
        <v>0.364130869249334</v>
      </c>
      <c r="H3318" s="0" t="n">
        <f aca="false">SQRT(SUMPRODUCT(MMULT(D3318:F3318,Stats!$B$12:$D$14),D3318:F3318))</f>
        <v>0.225688807898715</v>
      </c>
      <c r="I3318" s="0" t="n">
        <f aca="false">(G3318-Stats!$B$2)/H3318</f>
        <v>1.42732319005336</v>
      </c>
    </row>
    <row r="3319" customFormat="false" ht="15" hidden="false" customHeight="false" outlineLevel="0" collapsed="false">
      <c r="A3319" s="0" t="n">
        <v>0.672713611500436</v>
      </c>
      <c r="B3319" s="0" t="n">
        <v>0.387130508971148</v>
      </c>
      <c r="C3319" s="0" t="n">
        <v>0.251307687142157</v>
      </c>
      <c r="D3319" s="0" t="n">
        <f aca="false">A3319/SUM($A3319:$C3319)</f>
        <v>0.513070727275094</v>
      </c>
      <c r="E3319" s="0" t="n">
        <f aca="false">B3319/SUM($A3319:$C3319)</f>
        <v>0.295259867486828</v>
      </c>
      <c r="F3319" s="0" t="n">
        <f aca="false">C3319/SUM($A3319:$C3319)</f>
        <v>0.191669405238078</v>
      </c>
      <c r="G3319" s="0" t="n">
        <f aca="false">SUMPRODUCT(D3319:F3319,Stats!$B$6:$D$6)</f>
        <v>0.36818736495464</v>
      </c>
      <c r="H3319" s="0" t="n">
        <f aca="false">SQRT(SUMPRODUCT(MMULT(D3319:F3319,Stats!$B$12:$D$14),D3319:F3319))</f>
        <v>0.223475900980594</v>
      </c>
      <c r="I3319" s="0" t="n">
        <f aca="false">(G3319-Stats!$B$2)/H3319</f>
        <v>1.45960868050361</v>
      </c>
    </row>
    <row r="3320" customFormat="false" ht="15" hidden="false" customHeight="false" outlineLevel="0" collapsed="false">
      <c r="A3320" s="0" t="n">
        <v>0.166200536808746</v>
      </c>
      <c r="B3320" s="0" t="n">
        <v>0.349474119532626</v>
      </c>
      <c r="C3320" s="0" t="n">
        <v>0.741806475246172</v>
      </c>
      <c r="D3320" s="0" t="n">
        <f aca="false">A3320/SUM($A3320:$C3320)</f>
        <v>0.13216940806016</v>
      </c>
      <c r="E3320" s="0" t="n">
        <f aca="false">B3320/SUM($A3320:$C3320)</f>
        <v>0.277915994724646</v>
      </c>
      <c r="F3320" s="0" t="n">
        <f aca="false">C3320/SUM($A3320:$C3320)</f>
        <v>0.589914597215194</v>
      </c>
      <c r="G3320" s="0" t="n">
        <f aca="false">SUMPRODUCT(D3320:F3320,Stats!$B$6:$D$6)</f>
        <v>0.356207962968024</v>
      </c>
      <c r="H3320" s="0" t="n">
        <f aca="false">SQRT(SUMPRODUCT(MMULT(D3320:F3320,Stats!$B$12:$D$14),D3320:F3320))</f>
        <v>0.236720895544397</v>
      </c>
      <c r="I3320" s="0" t="n">
        <f aca="false">(G3320-Stats!$B$2)/H3320</f>
        <v>1.32733513974517</v>
      </c>
    </row>
    <row r="3321" customFormat="false" ht="15" hidden="false" customHeight="false" outlineLevel="0" collapsed="false">
      <c r="A3321" s="0" t="n">
        <v>0.75670491011147</v>
      </c>
      <c r="B3321" s="0" t="n">
        <v>0.66690538668421</v>
      </c>
      <c r="C3321" s="0" t="n">
        <v>0.234028175306875</v>
      </c>
      <c r="D3321" s="0" t="n">
        <f aca="false">A3321/SUM($A3321:$C3321)</f>
        <v>0.456495745511784</v>
      </c>
      <c r="E3321" s="0" t="n">
        <f aca="false">B3321/SUM($A3321:$C3321)</f>
        <v>0.402322579928002</v>
      </c>
      <c r="F3321" s="0" t="n">
        <f aca="false">C3321/SUM($A3321:$C3321)</f>
        <v>0.141181674560215</v>
      </c>
      <c r="G3321" s="0" t="n">
        <f aca="false">SUMPRODUCT(D3321:F3321,Stats!$B$6:$D$6)</f>
        <v>0.375739794614787</v>
      </c>
      <c r="H3321" s="0" t="n">
        <f aca="false">SQRT(SUMPRODUCT(MMULT(D3321:F3321,Stats!$B$12:$D$14),D3321:F3321))</f>
        <v>0.225811896466535</v>
      </c>
      <c r="I3321" s="0" t="n">
        <f aca="false">(G3321-Stats!$B$2)/H3321</f>
        <v>1.47795488119577</v>
      </c>
    </row>
    <row r="3322" customFormat="false" ht="15" hidden="false" customHeight="false" outlineLevel="0" collapsed="false">
      <c r="A3322" s="0" t="n">
        <v>0.588086245854698</v>
      </c>
      <c r="B3322" s="0" t="n">
        <v>0.570689661576848</v>
      </c>
      <c r="C3322" s="0" t="n">
        <v>0.484266198109726</v>
      </c>
      <c r="D3322" s="0" t="n">
        <f aca="false">A3322/SUM($A3322:$C3322)</f>
        <v>0.357925243590129</v>
      </c>
      <c r="E3322" s="0" t="n">
        <f aca="false">B3322/SUM($A3322:$C3322)</f>
        <v>0.34733721044163</v>
      </c>
      <c r="F3322" s="0" t="n">
        <f aca="false">C3322/SUM($A3322:$C3322)</f>
        <v>0.294737545968241</v>
      </c>
      <c r="G3322" s="0" t="n">
        <f aca="false">SUMPRODUCT(D3322:F3322,Stats!$B$6:$D$6)</f>
        <v>0.36834176352733</v>
      </c>
      <c r="H3322" s="0" t="n">
        <f aca="false">SQRT(SUMPRODUCT(MMULT(D3322:F3322,Stats!$B$12:$D$14),D3322:F3322))</f>
        <v>0.225797587628522</v>
      </c>
      <c r="I3322" s="0" t="n">
        <f aca="false">(G3322-Stats!$B$2)/H3322</f>
        <v>1.44528454424509</v>
      </c>
    </row>
    <row r="3323" customFormat="false" ht="15" hidden="false" customHeight="false" outlineLevel="0" collapsed="false">
      <c r="A3323" s="0" t="n">
        <v>0.549978986383864</v>
      </c>
      <c r="B3323" s="0" t="n">
        <v>0.491790632623668</v>
      </c>
      <c r="C3323" s="0" t="n">
        <v>0.565456366074108</v>
      </c>
      <c r="D3323" s="0" t="n">
        <f aca="false">A3323/SUM($A3323:$C3323)</f>
        <v>0.342191447555477</v>
      </c>
      <c r="E3323" s="0" t="n">
        <f aca="false">B3323/SUM($A3323:$C3323)</f>
        <v>0.305987233399967</v>
      </c>
      <c r="F3323" s="0" t="n">
        <f aca="false">C3323/SUM($A3323:$C3323)</f>
        <v>0.351821319044556</v>
      </c>
      <c r="G3323" s="0" t="n">
        <f aca="false">SUMPRODUCT(D3323:F3323,Stats!$B$6:$D$6)</f>
        <v>0.364388476279575</v>
      </c>
      <c r="H3323" s="0" t="n">
        <f aca="false">SQRT(SUMPRODUCT(MMULT(D3323:F3323,Stats!$B$12:$D$14),D3323:F3323))</f>
        <v>0.225917734715047</v>
      </c>
      <c r="I3323" s="0" t="n">
        <f aca="false">(G3323-Stats!$B$2)/H3323</f>
        <v>1.42701712499998</v>
      </c>
    </row>
    <row r="3324" customFormat="false" ht="15" hidden="false" customHeight="false" outlineLevel="0" collapsed="false">
      <c r="A3324" s="0" t="n">
        <v>0.715505954621129</v>
      </c>
      <c r="B3324" s="0" t="n">
        <v>0.10962819440344</v>
      </c>
      <c r="C3324" s="0" t="n">
        <v>0.749625752149024</v>
      </c>
      <c r="D3324" s="0" t="n">
        <f aca="false">A3324/SUM($A3324:$C3324)</f>
        <v>0.454358759127596</v>
      </c>
      <c r="E3324" s="0" t="n">
        <f aca="false">B3324/SUM($A3324:$C3324)</f>
        <v>0.0696158152882475</v>
      </c>
      <c r="F3324" s="0" t="n">
        <f aca="false">C3324/SUM($A3324:$C3324)</f>
        <v>0.476025425584157</v>
      </c>
      <c r="G3324" s="0" t="n">
        <f aca="false">SUMPRODUCT(D3324:F3324,Stats!$B$6:$D$6)</f>
        <v>0.347363090344548</v>
      </c>
      <c r="H3324" s="0" t="n">
        <f aca="false">SQRT(SUMPRODUCT(MMULT(D3324:F3324,Stats!$B$12:$D$14),D3324:F3324))</f>
        <v>0.22377387492478</v>
      </c>
      <c r="I3324" s="0" t="n">
        <f aca="false">(G3324-Stats!$B$2)/H3324</f>
        <v>1.36460563346456</v>
      </c>
    </row>
    <row r="3325" customFormat="false" ht="15" hidden="false" customHeight="false" outlineLevel="0" collapsed="false">
      <c r="A3325" s="0" t="n">
        <v>0.135886150127594</v>
      </c>
      <c r="B3325" s="0" t="n">
        <v>0.0666279984103747</v>
      </c>
      <c r="C3325" s="0" t="n">
        <v>0.976079686221468</v>
      </c>
      <c r="D3325" s="0" t="n">
        <f aca="false">A3325/SUM($A3325:$C3325)</f>
        <v>0.115295147590289</v>
      </c>
      <c r="E3325" s="0" t="n">
        <f aca="false">B3325/SUM($A3325:$C3325)</f>
        <v>0.0565317723929671</v>
      </c>
      <c r="F3325" s="0" t="n">
        <f aca="false">C3325/SUM($A3325:$C3325)</f>
        <v>0.828173080016744</v>
      </c>
      <c r="G3325" s="0" t="n">
        <f aca="false">SUMPRODUCT(D3325:F3325,Stats!$B$6:$D$6)</f>
        <v>0.336899915322829</v>
      </c>
      <c r="H3325" s="0" t="n">
        <f aca="false">SQRT(SUMPRODUCT(MMULT(D3325:F3325,Stats!$B$12:$D$14),D3325:F3325))</f>
        <v>0.245302503469299</v>
      </c>
      <c r="I3325" s="0" t="n">
        <f aca="false">(G3325-Stats!$B$2)/H3325</f>
        <v>1.20218877162718</v>
      </c>
    </row>
    <row r="3326" customFormat="false" ht="15" hidden="false" customHeight="false" outlineLevel="0" collapsed="false">
      <c r="A3326" s="0" t="n">
        <v>0.956991768870442</v>
      </c>
      <c r="B3326" s="0" t="n">
        <v>0.0604365449405641</v>
      </c>
      <c r="C3326" s="0" t="n">
        <v>0.443253441474962</v>
      </c>
      <c r="D3326" s="0" t="n">
        <f aca="false">A3326/SUM($A3326:$C3326)</f>
        <v>0.655167879935</v>
      </c>
      <c r="E3326" s="0" t="n">
        <f aca="false">B3326/SUM($A3326:$C3326)</f>
        <v>0.0413755732361646</v>
      </c>
      <c r="F3326" s="0" t="n">
        <f aca="false">C3326/SUM($A3326:$C3326)</f>
        <v>0.303456546828836</v>
      </c>
      <c r="G3326" s="0" t="n">
        <f aca="false">SUMPRODUCT(D3326:F3326,Stats!$B$6:$D$6)</f>
        <v>0.350496703825699</v>
      </c>
      <c r="H3326" s="0" t="n">
        <f aca="false">SQRT(SUMPRODUCT(MMULT(D3326:F3326,Stats!$B$12:$D$14),D3326:F3326))</f>
        <v>0.221367693409812</v>
      </c>
      <c r="I3326" s="0" t="n">
        <f aca="false">(G3326-Stats!$B$2)/H3326</f>
        <v>1.39359406548356</v>
      </c>
    </row>
    <row r="3327" customFormat="false" ht="15" hidden="false" customHeight="false" outlineLevel="0" collapsed="false">
      <c r="A3327" s="0" t="n">
        <v>0.186244938299775</v>
      </c>
      <c r="B3327" s="0" t="n">
        <v>0.485344897134418</v>
      </c>
      <c r="C3327" s="0" t="n">
        <v>0.830177242999587</v>
      </c>
      <c r="D3327" s="0" t="n">
        <f aca="false">A3327/SUM($A3327:$C3327)</f>
        <v>0.124017193461194</v>
      </c>
      <c r="E3327" s="0" t="n">
        <f aca="false">B3327/SUM($A3327:$C3327)</f>
        <v>0.323182538826589</v>
      </c>
      <c r="F3327" s="0" t="n">
        <f aca="false">C3327/SUM($A3327:$C3327)</f>
        <v>0.552800267712217</v>
      </c>
      <c r="G3327" s="0" t="n">
        <f aca="false">SUMPRODUCT(D3327:F3327,Stats!$B$6:$D$6)</f>
        <v>0.359835954689431</v>
      </c>
      <c r="H3327" s="0" t="n">
        <f aca="false">SQRT(SUMPRODUCT(MMULT(D3327:F3327,Stats!$B$12:$D$14),D3327:F3327))</f>
        <v>0.236505553613357</v>
      </c>
      <c r="I3327" s="0" t="n">
        <f aca="false">(G3327-Stats!$B$2)/H3327</f>
        <v>1.34388368405519</v>
      </c>
    </row>
    <row r="3328" customFormat="false" ht="15" hidden="false" customHeight="false" outlineLevel="0" collapsed="false">
      <c r="A3328" s="0" t="n">
        <v>0.95061177474289</v>
      </c>
      <c r="B3328" s="0" t="n">
        <v>0.634252653451537</v>
      </c>
      <c r="C3328" s="0" t="n">
        <v>0.353905667211817</v>
      </c>
      <c r="D3328" s="0" t="n">
        <f aca="false">A3328/SUM($A3328:$C3328)</f>
        <v>0.490316916376669</v>
      </c>
      <c r="E3328" s="0" t="n">
        <f aca="false">B3328/SUM($A3328:$C3328)</f>
        <v>0.327141755979395</v>
      </c>
      <c r="F3328" s="0" t="n">
        <f aca="false">C3328/SUM($A3328:$C3328)</f>
        <v>0.182541327643936</v>
      </c>
      <c r="G3328" s="0" t="n">
        <f aca="false">SUMPRODUCT(D3328:F3328,Stats!$B$6:$D$6)</f>
        <v>0.370273510783396</v>
      </c>
      <c r="H3328" s="0" t="n">
        <f aca="false">SQRT(SUMPRODUCT(MMULT(D3328:F3328,Stats!$B$12:$D$14),D3328:F3328))</f>
        <v>0.224073081102845</v>
      </c>
      <c r="I3328" s="0" t="n">
        <f aca="false">(G3328-Stats!$B$2)/H3328</f>
        <v>1.46502877171902</v>
      </c>
    </row>
    <row r="3329" customFormat="false" ht="15" hidden="false" customHeight="false" outlineLevel="0" collapsed="false">
      <c r="A3329" s="0" t="n">
        <v>0.603325565644598</v>
      </c>
      <c r="B3329" s="0" t="n">
        <v>0.31200130610845</v>
      </c>
      <c r="C3329" s="0" t="n">
        <v>0.90982364083206</v>
      </c>
      <c r="D3329" s="0" t="n">
        <f aca="false">A3329/SUM($A3329:$C3329)</f>
        <v>0.330562088706898</v>
      </c>
      <c r="E3329" s="0" t="n">
        <f aca="false">B3329/SUM($A3329:$C3329)</f>
        <v>0.170945521455399</v>
      </c>
      <c r="F3329" s="0" t="n">
        <f aca="false">C3329/SUM($A3329:$C3329)</f>
        <v>0.498492389837703</v>
      </c>
      <c r="G3329" s="0" t="n">
        <f aca="false">SUMPRODUCT(D3329:F3329,Stats!$B$6:$D$6)</f>
        <v>0.35257395259089</v>
      </c>
      <c r="H3329" s="0" t="n">
        <f aca="false">SQRT(SUMPRODUCT(MMULT(D3329:F3329,Stats!$B$12:$D$14),D3329:F3329))</f>
        <v>0.227049286325034</v>
      </c>
      <c r="I3329" s="0" t="n">
        <f aca="false">(G3329-Stats!$B$2)/H3329</f>
        <v>1.36787019954023</v>
      </c>
    </row>
    <row r="3330" customFormat="false" ht="15" hidden="false" customHeight="false" outlineLevel="0" collapsed="false">
      <c r="A3330" s="0" t="n">
        <v>0.870400463105837</v>
      </c>
      <c r="B3330" s="0" t="n">
        <v>0.558231750279661</v>
      </c>
      <c r="C3330" s="0" t="n">
        <v>0.324798915380361</v>
      </c>
      <c r="D3330" s="0" t="n">
        <f aca="false">A3330/SUM($A3330:$C3330)</f>
        <v>0.496398432094942</v>
      </c>
      <c r="E3330" s="0" t="n">
        <f aca="false">B3330/SUM($A3330:$C3330)</f>
        <v>0.318365370114405</v>
      </c>
      <c r="F3330" s="0" t="n">
        <f aca="false">C3330/SUM($A3330:$C3330)</f>
        <v>0.185236197790653</v>
      </c>
      <c r="G3330" s="0" t="n">
        <f aca="false">SUMPRODUCT(D3330:F3330,Stats!$B$6:$D$6)</f>
        <v>0.369694218891984</v>
      </c>
      <c r="H3330" s="0" t="n">
        <f aca="false">SQRT(SUMPRODUCT(MMULT(D3330:F3330,Stats!$B$12:$D$14),D3330:F3330))</f>
        <v>0.223900074583032</v>
      </c>
      <c r="I3330" s="0" t="n">
        <f aca="false">(G3330-Stats!$B$2)/H3330</f>
        <v>1.46357351377505</v>
      </c>
    </row>
    <row r="3331" customFormat="false" ht="15" hidden="false" customHeight="false" outlineLevel="0" collapsed="false">
      <c r="A3331" s="0" t="n">
        <v>0.293389675582978</v>
      </c>
      <c r="B3331" s="0" t="n">
        <v>0.0334179947050595</v>
      </c>
      <c r="C3331" s="0" t="n">
        <v>0.815820851025295</v>
      </c>
      <c r="D3331" s="0" t="n">
        <f aca="false">A3331/SUM($A3331:$C3331)</f>
        <v>0.25676733086074</v>
      </c>
      <c r="E3331" s="0" t="n">
        <f aca="false">B3331/SUM($A3331:$C3331)</f>
        <v>0.0292465959686084</v>
      </c>
      <c r="F3331" s="0" t="n">
        <f aca="false">C3331/SUM($A3331:$C3331)</f>
        <v>0.713986073170652</v>
      </c>
      <c r="G3331" s="0" t="n">
        <f aca="false">SUMPRODUCT(D3331:F3331,Stats!$B$6:$D$6)</f>
        <v>0.338478624381033</v>
      </c>
      <c r="H3331" s="0" t="n">
        <f aca="false">SQRT(SUMPRODUCT(MMULT(D3331:F3331,Stats!$B$12:$D$14),D3331:F3331))</f>
        <v>0.234990223760593</v>
      </c>
      <c r="I3331" s="0" t="n">
        <f aca="false">(G3331-Stats!$B$2)/H3331</f>
        <v>1.2616636540722</v>
      </c>
    </row>
    <row r="3332" customFormat="false" ht="15" hidden="false" customHeight="false" outlineLevel="0" collapsed="false">
      <c r="A3332" s="0" t="n">
        <v>0.450383213039008</v>
      </c>
      <c r="B3332" s="0" t="n">
        <v>0.325132928400264</v>
      </c>
      <c r="C3332" s="0" t="n">
        <v>0.471110354997754</v>
      </c>
      <c r="D3332" s="0" t="n">
        <f aca="false">A3332/SUM($A3332:$C3332)</f>
        <v>0.361281598238322</v>
      </c>
      <c r="E3332" s="0" t="n">
        <f aca="false">B3332/SUM($A3332:$C3332)</f>
        <v>0.260810218080174</v>
      </c>
      <c r="F3332" s="0" t="n">
        <f aca="false">C3332/SUM($A3332:$C3332)</f>
        <v>0.377908183681504</v>
      </c>
      <c r="G3332" s="0" t="n">
        <f aca="false">SUMPRODUCT(D3332:F3332,Stats!$B$6:$D$6)</f>
        <v>0.361069714030712</v>
      </c>
      <c r="H3332" s="0" t="n">
        <f aca="false">SQRT(SUMPRODUCT(MMULT(D3332:F3332,Stats!$B$12:$D$14),D3332:F3332))</f>
        <v>0.225259706848326</v>
      </c>
      <c r="I3332" s="0" t="n">
        <f aca="false">(G3332-Stats!$B$2)/H3332</f>
        <v>1.41645267364905</v>
      </c>
    </row>
    <row r="3333" customFormat="false" ht="15" hidden="false" customHeight="false" outlineLevel="0" collapsed="false">
      <c r="A3333" s="0" t="n">
        <v>0.818737990454652</v>
      </c>
      <c r="B3333" s="0" t="n">
        <v>0.124614207707521</v>
      </c>
      <c r="C3333" s="0" t="n">
        <v>0.857655988241827</v>
      </c>
      <c r="D3333" s="0" t="n">
        <f aca="false">A3333/SUM($A3333:$C3333)</f>
        <v>0.454599816167073</v>
      </c>
      <c r="E3333" s="0" t="n">
        <f aca="false">B3333/SUM($A3333:$C3333)</f>
        <v>0.069191361065567</v>
      </c>
      <c r="F3333" s="0" t="n">
        <f aca="false">C3333/SUM($A3333:$C3333)</f>
        <v>0.47620882276736</v>
      </c>
      <c r="G3333" s="0" t="n">
        <f aca="false">SUMPRODUCT(D3333:F3333,Stats!$B$6:$D$6)</f>
        <v>0.347333610691147</v>
      </c>
      <c r="H3333" s="0" t="n">
        <f aca="false">SQRT(SUMPRODUCT(MMULT(D3333:F3333,Stats!$B$12:$D$14),D3333:F3333))</f>
        <v>0.223772528814889</v>
      </c>
      <c r="I3333" s="0" t="n">
        <f aca="false">(G3333-Stats!$B$2)/H3333</f>
        <v>1.36448210291142</v>
      </c>
    </row>
    <row r="3334" customFormat="false" ht="15" hidden="false" customHeight="false" outlineLevel="0" collapsed="false">
      <c r="A3334" s="0" t="n">
        <v>0.897508835108354</v>
      </c>
      <c r="B3334" s="0" t="n">
        <v>0.946707915033888</v>
      </c>
      <c r="C3334" s="0" t="n">
        <v>0.397487992422628</v>
      </c>
      <c r="D3334" s="0" t="n">
        <f aca="false">A3334/SUM($A3334:$C3334)</f>
        <v>0.400368888046095</v>
      </c>
      <c r="E3334" s="0" t="n">
        <f aca="false">B3334/SUM($A3334:$C3334)</f>
        <v>0.42231606020992</v>
      </c>
      <c r="F3334" s="0" t="n">
        <f aca="false">C3334/SUM($A3334:$C3334)</f>
        <v>0.177315051743986</v>
      </c>
      <c r="G3334" s="0" t="n">
        <f aca="false">SUMPRODUCT(D3334:F3334,Stats!$B$6:$D$6)</f>
        <v>0.375893829614939</v>
      </c>
      <c r="H3334" s="0" t="n">
        <f aca="false">SQRT(SUMPRODUCT(MMULT(D3334:F3334,Stats!$B$12:$D$14),D3334:F3334))</f>
        <v>0.226450299466404</v>
      </c>
      <c r="I3334" s="0" t="n">
        <f aca="false">(G3334-Stats!$B$2)/H3334</f>
        <v>1.47446848337895</v>
      </c>
    </row>
    <row r="3335" customFormat="false" ht="15" hidden="false" customHeight="false" outlineLevel="0" collapsed="false">
      <c r="A3335" s="0" t="n">
        <v>0.217140404037672</v>
      </c>
      <c r="B3335" s="0" t="n">
        <v>0.373640818466699</v>
      </c>
      <c r="C3335" s="0" t="n">
        <v>0.332912096231403</v>
      </c>
      <c r="D3335" s="0" t="n">
        <f aca="false">A3335/SUM($A3335:$C3335)</f>
        <v>0.235078461252555</v>
      </c>
      <c r="E3335" s="0" t="n">
        <f aca="false">B3335/SUM($A3335:$C3335)</f>
        <v>0.404507438657332</v>
      </c>
      <c r="F3335" s="0" t="n">
        <f aca="false">C3335/SUM($A3335:$C3335)</f>
        <v>0.360414100090113</v>
      </c>
      <c r="G3335" s="0" t="n">
        <f aca="false">SUMPRODUCT(D3335:F3335,Stats!$B$6:$D$6)</f>
        <v>0.369820258745503</v>
      </c>
      <c r="H3335" s="0" t="n">
        <f aca="false">SQRT(SUMPRODUCT(MMULT(D3335:F3335,Stats!$B$12:$D$14),D3335:F3335))</f>
        <v>0.230105360326231</v>
      </c>
      <c r="I3335" s="0" t="n">
        <f aca="false">(G3335-Stats!$B$2)/H3335</f>
        <v>1.42465285589496</v>
      </c>
    </row>
    <row r="3336" customFormat="false" ht="15" hidden="false" customHeight="false" outlineLevel="0" collapsed="false">
      <c r="A3336" s="0" t="n">
        <v>0.17615391250286</v>
      </c>
      <c r="B3336" s="0" t="n">
        <v>0.607266670101488</v>
      </c>
      <c r="C3336" s="0" t="n">
        <v>0.476624160508629</v>
      </c>
      <c r="D3336" s="0" t="n">
        <f aca="false">A3336/SUM($A3336:$C3336)</f>
        <v>0.139799728117326</v>
      </c>
      <c r="E3336" s="0" t="n">
        <f aca="false">B3336/SUM($A3336:$C3336)</f>
        <v>0.481940560778197</v>
      </c>
      <c r="F3336" s="0" t="n">
        <f aca="false">C3336/SUM($A3336:$C3336)</f>
        <v>0.378259711104476</v>
      </c>
      <c r="G3336" s="0" t="n">
        <f aca="false">SUMPRODUCT(D3336:F3336,Stats!$B$6:$D$6)</f>
        <v>0.37378357451267</v>
      </c>
      <c r="H3336" s="0" t="n">
        <f aca="false">SQRT(SUMPRODUCT(MMULT(D3336:F3336,Stats!$B$12:$D$14),D3336:F3336))</f>
        <v>0.234814944197614</v>
      </c>
      <c r="I3336" s="0" t="n">
        <f aca="false">(G3336-Stats!$B$2)/H3336</f>
        <v>1.41295766181496</v>
      </c>
    </row>
    <row r="3337" customFormat="false" ht="15" hidden="false" customHeight="false" outlineLevel="0" collapsed="false">
      <c r="A3337" s="0" t="n">
        <v>0.865700992324004</v>
      </c>
      <c r="B3337" s="0" t="n">
        <v>0.0321095804820583</v>
      </c>
      <c r="C3337" s="0" t="n">
        <v>0.643867927555126</v>
      </c>
      <c r="D3337" s="0" t="n">
        <f aca="false">A3337/SUM($A3337:$C3337)</f>
        <v>0.561531468539767</v>
      </c>
      <c r="E3337" s="0" t="n">
        <f aca="false">B3337/SUM($A3337:$C3337)</f>
        <v>0.0208276761169956</v>
      </c>
      <c r="F3337" s="0" t="n">
        <f aca="false">C3337/SUM($A3337:$C3337)</f>
        <v>0.417640855343238</v>
      </c>
      <c r="G3337" s="0" t="n">
        <f aca="false">SUMPRODUCT(D3337:F3337,Stats!$B$6:$D$6)</f>
        <v>0.346165816030394</v>
      </c>
      <c r="H3337" s="0" t="n">
        <f aca="false">SQRT(SUMPRODUCT(MMULT(D3337:F3337,Stats!$B$12:$D$14),D3337:F3337))</f>
        <v>0.221892794658152</v>
      </c>
      <c r="I3337" s="0" t="n">
        <f aca="false">(G3337-Stats!$B$2)/H3337</f>
        <v>1.37077824676097</v>
      </c>
    </row>
    <row r="3338" customFormat="false" ht="15" hidden="false" customHeight="false" outlineLevel="0" collapsed="false">
      <c r="A3338" s="0" t="n">
        <v>0.762948878511561</v>
      </c>
      <c r="B3338" s="0" t="n">
        <v>0.759486569188307</v>
      </c>
      <c r="C3338" s="0" t="n">
        <v>0.886073967095525</v>
      </c>
      <c r="D3338" s="0" t="n">
        <f aca="false">A3338/SUM($A3338:$C3338)</f>
        <v>0.316772221783644</v>
      </c>
      <c r="E3338" s="0" t="n">
        <f aca="false">B3338/SUM($A3338:$C3338)</f>
        <v>0.315334689797269</v>
      </c>
      <c r="F3338" s="0" t="n">
        <f aca="false">C3338/SUM($A3338:$C3338)</f>
        <v>0.367893088419087</v>
      </c>
      <c r="G3338" s="0" t="n">
        <f aca="false">SUMPRODUCT(D3338:F3338,Stats!$B$6:$D$6)</f>
        <v>0.364483143963524</v>
      </c>
      <c r="H3338" s="0" t="n">
        <f aca="false">SQRT(SUMPRODUCT(MMULT(D3338:F3338,Stats!$B$12:$D$14),D3338:F3338))</f>
        <v>0.226750076114596</v>
      </c>
      <c r="I3338" s="0" t="n">
        <f aca="false">(G3338-Stats!$B$2)/H3338</f>
        <v>1.42219640888035</v>
      </c>
    </row>
    <row r="3339" customFormat="false" ht="15" hidden="false" customHeight="false" outlineLevel="0" collapsed="false">
      <c r="A3339" s="0" t="n">
        <v>0.729033742829494</v>
      </c>
      <c r="B3339" s="0" t="n">
        <v>0.927810061647696</v>
      </c>
      <c r="C3339" s="0" t="n">
        <v>0.332656599820892</v>
      </c>
      <c r="D3339" s="0" t="n">
        <f aca="false">A3339/SUM($A3339:$C3339)</f>
        <v>0.366440610544488</v>
      </c>
      <c r="E3339" s="0" t="n">
        <f aca="false">B3339/SUM($A3339:$C3339)</f>
        <v>0.466353291330463</v>
      </c>
      <c r="F3339" s="0" t="n">
        <f aca="false">C3339/SUM($A3339:$C3339)</f>
        <v>0.16720609812505</v>
      </c>
      <c r="G3339" s="0" t="n">
        <f aca="false">SUMPRODUCT(D3339:F3339,Stats!$B$6:$D$6)</f>
        <v>0.378706425405276</v>
      </c>
      <c r="H3339" s="0" t="n">
        <f aca="false">SQRT(SUMPRODUCT(MMULT(D3339:F3339,Stats!$B$12:$D$14),D3339:F3339))</f>
        <v>0.227807579319271</v>
      </c>
      <c r="I3339" s="0" t="n">
        <f aca="false">(G3339-Stats!$B$2)/H3339</f>
        <v>1.47802995146788</v>
      </c>
    </row>
    <row r="3340" customFormat="false" ht="15" hidden="false" customHeight="false" outlineLevel="0" collapsed="false">
      <c r="A3340" s="0" t="n">
        <v>0.503209416751543</v>
      </c>
      <c r="B3340" s="0" t="n">
        <v>0.0140796632828907</v>
      </c>
      <c r="C3340" s="0" t="n">
        <v>0.00695758730329121</v>
      </c>
      <c r="D3340" s="0" t="n">
        <f aca="false">A3340/SUM($A3340:$C3340)</f>
        <v>0.959871465291301</v>
      </c>
      <c r="E3340" s="0" t="n">
        <f aca="false">B3340/SUM($A3340:$C3340)</f>
        <v>0.0268569438016483</v>
      </c>
      <c r="F3340" s="0" t="n">
        <f aca="false">C3340/SUM($A3340:$C3340)</f>
        <v>0.0132715909070511</v>
      </c>
      <c r="G3340" s="0" t="n">
        <f aca="false">SUMPRODUCT(D3340:F3340,Stats!$B$6:$D$6)</f>
        <v>0.357663059227672</v>
      </c>
      <c r="H3340" s="0" t="n">
        <f aca="false">SQRT(SUMPRODUCT(MMULT(D3340:F3340,Stats!$B$12:$D$14),D3340:F3340))</f>
        <v>0.231652493547737</v>
      </c>
      <c r="I3340" s="0" t="n">
        <f aca="false">(G3340-Stats!$B$2)/H3340</f>
        <v>1.36265772232071</v>
      </c>
    </row>
    <row r="3341" customFormat="false" ht="15" hidden="false" customHeight="false" outlineLevel="0" collapsed="false">
      <c r="A3341" s="0" t="n">
        <v>0.24012662045152</v>
      </c>
      <c r="B3341" s="0" t="n">
        <v>0.100807197139085</v>
      </c>
      <c r="C3341" s="0" t="n">
        <v>0.260211367935754</v>
      </c>
      <c r="D3341" s="0" t="n">
        <f aca="false">A3341/SUM($A3341:$C3341)</f>
        <v>0.399448629437607</v>
      </c>
      <c r="E3341" s="0" t="n">
        <f aca="false">B3341/SUM($A3341:$C3341)</f>
        <v>0.167691931277499</v>
      </c>
      <c r="F3341" s="0" t="n">
        <f aca="false">C3341/SUM($A3341:$C3341)</f>
        <v>0.432859439284895</v>
      </c>
      <c r="G3341" s="0" t="n">
        <f aca="false">SUMPRODUCT(D3341:F3341,Stats!$B$6:$D$6)</f>
        <v>0.354196548590827</v>
      </c>
      <c r="H3341" s="0" t="n">
        <f aca="false">SQRT(SUMPRODUCT(MMULT(D3341:F3341,Stats!$B$12:$D$14),D3341:F3341))</f>
        <v>0.224423173153491</v>
      </c>
      <c r="I3341" s="0" t="n">
        <f aca="false">(G3341-Stats!$B$2)/H3341</f>
        <v>1.39110656089558</v>
      </c>
    </row>
    <row r="3342" customFormat="false" ht="15" hidden="false" customHeight="false" outlineLevel="0" collapsed="false">
      <c r="A3342" s="0" t="n">
        <v>0.177043294528397</v>
      </c>
      <c r="B3342" s="0" t="n">
        <v>0.0285200248386482</v>
      </c>
      <c r="C3342" s="0" t="n">
        <v>0.909304146406049</v>
      </c>
      <c r="D3342" s="0" t="n">
        <f aca="false">A3342/SUM($A3342:$C3342)</f>
        <v>0.158802099768539</v>
      </c>
      <c r="E3342" s="0" t="n">
        <f aca="false">B3342/SUM($A3342:$C3342)</f>
        <v>0.0255815383570022</v>
      </c>
      <c r="F3342" s="0" t="n">
        <f aca="false">C3342/SUM($A3342:$C3342)</f>
        <v>0.815616361874459</v>
      </c>
      <c r="G3342" s="0" t="n">
        <f aca="false">SUMPRODUCT(D3342:F3342,Stats!$B$6:$D$6)</f>
        <v>0.33546532558771</v>
      </c>
      <c r="H3342" s="0" t="n">
        <f aca="false">SQRT(SUMPRODUCT(MMULT(D3342:F3342,Stats!$B$12:$D$14),D3342:F3342))</f>
        <v>0.242852551089175</v>
      </c>
      <c r="I3342" s="0" t="n">
        <f aca="false">(G3342-Stats!$B$2)/H3342</f>
        <v>1.2084094825092</v>
      </c>
    </row>
    <row r="3343" customFormat="false" ht="15" hidden="false" customHeight="false" outlineLevel="0" collapsed="false">
      <c r="A3343" s="0" t="n">
        <v>0.00822313138889153</v>
      </c>
      <c r="B3343" s="0" t="n">
        <v>0.736082144337085</v>
      </c>
      <c r="C3343" s="0" t="n">
        <v>0.152147886919517</v>
      </c>
      <c r="D3343" s="0" t="n">
        <f aca="false">A3343/SUM($A3343:$C3343)</f>
        <v>0.0091729626616794</v>
      </c>
      <c r="E3343" s="0" t="n">
        <f aca="false">B3343/SUM($A3343:$C3343)</f>
        <v>0.821104966783605</v>
      </c>
      <c r="F3343" s="0" t="n">
        <f aca="false">C3343/SUM($A3343:$C3343)</f>
        <v>0.169722070554716</v>
      </c>
      <c r="G3343" s="0" t="n">
        <f aca="false">SUMPRODUCT(D3343:F3343,Stats!$B$6:$D$6)</f>
        <v>0.399049000692687</v>
      </c>
      <c r="H3343" s="0" t="n">
        <f aca="false">SQRT(SUMPRODUCT(MMULT(D3343:F3343,Stats!$B$12:$D$14),D3343:F3343))</f>
        <v>0.2470699670448</v>
      </c>
      <c r="I3343" s="0" t="n">
        <f aca="false">(G3343-Stats!$B$2)/H3343</f>
        <v>1.44513315383227</v>
      </c>
    </row>
    <row r="3344" customFormat="false" ht="15" hidden="false" customHeight="false" outlineLevel="0" collapsed="false">
      <c r="A3344" s="0" t="n">
        <v>0.9122296219996</v>
      </c>
      <c r="B3344" s="0" t="n">
        <v>0.892795939589886</v>
      </c>
      <c r="C3344" s="0" t="n">
        <v>0.653901146369257</v>
      </c>
      <c r="D3344" s="0" t="n">
        <f aca="false">A3344/SUM($A3344:$C3344)</f>
        <v>0.370986910283666</v>
      </c>
      <c r="E3344" s="0" t="n">
        <f aca="false">B3344/SUM($A3344:$C3344)</f>
        <v>0.36308359118643</v>
      </c>
      <c r="F3344" s="0" t="n">
        <f aca="false">C3344/SUM($A3344:$C3344)</f>
        <v>0.265929498529904</v>
      </c>
      <c r="G3344" s="0" t="n">
        <f aca="false">SUMPRODUCT(D3344:F3344,Stats!$B$6:$D$6)</f>
        <v>0.370042160723198</v>
      </c>
      <c r="H3344" s="0" t="n">
        <f aca="false">SQRT(SUMPRODUCT(MMULT(D3344:F3344,Stats!$B$12:$D$14),D3344:F3344))</f>
        <v>0.225718168214322</v>
      </c>
      <c r="I3344" s="0" t="n">
        <f aca="false">(G3344-Stats!$B$2)/H3344</f>
        <v>1.45332634638307</v>
      </c>
    </row>
    <row r="3345" customFormat="false" ht="15" hidden="false" customHeight="false" outlineLevel="0" collapsed="false">
      <c r="A3345" s="0" t="n">
        <v>0.672234149800605</v>
      </c>
      <c r="B3345" s="0" t="n">
        <v>0.00533914196968854</v>
      </c>
      <c r="C3345" s="0" t="n">
        <v>0.984871566113602</v>
      </c>
      <c r="D3345" s="0" t="n">
        <f aca="false">A3345/SUM($A3345:$C3345)</f>
        <v>0.404364780349036</v>
      </c>
      <c r="E3345" s="0" t="n">
        <f aca="false">B3345/SUM($A3345:$C3345)</f>
        <v>0.00321162049036903</v>
      </c>
      <c r="F3345" s="0" t="n">
        <f aca="false">C3345/SUM($A3345:$C3345)</f>
        <v>0.592423599160595</v>
      </c>
      <c r="G3345" s="0" t="n">
        <f aca="false">SUMPRODUCT(D3345:F3345,Stats!$B$6:$D$6)</f>
        <v>0.340332644053866</v>
      </c>
      <c r="H3345" s="0" t="n">
        <f aca="false">SQRT(SUMPRODUCT(MMULT(D3345:F3345,Stats!$B$12:$D$14),D3345:F3345))</f>
        <v>0.227124592781577</v>
      </c>
      <c r="I3345" s="0" t="n">
        <f aca="false">(G3345-Stats!$B$2)/H3345</f>
        <v>1.31351977520448</v>
      </c>
    </row>
    <row r="3346" customFormat="false" ht="15" hidden="false" customHeight="false" outlineLevel="0" collapsed="false">
      <c r="A3346" s="0" t="n">
        <v>0.877832603575814</v>
      </c>
      <c r="B3346" s="0" t="n">
        <v>0.895106225730092</v>
      </c>
      <c r="C3346" s="0" t="n">
        <v>0.659244537050872</v>
      </c>
      <c r="D3346" s="0" t="n">
        <f aca="false">A3346/SUM($A3346:$C3346)</f>
        <v>0.360923693385314</v>
      </c>
      <c r="E3346" s="0" t="n">
        <f aca="false">B3346/SUM($A3346:$C3346)</f>
        <v>0.368025798593834</v>
      </c>
      <c r="F3346" s="0" t="n">
        <f aca="false">C3346/SUM($A3346:$C3346)</f>
        <v>0.271050508020852</v>
      </c>
      <c r="G3346" s="0" t="n">
        <f aca="false">SUMPRODUCT(D3346:F3346,Stats!$B$6:$D$6)</f>
        <v>0.370185319073777</v>
      </c>
      <c r="H3346" s="0" t="n">
        <f aca="false">SQRT(SUMPRODUCT(MMULT(D3346:F3346,Stats!$B$12:$D$14),D3346:F3346))</f>
        <v>0.225977352467233</v>
      </c>
      <c r="I3346" s="0" t="n">
        <f aca="false">(G3346-Stats!$B$2)/H3346</f>
        <v>1.45229296427554</v>
      </c>
    </row>
    <row r="3347" customFormat="false" ht="15" hidden="false" customHeight="false" outlineLevel="0" collapsed="false">
      <c r="A3347" s="0" t="n">
        <v>0.344786928654537</v>
      </c>
      <c r="B3347" s="0" t="n">
        <v>0.893648649090481</v>
      </c>
      <c r="C3347" s="0" t="n">
        <v>0.291516928151192</v>
      </c>
      <c r="D3347" s="0" t="n">
        <f aca="false">A3347/SUM($A3347:$C3347)</f>
        <v>0.225357929298968</v>
      </c>
      <c r="E3347" s="0" t="n">
        <f aca="false">B3347/SUM($A3347:$C3347)</f>
        <v>0.584102216014217</v>
      </c>
      <c r="F3347" s="0" t="n">
        <f aca="false">C3347/SUM($A3347:$C3347)</f>
        <v>0.190539854686815</v>
      </c>
      <c r="G3347" s="0" t="n">
        <f aca="false">SUMPRODUCT(D3347:F3347,Stats!$B$6:$D$6)</f>
        <v>0.384838126769572</v>
      </c>
      <c r="H3347" s="0" t="n">
        <f aca="false">SQRT(SUMPRODUCT(MMULT(D3347:F3347,Stats!$B$12:$D$14),D3347:F3347))</f>
        <v>0.233207594426122</v>
      </c>
      <c r="I3347" s="0" t="n">
        <f aca="false">(G3347-Stats!$B$2)/H3347</f>
        <v>1.47009846576065</v>
      </c>
    </row>
    <row r="3348" customFormat="false" ht="15" hidden="false" customHeight="false" outlineLevel="0" collapsed="false">
      <c r="A3348" s="0" t="n">
        <v>0.562711543342203</v>
      </c>
      <c r="B3348" s="0" t="n">
        <v>0.0997309723438824</v>
      </c>
      <c r="C3348" s="0" t="n">
        <v>0.92195563013275</v>
      </c>
      <c r="D3348" s="0" t="n">
        <f aca="false">A3348/SUM($A3348:$C3348)</f>
        <v>0.355157915847842</v>
      </c>
      <c r="E3348" s="0" t="n">
        <f aca="false">B3348/SUM($A3348:$C3348)</f>
        <v>0.0629456507551896</v>
      </c>
      <c r="F3348" s="0" t="n">
        <f aca="false">C3348/SUM($A3348:$C3348)</f>
        <v>0.581896433396968</v>
      </c>
      <c r="G3348" s="0" t="n">
        <f aca="false">SUMPRODUCT(D3348:F3348,Stats!$B$6:$D$6)</f>
        <v>0.344059945390033</v>
      </c>
      <c r="H3348" s="0" t="n">
        <f aca="false">SQRT(SUMPRODUCT(MMULT(D3348:F3348,Stats!$B$12:$D$14),D3348:F3348))</f>
        <v>0.227967467588899</v>
      </c>
      <c r="I3348" s="0" t="n">
        <f aca="false">(G3348-Stats!$B$2)/H3348</f>
        <v>1.32501338276366</v>
      </c>
    </row>
    <row r="3349" customFormat="false" ht="15" hidden="false" customHeight="false" outlineLevel="0" collapsed="false">
      <c r="A3349" s="0" t="n">
        <v>0.140770457771213</v>
      </c>
      <c r="B3349" s="0" t="n">
        <v>0.224896805730407</v>
      </c>
      <c r="C3349" s="0" t="n">
        <v>0.558134158128215</v>
      </c>
      <c r="D3349" s="0" t="n">
        <f aca="false">A3349/SUM($A3349:$C3349)</f>
        <v>0.152381728881577</v>
      </c>
      <c r="E3349" s="0" t="n">
        <f aca="false">B3349/SUM($A3349:$C3349)</f>
        <v>0.243447131022627</v>
      </c>
      <c r="F3349" s="0" t="n">
        <f aca="false">C3349/SUM($A3349:$C3349)</f>
        <v>0.604171140095796</v>
      </c>
      <c r="G3349" s="0" t="n">
        <f aca="false">SUMPRODUCT(D3349:F3349,Stats!$B$6:$D$6)</f>
        <v>0.353831550476209</v>
      </c>
      <c r="H3349" s="0" t="n">
        <f aca="false">SQRT(SUMPRODUCT(MMULT(D3349:F3349,Stats!$B$12:$D$14),D3349:F3349))</f>
        <v>0.236014881349242</v>
      </c>
      <c r="I3349" s="0" t="n">
        <f aca="false">(G3349-Stats!$B$2)/H3349</f>
        <v>1.32123681648183</v>
      </c>
    </row>
    <row r="3350" customFormat="false" ht="15" hidden="false" customHeight="false" outlineLevel="0" collapsed="false">
      <c r="A3350" s="0" t="n">
        <v>0.764093000212982</v>
      </c>
      <c r="B3350" s="0" t="n">
        <v>0.619351305936299</v>
      </c>
      <c r="C3350" s="0" t="n">
        <v>0.232133912800156</v>
      </c>
      <c r="D3350" s="0" t="n">
        <f aca="false">A3350/SUM($A3350:$C3350)</f>
        <v>0.47295326914586</v>
      </c>
      <c r="E3350" s="0" t="n">
        <f aca="false">B3350/SUM($A3350:$C3350)</f>
        <v>0.383362005424315</v>
      </c>
      <c r="F3350" s="0" t="n">
        <f aca="false">C3350/SUM($A3350:$C3350)</f>
        <v>0.143684725429825</v>
      </c>
      <c r="G3350" s="0" t="n">
        <f aca="false">SUMPRODUCT(D3350:F3350,Stats!$B$6:$D$6)</f>
        <v>0.374579807033031</v>
      </c>
      <c r="H3350" s="0" t="n">
        <f aca="false">SQRT(SUMPRODUCT(MMULT(D3350:F3350,Stats!$B$12:$D$14),D3350:F3350))</f>
        <v>0.225356279137633</v>
      </c>
      <c r="I3350" s="0" t="n">
        <f aca="false">(G3350-Stats!$B$2)/H3350</f>
        <v>1.47579560820629</v>
      </c>
    </row>
    <row r="3351" customFormat="false" ht="15" hidden="false" customHeight="false" outlineLevel="0" collapsed="false">
      <c r="A3351" s="0" t="n">
        <v>0.000943042527490334</v>
      </c>
      <c r="B3351" s="0" t="n">
        <v>0.757150580307439</v>
      </c>
      <c r="C3351" s="0" t="n">
        <v>0.985207325911094</v>
      </c>
      <c r="D3351" s="0" t="n">
        <f aca="false">A3351/SUM($A3351:$C3351)</f>
        <v>0.000540952225241818</v>
      </c>
      <c r="E3351" s="0" t="n">
        <f aca="false">B3351/SUM($A3351:$C3351)</f>
        <v>0.434320064388232</v>
      </c>
      <c r="F3351" s="0" t="n">
        <f aca="false">C3351/SUM($A3351:$C3351)</f>
        <v>0.565138983386526</v>
      </c>
      <c r="G3351" s="0" t="n">
        <f aca="false">SUMPRODUCT(D3351:F3351,Stats!$B$6:$D$6)</f>
        <v>0.365890428728764</v>
      </c>
      <c r="H3351" s="0" t="n">
        <f aca="false">SQRT(SUMPRODUCT(MMULT(D3351:F3351,Stats!$B$12:$D$14),D3351:F3351))</f>
        <v>0.243928232772875</v>
      </c>
      <c r="I3351" s="0" t="n">
        <f aca="false">(G3351-Stats!$B$2)/H3351</f>
        <v>1.32781033604397</v>
      </c>
    </row>
    <row r="3352" customFormat="false" ht="15" hidden="false" customHeight="false" outlineLevel="0" collapsed="false">
      <c r="A3352" s="0" t="n">
        <v>0.80991312030609</v>
      </c>
      <c r="B3352" s="0" t="n">
        <v>0.460206618156615</v>
      </c>
      <c r="C3352" s="0" t="n">
        <v>0.903767261399107</v>
      </c>
      <c r="D3352" s="0" t="n">
        <f aca="false">A3352/SUM($A3352:$C3352)</f>
        <v>0.372564498687178</v>
      </c>
      <c r="E3352" s="0" t="n">
        <f aca="false">B3352/SUM($A3352:$C3352)</f>
        <v>0.211697580502514</v>
      </c>
      <c r="F3352" s="0" t="n">
        <f aca="false">C3352/SUM($A3352:$C3352)</f>
        <v>0.415737920810307</v>
      </c>
      <c r="G3352" s="0" t="n">
        <f aca="false">SUMPRODUCT(D3352:F3352,Stats!$B$6:$D$6)</f>
        <v>0.357200695978492</v>
      </c>
      <c r="H3352" s="0" t="n">
        <f aca="false">SQRT(SUMPRODUCT(MMULT(D3352:F3352,Stats!$B$12:$D$14),D3352:F3352))</f>
        <v>0.225022163945392</v>
      </c>
      <c r="I3352" s="0" t="n">
        <f aca="false">(G3352-Stats!$B$2)/H3352</f>
        <v>1.40075399885935</v>
      </c>
    </row>
    <row r="3353" customFormat="false" ht="15" hidden="false" customHeight="false" outlineLevel="0" collapsed="false">
      <c r="A3353" s="0" t="n">
        <v>0.40984767311835</v>
      </c>
      <c r="B3353" s="0" t="n">
        <v>0.524934084243468</v>
      </c>
      <c r="C3353" s="0" t="n">
        <v>0.477129767395683</v>
      </c>
      <c r="D3353" s="0" t="n">
        <f aca="false">A3353/SUM($A3353:$C3353)</f>
        <v>0.290278580443447</v>
      </c>
      <c r="E3353" s="0" t="n">
        <f aca="false">B3353/SUM($A3353:$C3353)</f>
        <v>0.371789644775105</v>
      </c>
      <c r="F3353" s="0" t="n">
        <f aca="false">C3353/SUM($A3353:$C3353)</f>
        <v>0.337931774781448</v>
      </c>
      <c r="G3353" s="0" t="n">
        <f aca="false">SUMPRODUCT(D3353:F3353,Stats!$B$6:$D$6)</f>
        <v>0.368557660704561</v>
      </c>
      <c r="H3353" s="0" t="n">
        <f aca="false">SQRT(SUMPRODUCT(MMULT(D3353:F3353,Stats!$B$12:$D$14),D3353:F3353))</f>
        <v>0.227888002143943</v>
      </c>
      <c r="I3353" s="0" t="n">
        <f aca="false">(G3353-Stats!$B$2)/H3353</f>
        <v>1.43297434543436</v>
      </c>
    </row>
    <row r="3354" customFormat="false" ht="15" hidden="false" customHeight="false" outlineLevel="0" collapsed="false">
      <c r="A3354" s="0" t="n">
        <v>0.447623872665525</v>
      </c>
      <c r="B3354" s="0" t="n">
        <v>0.775190769293906</v>
      </c>
      <c r="C3354" s="0" t="n">
        <v>0.526768907269492</v>
      </c>
      <c r="D3354" s="0" t="n">
        <f aca="false">A3354/SUM($A3354:$C3354)</f>
        <v>0.255845954234539</v>
      </c>
      <c r="E3354" s="0" t="n">
        <f aca="false">B3354/SUM($A3354:$C3354)</f>
        <v>0.443071592457273</v>
      </c>
      <c r="F3354" s="0" t="n">
        <f aca="false">C3354/SUM($A3354:$C3354)</f>
        <v>0.301082453308189</v>
      </c>
      <c r="G3354" s="0" t="n">
        <f aca="false">SUMPRODUCT(D3354:F3354,Stats!$B$6:$D$6)</f>
        <v>0.373675237582404</v>
      </c>
      <c r="H3354" s="0" t="n">
        <f aca="false">SQRT(SUMPRODUCT(MMULT(D3354:F3354,Stats!$B$12:$D$14),D3354:F3354))</f>
        <v>0.229680939786095</v>
      </c>
      <c r="I3354" s="0" t="n">
        <f aca="false">(G3354-Stats!$B$2)/H3354</f>
        <v>1.4440694900121</v>
      </c>
    </row>
    <row r="3355" customFormat="false" ht="15" hidden="false" customHeight="false" outlineLevel="0" collapsed="false">
      <c r="A3355" s="0" t="n">
        <v>0.316717122025216</v>
      </c>
      <c r="B3355" s="0" t="n">
        <v>0.258158167658478</v>
      </c>
      <c r="C3355" s="0" t="n">
        <v>0.0377473169674334</v>
      </c>
      <c r="D3355" s="0" t="n">
        <f aca="false">A3355/SUM($A3355:$C3355)</f>
        <v>0.516985691658581</v>
      </c>
      <c r="E3355" s="0" t="n">
        <f aca="false">B3355/SUM($A3355:$C3355)</f>
        <v>0.421398369658096</v>
      </c>
      <c r="F3355" s="0" t="n">
        <f aca="false">C3355/SUM($A3355:$C3355)</f>
        <v>0.061615938683323</v>
      </c>
      <c r="G3355" s="0" t="n">
        <f aca="false">SUMPRODUCT(D3355:F3355,Stats!$B$6:$D$6)</f>
        <v>0.37903138543076</v>
      </c>
      <c r="H3355" s="0" t="n">
        <f aca="false">SQRT(SUMPRODUCT(MMULT(D3355:F3355,Stats!$B$12:$D$14),D3355:F3355))</f>
        <v>0.226941453984028</v>
      </c>
      <c r="I3355" s="0" t="n">
        <f aca="false">(G3355-Stats!$B$2)/H3355</f>
        <v>1.48510278538393</v>
      </c>
    </row>
    <row r="3356" customFormat="false" ht="15" hidden="false" customHeight="false" outlineLevel="0" collapsed="false">
      <c r="A3356" s="0" t="n">
        <v>0.583195161883046</v>
      </c>
      <c r="B3356" s="0" t="n">
        <v>0.229961415401034</v>
      </c>
      <c r="C3356" s="0" t="n">
        <v>0.148133922016383</v>
      </c>
      <c r="D3356" s="0" t="n">
        <f aca="false">A3356/SUM($A3356:$C3356)</f>
        <v>0.606679419288384</v>
      </c>
      <c r="E3356" s="0" t="n">
        <f aca="false">B3356/SUM($A3356:$C3356)</f>
        <v>0.239221562647689</v>
      </c>
      <c r="F3356" s="0" t="n">
        <f aca="false">C3356/SUM($A3356:$C3356)</f>
        <v>0.154099018063927</v>
      </c>
      <c r="G3356" s="0" t="n">
        <f aca="false">SUMPRODUCT(D3356:F3356,Stats!$B$6:$D$6)</f>
        <v>0.365998982399151</v>
      </c>
      <c r="H3356" s="0" t="n">
        <f aca="false">SQRT(SUMPRODUCT(MMULT(D3356:F3356,Stats!$B$12:$D$14),D3356:F3356))</f>
        <v>0.223185105088838</v>
      </c>
      <c r="I3356" s="0" t="n">
        <f aca="false">(G3356-Stats!$B$2)/H3356</f>
        <v>1.45170522141334</v>
      </c>
    </row>
    <row r="3357" customFormat="false" ht="15" hidden="false" customHeight="false" outlineLevel="0" collapsed="false">
      <c r="A3357" s="0" t="n">
        <v>0.653829963827678</v>
      </c>
      <c r="B3357" s="0" t="n">
        <v>0.681209257821549</v>
      </c>
      <c r="C3357" s="0" t="n">
        <v>0.752154892257666</v>
      </c>
      <c r="D3357" s="0" t="n">
        <f aca="false">A3357/SUM($A3357:$C3357)</f>
        <v>0.313257861102249</v>
      </c>
      <c r="E3357" s="0" t="n">
        <f aca="false">B3357/SUM($A3357:$C3357)</f>
        <v>0.326375612734186</v>
      </c>
      <c r="F3357" s="0" t="n">
        <f aca="false">C3357/SUM($A3357:$C3357)</f>
        <v>0.360366526163564</v>
      </c>
      <c r="G3357" s="0" t="n">
        <f aca="false">SUMPRODUCT(D3357:F3357,Stats!$B$6:$D$6)</f>
        <v>0.365325966438655</v>
      </c>
      <c r="H3357" s="0" t="n">
        <f aca="false">SQRT(SUMPRODUCT(MMULT(D3357:F3357,Stats!$B$12:$D$14),D3357:F3357))</f>
        <v>0.226898999701294</v>
      </c>
      <c r="I3357" s="0" t="n">
        <f aca="false">(G3357-Stats!$B$2)/H3357</f>
        <v>1.42497748718286</v>
      </c>
    </row>
    <row r="3358" customFormat="false" ht="15" hidden="false" customHeight="false" outlineLevel="0" collapsed="false">
      <c r="A3358" s="0" t="n">
        <v>0.503576896338592</v>
      </c>
      <c r="B3358" s="0" t="n">
        <v>0.894054605203887</v>
      </c>
      <c r="C3358" s="0" t="n">
        <v>0.936342753398228</v>
      </c>
      <c r="D3358" s="0" t="n">
        <f aca="false">A3358/SUM($A3358:$C3358)</f>
        <v>0.215759404917423</v>
      </c>
      <c r="E3358" s="0" t="n">
        <f aca="false">B3358/SUM($A3358:$C3358)</f>
        <v>0.383061039902773</v>
      </c>
      <c r="F3358" s="0" t="n">
        <f aca="false">C3358/SUM($A3358:$C3358)</f>
        <v>0.401179555179804</v>
      </c>
      <c r="G3358" s="0" t="n">
        <f aca="false">SUMPRODUCT(D3358:F3358,Stats!$B$6:$D$6)</f>
        <v>0.367462168973816</v>
      </c>
      <c r="H3358" s="0" t="n">
        <f aca="false">SQRT(SUMPRODUCT(MMULT(D3358:F3358,Stats!$B$12:$D$14),D3358:F3358))</f>
        <v>0.230871508906243</v>
      </c>
      <c r="I3358" s="0" t="n">
        <f aca="false">(G3358-Stats!$B$2)/H3358</f>
        <v>1.4097112741009</v>
      </c>
    </row>
    <row r="3359" customFormat="false" ht="15" hidden="false" customHeight="false" outlineLevel="0" collapsed="false">
      <c r="A3359" s="0" t="n">
        <v>0.807370939792489</v>
      </c>
      <c r="B3359" s="0" t="n">
        <v>0.635593482008187</v>
      </c>
      <c r="C3359" s="0" t="n">
        <v>0.303720953591189</v>
      </c>
      <c r="D3359" s="0" t="n">
        <f aca="false">A3359/SUM($A3359:$C3359)</f>
        <v>0.462230319877361</v>
      </c>
      <c r="E3359" s="0" t="n">
        <f aca="false">B3359/SUM($A3359:$C3359)</f>
        <v>0.363885500481501</v>
      </c>
      <c r="F3359" s="0" t="n">
        <f aca="false">C3359/SUM($A3359:$C3359)</f>
        <v>0.173884179641139</v>
      </c>
      <c r="G3359" s="0" t="n">
        <f aca="false">SUMPRODUCT(D3359:F3359,Stats!$B$6:$D$6)</f>
        <v>0.372626415812013</v>
      </c>
      <c r="H3359" s="0" t="n">
        <f aca="false">SQRT(SUMPRODUCT(MMULT(D3359:F3359,Stats!$B$12:$D$14),D3359:F3359))</f>
        <v>0.224864824705406</v>
      </c>
      <c r="I3359" s="0" t="n">
        <f aca="false">(G3359-Stats!$B$2)/H3359</f>
        <v>1.47033408291032</v>
      </c>
    </row>
    <row r="3360" customFormat="false" ht="15" hidden="false" customHeight="false" outlineLevel="0" collapsed="false">
      <c r="A3360" s="0" t="n">
        <v>0.982944921620221</v>
      </c>
      <c r="B3360" s="0" t="n">
        <v>0.274136167191938</v>
      </c>
      <c r="C3360" s="0" t="n">
        <v>0.202656921990431</v>
      </c>
      <c r="D3360" s="0" t="n">
        <f aca="false">A3360/SUM($A3360:$C3360)</f>
        <v>0.673370779102875</v>
      </c>
      <c r="E3360" s="0" t="n">
        <f aca="false">B3360/SUM($A3360:$C3360)</f>
        <v>0.187798197459566</v>
      </c>
      <c r="F3360" s="0" t="n">
        <f aca="false">C3360/SUM($A3360:$C3360)</f>
        <v>0.13883102343756</v>
      </c>
      <c r="G3360" s="0" t="n">
        <f aca="false">SUMPRODUCT(D3360:F3360,Stats!$B$6:$D$6)</f>
        <v>0.363461157601628</v>
      </c>
      <c r="H3360" s="0" t="n">
        <f aca="false">SQRT(SUMPRODUCT(MMULT(D3360:F3360,Stats!$B$12:$D$14),D3360:F3360))</f>
        <v>0.223378555154414</v>
      </c>
      <c r="I3360" s="0" t="n">
        <f aca="false">(G3360-Stats!$B$2)/H3360</f>
        <v>1.43908692300124</v>
      </c>
    </row>
    <row r="3361" customFormat="false" ht="15" hidden="false" customHeight="false" outlineLevel="0" collapsed="false">
      <c r="A3361" s="0" t="n">
        <v>0.442154113786583</v>
      </c>
      <c r="B3361" s="0" t="n">
        <v>0.0568405707123885</v>
      </c>
      <c r="C3361" s="0" t="n">
        <v>0.978494464671791</v>
      </c>
      <c r="D3361" s="0" t="n">
        <f aca="false">A3361/SUM($A3361:$C3361)</f>
        <v>0.299260481225694</v>
      </c>
      <c r="E3361" s="0" t="n">
        <f aca="false">B3361/SUM($A3361:$C3361)</f>
        <v>0.0384710579731094</v>
      </c>
      <c r="F3361" s="0" t="n">
        <f aca="false">C3361/SUM($A3361:$C3361)</f>
        <v>0.662268460801197</v>
      </c>
      <c r="G3361" s="0" t="n">
        <f aca="false">SUMPRODUCT(D3361:F3361,Stats!$B$6:$D$6)</f>
        <v>0.340435481255233</v>
      </c>
      <c r="H3361" s="0" t="n">
        <f aca="false">SQRT(SUMPRODUCT(MMULT(D3361:F3361,Stats!$B$12:$D$14),D3361:F3361))</f>
        <v>0.231834788900569</v>
      </c>
      <c r="I3361" s="0" t="n">
        <f aca="false">(G3361-Stats!$B$2)/H3361</f>
        <v>1.28727652424602</v>
      </c>
    </row>
    <row r="3362" customFormat="false" ht="15" hidden="false" customHeight="false" outlineLevel="0" collapsed="false">
      <c r="A3362" s="0" t="n">
        <v>0.588433556416425</v>
      </c>
      <c r="B3362" s="0" t="n">
        <v>0.556952091664175</v>
      </c>
      <c r="C3362" s="0" t="n">
        <v>0.65579627989972</v>
      </c>
      <c r="D3362" s="0" t="n">
        <f aca="false">A3362/SUM($A3362:$C3362)</f>
        <v>0.326693015999911</v>
      </c>
      <c r="E3362" s="0" t="n">
        <f aca="false">B3362/SUM($A3362:$C3362)</f>
        <v>0.30921479002884</v>
      </c>
      <c r="F3362" s="0" t="n">
        <f aca="false">C3362/SUM($A3362:$C3362)</f>
        <v>0.36409219397125</v>
      </c>
      <c r="G3362" s="0" t="n">
        <f aca="false">SUMPRODUCT(D3362:F3362,Stats!$B$6:$D$6)</f>
        <v>0.364235821054178</v>
      </c>
      <c r="H3362" s="0" t="n">
        <f aca="false">SQRT(SUMPRODUCT(MMULT(D3362:F3362,Stats!$B$12:$D$14),D3362:F3362))</f>
        <v>0.226408101536769</v>
      </c>
      <c r="I3362" s="0" t="n">
        <f aca="false">(G3362-Stats!$B$2)/H3362</f>
        <v>1.42325216662729</v>
      </c>
    </row>
    <row r="3363" customFormat="false" ht="15" hidden="false" customHeight="false" outlineLevel="0" collapsed="false">
      <c r="A3363" s="0" t="n">
        <v>0.497023647777207</v>
      </c>
      <c r="B3363" s="0" t="n">
        <v>0.0320635170945416</v>
      </c>
      <c r="C3363" s="0" t="n">
        <v>0.612311288840397</v>
      </c>
      <c r="D3363" s="0" t="n">
        <f aca="false">A3363/SUM($A3363:$C3363)</f>
        <v>0.43545148161078</v>
      </c>
      <c r="E3363" s="0" t="n">
        <f aca="false">B3363/SUM($A3363:$C3363)</f>
        <v>0.0280914320413368</v>
      </c>
      <c r="F3363" s="0" t="n">
        <f aca="false">C3363/SUM($A3363:$C3363)</f>
        <v>0.536457086347884</v>
      </c>
      <c r="G3363" s="0" t="n">
        <f aca="false">SUMPRODUCT(D3363:F3363,Stats!$B$6:$D$6)</f>
        <v>0.343307451274157</v>
      </c>
      <c r="H3363" s="0" t="n">
        <f aca="false">SQRT(SUMPRODUCT(MMULT(D3363:F3363,Stats!$B$12:$D$14),D3363:F3363))</f>
        <v>0.225183782999286</v>
      </c>
      <c r="I3363" s="0" t="n">
        <f aca="false">(G3363-Stats!$B$2)/H3363</f>
        <v>1.33805128975523</v>
      </c>
    </row>
    <row r="3364" customFormat="false" ht="15" hidden="false" customHeight="false" outlineLevel="0" collapsed="false">
      <c r="A3364" s="0" t="n">
        <v>0.716173876956431</v>
      </c>
      <c r="B3364" s="0" t="n">
        <v>0.416749060624053</v>
      </c>
      <c r="C3364" s="0" t="n">
        <v>0.757295572071193</v>
      </c>
      <c r="D3364" s="0" t="n">
        <f aca="false">A3364/SUM($A3364:$C3364)</f>
        <v>0.378884173072882</v>
      </c>
      <c r="E3364" s="0" t="n">
        <f aca="false">B3364/SUM($A3364:$C3364)</f>
        <v>0.220476658384247</v>
      </c>
      <c r="F3364" s="0" t="n">
        <f aca="false">C3364/SUM($A3364:$C3364)</f>
        <v>0.400639168542871</v>
      </c>
      <c r="G3364" s="0" t="n">
        <f aca="false">SUMPRODUCT(D3364:F3364,Stats!$B$6:$D$6)</f>
        <v>0.358122175043758</v>
      </c>
      <c r="H3364" s="0" t="n">
        <f aca="false">SQRT(SUMPRODUCT(MMULT(D3364:F3364,Stats!$B$12:$D$14),D3364:F3364))</f>
        <v>0.224783547445473</v>
      </c>
      <c r="I3364" s="0" t="n">
        <f aca="false">(G3364-Stats!$B$2)/H3364</f>
        <v>1.4063403600321</v>
      </c>
    </row>
    <row r="3365" customFormat="false" ht="15" hidden="false" customHeight="false" outlineLevel="0" collapsed="false">
      <c r="A3365" s="0" t="n">
        <v>0.227001299338421</v>
      </c>
      <c r="B3365" s="0" t="n">
        <v>0.221276591066184</v>
      </c>
      <c r="C3365" s="0" t="n">
        <v>0.161416987687574</v>
      </c>
      <c r="D3365" s="0" t="n">
        <f aca="false">A3365/SUM($A3365:$C3365)</f>
        <v>0.372319511767492</v>
      </c>
      <c r="E3365" s="0" t="n">
        <f aca="false">B3365/SUM($A3365:$C3365)</f>
        <v>0.36293004749948</v>
      </c>
      <c r="F3365" s="0" t="n">
        <f aca="false">C3365/SUM($A3365:$C3365)</f>
        <v>0.264750440733028</v>
      </c>
      <c r="G3365" s="0" t="n">
        <f aca="false">SUMPRODUCT(D3365:F3365,Stats!$B$6:$D$6)</f>
        <v>0.370065838083438</v>
      </c>
      <c r="H3365" s="0" t="n">
        <f aca="false">SQRT(SUMPRODUCT(MMULT(D3365:F3365,Stats!$B$12:$D$14),D3365:F3365))</f>
        <v>0.225691644437766</v>
      </c>
      <c r="I3365" s="0" t="n">
        <f aca="false">(G3365-Stats!$B$2)/H3365</f>
        <v>1.45360205470035</v>
      </c>
    </row>
    <row r="3366" customFormat="false" ht="15" hidden="false" customHeight="false" outlineLevel="0" collapsed="false">
      <c r="A3366" s="0" t="n">
        <v>0.371994759789162</v>
      </c>
      <c r="B3366" s="0" t="n">
        <v>0.847012035389084</v>
      </c>
      <c r="C3366" s="0" t="n">
        <v>0.827912062149064</v>
      </c>
      <c r="D3366" s="0" t="n">
        <f aca="false">A3366/SUM($A3366:$C3366)</f>
        <v>0.181734003992166</v>
      </c>
      <c r="E3366" s="0" t="n">
        <f aca="false">B3366/SUM($A3366:$C3366)</f>
        <v>0.413798540355937</v>
      </c>
      <c r="F3366" s="0" t="n">
        <f aca="false">C3366/SUM($A3366:$C3366)</f>
        <v>0.404467455651897</v>
      </c>
      <c r="G3366" s="0" t="n">
        <f aca="false">SUMPRODUCT(D3366:F3366,Stats!$B$6:$D$6)</f>
        <v>0.369140102376198</v>
      </c>
      <c r="H3366" s="0" t="n">
        <f aca="false">SQRT(SUMPRODUCT(MMULT(D3366:F3366,Stats!$B$12:$D$14),D3366:F3366))</f>
        <v>0.232515589741172</v>
      </c>
      <c r="I3366" s="0" t="n">
        <f aca="false">(G3366-Stats!$B$2)/H3366</f>
        <v>1.40695986338103</v>
      </c>
    </row>
    <row r="3367" customFormat="false" ht="15" hidden="false" customHeight="false" outlineLevel="0" collapsed="false">
      <c r="A3367" s="0" t="n">
        <v>0.382824207963504</v>
      </c>
      <c r="B3367" s="0" t="n">
        <v>0.589118735980237</v>
      </c>
      <c r="C3367" s="0" t="n">
        <v>0.720816316474916</v>
      </c>
      <c r="D3367" s="0" t="n">
        <f aca="false">A3367/SUM($A3367:$C3367)</f>
        <v>0.226153958755377</v>
      </c>
      <c r="E3367" s="0" t="n">
        <f aca="false">B3367/SUM($A3367:$C3367)</f>
        <v>0.348022751820324</v>
      </c>
      <c r="F3367" s="0" t="n">
        <f aca="false">C3367/SUM($A3367:$C3367)</f>
        <v>0.425823289424299</v>
      </c>
      <c r="G3367" s="0" t="n">
        <f aca="false">SUMPRODUCT(D3367:F3367,Stats!$B$6:$D$6)</f>
        <v>0.364766569733408</v>
      </c>
      <c r="H3367" s="0" t="n">
        <f aca="false">SQRT(SUMPRODUCT(MMULT(D3367:F3367,Stats!$B$12:$D$14),D3367:F3367))</f>
        <v>0.230416753703854</v>
      </c>
      <c r="I3367" s="0" t="n">
        <f aca="false">(G3367-Stats!$B$2)/H3367</f>
        <v>1.40079471021559</v>
      </c>
    </row>
    <row r="3368" customFormat="false" ht="15" hidden="false" customHeight="false" outlineLevel="0" collapsed="false">
      <c r="A3368" s="0" t="n">
        <v>0.241206774628023</v>
      </c>
      <c r="B3368" s="0" t="n">
        <v>0.168141085894747</v>
      </c>
      <c r="C3368" s="0" t="n">
        <v>0.972095993212311</v>
      </c>
      <c r="D3368" s="0" t="n">
        <f aca="false">A3368/SUM($A3368:$C3368)</f>
        <v>0.174604833903209</v>
      </c>
      <c r="E3368" s="0" t="n">
        <f aca="false">B3368/SUM($A3368:$C3368)</f>
        <v>0.121714020761782</v>
      </c>
      <c r="F3368" s="0" t="n">
        <f aca="false">C3368/SUM($A3368:$C3368)</f>
        <v>0.703681145335009</v>
      </c>
      <c r="G3368" s="0" t="n">
        <f aca="false">SUMPRODUCT(D3368:F3368,Stats!$B$6:$D$6)</f>
        <v>0.344083234746971</v>
      </c>
      <c r="H3368" s="0" t="n">
        <f aca="false">SQRT(SUMPRODUCT(MMULT(D3368:F3368,Stats!$B$12:$D$14),D3368:F3368))</f>
        <v>0.2377579559742</v>
      </c>
      <c r="I3368" s="0" t="n">
        <f aca="false">(G3368-Stats!$B$2)/H3368</f>
        <v>1.27054942708101</v>
      </c>
    </row>
    <row r="3369" customFormat="false" ht="15" hidden="false" customHeight="false" outlineLevel="0" collapsed="false">
      <c r="A3369" s="0" t="n">
        <v>0.617557313209619</v>
      </c>
      <c r="B3369" s="0" t="n">
        <v>0.981415721833664</v>
      </c>
      <c r="C3369" s="0" t="n">
        <v>0.337755987132229</v>
      </c>
      <c r="D3369" s="0" t="n">
        <f aca="false">A3369/SUM($A3369:$C3369)</f>
        <v>0.318866142934091</v>
      </c>
      <c r="E3369" s="0" t="n">
        <f aca="false">B3369/SUM($A3369:$C3369)</f>
        <v>0.506738790298732</v>
      </c>
      <c r="F3369" s="0" t="n">
        <f aca="false">C3369/SUM($A3369:$C3369)</f>
        <v>0.174395066767178</v>
      </c>
      <c r="G3369" s="0" t="n">
        <f aca="false">SUMPRODUCT(D3369:F3369,Stats!$B$6:$D$6)</f>
        <v>0.380831921700698</v>
      </c>
      <c r="H3369" s="0" t="n">
        <f aca="false">SQRT(SUMPRODUCT(MMULT(D3369:F3369,Stats!$B$12:$D$14),D3369:F3369))</f>
        <v>0.229402904383696</v>
      </c>
      <c r="I3369" s="0" t="n">
        <f aca="false">(G3369-Stats!$B$2)/H3369</f>
        <v>1.47701670391222</v>
      </c>
    </row>
    <row r="3370" customFormat="false" ht="15" hidden="false" customHeight="false" outlineLevel="0" collapsed="false">
      <c r="A3370" s="0" t="n">
        <v>0.703031699974132</v>
      </c>
      <c r="B3370" s="0" t="n">
        <v>0.222603636541238</v>
      </c>
      <c r="C3370" s="0" t="n">
        <v>0.261200171273913</v>
      </c>
      <c r="D3370" s="0" t="n">
        <f aca="false">A3370/SUM($A3370:$C3370)</f>
        <v>0.592358161986296</v>
      </c>
      <c r="E3370" s="0" t="n">
        <f aca="false">B3370/SUM($A3370:$C3370)</f>
        <v>0.18756064768898</v>
      </c>
      <c r="F3370" s="0" t="n">
        <f aca="false">C3370/SUM($A3370:$C3370)</f>
        <v>0.220081190324724</v>
      </c>
      <c r="G3370" s="0" t="n">
        <f aca="false">SUMPRODUCT(D3370:F3370,Stats!$B$6:$D$6)</f>
        <v>0.361207047193827</v>
      </c>
      <c r="H3370" s="0" t="n">
        <f aca="false">SQRT(SUMPRODUCT(MMULT(D3370:F3370,Stats!$B$12:$D$14),D3370:F3370))</f>
        <v>0.22209826153031</v>
      </c>
      <c r="I3370" s="0" t="n">
        <f aca="false">(G3370-Stats!$B$2)/H3370</f>
        <v>1.43723343440158</v>
      </c>
    </row>
    <row r="3371" customFormat="false" ht="15" hidden="false" customHeight="false" outlineLevel="0" collapsed="false">
      <c r="A3371" s="0" t="n">
        <v>0.511902121269624</v>
      </c>
      <c r="B3371" s="0" t="n">
        <v>0.319618125508071</v>
      </c>
      <c r="C3371" s="0" t="n">
        <v>0.167621563840585</v>
      </c>
      <c r="D3371" s="0" t="n">
        <f aca="false">A3371/SUM($A3371:$C3371)</f>
        <v>0.512341807568691</v>
      </c>
      <c r="E3371" s="0" t="n">
        <f aca="false">B3371/SUM($A3371:$C3371)</f>
        <v>0.319892653987013</v>
      </c>
      <c r="F3371" s="0" t="n">
        <f aca="false">C3371/SUM($A3371:$C3371)</f>
        <v>0.167765538444296</v>
      </c>
      <c r="G3371" s="0" t="n">
        <f aca="false">SUMPRODUCT(D3371:F3371,Stats!$B$6:$D$6)</f>
        <v>0.370263843541197</v>
      </c>
      <c r="H3371" s="0" t="n">
        <f aca="false">SQRT(SUMPRODUCT(MMULT(D3371:F3371,Stats!$B$12:$D$14),D3371:F3371))</f>
        <v>0.223986061987643</v>
      </c>
      <c r="I3371" s="0" t="n">
        <f aca="false">(G3371-Stats!$B$2)/H3371</f>
        <v>1.46555477884738</v>
      </c>
    </row>
    <row r="3372" customFormat="false" ht="15" hidden="false" customHeight="false" outlineLevel="0" collapsed="false">
      <c r="A3372" s="0" t="n">
        <v>0.262880701989326</v>
      </c>
      <c r="B3372" s="0" t="n">
        <v>0.0357483944658646</v>
      </c>
      <c r="C3372" s="0" t="n">
        <v>0.704423621477487</v>
      </c>
      <c r="D3372" s="0" t="n">
        <f aca="false">A3372/SUM($A3372:$C3372)</f>
        <v>0.26208064370847</v>
      </c>
      <c r="E3372" s="0" t="n">
        <f aca="false">B3372/SUM($A3372:$C3372)</f>
        <v>0.0356395968295098</v>
      </c>
      <c r="F3372" s="0" t="n">
        <f aca="false">C3372/SUM($A3372:$C3372)</f>
        <v>0.702279759462021</v>
      </c>
      <c r="G3372" s="0" t="n">
        <f aca="false">SUMPRODUCT(D3372:F3372,Stats!$B$6:$D$6)</f>
        <v>0.339169266474301</v>
      </c>
      <c r="H3372" s="0" t="n">
        <f aca="false">SQRT(SUMPRODUCT(MMULT(D3372:F3372,Stats!$B$12:$D$14),D3372:F3372))</f>
        <v>0.234384156469852</v>
      </c>
      <c r="I3372" s="0" t="n">
        <f aca="false">(G3372-Stats!$B$2)/H3372</f>
        <v>1.26787267087537</v>
      </c>
    </row>
    <row r="3373" customFormat="false" ht="15" hidden="false" customHeight="false" outlineLevel="0" collapsed="false">
      <c r="A3373" s="0" t="n">
        <v>0.492116657085862</v>
      </c>
      <c r="B3373" s="0" t="n">
        <v>0.0942430664045256</v>
      </c>
      <c r="C3373" s="0" t="n">
        <v>0.171693993128491</v>
      </c>
      <c r="D3373" s="0" t="n">
        <f aca="false">A3373/SUM($A3373:$C3373)</f>
        <v>0.649184413052987</v>
      </c>
      <c r="E3373" s="0" t="n">
        <f aca="false">B3373/SUM($A3373:$C3373)</f>
        <v>0.12432241190621</v>
      </c>
      <c r="F3373" s="0" t="n">
        <f aca="false">C3373/SUM($A3373:$C3373)</f>
        <v>0.226493175040803</v>
      </c>
      <c r="G3373" s="0" t="n">
        <f aca="false">SUMPRODUCT(D3373:F3373,Stats!$B$6:$D$6)</f>
        <v>0.357391592942166</v>
      </c>
      <c r="H3373" s="0" t="n">
        <f aca="false">SQRT(SUMPRODUCT(MMULT(D3373:F3373,Stats!$B$12:$D$14),D3373:F3373))</f>
        <v>0.221872476010341</v>
      </c>
      <c r="I3373" s="0" t="n">
        <f aca="false">(G3373-Stats!$B$2)/H3373</f>
        <v>1.42149940638633</v>
      </c>
    </row>
    <row r="3374" customFormat="false" ht="15" hidden="false" customHeight="false" outlineLevel="0" collapsed="false">
      <c r="A3374" s="0" t="n">
        <v>0.102534538112644</v>
      </c>
      <c r="B3374" s="0" t="n">
        <v>0.612592808275877</v>
      </c>
      <c r="C3374" s="0" t="n">
        <v>0.0942103636124938</v>
      </c>
      <c r="D3374" s="0" t="n">
        <f aca="false">A3374/SUM($A3374:$C3374)</f>
        <v>0.126689436122426</v>
      </c>
      <c r="E3374" s="0" t="n">
        <f aca="false">B3374/SUM($A3374:$C3374)</f>
        <v>0.756906295982562</v>
      </c>
      <c r="F3374" s="0" t="n">
        <f aca="false">C3374/SUM($A3374:$C3374)</f>
        <v>0.116404267895012</v>
      </c>
      <c r="G3374" s="0" t="n">
        <f aca="false">SUMPRODUCT(D3374:F3374,Stats!$B$6:$D$6)</f>
        <v>0.396825310166745</v>
      </c>
      <c r="H3374" s="0" t="n">
        <f aca="false">SQRT(SUMPRODUCT(MMULT(D3374:F3374,Stats!$B$12:$D$14),D3374:F3374))</f>
        <v>0.241008002133596</v>
      </c>
      <c r="I3374" s="0" t="n">
        <f aca="false">(G3374-Stats!$B$2)/H3374</f>
        <v>1.47225530698378</v>
      </c>
    </row>
    <row r="3375" customFormat="false" ht="15" hidden="false" customHeight="false" outlineLevel="0" collapsed="false">
      <c r="A3375" s="0" t="n">
        <v>0.754282333035216</v>
      </c>
      <c r="B3375" s="0" t="n">
        <v>0.0205109193203912</v>
      </c>
      <c r="C3375" s="0" t="n">
        <v>0.249375787995892</v>
      </c>
      <c r="D3375" s="0" t="n">
        <f aca="false">A3375/SUM($A3375:$C3375)</f>
        <v>0.736482263490745</v>
      </c>
      <c r="E3375" s="0" t="n">
        <f aca="false">B3375/SUM($A3375:$C3375)</f>
        <v>0.0200268886407187</v>
      </c>
      <c r="F3375" s="0" t="n">
        <f aca="false">C3375/SUM($A3375:$C3375)</f>
        <v>0.243490847868537</v>
      </c>
      <c r="G3375" s="0" t="n">
        <f aca="false">SUMPRODUCT(D3375:F3375,Stats!$B$6:$D$6)</f>
        <v>0.350921859229948</v>
      </c>
      <c r="H3375" s="0" t="n">
        <f aca="false">SQRT(SUMPRODUCT(MMULT(D3375:F3375,Stats!$B$12:$D$14),D3375:F3375))</f>
        <v>0.222300432336927</v>
      </c>
      <c r="I3375" s="0" t="n">
        <f aca="false">(G3375-Stats!$B$2)/H3375</f>
        <v>1.3896592821814</v>
      </c>
    </row>
    <row r="3376" customFormat="false" ht="15" hidden="false" customHeight="false" outlineLevel="0" collapsed="false">
      <c r="A3376" s="0" t="n">
        <v>0.890666675891907</v>
      </c>
      <c r="B3376" s="0" t="n">
        <v>0.718531318122246</v>
      </c>
      <c r="C3376" s="0" t="n">
        <v>0.0729683329256877</v>
      </c>
      <c r="D3376" s="0" t="n">
        <f aca="false">A3376/SUM($A3376:$C3376)</f>
        <v>0.529475986784368</v>
      </c>
      <c r="E3376" s="0" t="n">
        <f aca="false">B3376/SUM($A3376:$C3376)</f>
        <v>0.427146416269895</v>
      </c>
      <c r="F3376" s="0" t="n">
        <f aca="false">C3376/SUM($A3376:$C3376)</f>
        <v>0.0433775969457373</v>
      </c>
      <c r="G3376" s="0" t="n">
        <f aca="false">SUMPRODUCT(D3376:F3376,Stats!$B$6:$D$6)</f>
        <v>0.37986503585183</v>
      </c>
      <c r="H3376" s="0" t="n">
        <f aca="false">SQRT(SUMPRODUCT(MMULT(D3376:F3376,Stats!$B$12:$D$14),D3376:F3376))</f>
        <v>0.227362409088977</v>
      </c>
      <c r="I3376" s="0" t="n">
        <f aca="false">(G3376-Stats!$B$2)/H3376</f>
        <v>1.48601977435772</v>
      </c>
    </row>
    <row r="3377" customFormat="false" ht="15" hidden="false" customHeight="false" outlineLevel="0" collapsed="false">
      <c r="A3377" s="0" t="n">
        <v>0.82112610448518</v>
      </c>
      <c r="B3377" s="0" t="n">
        <v>0.493035121540205</v>
      </c>
      <c r="C3377" s="0" t="n">
        <v>0.846783027168829</v>
      </c>
      <c r="D3377" s="0" t="n">
        <f aca="false">A3377/SUM($A3377:$C3377)</f>
        <v>0.379984862298704</v>
      </c>
      <c r="E3377" s="0" t="n">
        <f aca="false">B3377/SUM($A3377:$C3377)</f>
        <v>0.228157260795331</v>
      </c>
      <c r="F3377" s="0" t="n">
        <f aca="false">C3377/SUM($A3377:$C3377)</f>
        <v>0.391857876905964</v>
      </c>
      <c r="G3377" s="0" t="n">
        <f aca="false">SUMPRODUCT(D3377:F3377,Stats!$B$6:$D$6)</f>
        <v>0.358806247705108</v>
      </c>
      <c r="H3377" s="0" t="n">
        <f aca="false">SQRT(SUMPRODUCT(MMULT(D3377:F3377,Stats!$B$12:$D$14),D3377:F3377))</f>
        <v>0.224729086115087</v>
      </c>
      <c r="I3377" s="0" t="n">
        <f aca="false">(G3377-Stats!$B$2)/H3377</f>
        <v>1.40972516367048</v>
      </c>
    </row>
    <row r="3378" customFormat="false" ht="15" hidden="false" customHeight="false" outlineLevel="0" collapsed="false">
      <c r="A3378" s="0" t="n">
        <v>0.600739774450393</v>
      </c>
      <c r="B3378" s="0" t="n">
        <v>0.681833032032859</v>
      </c>
      <c r="C3378" s="0" t="n">
        <v>0.993501560395708</v>
      </c>
      <c r="D3378" s="0" t="n">
        <f aca="false">A3378/SUM($A3378:$C3378)</f>
        <v>0.263936795384305</v>
      </c>
      <c r="E3378" s="0" t="n">
        <f aca="false">B3378/SUM($A3378:$C3378)</f>
        <v>0.299565357773355</v>
      </c>
      <c r="F3378" s="0" t="n">
        <f aca="false">C3378/SUM($A3378:$C3378)</f>
        <v>0.43649784684234</v>
      </c>
      <c r="G3378" s="0" t="n">
        <f aca="false">SUMPRODUCT(D3378:F3378,Stats!$B$6:$D$6)</f>
        <v>0.361684047181971</v>
      </c>
      <c r="H3378" s="0" t="n">
        <f aca="false">SQRT(SUMPRODUCT(MMULT(D3378:F3378,Stats!$B$12:$D$14),D3378:F3378))</f>
        <v>0.228846256970536</v>
      </c>
      <c r="I3378" s="0" t="n">
        <f aca="false">(G3378-Stats!$B$2)/H3378</f>
        <v>1.3969380640695</v>
      </c>
    </row>
    <row r="3379" customFormat="false" ht="15" hidden="false" customHeight="false" outlineLevel="0" collapsed="false">
      <c r="A3379" s="0" t="n">
        <v>0.232335545924018</v>
      </c>
      <c r="B3379" s="0" t="n">
        <v>0.623945574761388</v>
      </c>
      <c r="C3379" s="0" t="n">
        <v>0.460321390057398</v>
      </c>
      <c r="D3379" s="0" t="n">
        <f aca="false">A3379/SUM($A3379:$C3379)</f>
        <v>0.176465975135456</v>
      </c>
      <c r="E3379" s="0" t="n">
        <f aca="false">B3379/SUM($A3379:$C3379)</f>
        <v>0.473905806551568</v>
      </c>
      <c r="F3379" s="0" t="n">
        <f aca="false">C3379/SUM($A3379:$C3379)</f>
        <v>0.349628218312977</v>
      </c>
      <c r="G3379" s="0" t="n">
        <f aca="false">SUMPRODUCT(D3379:F3379,Stats!$B$6:$D$6)</f>
        <v>0.374110767555124</v>
      </c>
      <c r="H3379" s="0" t="n">
        <f aca="false">SQRT(SUMPRODUCT(MMULT(D3379:F3379,Stats!$B$12:$D$14),D3379:F3379))</f>
        <v>0.233035019685581</v>
      </c>
      <c r="I3379" s="0" t="n">
        <f aca="false">(G3379-Stats!$B$2)/H3379</f>
        <v>1.42515390177502</v>
      </c>
    </row>
    <row r="3380" customFormat="false" ht="15" hidden="false" customHeight="false" outlineLevel="0" collapsed="false">
      <c r="A3380" s="0" t="n">
        <v>0.0394519529226914</v>
      </c>
      <c r="B3380" s="0" t="n">
        <v>0.014470641502865</v>
      </c>
      <c r="C3380" s="0" t="n">
        <v>0.119228577817859</v>
      </c>
      <c r="D3380" s="0" t="n">
        <f aca="false">A3380/SUM($A3380:$C3380)</f>
        <v>0.227846871675983</v>
      </c>
      <c r="E3380" s="0" t="n">
        <f aca="false">B3380/SUM($A3380:$C3380)</f>
        <v>0.0835722987917302</v>
      </c>
      <c r="F3380" s="0" t="n">
        <f aca="false">C3380/SUM($A3380:$C3380)</f>
        <v>0.688580829532287</v>
      </c>
      <c r="G3380" s="0" t="n">
        <f aca="false">SUMPRODUCT(D3380:F3380,Stats!$B$6:$D$6)</f>
        <v>0.342304994831052</v>
      </c>
      <c r="H3380" s="0" t="n">
        <f aca="false">SQRT(SUMPRODUCT(MMULT(D3380:F3380,Stats!$B$12:$D$14),D3380:F3380))</f>
        <v>0.235114723101455</v>
      </c>
      <c r="I3380" s="0" t="n">
        <f aca="false">(G3380-Stats!$B$2)/H3380</f>
        <v>1.27727005297523</v>
      </c>
    </row>
    <row r="3381" customFormat="false" ht="15" hidden="false" customHeight="false" outlineLevel="0" collapsed="false">
      <c r="A3381" s="0" t="n">
        <v>0.649091740538548</v>
      </c>
      <c r="B3381" s="0" t="n">
        <v>0.567163087913392</v>
      </c>
      <c r="C3381" s="0" t="n">
        <v>0.553429561163727</v>
      </c>
      <c r="D3381" s="0" t="n">
        <f aca="false">A3381/SUM($A3381:$C3381)</f>
        <v>0.36678389906548</v>
      </c>
      <c r="E3381" s="0" t="n">
        <f aca="false">B3381/SUM($A3381:$C3381)</f>
        <v>0.320488269683255</v>
      </c>
      <c r="F3381" s="0" t="n">
        <f aca="false">C3381/SUM($A3381:$C3381)</f>
        <v>0.312727831251266</v>
      </c>
      <c r="G3381" s="0" t="n">
        <f aca="false">SUMPRODUCT(D3381:F3381,Stats!$B$6:$D$6)</f>
        <v>0.366300835028745</v>
      </c>
      <c r="H3381" s="0" t="n">
        <f aca="false">SQRT(SUMPRODUCT(MMULT(D3381:F3381,Stats!$B$12:$D$14),D3381:F3381))</f>
        <v>0.225348303131427</v>
      </c>
      <c r="I3381" s="0" t="n">
        <f aca="false">(G3381-Stats!$B$2)/H3381</f>
        <v>1.4391092833728</v>
      </c>
    </row>
    <row r="3382" customFormat="false" ht="15" hidden="false" customHeight="false" outlineLevel="0" collapsed="false">
      <c r="A3382" s="0" t="n">
        <v>0.0318567625282601</v>
      </c>
      <c r="B3382" s="0" t="n">
        <v>0.469302996360007</v>
      </c>
      <c r="C3382" s="0" t="n">
        <v>0.924622817842529</v>
      </c>
      <c r="D3382" s="0" t="n">
        <f aca="false">A3382/SUM($A3382:$C3382)</f>
        <v>0.0223433523793684</v>
      </c>
      <c r="E3382" s="0" t="n">
        <f aca="false">B3382/SUM($A3382:$C3382)</f>
        <v>0.32915467198097</v>
      </c>
      <c r="F3382" s="0" t="n">
        <f aca="false">C3382/SUM($A3382:$C3382)</f>
        <v>0.648501975639662</v>
      </c>
      <c r="G3382" s="0" t="n">
        <f aca="false">SUMPRODUCT(D3382:F3382,Stats!$B$6:$D$6)</f>
        <v>0.357540645714266</v>
      </c>
      <c r="H3382" s="0" t="n">
        <f aca="false">SQRT(SUMPRODUCT(MMULT(D3382:F3382,Stats!$B$12:$D$14),D3382:F3382))</f>
        <v>0.244063159109784</v>
      </c>
      <c r="I3382" s="0" t="n">
        <f aca="false">(G3382-Stats!$B$2)/H3382</f>
        <v>1.29286471118867</v>
      </c>
    </row>
    <row r="3383" customFormat="false" ht="15" hidden="false" customHeight="false" outlineLevel="0" collapsed="false">
      <c r="A3383" s="0" t="n">
        <v>0.397591869310647</v>
      </c>
      <c r="B3383" s="0" t="n">
        <v>0.624922469788456</v>
      </c>
      <c r="C3383" s="0" t="n">
        <v>0.779818675623144</v>
      </c>
      <c r="D3383" s="0" t="n">
        <f aca="false">A3383/SUM($A3383:$C3383)</f>
        <v>0.220598449932916</v>
      </c>
      <c r="E3383" s="0" t="n">
        <f aca="false">B3383/SUM($A3383:$C3383)</f>
        <v>0.346729746769224</v>
      </c>
      <c r="F3383" s="0" t="n">
        <f aca="false">C3383/SUM($A3383:$C3383)</f>
        <v>0.43267180329786</v>
      </c>
      <c r="G3383" s="0" t="n">
        <f aca="false">SUMPRODUCT(D3383:F3383,Stats!$B$6:$D$6)</f>
        <v>0.364503326760285</v>
      </c>
      <c r="H3383" s="0" t="n">
        <f aca="false">SQRT(SUMPRODUCT(MMULT(D3383:F3383,Stats!$B$12:$D$14),D3383:F3383))</f>
        <v>0.230686121846133</v>
      </c>
      <c r="I3383" s="0" t="n">
        <f aca="false">(G3383-Stats!$B$2)/H3383</f>
        <v>1.3980178962625</v>
      </c>
    </row>
    <row r="3384" customFormat="false" ht="15" hidden="false" customHeight="false" outlineLevel="0" collapsed="false">
      <c r="A3384" s="0" t="n">
        <v>0.783925279141888</v>
      </c>
      <c r="B3384" s="0" t="n">
        <v>0.519280082395271</v>
      </c>
      <c r="C3384" s="0" t="n">
        <v>0.857951945402336</v>
      </c>
      <c r="D3384" s="0" t="n">
        <f aca="false">A3384/SUM($A3384:$C3384)</f>
        <v>0.362734020621589</v>
      </c>
      <c r="E3384" s="0" t="n">
        <f aca="false">B3384/SUM($A3384:$C3384)</f>
        <v>0.240278706565162</v>
      </c>
      <c r="F3384" s="0" t="n">
        <f aca="false">C3384/SUM($A3384:$C3384)</f>
        <v>0.396987272813249</v>
      </c>
      <c r="G3384" s="0" t="n">
        <f aca="false">SUMPRODUCT(D3384:F3384,Stats!$B$6:$D$6)</f>
        <v>0.359362258886949</v>
      </c>
      <c r="H3384" s="0" t="n">
        <f aca="false">SQRT(SUMPRODUCT(MMULT(D3384:F3384,Stats!$B$12:$D$14),D3384:F3384))</f>
        <v>0.22523845748565</v>
      </c>
      <c r="I3384" s="0" t="n">
        <f aca="false">(G3384-Stats!$B$2)/H3384</f>
        <v>1.40900564863427</v>
      </c>
    </row>
    <row r="3385" customFormat="false" ht="15" hidden="false" customHeight="false" outlineLevel="0" collapsed="false">
      <c r="A3385" s="0" t="n">
        <v>0.391378093363747</v>
      </c>
      <c r="B3385" s="0" t="n">
        <v>0.888693214784798</v>
      </c>
      <c r="C3385" s="0" t="n">
        <v>0.240227166395545</v>
      </c>
      <c r="D3385" s="0" t="n">
        <f aca="false">A3385/SUM($A3385:$C3385)</f>
        <v>0.257435036551697</v>
      </c>
      <c r="E3385" s="0" t="n">
        <f aca="false">B3385/SUM($A3385:$C3385)</f>
        <v>0.584551803257779</v>
      </c>
      <c r="F3385" s="0" t="n">
        <f aca="false">C3385/SUM($A3385:$C3385)</f>
        <v>0.158013160190524</v>
      </c>
      <c r="G3385" s="0" t="n">
        <f aca="false">SUMPRODUCT(D3385:F3385,Stats!$B$6:$D$6)</f>
        <v>0.385760906527988</v>
      </c>
      <c r="H3385" s="0" t="n">
        <f aca="false">SQRT(SUMPRODUCT(MMULT(D3385:F3385,Stats!$B$12:$D$14),D3385:F3385))</f>
        <v>0.232533198399684</v>
      </c>
      <c r="I3385" s="0" t="n">
        <f aca="false">(G3385-Stats!$B$2)/H3385</f>
        <v>1.47833044440013</v>
      </c>
    </row>
    <row r="3386" customFormat="false" ht="15" hidden="false" customHeight="false" outlineLevel="0" collapsed="false">
      <c r="A3386" s="0" t="n">
        <v>0.280216406990571</v>
      </c>
      <c r="B3386" s="0" t="n">
        <v>0.0531206241990011</v>
      </c>
      <c r="C3386" s="0" t="n">
        <v>0.795581836542283</v>
      </c>
      <c r="D3386" s="0" t="n">
        <f aca="false">A3386/SUM($A3386:$C3386)</f>
        <v>0.248216603513379</v>
      </c>
      <c r="E3386" s="0" t="n">
        <f aca="false">B3386/SUM($A3386:$C3386)</f>
        <v>0.0470544214623034</v>
      </c>
      <c r="F3386" s="0" t="n">
        <f aca="false">C3386/SUM($A3386:$C3386)</f>
        <v>0.704728975024317</v>
      </c>
      <c r="G3386" s="0" t="n">
        <f aca="false">SUMPRODUCT(D3386:F3386,Stats!$B$6:$D$6)</f>
        <v>0.339758524532641</v>
      </c>
      <c r="H3386" s="0" t="n">
        <f aca="false">SQRT(SUMPRODUCT(MMULT(D3386:F3386,Stats!$B$12:$D$14),D3386:F3386))</f>
        <v>0.234942194439571</v>
      </c>
      <c r="I3386" s="0" t="n">
        <f aca="false">(G3386-Stats!$B$2)/H3386</f>
        <v>1.26736930010768</v>
      </c>
    </row>
    <row r="3387" customFormat="false" ht="15" hidden="false" customHeight="false" outlineLevel="0" collapsed="false">
      <c r="A3387" s="0" t="n">
        <v>0.417055236232706</v>
      </c>
      <c r="B3387" s="0" t="n">
        <v>0.229116613911399</v>
      </c>
      <c r="C3387" s="0" t="n">
        <v>0.23179027761658</v>
      </c>
      <c r="D3387" s="0" t="n">
        <f aca="false">A3387/SUM($A3387:$C3387)</f>
        <v>0.475026453927392</v>
      </c>
      <c r="E3387" s="0" t="n">
        <f aca="false">B3387/SUM($A3387:$C3387)</f>
        <v>0.260964119825738</v>
      </c>
      <c r="F3387" s="0" t="n">
        <f aca="false">C3387/SUM($A3387:$C3387)</f>
        <v>0.26400942624687</v>
      </c>
      <c r="G3387" s="0" t="n">
        <f aca="false">SUMPRODUCT(D3387:F3387,Stats!$B$6:$D$6)</f>
        <v>0.364219283766456</v>
      </c>
      <c r="H3387" s="0" t="n">
        <f aca="false">SQRT(SUMPRODUCT(MMULT(D3387:F3387,Stats!$B$12:$D$14),D3387:F3387))</f>
        <v>0.223054569919024</v>
      </c>
      <c r="I3387" s="0" t="n">
        <f aca="false">(G3387-Stats!$B$2)/H3387</f>
        <v>1.44457602407981</v>
      </c>
    </row>
    <row r="3388" customFormat="false" ht="15" hidden="false" customHeight="false" outlineLevel="0" collapsed="false">
      <c r="A3388" s="0" t="n">
        <v>0.901399941229233</v>
      </c>
      <c r="B3388" s="0" t="n">
        <v>0.833916600461037</v>
      </c>
      <c r="C3388" s="0" t="n">
        <v>0.553530885357183</v>
      </c>
      <c r="D3388" s="0" t="n">
        <f aca="false">A3388/SUM($A3388:$C3388)</f>
        <v>0.393822642163621</v>
      </c>
      <c r="E3388" s="0" t="n">
        <f aca="false">B3388/SUM($A3388:$C3388)</f>
        <v>0.364339095129973</v>
      </c>
      <c r="F3388" s="0" t="n">
        <f aca="false">C3388/SUM($A3388:$C3388)</f>
        <v>0.241838262706406</v>
      </c>
      <c r="G3388" s="0" t="n">
        <f aca="false">SUMPRODUCT(D3388:F3388,Stats!$B$6:$D$6)</f>
        <v>0.370778707356999</v>
      </c>
      <c r="H3388" s="0" t="n">
        <f aca="false">SQRT(SUMPRODUCT(MMULT(D3388:F3388,Stats!$B$12:$D$14),D3388:F3388))</f>
        <v>0.225367411439003</v>
      </c>
      <c r="I3388" s="0" t="n">
        <f aca="false">(G3388-Stats!$B$2)/H3388</f>
        <v>1.45885647466819</v>
      </c>
    </row>
    <row r="3389" customFormat="false" ht="15" hidden="false" customHeight="false" outlineLevel="0" collapsed="false">
      <c r="A3389" s="0" t="n">
        <v>0.616110800415721</v>
      </c>
      <c r="B3389" s="0" t="n">
        <v>0.474325570550291</v>
      </c>
      <c r="C3389" s="0" t="n">
        <v>0.391666542878809</v>
      </c>
      <c r="D3389" s="0" t="n">
        <f aca="false">A3389/SUM($A3389:$C3389)</f>
        <v>0.415700417737812</v>
      </c>
      <c r="E3389" s="0" t="n">
        <f aca="false">B3389/SUM($A3389:$C3389)</f>
        <v>0.320035515833251</v>
      </c>
      <c r="F3389" s="0" t="n">
        <f aca="false">C3389/SUM($A3389:$C3389)</f>
        <v>0.264264066428937</v>
      </c>
      <c r="G3389" s="0" t="n">
        <f aca="false">SUMPRODUCT(D3389:F3389,Stats!$B$6:$D$6)</f>
        <v>0.367611153833035</v>
      </c>
      <c r="H3389" s="0" t="n">
        <f aca="false">SQRT(SUMPRODUCT(MMULT(D3389:F3389,Stats!$B$12:$D$14),D3389:F3389))</f>
        <v>0.224425700971609</v>
      </c>
      <c r="I3389" s="0" t="n">
        <f aca="false">(G3389-Stats!$B$2)/H3389</f>
        <v>1.4508639270073</v>
      </c>
    </row>
    <row r="3390" customFormat="false" ht="15" hidden="false" customHeight="false" outlineLevel="0" collapsed="false">
      <c r="A3390" s="0" t="n">
        <v>0.915476881218332</v>
      </c>
      <c r="B3390" s="0" t="n">
        <v>0.125612703520302</v>
      </c>
      <c r="C3390" s="0" t="n">
        <v>0.418446789716228</v>
      </c>
      <c r="D3390" s="0" t="n">
        <f aca="false">A3390/SUM($A3390:$C3390)</f>
        <v>0.627238140303467</v>
      </c>
      <c r="E3390" s="0" t="n">
        <f aca="false">B3390/SUM($A3390:$C3390)</f>
        <v>0.0860634278931339</v>
      </c>
      <c r="F3390" s="0" t="n">
        <f aca="false">C3390/SUM($A3390:$C3390)</f>
        <v>0.286698431803399</v>
      </c>
      <c r="G3390" s="0" t="n">
        <f aca="false">SUMPRODUCT(D3390:F3390,Stats!$B$6:$D$6)</f>
        <v>0.353530083720619</v>
      </c>
      <c r="H3390" s="0" t="n">
        <f aca="false">SQRT(SUMPRODUCT(MMULT(D3390:F3390,Stats!$B$12:$D$14),D3390:F3390))</f>
        <v>0.221370484317402</v>
      </c>
      <c r="I3390" s="0" t="n">
        <f aca="false">(G3390-Stats!$B$2)/H3390</f>
        <v>1.40727922550843</v>
      </c>
    </row>
    <row r="3391" customFormat="false" ht="15" hidden="false" customHeight="false" outlineLevel="0" collapsed="false">
      <c r="A3391" s="0" t="n">
        <v>0.344561907987875</v>
      </c>
      <c r="B3391" s="0" t="n">
        <v>0.498150720251148</v>
      </c>
      <c r="C3391" s="0" t="n">
        <v>0.457631874545175</v>
      </c>
      <c r="D3391" s="0" t="n">
        <f aca="false">A3391/SUM($A3391:$C3391)</f>
        <v>0.264977401950118</v>
      </c>
      <c r="E3391" s="0" t="n">
        <f aca="false">B3391/SUM($A3391:$C3391)</f>
        <v>0.383091341705637</v>
      </c>
      <c r="F3391" s="0" t="n">
        <f aca="false">C3391/SUM($A3391:$C3391)</f>
        <v>0.351931256344245</v>
      </c>
      <c r="G3391" s="0" t="n">
        <f aca="false">SUMPRODUCT(D3391:F3391,Stats!$B$6:$D$6)</f>
        <v>0.368821915398833</v>
      </c>
      <c r="H3391" s="0" t="n">
        <f aca="false">SQRT(SUMPRODUCT(MMULT(D3391:F3391,Stats!$B$12:$D$14),D3391:F3391))</f>
        <v>0.228839923487124</v>
      </c>
      <c r="I3391" s="0" t="n">
        <f aca="false">(G3391-Stats!$B$2)/H3391</f>
        <v>1.42816826023464</v>
      </c>
    </row>
    <row r="3392" customFormat="false" ht="15" hidden="false" customHeight="false" outlineLevel="0" collapsed="false">
      <c r="A3392" s="0" t="n">
        <v>0.518889531651081</v>
      </c>
      <c r="B3392" s="0" t="n">
        <v>0.139918977226994</v>
      </c>
      <c r="C3392" s="0" t="n">
        <v>0.513141501513277</v>
      </c>
      <c r="D3392" s="0" t="n">
        <f aca="false">A3392/SUM($A3392:$C3392)</f>
        <v>0.442757393276363</v>
      </c>
      <c r="E3392" s="0" t="n">
        <f aca="false">B3392/SUM($A3392:$C3392)</f>
        <v>0.119389885222383</v>
      </c>
      <c r="F3392" s="0" t="n">
        <f aca="false">C3392/SUM($A3392:$C3392)</f>
        <v>0.437852721501254</v>
      </c>
      <c r="G3392" s="0" t="n">
        <f aca="false">SUMPRODUCT(D3392:F3392,Stats!$B$6:$D$6)</f>
        <v>0.351279623540332</v>
      </c>
      <c r="H3392" s="0" t="n">
        <f aca="false">SQRT(SUMPRODUCT(MMULT(D3392:F3392,Stats!$B$12:$D$14),D3392:F3392))</f>
        <v>0.223522193791514</v>
      </c>
      <c r="I3392" s="0" t="n">
        <f aca="false">(G3392-Stats!$B$2)/H3392</f>
        <v>1.38366404827257</v>
      </c>
    </row>
    <row r="3393" customFormat="false" ht="15" hidden="false" customHeight="false" outlineLevel="0" collapsed="false">
      <c r="A3393" s="0" t="n">
        <v>0.242418813887211</v>
      </c>
      <c r="B3393" s="0" t="n">
        <v>0.184331348988191</v>
      </c>
      <c r="C3393" s="0" t="n">
        <v>0.0648342187861912</v>
      </c>
      <c r="D3393" s="0" t="n">
        <f aca="false">A3393/SUM($A3393:$C3393)</f>
        <v>0.493137745889763</v>
      </c>
      <c r="E3393" s="0" t="n">
        <f aca="false">B3393/SUM($A3393:$C3393)</f>
        <v>0.374973973674951</v>
      </c>
      <c r="F3393" s="0" t="n">
        <f aca="false">C3393/SUM($A3393:$C3393)</f>
        <v>0.131888280435287</v>
      </c>
      <c r="G3393" s="0" t="n">
        <f aca="false">SUMPRODUCT(D3393:F3393,Stats!$B$6:$D$6)</f>
        <v>0.374422452976163</v>
      </c>
      <c r="H3393" s="0" t="n">
        <f aca="false">SQRT(SUMPRODUCT(MMULT(D3393:F3393,Stats!$B$12:$D$14),D3393:F3393))</f>
        <v>0.22523498393949</v>
      </c>
      <c r="I3393" s="0" t="n">
        <f aca="false">(G3393-Stats!$B$2)/H3393</f>
        <v>1.4758917427564</v>
      </c>
    </row>
    <row r="3394" customFormat="false" ht="15" hidden="false" customHeight="false" outlineLevel="0" collapsed="false">
      <c r="A3394" s="0" t="n">
        <v>0.762652558756141</v>
      </c>
      <c r="B3394" s="0" t="n">
        <v>0.42744192085656</v>
      </c>
      <c r="C3394" s="0" t="n">
        <v>0.626643683311758</v>
      </c>
      <c r="D3394" s="0" t="n">
        <f aca="false">A3394/SUM($A3394:$C3394)</f>
        <v>0.419792226706173</v>
      </c>
      <c r="E3394" s="0" t="n">
        <f aca="false">B3394/SUM($A3394:$C3394)</f>
        <v>0.23527987113371</v>
      </c>
      <c r="F3394" s="0" t="n">
        <f aca="false">C3394/SUM($A3394:$C3394)</f>
        <v>0.344927902160117</v>
      </c>
      <c r="G3394" s="0" t="n">
        <f aca="false">SUMPRODUCT(D3394:F3394,Stats!$B$6:$D$6)</f>
        <v>0.360510149488763</v>
      </c>
      <c r="H3394" s="0" t="n">
        <f aca="false">SQRT(SUMPRODUCT(MMULT(D3394:F3394,Stats!$B$12:$D$14),D3394:F3394))</f>
        <v>0.223700960691102</v>
      </c>
      <c r="I3394" s="0" t="n">
        <f aca="false">(G3394-Stats!$B$2)/H3394</f>
        <v>1.42382110700266</v>
      </c>
    </row>
    <row r="3395" customFormat="false" ht="15" hidden="false" customHeight="false" outlineLevel="0" collapsed="false">
      <c r="A3395" s="0" t="n">
        <v>0.727593343304743</v>
      </c>
      <c r="B3395" s="0" t="n">
        <v>0.679316665313554</v>
      </c>
      <c r="C3395" s="0" t="n">
        <v>0.470500719089682</v>
      </c>
      <c r="D3395" s="0" t="n">
        <f aca="false">A3395/SUM($A3395:$C3395)</f>
        <v>0.387551499821789</v>
      </c>
      <c r="E3395" s="0" t="n">
        <f aca="false">B3395/SUM($A3395:$C3395)</f>
        <v>0.361836999910452</v>
      </c>
      <c r="F3395" s="0" t="n">
        <f aca="false">C3395/SUM($A3395:$C3395)</f>
        <v>0.250611500267759</v>
      </c>
      <c r="G3395" s="0" t="n">
        <f aca="false">SUMPRODUCT(D3395:F3395,Stats!$B$6:$D$6)</f>
        <v>0.370392821385077</v>
      </c>
      <c r="H3395" s="0" t="n">
        <f aca="false">SQRT(SUMPRODUCT(MMULT(D3395:F3395,Stats!$B$12:$D$14),D3395:F3395))</f>
        <v>0.225420251663136</v>
      </c>
      <c r="I3395" s="0" t="n">
        <f aca="false">(G3395-Stats!$B$2)/H3395</f>
        <v>1.45680265620421</v>
      </c>
    </row>
    <row r="3396" customFormat="false" ht="15" hidden="false" customHeight="false" outlineLevel="0" collapsed="false">
      <c r="A3396" s="0" t="n">
        <v>0.38789852895173</v>
      </c>
      <c r="B3396" s="0" t="n">
        <v>0.375959909640664</v>
      </c>
      <c r="C3396" s="0" t="n">
        <v>0.640048796930056</v>
      </c>
      <c r="D3396" s="0" t="n">
        <f aca="false">A3396/SUM($A3396:$C3396)</f>
        <v>0.276299259051384</v>
      </c>
      <c r="E3396" s="0" t="n">
        <f aca="false">B3396/SUM($A3396:$C3396)</f>
        <v>0.267795407080977</v>
      </c>
      <c r="F3396" s="0" t="n">
        <f aca="false">C3396/SUM($A3396:$C3396)</f>
        <v>0.455905333867639</v>
      </c>
      <c r="G3396" s="0" t="n">
        <f aca="false">SUMPRODUCT(D3396:F3396,Stats!$B$6:$D$6)</f>
        <v>0.359320891347964</v>
      </c>
      <c r="H3396" s="0" t="n">
        <f aca="false">SQRT(SUMPRODUCT(MMULT(D3396:F3396,Stats!$B$12:$D$14),D3396:F3396))</f>
        <v>0.228476897761674</v>
      </c>
      <c r="I3396" s="0" t="n">
        <f aca="false">(G3396-Stats!$B$2)/H3396</f>
        <v>1.38885329088704</v>
      </c>
    </row>
    <row r="3397" customFormat="false" ht="15" hidden="false" customHeight="false" outlineLevel="0" collapsed="false">
      <c r="A3397" s="0" t="n">
        <v>0.494794354941873</v>
      </c>
      <c r="B3397" s="0" t="n">
        <v>0.849132247988511</v>
      </c>
      <c r="C3397" s="0" t="n">
        <v>0.874701984326712</v>
      </c>
      <c r="D3397" s="0" t="n">
        <f aca="false">A3397/SUM($A3397:$C3397)</f>
        <v>0.223018110279373</v>
      </c>
      <c r="E3397" s="0" t="n">
        <f aca="false">B3397/SUM($A3397:$C3397)</f>
        <v>0.38272843542429</v>
      </c>
      <c r="F3397" s="0" t="n">
        <f aca="false">C3397/SUM($A3397:$C3397)</f>
        <v>0.394253454296337</v>
      </c>
      <c r="G3397" s="0" t="n">
        <f aca="false">SUMPRODUCT(D3397:F3397,Stats!$B$6:$D$6)</f>
        <v>0.367634015910549</v>
      </c>
      <c r="H3397" s="0" t="n">
        <f aca="false">SQRT(SUMPRODUCT(MMULT(D3397:F3397,Stats!$B$12:$D$14),D3397:F3397))</f>
        <v>0.230543347618276</v>
      </c>
      <c r="I3397" s="0" t="n">
        <f aca="false">(G3397-Stats!$B$2)/H3397</f>
        <v>1.41246329280218</v>
      </c>
    </row>
    <row r="3398" customFormat="false" ht="15" hidden="false" customHeight="false" outlineLevel="0" collapsed="false">
      <c r="A3398" s="0" t="n">
        <v>0.170560378006519</v>
      </c>
      <c r="B3398" s="0" t="n">
        <v>0.136233651545726</v>
      </c>
      <c r="C3398" s="0" t="n">
        <v>0.630400926036</v>
      </c>
      <c r="D3398" s="0" t="n">
        <f aca="false">A3398/SUM($A3398:$C3398)</f>
        <v>0.181990286001341</v>
      </c>
      <c r="E3398" s="0" t="n">
        <f aca="false">B3398/SUM($A3398:$C3398)</f>
        <v>0.145363193360571</v>
      </c>
      <c r="F3398" s="0" t="n">
        <f aca="false">C3398/SUM($A3398:$C3398)</f>
        <v>0.672646520638088</v>
      </c>
      <c r="G3398" s="0" t="n">
        <f aca="false">SUMPRODUCT(D3398:F3398,Stats!$B$6:$D$6)</f>
        <v>0.346299745369253</v>
      </c>
      <c r="H3398" s="0" t="n">
        <f aca="false">SQRT(SUMPRODUCT(MMULT(D3398:F3398,Stats!$B$12:$D$14),D3398:F3398))</f>
        <v>0.236447753348131</v>
      </c>
      <c r="I3398" s="0" t="n">
        <f aca="false">(G3398-Stats!$B$2)/H3398</f>
        <v>1.28696399547185</v>
      </c>
    </row>
    <row r="3399" customFormat="false" ht="15" hidden="false" customHeight="false" outlineLevel="0" collapsed="false">
      <c r="A3399" s="0" t="n">
        <v>0.301225748062279</v>
      </c>
      <c r="B3399" s="0" t="n">
        <v>0.0185707187650989</v>
      </c>
      <c r="C3399" s="0" t="n">
        <v>0.888642669362955</v>
      </c>
      <c r="D3399" s="0" t="n">
        <f aca="false">A3399/SUM($A3399:$C3399)</f>
        <v>0.24926844806757</v>
      </c>
      <c r="E3399" s="0" t="n">
        <f aca="false">B3399/SUM($A3399:$C3399)</f>
        <v>0.0153675251065139</v>
      </c>
      <c r="F3399" s="0" t="n">
        <f aca="false">C3399/SUM($A3399:$C3399)</f>
        <v>0.735364026825916</v>
      </c>
      <c r="G3399" s="0" t="n">
        <f aca="false">SUMPRODUCT(D3399:F3399,Stats!$B$6:$D$6)</f>
        <v>0.337090551757308</v>
      </c>
      <c r="H3399" s="0" t="n">
        <f aca="false">SQRT(SUMPRODUCT(MMULT(D3399:F3399,Stats!$B$12:$D$14),D3399:F3399))</f>
        <v>0.2360611423459</v>
      </c>
      <c r="I3399" s="0" t="n">
        <f aca="false">(G3399-Stats!$B$2)/H3399</f>
        <v>1.25005983121488</v>
      </c>
    </row>
    <row r="3400" customFormat="false" ht="15" hidden="false" customHeight="false" outlineLevel="0" collapsed="false">
      <c r="A3400" s="0" t="n">
        <v>0.226900767243808</v>
      </c>
      <c r="B3400" s="0" t="n">
        <v>0.929280651685809</v>
      </c>
      <c r="C3400" s="0" t="n">
        <v>0.717434450878254</v>
      </c>
      <c r="D3400" s="0" t="n">
        <f aca="false">A3400/SUM($A3400:$C3400)</f>
        <v>0.121103141204219</v>
      </c>
      <c r="E3400" s="0" t="n">
        <f aca="false">B3400/SUM($A3400:$C3400)</f>
        <v>0.495982483208312</v>
      </c>
      <c r="F3400" s="0" t="n">
        <f aca="false">C3400/SUM($A3400:$C3400)</f>
        <v>0.382914375587469</v>
      </c>
      <c r="G3400" s="0" t="n">
        <f aca="false">SUMPRODUCT(D3400:F3400,Stats!$B$6:$D$6)</f>
        <v>0.374463177972354</v>
      </c>
      <c r="H3400" s="0" t="n">
        <f aca="false">SQRT(SUMPRODUCT(MMULT(D3400:F3400,Stats!$B$12:$D$14),D3400:F3400))</f>
        <v>0.235841795514889</v>
      </c>
      <c r="I3400" s="0" t="n">
        <f aca="false">(G3400-Stats!$B$2)/H3400</f>
        <v>1.40968727466869</v>
      </c>
    </row>
    <row r="3401" customFormat="false" ht="15" hidden="false" customHeight="false" outlineLevel="0" collapsed="false">
      <c r="A3401" s="0" t="n">
        <v>0.762653489911484</v>
      </c>
      <c r="B3401" s="0" t="n">
        <v>0.20146149579316</v>
      </c>
      <c r="C3401" s="0" t="n">
        <v>0.234194425616813</v>
      </c>
      <c r="D3401" s="0" t="n">
        <f aca="false">A3401/SUM($A3401:$C3401)</f>
        <v>0.636441208510959</v>
      </c>
      <c r="E3401" s="0" t="n">
        <f aca="false">B3401/SUM($A3401:$C3401)</f>
        <v>0.168121433320794</v>
      </c>
      <c r="F3401" s="0" t="n">
        <f aca="false">C3401/SUM($A3401:$C3401)</f>
        <v>0.195437358168247</v>
      </c>
      <c r="G3401" s="0" t="n">
        <f aca="false">SUMPRODUCT(D3401:F3401,Stats!$B$6:$D$6)</f>
        <v>0.360768084151963</v>
      </c>
      <c r="H3401" s="0" t="n">
        <f aca="false">SQRT(SUMPRODUCT(MMULT(D3401:F3401,Stats!$B$12:$D$14),D3401:F3401))</f>
        <v>0.222300492346159</v>
      </c>
      <c r="I3401" s="0" t="n">
        <f aca="false">(G3401-Stats!$B$2)/H3401</f>
        <v>1.43395131872037</v>
      </c>
    </row>
    <row r="3402" customFormat="false" ht="15" hidden="false" customHeight="false" outlineLevel="0" collapsed="false">
      <c r="A3402" s="0" t="n">
        <v>0.521267753824066</v>
      </c>
      <c r="B3402" s="0" t="n">
        <v>0.172099852649862</v>
      </c>
      <c r="C3402" s="0" t="n">
        <v>0.305431692683032</v>
      </c>
      <c r="D3402" s="0" t="n">
        <f aca="false">A3402/SUM($A3402:$C3402)</f>
        <v>0.521894392861552</v>
      </c>
      <c r="E3402" s="0" t="n">
        <f aca="false">B3402/SUM($A3402:$C3402)</f>
        <v>0.172306741499642</v>
      </c>
      <c r="F3402" s="0" t="n">
        <f aca="false">C3402/SUM($A3402:$C3402)</f>
        <v>0.305798865638805</v>
      </c>
      <c r="G3402" s="0" t="n">
        <f aca="false">SUMPRODUCT(D3402:F3402,Stats!$B$6:$D$6)</f>
        <v>0.357965725246402</v>
      </c>
      <c r="H3402" s="0" t="n">
        <f aca="false">SQRT(SUMPRODUCT(MMULT(D3402:F3402,Stats!$B$12:$D$14),D3402:F3402))</f>
        <v>0.221956568431645</v>
      </c>
      <c r="I3402" s="0" t="n">
        <f aca="false">(G3402-Stats!$B$2)/H3402</f>
        <v>1.42354753219979</v>
      </c>
    </row>
    <row r="3403" customFormat="false" ht="15" hidden="false" customHeight="false" outlineLevel="0" collapsed="false">
      <c r="A3403" s="0" t="n">
        <v>0.321462477947805</v>
      </c>
      <c r="B3403" s="0" t="n">
        <v>0.159629933252764</v>
      </c>
      <c r="C3403" s="0" t="n">
        <v>0.205182833395161</v>
      </c>
      <c r="D3403" s="0" t="n">
        <f aca="false">A3403/SUM($A3403:$C3403)</f>
        <v>0.468416252049382</v>
      </c>
      <c r="E3403" s="0" t="n">
        <f aca="false">B3403/SUM($A3403:$C3403)</f>
        <v>0.232603367977813</v>
      </c>
      <c r="F3403" s="0" t="n">
        <f aca="false">C3403/SUM($A3403:$C3403)</f>
        <v>0.298980379972805</v>
      </c>
      <c r="G3403" s="0" t="n">
        <f aca="false">SUMPRODUCT(D3403:F3403,Stats!$B$6:$D$6)</f>
        <v>0.361623132213272</v>
      </c>
      <c r="H3403" s="0" t="n">
        <f aca="false">SQRT(SUMPRODUCT(MMULT(D3403:F3403,Stats!$B$12:$D$14),D3403:F3403))</f>
        <v>0.222860618397571</v>
      </c>
      <c r="I3403" s="0" t="n">
        <f aca="false">(G3403-Stats!$B$2)/H3403</f>
        <v>1.43418399586006</v>
      </c>
    </row>
    <row r="3404" customFormat="false" ht="15" hidden="false" customHeight="false" outlineLevel="0" collapsed="false">
      <c r="A3404" s="0" t="n">
        <v>0.788551842008257</v>
      </c>
      <c r="B3404" s="0" t="n">
        <v>0.167195854547268</v>
      </c>
      <c r="C3404" s="0" t="n">
        <v>0.0284573918439225</v>
      </c>
      <c r="D3404" s="0" t="n">
        <f aca="false">A3404/SUM($A3404:$C3404)</f>
        <v>0.801206833111004</v>
      </c>
      <c r="E3404" s="0" t="n">
        <f aca="false">B3404/SUM($A3404:$C3404)</f>
        <v>0.169879079592211</v>
      </c>
      <c r="F3404" s="0" t="n">
        <f aca="false">C3404/SUM($A3404:$C3404)</f>
        <v>0.0289140872967859</v>
      </c>
      <c r="G3404" s="0" t="n">
        <f aca="false">SUMPRODUCT(D3404:F3404,Stats!$B$6:$D$6)</f>
        <v>0.365461031989606</v>
      </c>
      <c r="H3404" s="0" t="n">
        <f aca="false">SQRT(SUMPRODUCT(MMULT(D3404:F3404,Stats!$B$12:$D$14),D3404:F3404))</f>
        <v>0.227390626092993</v>
      </c>
      <c r="I3404" s="0" t="n">
        <f aca="false">(G3404-Stats!$B$2)/H3404</f>
        <v>1.42249061690575</v>
      </c>
    </row>
    <row r="3405" customFormat="false" ht="15" hidden="false" customHeight="false" outlineLevel="0" collapsed="false">
      <c r="A3405" s="0" t="n">
        <v>0.629354942628938</v>
      </c>
      <c r="B3405" s="0" t="n">
        <v>0.97598311939245</v>
      </c>
      <c r="C3405" s="0" t="n">
        <v>0.331213814623121</v>
      </c>
      <c r="D3405" s="0" t="n">
        <f aca="false">A3405/SUM($A3405:$C3405)</f>
        <v>0.324987391362544</v>
      </c>
      <c r="E3405" s="0" t="n">
        <f aca="false">B3405/SUM($A3405:$C3405)</f>
        <v>0.503979847461432</v>
      </c>
      <c r="F3405" s="0" t="n">
        <f aca="false">C3405/SUM($A3405:$C3405)</f>
        <v>0.171032761176024</v>
      </c>
      <c r="G3405" s="0" t="n">
        <f aca="false">SUMPRODUCT(D3405:F3405,Stats!$B$6:$D$6)</f>
        <v>0.380765889984135</v>
      </c>
      <c r="H3405" s="0" t="n">
        <f aca="false">SQRT(SUMPRODUCT(MMULT(D3405:F3405,Stats!$B$12:$D$14),D3405:F3405))</f>
        <v>0.22924661955795</v>
      </c>
      <c r="I3405" s="0" t="n">
        <f aca="false">(G3405-Stats!$B$2)/H3405</f>
        <v>1.47773559600298</v>
      </c>
    </row>
    <row r="3406" customFormat="false" ht="15" hidden="false" customHeight="false" outlineLevel="0" collapsed="false">
      <c r="A3406" s="0" t="n">
        <v>0.118655703196252</v>
      </c>
      <c r="B3406" s="0" t="n">
        <v>0.570387325367531</v>
      </c>
      <c r="C3406" s="0" t="n">
        <v>0.906354211095646</v>
      </c>
      <c r="D3406" s="0" t="n">
        <f aca="false">A3406/SUM($A3406:$C3406)</f>
        <v>0.0743737673894822</v>
      </c>
      <c r="E3406" s="0" t="n">
        <f aca="false">B3406/SUM($A3406:$C3406)</f>
        <v>0.357520566783287</v>
      </c>
      <c r="F3406" s="0" t="n">
        <f aca="false">C3406/SUM($A3406:$C3406)</f>
        <v>0.568105665827231</v>
      </c>
      <c r="G3406" s="0" t="n">
        <f aca="false">SUMPRODUCT(D3406:F3406,Stats!$B$6:$D$6)</f>
        <v>0.361389679908964</v>
      </c>
      <c r="H3406" s="0" t="n">
        <f aca="false">SQRT(SUMPRODUCT(MMULT(D3406:F3406,Stats!$B$12:$D$14),D3406:F3406))</f>
        <v>0.23946427176349</v>
      </c>
      <c r="I3406" s="0" t="n">
        <f aca="false">(G3406-Stats!$B$2)/H3406</f>
        <v>1.33376757023868</v>
      </c>
    </row>
    <row r="3407" customFormat="false" ht="15" hidden="false" customHeight="false" outlineLevel="0" collapsed="false">
      <c r="A3407" s="0" t="n">
        <v>0.784061779828479</v>
      </c>
      <c r="B3407" s="0" t="n">
        <v>0.622515868412716</v>
      </c>
      <c r="C3407" s="0" t="n">
        <v>0.315056496607599</v>
      </c>
      <c r="D3407" s="0" t="n">
        <f aca="false">A3407/SUM($A3407:$C3407)</f>
        <v>0.455417187312663</v>
      </c>
      <c r="E3407" s="0" t="n">
        <f aca="false">B3407/SUM($A3407:$C3407)</f>
        <v>0.361584294941705</v>
      </c>
      <c r="F3407" s="0" t="n">
        <f aca="false">C3407/SUM($A3407:$C3407)</f>
        <v>0.182998517745633</v>
      </c>
      <c r="G3407" s="0" t="n">
        <f aca="false">SUMPRODUCT(D3407:F3407,Stats!$B$6:$D$6)</f>
        <v>0.372242683055972</v>
      </c>
      <c r="H3407" s="0" t="n">
        <f aca="false">SQRT(SUMPRODUCT(MMULT(D3407:F3407,Stats!$B$12:$D$14),D3407:F3407))</f>
        <v>0.2248226222386</v>
      </c>
      <c r="I3407" s="0" t="n">
        <f aca="false">(G3407-Stats!$B$2)/H3407</f>
        <v>1.46890326145868</v>
      </c>
    </row>
    <row r="3408" customFormat="false" ht="15" hidden="false" customHeight="false" outlineLevel="0" collapsed="false">
      <c r="A3408" s="0" t="n">
        <v>0.54188017327622</v>
      </c>
      <c r="B3408" s="0" t="n">
        <v>0.0912448413042554</v>
      </c>
      <c r="C3408" s="0" t="n">
        <v>0.67894542428067</v>
      </c>
      <c r="D3408" s="0" t="n">
        <f aca="false">A3408/SUM($A3408:$C3408)</f>
        <v>0.412996251745876</v>
      </c>
      <c r="E3408" s="0" t="n">
        <f aca="false">B3408/SUM($A3408:$C3408)</f>
        <v>0.0695426393292225</v>
      </c>
      <c r="F3408" s="0" t="n">
        <f aca="false">C3408/SUM($A3408:$C3408)</f>
        <v>0.517461108924901</v>
      </c>
      <c r="G3408" s="0" t="n">
        <f aca="false">SUMPRODUCT(D3408:F3408,Stats!$B$6:$D$6)</f>
        <v>0.346216306863456</v>
      </c>
      <c r="H3408" s="0" t="n">
        <f aca="false">SQRT(SUMPRODUCT(MMULT(D3408:F3408,Stats!$B$12:$D$14),D3408:F3408))</f>
        <v>0.225230569589818</v>
      </c>
      <c r="I3408" s="0" t="n">
        <f aca="false">(G3408-Stats!$B$2)/H3408</f>
        <v>1.35068835201849</v>
      </c>
    </row>
    <row r="3409" customFormat="false" ht="15" hidden="false" customHeight="false" outlineLevel="0" collapsed="false">
      <c r="A3409" s="0" t="n">
        <v>0.725096018897651</v>
      </c>
      <c r="B3409" s="0" t="n">
        <v>0.965031622909919</v>
      </c>
      <c r="C3409" s="0" t="n">
        <v>0.260397358745072</v>
      </c>
      <c r="D3409" s="0" t="n">
        <f aca="false">A3409/SUM($A3409:$C3409)</f>
        <v>0.371744027219446</v>
      </c>
      <c r="E3409" s="0" t="n">
        <f aca="false">B3409/SUM($A3409:$C3409)</f>
        <v>0.494754808390816</v>
      </c>
      <c r="F3409" s="0" t="n">
        <f aca="false">C3409/SUM($A3409:$C3409)</f>
        <v>0.133501164389738</v>
      </c>
      <c r="G3409" s="0" t="n">
        <f aca="false">SUMPRODUCT(D3409:F3409,Stats!$B$6:$D$6)</f>
        <v>0.381270012521717</v>
      </c>
      <c r="H3409" s="0" t="n">
        <f aca="false">SQRT(SUMPRODUCT(MMULT(D3409:F3409,Stats!$B$12:$D$14),D3409:F3409))</f>
        <v>0.228552303781493</v>
      </c>
      <c r="I3409" s="0" t="n">
        <f aca="false">(G3409-Stats!$B$2)/H3409</f>
        <v>1.48443050850223</v>
      </c>
    </row>
    <row r="3410" customFormat="false" ht="15" hidden="false" customHeight="false" outlineLevel="0" collapsed="false">
      <c r="A3410" s="0" t="n">
        <v>0.0184564190430226</v>
      </c>
      <c r="B3410" s="0" t="n">
        <v>0.545608464427151</v>
      </c>
      <c r="C3410" s="0" t="n">
        <v>0.706790504396815</v>
      </c>
      <c r="D3410" s="0" t="n">
        <f aca="false">A3410/SUM($A3410:$C3410)</f>
        <v>0.0145228318022871</v>
      </c>
      <c r="E3410" s="0" t="n">
        <f aca="false">B3410/SUM($A3410:$C3410)</f>
        <v>0.429323800045341</v>
      </c>
      <c r="F3410" s="0" t="n">
        <f aca="false">C3410/SUM($A3410:$C3410)</f>
        <v>0.556153368152372</v>
      </c>
      <c r="G3410" s="0" t="n">
        <f aca="false">SUMPRODUCT(D3410:F3410,Stats!$B$6:$D$6)</f>
        <v>0.365850725029045</v>
      </c>
      <c r="H3410" s="0" t="n">
        <f aca="false">SQRT(SUMPRODUCT(MMULT(D3410:F3410,Stats!$B$12:$D$14),D3410:F3410))</f>
        <v>0.242918034276761</v>
      </c>
      <c r="I3410" s="0" t="n">
        <f aca="false">(G3410-Stats!$B$2)/H3410</f>
        <v>1.3331687208537</v>
      </c>
    </row>
    <row r="3411" customFormat="false" ht="15" hidden="false" customHeight="false" outlineLevel="0" collapsed="false">
      <c r="A3411" s="0" t="n">
        <v>0.790407475882988</v>
      </c>
      <c r="B3411" s="0" t="n">
        <v>0.193738933024811</v>
      </c>
      <c r="C3411" s="0" t="n">
        <v>0.261752869037024</v>
      </c>
      <c r="D3411" s="0" t="n">
        <f aca="false">A3411/SUM($A3411:$C3411)</f>
        <v>0.634407202793156</v>
      </c>
      <c r="E3411" s="0" t="n">
        <f aca="false">B3411/SUM($A3411:$C3411)</f>
        <v>0.155501280444109</v>
      </c>
      <c r="F3411" s="0" t="n">
        <f aca="false">C3411/SUM($A3411:$C3411)</f>
        <v>0.210091516762735</v>
      </c>
      <c r="G3411" s="0" t="n">
        <f aca="false">SUMPRODUCT(D3411:F3411,Stats!$B$6:$D$6)</f>
        <v>0.359637854102425</v>
      </c>
      <c r="H3411" s="0" t="n">
        <f aca="false">SQRT(SUMPRODUCT(MMULT(D3411:F3411,Stats!$B$12:$D$14),D3411:F3411))</f>
        <v>0.22208391902885</v>
      </c>
      <c r="I3411" s="0" t="n">
        <f aca="false">(G3411-Stats!$B$2)/H3411</f>
        <v>1.43026048662786</v>
      </c>
    </row>
    <row r="3412" customFormat="false" ht="15" hidden="false" customHeight="false" outlineLevel="0" collapsed="false">
      <c r="A3412" s="0" t="n">
        <v>0.512590925267296</v>
      </c>
      <c r="B3412" s="0" t="n">
        <v>0.330600809970002</v>
      </c>
      <c r="C3412" s="0" t="n">
        <v>0.860511486587445</v>
      </c>
      <c r="D3412" s="0" t="n">
        <f aca="false">A3412/SUM($A3412:$C3412)</f>
        <v>0.300868671668231</v>
      </c>
      <c r="E3412" s="0" t="n">
        <f aca="false">B3412/SUM($A3412:$C3412)</f>
        <v>0.194048356389157</v>
      </c>
      <c r="F3412" s="0" t="n">
        <f aca="false">C3412/SUM($A3412:$C3412)</f>
        <v>0.505082971942612</v>
      </c>
      <c r="G3412" s="0" t="n">
        <f aca="false">SUMPRODUCT(D3412:F3412,Stats!$B$6:$D$6)</f>
        <v>0.353721527044893</v>
      </c>
      <c r="H3412" s="0" t="n">
        <f aca="false">SQRT(SUMPRODUCT(MMULT(D3412:F3412,Stats!$B$12:$D$14),D3412:F3412))</f>
        <v>0.228109742159155</v>
      </c>
      <c r="I3412" s="0" t="n">
        <f aca="false">(G3412-Stats!$B$2)/H3412</f>
        <v>1.36654192887299</v>
      </c>
    </row>
    <row r="3413" customFormat="false" ht="15" hidden="false" customHeight="false" outlineLevel="0" collapsed="false">
      <c r="A3413" s="0" t="n">
        <v>0.47376015373872</v>
      </c>
      <c r="B3413" s="0" t="n">
        <v>0.799578644102003</v>
      </c>
      <c r="C3413" s="0" t="n">
        <v>0.580619760482354</v>
      </c>
      <c r="D3413" s="0" t="n">
        <f aca="false">A3413/SUM($A3413:$C3413)</f>
        <v>0.255539775477636</v>
      </c>
      <c r="E3413" s="0" t="n">
        <f aca="false">B3413/SUM($A3413:$C3413)</f>
        <v>0.431281832332449</v>
      </c>
      <c r="F3413" s="0" t="n">
        <f aca="false">C3413/SUM($A3413:$C3413)</f>
        <v>0.313178392189915</v>
      </c>
      <c r="G3413" s="0" t="n">
        <f aca="false">SUMPRODUCT(D3413:F3413,Stats!$B$6:$D$6)</f>
        <v>0.372663329181689</v>
      </c>
      <c r="H3413" s="0" t="n">
        <f aca="false">SQRT(SUMPRODUCT(MMULT(D3413:F3413,Stats!$B$12:$D$14),D3413:F3413))</f>
        <v>0.229559040570241</v>
      </c>
      <c r="I3413" s="0" t="n">
        <f aca="false">(G3413-Stats!$B$2)/H3413</f>
        <v>1.44042825915415</v>
      </c>
    </row>
    <row r="3414" customFormat="false" ht="15" hidden="false" customHeight="false" outlineLevel="0" collapsed="false">
      <c r="A3414" s="0" t="n">
        <v>0.773090141617112</v>
      </c>
      <c r="B3414" s="0" t="n">
        <v>0.332672986530324</v>
      </c>
      <c r="C3414" s="0" t="n">
        <v>0.831416621930311</v>
      </c>
      <c r="D3414" s="0" t="n">
        <f aca="false">A3414/SUM($A3414:$C3414)</f>
        <v>0.399080230725148</v>
      </c>
      <c r="E3414" s="0" t="n">
        <f aca="false">B3414/SUM($A3414:$C3414)</f>
        <v>0.171730571991046</v>
      </c>
      <c r="F3414" s="0" t="n">
        <f aca="false">C3414/SUM($A3414:$C3414)</f>
        <v>0.429189197283806</v>
      </c>
      <c r="G3414" s="0" t="n">
        <f aca="false">SUMPRODUCT(D3414:F3414,Stats!$B$6:$D$6)</f>
        <v>0.354530132261905</v>
      </c>
      <c r="H3414" s="0" t="n">
        <f aca="false">SQRT(SUMPRODUCT(MMULT(D3414:F3414,Stats!$B$12:$D$14),D3414:F3414))</f>
        <v>0.224404584823745</v>
      </c>
      <c r="I3414" s="0" t="n">
        <f aca="false">(G3414-Stats!$B$2)/H3414</f>
        <v>1.39270831969577</v>
      </c>
    </row>
    <row r="3415" customFormat="false" ht="15" hidden="false" customHeight="false" outlineLevel="0" collapsed="false">
      <c r="A3415" s="0" t="n">
        <v>0.274572315551022</v>
      </c>
      <c r="B3415" s="0" t="n">
        <v>0.546098808003291</v>
      </c>
      <c r="C3415" s="0" t="n">
        <v>0.214007113173874</v>
      </c>
      <c r="D3415" s="0" t="n">
        <f aca="false">A3415/SUM($A3415:$C3415)</f>
        <v>0.265369760186763</v>
      </c>
      <c r="E3415" s="0" t="n">
        <f aca="false">B3415/SUM($A3415:$C3415)</f>
        <v>0.527795780966787</v>
      </c>
      <c r="F3415" s="0" t="n">
        <f aca="false">C3415/SUM($A3415:$C3415)</f>
        <v>0.206834458846451</v>
      </c>
      <c r="G3415" s="0" t="n">
        <f aca="false">SUMPRODUCT(D3415:F3415,Stats!$B$6:$D$6)</f>
        <v>0.381149009930468</v>
      </c>
      <c r="H3415" s="0" t="n">
        <f aca="false">SQRT(SUMPRODUCT(MMULT(D3415:F3415,Stats!$B$12:$D$14),D3415:F3415))</f>
        <v>0.230899484769411</v>
      </c>
      <c r="I3415" s="0" t="n">
        <f aca="false">(G3415-Stats!$B$2)/H3415</f>
        <v>1.46881665963508</v>
      </c>
    </row>
    <row r="3416" customFormat="false" ht="15" hidden="false" customHeight="false" outlineLevel="0" collapsed="false">
      <c r="A3416" s="0" t="n">
        <v>0.475526521626193</v>
      </c>
      <c r="B3416" s="0" t="n">
        <v>0.318175209508703</v>
      </c>
      <c r="C3416" s="0" t="n">
        <v>0.266703430637214</v>
      </c>
      <c r="D3416" s="0" t="n">
        <f aca="false">A3416/SUM($A3416:$C3416)</f>
        <v>0.448438520264755</v>
      </c>
      <c r="E3416" s="0" t="n">
        <f aca="false">B3416/SUM($A3416:$C3416)</f>
        <v>0.300050604220919</v>
      </c>
      <c r="F3416" s="0" t="n">
        <f aca="false">C3416/SUM($A3416:$C3416)</f>
        <v>0.251510875514326</v>
      </c>
      <c r="G3416" s="0" t="n">
        <f aca="false">SUMPRODUCT(D3416:F3416,Stats!$B$6:$D$6)</f>
        <v>0.366812912219162</v>
      </c>
      <c r="H3416" s="0" t="n">
        <f aca="false">SQRT(SUMPRODUCT(MMULT(D3416:F3416,Stats!$B$12:$D$14),D3416:F3416))</f>
        <v>0.223777092364243</v>
      </c>
      <c r="I3416" s="0" t="n">
        <f aca="false">(G3416-Stats!$B$2)/H3416</f>
        <v>1.45150206747017</v>
      </c>
    </row>
    <row r="3417" customFormat="false" ht="15" hidden="false" customHeight="false" outlineLevel="0" collapsed="false">
      <c r="A3417" s="0" t="n">
        <v>0.966985018028038</v>
      </c>
      <c r="B3417" s="0" t="n">
        <v>0.160074105486731</v>
      </c>
      <c r="C3417" s="0" t="n">
        <v>0.787325837457395</v>
      </c>
      <c r="D3417" s="0" t="n">
        <f aca="false">A3417/SUM($A3417:$C3417)</f>
        <v>0.505115239485053</v>
      </c>
      <c r="E3417" s="0" t="n">
        <f aca="false">B3417/SUM($A3417:$C3417)</f>
        <v>0.0836164662542281</v>
      </c>
      <c r="F3417" s="0" t="n">
        <f aca="false">C3417/SUM($A3417:$C3417)</f>
        <v>0.411268294260719</v>
      </c>
      <c r="G3417" s="0" t="n">
        <f aca="false">SUMPRODUCT(D3417:F3417,Stats!$B$6:$D$6)</f>
        <v>0.349954322669784</v>
      </c>
      <c r="H3417" s="0" t="n">
        <f aca="false">SQRT(SUMPRODUCT(MMULT(D3417:F3417,Stats!$B$12:$D$14),D3417:F3417))</f>
        <v>0.222317526499683</v>
      </c>
      <c r="I3417" s="0" t="n">
        <f aca="false">(G3417-Stats!$B$2)/H3417</f>
        <v>1.38520038216701</v>
      </c>
    </row>
    <row r="3418" customFormat="false" ht="15" hidden="false" customHeight="false" outlineLevel="0" collapsed="false">
      <c r="A3418" s="0" t="n">
        <v>0.984164959483215</v>
      </c>
      <c r="B3418" s="0" t="n">
        <v>0.0199014837400778</v>
      </c>
      <c r="C3418" s="0" t="n">
        <v>0.699027414042095</v>
      </c>
      <c r="D3418" s="0" t="n">
        <f aca="false">A3418/SUM($A3418:$C3418)</f>
        <v>0.577868891538052</v>
      </c>
      <c r="E3418" s="0" t="n">
        <f aca="false">B3418/SUM($A3418:$C3418)</f>
        <v>0.0116854885332234</v>
      </c>
      <c r="F3418" s="0" t="n">
        <f aca="false">C3418/SUM($A3418:$C3418)</f>
        <v>0.410445619928725</v>
      </c>
      <c r="G3418" s="0" t="n">
        <f aca="false">SUMPRODUCT(D3418:F3418,Stats!$B$6:$D$6)</f>
        <v>0.345838192238448</v>
      </c>
      <c r="H3418" s="0" t="n">
        <f aca="false">SQRT(SUMPRODUCT(MMULT(D3418:F3418,Stats!$B$12:$D$14),D3418:F3418))</f>
        <v>0.221756188601848</v>
      </c>
      <c r="I3418" s="0" t="n">
        <f aca="false">(G3418-Stats!$B$2)/H3418</f>
        <v>1.37014526698948</v>
      </c>
    </row>
    <row r="3419" customFormat="false" ht="15" hidden="false" customHeight="false" outlineLevel="0" collapsed="false">
      <c r="A3419" s="0" t="n">
        <v>0.252911805556287</v>
      </c>
      <c r="B3419" s="0" t="n">
        <v>0.0404878243283044</v>
      </c>
      <c r="C3419" s="0" t="n">
        <v>0.402889578956631</v>
      </c>
      <c r="D3419" s="0" t="n">
        <f aca="false">A3419/SUM($A3419:$C3419)</f>
        <v>0.363228098820011</v>
      </c>
      <c r="E3419" s="0" t="n">
        <f aca="false">B3419/SUM($A3419:$C3419)</f>
        <v>0.0581479991563923</v>
      </c>
      <c r="F3419" s="0" t="n">
        <f aca="false">C3419/SUM($A3419:$C3419)</f>
        <v>0.578623902023596</v>
      </c>
      <c r="G3419" s="0" t="n">
        <f aca="false">SUMPRODUCT(D3419:F3419,Stats!$B$6:$D$6)</f>
        <v>0.343874133520456</v>
      </c>
      <c r="H3419" s="0" t="n">
        <f aca="false">SQRT(SUMPRODUCT(MMULT(D3419:F3419,Stats!$B$12:$D$14),D3419:F3419))</f>
        <v>0.22768232019437</v>
      </c>
      <c r="I3419" s="0" t="n">
        <f aca="false">(G3419-Stats!$B$2)/H3419</f>
        <v>1.32585671677427</v>
      </c>
    </row>
    <row r="3420" customFormat="false" ht="15" hidden="false" customHeight="false" outlineLevel="0" collapsed="false">
      <c r="A3420" s="0" t="n">
        <v>0.935217810170875</v>
      </c>
      <c r="B3420" s="0" t="n">
        <v>0.0117650943669977</v>
      </c>
      <c r="C3420" s="0" t="n">
        <v>0.587885691929782</v>
      </c>
      <c r="D3420" s="0" t="n">
        <f aca="false">A3420/SUM($A3420:$C3420)</f>
        <v>0.609314577367199</v>
      </c>
      <c r="E3420" s="0" t="n">
        <f aca="false">B3420/SUM($A3420:$C3420)</f>
        <v>0.00766521277070485</v>
      </c>
      <c r="F3420" s="0" t="n">
        <f aca="false">C3420/SUM($A3420:$C3420)</f>
        <v>0.383020209862096</v>
      </c>
      <c r="G3420" s="0" t="n">
        <f aca="false">SUMPRODUCT(D3420:F3420,Stats!$B$6:$D$6)</f>
        <v>0.346363115908633</v>
      </c>
      <c r="H3420" s="0" t="n">
        <f aca="false">SQRT(SUMPRODUCT(MMULT(D3420:F3420,Stats!$B$12:$D$14),D3420:F3420))</f>
        <v>0.221481888301834</v>
      </c>
      <c r="I3420" s="0" t="n">
        <f aca="false">(G3420-Stats!$B$2)/H3420</f>
        <v>1.37421221320747</v>
      </c>
    </row>
    <row r="3421" customFormat="false" ht="15" hidden="false" customHeight="false" outlineLevel="0" collapsed="false">
      <c r="A3421" s="0" t="n">
        <v>0.501396478595324</v>
      </c>
      <c r="B3421" s="0" t="n">
        <v>0.873384164371048</v>
      </c>
      <c r="C3421" s="0" t="n">
        <v>0.0840017145206257</v>
      </c>
      <c r="D3421" s="0" t="n">
        <f aca="false">A3421/SUM($A3421:$C3421)</f>
        <v>0.343708899426962</v>
      </c>
      <c r="E3421" s="0" t="n">
        <f aca="false">B3421/SUM($A3421:$C3421)</f>
        <v>0.598707654975758</v>
      </c>
      <c r="F3421" s="0" t="n">
        <f aca="false">C3421/SUM($A3421:$C3421)</f>
        <v>0.0575834455972809</v>
      </c>
      <c r="G3421" s="0" t="n">
        <f aca="false">SUMPRODUCT(D3421:F3421,Stats!$B$6:$D$6)</f>
        <v>0.38934472666689</v>
      </c>
      <c r="H3421" s="0" t="n">
        <f aca="false">SQRT(SUMPRODUCT(MMULT(D3421:F3421,Stats!$B$12:$D$14),D3421:F3421))</f>
        <v>0.23219128758191</v>
      </c>
      <c r="I3421" s="0" t="n">
        <f aca="false">(G3421-Stats!$B$2)/H3421</f>
        <v>1.49594211860493</v>
      </c>
    </row>
    <row r="3422" customFormat="false" ht="15" hidden="false" customHeight="false" outlineLevel="0" collapsed="false">
      <c r="A3422" s="0" t="n">
        <v>0.68152602988665</v>
      </c>
      <c r="B3422" s="0" t="n">
        <v>0.680109698433277</v>
      </c>
      <c r="C3422" s="0" t="n">
        <v>0.669080016862283</v>
      </c>
      <c r="D3422" s="0" t="n">
        <f aca="false">A3422/SUM($A3422:$C3422)</f>
        <v>0.335608778088978</v>
      </c>
      <c r="E3422" s="0" t="n">
        <f aca="false">B3422/SUM($A3422:$C3422)</f>
        <v>0.334911323776757</v>
      </c>
      <c r="F3422" s="0" t="n">
        <f aca="false">C3422/SUM($A3422:$C3422)</f>
        <v>0.329479898134265</v>
      </c>
      <c r="G3422" s="0" t="n">
        <f aca="false">SUMPRODUCT(D3422:F3422,Stats!$B$6:$D$6)</f>
        <v>0.366668787092776</v>
      </c>
      <c r="H3422" s="0" t="n">
        <f aca="false">SQRT(SUMPRODUCT(MMULT(D3422:F3422,Stats!$B$12:$D$14),D3422:F3422))</f>
        <v>0.226257076827617</v>
      </c>
      <c r="I3422" s="0" t="n">
        <f aca="false">(G3422-Stats!$B$2)/H3422</f>
        <v>1.43495528027235</v>
      </c>
    </row>
    <row r="3423" customFormat="false" ht="15" hidden="false" customHeight="false" outlineLevel="0" collapsed="false">
      <c r="A3423" s="0" t="n">
        <v>0.942334494935037</v>
      </c>
      <c r="B3423" s="0" t="n">
        <v>0.82308752900688</v>
      </c>
      <c r="C3423" s="0" t="n">
        <v>0.041972726243506</v>
      </c>
      <c r="D3423" s="0" t="n">
        <f aca="false">A3423/SUM($A3423:$C3423)</f>
        <v>0.521377244698958</v>
      </c>
      <c r="E3423" s="0" t="n">
        <f aca="false">B3423/SUM($A3423:$C3423)</f>
        <v>0.455399977742792</v>
      </c>
      <c r="F3423" s="0" t="n">
        <f aca="false">C3423/SUM($A3423:$C3423)</f>
        <v>0.0232227775582506</v>
      </c>
      <c r="G3423" s="0" t="n">
        <f aca="false">SUMPRODUCT(D3423:F3423,Stats!$B$6:$D$6)</f>
        <v>0.382046470603771</v>
      </c>
      <c r="H3423" s="0" t="n">
        <f aca="false">SQRT(SUMPRODUCT(MMULT(D3423:F3423,Stats!$B$12:$D$14),D3423:F3423))</f>
        <v>0.228280662420245</v>
      </c>
      <c r="I3423" s="0" t="n">
        <f aca="false">(G3423-Stats!$B$2)/H3423</f>
        <v>1.48959822964669</v>
      </c>
    </row>
    <row r="3424" customFormat="false" ht="15" hidden="false" customHeight="false" outlineLevel="0" collapsed="false">
      <c r="A3424" s="0" t="n">
        <v>0.471082850704513</v>
      </c>
      <c r="B3424" s="0" t="n">
        <v>0.397953056201334</v>
      </c>
      <c r="C3424" s="0" t="n">
        <v>0.310147221090802</v>
      </c>
      <c r="D3424" s="0" t="n">
        <f aca="false">A3424/SUM($A3424:$C3424)</f>
        <v>0.399499313991077</v>
      </c>
      <c r="E3424" s="0" t="n">
        <f aca="false">B3424/SUM($A3424:$C3424)</f>
        <v>0.337481979476274</v>
      </c>
      <c r="F3424" s="0" t="n">
        <f aca="false">C3424/SUM($A3424:$C3424)</f>
        <v>0.263018706532649</v>
      </c>
      <c r="G3424" s="0" t="n">
        <f aca="false">SUMPRODUCT(D3424:F3424,Stats!$B$6:$D$6)</f>
        <v>0.368649341090688</v>
      </c>
      <c r="H3424" s="0" t="n">
        <f aca="false">SQRT(SUMPRODUCT(MMULT(D3424:F3424,Stats!$B$12:$D$14),D3424:F3424))</f>
        <v>0.224891161290042</v>
      </c>
      <c r="I3424" s="0" t="n">
        <f aca="false">(G3424-Stats!$B$2)/H3424</f>
        <v>1.45247745272394</v>
      </c>
    </row>
    <row r="3425" customFormat="false" ht="15" hidden="false" customHeight="false" outlineLevel="0" collapsed="false">
      <c r="A3425" s="0" t="n">
        <v>0.451336725154097</v>
      </c>
      <c r="B3425" s="0" t="n">
        <v>0.384194184925978</v>
      </c>
      <c r="C3425" s="0" t="n">
        <v>0.432333899878665</v>
      </c>
      <c r="D3425" s="0" t="n">
        <f aca="false">A3425/SUM($A3425:$C3425)</f>
        <v>0.355981743170855</v>
      </c>
      <c r="E3425" s="0" t="n">
        <f aca="false">B3425/SUM($A3425:$C3425)</f>
        <v>0.303024566900378</v>
      </c>
      <c r="F3425" s="0" t="n">
        <f aca="false">C3425/SUM($A3425:$C3425)</f>
        <v>0.340993689928767</v>
      </c>
      <c r="G3425" s="0" t="n">
        <f aca="false">SUMPRODUCT(D3425:F3425,Stats!$B$6:$D$6)</f>
        <v>0.364516575992035</v>
      </c>
      <c r="H3425" s="0" t="n">
        <f aca="false">SQRT(SUMPRODUCT(MMULT(D3425:F3425,Stats!$B$12:$D$14),D3425:F3425))</f>
        <v>0.225512437844737</v>
      </c>
      <c r="I3425" s="0" t="n">
        <f aca="false">(G3425-Stats!$B$2)/H3425</f>
        <v>1.43014983596641</v>
      </c>
    </row>
    <row r="3426" customFormat="false" ht="15" hidden="false" customHeight="false" outlineLevel="0" collapsed="false">
      <c r="A3426" s="0" t="n">
        <v>0.979261865608643</v>
      </c>
      <c r="B3426" s="0" t="n">
        <v>0.0886329747495808</v>
      </c>
      <c r="C3426" s="0" t="n">
        <v>0.92223086983873</v>
      </c>
      <c r="D3426" s="0" t="n">
        <f aca="false">A3426/SUM($A3426:$C3426)</f>
        <v>0.492060305834514</v>
      </c>
      <c r="E3426" s="0" t="n">
        <f aca="false">B3426/SUM($A3426:$C3426)</f>
        <v>0.0445363698863069</v>
      </c>
      <c r="F3426" s="0" t="n">
        <f aca="false">C3426/SUM($A3426:$C3426)</f>
        <v>0.463403324279179</v>
      </c>
      <c r="G3426" s="0" t="n">
        <f aca="false">SUMPRODUCT(D3426:F3426,Stats!$B$6:$D$6)</f>
        <v>0.34626810110458</v>
      </c>
      <c r="H3426" s="0" t="n">
        <f aca="false">SQRT(SUMPRODUCT(MMULT(D3426:F3426,Stats!$B$12:$D$14),D3426:F3426))</f>
        <v>0.223046078992955</v>
      </c>
      <c r="I3426" s="0" t="n">
        <f aca="false">(G3426-Stats!$B$2)/H3426</f>
        <v>1.36414906945838</v>
      </c>
    </row>
    <row r="3427" customFormat="false" ht="15" hidden="false" customHeight="false" outlineLevel="0" collapsed="false">
      <c r="A3427" s="0" t="n">
        <v>0.480236713471027</v>
      </c>
      <c r="B3427" s="0" t="n">
        <v>0.623742245499541</v>
      </c>
      <c r="C3427" s="0" t="n">
        <v>0.830182966617694</v>
      </c>
      <c r="D3427" s="0" t="n">
        <f aca="false">A3427/SUM($A3427:$C3427)</f>
        <v>0.24829188658802</v>
      </c>
      <c r="E3427" s="0" t="n">
        <f aca="false">B3427/SUM($A3427:$C3427)</f>
        <v>0.322487087170757</v>
      </c>
      <c r="F3427" s="0" t="n">
        <f aca="false">C3427/SUM($A3427:$C3427)</f>
        <v>0.429221026241223</v>
      </c>
      <c r="G3427" s="0" t="n">
        <f aca="false">SUMPRODUCT(D3427:F3427,Stats!$B$6:$D$6)</f>
        <v>0.363203589353747</v>
      </c>
      <c r="H3427" s="0" t="n">
        <f aca="false">SQRT(SUMPRODUCT(MMULT(D3427:F3427,Stats!$B$12:$D$14),D3427:F3427))</f>
        <v>0.229462649880474</v>
      </c>
      <c r="I3427" s="0" t="n">
        <f aca="false">(G3427-Stats!$B$2)/H3427</f>
        <v>1.3998077226122</v>
      </c>
    </row>
    <row r="3428" customFormat="false" ht="15" hidden="false" customHeight="false" outlineLevel="0" collapsed="false">
      <c r="A3428" s="0" t="n">
        <v>0.360463029149256</v>
      </c>
      <c r="B3428" s="0" t="n">
        <v>0.430421908087967</v>
      </c>
      <c r="C3428" s="0" t="n">
        <v>0.409518480278714</v>
      </c>
      <c r="D3428" s="0" t="n">
        <f aca="false">A3428/SUM($A3428:$C3428)</f>
        <v>0.300284907464844</v>
      </c>
      <c r="E3428" s="0" t="n">
        <f aca="false">B3428/SUM($A3428:$C3428)</f>
        <v>0.358564380780141</v>
      </c>
      <c r="F3428" s="0" t="n">
        <f aca="false">C3428/SUM($A3428:$C3428)</f>
        <v>0.341150711755015</v>
      </c>
      <c r="G3428" s="0" t="n">
        <f aca="false">SUMPRODUCT(D3428:F3428,Stats!$B$6:$D$6)</f>
        <v>0.367707935182437</v>
      </c>
      <c r="H3428" s="0" t="n">
        <f aca="false">SQRT(SUMPRODUCT(MMULT(D3428:F3428,Stats!$B$12:$D$14),D3428:F3428))</f>
        <v>0.227476143212412</v>
      </c>
      <c r="I3428" s="0" t="n">
        <f aca="false">(G3428-Stats!$B$2)/H3428</f>
        <v>1.43183338077918</v>
      </c>
    </row>
    <row r="3429" customFormat="false" ht="15" hidden="false" customHeight="false" outlineLevel="0" collapsed="false">
      <c r="A3429" s="0" t="n">
        <v>0.37473102253576</v>
      </c>
      <c r="B3429" s="0" t="n">
        <v>0.925529321646895</v>
      </c>
      <c r="C3429" s="0" t="n">
        <v>0.828929891193012</v>
      </c>
      <c r="D3429" s="0" t="n">
        <f aca="false">A3429/SUM($A3429:$C3429)</f>
        <v>0.175996966503861</v>
      </c>
      <c r="E3429" s="0" t="n">
        <f aca="false">B3429/SUM($A3429:$C3429)</f>
        <v>0.434686063400811</v>
      </c>
      <c r="F3429" s="0" t="n">
        <f aca="false">C3429/SUM($A3429:$C3429)</f>
        <v>0.389316970095328</v>
      </c>
      <c r="G3429" s="0" t="n">
        <f aca="false">SUMPRODUCT(D3429:F3429,Stats!$B$6:$D$6)</f>
        <v>0.370759712230048</v>
      </c>
      <c r="H3429" s="0" t="n">
        <f aca="false">SQRT(SUMPRODUCT(MMULT(D3429:F3429,Stats!$B$12:$D$14),D3429:F3429))</f>
        <v>0.232839786502798</v>
      </c>
      <c r="I3429" s="0" t="n">
        <f aca="false">(G3429-Stats!$B$2)/H3429</f>
        <v>1.41195676721726</v>
      </c>
    </row>
    <row r="3430" customFormat="false" ht="15" hidden="false" customHeight="false" outlineLevel="0" collapsed="false">
      <c r="A3430" s="0" t="n">
        <v>0.108999989862976</v>
      </c>
      <c r="B3430" s="0" t="n">
        <v>0.108123352477096</v>
      </c>
      <c r="C3430" s="0" t="n">
        <v>0.427869514852991</v>
      </c>
      <c r="D3430" s="0" t="n">
        <f aca="false">A3430/SUM($A3430:$C3430)</f>
        <v>0.168994103806563</v>
      </c>
      <c r="E3430" s="0" t="n">
        <f aca="false">B3430/SUM($A3430:$C3430)</f>
        <v>0.167634961025207</v>
      </c>
      <c r="F3430" s="0" t="n">
        <f aca="false">C3430/SUM($A3430:$C3430)</f>
        <v>0.66337093516823</v>
      </c>
      <c r="G3430" s="0" t="n">
        <f aca="false">SUMPRODUCT(D3430:F3430,Stats!$B$6:$D$6)</f>
        <v>0.347837004756645</v>
      </c>
      <c r="H3430" s="0" t="n">
        <f aca="false">SQRT(SUMPRODUCT(MMULT(D3430:F3430,Stats!$B$12:$D$14),D3430:F3430))</f>
        <v>0.236741660116135</v>
      </c>
      <c r="I3430" s="0" t="n">
        <f aca="false">(G3430-Stats!$B$2)/H3430</f>
        <v>1.29185967778808</v>
      </c>
    </row>
    <row r="3431" customFormat="false" ht="15" hidden="false" customHeight="false" outlineLevel="0" collapsed="false">
      <c r="A3431" s="0" t="n">
        <v>0.0986573767328091</v>
      </c>
      <c r="B3431" s="0" t="n">
        <v>0.61909309527112</v>
      </c>
      <c r="C3431" s="0" t="n">
        <v>0.143691607261734</v>
      </c>
      <c r="D3431" s="0" t="n">
        <f aca="false">A3431/SUM($A3431:$C3431)</f>
        <v>0.114525838831683</v>
      </c>
      <c r="E3431" s="0" t="n">
        <f aca="false">B3431/SUM($A3431:$C3431)</f>
        <v>0.71867059918743</v>
      </c>
      <c r="F3431" s="0" t="n">
        <f aca="false">C3431/SUM($A3431:$C3431)</f>
        <v>0.166803561980887</v>
      </c>
      <c r="G3431" s="0" t="n">
        <f aca="false">SUMPRODUCT(D3431:F3431,Stats!$B$6:$D$6)</f>
        <v>0.393235536510817</v>
      </c>
      <c r="H3431" s="0" t="n">
        <f aca="false">SQRT(SUMPRODUCT(MMULT(D3431:F3431,Stats!$B$12:$D$14),D3431:F3431))</f>
        <v>0.240095122914841</v>
      </c>
      <c r="I3431" s="0" t="n">
        <f aca="false">(G3431-Stats!$B$2)/H3431</f>
        <v>1.46290158769862</v>
      </c>
    </row>
    <row r="3432" customFormat="false" ht="15" hidden="false" customHeight="false" outlineLevel="0" collapsed="false">
      <c r="A3432" s="0" t="n">
        <v>0.522373263966801</v>
      </c>
      <c r="B3432" s="0" t="n">
        <v>0.00721994700371775</v>
      </c>
      <c r="C3432" s="0" t="n">
        <v>0.316596348412647</v>
      </c>
      <c r="D3432" s="0" t="n">
        <f aca="false">A3432/SUM($A3432:$C3432)</f>
        <v>0.617324165932262</v>
      </c>
      <c r="E3432" s="0" t="n">
        <f aca="false">B3432/SUM($A3432:$C3432)</f>
        <v>0.00853230452167334</v>
      </c>
      <c r="F3432" s="0" t="n">
        <f aca="false">C3432/SUM($A3432:$C3432)</f>
        <v>0.374143529546065</v>
      </c>
      <c r="G3432" s="0" t="n">
        <f aca="false">SUMPRODUCT(D3432:F3432,Stats!$B$6:$D$6)</f>
        <v>0.346657778291293</v>
      </c>
      <c r="H3432" s="0" t="n">
        <f aca="false">SQRT(SUMPRODUCT(MMULT(D3432:F3432,Stats!$B$12:$D$14),D3432:F3432))</f>
        <v>0.221428044850491</v>
      </c>
      <c r="I3432" s="0" t="n">
        <f aca="false">(G3432-Stats!$B$2)/H3432</f>
        <v>1.37587710941041</v>
      </c>
    </row>
    <row r="3433" customFormat="false" ht="15" hidden="false" customHeight="false" outlineLevel="0" collapsed="false">
      <c r="A3433" s="0" t="n">
        <v>0.677190723672655</v>
      </c>
      <c r="B3433" s="0" t="n">
        <v>0.484038940227848</v>
      </c>
      <c r="C3433" s="0" t="n">
        <v>0.978269485998988</v>
      </c>
      <c r="D3433" s="0" t="n">
        <f aca="false">A3433/SUM($A3433:$C3433)</f>
        <v>0.316518342016854</v>
      </c>
      <c r="E3433" s="0" t="n">
        <f aca="false">B3433/SUM($A3433:$C3433)</f>
        <v>0.226239370205212</v>
      </c>
      <c r="F3433" s="0" t="n">
        <f aca="false">C3433/SUM($A3433:$C3433)</f>
        <v>0.457242287777934</v>
      </c>
      <c r="G3433" s="0" t="n">
        <f aca="false">SUMPRODUCT(D3433:F3433,Stats!$B$6:$D$6)</f>
        <v>0.356892944781202</v>
      </c>
      <c r="H3433" s="0" t="n">
        <f aca="false">SQRT(SUMPRODUCT(MMULT(D3433:F3433,Stats!$B$12:$D$14),D3433:F3433))</f>
        <v>0.22703754791107</v>
      </c>
      <c r="I3433" s="0" t="n">
        <f aca="false">(G3433-Stats!$B$2)/H3433</f>
        <v>1.38696417257177</v>
      </c>
    </row>
    <row r="3434" customFormat="false" ht="15" hidden="false" customHeight="false" outlineLevel="0" collapsed="false">
      <c r="A3434" s="0" t="n">
        <v>0.874103796066211</v>
      </c>
      <c r="B3434" s="0" t="n">
        <v>0.359070779043151</v>
      </c>
      <c r="C3434" s="0" t="n">
        <v>0.0454865414722746</v>
      </c>
      <c r="D3434" s="0" t="n">
        <f aca="false">A3434/SUM($A3434:$C3434)</f>
        <v>0.683608647147286</v>
      </c>
      <c r="E3434" s="0" t="n">
        <f aca="false">B3434/SUM($A3434:$C3434)</f>
        <v>0.280817782277675</v>
      </c>
      <c r="F3434" s="0" t="n">
        <f aca="false">C3434/SUM($A3434:$C3434)</f>
        <v>0.0355735705750387</v>
      </c>
      <c r="G3434" s="0" t="n">
        <f aca="false">SUMPRODUCT(D3434:F3434,Stats!$B$6:$D$6)</f>
        <v>0.371660668666949</v>
      </c>
      <c r="H3434" s="0" t="n">
        <f aca="false">SQRT(SUMPRODUCT(MMULT(D3434:F3434,Stats!$B$12:$D$14),D3434:F3434))</f>
        <v>0.226280598008769</v>
      </c>
      <c r="I3434" s="0" t="n">
        <f aca="false">(G3434-Stats!$B$2)/H3434</f>
        <v>1.45686670252734</v>
      </c>
    </row>
    <row r="3435" customFormat="false" ht="15" hidden="false" customHeight="false" outlineLevel="0" collapsed="false">
      <c r="A3435" s="0" t="n">
        <v>0.845626300115019</v>
      </c>
      <c r="B3435" s="0" t="n">
        <v>0.911234310314671</v>
      </c>
      <c r="C3435" s="0" t="n">
        <v>0.820627393419037</v>
      </c>
      <c r="D3435" s="0" t="n">
        <f aca="false">A3435/SUM($A3435:$C3435)</f>
        <v>0.328081565792866</v>
      </c>
      <c r="E3435" s="0" t="n">
        <f aca="false">B3435/SUM($A3435:$C3435)</f>
        <v>0.353535810430159</v>
      </c>
      <c r="F3435" s="0" t="n">
        <f aca="false">C3435/SUM($A3435:$C3435)</f>
        <v>0.318382623776976</v>
      </c>
      <c r="G3435" s="0" t="n">
        <f aca="false">SUMPRODUCT(D3435:F3435,Stats!$B$6:$D$6)</f>
        <v>0.368046419021778</v>
      </c>
      <c r="H3435" s="0" t="n">
        <f aca="false">SQRT(SUMPRODUCT(MMULT(D3435:F3435,Stats!$B$12:$D$14),D3435:F3435))</f>
        <v>0.226604436307601</v>
      </c>
      <c r="I3435" s="0" t="n">
        <f aca="false">(G3435-Stats!$B$2)/H3435</f>
        <v>1.43883510991458</v>
      </c>
    </row>
    <row r="3436" customFormat="false" ht="15" hidden="false" customHeight="false" outlineLevel="0" collapsed="false">
      <c r="A3436" s="0" t="n">
        <v>0.127949940919765</v>
      </c>
      <c r="B3436" s="0" t="n">
        <v>0.997915134412288</v>
      </c>
      <c r="C3436" s="0" t="n">
        <v>0.258584221552774</v>
      </c>
      <c r="D3436" s="0" t="n">
        <f aca="false">A3436/SUM($A3436:$C3436)</f>
        <v>0.0924193765764245</v>
      </c>
      <c r="E3436" s="0" t="n">
        <f aca="false">B3436/SUM($A3436:$C3436)</f>
        <v>0.720802947899727</v>
      </c>
      <c r="F3436" s="0" t="n">
        <f aca="false">C3436/SUM($A3436:$C3436)</f>
        <v>0.186777675523848</v>
      </c>
      <c r="G3436" s="0" t="n">
        <f aca="false">SUMPRODUCT(D3436:F3436,Stats!$B$6:$D$6)</f>
        <v>0.392807450597378</v>
      </c>
      <c r="H3436" s="0" t="n">
        <f aca="false">SQRT(SUMPRODUCT(MMULT(D3436:F3436,Stats!$B$12:$D$14),D3436:F3436))</f>
        <v>0.24089984337241</v>
      </c>
      <c r="I3436" s="0" t="n">
        <f aca="false">(G3436-Stats!$B$2)/H3436</f>
        <v>1.45623776954915</v>
      </c>
    </row>
    <row r="3437" customFormat="false" ht="15" hidden="false" customHeight="false" outlineLevel="0" collapsed="false">
      <c r="A3437" s="0" t="n">
        <v>0.72420491280837</v>
      </c>
      <c r="B3437" s="0" t="n">
        <v>0.908034876335722</v>
      </c>
      <c r="C3437" s="0" t="n">
        <v>0.235687114330709</v>
      </c>
      <c r="D3437" s="0" t="n">
        <f aca="false">A3437/SUM($A3437:$C3437)</f>
        <v>0.387705167403056</v>
      </c>
      <c r="E3437" s="0" t="n">
        <f aca="false">B3437/SUM($A3437:$C3437)</f>
        <v>0.486119063142436</v>
      </c>
      <c r="F3437" s="0" t="n">
        <f aca="false">C3437/SUM($A3437:$C3437)</f>
        <v>0.126175769454508</v>
      </c>
      <c r="G3437" s="0" t="n">
        <f aca="false">SUMPRODUCT(D3437:F3437,Stats!$B$6:$D$6)</f>
        <v>0.380975117864995</v>
      </c>
      <c r="H3437" s="0" t="n">
        <f aca="false">SQRT(SUMPRODUCT(MMULT(D3437:F3437,Stats!$B$12:$D$14),D3437:F3437))</f>
        <v>0.22822813158728</v>
      </c>
      <c r="I3437" s="0" t="n">
        <f aca="false">(G3437-Stats!$B$2)/H3437</f>
        <v>1.48524686903185</v>
      </c>
    </row>
    <row r="3438" customFormat="false" ht="15" hidden="false" customHeight="false" outlineLevel="0" collapsed="false">
      <c r="A3438" s="0" t="n">
        <v>0.908258554677066</v>
      </c>
      <c r="B3438" s="0" t="n">
        <v>0.309481579194867</v>
      </c>
      <c r="C3438" s="0" t="n">
        <v>0.976413222384056</v>
      </c>
      <c r="D3438" s="0" t="n">
        <f aca="false">A3438/SUM($A3438:$C3438)</f>
        <v>0.413944883153874</v>
      </c>
      <c r="E3438" s="0" t="n">
        <f aca="false">B3438/SUM($A3438:$C3438)</f>
        <v>0.14104829013545</v>
      </c>
      <c r="F3438" s="0" t="n">
        <f aca="false">C3438/SUM($A3438:$C3438)</f>
        <v>0.445006826710676</v>
      </c>
      <c r="G3438" s="0" t="n">
        <f aca="false">SUMPRODUCT(D3438:F3438,Stats!$B$6:$D$6)</f>
        <v>0.352328548427569</v>
      </c>
      <c r="H3438" s="0" t="n">
        <f aca="false">SQRT(SUMPRODUCT(MMULT(D3438:F3438,Stats!$B$12:$D$14),D3438:F3438))</f>
        <v>0.224188901384976</v>
      </c>
      <c r="I3438" s="0" t="n">
        <f aca="false">(G3438-Stats!$B$2)/H3438</f>
        <v>1.38422797252873</v>
      </c>
    </row>
    <row r="3439" customFormat="false" ht="15" hidden="false" customHeight="false" outlineLevel="0" collapsed="false">
      <c r="A3439" s="0" t="n">
        <v>0.281260020380475</v>
      </c>
      <c r="B3439" s="0" t="n">
        <v>0.953435824757835</v>
      </c>
      <c r="C3439" s="0" t="n">
        <v>0.0535446508926749</v>
      </c>
      <c r="D3439" s="0" t="n">
        <f aca="false">A3439/SUM($A3439:$C3439)</f>
        <v>0.218328814570746</v>
      </c>
      <c r="E3439" s="0" t="n">
        <f aca="false">B3439/SUM($A3439:$C3439)</f>
        <v>0.740107012390412</v>
      </c>
      <c r="F3439" s="0" t="n">
        <f aca="false">C3439/SUM($A3439:$C3439)</f>
        <v>0.0415641730388415</v>
      </c>
      <c r="G3439" s="0" t="n">
        <f aca="false">SUMPRODUCT(D3439:F3439,Stats!$B$6:$D$6)</f>
        <v>0.397922387962385</v>
      </c>
      <c r="H3439" s="0" t="n">
        <f aca="false">SQRT(SUMPRODUCT(MMULT(D3439:F3439,Stats!$B$12:$D$14),D3439:F3439))</f>
        <v>0.238673277606542</v>
      </c>
      <c r="I3439" s="0" t="n">
        <f aca="false">(G3439-Stats!$B$2)/H3439</f>
        <v>1.49125361469721</v>
      </c>
    </row>
    <row r="3440" customFormat="false" ht="15" hidden="false" customHeight="false" outlineLevel="0" collapsed="false">
      <c r="A3440" s="0" t="n">
        <v>0.709272011669813</v>
      </c>
      <c r="B3440" s="0" t="n">
        <v>0.532111133837004</v>
      </c>
      <c r="C3440" s="0" t="n">
        <v>0.477877077122731</v>
      </c>
      <c r="D3440" s="0" t="n">
        <f aca="false">A3440/SUM($A3440:$C3440)</f>
        <v>0.412544885488601</v>
      </c>
      <c r="E3440" s="0" t="n">
        <f aca="false">B3440/SUM($A3440:$C3440)</f>
        <v>0.309500055217446</v>
      </c>
      <c r="F3440" s="0" t="n">
        <f aca="false">C3440/SUM($A3440:$C3440)</f>
        <v>0.277955059293953</v>
      </c>
      <c r="G3440" s="0" t="n">
        <f aca="false">SUMPRODUCT(D3440:F3440,Stats!$B$6:$D$6)</f>
        <v>0.366627433202562</v>
      </c>
      <c r="H3440" s="0" t="n">
        <f aca="false">SQRT(SUMPRODUCT(MMULT(D3440:F3440,Stats!$B$12:$D$14),D3440:F3440))</f>
        <v>0.224346939097823</v>
      </c>
      <c r="I3440" s="0" t="n">
        <f aca="false">(G3440-Stats!$B$2)/H3440</f>
        <v>1.44698846575755</v>
      </c>
    </row>
    <row r="3441" customFormat="false" ht="15" hidden="false" customHeight="false" outlineLevel="0" collapsed="false">
      <c r="A3441" s="0" t="n">
        <v>0.22349431425584</v>
      </c>
      <c r="B3441" s="0" t="n">
        <v>0.705595789776492</v>
      </c>
      <c r="C3441" s="0" t="n">
        <v>0.190809491446307</v>
      </c>
      <c r="D3441" s="0" t="n">
        <f aca="false">A3441/SUM($A3441:$C3441)</f>
        <v>0.199566385377896</v>
      </c>
      <c r="E3441" s="0" t="n">
        <f aca="false">B3441/SUM($A3441:$C3441)</f>
        <v>0.630052723141599</v>
      </c>
      <c r="F3441" s="0" t="n">
        <f aca="false">C3441/SUM($A3441:$C3441)</f>
        <v>0.170380891480505</v>
      </c>
      <c r="G3441" s="0" t="n">
        <f aca="false">SUMPRODUCT(D3441:F3441,Stats!$B$6:$D$6)</f>
        <v>0.388037935133973</v>
      </c>
      <c r="H3441" s="0" t="n">
        <f aca="false">SQRT(SUMPRODUCT(MMULT(D3441:F3441,Stats!$B$12:$D$14),D3441:F3441))</f>
        <v>0.235086359666804</v>
      </c>
      <c r="I3441" s="0" t="n">
        <f aca="false">(G3441-Stats!$B$2)/H3441</f>
        <v>1.47196092374064</v>
      </c>
    </row>
    <row r="3442" customFormat="false" ht="15" hidden="false" customHeight="false" outlineLevel="0" collapsed="false">
      <c r="A3442" s="0" t="n">
        <v>0.552841795984768</v>
      </c>
      <c r="B3442" s="0" t="n">
        <v>0.253245363040251</v>
      </c>
      <c r="C3442" s="0" t="n">
        <v>0.955621379781356</v>
      </c>
      <c r="D3442" s="0" t="n">
        <f aca="false">A3442/SUM($A3442:$C3442)</f>
        <v>0.313810022377107</v>
      </c>
      <c r="E3442" s="0" t="n">
        <f aca="false">B3442/SUM($A3442:$C3442)</f>
        <v>0.143749864101717</v>
      </c>
      <c r="F3442" s="0" t="n">
        <f aca="false">C3442/SUM($A3442:$C3442)</f>
        <v>0.542440113521177</v>
      </c>
      <c r="G3442" s="0" t="n">
        <f aca="false">SUMPRODUCT(D3442:F3442,Stats!$B$6:$D$6)</f>
        <v>0.349797308088022</v>
      </c>
      <c r="H3442" s="0" t="n">
        <f aca="false">SQRT(SUMPRODUCT(MMULT(D3442:F3442,Stats!$B$12:$D$14),D3442:F3442))</f>
        <v>0.228296490764439</v>
      </c>
      <c r="I3442" s="0" t="n">
        <f aca="false">(G3442-Stats!$B$2)/H3442</f>
        <v>1.34823495121357</v>
      </c>
    </row>
    <row r="3443" customFormat="false" ht="15" hidden="false" customHeight="false" outlineLevel="0" collapsed="false">
      <c r="A3443" s="0" t="n">
        <v>0.0286311938356528</v>
      </c>
      <c r="B3443" s="0" t="n">
        <v>0.199728280111237</v>
      </c>
      <c r="C3443" s="0" t="n">
        <v>0.242310606387448</v>
      </c>
      <c r="D3443" s="0" t="n">
        <f aca="false">A3443/SUM($A3443:$C3443)</f>
        <v>0.0608307071809512</v>
      </c>
      <c r="E3443" s="0" t="n">
        <f aca="false">B3443/SUM($A3443:$C3443)</f>
        <v>0.424348792192954</v>
      </c>
      <c r="F3443" s="0" t="n">
        <f aca="false">C3443/SUM($A3443:$C3443)</f>
        <v>0.514820500626095</v>
      </c>
      <c r="G3443" s="0" t="n">
        <f aca="false">SUMPRODUCT(D3443:F3443,Stats!$B$6:$D$6)</f>
        <v>0.366704207440826</v>
      </c>
      <c r="H3443" s="0" t="n">
        <f aca="false">SQRT(SUMPRODUCT(MMULT(D3443:F3443,Stats!$B$12:$D$14),D3443:F3443))</f>
        <v>0.239618207734147</v>
      </c>
      <c r="I3443" s="0" t="n">
        <f aca="false">(G3443-Stats!$B$2)/H3443</f>
        <v>1.35508987614614</v>
      </c>
    </row>
    <row r="3444" customFormat="false" ht="15" hidden="false" customHeight="false" outlineLevel="0" collapsed="false">
      <c r="A3444" s="0" t="n">
        <v>0.414067825767816</v>
      </c>
      <c r="B3444" s="0" t="n">
        <v>0.232730241870054</v>
      </c>
      <c r="C3444" s="0" t="n">
        <v>0.491349090268785</v>
      </c>
      <c r="D3444" s="0" t="n">
        <f aca="false">A3444/SUM($A3444:$C3444)</f>
        <v>0.363808689316936</v>
      </c>
      <c r="E3444" s="0" t="n">
        <f aca="false">B3444/SUM($A3444:$C3444)</f>
        <v>0.204481679063456</v>
      </c>
      <c r="F3444" s="0" t="n">
        <f aca="false">C3444/SUM($A3444:$C3444)</f>
        <v>0.431709631619607</v>
      </c>
      <c r="G3444" s="0" t="n">
        <f aca="false">SUMPRODUCT(D3444:F3444,Stats!$B$6:$D$6)</f>
        <v>0.356345088566523</v>
      </c>
      <c r="H3444" s="0" t="n">
        <f aca="false">SQRT(SUMPRODUCT(MMULT(D3444:F3444,Stats!$B$12:$D$14),D3444:F3444))</f>
        <v>0.225364411879513</v>
      </c>
      <c r="I3444" s="0" t="n">
        <f aca="false">(G3444-Stats!$B$2)/H3444</f>
        <v>1.39483020386814</v>
      </c>
    </row>
    <row r="3445" customFormat="false" ht="15" hidden="false" customHeight="false" outlineLevel="0" collapsed="false">
      <c r="A3445" s="0" t="n">
        <v>0.872465523258539</v>
      </c>
      <c r="B3445" s="0" t="n">
        <v>0.712063421409171</v>
      </c>
      <c r="C3445" s="0" t="n">
        <v>0.579961980535111</v>
      </c>
      <c r="D3445" s="0" t="n">
        <f aca="false">A3445/SUM($A3445:$C3445)</f>
        <v>0.403081164767085</v>
      </c>
      <c r="E3445" s="0" t="n">
        <f aca="false">B3445/SUM($A3445:$C3445)</f>
        <v>0.328975008912291</v>
      </c>
      <c r="F3445" s="0" t="n">
        <f aca="false">C3445/SUM($A3445:$C3445)</f>
        <v>0.267943826320624</v>
      </c>
      <c r="G3445" s="0" t="n">
        <f aca="false">SUMPRODUCT(D3445:F3445,Stats!$B$6:$D$6)</f>
        <v>0.368024052730941</v>
      </c>
      <c r="H3445" s="0" t="n">
        <f aca="false">SQRT(SUMPRODUCT(MMULT(D3445:F3445,Stats!$B$12:$D$14),D3445:F3445))</f>
        <v>0.224725646120175</v>
      </c>
      <c r="I3445" s="0" t="n">
        <f aca="false">(G3445-Stats!$B$2)/H3445</f>
        <v>1.45076478078784</v>
      </c>
    </row>
    <row r="3446" customFormat="false" ht="15" hidden="false" customHeight="false" outlineLevel="0" collapsed="false">
      <c r="A3446" s="0" t="n">
        <v>0.0890031779826797</v>
      </c>
      <c r="B3446" s="0" t="n">
        <v>0.693992108389276</v>
      </c>
      <c r="C3446" s="0" t="n">
        <v>0.16641428431094</v>
      </c>
      <c r="D3446" s="0" t="n">
        <f aca="false">A3446/SUM($A3446:$C3446)</f>
        <v>0.0937458192239005</v>
      </c>
      <c r="E3446" s="0" t="n">
        <f aca="false">B3446/SUM($A3446:$C3446)</f>
        <v>0.730972311444152</v>
      </c>
      <c r="F3446" s="0" t="n">
        <f aca="false">C3446/SUM($A3446:$C3446)</f>
        <v>0.175281869331948</v>
      </c>
      <c r="G3446" s="0" t="n">
        <f aca="false">SUMPRODUCT(D3446:F3446,Stats!$B$6:$D$6)</f>
        <v>0.393709575047997</v>
      </c>
      <c r="H3446" s="0" t="n">
        <f aca="false">SQRT(SUMPRODUCT(MMULT(D3446:F3446,Stats!$B$12:$D$14),D3446:F3446))</f>
        <v>0.241149104346578</v>
      </c>
      <c r="I3446" s="0" t="n">
        <f aca="false">(G3446-Stats!$B$2)/H3446</f>
        <v>1.45847348677075</v>
      </c>
    </row>
    <row r="3447" customFormat="false" ht="15" hidden="false" customHeight="false" outlineLevel="0" collapsed="false">
      <c r="A3447" s="0" t="n">
        <v>0.786367385961698</v>
      </c>
      <c r="B3447" s="0" t="n">
        <v>0.250056758510153</v>
      </c>
      <c r="C3447" s="0" t="n">
        <v>0.417048728320901</v>
      </c>
      <c r="D3447" s="0" t="n">
        <f aca="false">A3447/SUM($A3447:$C3447)</f>
        <v>0.541026530788115</v>
      </c>
      <c r="E3447" s="0" t="n">
        <f aca="false">B3447/SUM($A3447:$C3447)</f>
        <v>0.172040884416154</v>
      </c>
      <c r="F3447" s="0" t="n">
        <f aca="false">C3447/SUM($A3447:$C3447)</f>
        <v>0.286932584795731</v>
      </c>
      <c r="G3447" s="0" t="n">
        <f aca="false">SUMPRODUCT(D3447:F3447,Stats!$B$6:$D$6)</f>
        <v>0.358470658611805</v>
      </c>
      <c r="H3447" s="0" t="n">
        <f aca="false">SQRT(SUMPRODUCT(MMULT(D3447:F3447,Stats!$B$12:$D$14),D3447:F3447))</f>
        <v>0.221841959485751</v>
      </c>
      <c r="I3447" s="0" t="n">
        <f aca="false">(G3447-Stats!$B$2)/H3447</f>
        <v>1.42655906639759</v>
      </c>
    </row>
    <row r="3448" customFormat="false" ht="15" hidden="false" customHeight="false" outlineLevel="0" collapsed="false">
      <c r="A3448" s="0" t="n">
        <v>0.350470202317928</v>
      </c>
      <c r="B3448" s="0" t="n">
        <v>0.858813914674857</v>
      </c>
      <c r="C3448" s="0" t="n">
        <v>0.126544458713408</v>
      </c>
      <c r="D3448" s="0" t="n">
        <f aca="false">A3448/SUM($A3448:$C3448)</f>
        <v>0.262361659790554</v>
      </c>
      <c r="E3448" s="0" t="n">
        <f aca="false">B3448/SUM($A3448:$C3448)</f>
        <v>0.642907278893057</v>
      </c>
      <c r="F3448" s="0" t="n">
        <f aca="false">C3448/SUM($A3448:$C3448)</f>
        <v>0.0947310613163891</v>
      </c>
      <c r="G3448" s="0" t="n">
        <f aca="false">SUMPRODUCT(D3448:F3448,Stats!$B$6:$D$6)</f>
        <v>0.390863584604907</v>
      </c>
      <c r="H3448" s="0" t="n">
        <f aca="false">SQRT(SUMPRODUCT(MMULT(D3448:F3448,Stats!$B$12:$D$14),D3448:F3448))</f>
        <v>0.234353149662883</v>
      </c>
      <c r="I3448" s="0" t="n">
        <f aca="false">(G3448-Stats!$B$2)/H3448</f>
        <v>1.48862340918715</v>
      </c>
    </row>
    <row r="3449" customFormat="false" ht="15" hidden="false" customHeight="false" outlineLevel="0" collapsed="false">
      <c r="A3449" s="0" t="n">
        <v>0.565644882384789</v>
      </c>
      <c r="B3449" s="0" t="n">
        <v>0.142061609443062</v>
      </c>
      <c r="C3449" s="0" t="n">
        <v>0.704795836132187</v>
      </c>
      <c r="D3449" s="0" t="n">
        <f aca="false">A3449/SUM($A3449:$C3449)</f>
        <v>0.40045589390405</v>
      </c>
      <c r="E3449" s="0" t="n">
        <f aca="false">B3449/SUM($A3449:$C3449)</f>
        <v>0.100574424998103</v>
      </c>
      <c r="F3449" s="0" t="n">
        <f aca="false">C3449/SUM($A3449:$C3449)</f>
        <v>0.498969681097847</v>
      </c>
      <c r="G3449" s="0" t="n">
        <f aca="false">SUMPRODUCT(D3449:F3449,Stats!$B$6:$D$6)</f>
        <v>0.348511729657343</v>
      </c>
      <c r="H3449" s="0" t="n">
        <f aca="false">SQRT(SUMPRODUCT(MMULT(D3449:F3449,Stats!$B$12:$D$14),D3449:F3449))</f>
        <v>0.225183006980159</v>
      </c>
      <c r="I3449" s="0" t="n">
        <f aca="false">(G3449-Stats!$B$2)/H3449</f>
        <v>1.36116722912555</v>
      </c>
    </row>
    <row r="3450" customFormat="false" ht="15" hidden="false" customHeight="false" outlineLevel="0" collapsed="false">
      <c r="A3450" s="0" t="n">
        <v>0.905078127794481</v>
      </c>
      <c r="B3450" s="0" t="n">
        <v>0.434607653867253</v>
      </c>
      <c r="C3450" s="0" t="n">
        <v>0.488092260264976</v>
      </c>
      <c r="D3450" s="0" t="n">
        <f aca="false">A3450/SUM($A3450:$C3450)</f>
        <v>0.495179451242566</v>
      </c>
      <c r="E3450" s="0" t="n">
        <f aca="false">B3450/SUM($A3450:$C3450)</f>
        <v>0.237779229150341</v>
      </c>
      <c r="F3450" s="0" t="n">
        <f aca="false">C3450/SUM($A3450:$C3450)</f>
        <v>0.267041319607092</v>
      </c>
      <c r="G3450" s="0" t="n">
        <f aca="false">SUMPRODUCT(D3450:F3450,Stats!$B$6:$D$6)</f>
        <v>0.362801651871329</v>
      </c>
      <c r="H3450" s="0" t="n">
        <f aca="false">SQRT(SUMPRODUCT(MMULT(D3450:F3450,Stats!$B$12:$D$14),D3450:F3450))</f>
        <v>0.222652985614743</v>
      </c>
      <c r="I3450" s="0" t="n">
        <f aca="false">(G3450-Stats!$B$2)/H3450</f>
        <v>1.44081450776687</v>
      </c>
    </row>
    <row r="3451" customFormat="false" ht="15" hidden="false" customHeight="false" outlineLevel="0" collapsed="false">
      <c r="A3451" s="0" t="n">
        <v>0.927422836482762</v>
      </c>
      <c r="B3451" s="0" t="n">
        <v>0.520991388649357</v>
      </c>
      <c r="C3451" s="0" t="n">
        <v>0.487598438049561</v>
      </c>
      <c r="D3451" s="0" t="n">
        <f aca="false">A3451/SUM($A3451:$C3451)</f>
        <v>0.47903758798696</v>
      </c>
      <c r="E3451" s="0" t="n">
        <f aca="false">B3451/SUM($A3451:$C3451)</f>
        <v>0.269105362045076</v>
      </c>
      <c r="F3451" s="0" t="n">
        <f aca="false">C3451/SUM($A3451:$C3451)</f>
        <v>0.251857049967965</v>
      </c>
      <c r="G3451" s="0" t="n">
        <f aca="false">SUMPRODUCT(D3451:F3451,Stats!$B$6:$D$6)</f>
        <v>0.365022817408594</v>
      </c>
      <c r="H3451" s="0" t="n">
        <f aca="false">SQRT(SUMPRODUCT(MMULT(D3451:F3451,Stats!$B$12:$D$14),D3451:F3451))</f>
        <v>0.223122775164834</v>
      </c>
      <c r="I3451" s="0" t="n">
        <f aca="false">(G3451-Stats!$B$2)/H3451</f>
        <v>1.44773574624983</v>
      </c>
    </row>
    <row r="3452" customFormat="false" ht="15" hidden="false" customHeight="false" outlineLevel="0" collapsed="false">
      <c r="A3452" s="0" t="n">
        <v>0.578329102704304</v>
      </c>
      <c r="B3452" s="0" t="n">
        <v>0.689229736362952</v>
      </c>
      <c r="C3452" s="0" t="n">
        <v>0.106883375087031</v>
      </c>
      <c r="D3452" s="0" t="n">
        <f aca="false">A3452/SUM($A3452:$C3452)</f>
        <v>0.420773675858143</v>
      </c>
      <c r="E3452" s="0" t="n">
        <f aca="false">B3452/SUM($A3452:$C3452)</f>
        <v>0.501461414139585</v>
      </c>
      <c r="F3452" s="0" t="n">
        <f aca="false">C3452/SUM($A3452:$C3452)</f>
        <v>0.0777649100022718</v>
      </c>
      <c r="G3452" s="0" t="n">
        <f aca="false">SUMPRODUCT(D3452:F3452,Stats!$B$6:$D$6)</f>
        <v>0.383192807713755</v>
      </c>
      <c r="H3452" s="0" t="n">
        <f aca="false">SQRT(SUMPRODUCT(MMULT(D3452:F3452,Stats!$B$12:$D$14),D3452:F3452))</f>
        <v>0.228756124326809</v>
      </c>
      <c r="I3452" s="0" t="n">
        <f aca="false">(G3452-Stats!$B$2)/H3452</f>
        <v>1.49151332545884</v>
      </c>
    </row>
    <row r="3453" customFormat="false" ht="15" hidden="false" customHeight="false" outlineLevel="0" collapsed="false">
      <c r="A3453" s="0" t="n">
        <v>0.821110527741516</v>
      </c>
      <c r="B3453" s="0" t="n">
        <v>0.435505027453259</v>
      </c>
      <c r="C3453" s="0" t="n">
        <v>0.0723485098974855</v>
      </c>
      <c r="D3453" s="0" t="n">
        <f aca="false">A3453/SUM($A3453:$C3453)</f>
        <v>0.617857584948704</v>
      </c>
      <c r="E3453" s="0" t="n">
        <f aca="false">B3453/SUM($A3453:$C3453)</f>
        <v>0.327702636130365</v>
      </c>
      <c r="F3453" s="0" t="n">
        <f aca="false">C3453/SUM($A3453:$C3453)</f>
        <v>0.0544397789209318</v>
      </c>
      <c r="G3453" s="0" t="n">
        <f aca="false">SUMPRODUCT(D3453:F3453,Stats!$B$6:$D$6)</f>
        <v>0.373838134036941</v>
      </c>
      <c r="H3453" s="0" t="n">
        <f aca="false">SQRT(SUMPRODUCT(MMULT(D3453:F3453,Stats!$B$12:$D$14),D3453:F3453))</f>
        <v>0.225860934968432</v>
      </c>
      <c r="I3453" s="0" t="n">
        <f aca="false">(G3453-Stats!$B$2)/H3453</f>
        <v>1.46921438221851</v>
      </c>
    </row>
    <row r="3454" customFormat="false" ht="15" hidden="false" customHeight="false" outlineLevel="0" collapsed="false">
      <c r="A3454" s="0" t="n">
        <v>0.786182669198213</v>
      </c>
      <c r="B3454" s="0" t="n">
        <v>0.376949971686272</v>
      </c>
      <c r="C3454" s="0" t="n">
        <v>0.100367495095054</v>
      </c>
      <c r="D3454" s="0" t="n">
        <f aca="false">A3454/SUM($A3454:$C3454)</f>
        <v>0.622226026583463</v>
      </c>
      <c r="E3454" s="0" t="n">
        <f aca="false">B3454/SUM($A3454:$C3454)</f>
        <v>0.29833789562202</v>
      </c>
      <c r="F3454" s="0" t="n">
        <f aca="false">C3454/SUM($A3454:$C3454)</f>
        <v>0.0794360777945173</v>
      </c>
      <c r="G3454" s="0" t="n">
        <f aca="false">SUMPRODUCT(D3454:F3454,Stats!$B$6:$D$6)</f>
        <v>0.371459261546774</v>
      </c>
      <c r="H3454" s="0" t="n">
        <f aca="false">SQRT(SUMPRODUCT(MMULT(D3454:F3454,Stats!$B$12:$D$14),D3454:F3454))</f>
        <v>0.225035484222718</v>
      </c>
      <c r="I3454" s="0" t="n">
        <f aca="false">(G3454-Stats!$B$2)/H3454</f>
        <v>1.46403249551838</v>
      </c>
    </row>
    <row r="3455" customFormat="false" ht="15" hidden="false" customHeight="false" outlineLevel="0" collapsed="false">
      <c r="A3455" s="0" t="n">
        <v>0.633779039543251</v>
      </c>
      <c r="B3455" s="0" t="n">
        <v>0.880131353433642</v>
      </c>
      <c r="C3455" s="0" t="n">
        <v>0.887753509413986</v>
      </c>
      <c r="D3455" s="0" t="n">
        <f aca="false">A3455/SUM($A3455:$C3455)</f>
        <v>0.263891645667955</v>
      </c>
      <c r="E3455" s="0" t="n">
        <f aca="false">B3455/SUM($A3455:$C3455)</f>
        <v>0.366467328154228</v>
      </c>
      <c r="F3455" s="0" t="n">
        <f aca="false">C3455/SUM($A3455:$C3455)</f>
        <v>0.369641026177818</v>
      </c>
      <c r="G3455" s="0" t="n">
        <f aca="false">SUMPRODUCT(D3455:F3455,Stats!$B$6:$D$6)</f>
        <v>0.3673770510835</v>
      </c>
      <c r="H3455" s="0" t="n">
        <f aca="false">SQRT(SUMPRODUCT(MMULT(D3455:F3455,Stats!$B$12:$D$14),D3455:F3455))</f>
        <v>0.228805993053253</v>
      </c>
      <c r="I3455" s="0" t="n">
        <f aca="false">(G3455-Stats!$B$2)/H3455</f>
        <v>1.42206524724975</v>
      </c>
    </row>
    <row r="3456" customFormat="false" ht="15" hidden="false" customHeight="false" outlineLevel="0" collapsed="false">
      <c r="A3456" s="0" t="n">
        <v>0.957663474808973</v>
      </c>
      <c r="B3456" s="0" t="n">
        <v>0.867705459766688</v>
      </c>
      <c r="C3456" s="0" t="n">
        <v>0.00214091934547522</v>
      </c>
      <c r="D3456" s="0" t="n">
        <f aca="false">A3456/SUM($A3456:$C3456)</f>
        <v>0.524026435619044</v>
      </c>
      <c r="E3456" s="0" t="n">
        <f aca="false">B3456/SUM($A3456:$C3456)</f>
        <v>0.474802069003855</v>
      </c>
      <c r="F3456" s="0" t="n">
        <f aca="false">C3456/SUM($A3456:$C3456)</f>
        <v>0.00117149537710105</v>
      </c>
      <c r="G3456" s="0" t="n">
        <f aca="false">SUMPRODUCT(D3456:F3456,Stats!$B$6:$D$6)</f>
        <v>0.383770897448073</v>
      </c>
      <c r="H3456" s="0" t="n">
        <f aca="false">SQRT(SUMPRODUCT(MMULT(D3456:F3456,Stats!$B$12:$D$14),D3456:F3456))</f>
        <v>0.229122031269006</v>
      </c>
      <c r="I3456" s="0" t="n">
        <f aca="false">(G3456-Stats!$B$2)/H3456</f>
        <v>1.49165444961863</v>
      </c>
    </row>
    <row r="3457" customFormat="false" ht="15" hidden="false" customHeight="false" outlineLevel="0" collapsed="false">
      <c r="A3457" s="0" t="n">
        <v>0.38024116641339</v>
      </c>
      <c r="B3457" s="0" t="n">
        <v>0.818542579905503</v>
      </c>
      <c r="C3457" s="0" t="n">
        <v>0.366253005998474</v>
      </c>
      <c r="D3457" s="0" t="n">
        <f aca="false">A3457/SUM($A3457:$C3457)</f>
        <v>0.24295989589405</v>
      </c>
      <c r="E3457" s="0" t="n">
        <f aca="false">B3457/SUM($A3457:$C3457)</f>
        <v>0.523018119985667</v>
      </c>
      <c r="F3457" s="0" t="n">
        <f aca="false">C3457/SUM($A3457:$C3457)</f>
        <v>0.234021984120283</v>
      </c>
      <c r="G3457" s="0" t="n">
        <f aca="false">SUMPRODUCT(D3457:F3457,Stats!$B$6:$D$6)</f>
        <v>0.380124423948666</v>
      </c>
      <c r="H3457" s="0" t="n">
        <f aca="false">SQRT(SUMPRODUCT(MMULT(D3457:F3457,Stats!$B$12:$D$14),D3457:F3457))</f>
        <v>0.231351511749223</v>
      </c>
      <c r="I3457" s="0" t="n">
        <f aca="false">(G3457-Stats!$B$2)/H3457</f>
        <v>1.46151810892501</v>
      </c>
    </row>
    <row r="3458" customFormat="false" ht="15" hidden="false" customHeight="false" outlineLevel="0" collapsed="false">
      <c r="A3458" s="0" t="n">
        <v>0.601548506379706</v>
      </c>
      <c r="B3458" s="0" t="n">
        <v>0.606316947374532</v>
      </c>
      <c r="C3458" s="0" t="n">
        <v>0.365025304038823</v>
      </c>
      <c r="D3458" s="0" t="n">
        <f aca="false">A3458/SUM($A3458:$C3458)</f>
        <v>0.382447734147631</v>
      </c>
      <c r="E3458" s="0" t="n">
        <f aca="false">B3458/SUM($A3458:$C3458)</f>
        <v>0.385479375710276</v>
      </c>
      <c r="F3458" s="0" t="n">
        <f aca="false">C3458/SUM($A3458:$C3458)</f>
        <v>0.232072890142093</v>
      </c>
      <c r="G3458" s="0" t="n">
        <f aca="false">SUMPRODUCT(D3458:F3458,Stats!$B$6:$D$6)</f>
        <v>0.372264368132761</v>
      </c>
      <c r="H3458" s="0" t="n">
        <f aca="false">SQRT(SUMPRODUCT(MMULT(D3458:F3458,Stats!$B$12:$D$14),D3458:F3458))</f>
        <v>0.225879582998646</v>
      </c>
      <c r="I3458" s="0" t="n">
        <f aca="false">(G3458-Stats!$B$2)/H3458</f>
        <v>1.46212580946168</v>
      </c>
    </row>
    <row r="3459" customFormat="false" ht="15" hidden="false" customHeight="false" outlineLevel="0" collapsed="false">
      <c r="A3459" s="0" t="n">
        <v>0.904473927281288</v>
      </c>
      <c r="B3459" s="0" t="n">
        <v>0.503228345386118</v>
      </c>
      <c r="C3459" s="0" t="n">
        <v>0.464784205937501</v>
      </c>
      <c r="D3459" s="0" t="n">
        <f aca="false">A3459/SUM($A3459:$C3459)</f>
        <v>0.483033622734176</v>
      </c>
      <c r="E3459" s="0" t="n">
        <f aca="false">B3459/SUM($A3459:$C3459)</f>
        <v>0.26874872055741</v>
      </c>
      <c r="F3459" s="0" t="n">
        <f aca="false">C3459/SUM($A3459:$C3459)</f>
        <v>0.248217656708415</v>
      </c>
      <c r="G3459" s="0" t="n">
        <f aca="false">SUMPRODUCT(D3459:F3459,Stats!$B$6:$D$6)</f>
        <v>0.365102651588333</v>
      </c>
      <c r="H3459" s="0" t="n">
        <f aca="false">SQRT(SUMPRODUCT(MMULT(D3459:F3459,Stats!$B$12:$D$14),D3459:F3459))</f>
        <v>0.223093206440181</v>
      </c>
      <c r="I3459" s="0" t="n">
        <f aca="false">(G3459-Stats!$B$2)/H3459</f>
        <v>1.44828548006445</v>
      </c>
    </row>
    <row r="3460" customFormat="false" ht="15" hidden="false" customHeight="false" outlineLevel="0" collapsed="false">
      <c r="A3460" s="0" t="n">
        <v>0.997513745661896</v>
      </c>
      <c r="B3460" s="0" t="n">
        <v>0.493500364072617</v>
      </c>
      <c r="C3460" s="0" t="n">
        <v>0.178398251928581</v>
      </c>
      <c r="D3460" s="0" t="n">
        <f aca="false">A3460/SUM($A3460:$C3460)</f>
        <v>0.597523876406521</v>
      </c>
      <c r="E3460" s="0" t="n">
        <f aca="false">B3460/SUM($A3460:$C3460)</f>
        <v>0.295613220199822</v>
      </c>
      <c r="F3460" s="0" t="n">
        <f aca="false">C3460/SUM($A3460:$C3460)</f>
        <v>0.106862903393658</v>
      </c>
      <c r="G3460" s="0" t="n">
        <f aca="false">SUMPRODUCT(D3460:F3460,Stats!$B$6:$D$6)</f>
        <v>0.370546203082474</v>
      </c>
      <c r="H3460" s="0" t="n">
        <f aca="false">SQRT(SUMPRODUCT(MMULT(D3460:F3460,Stats!$B$12:$D$14),D3460:F3460))</f>
        <v>0.224416246920362</v>
      </c>
      <c r="I3460" s="0" t="n">
        <f aca="false">(G3460-Stats!$B$2)/H3460</f>
        <v>1.46400364319016</v>
      </c>
    </row>
    <row r="3461" customFormat="false" ht="15" hidden="false" customHeight="false" outlineLevel="0" collapsed="false">
      <c r="A3461" s="0" t="n">
        <v>0.513069422863438</v>
      </c>
      <c r="B3461" s="0" t="n">
        <v>0.81401673551993</v>
      </c>
      <c r="C3461" s="0" t="n">
        <v>0.776860326898281</v>
      </c>
      <c r="D3461" s="0" t="n">
        <f aca="false">A3461/SUM($A3461:$C3461)</f>
        <v>0.24386049096432</v>
      </c>
      <c r="E3461" s="0" t="n">
        <f aca="false">B3461/SUM($A3461:$C3461)</f>
        <v>0.386899924125665</v>
      </c>
      <c r="F3461" s="0" t="n">
        <f aca="false">C3461/SUM($A3461:$C3461)</f>
        <v>0.369239584910015</v>
      </c>
      <c r="G3461" s="0" t="n">
        <f aca="false">SUMPRODUCT(D3461:F3461,Stats!$B$6:$D$6)</f>
        <v>0.368563785798862</v>
      </c>
      <c r="H3461" s="0" t="n">
        <f aca="false">SQRT(SUMPRODUCT(MMULT(D3461:F3461,Stats!$B$12:$D$14),D3461:F3461))</f>
        <v>0.229670989715609</v>
      </c>
      <c r="I3461" s="0" t="n">
        <f aca="false">(G3461-Stats!$B$2)/H3461</f>
        <v>1.42187651214997</v>
      </c>
    </row>
    <row r="3462" customFormat="false" ht="15" hidden="false" customHeight="false" outlineLevel="0" collapsed="false">
      <c r="A3462" s="0" t="n">
        <v>0.788581765108471</v>
      </c>
      <c r="B3462" s="0" t="n">
        <v>0.708023783997912</v>
      </c>
      <c r="C3462" s="0" t="n">
        <v>0.254217829066688</v>
      </c>
      <c r="D3462" s="0" t="n">
        <f aca="false">A3462/SUM($A3462:$C3462)</f>
        <v>0.450406234540534</v>
      </c>
      <c r="E3462" s="0" t="n">
        <f aca="false">B3462/SUM($A3462:$C3462)</f>
        <v>0.404394750963808</v>
      </c>
      <c r="F3462" s="0" t="n">
        <f aca="false">C3462/SUM($A3462:$C3462)</f>
        <v>0.145199014495658</v>
      </c>
      <c r="G3462" s="0" t="n">
        <f aca="false">SUMPRODUCT(D3462:F3462,Stats!$B$6:$D$6)</f>
        <v>0.37574824805066</v>
      </c>
      <c r="H3462" s="0" t="n">
        <f aca="false">SQRT(SUMPRODUCT(MMULT(D3462:F3462,Stats!$B$12:$D$14),D3462:F3462))</f>
        <v>0.225857171161841</v>
      </c>
      <c r="I3462" s="0" t="n">
        <f aca="false">(G3462-Stats!$B$2)/H3462</f>
        <v>1.47769604274158</v>
      </c>
    </row>
    <row r="3463" customFormat="false" ht="15" hidden="false" customHeight="false" outlineLevel="0" collapsed="false">
      <c r="A3463" s="0" t="n">
        <v>0.862084085840231</v>
      </c>
      <c r="B3463" s="0" t="n">
        <v>0.893443465376265</v>
      </c>
      <c r="C3463" s="0" t="n">
        <v>0.194152696618549</v>
      </c>
      <c r="D3463" s="0" t="n">
        <f aca="false">A3463/SUM($A3463:$C3463)</f>
        <v>0.442166907521119</v>
      </c>
      <c r="E3463" s="0" t="n">
        <f aca="false">B3463/SUM($A3463:$C3463)</f>
        <v>0.458251278058727</v>
      </c>
      <c r="F3463" s="0" t="n">
        <f aca="false">C3463/SUM($A3463:$C3463)</f>
        <v>0.0995818144201539</v>
      </c>
      <c r="G3463" s="0" t="n">
        <f aca="false">SUMPRODUCT(D3463:F3463,Stats!$B$6:$D$6)</f>
        <v>0.380104959661347</v>
      </c>
      <c r="H3463" s="0" t="n">
        <f aca="false">SQRT(SUMPRODUCT(MMULT(D3463:F3463,Stats!$B$12:$D$14),D3463:F3463))</f>
        <v>0.227408571186866</v>
      </c>
      <c r="I3463" s="0" t="n">
        <f aca="false">(G3463-Stats!$B$2)/H3463</f>
        <v>1.48677315853464</v>
      </c>
    </row>
    <row r="3464" customFormat="false" ht="15" hidden="false" customHeight="false" outlineLevel="0" collapsed="false">
      <c r="A3464" s="0" t="n">
        <v>0.130455636551394</v>
      </c>
      <c r="B3464" s="0" t="n">
        <v>0.975604968589112</v>
      </c>
      <c r="C3464" s="0" t="n">
        <v>0.868323963650368</v>
      </c>
      <c r="D3464" s="0" t="n">
        <f aca="false">A3464/SUM($A3464:$C3464)</f>
        <v>0.0660740762531819</v>
      </c>
      <c r="E3464" s="0" t="n">
        <f aca="false">B3464/SUM($A3464:$C3464)</f>
        <v>0.494131175866401</v>
      </c>
      <c r="F3464" s="0" t="n">
        <f aca="false">C3464/SUM($A3464:$C3464)</f>
        <v>0.439794747880417</v>
      </c>
      <c r="G3464" s="0" t="n">
        <f aca="false">SUMPRODUCT(D3464:F3464,Stats!$B$6:$D$6)</f>
        <v>0.372788201755364</v>
      </c>
      <c r="H3464" s="0" t="n">
        <f aca="false">SQRT(SUMPRODUCT(MMULT(D3464:F3464,Stats!$B$12:$D$14),D3464:F3464))</f>
        <v>0.238963346093795</v>
      </c>
      <c r="I3464" s="0" t="n">
        <f aca="false">(G3464-Stats!$B$2)/H3464</f>
        <v>1.3842633490139</v>
      </c>
    </row>
    <row r="3465" customFormat="false" ht="15" hidden="false" customHeight="false" outlineLevel="0" collapsed="false">
      <c r="A3465" s="0" t="n">
        <v>0.893236147209947</v>
      </c>
      <c r="B3465" s="0" t="n">
        <v>0.886376384624395</v>
      </c>
      <c r="C3465" s="0" t="n">
        <v>0.541686824033728</v>
      </c>
      <c r="D3465" s="0" t="n">
        <f aca="false">A3465/SUM($A3465:$C3465)</f>
        <v>0.384800066803927</v>
      </c>
      <c r="E3465" s="0" t="n">
        <f aca="false">B3465/SUM($A3465:$C3465)</f>
        <v>0.381844927662476</v>
      </c>
      <c r="F3465" s="0" t="n">
        <f aca="false">C3465/SUM($A3465:$C3465)</f>
        <v>0.233355005533597</v>
      </c>
      <c r="G3465" s="0" t="n">
        <f aca="false">SUMPRODUCT(D3465:F3465,Stats!$B$6:$D$6)</f>
        <v>0.372019892857272</v>
      </c>
      <c r="H3465" s="0" t="n">
        <f aca="false">SQRT(SUMPRODUCT(MMULT(D3465:F3465,Stats!$B$12:$D$14),D3465:F3465))</f>
        <v>0.225783717335673</v>
      </c>
      <c r="I3465" s="0" t="n">
        <f aca="false">(G3465-Stats!$B$2)/H3465</f>
        <v>1.46166382922392</v>
      </c>
    </row>
    <row r="3466" customFormat="false" ht="15" hidden="false" customHeight="false" outlineLevel="0" collapsed="false">
      <c r="A3466" s="0" t="n">
        <v>0.6464017366658</v>
      </c>
      <c r="B3466" s="0" t="n">
        <v>0.545362852133642</v>
      </c>
      <c r="C3466" s="0" t="n">
        <v>0.0512063491903291</v>
      </c>
      <c r="D3466" s="0" t="n">
        <f aca="false">A3466/SUM($A3466:$C3466)</f>
        <v>0.520045736315614</v>
      </c>
      <c r="E3466" s="0" t="n">
        <f aca="false">B3466/SUM($A3466:$C3466)</f>
        <v>0.438757524786255</v>
      </c>
      <c r="F3466" s="0" t="n">
        <f aca="false">C3466/SUM($A3466:$C3466)</f>
        <v>0.0411967388981306</v>
      </c>
      <c r="G3466" s="0" t="n">
        <f aca="false">SUMPRODUCT(D3466:F3466,Stats!$B$6:$D$6)</f>
        <v>0.380593260329759</v>
      </c>
      <c r="H3466" s="0" t="n">
        <f aca="false">SQRT(SUMPRODUCT(MMULT(D3466:F3466,Stats!$B$12:$D$14),D3466:F3466))</f>
        <v>0.227619035223808</v>
      </c>
      <c r="I3466" s="0" t="n">
        <f aca="false">(G3466-Stats!$B$2)/H3466</f>
        <v>1.48754369333318</v>
      </c>
    </row>
    <row r="3467" customFormat="false" ht="15" hidden="false" customHeight="false" outlineLevel="0" collapsed="false">
      <c r="A3467" s="0" t="n">
        <v>0.745503085352773</v>
      </c>
      <c r="B3467" s="0" t="n">
        <v>0.50533203333588</v>
      </c>
      <c r="C3467" s="0" t="n">
        <v>0.64770907479023</v>
      </c>
      <c r="D3467" s="0" t="n">
        <f aca="false">A3467/SUM($A3467:$C3467)</f>
        <v>0.392670914858567</v>
      </c>
      <c r="E3467" s="0" t="n">
        <f aca="false">B3467/SUM($A3467:$C3467)</f>
        <v>0.26616816983855</v>
      </c>
      <c r="F3467" s="0" t="n">
        <f aca="false">C3467/SUM($A3467:$C3467)</f>
        <v>0.341160915302883</v>
      </c>
      <c r="G3467" s="0" t="n">
        <f aca="false">SUMPRODUCT(D3467:F3467,Stats!$B$6:$D$6)</f>
        <v>0.362391295432026</v>
      </c>
      <c r="H3467" s="0" t="n">
        <f aca="false">SQRT(SUMPRODUCT(MMULT(D3467:F3467,Stats!$B$12:$D$14),D3467:F3467))</f>
        <v>0.22441721752355</v>
      </c>
      <c r="I3467" s="0" t="n">
        <f aca="false">(G3467-Stats!$B$2)/H3467</f>
        <v>1.42765915631409</v>
      </c>
    </row>
    <row r="3468" customFormat="false" ht="15" hidden="false" customHeight="false" outlineLevel="0" collapsed="false">
      <c r="A3468" s="0" t="n">
        <v>0.502639804975535</v>
      </c>
      <c r="B3468" s="0" t="n">
        <v>0.491811322322456</v>
      </c>
      <c r="C3468" s="0" t="n">
        <v>0.171789109477767</v>
      </c>
      <c r="D3468" s="0" t="n">
        <f aca="false">A3468/SUM($A3468:$C3468)</f>
        <v>0.430991650884175</v>
      </c>
      <c r="E3468" s="0" t="n">
        <f aca="false">B3468/SUM($A3468:$C3468)</f>
        <v>0.421706700569807</v>
      </c>
      <c r="F3468" s="0" t="n">
        <f aca="false">C3468/SUM($A3468:$C3468)</f>
        <v>0.147301648546017</v>
      </c>
      <c r="G3468" s="0" t="n">
        <f aca="false">SUMPRODUCT(D3468:F3468,Stats!$B$6:$D$6)</f>
        <v>0.376686375899348</v>
      </c>
      <c r="H3468" s="0" t="n">
        <f aca="false">SQRT(SUMPRODUCT(MMULT(D3468:F3468,Stats!$B$12:$D$14),D3468:F3468))</f>
        <v>0.226314927631259</v>
      </c>
      <c r="I3468" s="0" t="n">
        <f aca="false">(G3468-Stats!$B$2)/H3468</f>
        <v>1.47885240890809</v>
      </c>
    </row>
    <row r="3469" customFormat="false" ht="15" hidden="false" customHeight="false" outlineLevel="0" collapsed="false">
      <c r="A3469" s="0" t="n">
        <v>0.278713715141149</v>
      </c>
      <c r="B3469" s="0" t="n">
        <v>0.158852691943956</v>
      </c>
      <c r="C3469" s="0" t="n">
        <v>0.195666295625342</v>
      </c>
      <c r="D3469" s="0" t="n">
        <f aca="false">A3469/SUM($A3469:$C3469)</f>
        <v>0.4401442217816</v>
      </c>
      <c r="E3469" s="0" t="n">
        <f aca="false">B3469/SUM($A3469:$C3469)</f>
        <v>0.250859899155576</v>
      </c>
      <c r="F3469" s="0" t="n">
        <f aca="false">C3469/SUM($A3469:$C3469)</f>
        <v>0.308995879062824</v>
      </c>
      <c r="G3469" s="0" t="n">
        <f aca="false">SUMPRODUCT(D3469:F3469,Stats!$B$6:$D$6)</f>
        <v>0.362397415853031</v>
      </c>
      <c r="H3469" s="0" t="n">
        <f aca="false">SQRT(SUMPRODUCT(MMULT(D3469:F3469,Stats!$B$12:$D$14),D3469:F3469))</f>
        <v>0.223388601856162</v>
      </c>
      <c r="I3469" s="0" t="n">
        <f aca="false">(G3469-Stats!$B$2)/H3469</f>
        <v>1.43426035702274</v>
      </c>
    </row>
    <row r="3470" customFormat="false" ht="15" hidden="false" customHeight="false" outlineLevel="0" collapsed="false">
      <c r="A3470" s="0" t="n">
        <v>0.972977380420305</v>
      </c>
      <c r="B3470" s="0" t="n">
        <v>0.153113445772198</v>
      </c>
      <c r="C3470" s="0" t="n">
        <v>0.269270424305208</v>
      </c>
      <c r="D3470" s="0" t="n">
        <f aca="false">A3470/SUM($A3470:$C3470)</f>
        <v>0.697294252705709</v>
      </c>
      <c r="E3470" s="0" t="n">
        <f aca="false">B3470/SUM($A3470:$C3470)</f>
        <v>0.109730326621572</v>
      </c>
      <c r="F3470" s="0" t="n">
        <f aca="false">C3470/SUM($A3470:$C3470)</f>
        <v>0.192975420672719</v>
      </c>
      <c r="G3470" s="0" t="n">
        <f aca="false">SUMPRODUCT(D3470:F3470,Stats!$B$6:$D$6)</f>
        <v>0.357476222426148</v>
      </c>
      <c r="H3470" s="0" t="n">
        <f aca="false">SQRT(SUMPRODUCT(MMULT(D3470:F3470,Stats!$B$12:$D$14),D3470:F3470))</f>
        <v>0.22248784243984</v>
      </c>
      <c r="I3470" s="0" t="n">
        <f aca="false">(G3470-Stats!$B$2)/H3470</f>
        <v>1.41794814029648</v>
      </c>
    </row>
    <row r="3471" customFormat="false" ht="15" hidden="false" customHeight="false" outlineLevel="0" collapsed="false">
      <c r="A3471" s="0" t="n">
        <v>0.590589657738585</v>
      </c>
      <c r="B3471" s="0" t="n">
        <v>0.610178576236642</v>
      </c>
      <c r="C3471" s="0" t="n">
        <v>0.153974129743829</v>
      </c>
      <c r="D3471" s="0" t="n">
        <f aca="false">A3471/SUM($A3471:$C3471)</f>
        <v>0.435942414997115</v>
      </c>
      <c r="E3471" s="0" t="n">
        <f aca="false">B3471/SUM($A3471:$C3471)</f>
        <v>0.450401930712178</v>
      </c>
      <c r="F3471" s="0" t="n">
        <f aca="false">C3471/SUM($A3471:$C3471)</f>
        <v>0.113655654290708</v>
      </c>
      <c r="G3471" s="0" t="n">
        <f aca="false">SUMPRODUCT(D3471:F3471,Stats!$B$6:$D$6)</f>
        <v>0.37926523765289</v>
      </c>
      <c r="H3471" s="0" t="n">
        <f aca="false">SQRT(SUMPRODUCT(MMULT(D3471:F3471,Stats!$B$12:$D$14),D3471:F3471))</f>
        <v>0.227139430985468</v>
      </c>
      <c r="I3471" s="0" t="n">
        <f aca="false">(G3471-Stats!$B$2)/H3471</f>
        <v>1.48483790854644</v>
      </c>
    </row>
    <row r="3472" customFormat="false" ht="15" hidden="false" customHeight="false" outlineLevel="0" collapsed="false">
      <c r="A3472" s="0" t="n">
        <v>0.793717425785212</v>
      </c>
      <c r="B3472" s="0" t="n">
        <v>0.785202867912825</v>
      </c>
      <c r="C3472" s="0" t="n">
        <v>0.237317704203891</v>
      </c>
      <c r="D3472" s="0" t="n">
        <f aca="false">A3472/SUM($A3472:$C3472)</f>
        <v>0.437011793995112</v>
      </c>
      <c r="E3472" s="0" t="n">
        <f aca="false">B3472/SUM($A3472:$C3472)</f>
        <v>0.432323775198994</v>
      </c>
      <c r="F3472" s="0" t="n">
        <f aca="false">C3472/SUM($A3472:$C3472)</f>
        <v>0.130664430805894</v>
      </c>
      <c r="G3472" s="0" t="n">
        <f aca="false">SUMPRODUCT(D3472:F3472,Stats!$B$6:$D$6)</f>
        <v>0.377756033512274</v>
      </c>
      <c r="H3472" s="0" t="n">
        <f aca="false">SQRT(SUMPRODUCT(MMULT(D3472:F3472,Stats!$B$12:$D$14),D3472:F3472))</f>
        <v>0.226608276463458</v>
      </c>
      <c r="I3472" s="0" t="n">
        <f aca="false">(G3472-Stats!$B$2)/H3472</f>
        <v>1.48165829930054</v>
      </c>
    </row>
    <row r="3473" customFormat="false" ht="15" hidden="false" customHeight="false" outlineLevel="0" collapsed="false">
      <c r="A3473" s="0" t="n">
        <v>0.288666302675461</v>
      </c>
      <c r="B3473" s="0" t="n">
        <v>0.937987865459497</v>
      </c>
      <c r="C3473" s="0" t="n">
        <v>0.825671445979478</v>
      </c>
      <c r="D3473" s="0" t="n">
        <f aca="false">A3473/SUM($A3473:$C3473)</f>
        <v>0.140653267049935</v>
      </c>
      <c r="E3473" s="0" t="n">
        <f aca="false">B3473/SUM($A3473:$C3473)</f>
        <v>0.457036573050925</v>
      </c>
      <c r="F3473" s="0" t="n">
        <f aca="false">C3473/SUM($A3473:$C3473)</f>
        <v>0.402310159899139</v>
      </c>
      <c r="G3473" s="0" t="n">
        <f aca="false">SUMPRODUCT(D3473:F3473,Stats!$B$6:$D$6)</f>
        <v>0.37168744941622</v>
      </c>
      <c r="H3473" s="0" t="n">
        <f aca="false">SQRT(SUMPRODUCT(MMULT(D3473:F3473,Stats!$B$12:$D$14),D3473:F3473))</f>
        <v>0.234674455414874</v>
      </c>
      <c r="I3473" s="0" t="n">
        <f aca="false">(G3473-Stats!$B$2)/H3473</f>
        <v>1.40487147965626</v>
      </c>
    </row>
    <row r="3474" customFormat="false" ht="15" hidden="false" customHeight="false" outlineLevel="0" collapsed="false">
      <c r="A3474" s="0" t="n">
        <v>0.697797033062524</v>
      </c>
      <c r="B3474" s="0" t="n">
        <v>0.0822332215106005</v>
      </c>
      <c r="C3474" s="0" t="n">
        <v>0.418264080902576</v>
      </c>
      <c r="D3474" s="0" t="n">
        <f aca="false">A3474/SUM($A3474:$C3474)</f>
        <v>0.582325237134257</v>
      </c>
      <c r="E3474" s="0" t="n">
        <f aca="false">B3474/SUM($A3474:$C3474)</f>
        <v>0.0686252276056663</v>
      </c>
      <c r="F3474" s="0" t="n">
        <f aca="false">C3474/SUM($A3474:$C3474)</f>
        <v>0.349049535260077</v>
      </c>
      <c r="G3474" s="0" t="n">
        <f aca="false">SUMPRODUCT(D3474:F3474,Stats!$B$6:$D$6)</f>
        <v>0.350807404549576</v>
      </c>
      <c r="H3474" s="0" t="n">
        <f aca="false">SQRT(SUMPRODUCT(MMULT(D3474:F3474,Stats!$B$12:$D$14),D3474:F3474))</f>
        <v>0.221382982524523</v>
      </c>
      <c r="I3474" s="0" t="n">
        <f aca="false">(G3474-Stats!$B$2)/H3474</f>
        <v>1.39490127483204</v>
      </c>
    </row>
    <row r="3475" customFormat="false" ht="15" hidden="false" customHeight="false" outlineLevel="0" collapsed="false">
      <c r="A3475" s="0" t="n">
        <v>0.559301872076827</v>
      </c>
      <c r="B3475" s="0" t="n">
        <v>0.187411287983777</v>
      </c>
      <c r="C3475" s="0" t="n">
        <v>0.448226582108225</v>
      </c>
      <c r="D3475" s="0" t="n">
        <f aca="false">A3475/SUM($A3475:$C3475)</f>
        <v>0.468058641234652</v>
      </c>
      <c r="E3475" s="0" t="n">
        <f aca="false">B3475/SUM($A3475:$C3475)</f>
        <v>0.156837438215607</v>
      </c>
      <c r="F3475" s="0" t="n">
        <f aca="false">C3475/SUM($A3475:$C3475)</f>
        <v>0.375103920549741</v>
      </c>
      <c r="G3475" s="0" t="n">
        <f aca="false">SUMPRODUCT(D3475:F3475,Stats!$B$6:$D$6)</f>
        <v>0.355164581323923</v>
      </c>
      <c r="H3475" s="0" t="n">
        <f aca="false">SQRT(SUMPRODUCT(MMULT(D3475:F3475,Stats!$B$12:$D$14),D3475:F3475))</f>
        <v>0.222684801511453</v>
      </c>
      <c r="I3475" s="0" t="n">
        <f aca="false">(G3475-Stats!$B$2)/H3475</f>
        <v>1.40631322478385</v>
      </c>
    </row>
    <row r="3476" customFormat="false" ht="15" hidden="false" customHeight="false" outlineLevel="0" collapsed="false">
      <c r="A3476" s="0" t="n">
        <v>0.60102587748869</v>
      </c>
      <c r="B3476" s="0" t="n">
        <v>0.327376680115399</v>
      </c>
      <c r="C3476" s="0" t="n">
        <v>0.780944818950487</v>
      </c>
      <c r="D3476" s="0" t="n">
        <f aca="false">A3476/SUM($A3476:$C3476)</f>
        <v>0.351611314196498</v>
      </c>
      <c r="E3476" s="0" t="n">
        <f aca="false">B3476/SUM($A3476:$C3476)</f>
        <v>0.191521445322174</v>
      </c>
      <c r="F3476" s="0" t="n">
        <f aca="false">C3476/SUM($A3476:$C3476)</f>
        <v>0.456867240481328</v>
      </c>
      <c r="G3476" s="0" t="n">
        <f aca="false">SUMPRODUCT(D3476:F3476,Stats!$B$6:$D$6)</f>
        <v>0.354905662102915</v>
      </c>
      <c r="H3476" s="0" t="n">
        <f aca="false">SQRT(SUMPRODUCT(MMULT(D3476:F3476,Stats!$B$12:$D$14),D3476:F3476))</f>
        <v>0.225923647213358</v>
      </c>
      <c r="I3476" s="0" t="n">
        <f aca="false">(G3476-Stats!$B$2)/H3476</f>
        <v>1.3850062441999</v>
      </c>
    </row>
    <row r="3477" customFormat="false" ht="15" hidden="false" customHeight="false" outlineLevel="0" collapsed="false">
      <c r="A3477" s="0" t="n">
        <v>0.840449581638806</v>
      </c>
      <c r="B3477" s="0" t="n">
        <v>0.323609469434071</v>
      </c>
      <c r="C3477" s="0" t="n">
        <v>0.838657154492457</v>
      </c>
      <c r="D3477" s="0" t="n">
        <f aca="false">A3477/SUM($A3477:$C3477)</f>
        <v>0.419654856391178</v>
      </c>
      <c r="E3477" s="0" t="n">
        <f aca="false">B3477/SUM($A3477:$C3477)</f>
        <v>0.161585285291443</v>
      </c>
      <c r="F3477" s="0" t="n">
        <f aca="false">C3477/SUM($A3477:$C3477)</f>
        <v>0.418759858317379</v>
      </c>
      <c r="G3477" s="0" t="n">
        <f aca="false">SUMPRODUCT(D3477:F3477,Stats!$B$6:$D$6)</f>
        <v>0.354233970606662</v>
      </c>
      <c r="H3477" s="0" t="n">
        <f aca="false">SQRT(SUMPRODUCT(MMULT(D3477:F3477,Stats!$B$12:$D$14),D3477:F3477))</f>
        <v>0.223848485816095</v>
      </c>
      <c r="I3477" s="0" t="n">
        <f aca="false">(G3477-Stats!$B$2)/H3477</f>
        <v>1.39484513137686</v>
      </c>
    </row>
    <row r="3478" customFormat="false" ht="15" hidden="false" customHeight="false" outlineLevel="0" collapsed="false">
      <c r="A3478" s="0" t="n">
        <v>0.103576566103015</v>
      </c>
      <c r="B3478" s="0" t="n">
        <v>0.837729098622656</v>
      </c>
      <c r="C3478" s="0" t="n">
        <v>0.152750431667617</v>
      </c>
      <c r="D3478" s="0" t="n">
        <f aca="false">A3478/SUM($A3478:$C3478)</f>
        <v>0.0946720798361893</v>
      </c>
      <c r="E3478" s="0" t="n">
        <f aca="false">B3478/SUM($A3478:$C3478)</f>
        <v>0.765709456200966</v>
      </c>
      <c r="F3478" s="0" t="n">
        <f aca="false">C3478/SUM($A3478:$C3478)</f>
        <v>0.139618463962845</v>
      </c>
      <c r="G3478" s="0" t="n">
        <f aca="false">SUMPRODUCT(D3478:F3478,Stats!$B$6:$D$6)</f>
        <v>0.396691710084083</v>
      </c>
      <c r="H3478" s="0" t="n">
        <f aca="false">SQRT(SUMPRODUCT(MMULT(D3478:F3478,Stats!$B$12:$D$14),D3478:F3478))</f>
        <v>0.242218919815797</v>
      </c>
      <c r="I3478" s="0" t="n">
        <f aca="false">(G3478-Stats!$B$2)/H3478</f>
        <v>1.46434353829098</v>
      </c>
    </row>
    <row r="3479" customFormat="false" ht="15" hidden="false" customHeight="false" outlineLevel="0" collapsed="false">
      <c r="A3479" s="0" t="n">
        <v>0.082927152509726</v>
      </c>
      <c r="B3479" s="0" t="n">
        <v>0.641775404441011</v>
      </c>
      <c r="C3479" s="0" t="n">
        <v>0.471937365755294</v>
      </c>
      <c r="D3479" s="0" t="n">
        <f aca="false">A3479/SUM($A3479:$C3479)</f>
        <v>0.0693000049022249</v>
      </c>
      <c r="E3479" s="0" t="n">
        <f aca="false">B3479/SUM($A3479:$C3479)</f>
        <v>0.536314552325588</v>
      </c>
      <c r="F3479" s="0" t="n">
        <f aca="false">C3479/SUM($A3479:$C3479)</f>
        <v>0.394385442772187</v>
      </c>
      <c r="G3479" s="0" t="n">
        <f aca="false">SUMPRODUCT(D3479:F3479,Stats!$B$6:$D$6)</f>
        <v>0.376467522762972</v>
      </c>
      <c r="H3479" s="0" t="n">
        <f aca="false">SQRT(SUMPRODUCT(MMULT(D3479:F3479,Stats!$B$12:$D$14),D3479:F3479))</f>
        <v>0.238874035519427</v>
      </c>
      <c r="I3479" s="0" t="n">
        <f aca="false">(G3479-Stats!$B$2)/H3479</f>
        <v>1.40018366598814</v>
      </c>
    </row>
    <row r="3480" customFormat="false" ht="15" hidden="false" customHeight="false" outlineLevel="0" collapsed="false">
      <c r="A3480" s="0" t="n">
        <v>0.907890600412833</v>
      </c>
      <c r="B3480" s="0" t="n">
        <v>0.363189196090849</v>
      </c>
      <c r="C3480" s="0" t="n">
        <v>0.287152263437629</v>
      </c>
      <c r="D3480" s="0" t="n">
        <f aca="false">A3480/SUM($A3480:$C3480)</f>
        <v>0.582641458709961</v>
      </c>
      <c r="E3480" s="0" t="n">
        <f aca="false">B3480/SUM($A3480:$C3480)</f>
        <v>0.233077733046083</v>
      </c>
      <c r="F3480" s="0" t="n">
        <f aca="false">C3480/SUM($A3480:$C3480)</f>
        <v>0.184280808243956</v>
      </c>
      <c r="G3480" s="0" t="n">
        <f aca="false">SUMPRODUCT(D3480:F3480,Stats!$B$6:$D$6)</f>
        <v>0.36481322313999</v>
      </c>
      <c r="H3480" s="0" t="n">
        <f aca="false">SQRT(SUMPRODUCT(MMULT(D3480:F3480,Stats!$B$12:$D$14),D3480:F3480))</f>
        <v>0.222749276566152</v>
      </c>
      <c r="I3480" s="0" t="n">
        <f aca="false">(G3480-Stats!$B$2)/H3480</f>
        <v>1.44922231899649</v>
      </c>
    </row>
    <row r="3481" customFormat="false" ht="15" hidden="false" customHeight="false" outlineLevel="0" collapsed="false">
      <c r="A3481" s="0" t="n">
        <v>0.500734906144198</v>
      </c>
      <c r="B3481" s="0" t="n">
        <v>0.455946185768661</v>
      </c>
      <c r="C3481" s="0" t="n">
        <v>0.344428046217188</v>
      </c>
      <c r="D3481" s="0" t="n">
        <f aca="false">A3481/SUM($A3481:$C3481)</f>
        <v>0.384852347485511</v>
      </c>
      <c r="E3481" s="0" t="n">
        <f aca="false">B3481/SUM($A3481:$C3481)</f>
        <v>0.350428855202682</v>
      </c>
      <c r="F3481" s="0" t="n">
        <f aca="false">C3481/SUM($A3481:$C3481)</f>
        <v>0.264718797311807</v>
      </c>
      <c r="G3481" s="0" t="n">
        <f aca="false">SUMPRODUCT(D3481:F3481,Stats!$B$6:$D$6)</f>
        <v>0.369347408213827</v>
      </c>
      <c r="H3481" s="0" t="n">
        <f aca="false">SQRT(SUMPRODUCT(MMULT(D3481:F3481,Stats!$B$12:$D$14),D3481:F3481))</f>
        <v>0.225301555690508</v>
      </c>
      <c r="I3481" s="0" t="n">
        <f aca="false">(G3481-Stats!$B$2)/H3481</f>
        <v>1.45293008390718</v>
      </c>
    </row>
    <row r="3482" customFormat="false" ht="15" hidden="false" customHeight="false" outlineLevel="0" collapsed="false">
      <c r="A3482" s="0" t="n">
        <v>0.693741298698329</v>
      </c>
      <c r="B3482" s="0" t="n">
        <v>0.759561833913908</v>
      </c>
      <c r="C3482" s="0" t="n">
        <v>0.852983969030137</v>
      </c>
      <c r="D3482" s="0" t="n">
        <f aca="false">A3482/SUM($A3482:$C3482)</f>
        <v>0.300804396037378</v>
      </c>
      <c r="E3482" s="0" t="n">
        <f aca="false">B3482/SUM($A3482:$C3482)</f>
        <v>0.329344006378478</v>
      </c>
      <c r="F3482" s="0" t="n">
        <f aca="false">C3482/SUM($A3482:$C3482)</f>
        <v>0.369851597584144</v>
      </c>
      <c r="G3482" s="0" t="n">
        <f aca="false">SUMPRODUCT(D3482:F3482,Stats!$B$6:$D$6)</f>
        <v>0.365235216770759</v>
      </c>
      <c r="H3482" s="0" t="n">
        <f aca="false">SQRT(SUMPRODUCT(MMULT(D3482:F3482,Stats!$B$12:$D$14),D3482:F3482))</f>
        <v>0.22733371309419</v>
      </c>
      <c r="I3482" s="0" t="n">
        <f aca="false">(G3482-Stats!$B$2)/H3482</f>
        <v>1.42185341703734</v>
      </c>
    </row>
    <row r="3483" customFormat="false" ht="15" hidden="false" customHeight="false" outlineLevel="0" collapsed="false">
      <c r="A3483" s="0" t="n">
        <v>0.972856604710343</v>
      </c>
      <c r="B3483" s="0" t="n">
        <v>0.266656192132505</v>
      </c>
      <c r="C3483" s="0" t="n">
        <v>0.716093482489962</v>
      </c>
      <c r="D3483" s="0" t="n">
        <f aca="false">A3483/SUM($A3483:$C3483)</f>
        <v>0.497470587506116</v>
      </c>
      <c r="E3483" s="0" t="n">
        <f aca="false">B3483/SUM($A3483:$C3483)</f>
        <v>0.136354743258177</v>
      </c>
      <c r="F3483" s="0" t="n">
        <f aca="false">C3483/SUM($A3483:$C3483)</f>
        <v>0.366174669235706</v>
      </c>
      <c r="G3483" s="0" t="n">
        <f aca="false">SUMPRODUCT(D3483:F3483,Stats!$B$6:$D$6)</f>
        <v>0.35423225423692</v>
      </c>
      <c r="H3483" s="0" t="n">
        <f aca="false">SQRT(SUMPRODUCT(MMULT(D3483:F3483,Stats!$B$12:$D$14),D3483:F3483))</f>
        <v>0.222196816884657</v>
      </c>
      <c r="I3483" s="0" t="n">
        <f aca="false">(G3483-Stats!$B$2)/H3483</f>
        <v>1.40520579283996</v>
      </c>
    </row>
    <row r="3484" customFormat="false" ht="15" hidden="false" customHeight="false" outlineLevel="0" collapsed="false">
      <c r="A3484" s="0" t="n">
        <v>0.394258235495745</v>
      </c>
      <c r="B3484" s="0" t="n">
        <v>0.677081971951108</v>
      </c>
      <c r="C3484" s="0" t="n">
        <v>0.47598169034922</v>
      </c>
      <c r="D3484" s="0" t="n">
        <f aca="false">A3484/SUM($A3484:$C3484)</f>
        <v>0.25480039806669</v>
      </c>
      <c r="E3484" s="0" t="n">
        <f aca="false">B3484/SUM($A3484:$C3484)</f>
        <v>0.437583138269748</v>
      </c>
      <c r="F3484" s="0" t="n">
        <f aca="false">C3484/SUM($A3484:$C3484)</f>
        <v>0.307616463663562</v>
      </c>
      <c r="G3484" s="0" t="n">
        <f aca="false">SUMPRODUCT(D3484:F3484,Stats!$B$6:$D$6)</f>
        <v>0.373179266209585</v>
      </c>
      <c r="H3484" s="0" t="n">
        <f aca="false">SQRT(SUMPRODUCT(MMULT(D3484:F3484,Stats!$B$12:$D$14),D3484:F3484))</f>
        <v>0.229651996353278</v>
      </c>
      <c r="I3484" s="0" t="n">
        <f aca="false">(G3484-Stats!$B$2)/H3484</f>
        <v>1.44209182357869</v>
      </c>
    </row>
    <row r="3485" customFormat="false" ht="15" hidden="false" customHeight="false" outlineLevel="0" collapsed="false">
      <c r="A3485" s="0" t="n">
        <v>0.993773102767932</v>
      </c>
      <c r="B3485" s="0" t="n">
        <v>0.72890213579075</v>
      </c>
      <c r="C3485" s="0" t="n">
        <v>0.952491300434325</v>
      </c>
      <c r="D3485" s="0" t="n">
        <f aca="false">A3485/SUM($A3485:$C3485)</f>
        <v>0.371480836158339</v>
      </c>
      <c r="E3485" s="0" t="n">
        <f aca="false">B3485/SUM($A3485:$C3485)</f>
        <v>0.272469816426878</v>
      </c>
      <c r="F3485" s="0" t="n">
        <f aca="false">C3485/SUM($A3485:$C3485)</f>
        <v>0.356049347414783</v>
      </c>
      <c r="G3485" s="0" t="n">
        <f aca="false">SUMPRODUCT(D3485:F3485,Stats!$B$6:$D$6)</f>
        <v>0.362343341231563</v>
      </c>
      <c r="H3485" s="0" t="n">
        <f aca="false">SQRT(SUMPRODUCT(MMULT(D3485:F3485,Stats!$B$12:$D$14),D3485:F3485))</f>
        <v>0.22497942073736</v>
      </c>
      <c r="I3485" s="0" t="n">
        <f aca="false">(G3485-Stats!$B$2)/H3485</f>
        <v>1.42387841599757</v>
      </c>
    </row>
    <row r="3486" customFormat="false" ht="15" hidden="false" customHeight="false" outlineLevel="0" collapsed="false">
      <c r="A3486" s="0" t="n">
        <v>0.834969549481186</v>
      </c>
      <c r="B3486" s="0" t="n">
        <v>0.902901011163371</v>
      </c>
      <c r="C3486" s="0" t="n">
        <v>0.814419197214675</v>
      </c>
      <c r="D3486" s="0" t="n">
        <f aca="false">A3486/SUM($A3486:$C3486)</f>
        <v>0.327145280785646</v>
      </c>
      <c r="E3486" s="0" t="n">
        <f aca="false">B3486/SUM($A3486:$C3486)</f>
        <v>0.353761170095629</v>
      </c>
      <c r="F3486" s="0" t="n">
        <f aca="false">C3486/SUM($A3486:$C3486)</f>
        <v>0.319093549118726</v>
      </c>
      <c r="G3486" s="0" t="n">
        <f aca="false">SUMPRODUCT(D3486:F3486,Stats!$B$6:$D$6)</f>
        <v>0.368039782432389</v>
      </c>
      <c r="H3486" s="0" t="n">
        <f aca="false">SQRT(SUMPRODUCT(MMULT(D3486:F3486,Stats!$B$12:$D$14),D3486:F3486))</f>
        <v>0.2266322507153</v>
      </c>
      <c r="I3486" s="0" t="n">
        <f aca="false">(G3486-Stats!$B$2)/H3486</f>
        <v>1.43862923923377</v>
      </c>
    </row>
    <row r="3487" customFormat="false" ht="15" hidden="false" customHeight="false" outlineLevel="0" collapsed="false">
      <c r="A3487" s="0" t="n">
        <v>0.459159130375911</v>
      </c>
      <c r="B3487" s="0" t="n">
        <v>0.251788453346884</v>
      </c>
      <c r="C3487" s="0" t="n">
        <v>0.370320175450522</v>
      </c>
      <c r="D3487" s="0" t="n">
        <f aca="false">A3487/SUM($A3487:$C3487)</f>
        <v>0.42464886840514</v>
      </c>
      <c r="E3487" s="0" t="n">
        <f aca="false">B3487/SUM($A3487:$C3487)</f>
        <v>0.232864109015318</v>
      </c>
      <c r="F3487" s="0" t="n">
        <f aca="false">C3487/SUM($A3487:$C3487)</f>
        <v>0.342487022579541</v>
      </c>
      <c r="G3487" s="0" t="n">
        <f aca="false">SUMPRODUCT(D3487:F3487,Stats!$B$6:$D$6)</f>
        <v>0.360438455978753</v>
      </c>
      <c r="H3487" s="0" t="n">
        <f aca="false">SQRT(SUMPRODUCT(MMULT(D3487:F3487,Stats!$B$12:$D$14),D3487:F3487))</f>
        <v>0.223590969070115</v>
      </c>
      <c r="I3487" s="0" t="n">
        <f aca="false">(G3487-Stats!$B$2)/H3487</f>
        <v>1.42420088478124</v>
      </c>
    </row>
    <row r="3488" customFormat="false" ht="15" hidden="false" customHeight="false" outlineLevel="0" collapsed="false">
      <c r="A3488" s="0" t="n">
        <v>0.0202362326399505</v>
      </c>
      <c r="B3488" s="0" t="n">
        <v>0.523993167464667</v>
      </c>
      <c r="C3488" s="0" t="n">
        <v>0.505057800270409</v>
      </c>
      <c r="D3488" s="0" t="n">
        <f aca="false">A3488/SUM($A3488:$C3488)</f>
        <v>0.0192856947389788</v>
      </c>
      <c r="E3488" s="0" t="n">
        <f aca="false">B3488/SUM($A3488:$C3488)</f>
        <v>0.499380119453841</v>
      </c>
      <c r="F3488" s="0" t="n">
        <f aca="false">C3488/SUM($A3488:$C3488)</f>
        <v>0.48133418580718</v>
      </c>
      <c r="G3488" s="0" t="n">
        <f aca="false">SUMPRODUCT(D3488:F3488,Stats!$B$6:$D$6)</f>
        <v>0.371944785151888</v>
      </c>
      <c r="H3488" s="0" t="n">
        <f aca="false">SQRT(SUMPRODUCT(MMULT(D3488:F3488,Stats!$B$12:$D$14),D3488:F3488))</f>
        <v>0.242006498692253</v>
      </c>
      <c r="I3488" s="0" t="n">
        <f aca="false">(G3488-Stats!$B$2)/H3488</f>
        <v>1.36337159098964</v>
      </c>
    </row>
    <row r="3489" customFormat="false" ht="15" hidden="false" customHeight="false" outlineLevel="0" collapsed="false">
      <c r="A3489" s="0" t="n">
        <v>0.525250464830488</v>
      </c>
      <c r="B3489" s="0" t="n">
        <v>0.974031224972064</v>
      </c>
      <c r="C3489" s="0" t="n">
        <v>0.911454003454839</v>
      </c>
      <c r="D3489" s="0" t="n">
        <f aca="false">A3489/SUM($A3489:$C3489)</f>
        <v>0.217879739491793</v>
      </c>
      <c r="E3489" s="0" t="n">
        <f aca="false">B3489/SUM($A3489:$C3489)</f>
        <v>0.404038994277283</v>
      </c>
      <c r="F3489" s="0" t="n">
        <f aca="false">C3489/SUM($A3489:$C3489)</f>
        <v>0.378081266230924</v>
      </c>
      <c r="G3489" s="0" t="n">
        <f aca="false">SUMPRODUCT(D3489:F3489,Stats!$B$6:$D$6)</f>
        <v>0.369306139750987</v>
      </c>
      <c r="H3489" s="0" t="n">
        <f aca="false">SQRT(SUMPRODUCT(MMULT(D3489:F3489,Stats!$B$12:$D$14),D3489:F3489))</f>
        <v>0.230822097747303</v>
      </c>
      <c r="I3489" s="0" t="n">
        <f aca="false">(G3489-Stats!$B$2)/H3489</f>
        <v>1.41800175522758</v>
      </c>
    </row>
    <row r="3490" customFormat="false" ht="15" hidden="false" customHeight="false" outlineLevel="0" collapsed="false">
      <c r="A3490" s="0" t="n">
        <v>0.161712778330108</v>
      </c>
      <c r="B3490" s="0" t="n">
        <v>0.368882521555889</v>
      </c>
      <c r="C3490" s="0" t="n">
        <v>0.423956179463262</v>
      </c>
      <c r="D3490" s="0" t="n">
        <f aca="false">A3490/SUM($A3490:$C3490)</f>
        <v>0.169412317542425</v>
      </c>
      <c r="E3490" s="0" t="n">
        <f aca="false">B3490/SUM($A3490:$C3490)</f>
        <v>0.3864459167853</v>
      </c>
      <c r="F3490" s="0" t="n">
        <f aca="false">C3490/SUM($A3490:$C3490)</f>
        <v>0.444141765672275</v>
      </c>
      <c r="G3490" s="0" t="n">
        <f aca="false">SUMPRODUCT(D3490:F3490,Stats!$B$6:$D$6)</f>
        <v>0.366472263978482</v>
      </c>
      <c r="H3490" s="0" t="n">
        <f aca="false">SQRT(SUMPRODUCT(MMULT(D3490:F3490,Stats!$B$12:$D$14),D3490:F3490))</f>
        <v>0.233176532078767</v>
      </c>
      <c r="I3490" s="0" t="n">
        <f aca="false">(G3490-Stats!$B$2)/H3490</f>
        <v>1.3915305330507</v>
      </c>
    </row>
    <row r="3491" customFormat="false" ht="15" hidden="false" customHeight="false" outlineLevel="0" collapsed="false">
      <c r="A3491" s="0" t="n">
        <v>0.360532917851648</v>
      </c>
      <c r="B3491" s="0" t="n">
        <v>0.798495963603913</v>
      </c>
      <c r="C3491" s="0" t="n">
        <v>0.524037669867587</v>
      </c>
      <c r="D3491" s="0" t="n">
        <f aca="false">A3491/SUM($A3491:$C3491)</f>
        <v>0.214211920240595</v>
      </c>
      <c r="E3491" s="0" t="n">
        <f aca="false">B3491/SUM($A3491:$C3491)</f>
        <v>0.474429227398152</v>
      </c>
      <c r="F3491" s="0" t="n">
        <f aca="false">C3491/SUM($A3491:$C3491)</f>
        <v>0.311358852361253</v>
      </c>
      <c r="G3491" s="0" t="n">
        <f aca="false">SUMPRODUCT(D3491:F3491,Stats!$B$6:$D$6)</f>
        <v>0.375196147560133</v>
      </c>
      <c r="H3491" s="0" t="n">
        <f aca="false">SQRT(SUMPRODUCT(MMULT(D3491:F3491,Stats!$B$12:$D$14),D3491:F3491))</f>
        <v>0.231503091243488</v>
      </c>
      <c r="I3491" s="0" t="n">
        <f aca="false">(G3491-Stats!$B$2)/H3491</f>
        <v>1.4392729953212</v>
      </c>
    </row>
    <row r="3492" customFormat="false" ht="15" hidden="false" customHeight="false" outlineLevel="0" collapsed="false">
      <c r="A3492" s="0" t="n">
        <v>0.572099816971625</v>
      </c>
      <c r="B3492" s="0" t="n">
        <v>0.853013558987926</v>
      </c>
      <c r="C3492" s="0" t="n">
        <v>0.805928153415359</v>
      </c>
      <c r="D3492" s="0" t="n">
        <f aca="false">A3492/SUM($A3492:$C3492)</f>
        <v>0.256427237879304</v>
      </c>
      <c r="E3492" s="0" t="n">
        <f aca="false">B3492/SUM($A3492:$C3492)</f>
        <v>0.382338718377386</v>
      </c>
      <c r="F3492" s="0" t="n">
        <f aca="false">C3492/SUM($A3492:$C3492)</f>
        <v>0.361234043743311</v>
      </c>
      <c r="G3492" s="0" t="n">
        <f aca="false">SUMPRODUCT(D3492:F3492,Stats!$B$6:$D$6)</f>
        <v>0.368522089642138</v>
      </c>
      <c r="H3492" s="0" t="n">
        <f aca="false">SQRT(SUMPRODUCT(MMULT(D3492:F3492,Stats!$B$12:$D$14),D3492:F3492))</f>
        <v>0.229157138543506</v>
      </c>
      <c r="I3492" s="0" t="n">
        <f aca="false">(G3492-Stats!$B$2)/H3492</f>
        <v>1.42488290662674</v>
      </c>
    </row>
    <row r="3493" customFormat="false" ht="15" hidden="false" customHeight="false" outlineLevel="0" collapsed="false">
      <c r="A3493" s="0" t="n">
        <v>0.1322115228203</v>
      </c>
      <c r="B3493" s="0" t="n">
        <v>0.713914584083634</v>
      </c>
      <c r="C3493" s="0" t="n">
        <v>0.435436128902036</v>
      </c>
      <c r="D3493" s="0" t="n">
        <f aca="false">A3493/SUM($A3493:$C3493)</f>
        <v>0.10316434046385</v>
      </c>
      <c r="E3493" s="0" t="n">
        <f aca="false">B3493/SUM($A3493:$C3493)</f>
        <v>0.55706587174415</v>
      </c>
      <c r="F3493" s="0" t="n">
        <f aca="false">C3493/SUM($A3493:$C3493)</f>
        <v>0.339769787792</v>
      </c>
      <c r="G3493" s="0" t="n">
        <f aca="false">SUMPRODUCT(D3493:F3493,Stats!$B$6:$D$6)</f>
        <v>0.379167532504203</v>
      </c>
      <c r="H3493" s="0" t="n">
        <f aca="false">SQRT(SUMPRODUCT(MMULT(D3493:F3493,Stats!$B$12:$D$14),D3493:F3493))</f>
        <v>0.237234590728566</v>
      </c>
      <c r="I3493" s="0" t="n">
        <f aca="false">(G3493-Stats!$B$2)/H3493</f>
        <v>1.42124102336314</v>
      </c>
    </row>
    <row r="3494" customFormat="false" ht="15" hidden="false" customHeight="false" outlineLevel="0" collapsed="false">
      <c r="A3494" s="0" t="n">
        <v>0.294648903062501</v>
      </c>
      <c r="B3494" s="0" t="n">
        <v>0.0500188209021864</v>
      </c>
      <c r="C3494" s="0" t="n">
        <v>0.487249560345451</v>
      </c>
      <c r="D3494" s="0" t="n">
        <f aca="false">A3494/SUM($A3494:$C3494)</f>
        <v>0.35418052806396</v>
      </c>
      <c r="E3494" s="0" t="n">
        <f aca="false">B3494/SUM($A3494:$C3494)</f>
        <v>0.0601247525992493</v>
      </c>
      <c r="F3494" s="0" t="n">
        <f aca="false">C3494/SUM($A3494:$C3494)</f>
        <v>0.58569471933679</v>
      </c>
      <c r="G3494" s="0" t="n">
        <f aca="false">SUMPRODUCT(D3494:F3494,Stats!$B$6:$D$6)</f>
        <v>0.343792898287264</v>
      </c>
      <c r="H3494" s="0" t="n">
        <f aca="false">SQRT(SUMPRODUCT(MMULT(D3494:F3494,Stats!$B$12:$D$14),D3494:F3494))</f>
        <v>0.228087399428589</v>
      </c>
      <c r="I3494" s="0" t="n">
        <f aca="false">(G3494-Stats!$B$2)/H3494</f>
        <v>1.32314586006647</v>
      </c>
    </row>
    <row r="3495" customFormat="false" ht="15" hidden="false" customHeight="false" outlineLevel="0" collapsed="false">
      <c r="A3495" s="0" t="n">
        <v>0.355436680724531</v>
      </c>
      <c r="B3495" s="0" t="n">
        <v>0.251513039676401</v>
      </c>
      <c r="C3495" s="0" t="n">
        <v>0.694671729596958</v>
      </c>
      <c r="D3495" s="0" t="n">
        <f aca="false">A3495/SUM($A3495:$C3495)</f>
        <v>0.273072236728357</v>
      </c>
      <c r="E3495" s="0" t="n">
        <f aca="false">B3495/SUM($A3495:$C3495)</f>
        <v>0.193230558452159</v>
      </c>
      <c r="F3495" s="0" t="n">
        <f aca="false">C3495/SUM($A3495:$C3495)</f>
        <v>0.533697204819484</v>
      </c>
      <c r="G3495" s="0" t="n">
        <f aca="false">SUMPRODUCT(D3495:F3495,Stats!$B$6:$D$6)</f>
        <v>0.352885445544086</v>
      </c>
      <c r="H3495" s="0" t="n">
        <f aca="false">SQRT(SUMPRODUCT(MMULT(D3495:F3495,Stats!$B$12:$D$14),D3495:F3495))</f>
        <v>0.22953475659804</v>
      </c>
      <c r="I3495" s="0" t="n">
        <f aca="false">(G3495-Stats!$B$2)/H3495</f>
        <v>1.35441555846162</v>
      </c>
    </row>
    <row r="3496" customFormat="false" ht="15" hidden="false" customHeight="false" outlineLevel="0" collapsed="false">
      <c r="A3496" s="0" t="n">
        <v>0.769485387315587</v>
      </c>
      <c r="B3496" s="0" t="n">
        <v>0.244789519029425</v>
      </c>
      <c r="C3496" s="0" t="n">
        <v>0.0494474366793473</v>
      </c>
      <c r="D3496" s="0" t="n">
        <f aca="false">A3496/SUM($A3496:$C3496)</f>
        <v>0.723389324631274</v>
      </c>
      <c r="E3496" s="0" t="n">
        <f aca="false">B3496/SUM($A3496:$C3496)</f>
        <v>0.230125389989876</v>
      </c>
      <c r="F3496" s="0" t="n">
        <f aca="false">C3496/SUM($A3496:$C3496)</f>
        <v>0.0464852853788509</v>
      </c>
      <c r="G3496" s="0" t="n">
        <f aca="false">SUMPRODUCT(D3496:F3496,Stats!$B$6:$D$6)</f>
        <v>0.368443007685739</v>
      </c>
      <c r="H3496" s="0" t="n">
        <f aca="false">SQRT(SUMPRODUCT(MMULT(D3496:F3496,Stats!$B$12:$D$14),D3496:F3496))</f>
        <v>0.226043616147538</v>
      </c>
      <c r="I3496" s="0" t="n">
        <f aca="false">(G3496-Stats!$B$2)/H3496</f>
        <v>1.44415937618283</v>
      </c>
    </row>
    <row r="3497" customFormat="false" ht="15" hidden="false" customHeight="false" outlineLevel="0" collapsed="false">
      <c r="A3497" s="0" t="n">
        <v>0.848752700565235</v>
      </c>
      <c r="B3497" s="0" t="n">
        <v>0.00995974120430332</v>
      </c>
      <c r="C3497" s="0" t="n">
        <v>0.937112493921472</v>
      </c>
      <c r="D3497" s="0" t="n">
        <f aca="false">A3497/SUM($A3497:$C3497)</f>
        <v>0.47262552362246</v>
      </c>
      <c r="E3497" s="0" t="n">
        <f aca="false">B3497/SUM($A3497:$C3497)</f>
        <v>0.00554605351911485</v>
      </c>
      <c r="F3497" s="0" t="n">
        <f aca="false">C3497/SUM($A3497:$C3497)</f>
        <v>0.521828422858425</v>
      </c>
      <c r="G3497" s="0" t="n">
        <f aca="false">SUMPRODUCT(D3497:F3497,Stats!$B$6:$D$6)</f>
        <v>0.342413599143143</v>
      </c>
      <c r="H3497" s="0" t="n">
        <f aca="false">SQRT(SUMPRODUCT(MMULT(D3497:F3497,Stats!$B$12:$D$14),D3497:F3497))</f>
        <v>0.224306983222506</v>
      </c>
      <c r="I3497" s="0" t="n">
        <f aca="false">(G3497-Stats!$B$2)/H3497</f>
        <v>1.33929668540521</v>
      </c>
    </row>
    <row r="3498" customFormat="false" ht="15" hidden="false" customHeight="false" outlineLevel="0" collapsed="false">
      <c r="A3498" s="0" t="n">
        <v>0.627619873982706</v>
      </c>
      <c r="B3498" s="0" t="n">
        <v>0.32184663520132</v>
      </c>
      <c r="C3498" s="0" t="n">
        <v>0.246477909576736</v>
      </c>
      <c r="D3498" s="0" t="n">
        <f aca="false">A3498/SUM($A3498:$C3498)</f>
        <v>0.524790169289845</v>
      </c>
      <c r="E3498" s="0" t="n">
        <f aca="false">B3498/SUM($A3498:$C3498)</f>
        <v>0.269115044271721</v>
      </c>
      <c r="F3498" s="0" t="n">
        <f aca="false">C3498/SUM($A3498:$C3498)</f>
        <v>0.206094786438434</v>
      </c>
      <c r="G3498" s="0" t="n">
        <f aca="false">SUMPRODUCT(D3498:F3498,Stats!$B$6:$D$6)</f>
        <v>0.366285251327118</v>
      </c>
      <c r="H3498" s="0" t="n">
        <f aca="false">SQRT(SUMPRODUCT(MMULT(D3498:F3498,Stats!$B$12:$D$14),D3498:F3498))</f>
        <v>0.223026928229969</v>
      </c>
      <c r="I3498" s="0" t="n">
        <f aca="false">(G3498-Stats!$B$2)/H3498</f>
        <v>1.45401837303135</v>
      </c>
    </row>
    <row r="3499" customFormat="false" ht="15" hidden="false" customHeight="false" outlineLevel="0" collapsed="false">
      <c r="A3499" s="0" t="n">
        <v>0.00900566426447524</v>
      </c>
      <c r="B3499" s="0" t="n">
        <v>0.235471417010877</v>
      </c>
      <c r="C3499" s="0" t="n">
        <v>0.137728301517141</v>
      </c>
      <c r="D3499" s="0" t="n">
        <f aca="false">A3499/SUM($A3499:$C3499)</f>
        <v>0.0235623690034857</v>
      </c>
      <c r="E3499" s="0" t="n">
        <f aca="false">B3499/SUM($A3499:$C3499)</f>
        <v>0.616086082541436</v>
      </c>
      <c r="F3499" s="0" t="n">
        <f aca="false">C3499/SUM($A3499:$C3499)</f>
        <v>0.360351548455079</v>
      </c>
      <c r="G3499" s="0" t="n">
        <f aca="false">SUMPRODUCT(D3499:F3499,Stats!$B$6:$D$6)</f>
        <v>0.381995944910991</v>
      </c>
      <c r="H3499" s="0" t="n">
        <f aca="false">SQRT(SUMPRODUCT(MMULT(D3499:F3499,Stats!$B$12:$D$14),D3499:F3499))</f>
        <v>0.242091720969401</v>
      </c>
      <c r="I3499" s="0" t="n">
        <f aca="false">(G3499-Stats!$B$2)/H3499</f>
        <v>1.40440963263657</v>
      </c>
    </row>
    <row r="3500" customFormat="false" ht="15" hidden="false" customHeight="false" outlineLevel="0" collapsed="false">
      <c r="A3500" s="0" t="n">
        <v>0.612166220723146</v>
      </c>
      <c r="B3500" s="0" t="n">
        <v>0.166545588593801</v>
      </c>
      <c r="C3500" s="0" t="n">
        <v>0.528629837536619</v>
      </c>
      <c r="D3500" s="0" t="n">
        <f aca="false">A3500/SUM($A3500:$C3500)</f>
        <v>0.468252673045697</v>
      </c>
      <c r="E3500" s="0" t="n">
        <f aca="false">B3500/SUM($A3500:$C3500)</f>
        <v>0.127392551896923</v>
      </c>
      <c r="F3500" s="0" t="n">
        <f aca="false">C3500/SUM($A3500:$C3500)</f>
        <v>0.404354775057381</v>
      </c>
      <c r="G3500" s="0" t="n">
        <f aca="false">SUMPRODUCT(D3500:F3500,Stats!$B$6:$D$6)</f>
        <v>0.352663779612338</v>
      </c>
      <c r="H3500" s="0" t="n">
        <f aca="false">SQRT(SUMPRODUCT(MMULT(D3500:F3500,Stats!$B$12:$D$14),D3500:F3500))</f>
        <v>0.222803786973944</v>
      </c>
      <c r="I3500" s="0" t="n">
        <f aca="false">(G3500-Stats!$B$2)/H3500</f>
        <v>1.39433796809149</v>
      </c>
    </row>
    <row r="3501" customFormat="false" ht="15" hidden="false" customHeight="false" outlineLevel="0" collapsed="false">
      <c r="A3501" s="0" t="n">
        <v>0.590116422344471</v>
      </c>
      <c r="B3501" s="0" t="n">
        <v>0.298041698346915</v>
      </c>
      <c r="C3501" s="0" t="n">
        <v>0.0350649490187187</v>
      </c>
      <c r="D3501" s="0" t="n">
        <f aca="false">A3501/SUM($A3501:$C3501)</f>
        <v>0.639191590532687</v>
      </c>
      <c r="E3501" s="0" t="n">
        <f aca="false">B3501/SUM($A3501:$C3501)</f>
        <v>0.322827394727583</v>
      </c>
      <c r="F3501" s="0" t="n">
        <f aca="false">C3501/SUM($A3501:$C3501)</f>
        <v>0.0379810147397305</v>
      </c>
      <c r="G3501" s="0" t="n">
        <f aca="false">SUMPRODUCT(D3501:F3501,Stats!$B$6:$D$6)</f>
        <v>0.374011463048449</v>
      </c>
      <c r="H3501" s="0" t="n">
        <f aca="false">SQRT(SUMPRODUCT(MMULT(D3501:F3501,Stats!$B$12:$D$14),D3501:F3501))</f>
        <v>0.226295120734866</v>
      </c>
      <c r="I3501" s="0" t="n">
        <f aca="false">(G3501-Stats!$B$2)/H3501</f>
        <v>1.46716138629186</v>
      </c>
    </row>
    <row r="3502" customFormat="false" ht="15" hidden="false" customHeight="false" outlineLevel="0" collapsed="false">
      <c r="A3502" s="0" t="n">
        <v>0.0372538806141961</v>
      </c>
      <c r="B3502" s="0" t="n">
        <v>0.0263473321939176</v>
      </c>
      <c r="C3502" s="0" t="n">
        <v>0.739124667136546</v>
      </c>
      <c r="D3502" s="0" t="n">
        <f aca="false">A3502/SUM($A3502:$C3502)</f>
        <v>0.0464092183209097</v>
      </c>
      <c r="E3502" s="0" t="n">
        <f aca="false">B3502/SUM($A3502:$C3502)</f>
        <v>0.0328223280850669</v>
      </c>
      <c r="F3502" s="0" t="n">
        <f aca="false">C3502/SUM($A3502:$C3502)</f>
        <v>0.920768453594023</v>
      </c>
      <c r="G3502" s="0" t="n">
        <f aca="false">SUMPRODUCT(D3502:F3502,Stats!$B$6:$D$6)</f>
        <v>0.332982422771545</v>
      </c>
      <c r="H3502" s="0" t="n">
        <f aca="false">SQRT(SUMPRODUCT(MMULT(D3502:F3502,Stats!$B$12:$D$14),D3502:F3502))</f>
        <v>0.253106481489276</v>
      </c>
      <c r="I3502" s="0" t="n">
        <f aca="false">(G3502-Stats!$B$2)/H3502</f>
        <v>1.14964429618478</v>
      </c>
    </row>
    <row r="3503" customFormat="false" ht="15" hidden="false" customHeight="false" outlineLevel="0" collapsed="false">
      <c r="A3503" s="0" t="n">
        <v>0.318009704814298</v>
      </c>
      <c r="B3503" s="0" t="n">
        <v>0.796300185967664</v>
      </c>
      <c r="C3503" s="0" t="n">
        <v>0.431732823842849</v>
      </c>
      <c r="D3503" s="0" t="n">
        <f aca="false">A3503/SUM($A3503:$C3503)</f>
        <v>0.205692702928633</v>
      </c>
      <c r="E3503" s="0" t="n">
        <f aca="false">B3503/SUM($A3503:$C3503)</f>
        <v>0.515057041073349</v>
      </c>
      <c r="F3503" s="0" t="n">
        <f aca="false">C3503/SUM($A3503:$C3503)</f>
        <v>0.279250255998018</v>
      </c>
      <c r="G3503" s="0" t="n">
        <f aca="false">SUMPRODUCT(D3503:F3503,Stats!$B$6:$D$6)</f>
        <v>0.378419201570554</v>
      </c>
      <c r="H3503" s="0" t="n">
        <f aca="false">SQRT(SUMPRODUCT(MMULT(D3503:F3503,Stats!$B$12:$D$14),D3503:F3503))</f>
        <v>0.232363665306776</v>
      </c>
      <c r="I3503" s="0" t="n">
        <f aca="false">(G3503-Stats!$B$2)/H3503</f>
        <v>1.44781328494883</v>
      </c>
    </row>
    <row r="3504" customFormat="false" ht="15" hidden="false" customHeight="false" outlineLevel="0" collapsed="false">
      <c r="A3504" s="0" t="n">
        <v>0.452998100829964</v>
      </c>
      <c r="B3504" s="0" t="n">
        <v>0.512882602509574</v>
      </c>
      <c r="C3504" s="0" t="n">
        <v>0.713031456375104</v>
      </c>
      <c r="D3504" s="0" t="n">
        <f aca="false">A3504/SUM($A3504:$C3504)</f>
        <v>0.269816439298979</v>
      </c>
      <c r="E3504" s="0" t="n">
        <f aca="false">B3504/SUM($A3504:$C3504)</f>
        <v>0.305485072308218</v>
      </c>
      <c r="F3504" s="0" t="n">
        <f aca="false">C3504/SUM($A3504:$C3504)</f>
        <v>0.424698488392803</v>
      </c>
      <c r="G3504" s="0" t="n">
        <f aca="false">SUMPRODUCT(D3504:F3504,Stats!$B$6:$D$6)</f>
        <v>0.362350022665545</v>
      </c>
      <c r="H3504" s="0" t="n">
        <f aca="false">SQRT(SUMPRODUCT(MMULT(D3504:F3504,Stats!$B$12:$D$14),D3504:F3504))</f>
        <v>0.228562544889146</v>
      </c>
      <c r="I3504" s="0" t="n">
        <f aca="false">(G3504-Stats!$B$2)/H3504</f>
        <v>1.40158582335052</v>
      </c>
    </row>
    <row r="3505" customFormat="false" ht="15" hidden="false" customHeight="false" outlineLevel="0" collapsed="false">
      <c r="A3505" s="0" t="n">
        <v>0.273502865829707</v>
      </c>
      <c r="B3505" s="0" t="n">
        <v>0.121587349533527</v>
      </c>
      <c r="C3505" s="0" t="n">
        <v>0.556057335191462</v>
      </c>
      <c r="D3505" s="0" t="n">
        <f aca="false">A3505/SUM($A3505:$C3505)</f>
        <v>0.287550407578934</v>
      </c>
      <c r="E3505" s="0" t="n">
        <f aca="false">B3505/SUM($A3505:$C3505)</f>
        <v>0.127832268991934</v>
      </c>
      <c r="F3505" s="0" t="n">
        <f aca="false">C3505/SUM($A3505:$C3505)</f>
        <v>0.584617323429132</v>
      </c>
      <c r="G3505" s="0" t="n">
        <f aca="false">SUMPRODUCT(D3505:F3505,Stats!$B$6:$D$6)</f>
        <v>0.347718409926141</v>
      </c>
      <c r="H3505" s="0" t="n">
        <f aca="false">SQRT(SUMPRODUCT(MMULT(D3505:F3505,Stats!$B$12:$D$14),D3505:F3505))</f>
        <v>0.230040936213598</v>
      </c>
      <c r="I3505" s="0" t="n">
        <f aca="false">(G3505-Stats!$B$2)/H3505</f>
        <v>1.32897394245638</v>
      </c>
    </row>
    <row r="3506" customFormat="false" ht="15" hidden="false" customHeight="false" outlineLevel="0" collapsed="false">
      <c r="A3506" s="0" t="n">
        <v>0.326977623242739</v>
      </c>
      <c r="B3506" s="0" t="n">
        <v>0.442491313668037</v>
      </c>
      <c r="C3506" s="0" t="n">
        <v>0.646946708337305</v>
      </c>
      <c r="D3506" s="0" t="n">
        <f aca="false">A3506/SUM($A3506:$C3506)</f>
        <v>0.230848638490907</v>
      </c>
      <c r="E3506" s="0" t="n">
        <f aca="false">B3506/SUM($A3506:$C3506)</f>
        <v>0.312402164684178</v>
      </c>
      <c r="F3506" s="0" t="n">
        <f aca="false">C3506/SUM($A3506:$C3506)</f>
        <v>0.456749196824915</v>
      </c>
      <c r="G3506" s="0" t="n">
        <f aca="false">SUMPRODUCT(D3506:F3506,Stats!$B$6:$D$6)</f>
        <v>0.361864237250575</v>
      </c>
      <c r="H3506" s="0" t="n">
        <f aca="false">SQRT(SUMPRODUCT(MMULT(D3506:F3506,Stats!$B$12:$D$14),D3506:F3506))</f>
        <v>0.230344505991688</v>
      </c>
      <c r="I3506" s="0" t="n">
        <f aca="false">(G3506-Stats!$B$2)/H3506</f>
        <v>1.38863410643759</v>
      </c>
    </row>
    <row r="3507" customFormat="false" ht="15" hidden="false" customHeight="false" outlineLevel="0" collapsed="false">
      <c r="A3507" s="0" t="n">
        <v>0.494125741141271</v>
      </c>
      <c r="B3507" s="0" t="n">
        <v>0.620278817100843</v>
      </c>
      <c r="C3507" s="0" t="n">
        <v>0.544200002113628</v>
      </c>
      <c r="D3507" s="0" t="n">
        <f aca="false">A3507/SUM($A3507:$C3507)</f>
        <v>0.29791654560222</v>
      </c>
      <c r="E3507" s="0" t="n">
        <f aca="false">B3507/SUM($A3507:$C3507)</f>
        <v>0.373976312333185</v>
      </c>
      <c r="F3507" s="0" t="n">
        <f aca="false">C3507/SUM($A3507:$C3507)</f>
        <v>0.328107142064596</v>
      </c>
      <c r="G3507" s="0" t="n">
        <f aca="false">SUMPRODUCT(D3507:F3507,Stats!$B$6:$D$6)</f>
        <v>0.368954389194119</v>
      </c>
      <c r="H3507" s="0" t="n">
        <f aca="false">SQRT(SUMPRODUCT(MMULT(D3507:F3507,Stats!$B$12:$D$14),D3507:F3507))</f>
        <v>0.22765747005943</v>
      </c>
      <c r="I3507" s="0" t="n">
        <f aca="false">(G3507-Stats!$B$2)/H3507</f>
        <v>1.43616806911176</v>
      </c>
    </row>
    <row r="3508" customFormat="false" ht="15" hidden="false" customHeight="false" outlineLevel="0" collapsed="false">
      <c r="A3508" s="0" t="n">
        <v>0.739796371936099</v>
      </c>
      <c r="B3508" s="0" t="n">
        <v>0.70593661771162</v>
      </c>
      <c r="C3508" s="0" t="n">
        <v>0.534189891808619</v>
      </c>
      <c r="D3508" s="0" t="n">
        <f aca="false">A3508/SUM($A3508:$C3508)</f>
        <v>0.373649084449158</v>
      </c>
      <c r="E3508" s="0" t="n">
        <f aca="false">B3508/SUM($A3508:$C3508)</f>
        <v>0.356547532392962</v>
      </c>
      <c r="F3508" s="0" t="n">
        <f aca="false">C3508/SUM($A3508:$C3508)</f>
        <v>0.269803383157881</v>
      </c>
      <c r="G3508" s="0" t="n">
        <f aca="false">SUMPRODUCT(D3508:F3508,Stats!$B$6:$D$6)</f>
        <v>0.369559263481035</v>
      </c>
      <c r="H3508" s="0" t="n">
        <f aca="false">SQRT(SUMPRODUCT(MMULT(D3508:F3508,Stats!$B$12:$D$14),D3508:F3508))</f>
        <v>0.225581885841667</v>
      </c>
      <c r="I3508" s="0" t="n">
        <f aca="false">(G3508-Stats!$B$2)/H3508</f>
        <v>1.45206368081764</v>
      </c>
    </row>
    <row r="3509" customFormat="false" ht="15" hidden="false" customHeight="false" outlineLevel="0" collapsed="false">
      <c r="A3509" s="0" t="n">
        <v>0.678903020859707</v>
      </c>
      <c r="B3509" s="0" t="n">
        <v>0.873559602272613</v>
      </c>
      <c r="C3509" s="0" t="n">
        <v>0.432271287788169</v>
      </c>
      <c r="D3509" s="0" t="n">
        <f aca="false">A3509/SUM($A3509:$C3509)</f>
        <v>0.34206248864103</v>
      </c>
      <c r="E3509" s="0" t="n">
        <f aca="false">B3509/SUM($A3509:$C3509)</f>
        <v>0.440139404816976</v>
      </c>
      <c r="F3509" s="0" t="n">
        <f aca="false">C3509/SUM($A3509:$C3509)</f>
        <v>0.217798106541994</v>
      </c>
      <c r="G3509" s="0" t="n">
        <f aca="false">SUMPRODUCT(D3509:F3509,Stats!$B$6:$D$6)</f>
        <v>0.375803057129872</v>
      </c>
      <c r="H3509" s="0" t="n">
        <f aca="false">SQRT(SUMPRODUCT(MMULT(D3509:F3509,Stats!$B$12:$D$14),D3509:F3509))</f>
        <v>0.227519869645851</v>
      </c>
      <c r="I3509" s="0" t="n">
        <f aca="false">(G3509-Stats!$B$2)/H3509</f>
        <v>1.4671380466658</v>
      </c>
    </row>
    <row r="3510" customFormat="false" ht="15" hidden="false" customHeight="false" outlineLevel="0" collapsed="false">
      <c r="A3510" s="0" t="n">
        <v>0.412763072748794</v>
      </c>
      <c r="B3510" s="0" t="n">
        <v>0.76424562085238</v>
      </c>
      <c r="C3510" s="0" t="n">
        <v>0.582553837041994</v>
      </c>
      <c r="D3510" s="0" t="n">
        <f aca="false">A3510/SUM($A3510:$C3510)</f>
        <v>0.234582781549638</v>
      </c>
      <c r="E3510" s="0" t="n">
        <f aca="false">B3510/SUM($A3510:$C3510)</f>
        <v>0.434338426479807</v>
      </c>
      <c r="F3510" s="0" t="n">
        <f aca="false">C3510/SUM($A3510:$C3510)</f>
        <v>0.331078791970556</v>
      </c>
      <c r="G3510" s="0" t="n">
        <f aca="false">SUMPRODUCT(D3510:F3510,Stats!$B$6:$D$6)</f>
        <v>0.37234560501376</v>
      </c>
      <c r="H3510" s="0" t="n">
        <f aca="false">SQRT(SUMPRODUCT(MMULT(D3510:F3510,Stats!$B$12:$D$14),D3510:F3510))</f>
        <v>0.230333945065292</v>
      </c>
      <c r="I3510" s="0" t="n">
        <f aca="false">(G3510-Stats!$B$2)/H3510</f>
        <v>1.43420286975122</v>
      </c>
    </row>
    <row r="3511" customFormat="false" ht="15" hidden="false" customHeight="false" outlineLevel="0" collapsed="false">
      <c r="A3511" s="0" t="n">
        <v>0.0710067802225886</v>
      </c>
      <c r="B3511" s="0" t="n">
        <v>0.892112015691081</v>
      </c>
      <c r="C3511" s="0" t="n">
        <v>0.0307831022376401</v>
      </c>
      <c r="D3511" s="0" t="n">
        <f aca="false">A3511/SUM($A3511:$C3511)</f>
        <v>0.0714424435194897</v>
      </c>
      <c r="E3511" s="0" t="n">
        <f aca="false">B3511/SUM($A3511:$C3511)</f>
        <v>0.897585584000231</v>
      </c>
      <c r="F3511" s="0" t="n">
        <f aca="false">C3511/SUM($A3511:$C3511)</f>
        <v>0.0309719724802797</v>
      </c>
      <c r="G3511" s="0" t="n">
        <f aca="false">SUMPRODUCT(D3511:F3511,Stats!$B$6:$D$6)</f>
        <v>0.407275577008715</v>
      </c>
      <c r="H3511" s="0" t="n">
        <f aca="false">SQRT(SUMPRODUCT(MMULT(D3511:F3511,Stats!$B$12:$D$14),D3511:F3511))</f>
        <v>0.248065231225639</v>
      </c>
      <c r="I3511" s="0" t="n">
        <f aca="false">(G3511-Stats!$B$2)/H3511</f>
        <v>1.47249808126662</v>
      </c>
    </row>
    <row r="3512" customFormat="false" ht="15" hidden="false" customHeight="false" outlineLevel="0" collapsed="false">
      <c r="A3512" s="0" t="n">
        <v>0.748396356209743</v>
      </c>
      <c r="B3512" s="0" t="n">
        <v>0.758794142704313</v>
      </c>
      <c r="C3512" s="0" t="n">
        <v>0.95311108528193</v>
      </c>
      <c r="D3512" s="0" t="n">
        <f aca="false">A3512/SUM($A3512:$C3512)</f>
        <v>0.30418886896515</v>
      </c>
      <c r="E3512" s="0" t="n">
        <f aca="false">B3512/SUM($A3512:$C3512)</f>
        <v>0.308415093327789</v>
      </c>
      <c r="F3512" s="0" t="n">
        <f aca="false">C3512/SUM($A3512:$C3512)</f>
        <v>0.387396037707061</v>
      </c>
      <c r="G3512" s="0" t="n">
        <f aca="false">SUMPRODUCT(D3512:F3512,Stats!$B$6:$D$6)</f>
        <v>0.363547213013141</v>
      </c>
      <c r="H3512" s="0" t="n">
        <f aca="false">SQRT(SUMPRODUCT(MMULT(D3512:F3512,Stats!$B$12:$D$14),D3512:F3512))</f>
        <v>0.22718286388329</v>
      </c>
      <c r="I3512" s="0" t="n">
        <f aca="false">(G3512-Stats!$B$2)/H3512</f>
        <v>1.41536737197894</v>
      </c>
    </row>
    <row r="3513" customFormat="false" ht="15" hidden="false" customHeight="false" outlineLevel="0" collapsed="false">
      <c r="A3513" s="0" t="n">
        <v>0.0541344084023208</v>
      </c>
      <c r="B3513" s="0" t="n">
        <v>0.596856860784491</v>
      </c>
      <c r="C3513" s="0" t="n">
        <v>0.427840570627053</v>
      </c>
      <c r="D3513" s="0" t="n">
        <f aca="false">A3513/SUM($A3513:$C3513)</f>
        <v>0.050178727030953</v>
      </c>
      <c r="E3513" s="0" t="n">
        <f aca="false">B3513/SUM($A3513:$C3513)</f>
        <v>0.553243646282695</v>
      </c>
      <c r="F3513" s="0" t="n">
        <f aca="false">C3513/SUM($A3513:$C3513)</f>
        <v>0.396577626686352</v>
      </c>
      <c r="G3513" s="0" t="n">
        <f aca="false">SUMPRODUCT(D3513:F3513,Stats!$B$6:$D$6)</f>
        <v>0.377381152290092</v>
      </c>
      <c r="H3513" s="0" t="n">
        <f aca="false">SQRT(SUMPRODUCT(MMULT(D3513:F3513,Stats!$B$12:$D$14),D3513:F3513))</f>
        <v>0.240068882733865</v>
      </c>
      <c r="I3513" s="0" t="n">
        <f aca="false">(G3513-Stats!$B$2)/H3513</f>
        <v>1.39702050707625</v>
      </c>
    </row>
    <row r="3514" customFormat="false" ht="15" hidden="false" customHeight="false" outlineLevel="0" collapsed="false">
      <c r="A3514" s="0" t="n">
        <v>0.330632954859542</v>
      </c>
      <c r="B3514" s="0" t="n">
        <v>0.090318560299073</v>
      </c>
      <c r="C3514" s="0" t="n">
        <v>0.562654119671309</v>
      </c>
      <c r="D3514" s="0" t="n">
        <f aca="false">A3514/SUM($A3514:$C3514)</f>
        <v>0.33614381938419</v>
      </c>
      <c r="E3514" s="0" t="n">
        <f aca="false">B3514/SUM($A3514:$C3514)</f>
        <v>0.0918239557611827</v>
      </c>
      <c r="F3514" s="0" t="n">
        <f aca="false">C3514/SUM($A3514:$C3514)</f>
        <v>0.572032224854627</v>
      </c>
      <c r="G3514" s="0" t="n">
        <f aca="false">SUMPRODUCT(D3514:F3514,Stats!$B$6:$D$6)</f>
        <v>0.3459935674402</v>
      </c>
      <c r="H3514" s="0" t="n">
        <f aca="false">SQRT(SUMPRODUCT(MMULT(D3514:F3514,Stats!$B$12:$D$14),D3514:F3514))</f>
        <v>0.228245950996937</v>
      </c>
      <c r="I3514" s="0" t="n">
        <f aca="false">(G3514-Stats!$B$2)/H3514</f>
        <v>1.33186839070928</v>
      </c>
    </row>
    <row r="3515" customFormat="false" ht="15" hidden="false" customHeight="false" outlineLevel="0" collapsed="false">
      <c r="A3515" s="0" t="n">
        <v>0.479040725674614</v>
      </c>
      <c r="B3515" s="0" t="n">
        <v>0.104554458151024</v>
      </c>
      <c r="C3515" s="0" t="n">
        <v>0.612489507097083</v>
      </c>
      <c r="D3515" s="0" t="n">
        <f aca="false">A3515/SUM($A3515:$C3515)</f>
        <v>0.400507363157585</v>
      </c>
      <c r="E3515" s="0" t="n">
        <f aca="false">B3515/SUM($A3515:$C3515)</f>
        <v>0.0874139255727499</v>
      </c>
      <c r="F3515" s="0" t="n">
        <f aca="false">C3515/SUM($A3515:$C3515)</f>
        <v>0.512078711269666</v>
      </c>
      <c r="G3515" s="0" t="n">
        <f aca="false">SUMPRODUCT(D3515:F3515,Stats!$B$6:$D$6)</f>
        <v>0.34739301508872</v>
      </c>
      <c r="H3515" s="0" t="n">
        <f aca="false">SQRT(SUMPRODUCT(MMULT(D3515:F3515,Stats!$B$12:$D$14),D3515:F3515))</f>
        <v>0.225401188283721</v>
      </c>
      <c r="I3515" s="0" t="n">
        <f aca="false">(G3515-Stats!$B$2)/H3515</f>
        <v>1.35488644675782</v>
      </c>
    </row>
    <row r="3516" customFormat="false" ht="15" hidden="false" customHeight="false" outlineLevel="0" collapsed="false">
      <c r="A3516" s="0" t="n">
        <v>0.737953120252939</v>
      </c>
      <c r="B3516" s="0" t="n">
        <v>0.767278301053648</v>
      </c>
      <c r="C3516" s="0" t="n">
        <v>0.905373188262427</v>
      </c>
      <c r="D3516" s="0" t="n">
        <f aca="false">A3516/SUM($A3516:$C3516)</f>
        <v>0.306127814293392</v>
      </c>
      <c r="E3516" s="0" t="n">
        <f aca="false">B3516/SUM($A3516:$C3516)</f>
        <v>0.318292887190168</v>
      </c>
      <c r="F3516" s="0" t="n">
        <f aca="false">C3516/SUM($A3516:$C3516)</f>
        <v>0.37557929851644</v>
      </c>
      <c r="G3516" s="0" t="n">
        <f aca="false">SUMPRODUCT(D3516:F3516,Stats!$B$6:$D$6)</f>
        <v>0.364441410525629</v>
      </c>
      <c r="H3516" s="0" t="n">
        <f aca="false">SQRT(SUMPRODUCT(MMULT(D3516:F3516,Stats!$B$12:$D$14),D3516:F3516))</f>
        <v>0.227122771196885</v>
      </c>
      <c r="I3516" s="0" t="n">
        <f aca="false">(G3516-Stats!$B$2)/H3516</f>
        <v>1.4196789200239</v>
      </c>
    </row>
    <row r="3517" customFormat="false" ht="15" hidden="false" customHeight="false" outlineLevel="0" collapsed="false">
      <c r="A3517" s="0" t="n">
        <v>0.409470741888777</v>
      </c>
      <c r="B3517" s="0" t="n">
        <v>0.953072768622137</v>
      </c>
      <c r="C3517" s="0" t="n">
        <v>0.865429405082686</v>
      </c>
      <c r="D3517" s="0" t="n">
        <f aca="false">A3517/SUM($A3517:$C3517)</f>
        <v>0.183786229636316</v>
      </c>
      <c r="E3517" s="0" t="n">
        <f aca="false">B3517/SUM($A3517:$C3517)</f>
        <v>0.427775742672441</v>
      </c>
      <c r="F3517" s="0" t="n">
        <f aca="false">C3517/SUM($A3517:$C3517)</f>
        <v>0.388438027691243</v>
      </c>
      <c r="G3517" s="0" t="n">
        <f aca="false">SUMPRODUCT(D3517:F3517,Stats!$B$6:$D$6)</f>
        <v>0.370386337817924</v>
      </c>
      <c r="H3517" s="0" t="n">
        <f aca="false">SQRT(SUMPRODUCT(MMULT(D3517:F3517,Stats!$B$12:$D$14),D3517:F3517))</f>
        <v>0.232446836736475</v>
      </c>
      <c r="I3517" s="0" t="n">
        <f aca="false">(G3517-Stats!$B$2)/H3517</f>
        <v>1.41273739160501</v>
      </c>
    </row>
    <row r="3518" customFormat="false" ht="15" hidden="false" customHeight="false" outlineLevel="0" collapsed="false">
      <c r="A3518" s="0" t="n">
        <v>0.296501571023939</v>
      </c>
      <c r="B3518" s="0" t="n">
        <v>0.159283037349459</v>
      </c>
      <c r="C3518" s="0" t="n">
        <v>0.435389396128013</v>
      </c>
      <c r="D3518" s="0" t="n">
        <f aca="false">A3518/SUM($A3518:$C3518)</f>
        <v>0.332708954173124</v>
      </c>
      <c r="E3518" s="0" t="n">
        <f aca="false">B3518/SUM($A3518:$C3518)</f>
        <v>0.178733935847437</v>
      </c>
      <c r="F3518" s="0" t="n">
        <f aca="false">C3518/SUM($A3518:$C3518)</f>
        <v>0.48855710997944</v>
      </c>
      <c r="G3518" s="0" t="n">
        <f aca="false">SUMPRODUCT(D3518:F3518,Stats!$B$6:$D$6)</f>
        <v>0.353296049395443</v>
      </c>
      <c r="H3518" s="0" t="n">
        <f aca="false">SQRT(SUMPRODUCT(MMULT(D3518:F3518,Stats!$B$12:$D$14),D3518:F3518))</f>
        <v>0.226849502689748</v>
      </c>
      <c r="I3518" s="0" t="n">
        <f aca="false">(G3518-Stats!$B$2)/H3518</f>
        <v>1.37225801998424</v>
      </c>
    </row>
    <row r="3519" customFormat="false" ht="15" hidden="false" customHeight="false" outlineLevel="0" collapsed="false">
      <c r="A3519" s="0" t="n">
        <v>0.401898707955967</v>
      </c>
      <c r="B3519" s="0" t="n">
        <v>0.575719305331204</v>
      </c>
      <c r="C3519" s="0" t="n">
        <v>0.583386232327748</v>
      </c>
      <c r="D3519" s="0" t="n">
        <f aca="false">A3519/SUM($A3519:$C3519)</f>
        <v>0.257461636689943</v>
      </c>
      <c r="E3519" s="0" t="n">
        <f aca="false">B3519/SUM($A3519:$C3519)</f>
        <v>0.368813414152127</v>
      </c>
      <c r="F3519" s="0" t="n">
        <f aca="false">C3519/SUM($A3519:$C3519)</f>
        <v>0.37372494915793</v>
      </c>
      <c r="G3519" s="0" t="n">
        <f aca="false">SUMPRODUCT(D3519:F3519,Stats!$B$6:$D$6)</f>
        <v>0.367399429229922</v>
      </c>
      <c r="H3519" s="0" t="n">
        <f aca="false">SQRT(SUMPRODUCT(MMULT(D3519:F3519,Stats!$B$12:$D$14),D3519:F3519))</f>
        <v>0.229064572425464</v>
      </c>
      <c r="I3519" s="0" t="n">
        <f aca="false">(G3519-Stats!$B$2)/H3519</f>
        <v>1.42055764356928</v>
      </c>
    </row>
    <row r="3520" customFormat="false" ht="15" hidden="false" customHeight="false" outlineLevel="0" collapsed="false">
      <c r="A3520" s="0" t="n">
        <v>0.749986984379975</v>
      </c>
      <c r="B3520" s="0" t="n">
        <v>0.50988994820561</v>
      </c>
      <c r="C3520" s="0" t="n">
        <v>0.104822640940766</v>
      </c>
      <c r="D3520" s="0" t="n">
        <f aca="false">A3520/SUM($A3520:$C3520)</f>
        <v>0.549561968750402</v>
      </c>
      <c r="E3520" s="0" t="n">
        <f aca="false">B3520/SUM($A3520:$C3520)</f>
        <v>0.373627982375686</v>
      </c>
      <c r="F3520" s="0" t="n">
        <f aca="false">C3520/SUM($A3520:$C3520)</f>
        <v>0.0768100488739117</v>
      </c>
      <c r="G3520" s="0" t="n">
        <f aca="false">SUMPRODUCT(D3520:F3520,Stats!$B$6:$D$6)</f>
        <v>0.375863767429989</v>
      </c>
      <c r="H3520" s="0" t="n">
        <f aca="false">SQRT(SUMPRODUCT(MMULT(D3520:F3520,Stats!$B$12:$D$14),D3520:F3520))</f>
        <v>0.22587538785868</v>
      </c>
      <c r="I3520" s="0" t="n">
        <f aca="false">(G3520-Stats!$B$2)/H3520</f>
        <v>1.47808829724677</v>
      </c>
    </row>
    <row r="3521" customFormat="false" ht="15" hidden="false" customHeight="false" outlineLevel="0" collapsed="false">
      <c r="A3521" s="0" t="n">
        <v>0.858291335553106</v>
      </c>
      <c r="B3521" s="0" t="n">
        <v>0.309764583185187</v>
      </c>
      <c r="C3521" s="0" t="n">
        <v>0.971297460306592</v>
      </c>
      <c r="D3521" s="0" t="n">
        <f aca="false">A3521/SUM($A3521:$C3521)</f>
        <v>0.401191941434327</v>
      </c>
      <c r="E3521" s="0" t="n">
        <f aca="false">B3521/SUM($A3521:$C3521)</f>
        <v>0.144793555949827</v>
      </c>
      <c r="F3521" s="0" t="n">
        <f aca="false">C3521/SUM($A3521:$C3521)</f>
        <v>0.454014502615846</v>
      </c>
      <c r="G3521" s="0" t="n">
        <f aca="false">SUMPRODUCT(D3521:F3521,Stats!$B$6:$D$6)</f>
        <v>0.352295662976574</v>
      </c>
      <c r="H3521" s="0" t="n">
        <f aca="false">SQRT(SUMPRODUCT(MMULT(D3521:F3521,Stats!$B$12:$D$14),D3521:F3521))</f>
        <v>0.224573489000831</v>
      </c>
      <c r="I3521" s="0" t="n">
        <f aca="false">(G3521-Stats!$B$2)/H3521</f>
        <v>1.38171101298349</v>
      </c>
    </row>
    <row r="3522" customFormat="false" ht="15" hidden="false" customHeight="false" outlineLevel="0" collapsed="false">
      <c r="A3522" s="0" t="n">
        <v>0.11786010867977</v>
      </c>
      <c r="B3522" s="0" t="n">
        <v>0.958251172232503</v>
      </c>
      <c r="C3522" s="0" t="n">
        <v>0.091011806882517</v>
      </c>
      <c r="D3522" s="0" t="n">
        <f aca="false">A3522/SUM($A3522:$C3522)</f>
        <v>0.100983443744961</v>
      </c>
      <c r="E3522" s="0" t="n">
        <f aca="false">B3522/SUM($A3522:$C3522)</f>
        <v>0.821036943106885</v>
      </c>
      <c r="F3522" s="0" t="n">
        <f aca="false">C3522/SUM($A3522:$C3522)</f>
        <v>0.0779796131481542</v>
      </c>
      <c r="G3522" s="0" t="n">
        <f aca="false">SUMPRODUCT(D3522:F3522,Stats!$B$6:$D$6)</f>
        <v>0.401574849675351</v>
      </c>
      <c r="H3522" s="0" t="n">
        <f aca="false">SQRT(SUMPRODUCT(MMULT(D3522:F3522,Stats!$B$12:$D$14),D3522:F3522))</f>
        <v>0.244089839151914</v>
      </c>
      <c r="I3522" s="0" t="n">
        <f aca="false">(G3522-Stats!$B$2)/H3522</f>
        <v>1.4731250220193</v>
      </c>
    </row>
    <row r="3523" customFormat="false" ht="15" hidden="false" customHeight="false" outlineLevel="0" collapsed="false">
      <c r="A3523" s="0" t="n">
        <v>0.23103613794706</v>
      </c>
      <c r="B3523" s="0" t="n">
        <v>0.0465799420865416</v>
      </c>
      <c r="C3523" s="0" t="n">
        <v>0.705113146638995</v>
      </c>
      <c r="D3523" s="0" t="n">
        <f aca="false">A3523/SUM($A3523:$C3523)</f>
        <v>0.235096435189295</v>
      </c>
      <c r="E3523" s="0" t="n">
        <f aca="false">B3523/SUM($A3523:$C3523)</f>
        <v>0.0473985517295092</v>
      </c>
      <c r="F3523" s="0" t="n">
        <f aca="false">C3523/SUM($A3523:$C3523)</f>
        <v>0.717505013081196</v>
      </c>
      <c r="G3523" s="0" t="n">
        <f aca="false">SUMPRODUCT(D3523:F3523,Stats!$B$6:$D$6)</f>
        <v>0.339426031007321</v>
      </c>
      <c r="H3523" s="0" t="n">
        <f aca="false">SQRT(SUMPRODUCT(MMULT(D3523:F3523,Stats!$B$12:$D$14),D3523:F3523))</f>
        <v>0.235869926681233</v>
      </c>
      <c r="I3523" s="0" t="n">
        <f aca="false">(G3523-Stats!$B$2)/H3523</f>
        <v>1.260974788911</v>
      </c>
    </row>
    <row r="3524" customFormat="false" ht="15" hidden="false" customHeight="false" outlineLevel="0" collapsed="false">
      <c r="A3524" s="0" t="n">
        <v>0.850298736571792</v>
      </c>
      <c r="B3524" s="0" t="n">
        <v>0.43407108181598</v>
      </c>
      <c r="C3524" s="0" t="n">
        <v>0.92852207504243</v>
      </c>
      <c r="D3524" s="0" t="n">
        <f aca="false">A3524/SUM($A3524:$C3524)</f>
        <v>0.384247752498087</v>
      </c>
      <c r="E3524" s="0" t="n">
        <f aca="false">B3524/SUM($A3524:$C3524)</f>
        <v>0.196155575021393</v>
      </c>
      <c r="F3524" s="0" t="n">
        <f aca="false">C3524/SUM($A3524:$C3524)</f>
        <v>0.41959667248052</v>
      </c>
      <c r="G3524" s="0" t="n">
        <f aca="false">SUMPRODUCT(D3524:F3524,Stats!$B$6:$D$6)</f>
        <v>0.35620002550558</v>
      </c>
      <c r="H3524" s="0" t="n">
        <f aca="false">SQRT(SUMPRODUCT(MMULT(D3524:F3524,Stats!$B$12:$D$14),D3524:F3524))</f>
        <v>0.224722509145399</v>
      </c>
      <c r="I3524" s="0" t="n">
        <f aca="false">(G3524-Stats!$B$2)/H3524</f>
        <v>1.39816890929376</v>
      </c>
    </row>
    <row r="3525" customFormat="false" ht="15" hidden="false" customHeight="false" outlineLevel="0" collapsed="false">
      <c r="A3525" s="0" t="n">
        <v>0.5902990717556</v>
      </c>
      <c r="B3525" s="0" t="n">
        <v>0.630007135446523</v>
      </c>
      <c r="C3525" s="0" t="n">
        <v>0.84541920170077</v>
      </c>
      <c r="D3525" s="0" t="n">
        <f aca="false">A3525/SUM($A3525:$C3525)</f>
        <v>0.285758731151546</v>
      </c>
      <c r="E3525" s="0" t="n">
        <f aca="false">B3525/SUM($A3525:$C3525)</f>
        <v>0.304981065117033</v>
      </c>
      <c r="F3525" s="0" t="n">
        <f aca="false">C3525/SUM($A3525:$C3525)</f>
        <v>0.409260203731421</v>
      </c>
      <c r="G3525" s="0" t="n">
        <f aca="false">SUMPRODUCT(D3525:F3525,Stats!$B$6:$D$6)</f>
        <v>0.362746727505749</v>
      </c>
      <c r="H3525" s="0" t="n">
        <f aca="false">SQRT(SUMPRODUCT(MMULT(D3525:F3525,Stats!$B$12:$D$14),D3525:F3525))</f>
        <v>0.227896043060106</v>
      </c>
      <c r="I3525" s="0" t="n">
        <f aca="false">(G3525-Stats!$B$2)/H3525</f>
        <v>1.40742561037426</v>
      </c>
    </row>
    <row r="3526" customFormat="false" ht="15" hidden="false" customHeight="false" outlineLevel="0" collapsed="false">
      <c r="A3526" s="0" t="n">
        <v>0.296800205051839</v>
      </c>
      <c r="B3526" s="0" t="n">
        <v>0.354265721327626</v>
      </c>
      <c r="C3526" s="0" t="n">
        <v>0.905951919194644</v>
      </c>
      <c r="D3526" s="0" t="n">
        <f aca="false">A3526/SUM($A3526:$C3526)</f>
        <v>0.190620939827701</v>
      </c>
      <c r="E3526" s="0" t="n">
        <f aca="false">B3526/SUM($A3526:$C3526)</f>
        <v>0.227528362847376</v>
      </c>
      <c r="F3526" s="0" t="n">
        <f aca="false">C3526/SUM($A3526:$C3526)</f>
        <v>0.581850697324923</v>
      </c>
      <c r="G3526" s="0" t="n">
        <f aca="false">SUMPRODUCT(D3526:F3526,Stats!$B$6:$D$6)</f>
        <v>0.353531082783177</v>
      </c>
      <c r="H3526" s="0" t="n">
        <f aca="false">SQRT(SUMPRODUCT(MMULT(D3526:F3526,Stats!$B$12:$D$14),D3526:F3526))</f>
        <v>0.233775584994367</v>
      </c>
      <c r="I3526" s="0" t="n">
        <f aca="false">(G3526-Stats!$B$2)/H3526</f>
        <v>1.3326074354201</v>
      </c>
    </row>
    <row r="3527" customFormat="false" ht="15" hidden="false" customHeight="false" outlineLevel="0" collapsed="false">
      <c r="A3527" s="0" t="n">
        <v>0.900963496038764</v>
      </c>
      <c r="B3527" s="0" t="n">
        <v>0.976482776200871</v>
      </c>
      <c r="C3527" s="0" t="n">
        <v>0.901838316441671</v>
      </c>
      <c r="D3527" s="0" t="n">
        <f aca="false">A3527/SUM($A3527:$C3527)</f>
        <v>0.324171011384713</v>
      </c>
      <c r="E3527" s="0" t="n">
        <f aca="false">B3527/SUM($A3527:$C3527)</f>
        <v>0.351343212630192</v>
      </c>
      <c r="F3527" s="0" t="n">
        <f aca="false">C3527/SUM($A3527:$C3527)</f>
        <v>0.324485775985096</v>
      </c>
      <c r="G3527" s="0" t="n">
        <f aca="false">SUMPRODUCT(D3527:F3527,Stats!$B$6:$D$6)</f>
        <v>0.367751967707448</v>
      </c>
      <c r="H3527" s="0" t="n">
        <f aca="false">SQRT(SUMPRODUCT(MMULT(D3527:F3527,Stats!$B$12:$D$14),D3527:F3527))</f>
        <v>0.22669737595992</v>
      </c>
      <c r="I3527" s="0" t="n">
        <f aca="false">(G3527-Stats!$B$2)/H3527</f>
        <v>1.43694635338453</v>
      </c>
    </row>
    <row r="3528" customFormat="false" ht="15" hidden="false" customHeight="false" outlineLevel="0" collapsed="false">
      <c r="A3528" s="0" t="n">
        <v>0.127372036033361</v>
      </c>
      <c r="B3528" s="0" t="n">
        <v>0.823724286136987</v>
      </c>
      <c r="C3528" s="0" t="n">
        <v>0.409838478109594</v>
      </c>
      <c r="D3528" s="0" t="n">
        <f aca="false">A3528/SUM($A3528:$C3528)</f>
        <v>0.0935915783821243</v>
      </c>
      <c r="E3528" s="0" t="n">
        <f aca="false">B3528/SUM($A3528:$C3528)</f>
        <v>0.605263592324591</v>
      </c>
      <c r="F3528" s="0" t="n">
        <f aca="false">C3528/SUM($A3528:$C3528)</f>
        <v>0.301144829293285</v>
      </c>
      <c r="G3528" s="0" t="n">
        <f aca="false">SUMPRODUCT(D3528:F3528,Stats!$B$6:$D$6)</f>
        <v>0.383005835339974</v>
      </c>
      <c r="H3528" s="0" t="n">
        <f aca="false">SQRT(SUMPRODUCT(MMULT(D3528:F3528,Stats!$B$12:$D$14),D3528:F3528))</f>
        <v>0.238319293104315</v>
      </c>
      <c r="I3528" s="0" t="n">
        <f aca="false">(G3528-Stats!$B$2)/H3528</f>
        <v>1.43087800781078</v>
      </c>
    </row>
    <row r="3529" customFormat="false" ht="15" hidden="false" customHeight="false" outlineLevel="0" collapsed="false">
      <c r="A3529" s="0" t="n">
        <v>0.990801355945938</v>
      </c>
      <c r="B3529" s="0" t="n">
        <v>0.472280964328801</v>
      </c>
      <c r="C3529" s="0" t="n">
        <v>0.553836082502221</v>
      </c>
      <c r="D3529" s="0" t="n">
        <f aca="false">A3529/SUM($A3529:$C3529)</f>
        <v>0.491245136432773</v>
      </c>
      <c r="E3529" s="0" t="n">
        <f aca="false">B3529/SUM($A3529:$C3529)</f>
        <v>0.234159678288695</v>
      </c>
      <c r="F3529" s="0" t="n">
        <f aca="false">C3529/SUM($A3529:$C3529)</f>
        <v>0.274595185278532</v>
      </c>
      <c r="G3529" s="0" t="n">
        <f aca="false">SUMPRODUCT(D3529:F3529,Stats!$B$6:$D$6)</f>
        <v>0.362385092658923</v>
      </c>
      <c r="H3529" s="0" t="n">
        <f aca="false">SQRT(SUMPRODUCT(MMULT(D3529:F3529,Stats!$B$12:$D$14),D3529:F3529))</f>
        <v>0.222644683115981</v>
      </c>
      <c r="I3529" s="0" t="n">
        <f aca="false">(G3529-Stats!$B$2)/H3529</f>
        <v>1.43899727662496</v>
      </c>
    </row>
    <row r="3530" customFormat="false" ht="15" hidden="false" customHeight="false" outlineLevel="0" collapsed="false">
      <c r="A3530" s="0" t="n">
        <v>0.529774915256799</v>
      </c>
      <c r="B3530" s="0" t="n">
        <v>0.321737029858278</v>
      </c>
      <c r="C3530" s="0" t="n">
        <v>0.0750220888929182</v>
      </c>
      <c r="D3530" s="0" t="n">
        <f aca="false">A3530/SUM($A3530:$C3530)</f>
        <v>0.571781387203989</v>
      </c>
      <c r="E3530" s="0" t="n">
        <f aca="false">B3530/SUM($A3530:$C3530)</f>
        <v>0.347247934829237</v>
      </c>
      <c r="F3530" s="0" t="n">
        <f aca="false">C3530/SUM($A3530:$C3530)</f>
        <v>0.0809706779667749</v>
      </c>
      <c r="G3530" s="0" t="n">
        <f aca="false">SUMPRODUCT(D3530:F3530,Stats!$B$6:$D$6)</f>
        <v>0.37423116589022</v>
      </c>
      <c r="H3530" s="0" t="n">
        <f aca="false">SQRT(SUMPRODUCT(MMULT(D3530:F3530,Stats!$B$12:$D$14),D3530:F3530))</f>
        <v>0.225443072444493</v>
      </c>
      <c r="I3530" s="0" t="n">
        <f aca="false">(G3530-Stats!$B$2)/H3530</f>
        <v>1.47368097093345</v>
      </c>
    </row>
    <row r="3531" customFormat="false" ht="15" hidden="false" customHeight="false" outlineLevel="0" collapsed="false">
      <c r="A3531" s="0" t="n">
        <v>0.895651230401919</v>
      </c>
      <c r="B3531" s="0" t="n">
        <v>0.802675812526287</v>
      </c>
      <c r="C3531" s="0" t="n">
        <v>0.139526780559669</v>
      </c>
      <c r="D3531" s="0" t="n">
        <f aca="false">A3531/SUM($A3531:$C3531)</f>
        <v>0.487335401192111</v>
      </c>
      <c r="E3531" s="0" t="n">
        <f aca="false">B3531/SUM($A3531:$C3531)</f>
        <v>0.436746275611284</v>
      </c>
      <c r="F3531" s="0" t="n">
        <f aca="false">C3531/SUM($A3531:$C3531)</f>
        <v>0.0759183231966053</v>
      </c>
      <c r="G3531" s="0" t="n">
        <f aca="false">SUMPRODUCT(D3531:F3531,Stats!$B$6:$D$6)</f>
        <v>0.379520101322933</v>
      </c>
      <c r="H3531" s="0" t="n">
        <f aca="false">SQRT(SUMPRODUCT(MMULT(D3531:F3531,Stats!$B$12:$D$14),D3531:F3531))</f>
        <v>0.227066109198343</v>
      </c>
      <c r="I3531" s="0" t="n">
        <f aca="false">(G3531-Stats!$B$2)/H3531</f>
        <v>1.48643979726674</v>
      </c>
    </row>
    <row r="3532" customFormat="false" ht="15" hidden="false" customHeight="false" outlineLevel="0" collapsed="false">
      <c r="A3532" s="0" t="n">
        <v>0.776768271350073</v>
      </c>
      <c r="B3532" s="0" t="n">
        <v>0.62584666605061</v>
      </c>
      <c r="C3532" s="0" t="n">
        <v>0.409143787917622</v>
      </c>
      <c r="D3532" s="0" t="n">
        <f aca="false">A3532/SUM($A3532:$C3532)</f>
        <v>0.428737149431199</v>
      </c>
      <c r="E3532" s="0" t="n">
        <f aca="false">B3532/SUM($A3532:$C3532)</f>
        <v>0.345435988415431</v>
      </c>
      <c r="F3532" s="0" t="n">
        <f aca="false">C3532/SUM($A3532:$C3532)</f>
        <v>0.22582686215337</v>
      </c>
      <c r="G3532" s="0" t="n">
        <f aca="false">SUMPRODUCT(D3532:F3532,Stats!$B$6:$D$6)</f>
        <v>0.370132555274398</v>
      </c>
      <c r="H3532" s="0" t="n">
        <f aca="false">SQRT(SUMPRODUCT(MMULT(D3532:F3532,Stats!$B$12:$D$14),D3532:F3532))</f>
        <v>0.224655604180265</v>
      </c>
      <c r="I3532" s="0" t="n">
        <f aca="false">(G3532-Stats!$B$2)/H3532</f>
        <v>1.46060258087798</v>
      </c>
    </row>
    <row r="3533" customFormat="false" ht="15" hidden="false" customHeight="false" outlineLevel="0" collapsed="false">
      <c r="A3533" s="0" t="n">
        <v>0.254021149095563</v>
      </c>
      <c r="B3533" s="0" t="n">
        <v>0.859728783502233</v>
      </c>
      <c r="C3533" s="0" t="n">
        <v>0.700188259294053</v>
      </c>
      <c r="D3533" s="0" t="n">
        <f aca="false">A3533/SUM($A3533:$C3533)</f>
        <v>0.140038481041425</v>
      </c>
      <c r="E3533" s="0" t="n">
        <f aca="false">B3533/SUM($A3533:$C3533)</f>
        <v>0.473957044041053</v>
      </c>
      <c r="F3533" s="0" t="n">
        <f aca="false">C3533/SUM($A3533:$C3533)</f>
        <v>0.386004474917522</v>
      </c>
      <c r="G3533" s="0" t="n">
        <f aca="false">SUMPRODUCT(D3533:F3533,Stats!$B$6:$D$6)</f>
        <v>0.373110654409127</v>
      </c>
      <c r="H3533" s="0" t="n">
        <f aca="false">SQRT(SUMPRODUCT(MMULT(D3533:F3533,Stats!$B$12:$D$14),D3533:F3533))</f>
        <v>0.234764101463055</v>
      </c>
      <c r="I3533" s="0" t="n">
        <f aca="false">(G3533-Stats!$B$2)/H3533</f>
        <v>1.41039729816287</v>
      </c>
    </row>
    <row r="3534" customFormat="false" ht="15" hidden="false" customHeight="false" outlineLevel="0" collapsed="false">
      <c r="A3534" s="0" t="n">
        <v>0.547739909469137</v>
      </c>
      <c r="B3534" s="0" t="n">
        <v>0.609568533898464</v>
      </c>
      <c r="C3534" s="0" t="n">
        <v>0.091066182082181</v>
      </c>
      <c r="D3534" s="0" t="n">
        <f aca="false">A3534/SUM($A3534:$C3534)</f>
        <v>0.438762450231468</v>
      </c>
      <c r="E3534" s="0" t="n">
        <f aca="false">B3534/SUM($A3534:$C3534)</f>
        <v>0.488289750105134</v>
      </c>
      <c r="F3534" s="0" t="n">
        <f aca="false">C3534/SUM($A3534:$C3534)</f>
        <v>0.0729477996633986</v>
      </c>
      <c r="G3534" s="0" t="n">
        <f aca="false">SUMPRODUCT(D3534:F3534,Stats!$B$6:$D$6)</f>
        <v>0.3825677571778</v>
      </c>
      <c r="H3534" s="0" t="n">
        <f aca="false">SQRT(SUMPRODUCT(MMULT(D3534:F3534,Stats!$B$12:$D$14),D3534:F3534))</f>
        <v>0.228399332017232</v>
      </c>
      <c r="I3534" s="0" t="n">
        <f aca="false">(G3534-Stats!$B$2)/H3534</f>
        <v>1.49110662526852</v>
      </c>
    </row>
    <row r="3535" customFormat="false" ht="15" hidden="false" customHeight="false" outlineLevel="0" collapsed="false">
      <c r="A3535" s="0" t="n">
        <v>0.473919760911192</v>
      </c>
      <c r="B3535" s="0" t="n">
        <v>0.193700292785702</v>
      </c>
      <c r="C3535" s="0" t="n">
        <v>0.208383679008825</v>
      </c>
      <c r="D3535" s="0" t="n">
        <f aca="false">A3535/SUM($A3535:$C3535)</f>
        <v>0.541001988025088</v>
      </c>
      <c r="E3535" s="0" t="n">
        <f aca="false">B3535/SUM($A3535:$C3535)</f>
        <v>0.221118113489561</v>
      </c>
      <c r="F3535" s="0" t="n">
        <f aca="false">C3535/SUM($A3535:$C3535)</f>
        <v>0.237879898485351</v>
      </c>
      <c r="G3535" s="0" t="n">
        <f aca="false">SUMPRODUCT(D3535:F3535,Stats!$B$6:$D$6)</f>
        <v>0.362647107811628</v>
      </c>
      <c r="H3535" s="0" t="n">
        <f aca="false">SQRT(SUMPRODUCT(MMULT(D3535:F3535,Stats!$B$12:$D$14),D3535:F3535))</f>
        <v>0.222327673719004</v>
      </c>
      <c r="I3535" s="0" t="n">
        <f aca="false">(G3535-Stats!$B$2)/H3535</f>
        <v>1.44222760238516</v>
      </c>
    </row>
    <row r="3536" customFormat="false" ht="15" hidden="false" customHeight="false" outlineLevel="0" collapsed="false">
      <c r="A3536" s="0" t="n">
        <v>0.661303962286867</v>
      </c>
      <c r="B3536" s="0" t="n">
        <v>0.911256151834288</v>
      </c>
      <c r="C3536" s="0" t="n">
        <v>0.403756610478347</v>
      </c>
      <c r="D3536" s="0" t="n">
        <f aca="false">A3536/SUM($A3536:$C3536)</f>
        <v>0.334614363201768</v>
      </c>
      <c r="E3536" s="0" t="n">
        <f aca="false">B3536/SUM($A3536:$C3536)</f>
        <v>0.46108811431475</v>
      </c>
      <c r="F3536" s="0" t="n">
        <f aca="false">C3536/SUM($A3536:$C3536)</f>
        <v>0.204297522483481</v>
      </c>
      <c r="G3536" s="0" t="n">
        <f aca="false">SUMPRODUCT(D3536:F3536,Stats!$B$6:$D$6)</f>
        <v>0.377380692173805</v>
      </c>
      <c r="H3536" s="0" t="n">
        <f aca="false">SQRT(SUMPRODUCT(MMULT(D3536:F3536,Stats!$B$12:$D$14),D3536:F3536))</f>
        <v>0.228079038017278</v>
      </c>
      <c r="I3536" s="0" t="n">
        <f aca="false">(G3536-Stats!$B$2)/H3536</f>
        <v>1.47045820207466</v>
      </c>
    </row>
    <row r="3537" customFormat="false" ht="15" hidden="false" customHeight="false" outlineLevel="0" collapsed="false">
      <c r="A3537" s="0" t="n">
        <v>0.20774927301219</v>
      </c>
      <c r="B3537" s="0" t="n">
        <v>0.648746937236654</v>
      </c>
      <c r="C3537" s="0" t="n">
        <v>0.871187046350318</v>
      </c>
      <c r="D3537" s="0" t="n">
        <f aca="false">A3537/SUM($A3537:$C3537)</f>
        <v>0.120247315136417</v>
      </c>
      <c r="E3537" s="0" t="n">
        <f aca="false">B3537/SUM($A3537:$C3537)</f>
        <v>0.375501084911636</v>
      </c>
      <c r="F3537" s="0" t="n">
        <f aca="false">C3537/SUM($A3537:$C3537)</f>
        <v>0.504251599951947</v>
      </c>
      <c r="G3537" s="0" t="n">
        <f aca="false">SUMPRODUCT(D3537:F3537,Stats!$B$6:$D$6)</f>
        <v>0.364185006957286</v>
      </c>
      <c r="H3537" s="0" t="n">
        <f aca="false">SQRT(SUMPRODUCT(MMULT(D3537:F3537,Stats!$B$12:$D$14),D3537:F3537))</f>
        <v>0.236125423033046</v>
      </c>
      <c r="I3537" s="0" t="n">
        <f aca="false">(G3537-Stats!$B$2)/H3537</f>
        <v>1.36446555740928</v>
      </c>
    </row>
    <row r="3538" customFormat="false" ht="15" hidden="false" customHeight="false" outlineLevel="0" collapsed="false">
      <c r="A3538" s="0" t="n">
        <v>0.748318801122491</v>
      </c>
      <c r="B3538" s="0" t="n">
        <v>0.868757230536587</v>
      </c>
      <c r="C3538" s="0" t="n">
        <v>0.536554671010799</v>
      </c>
      <c r="D3538" s="0" t="n">
        <f aca="false">A3538/SUM($A3538:$C3538)</f>
        <v>0.347468486679166</v>
      </c>
      <c r="E3538" s="0" t="n">
        <f aca="false">B3538/SUM($A3538:$C3538)</f>
        <v>0.403391922978986</v>
      </c>
      <c r="F3538" s="0" t="n">
        <f aca="false">C3538/SUM($A3538:$C3538)</f>
        <v>0.249139590341848</v>
      </c>
      <c r="G3538" s="0" t="n">
        <f aca="false">SUMPRODUCT(D3538:F3538,Stats!$B$6:$D$6)</f>
        <v>0.372824425225036</v>
      </c>
      <c r="H3538" s="0" t="n">
        <f aca="false">SQRT(SUMPRODUCT(MMULT(D3538:F3538,Stats!$B$12:$D$14),D3538:F3538))</f>
        <v>0.226758191861473</v>
      </c>
      <c r="I3538" s="0" t="n">
        <f aca="false">(G3538-Stats!$B$2)/H3538</f>
        <v>1.45893042500153</v>
      </c>
    </row>
    <row r="3539" customFormat="false" ht="15" hidden="false" customHeight="false" outlineLevel="0" collapsed="false">
      <c r="A3539" s="0" t="n">
        <v>0.751876244369191</v>
      </c>
      <c r="B3539" s="0" t="n">
        <v>0.140064559358937</v>
      </c>
      <c r="C3539" s="0" t="n">
        <v>0.348274615363192</v>
      </c>
      <c r="D3539" s="0" t="n">
        <f aca="false">A3539/SUM($A3539:$C3539)</f>
        <v>0.606246489759074</v>
      </c>
      <c r="E3539" s="0" t="n">
        <f aca="false">B3539/SUM($A3539:$C3539)</f>
        <v>0.112935670047998</v>
      </c>
      <c r="F3539" s="0" t="n">
        <f aca="false">C3539/SUM($A3539:$C3539)</f>
        <v>0.280817840192928</v>
      </c>
      <c r="G3539" s="0" t="n">
        <f aca="false">SUMPRODUCT(D3539:F3539,Stats!$B$6:$D$6)</f>
        <v>0.355238432806011</v>
      </c>
      <c r="H3539" s="0" t="n">
        <f aca="false">SQRT(SUMPRODUCT(MMULT(D3539:F3539,Stats!$B$12:$D$14),D3539:F3539))</f>
        <v>0.221433023006988</v>
      </c>
      <c r="I3539" s="0" t="n">
        <f aca="false">(G3539-Stats!$B$2)/H3539</f>
        <v>1.41459674149924</v>
      </c>
    </row>
    <row r="3540" customFormat="false" ht="15" hidden="false" customHeight="false" outlineLevel="0" collapsed="false">
      <c r="A3540" s="0" t="n">
        <v>0.389549164481522</v>
      </c>
      <c r="B3540" s="0" t="n">
        <v>0.511295746246035</v>
      </c>
      <c r="C3540" s="0" t="n">
        <v>0.929076360256824</v>
      </c>
      <c r="D3540" s="0" t="n">
        <f aca="false">A3540/SUM($A3540:$C3540)</f>
        <v>0.212877554164923</v>
      </c>
      <c r="E3540" s="0" t="n">
        <f aca="false">B3540/SUM($A3540:$C3540)</f>
        <v>0.279408603175037</v>
      </c>
      <c r="F3540" s="0" t="n">
        <f aca="false">C3540/SUM($A3540:$C3540)</f>
        <v>0.50771384266004</v>
      </c>
      <c r="G3540" s="0" t="n">
        <f aca="false">SUMPRODUCT(D3540:F3540,Stats!$B$6:$D$6)</f>
        <v>0.3585604999172</v>
      </c>
      <c r="H3540" s="0" t="n">
        <f aca="false">SQRT(SUMPRODUCT(MMULT(D3540:F3540,Stats!$B$12:$D$14),D3540:F3540))</f>
        <v>0.231597705611759</v>
      </c>
      <c r="I3540" s="0" t="n">
        <f aca="false">(G3540-Stats!$B$2)/H3540</f>
        <v>1.36685507777814</v>
      </c>
    </row>
    <row r="3541" customFormat="false" ht="15" hidden="false" customHeight="false" outlineLevel="0" collapsed="false">
      <c r="A3541" s="0" t="n">
        <v>0.874296560222174</v>
      </c>
      <c r="B3541" s="0" t="n">
        <v>0.134525492289185</v>
      </c>
      <c r="C3541" s="0" t="n">
        <v>0.172789651882463</v>
      </c>
      <c r="D3541" s="0" t="n">
        <f aca="false">A3541/SUM($A3541:$C3541)</f>
        <v>0.739918669535096</v>
      </c>
      <c r="E3541" s="0" t="n">
        <f aca="false">B3541/SUM($A3541:$C3541)</f>
        <v>0.113849153481598</v>
      </c>
      <c r="F3541" s="0" t="n">
        <f aca="false">C3541/SUM($A3541:$C3541)</f>
        <v>0.146232176983306</v>
      </c>
      <c r="G3541" s="0" t="n">
        <f aca="false">SUMPRODUCT(D3541:F3541,Stats!$B$6:$D$6)</f>
        <v>0.35900214135912</v>
      </c>
      <c r="H3541" s="0" t="n">
        <f aca="false">SQRT(SUMPRODUCT(MMULT(D3541:F3541,Stats!$B$12:$D$14),D3541:F3541))</f>
        <v>0.22362990698465</v>
      </c>
      <c r="I3541" s="0" t="n">
        <f aca="false">(G3541-Stats!$B$2)/H3541</f>
        <v>1.41753017578673</v>
      </c>
    </row>
    <row r="3542" customFormat="false" ht="15" hidden="false" customHeight="false" outlineLevel="0" collapsed="false">
      <c r="A3542" s="0" t="n">
        <v>0.357640549588911</v>
      </c>
      <c r="B3542" s="0" t="n">
        <v>0.290743865890674</v>
      </c>
      <c r="C3542" s="0" t="n">
        <v>0.614770953156262</v>
      </c>
      <c r="D3542" s="0" t="n">
        <f aca="false">A3542/SUM($A3542:$C3542)</f>
        <v>0.283132667975079</v>
      </c>
      <c r="E3542" s="0" t="n">
        <f aca="false">B3542/SUM($A3542:$C3542)</f>
        <v>0.230172687469685</v>
      </c>
      <c r="F3542" s="0" t="n">
        <f aca="false">C3542/SUM($A3542:$C3542)</f>
        <v>0.486694644555236</v>
      </c>
      <c r="G3542" s="0" t="n">
        <f aca="false">SUMPRODUCT(D3542:F3542,Stats!$B$6:$D$6)</f>
        <v>0.356307125355644</v>
      </c>
      <c r="H3542" s="0" t="n">
        <f aca="false">SQRT(SUMPRODUCT(MMULT(D3542:F3542,Stats!$B$12:$D$14),D3542:F3542))</f>
        <v>0.228507332726424</v>
      </c>
      <c r="I3542" s="0" t="n">
        <f aca="false">(G3542-Stats!$B$2)/H3542</f>
        <v>1.3754793844272</v>
      </c>
    </row>
    <row r="3543" customFormat="false" ht="15" hidden="false" customHeight="false" outlineLevel="0" collapsed="false">
      <c r="A3543" s="0" t="n">
        <v>0.902776047764545</v>
      </c>
      <c r="B3543" s="0" t="n">
        <v>0.962291541672587</v>
      </c>
      <c r="C3543" s="0" t="n">
        <v>0.653602952535227</v>
      </c>
      <c r="D3543" s="0" t="n">
        <f aca="false">A3543/SUM($A3543:$C3543)</f>
        <v>0.358433559578453</v>
      </c>
      <c r="E3543" s="0" t="n">
        <f aca="false">B3543/SUM($A3543:$C3543)</f>
        <v>0.382063285227857</v>
      </c>
      <c r="F3543" s="0" t="n">
        <f aca="false">C3543/SUM($A3543:$C3543)</f>
        <v>0.259503155193689</v>
      </c>
      <c r="G3543" s="0" t="n">
        <f aca="false">SUMPRODUCT(D3543:F3543,Stats!$B$6:$D$6)</f>
        <v>0.371311431699199</v>
      </c>
      <c r="H3543" s="0" t="n">
        <f aca="false">SQRT(SUMPRODUCT(MMULT(D3543:F3543,Stats!$B$12:$D$14),D3543:F3543))</f>
        <v>0.226221162993207</v>
      </c>
      <c r="I3543" s="0" t="n">
        <f aca="false">(G3543-Stats!$B$2)/H3543</f>
        <v>1.45570567908842</v>
      </c>
    </row>
    <row r="3544" customFormat="false" ht="15" hidden="false" customHeight="false" outlineLevel="0" collapsed="false">
      <c r="A3544" s="0" t="n">
        <v>0.838159201401087</v>
      </c>
      <c r="B3544" s="0" t="n">
        <v>0.525202200230797</v>
      </c>
      <c r="C3544" s="0" t="n">
        <v>0.20832694686004</v>
      </c>
      <c r="D3544" s="0" t="n">
        <f aca="false">A3544/SUM($A3544:$C3544)</f>
        <v>0.533285878339254</v>
      </c>
      <c r="E3544" s="0" t="n">
        <f aca="false">B3544/SUM($A3544:$C3544)</f>
        <v>0.334164340363497</v>
      </c>
      <c r="F3544" s="0" t="n">
        <f aca="false">C3544/SUM($A3544:$C3544)</f>
        <v>0.132549781297249</v>
      </c>
      <c r="G3544" s="0" t="n">
        <f aca="false">SUMPRODUCT(D3544:F3544,Stats!$B$6:$D$6)</f>
        <v>0.372056078862455</v>
      </c>
      <c r="H3544" s="0" t="n">
        <f aca="false">SQRT(SUMPRODUCT(MMULT(D3544:F3544,Stats!$B$12:$D$14),D3544:F3544))</f>
        <v>0.224493565002623</v>
      </c>
      <c r="I3544" s="0" t="n">
        <f aca="false">(G3544-Stats!$B$2)/H3544</f>
        <v>1.47022512141316</v>
      </c>
    </row>
    <row r="3545" customFormat="false" ht="15" hidden="false" customHeight="false" outlineLevel="0" collapsed="false">
      <c r="A3545" s="0" t="n">
        <v>0.524688412093477</v>
      </c>
      <c r="B3545" s="0" t="n">
        <v>0.555082601437651</v>
      </c>
      <c r="C3545" s="0" t="n">
        <v>0.742457564213557</v>
      </c>
      <c r="D3545" s="0" t="n">
        <f aca="false">A3545/SUM($A3545:$C3545)</f>
        <v>0.287937758468736</v>
      </c>
      <c r="E3545" s="0" t="n">
        <f aca="false">B3545/SUM($A3545:$C3545)</f>
        <v>0.3046174383483</v>
      </c>
      <c r="F3545" s="0" t="n">
        <f aca="false">C3545/SUM($A3545:$C3545)</f>
        <v>0.407444803182965</v>
      </c>
      <c r="G3545" s="0" t="n">
        <f aca="false">SUMPRODUCT(D3545:F3545,Stats!$B$6:$D$6)</f>
        <v>0.362775863863993</v>
      </c>
      <c r="H3545" s="0" t="n">
        <f aca="false">SQRT(SUMPRODUCT(MMULT(D3545:F3545,Stats!$B$12:$D$14),D3545:F3545))</f>
        <v>0.227809014246522</v>
      </c>
      <c r="I3545" s="0" t="n">
        <f aca="false">(G3545-Stats!$B$2)/H3545</f>
        <v>1.40809118078562</v>
      </c>
    </row>
    <row r="3546" customFormat="false" ht="15" hidden="false" customHeight="false" outlineLevel="0" collapsed="false">
      <c r="A3546" s="0" t="n">
        <v>0.219882989707349</v>
      </c>
      <c r="B3546" s="0" t="n">
        <v>0.368310382086732</v>
      </c>
      <c r="C3546" s="0" t="n">
        <v>0.364027469214566</v>
      </c>
      <c r="D3546" s="0" t="n">
        <f aca="false">A3546/SUM($A3546:$C3546)</f>
        <v>0.230915960077535</v>
      </c>
      <c r="E3546" s="0" t="n">
        <f aca="false">B3546/SUM($A3546:$C3546)</f>
        <v>0.386790927298542</v>
      </c>
      <c r="F3546" s="0" t="n">
        <f aca="false">C3546/SUM($A3546:$C3546)</f>
        <v>0.382293112623924</v>
      </c>
      <c r="G3546" s="0" t="n">
        <f aca="false">SUMPRODUCT(D3546:F3546,Stats!$B$6:$D$6)</f>
        <v>0.368197568256441</v>
      </c>
      <c r="H3546" s="0" t="n">
        <f aca="false">SQRT(SUMPRODUCT(MMULT(D3546:F3546,Stats!$B$12:$D$14),D3546:F3546))</f>
        <v>0.230207478031962</v>
      </c>
      <c r="I3546" s="0" t="n">
        <f aca="false">(G3546-Stats!$B$2)/H3546</f>
        <v>1.41697207686343</v>
      </c>
    </row>
    <row r="3547" customFormat="false" ht="15" hidden="false" customHeight="false" outlineLevel="0" collapsed="false">
      <c r="A3547" s="0" t="n">
        <v>0.959439595741165</v>
      </c>
      <c r="B3547" s="0" t="n">
        <v>0.443944960326719</v>
      </c>
      <c r="C3547" s="0" t="n">
        <v>0.755093967298147</v>
      </c>
      <c r="D3547" s="0" t="n">
        <f aca="false">A3547/SUM($A3547:$C3547)</f>
        <v>0.444498096856192</v>
      </c>
      <c r="E3547" s="0" t="n">
        <f aca="false">B3547/SUM($A3547:$C3547)</f>
        <v>0.205674949053656</v>
      </c>
      <c r="F3547" s="0" t="n">
        <f aca="false">C3547/SUM($A3547:$C3547)</f>
        <v>0.349826954090152</v>
      </c>
      <c r="G3547" s="0" t="n">
        <f aca="false">SUMPRODUCT(D3547:F3547,Stats!$B$6:$D$6)</f>
        <v>0.358671631116482</v>
      </c>
      <c r="H3547" s="0" t="n">
        <f aca="false">SQRT(SUMPRODUCT(MMULT(D3547:F3547,Stats!$B$12:$D$14),D3547:F3547))</f>
        <v>0.223129745144294</v>
      </c>
      <c r="I3547" s="0" t="n">
        <f aca="false">(G3547-Stats!$B$2)/H3547</f>
        <v>1.41922642770777</v>
      </c>
    </row>
    <row r="3548" customFormat="false" ht="15" hidden="false" customHeight="false" outlineLevel="0" collapsed="false">
      <c r="A3548" s="0" t="n">
        <v>0.750811381374439</v>
      </c>
      <c r="B3548" s="0" t="n">
        <v>0.265544184803241</v>
      </c>
      <c r="C3548" s="0" t="n">
        <v>0.571869689371732</v>
      </c>
      <c r="D3548" s="0" t="n">
        <f aca="false">A3548/SUM($A3548:$C3548)</f>
        <v>0.472736079942711</v>
      </c>
      <c r="E3548" s="0" t="n">
        <f aca="false">B3548/SUM($A3548:$C3548)</f>
        <v>0.167195543500775</v>
      </c>
      <c r="F3548" s="0" t="n">
        <f aca="false">C3548/SUM($A3548:$C3548)</f>
        <v>0.360068376556514</v>
      </c>
      <c r="G3548" s="0" t="n">
        <f aca="false">SUMPRODUCT(D3548:F3548,Stats!$B$6:$D$6)</f>
        <v>0.356175172638437</v>
      </c>
      <c r="H3548" s="0" t="n">
        <f aca="false">SQRT(SUMPRODUCT(MMULT(D3548:F3548,Stats!$B$12:$D$14),D3548:F3548))</f>
        <v>0.222580632820953</v>
      </c>
      <c r="I3548" s="0" t="n">
        <f aca="false">(G3548-Stats!$B$2)/H3548</f>
        <v>1.41151172344435</v>
      </c>
    </row>
    <row r="3549" customFormat="false" ht="15" hidden="false" customHeight="false" outlineLevel="0" collapsed="false">
      <c r="A3549" s="0" t="n">
        <v>0.894302893318648</v>
      </c>
      <c r="B3549" s="0" t="n">
        <v>0.475197719456949</v>
      </c>
      <c r="C3549" s="0" t="n">
        <v>0.945117507342546</v>
      </c>
      <c r="D3549" s="0" t="n">
        <f aca="false">A3549/SUM($A3549:$C3549)</f>
        <v>0.386371680730211</v>
      </c>
      <c r="E3549" s="0" t="n">
        <f aca="false">B3549/SUM($A3549:$C3549)</f>
        <v>0.205302859822377</v>
      </c>
      <c r="F3549" s="0" t="n">
        <f aca="false">C3549/SUM($A3549:$C3549)</f>
        <v>0.408325459447412</v>
      </c>
      <c r="G3549" s="0" t="n">
        <f aca="false">SUMPRODUCT(D3549:F3549,Stats!$B$6:$D$6)</f>
        <v>0.357037147798181</v>
      </c>
      <c r="H3549" s="0" t="n">
        <f aca="false">SQRT(SUMPRODUCT(MMULT(D3549:F3549,Stats!$B$12:$D$14),D3549:F3549))</f>
        <v>0.224608861656525</v>
      </c>
      <c r="I3549" s="0" t="n">
        <f aca="false">(G3549-Stats!$B$2)/H3549</f>
        <v>1.40260337670889</v>
      </c>
    </row>
    <row r="3550" customFormat="false" ht="15" hidden="false" customHeight="false" outlineLevel="0" collapsed="false">
      <c r="A3550" s="0" t="n">
        <v>0.214458229324162</v>
      </c>
      <c r="B3550" s="0" t="n">
        <v>0.0741591057740307</v>
      </c>
      <c r="C3550" s="0" t="n">
        <v>0.891453873144749</v>
      </c>
      <c r="D3550" s="0" t="n">
        <f aca="false">A3550/SUM($A3550:$C3550)</f>
        <v>0.181733295267391</v>
      </c>
      <c r="E3550" s="0" t="n">
        <f aca="false">B3550/SUM($A3550:$C3550)</f>
        <v>0.0628429074923787</v>
      </c>
      <c r="F3550" s="0" t="n">
        <f aca="false">C3550/SUM($A3550:$C3550)</f>
        <v>0.75542379724023</v>
      </c>
      <c r="G3550" s="0" t="n">
        <f aca="false">SUMPRODUCT(D3550:F3550,Stats!$B$6:$D$6)</f>
        <v>0.339269083359824</v>
      </c>
      <c r="H3550" s="0" t="n">
        <f aca="false">SQRT(SUMPRODUCT(MMULT(D3550:F3550,Stats!$B$12:$D$14),D3550:F3550))</f>
        <v>0.239357199732885</v>
      </c>
      <c r="I3550" s="0" t="n">
        <f aca="false">(G3550-Stats!$B$2)/H3550</f>
        <v>1.24194753152012</v>
      </c>
    </row>
    <row r="3551" customFormat="false" ht="15" hidden="false" customHeight="false" outlineLevel="0" collapsed="false">
      <c r="A3551" s="0" t="n">
        <v>0.847681197962217</v>
      </c>
      <c r="B3551" s="0" t="n">
        <v>0.992589875933845</v>
      </c>
      <c r="C3551" s="0" t="n">
        <v>0.679393488112426</v>
      </c>
      <c r="D3551" s="0" t="n">
        <f aca="false">A3551/SUM($A3551:$C3551)</f>
        <v>0.336426209561208</v>
      </c>
      <c r="E3551" s="0" t="n">
        <f aca="false">B3551/SUM($A3551:$C3551)</f>
        <v>0.393937308521189</v>
      </c>
      <c r="F3551" s="0" t="n">
        <f aca="false">C3551/SUM($A3551:$C3551)</f>
        <v>0.269636481917603</v>
      </c>
      <c r="G3551" s="0" t="n">
        <f aca="false">SUMPRODUCT(D3551:F3551,Stats!$B$6:$D$6)</f>
        <v>0.37171522504432</v>
      </c>
      <c r="H3551" s="0" t="n">
        <f aca="false">SQRT(SUMPRODUCT(MMULT(D3551:F3551,Stats!$B$12:$D$14),D3551:F3551))</f>
        <v>0.226842843865063</v>
      </c>
      <c r="I3551" s="0" t="n">
        <f aca="false">(G3551-Stats!$B$2)/H3551</f>
        <v>1.45349625946521</v>
      </c>
    </row>
    <row r="3552" customFormat="false" ht="15" hidden="false" customHeight="false" outlineLevel="0" collapsed="false">
      <c r="A3552" s="0" t="n">
        <v>0.93668792666715</v>
      </c>
      <c r="B3552" s="0" t="n">
        <v>0.826949025084111</v>
      </c>
      <c r="C3552" s="0" t="n">
        <v>0.844426333120087</v>
      </c>
      <c r="D3552" s="0" t="n">
        <f aca="false">A3552/SUM($A3552:$C3552)</f>
        <v>0.359150766049511</v>
      </c>
      <c r="E3552" s="0" t="n">
        <f aca="false">B3552/SUM($A3552:$C3552)</f>
        <v>0.317073987384054</v>
      </c>
      <c r="F3552" s="0" t="n">
        <f aca="false">C3552/SUM($A3552:$C3552)</f>
        <v>0.323775246566435</v>
      </c>
      <c r="G3552" s="0" t="n">
        <f aca="false">SUMPRODUCT(D3552:F3552,Stats!$B$6:$D$6)</f>
        <v>0.365799753416012</v>
      </c>
      <c r="H3552" s="0" t="n">
        <f aca="false">SQRT(SUMPRODUCT(MMULT(D3552:F3552,Stats!$B$12:$D$14),D3552:F3552))</f>
        <v>0.225509517071677</v>
      </c>
      <c r="I3552" s="0" t="n">
        <f aca="false">(G3552-Stats!$B$2)/H3552</f>
        <v>1.43585848446961</v>
      </c>
    </row>
    <row r="3553" customFormat="false" ht="15" hidden="false" customHeight="false" outlineLevel="0" collapsed="false">
      <c r="A3553" s="0" t="n">
        <v>0.569141570454268</v>
      </c>
      <c r="B3553" s="0" t="n">
        <v>0.382364597916711</v>
      </c>
      <c r="C3553" s="0" t="n">
        <v>0.934558072543282</v>
      </c>
      <c r="D3553" s="0" t="n">
        <f aca="false">A3553/SUM($A3553:$C3553)</f>
        <v>0.301761497889584</v>
      </c>
      <c r="E3553" s="0" t="n">
        <f aca="false">B3553/SUM($A3553:$C3553)</f>
        <v>0.202731481580586</v>
      </c>
      <c r="F3553" s="0" t="n">
        <f aca="false">C3553/SUM($A3553:$C3553)</f>
        <v>0.495507020529831</v>
      </c>
      <c r="G3553" s="0" t="n">
        <f aca="false">SUMPRODUCT(D3553:F3553,Stats!$B$6:$D$6)</f>
        <v>0.354485196007162</v>
      </c>
      <c r="H3553" s="0" t="n">
        <f aca="false">SQRT(SUMPRODUCT(MMULT(D3553:F3553,Stats!$B$12:$D$14),D3553:F3553))</f>
        <v>0.227950528580281</v>
      </c>
      <c r="I3553" s="0" t="n">
        <f aca="false">(G3553-Stats!$B$2)/H3553</f>
        <v>1.37084655145737</v>
      </c>
    </row>
    <row r="3554" customFormat="false" ht="15" hidden="false" customHeight="false" outlineLevel="0" collapsed="false">
      <c r="A3554" s="0" t="n">
        <v>0.432117175615895</v>
      </c>
      <c r="B3554" s="0" t="n">
        <v>0.538819367249669</v>
      </c>
      <c r="C3554" s="0" t="n">
        <v>0.446114307125188</v>
      </c>
      <c r="D3554" s="0" t="n">
        <f aca="false">A3554/SUM($A3554:$C3554)</f>
        <v>0.304941192208251</v>
      </c>
      <c r="E3554" s="0" t="n">
        <f aca="false">B3554/SUM($A3554:$C3554)</f>
        <v>0.380239966161543</v>
      </c>
      <c r="F3554" s="0" t="n">
        <f aca="false">C3554/SUM($A3554:$C3554)</f>
        <v>0.314818841630206</v>
      </c>
      <c r="G3554" s="0" t="n">
        <f aca="false">SUMPRODUCT(D3554:F3554,Stats!$B$6:$D$6)</f>
        <v>0.369681211502044</v>
      </c>
      <c r="H3554" s="0" t="n">
        <f aca="false">SQRT(SUMPRODUCT(MMULT(D3554:F3554,Stats!$B$12:$D$14),D3554:F3554))</f>
        <v>0.227496377503125</v>
      </c>
      <c r="I3554" s="0" t="n">
        <f aca="false">(G3554-Stats!$B$2)/H3554</f>
        <v>1.44037990889566</v>
      </c>
    </row>
    <row r="3555" customFormat="false" ht="15" hidden="false" customHeight="false" outlineLevel="0" collapsed="false">
      <c r="A3555" s="0" t="n">
        <v>0.564818313960197</v>
      </c>
      <c r="B3555" s="0" t="n">
        <v>0.470505078992327</v>
      </c>
      <c r="C3555" s="0" t="n">
        <v>0.0479675585794759</v>
      </c>
      <c r="D3555" s="0" t="n">
        <f aca="false">A3555/SUM($A3555:$C3555)</f>
        <v>0.521391149036578</v>
      </c>
      <c r="E3555" s="0" t="n">
        <f aca="false">B3555/SUM($A3555:$C3555)</f>
        <v>0.434329372295536</v>
      </c>
      <c r="F3555" s="0" t="n">
        <f aca="false">C3555/SUM($A3555:$C3555)</f>
        <v>0.0442794786678867</v>
      </c>
      <c r="G3555" s="0" t="n">
        <f aca="false">SUMPRODUCT(D3555:F3555,Stats!$B$6:$D$6)</f>
        <v>0.380253464803221</v>
      </c>
      <c r="H3555" s="0" t="n">
        <f aca="false">SQRT(SUMPRODUCT(MMULT(D3555:F3555,Stats!$B$12:$D$14),D3555:F3555))</f>
        <v>0.227479154333366</v>
      </c>
      <c r="I3555" s="0" t="n">
        <f aca="false">(G3555-Stats!$B$2)/H3555</f>
        <v>1.48696466625473</v>
      </c>
    </row>
    <row r="3556" customFormat="false" ht="15" hidden="false" customHeight="false" outlineLevel="0" collapsed="false">
      <c r="A3556" s="0" t="n">
        <v>0.882048186007699</v>
      </c>
      <c r="B3556" s="0" t="n">
        <v>0.44439381891577</v>
      </c>
      <c r="C3556" s="0" t="n">
        <v>0.588943648507349</v>
      </c>
      <c r="D3556" s="0" t="n">
        <f aca="false">A3556/SUM($A3556:$C3556)</f>
        <v>0.460506835491737</v>
      </c>
      <c r="E3556" s="0" t="n">
        <f aca="false">B3556/SUM($A3556:$C3556)</f>
        <v>0.232012711445226</v>
      </c>
      <c r="F3556" s="0" t="n">
        <f aca="false">C3556/SUM($A3556:$C3556)</f>
        <v>0.307480453063037</v>
      </c>
      <c r="G3556" s="0" t="n">
        <f aca="false">SUMPRODUCT(D3556:F3556,Stats!$B$6:$D$6)</f>
        <v>0.361354760354696</v>
      </c>
      <c r="H3556" s="0" t="n">
        <f aca="false">SQRT(SUMPRODUCT(MMULT(D3556:F3556,Stats!$B$12:$D$14),D3556:F3556))</f>
        <v>0.222960844964927</v>
      </c>
      <c r="I3556" s="0" t="n">
        <f aca="false">(G3556-Stats!$B$2)/H3556</f>
        <v>1.43233562110393</v>
      </c>
    </row>
    <row r="3557" customFormat="false" ht="15" hidden="false" customHeight="false" outlineLevel="0" collapsed="false">
      <c r="A3557" s="0" t="n">
        <v>0.139187802757987</v>
      </c>
      <c r="B3557" s="0" t="n">
        <v>0.00338784798263914</v>
      </c>
      <c r="C3557" s="0" t="n">
        <v>0.245290093643643</v>
      </c>
      <c r="D3557" s="0" t="n">
        <f aca="false">A3557/SUM($A3557:$C3557)</f>
        <v>0.358855621495901</v>
      </c>
      <c r="E3557" s="0" t="n">
        <f aca="false">B3557/SUM($A3557:$C3557)</f>
        <v>0.00873458930490831</v>
      </c>
      <c r="F3557" s="0" t="n">
        <f aca="false">C3557/SUM($A3557:$C3557)</f>
        <v>0.632409789199191</v>
      </c>
      <c r="G3557" s="0" t="n">
        <f aca="false">SUMPRODUCT(D3557:F3557,Stats!$B$6:$D$6)</f>
        <v>0.339547824720399</v>
      </c>
      <c r="H3557" s="0" t="n">
        <f aca="false">SQRT(SUMPRODUCT(MMULT(D3557:F3557,Stats!$B$12:$D$14),D3557:F3557))</f>
        <v>0.229278726743179</v>
      </c>
      <c r="I3557" s="0" t="n">
        <f aca="false">(G3557-Stats!$B$2)/H3557</f>
        <v>1.29775591895052</v>
      </c>
    </row>
    <row r="3558" customFormat="false" ht="15" hidden="false" customHeight="false" outlineLevel="0" collapsed="false">
      <c r="A3558" s="0" t="n">
        <v>0.70458603213335</v>
      </c>
      <c r="B3558" s="0" t="n">
        <v>0.0991945301128786</v>
      </c>
      <c r="C3558" s="0" t="n">
        <v>0.908887440386468</v>
      </c>
      <c r="D3558" s="0" t="n">
        <f aca="false">A3558/SUM($A3558:$C3558)</f>
        <v>0.4113967395025</v>
      </c>
      <c r="E3558" s="0" t="n">
        <f aca="false">B3558/SUM($A3558:$C3558)</f>
        <v>0.05791813122006</v>
      </c>
      <c r="F3558" s="0" t="n">
        <f aca="false">C3558/SUM($A3558:$C3558)</f>
        <v>0.53068512927744</v>
      </c>
      <c r="G3558" s="0" t="n">
        <f aca="false">SUMPRODUCT(D3558:F3558,Stats!$B$6:$D$6)</f>
        <v>0.345182800437166</v>
      </c>
      <c r="H3558" s="0" t="n">
        <f aca="false">SQRT(SUMPRODUCT(MMULT(D3558:F3558,Stats!$B$12:$D$14),D3558:F3558))</f>
        <v>0.225518758580052</v>
      </c>
      <c r="I3558" s="0" t="n">
        <f aca="false">(G3558-Stats!$B$2)/H3558</f>
        <v>1.3443795201167</v>
      </c>
    </row>
    <row r="3559" customFormat="false" ht="15" hidden="false" customHeight="false" outlineLevel="0" collapsed="false">
      <c r="A3559" s="0" t="n">
        <v>0.215022569356185</v>
      </c>
      <c r="B3559" s="0" t="n">
        <v>0.204593614291776</v>
      </c>
      <c r="C3559" s="0" t="n">
        <v>0.181507961621496</v>
      </c>
      <c r="D3559" s="0" t="n">
        <f aca="false">A3559/SUM($A3559:$C3559)</f>
        <v>0.357700769547029</v>
      </c>
      <c r="E3559" s="0" t="n">
        <f aca="false">B3559/SUM($A3559:$C3559)</f>
        <v>0.34035168259639</v>
      </c>
      <c r="F3559" s="0" t="n">
        <f aca="false">C3559/SUM($A3559:$C3559)</f>
        <v>0.301947547856581</v>
      </c>
      <c r="G3559" s="0" t="n">
        <f aca="false">SUMPRODUCT(D3559:F3559,Stats!$B$6:$D$6)</f>
        <v>0.367741012267348</v>
      </c>
      <c r="H3559" s="0" t="n">
        <f aca="false">SQRT(SUMPRODUCT(MMULT(D3559:F3559,Stats!$B$12:$D$14),D3559:F3559))</f>
        <v>0.225733512069627</v>
      </c>
      <c r="I3559" s="0" t="n">
        <f aca="false">(G3559-Stats!$B$2)/H3559</f>
        <v>1.44303346579251</v>
      </c>
    </row>
    <row r="3560" customFormat="false" ht="15" hidden="false" customHeight="false" outlineLevel="0" collapsed="false">
      <c r="A3560" s="0" t="n">
        <v>0.0139817129713648</v>
      </c>
      <c r="B3560" s="0" t="n">
        <v>0.771805468478235</v>
      </c>
      <c r="C3560" s="0" t="n">
        <v>0.875034531245259</v>
      </c>
      <c r="D3560" s="0" t="n">
        <f aca="false">A3560/SUM($A3560:$C3560)</f>
        <v>0.00841855141011972</v>
      </c>
      <c r="E3560" s="0" t="n">
        <f aca="false">B3560/SUM($A3560:$C3560)</f>
        <v>0.464713016802929</v>
      </c>
      <c r="F3560" s="0" t="n">
        <f aca="false">C3560/SUM($A3560:$C3560)</f>
        <v>0.526868431786951</v>
      </c>
      <c r="G3560" s="0" t="n">
        <f aca="false">SUMPRODUCT(D3560:F3560,Stats!$B$6:$D$6)</f>
        <v>0.368694495614607</v>
      </c>
      <c r="H3560" s="0" t="n">
        <f aca="false">SQRT(SUMPRODUCT(MMULT(D3560:F3560,Stats!$B$12:$D$14),D3560:F3560))</f>
        <v>0.24300119525466</v>
      </c>
      <c r="I3560" s="0" t="n">
        <f aca="false">(G3560-Stats!$B$2)/H3560</f>
        <v>1.34441517981933</v>
      </c>
    </row>
    <row r="3561" customFormat="false" ht="15" hidden="false" customHeight="false" outlineLevel="0" collapsed="false">
      <c r="A3561" s="0" t="n">
        <v>0.614162702616199</v>
      </c>
      <c r="B3561" s="0" t="n">
        <v>0.188199981679862</v>
      </c>
      <c r="C3561" s="0" t="n">
        <v>0.28527799694088</v>
      </c>
      <c r="D3561" s="0" t="n">
        <f aca="false">A3561/SUM($A3561:$C3561)</f>
        <v>0.564674265326054</v>
      </c>
      <c r="E3561" s="0" t="n">
        <f aca="false">B3561/SUM($A3561:$C3561)</f>
        <v>0.173035070245651</v>
      </c>
      <c r="F3561" s="0" t="n">
        <f aca="false">C3561/SUM($A3561:$C3561)</f>
        <v>0.262290664428294</v>
      </c>
      <c r="G3561" s="0" t="n">
        <f aca="false">SUMPRODUCT(D3561:F3561,Stats!$B$6:$D$6)</f>
        <v>0.359207354254036</v>
      </c>
      <c r="H3561" s="0" t="n">
        <f aca="false">SQRT(SUMPRODUCT(MMULT(D3561:F3561,Stats!$B$12:$D$14),D3561:F3561))</f>
        <v>0.2218117293546</v>
      </c>
      <c r="I3561" s="0" t="n">
        <f aca="false">(G3561-Stats!$B$2)/H3561</f>
        <v>1.43007475383293</v>
      </c>
    </row>
    <row r="3562" customFormat="false" ht="15" hidden="false" customHeight="false" outlineLevel="0" collapsed="false">
      <c r="A3562" s="0" t="n">
        <v>0.475926697364963</v>
      </c>
      <c r="B3562" s="0" t="n">
        <v>0.954345951623301</v>
      </c>
      <c r="C3562" s="0" t="n">
        <v>0.247351371817743</v>
      </c>
      <c r="D3562" s="0" t="n">
        <f aca="false">A3562/SUM($A3562:$C3562)</f>
        <v>0.283690917310725</v>
      </c>
      <c r="E3562" s="0" t="n">
        <f aca="false">B3562/SUM($A3562:$C3562)</f>
        <v>0.5688676007183</v>
      </c>
      <c r="F3562" s="0" t="n">
        <f aca="false">C3562/SUM($A3562:$C3562)</f>
        <v>0.147441481970975</v>
      </c>
      <c r="G3562" s="0" t="n">
        <f aca="false">SUMPRODUCT(D3562:F3562,Stats!$B$6:$D$6)</f>
        <v>0.385149967774356</v>
      </c>
      <c r="H3562" s="0" t="n">
        <f aca="false">SQRT(SUMPRODUCT(MMULT(D3562:F3562,Stats!$B$12:$D$14),D3562:F3562))</f>
        <v>0.231637380403025</v>
      </c>
      <c r="I3562" s="0" t="n">
        <f aca="false">(G3562-Stats!$B$2)/H3562</f>
        <v>1.48141015572405</v>
      </c>
    </row>
    <row r="3563" customFormat="false" ht="15" hidden="false" customHeight="false" outlineLevel="0" collapsed="false">
      <c r="A3563" s="0" t="n">
        <v>0.731645903919888</v>
      </c>
      <c r="B3563" s="0" t="n">
        <v>0.43944822329292</v>
      </c>
      <c r="C3563" s="0" t="n">
        <v>0.297847348360022</v>
      </c>
      <c r="D3563" s="0" t="n">
        <f aca="false">A3563/SUM($A3563:$C3563)</f>
        <v>0.498076959556591</v>
      </c>
      <c r="E3563" s="0" t="n">
        <f aca="false">B3563/SUM($A3563:$C3563)</f>
        <v>0.299159789957971</v>
      </c>
      <c r="F3563" s="0" t="n">
        <f aca="false">C3563/SUM($A3563:$C3563)</f>
        <v>0.202763250485437</v>
      </c>
      <c r="G3563" s="0" t="n">
        <f aca="false">SUMPRODUCT(D3563:F3563,Stats!$B$6:$D$6)</f>
        <v>0.36810585293028</v>
      </c>
      <c r="H3563" s="0" t="n">
        <f aca="false">SQRT(SUMPRODUCT(MMULT(D3563:F3563,Stats!$B$12:$D$14),D3563:F3563))</f>
        <v>0.223528211143567</v>
      </c>
      <c r="I3563" s="0" t="n">
        <f aca="false">(G3563-Stats!$B$2)/H3563</f>
        <v>1.45890244127095</v>
      </c>
    </row>
    <row r="3564" customFormat="false" ht="15" hidden="false" customHeight="false" outlineLevel="0" collapsed="false">
      <c r="A3564" s="0" t="n">
        <v>0.455915937022114</v>
      </c>
      <c r="B3564" s="0" t="n">
        <v>0.0712067175412325</v>
      </c>
      <c r="C3564" s="0" t="n">
        <v>0.798687370930363</v>
      </c>
      <c r="D3564" s="0" t="n">
        <f aca="false">A3564/SUM($A3564:$C3564)</f>
        <v>0.343877273708455</v>
      </c>
      <c r="E3564" s="0" t="n">
        <f aca="false">B3564/SUM($A3564:$C3564)</f>
        <v>0.0537080849986154</v>
      </c>
      <c r="F3564" s="0" t="n">
        <f aca="false">C3564/SUM($A3564:$C3564)</f>
        <v>0.60241464129293</v>
      </c>
      <c r="G3564" s="0" t="n">
        <f aca="false">SUMPRODUCT(D3564:F3564,Stats!$B$6:$D$6)</f>
        <v>0.342962646121334</v>
      </c>
      <c r="H3564" s="0" t="n">
        <f aca="false">SQRT(SUMPRODUCT(MMULT(D3564:F3564,Stats!$B$12:$D$14),D3564:F3564))</f>
        <v>0.228791755824711</v>
      </c>
      <c r="I3564" s="0" t="n">
        <f aca="false">(G3564-Stats!$B$2)/H3564</f>
        <v>1.31544357897195</v>
      </c>
    </row>
    <row r="3565" customFormat="false" ht="15" hidden="false" customHeight="false" outlineLevel="0" collapsed="false">
      <c r="A3565" s="0" t="n">
        <v>0.243301927982967</v>
      </c>
      <c r="B3565" s="0" t="n">
        <v>0.72541212319297</v>
      </c>
      <c r="C3565" s="0" t="n">
        <v>0.0683483714481947</v>
      </c>
      <c r="D3565" s="0" t="n">
        <f aca="false">A3565/SUM($A3565:$C3565)</f>
        <v>0.234606830481166</v>
      </c>
      <c r="E3565" s="0" t="n">
        <f aca="false">B3565/SUM($A3565:$C3565)</f>
        <v>0.699487424640672</v>
      </c>
      <c r="F3565" s="0" t="n">
        <f aca="false">C3565/SUM($A3565:$C3565)</f>
        <v>0.0659057448781621</v>
      </c>
      <c r="G3565" s="0" t="n">
        <f aca="false">SUMPRODUCT(D3565:F3565,Stats!$B$6:$D$6)</f>
        <v>0.39491397997496</v>
      </c>
      <c r="H3565" s="0" t="n">
        <f aca="false">SQRT(SUMPRODUCT(MMULT(D3565:F3565,Stats!$B$12:$D$14),D3565:F3565))</f>
        <v>0.236820002558899</v>
      </c>
      <c r="I3565" s="0" t="n">
        <f aca="false">(G3565-Stats!$B$2)/H3565</f>
        <v>1.49022031991233</v>
      </c>
    </row>
    <row r="3566" customFormat="false" ht="15" hidden="false" customHeight="false" outlineLevel="0" collapsed="false">
      <c r="A3566" s="0" t="n">
        <v>0.955098556165686</v>
      </c>
      <c r="B3566" s="0" t="n">
        <v>0.193014985405699</v>
      </c>
      <c r="C3566" s="0" t="n">
        <v>0.882742076207081</v>
      </c>
      <c r="D3566" s="0" t="n">
        <f aca="false">A3566/SUM($A3566:$C3566)</f>
        <v>0.470293677110567</v>
      </c>
      <c r="E3566" s="0" t="n">
        <f aca="false">B3566/SUM($A3566:$C3566)</f>
        <v>0.0950412150012102</v>
      </c>
      <c r="F3566" s="0" t="n">
        <f aca="false">C3566/SUM($A3566:$C3566)</f>
        <v>0.434665107888223</v>
      </c>
      <c r="G3566" s="0" t="n">
        <f aca="false">SUMPRODUCT(D3566:F3566,Stats!$B$6:$D$6)</f>
        <v>0.349966529789032</v>
      </c>
      <c r="H3566" s="0" t="n">
        <f aca="false">SQRT(SUMPRODUCT(MMULT(D3566:F3566,Stats!$B$12:$D$14),D3566:F3566))</f>
        <v>0.223010661727953</v>
      </c>
      <c r="I3566" s="0" t="n">
        <f aca="false">(G3566-Stats!$B$2)/H3566</f>
        <v>1.38094980483361</v>
      </c>
    </row>
    <row r="3567" customFormat="false" ht="15" hidden="false" customHeight="false" outlineLevel="0" collapsed="false">
      <c r="A3567" s="0" t="n">
        <v>0.809473209615435</v>
      </c>
      <c r="B3567" s="0" t="n">
        <v>0.967859924081416</v>
      </c>
      <c r="C3567" s="0" t="n">
        <v>0.47789066094575</v>
      </c>
      <c r="D3567" s="0" t="n">
        <f aca="false">A3567/SUM($A3567:$C3567)</f>
        <v>0.358932542099981</v>
      </c>
      <c r="E3567" s="0" t="n">
        <f aca="false">B3567/SUM($A3567:$C3567)</f>
        <v>0.429163582958204</v>
      </c>
      <c r="F3567" s="0" t="n">
        <f aca="false">C3567/SUM($A3567:$C3567)</f>
        <v>0.211903874941814</v>
      </c>
      <c r="G3567" s="0" t="n">
        <f aca="false">SUMPRODUCT(D3567:F3567,Stats!$B$6:$D$6)</f>
        <v>0.375334053715181</v>
      </c>
      <c r="H3567" s="0" t="n">
        <f aca="false">SQRT(SUMPRODUCT(MMULT(D3567:F3567,Stats!$B$12:$D$14),D3567:F3567))</f>
        <v>0.227038993949465</v>
      </c>
      <c r="I3567" s="0" t="n">
        <f aca="false">(G3567-Stats!$B$2)/H3567</f>
        <v>1.46817975148963</v>
      </c>
    </row>
    <row r="3568" customFormat="false" ht="15" hidden="false" customHeight="false" outlineLevel="0" collapsed="false">
      <c r="A3568" s="0" t="n">
        <v>0.727397293845952</v>
      </c>
      <c r="B3568" s="0" t="n">
        <v>0.370710657037784</v>
      </c>
      <c r="C3568" s="0" t="n">
        <v>0.184368238019694</v>
      </c>
      <c r="D3568" s="0" t="n">
        <f aca="false">A3568/SUM($A3568:$C3568)</f>
        <v>0.567181909605594</v>
      </c>
      <c r="E3568" s="0" t="n">
        <f aca="false">B3568/SUM($A3568:$C3568)</f>
        <v>0.289058510594849</v>
      </c>
      <c r="F3568" s="0" t="n">
        <f aca="false">C3568/SUM($A3568:$C3568)</f>
        <v>0.143759579799557</v>
      </c>
      <c r="G3568" s="0" t="n">
        <f aca="false">SUMPRODUCT(D3568:F3568,Stats!$B$6:$D$6)</f>
        <v>0.369151641914714</v>
      </c>
      <c r="H3568" s="0" t="n">
        <f aca="false">SQRT(SUMPRODUCT(MMULT(D3568:F3568,Stats!$B$12:$D$14),D3568:F3568))</f>
        <v>0.223760193199895</v>
      </c>
      <c r="I3568" s="0" t="n">
        <f aca="false">(G3568-Stats!$B$2)/H3568</f>
        <v>1.46206363712984</v>
      </c>
    </row>
    <row r="3569" customFormat="false" ht="15" hidden="false" customHeight="false" outlineLevel="0" collapsed="false">
      <c r="A3569" s="0" t="n">
        <v>0.443075932933449</v>
      </c>
      <c r="B3569" s="0" t="n">
        <v>0.165749015388455</v>
      </c>
      <c r="C3569" s="0" t="n">
        <v>0.982044622786384</v>
      </c>
      <c r="D3569" s="0" t="n">
        <f aca="false">A3569/SUM($A3569:$C3569)</f>
        <v>0.278511790645903</v>
      </c>
      <c r="E3569" s="0" t="n">
        <f aca="false">B3569/SUM($A3569:$C3569)</f>
        <v>0.104187683515114</v>
      </c>
      <c r="F3569" s="0" t="n">
        <f aca="false">C3569/SUM($A3569:$C3569)</f>
        <v>0.617300525838983</v>
      </c>
      <c r="G3569" s="0" t="n">
        <f aca="false">SUMPRODUCT(D3569:F3569,Stats!$B$6:$D$6)</f>
        <v>0.345456704344562</v>
      </c>
      <c r="H3569" s="0" t="n">
        <f aca="false">SQRT(SUMPRODUCT(MMULT(D3569:F3569,Stats!$B$12:$D$14),D3569:F3569))</f>
        <v>0.231161363240097</v>
      </c>
      <c r="I3569" s="0" t="n">
        <f aca="false">(G3569-Stats!$B$2)/H3569</f>
        <v>1.31274837667995</v>
      </c>
    </row>
    <row r="3570" customFormat="false" ht="15" hidden="false" customHeight="false" outlineLevel="0" collapsed="false">
      <c r="A3570" s="0" t="n">
        <v>0.0962464911407164</v>
      </c>
      <c r="B3570" s="0" t="n">
        <v>0.58921172345262</v>
      </c>
      <c r="C3570" s="0" t="n">
        <v>0.626463855254056</v>
      </c>
      <c r="D3570" s="0" t="n">
        <f aca="false">A3570/SUM($A3570:$C3570)</f>
        <v>0.073362963664383</v>
      </c>
      <c r="E3570" s="0" t="n">
        <f aca="false">B3570/SUM($A3570:$C3570)</f>
        <v>0.449120978291919</v>
      </c>
      <c r="F3570" s="0" t="n">
        <f aca="false">C3570/SUM($A3570:$C3570)</f>
        <v>0.477516058043698</v>
      </c>
      <c r="G3570" s="0" t="n">
        <f aca="false">SUMPRODUCT(D3570:F3570,Stats!$B$6:$D$6)</f>
        <v>0.369158222623114</v>
      </c>
      <c r="H3570" s="0" t="n">
        <f aca="false">SQRT(SUMPRODUCT(MMULT(D3570:F3570,Stats!$B$12:$D$14),D3570:F3570))</f>
        <v>0.238614732473051</v>
      </c>
      <c r="I3570" s="0" t="n">
        <f aca="false">(G3570-Stats!$B$2)/H3570</f>
        <v>1.37107302316324</v>
      </c>
    </row>
    <row r="3571" customFormat="false" ht="15" hidden="false" customHeight="false" outlineLevel="0" collapsed="false">
      <c r="A3571" s="0" t="n">
        <v>0.538079542874054</v>
      </c>
      <c r="B3571" s="0" t="n">
        <v>0.662185885711834</v>
      </c>
      <c r="C3571" s="0" t="n">
        <v>0.116180775011891</v>
      </c>
      <c r="D3571" s="0" t="n">
        <f aca="false">A3571/SUM($A3571:$C3571)</f>
        <v>0.408736446201532</v>
      </c>
      <c r="E3571" s="0" t="n">
        <f aca="false">B3571/SUM($A3571:$C3571)</f>
        <v>0.50301021333201</v>
      </c>
      <c r="F3571" s="0" t="n">
        <f aca="false">C3571/SUM($A3571:$C3571)</f>
        <v>0.0882533404664581</v>
      </c>
      <c r="G3571" s="0" t="n">
        <f aca="false">SUMPRODUCT(D3571:F3571,Stats!$B$6:$D$6)</f>
        <v>0.382992709178728</v>
      </c>
      <c r="H3571" s="0" t="n">
        <f aca="false">SQRT(SUMPRODUCT(MMULT(D3571:F3571,Stats!$B$12:$D$14),D3571:F3571))</f>
        <v>0.228764984921225</v>
      </c>
      <c r="I3571" s="0" t="n">
        <f aca="false">(G3571-Stats!$B$2)/H3571</f>
        <v>1.4905808653197</v>
      </c>
    </row>
    <row r="3572" customFormat="false" ht="15" hidden="false" customHeight="false" outlineLevel="0" collapsed="false">
      <c r="A3572" s="0" t="n">
        <v>0.555018524205291</v>
      </c>
      <c r="B3572" s="0" t="n">
        <v>0.287212571127362</v>
      </c>
      <c r="C3572" s="0" t="n">
        <v>0.940176063301057</v>
      </c>
      <c r="D3572" s="0" t="n">
        <f aca="false">A3572/SUM($A3572:$C3572)</f>
        <v>0.311387059638347</v>
      </c>
      <c r="E3572" s="0" t="n">
        <f aca="false">B3572/SUM($A3572:$C3572)</f>
        <v>0.16113746499286</v>
      </c>
      <c r="F3572" s="0" t="n">
        <f aca="false">C3572/SUM($A3572:$C3572)</f>
        <v>0.527475475368794</v>
      </c>
      <c r="G3572" s="0" t="n">
        <f aca="false">SUMPRODUCT(D3572:F3572,Stats!$B$6:$D$6)</f>
        <v>0.351210412280316</v>
      </c>
      <c r="H3572" s="0" t="n">
        <f aca="false">SQRT(SUMPRODUCT(MMULT(D3572:F3572,Stats!$B$12:$D$14),D3572:F3572))</f>
        <v>0.228105994763885</v>
      </c>
      <c r="I3572" s="0" t="n">
        <f aca="false">(G3572-Stats!$B$2)/H3572</f>
        <v>1.35555583534919</v>
      </c>
    </row>
    <row r="3573" customFormat="false" ht="15" hidden="false" customHeight="false" outlineLevel="0" collapsed="false">
      <c r="A3573" s="0" t="n">
        <v>0.762071653439726</v>
      </c>
      <c r="B3573" s="0" t="n">
        <v>0.972514482159743</v>
      </c>
      <c r="C3573" s="0" t="n">
        <v>0.0375560697401896</v>
      </c>
      <c r="D3573" s="0" t="n">
        <f aca="false">A3573/SUM($A3573:$C3573)</f>
        <v>0.43002849948696</v>
      </c>
      <c r="E3573" s="0" t="n">
        <f aca="false">B3573/SUM($A3573:$C3573)</f>
        <v>0.548779030954429</v>
      </c>
      <c r="F3573" s="0" t="n">
        <f aca="false">C3573/SUM($A3573:$C3573)</f>
        <v>0.0211924695586105</v>
      </c>
      <c r="G3573" s="0" t="n">
        <f aca="false">SUMPRODUCT(D3573:F3573,Stats!$B$6:$D$6)</f>
        <v>0.387475365429617</v>
      </c>
      <c r="H3573" s="0" t="n">
        <f aca="false">SQRT(SUMPRODUCT(MMULT(D3573:F3573,Stats!$B$12:$D$14),D3573:F3573))</f>
        <v>0.230637959833379</v>
      </c>
      <c r="I3573" s="0" t="n">
        <f aca="false">(G3573-Stats!$B$2)/H3573</f>
        <v>1.49791199019971</v>
      </c>
    </row>
    <row r="3574" customFormat="false" ht="15" hidden="false" customHeight="false" outlineLevel="0" collapsed="false">
      <c r="A3574" s="0" t="n">
        <v>0.285133175180709</v>
      </c>
      <c r="B3574" s="0" t="n">
        <v>0.195422586638349</v>
      </c>
      <c r="C3574" s="0" t="n">
        <v>0.0111545873118305</v>
      </c>
      <c r="D3574" s="0" t="n">
        <f aca="false">A3574/SUM($A3574:$C3574)</f>
        <v>0.579880361852643</v>
      </c>
      <c r="E3574" s="0" t="n">
        <f aca="false">B3574/SUM($A3574:$C3574)</f>
        <v>0.397434357409324</v>
      </c>
      <c r="F3574" s="0" t="n">
        <f aca="false">C3574/SUM($A3574:$C3574)</f>
        <v>0.0226852807380332</v>
      </c>
      <c r="G3574" s="0" t="n">
        <f aca="false">SUMPRODUCT(D3574:F3574,Stats!$B$6:$D$6)</f>
        <v>0.378726025101303</v>
      </c>
      <c r="H3574" s="0" t="n">
        <f aca="false">SQRT(SUMPRODUCT(MMULT(D3574:F3574,Stats!$B$12:$D$14),D3574:F3574))</f>
        <v>0.227367005465713</v>
      </c>
      <c r="I3574" s="0" t="n">
        <f aca="false">(G3574-Stats!$B$2)/H3574</f>
        <v>1.4809801642573</v>
      </c>
    </row>
    <row r="3575" customFormat="false" ht="15" hidden="false" customHeight="false" outlineLevel="0" collapsed="false">
      <c r="A3575" s="0" t="n">
        <v>0.242325730246321</v>
      </c>
      <c r="B3575" s="0" t="n">
        <v>0.678775983520429</v>
      </c>
      <c r="C3575" s="0" t="n">
        <v>0.231088922134569</v>
      </c>
      <c r="D3575" s="0" t="n">
        <f aca="false">A3575/SUM($A3575:$C3575)</f>
        <v>0.210317392535271</v>
      </c>
      <c r="E3575" s="0" t="n">
        <f aca="false">B3575/SUM($A3575:$C3575)</f>
        <v>0.589117774759075</v>
      </c>
      <c r="F3575" s="0" t="n">
        <f aca="false">C3575/SUM($A3575:$C3575)</f>
        <v>0.200564832705654</v>
      </c>
      <c r="G3575" s="0" t="n">
        <f aca="false">SUMPRODUCT(D3575:F3575,Stats!$B$6:$D$6)</f>
        <v>0.384850280615181</v>
      </c>
      <c r="H3575" s="0" t="n">
        <f aca="false">SQRT(SUMPRODUCT(MMULT(D3575:F3575,Stats!$B$12:$D$14),D3575:F3575))</f>
        <v>0.233719036439313</v>
      </c>
      <c r="I3575" s="0" t="n">
        <f aca="false">(G3575-Stats!$B$2)/H3575</f>
        <v>1.46693348491621</v>
      </c>
    </row>
    <row r="3576" customFormat="false" ht="15" hidden="false" customHeight="false" outlineLevel="0" collapsed="false">
      <c r="A3576" s="0" t="n">
        <v>0.509003445482618</v>
      </c>
      <c r="B3576" s="0" t="n">
        <v>0.887818114964999</v>
      </c>
      <c r="C3576" s="0" t="n">
        <v>0.693757920349075</v>
      </c>
      <c r="D3576" s="0" t="n">
        <f aca="false">A3576/SUM($A3576:$C3576)</f>
        <v>0.243474811724759</v>
      </c>
      <c r="E3576" s="0" t="n">
        <f aca="false">B3576/SUM($A3576:$C3576)</f>
        <v>0.424675609380162</v>
      </c>
      <c r="F3576" s="0" t="n">
        <f aca="false">C3576/SUM($A3576:$C3576)</f>
        <v>0.331849578895079</v>
      </c>
      <c r="G3576" s="0" t="n">
        <f aca="false">SUMPRODUCT(D3576:F3576,Stats!$B$6:$D$6)</f>
        <v>0.371768364871203</v>
      </c>
      <c r="H3576" s="0" t="n">
        <f aca="false">SQRT(SUMPRODUCT(MMULT(D3576:F3576,Stats!$B$12:$D$14),D3576:F3576))</f>
        <v>0.229921249065789</v>
      </c>
      <c r="I3576" s="0" t="n">
        <f aca="false">(G3576-Stats!$B$2)/H3576</f>
        <v>1.43426658567274</v>
      </c>
    </row>
    <row r="3577" customFormat="false" ht="15" hidden="false" customHeight="false" outlineLevel="0" collapsed="false">
      <c r="A3577" s="0" t="n">
        <v>0.394629069906032</v>
      </c>
      <c r="B3577" s="0" t="n">
        <v>0.372468938912108</v>
      </c>
      <c r="C3577" s="0" t="n">
        <v>0.455735814008485</v>
      </c>
      <c r="D3577" s="0" t="n">
        <f aca="false">A3577/SUM($A3577:$C3577)</f>
        <v>0.322716842255665</v>
      </c>
      <c r="E3577" s="0" t="n">
        <f aca="false">B3577/SUM($A3577:$C3577)</f>
        <v>0.304594894219668</v>
      </c>
      <c r="F3577" s="0" t="n">
        <f aca="false">C3577/SUM($A3577:$C3577)</f>
        <v>0.372688263524667</v>
      </c>
      <c r="G3577" s="0" t="n">
        <f aca="false">SUMPRODUCT(D3577:F3577,Stats!$B$6:$D$6)</f>
        <v>0.363732964917019</v>
      </c>
      <c r="H3577" s="0" t="n">
        <f aca="false">SQRT(SUMPRODUCT(MMULT(D3577:F3577,Stats!$B$12:$D$14),D3577:F3577))</f>
        <v>0.226529245976702</v>
      </c>
      <c r="I3577" s="0" t="n">
        <f aca="false">(G3577-Stats!$B$2)/H3577</f>
        <v>1.42027120396679</v>
      </c>
    </row>
    <row r="3578" customFormat="false" ht="15" hidden="false" customHeight="false" outlineLevel="0" collapsed="false">
      <c r="A3578" s="0" t="n">
        <v>0.177041441059906</v>
      </c>
      <c r="B3578" s="0" t="n">
        <v>0.634000767415988</v>
      </c>
      <c r="C3578" s="0" t="n">
        <v>0.364152819104606</v>
      </c>
      <c r="D3578" s="0" t="n">
        <f aca="false">A3578/SUM($A3578:$C3578)</f>
        <v>0.150648562072629</v>
      </c>
      <c r="E3578" s="0" t="n">
        <f aca="false">B3578/SUM($A3578:$C3578)</f>
        <v>0.539485576892946</v>
      </c>
      <c r="F3578" s="0" t="n">
        <f aca="false">C3578/SUM($A3578:$C3578)</f>
        <v>0.309865861034424</v>
      </c>
      <c r="G3578" s="0" t="n">
        <f aca="false">SUMPRODUCT(D3578:F3578,Stats!$B$6:$D$6)</f>
        <v>0.37898057437088</v>
      </c>
      <c r="H3578" s="0" t="n">
        <f aca="false">SQRT(SUMPRODUCT(MMULT(D3578:F3578,Stats!$B$12:$D$14),D3578:F3578))</f>
        <v>0.234845171191283</v>
      </c>
      <c r="I3578" s="0" t="n">
        <f aca="false">(G3578-Stats!$B$2)/H3578</f>
        <v>1.43490527253127</v>
      </c>
    </row>
    <row r="3579" customFormat="false" ht="15" hidden="false" customHeight="false" outlineLevel="0" collapsed="false">
      <c r="A3579" s="0" t="n">
        <v>0.852365349262044</v>
      </c>
      <c r="B3579" s="0" t="n">
        <v>0.756552660057816</v>
      </c>
      <c r="C3579" s="0" t="n">
        <v>0.61051316409216</v>
      </c>
      <c r="D3579" s="0" t="n">
        <f aca="false">A3579/SUM($A3579:$C3579)</f>
        <v>0.38404675913048</v>
      </c>
      <c r="E3579" s="0" t="n">
        <f aca="false">B3579/SUM($A3579:$C3579)</f>
        <v>0.340876828766327</v>
      </c>
      <c r="F3579" s="0" t="n">
        <f aca="false">C3579/SUM($A3579:$C3579)</f>
        <v>0.275076412103194</v>
      </c>
      <c r="G3579" s="0" t="n">
        <f aca="false">SUMPRODUCT(D3579:F3579,Stats!$B$6:$D$6)</f>
        <v>0.3685121897315</v>
      </c>
      <c r="H3579" s="0" t="n">
        <f aca="false">SQRT(SUMPRODUCT(MMULT(D3579:F3579,Stats!$B$12:$D$14),D3579:F3579))</f>
        <v>0.225193685883718</v>
      </c>
      <c r="I3579" s="0" t="n">
        <f aca="false">(G3579-Stats!$B$2)/H3579</f>
        <v>1.44991716108817</v>
      </c>
    </row>
    <row r="3580" customFormat="false" ht="15" hidden="false" customHeight="false" outlineLevel="0" collapsed="false">
      <c r="A3580" s="0" t="n">
        <v>0.364202222649516</v>
      </c>
      <c r="B3580" s="0" t="n">
        <v>0.209931831673484</v>
      </c>
      <c r="C3580" s="0" t="n">
        <v>0.776151864105623</v>
      </c>
      <c r="D3580" s="0" t="n">
        <f aca="false">A3580/SUM($A3580:$C3580)</f>
        <v>0.269722299313727</v>
      </c>
      <c r="E3580" s="0" t="n">
        <f aca="false">B3580/SUM($A3580:$C3580)</f>
        <v>0.155472132833755</v>
      </c>
      <c r="F3580" s="0" t="n">
        <f aca="false">C3580/SUM($A3580:$C3580)</f>
        <v>0.574805567852518</v>
      </c>
      <c r="G3580" s="0" t="n">
        <f aca="false">SUMPRODUCT(D3580:F3580,Stats!$B$6:$D$6)</f>
        <v>0.349579327304249</v>
      </c>
      <c r="H3580" s="0" t="n">
        <f aca="false">SQRT(SUMPRODUCT(MMULT(D3580:F3580,Stats!$B$12:$D$14),D3580:F3580))</f>
        <v>0.230441589382103</v>
      </c>
      <c r="I3580" s="0" t="n">
        <f aca="false">(G3580-Stats!$B$2)/H3580</f>
        <v>1.33473878621034</v>
      </c>
    </row>
    <row r="3581" customFormat="false" ht="15" hidden="false" customHeight="false" outlineLevel="0" collapsed="false">
      <c r="A3581" s="0" t="n">
        <v>0.486409098991087</v>
      </c>
      <c r="B3581" s="0" t="n">
        <v>0.224750038177358</v>
      </c>
      <c r="C3581" s="0" t="n">
        <v>0.195174615040006</v>
      </c>
      <c r="D3581" s="0" t="n">
        <f aca="false">A3581/SUM($A3581:$C3581)</f>
        <v>0.536677683917057</v>
      </c>
      <c r="E3581" s="0" t="n">
        <f aca="false">B3581/SUM($A3581:$C3581)</f>
        <v>0.247977125015716</v>
      </c>
      <c r="F3581" s="0" t="n">
        <f aca="false">C3581/SUM($A3581:$C3581)</f>
        <v>0.215345191067228</v>
      </c>
      <c r="G3581" s="0" t="n">
        <f aca="false">SUMPRODUCT(D3581:F3581,Stats!$B$6:$D$6)</f>
        <v>0.364813926461655</v>
      </c>
      <c r="H3581" s="0" t="n">
        <f aca="false">SQRT(SUMPRODUCT(MMULT(D3581:F3581,Stats!$B$12:$D$14),D3581:F3581))</f>
        <v>0.222706957694734</v>
      </c>
      <c r="I3581" s="0" t="n">
        <f aca="false">(G3581-Stats!$B$2)/H3581</f>
        <v>1.4495008589006</v>
      </c>
    </row>
    <row r="3582" customFormat="false" ht="15" hidden="false" customHeight="false" outlineLevel="0" collapsed="false">
      <c r="A3582" s="0" t="n">
        <v>0.165400904501359</v>
      </c>
      <c r="B3582" s="0" t="n">
        <v>0.777161196205595</v>
      </c>
      <c r="C3582" s="0" t="n">
        <v>0.228987185300312</v>
      </c>
      <c r="D3582" s="0" t="n">
        <f aca="false">A3582/SUM($A3582:$C3582)</f>
        <v>0.141181345485736</v>
      </c>
      <c r="E3582" s="0" t="n">
        <f aca="false">B3582/SUM($A3582:$C3582)</f>
        <v>0.663361930639916</v>
      </c>
      <c r="F3582" s="0" t="n">
        <f aca="false">C3582/SUM($A3582:$C3582)</f>
        <v>0.195456723874348</v>
      </c>
      <c r="G3582" s="0" t="n">
        <f aca="false">SUMPRODUCT(D3582:F3582,Stats!$B$6:$D$6)</f>
        <v>0.389263047388575</v>
      </c>
      <c r="H3582" s="0" t="n">
        <f aca="false">SQRT(SUMPRODUCT(MMULT(D3582:F3582,Stats!$B$12:$D$14),D3582:F3582))</f>
        <v>0.237668280982399</v>
      </c>
      <c r="I3582" s="0" t="n">
        <f aca="false">(G3582-Stats!$B$2)/H3582</f>
        <v>1.46112491727195</v>
      </c>
    </row>
    <row r="3583" customFormat="false" ht="15" hidden="false" customHeight="false" outlineLevel="0" collapsed="false">
      <c r="A3583" s="0" t="n">
        <v>0.526642263525198</v>
      </c>
      <c r="B3583" s="0" t="n">
        <v>0.451546360973056</v>
      </c>
      <c r="C3583" s="0" t="n">
        <v>0.579610899228284</v>
      </c>
      <c r="D3583" s="0" t="n">
        <f aca="false">A3583/SUM($A3583:$C3583)</f>
        <v>0.338068060430121</v>
      </c>
      <c r="E3583" s="0" t="n">
        <f aca="false">B3583/SUM($A3583:$C3583)</f>
        <v>0.28986166326003</v>
      </c>
      <c r="F3583" s="0" t="n">
        <f aca="false">C3583/SUM($A3583:$C3583)</f>
        <v>0.372070276309849</v>
      </c>
      <c r="G3583" s="0" t="n">
        <f aca="false">SUMPRODUCT(D3583:F3583,Stats!$B$6:$D$6)</f>
        <v>0.362902274636208</v>
      </c>
      <c r="H3583" s="0" t="n">
        <f aca="false">SQRT(SUMPRODUCT(MMULT(D3583:F3583,Stats!$B$12:$D$14),D3583:F3583))</f>
        <v>0.226004427579719</v>
      </c>
      <c r="I3583" s="0" t="n">
        <f aca="false">(G3583-Stats!$B$2)/H3583</f>
        <v>1.41989375196207</v>
      </c>
    </row>
    <row r="3584" customFormat="false" ht="15" hidden="false" customHeight="false" outlineLevel="0" collapsed="false">
      <c r="A3584" s="0" t="n">
        <v>0.877154900371194</v>
      </c>
      <c r="B3584" s="0" t="n">
        <v>0.867747390081731</v>
      </c>
      <c r="C3584" s="0" t="n">
        <v>0.45107607182486</v>
      </c>
      <c r="D3584" s="0" t="n">
        <f aca="false">A3584/SUM($A3584:$C3584)</f>
        <v>0.399436950490424</v>
      </c>
      <c r="E3584" s="0" t="n">
        <f aca="false">B3584/SUM($A3584:$C3584)</f>
        <v>0.395152978275094</v>
      </c>
      <c r="F3584" s="0" t="n">
        <f aca="false">C3584/SUM($A3584:$C3584)</f>
        <v>0.205410071234481</v>
      </c>
      <c r="G3584" s="0" t="n">
        <f aca="false">SUMPRODUCT(D3584:F3584,Stats!$B$6:$D$6)</f>
        <v>0.37355619168036</v>
      </c>
      <c r="H3584" s="0" t="n">
        <f aca="false">SQRT(SUMPRODUCT(MMULT(D3584:F3584,Stats!$B$12:$D$14),D3584:F3584))</f>
        <v>0.225860508544771</v>
      </c>
      <c r="I3584" s="0" t="n">
        <f aca="false">(G3584-Stats!$B$2)/H3584</f>
        <v>1.46796885306153</v>
      </c>
    </row>
    <row r="3585" customFormat="false" ht="15" hidden="false" customHeight="false" outlineLevel="0" collapsed="false">
      <c r="A3585" s="0" t="n">
        <v>0.0153662507347233</v>
      </c>
      <c r="B3585" s="0" t="n">
        <v>0.426443805714303</v>
      </c>
      <c r="C3585" s="0" t="n">
        <v>0.60619353742414</v>
      </c>
      <c r="D3585" s="0" t="n">
        <f aca="false">A3585/SUM($A3585:$C3585)</f>
        <v>0.0146624027098355</v>
      </c>
      <c r="E3585" s="0" t="n">
        <f aca="false">B3585/SUM($A3585:$C3585)</f>
        <v>0.406910632947613</v>
      </c>
      <c r="F3585" s="0" t="n">
        <f aca="false">C3585/SUM($A3585:$C3585)</f>
        <v>0.578426964342552</v>
      </c>
      <c r="G3585" s="0" t="n">
        <f aca="false">SUMPRODUCT(D3585:F3585,Stats!$B$6:$D$6)</f>
        <v>0.363946914554967</v>
      </c>
      <c r="H3585" s="0" t="n">
        <f aca="false">SQRT(SUMPRODUCT(MMULT(D3585:F3585,Stats!$B$12:$D$14),D3585:F3585))</f>
        <v>0.243211525814515</v>
      </c>
      <c r="I3585" s="0" t="n">
        <f aca="false">(G3585-Stats!$B$2)/H3585</f>
        <v>1.32373214417683</v>
      </c>
    </row>
    <row r="3586" customFormat="false" ht="15" hidden="false" customHeight="false" outlineLevel="0" collapsed="false">
      <c r="A3586" s="0" t="n">
        <v>0.557764759098062</v>
      </c>
      <c r="B3586" s="0" t="n">
        <v>0.651336105800206</v>
      </c>
      <c r="C3586" s="0" t="n">
        <v>0.154075732473084</v>
      </c>
      <c r="D3586" s="0" t="n">
        <f aca="false">A3586/SUM($A3586:$C3586)</f>
        <v>0.409165445015425</v>
      </c>
      <c r="E3586" s="0" t="n">
        <f aca="false">B3586/SUM($A3586:$C3586)</f>
        <v>0.477807576110237</v>
      </c>
      <c r="F3586" s="0" t="n">
        <f aca="false">C3586/SUM($A3586:$C3586)</f>
        <v>0.113026978874338</v>
      </c>
      <c r="G3586" s="0" t="n">
        <f aca="false">SUMPRODUCT(D3586:F3586,Stats!$B$6:$D$6)</f>
        <v>0.380859458501467</v>
      </c>
      <c r="H3586" s="0" t="n">
        <f aca="false">SQRT(SUMPRODUCT(MMULT(D3586:F3586,Stats!$B$12:$D$14),D3586:F3586))</f>
        <v>0.227943613635327</v>
      </c>
      <c r="I3586" s="0" t="n">
        <f aca="false">(G3586-Stats!$B$2)/H3586</f>
        <v>1.48659334252544</v>
      </c>
    </row>
    <row r="3587" customFormat="false" ht="15" hidden="false" customHeight="false" outlineLevel="0" collapsed="false">
      <c r="A3587" s="0" t="n">
        <v>0.646535098780733</v>
      </c>
      <c r="B3587" s="0" t="n">
        <v>0.182651618743772</v>
      </c>
      <c r="C3587" s="0" t="n">
        <v>0.750523980696749</v>
      </c>
      <c r="D3587" s="0" t="n">
        <f aca="false">A3587/SUM($A3587:$C3587)</f>
        <v>0.409274368723797</v>
      </c>
      <c r="E3587" s="0" t="n">
        <f aca="false">B3587/SUM($A3587:$C3587)</f>
        <v>0.115623461276446</v>
      </c>
      <c r="F3587" s="0" t="n">
        <f aca="false">C3587/SUM($A3587:$C3587)</f>
        <v>0.475102169999757</v>
      </c>
      <c r="G3587" s="0" t="n">
        <f aca="false">SUMPRODUCT(D3587:F3587,Stats!$B$6:$D$6)</f>
        <v>0.350035769165815</v>
      </c>
      <c r="H3587" s="0" t="n">
        <f aca="false">SQRT(SUMPRODUCT(MMULT(D3587:F3587,Stats!$B$12:$D$14),D3587:F3587))</f>
        <v>0.224637384132867</v>
      </c>
      <c r="I3587" s="0" t="n">
        <f aca="false">(G3587-Stats!$B$2)/H3587</f>
        <v>1.37125781781549</v>
      </c>
    </row>
    <row r="3588" customFormat="false" ht="15" hidden="false" customHeight="false" outlineLevel="0" collapsed="false">
      <c r="A3588" s="0" t="n">
        <v>0.33908761326268</v>
      </c>
      <c r="B3588" s="0" t="n">
        <v>0.709895433381454</v>
      </c>
      <c r="C3588" s="0" t="n">
        <v>0.0478655989061071</v>
      </c>
      <c r="D3588" s="0" t="n">
        <f aca="false">A3588/SUM($A3588:$C3588)</f>
        <v>0.309147132230422</v>
      </c>
      <c r="E3588" s="0" t="n">
        <f aca="false">B3588/SUM($A3588:$C3588)</f>
        <v>0.647213666408213</v>
      </c>
      <c r="F3588" s="0" t="n">
        <f aca="false">C3588/SUM($A3588:$C3588)</f>
        <v>0.0436392013613647</v>
      </c>
      <c r="G3588" s="0" t="n">
        <f aca="false">SUMPRODUCT(D3588:F3588,Stats!$B$6:$D$6)</f>
        <v>0.392520206956178</v>
      </c>
      <c r="H3588" s="0" t="n">
        <f aca="false">SQRT(SUMPRODUCT(MMULT(D3588:F3588,Stats!$B$12:$D$14),D3588:F3588))</f>
        <v>0.234183161192543</v>
      </c>
      <c r="I3588" s="0" t="n">
        <f aca="false">(G3588-Stats!$B$2)/H3588</f>
        <v>1.49677801414588</v>
      </c>
    </row>
    <row r="3589" customFormat="false" ht="15" hidden="false" customHeight="false" outlineLevel="0" collapsed="false">
      <c r="A3589" s="0" t="n">
        <v>0.407860025590913</v>
      </c>
      <c r="B3589" s="0" t="n">
        <v>0.705034522263333</v>
      </c>
      <c r="C3589" s="0" t="n">
        <v>0.226870516331494</v>
      </c>
      <c r="D3589" s="0" t="n">
        <f aca="false">A3589/SUM($A3589:$C3589)</f>
        <v>0.30442652707831</v>
      </c>
      <c r="E3589" s="0" t="n">
        <f aca="false">B3589/SUM($A3589:$C3589)</f>
        <v>0.526237428568737</v>
      </c>
      <c r="F3589" s="0" t="n">
        <f aca="false">C3589/SUM($A3589:$C3589)</f>
        <v>0.169336044352954</v>
      </c>
      <c r="G3589" s="0" t="n">
        <f aca="false">SUMPRODUCT(D3589:F3589,Stats!$B$6:$D$6)</f>
        <v>0.38209334870743</v>
      </c>
      <c r="H3589" s="0" t="n">
        <f aca="false">SQRT(SUMPRODUCT(MMULT(D3589:F3589,Stats!$B$12:$D$14),D3589:F3589))</f>
        <v>0.230126459327474</v>
      </c>
      <c r="I3589" s="0" t="n">
        <f aca="false">(G3589-Stats!$B$2)/H3589</f>
        <v>1.47785417505369</v>
      </c>
    </row>
    <row r="3590" customFormat="false" ht="15" hidden="false" customHeight="false" outlineLevel="0" collapsed="false">
      <c r="A3590" s="0" t="n">
        <v>0.795287044797223</v>
      </c>
      <c r="B3590" s="0" t="n">
        <v>0.630779733104932</v>
      </c>
      <c r="C3590" s="0" t="n">
        <v>0.587561772149798</v>
      </c>
      <c r="D3590" s="0" t="n">
        <f aca="false">A3590/SUM($A3590:$C3590)</f>
        <v>0.394952209421496</v>
      </c>
      <c r="E3590" s="0" t="n">
        <f aca="false">B3590/SUM($A3590:$C3590)</f>
        <v>0.313255259063871</v>
      </c>
      <c r="F3590" s="0" t="n">
        <f aca="false">C3590/SUM($A3590:$C3590)</f>
        <v>0.291792531514633</v>
      </c>
      <c r="G3590" s="0" t="n">
        <f aca="false">SUMPRODUCT(D3590:F3590,Stats!$B$6:$D$6)</f>
        <v>0.366461939797306</v>
      </c>
      <c r="H3590" s="0" t="n">
        <f aca="false">SQRT(SUMPRODUCT(MMULT(D3590:F3590,Stats!$B$12:$D$14),D3590:F3590))</f>
        <v>0.224689102772034</v>
      </c>
      <c r="I3590" s="0" t="n">
        <f aca="false">(G3590-Stats!$B$2)/H3590</f>
        <v>1.44404840196679</v>
      </c>
    </row>
    <row r="3591" customFormat="false" ht="15" hidden="false" customHeight="false" outlineLevel="0" collapsed="false">
      <c r="A3591" s="0" t="n">
        <v>0.353548854204337</v>
      </c>
      <c r="B3591" s="0" t="n">
        <v>0.482451470381118</v>
      </c>
      <c r="C3591" s="0" t="n">
        <v>0.597349300977853</v>
      </c>
      <c r="D3591" s="0" t="n">
        <f aca="false">A3591/SUM($A3591:$C3591)</f>
        <v>0.246659187611252</v>
      </c>
      <c r="E3591" s="0" t="n">
        <f aca="false">B3591/SUM($A3591:$C3591)</f>
        <v>0.336590223192415</v>
      </c>
      <c r="F3591" s="0" t="n">
        <f aca="false">C3591/SUM($A3591:$C3591)</f>
        <v>0.416750589196334</v>
      </c>
      <c r="G3591" s="0" t="n">
        <f aca="false">SUMPRODUCT(D3591:F3591,Stats!$B$6:$D$6)</f>
        <v>0.364358933052232</v>
      </c>
      <c r="H3591" s="0" t="n">
        <f aca="false">SQRT(SUMPRODUCT(MMULT(D3591:F3591,Stats!$B$12:$D$14),D3591:F3591))</f>
        <v>0.229499176697148</v>
      </c>
      <c r="I3591" s="0" t="n">
        <f aca="false">(G3591-Stats!$B$2)/H3591</f>
        <v>1.40461912627087</v>
      </c>
    </row>
    <row r="3592" customFormat="false" ht="15" hidden="false" customHeight="false" outlineLevel="0" collapsed="false">
      <c r="A3592" s="0" t="n">
        <v>0.472462113914891</v>
      </c>
      <c r="B3592" s="0" t="n">
        <v>0.69831332394056</v>
      </c>
      <c r="C3592" s="0" t="n">
        <v>0.43369693310696</v>
      </c>
      <c r="D3592" s="0" t="n">
        <f aca="false">A3592/SUM($A3592:$C3592)</f>
        <v>0.294465721233638</v>
      </c>
      <c r="E3592" s="0" t="n">
        <f aca="false">B3592/SUM($A3592:$C3592)</f>
        <v>0.435229260770437</v>
      </c>
      <c r="F3592" s="0" t="n">
        <f aca="false">C3592/SUM($A3592:$C3592)</f>
        <v>0.270305017995926</v>
      </c>
      <c r="G3592" s="0" t="n">
        <f aca="false">SUMPRODUCT(D3592:F3592,Stats!$B$6:$D$6)</f>
        <v>0.374072675908387</v>
      </c>
      <c r="H3592" s="0" t="n">
        <f aca="false">SQRT(SUMPRODUCT(MMULT(D3592:F3592,Stats!$B$12:$D$14),D3592:F3592))</f>
        <v>0.22844484498868</v>
      </c>
      <c r="I3592" s="0" t="n">
        <f aca="false">(G3592-Stats!$B$2)/H3592</f>
        <v>1.45362297811904</v>
      </c>
    </row>
    <row r="3593" customFormat="false" ht="15" hidden="false" customHeight="false" outlineLevel="0" collapsed="false">
      <c r="A3593" s="0" t="n">
        <v>0.20227318174203</v>
      </c>
      <c r="B3593" s="0" t="n">
        <v>0.213933782801047</v>
      </c>
      <c r="C3593" s="0" t="n">
        <v>0.00580376884294109</v>
      </c>
      <c r="D3593" s="0" t="n">
        <f aca="false">A3593/SUM($A3593:$C3593)</f>
        <v>0.47930814488789</v>
      </c>
      <c r="E3593" s="0" t="n">
        <f aca="false">B3593/SUM($A3593:$C3593)</f>
        <v>0.506939198168117</v>
      </c>
      <c r="F3593" s="0" t="n">
        <f aca="false">C3593/SUM($A3593:$C3593)</f>
        <v>0.0137526569439937</v>
      </c>
      <c r="G3593" s="0" t="n">
        <f aca="false">SUMPRODUCT(D3593:F3593,Stats!$B$6:$D$6)</f>
        <v>0.385273105574675</v>
      </c>
      <c r="H3593" s="0" t="n">
        <f aca="false">SQRT(SUMPRODUCT(MMULT(D3593:F3593,Stats!$B$12:$D$14),D3593:F3593))</f>
        <v>0.229590800334537</v>
      </c>
      <c r="I3593" s="0" t="n">
        <f aca="false">(G3593-Stats!$B$2)/H3593</f>
        <v>1.49515183132116</v>
      </c>
    </row>
    <row r="3594" customFormat="false" ht="15" hidden="false" customHeight="false" outlineLevel="0" collapsed="false">
      <c r="A3594" s="0" t="n">
        <v>0.300957715558673</v>
      </c>
      <c r="B3594" s="0" t="n">
        <v>0.74891764047852</v>
      </c>
      <c r="C3594" s="0" t="n">
        <v>0.79416270883761</v>
      </c>
      <c r="D3594" s="0" t="n">
        <f aca="false">A3594/SUM($A3594:$C3594)</f>
        <v>0.163205804311369</v>
      </c>
      <c r="E3594" s="0" t="n">
        <f aca="false">B3594/SUM($A3594:$C3594)</f>
        <v>0.406129165522061</v>
      </c>
      <c r="F3594" s="0" t="n">
        <f aca="false">C3594/SUM($A3594:$C3594)</f>
        <v>0.43066503016657</v>
      </c>
      <c r="G3594" s="0" t="n">
        <f aca="false">SUMPRODUCT(D3594:F3594,Stats!$B$6:$D$6)</f>
        <v>0.367976428433409</v>
      </c>
      <c r="H3594" s="0" t="n">
        <f aca="false">SQRT(SUMPRODUCT(MMULT(D3594:F3594,Stats!$B$12:$D$14),D3594:F3594))</f>
        <v>0.233462057744232</v>
      </c>
      <c r="I3594" s="0" t="n">
        <f aca="false">(G3594-Stats!$B$2)/H3594</f>
        <v>1.39627154657624</v>
      </c>
    </row>
    <row r="3595" customFormat="false" ht="15" hidden="false" customHeight="false" outlineLevel="0" collapsed="false">
      <c r="A3595" s="0" t="n">
        <v>0.20246754209575</v>
      </c>
      <c r="B3595" s="0" t="n">
        <v>0.959043996871408</v>
      </c>
      <c r="C3595" s="0" t="n">
        <v>0.502402793480127</v>
      </c>
      <c r="D3595" s="0" t="n">
        <f aca="false">A3595/SUM($A3595:$C3595)</f>
        <v>0.121681470101866</v>
      </c>
      <c r="E3595" s="0" t="n">
        <f aca="false">B3595/SUM($A3595:$C3595)</f>
        <v>0.576378229437357</v>
      </c>
      <c r="F3595" s="0" t="n">
        <f aca="false">C3595/SUM($A3595:$C3595)</f>
        <v>0.301940300460777</v>
      </c>
      <c r="G3595" s="0" t="n">
        <f aca="false">SUMPRODUCT(D3595:F3595,Stats!$B$6:$D$6)</f>
        <v>0.381321874133547</v>
      </c>
      <c r="H3595" s="0" t="n">
        <f aca="false">SQRT(SUMPRODUCT(MMULT(D3595:F3595,Stats!$B$12:$D$14),D3595:F3595))</f>
        <v>0.236614326070216</v>
      </c>
      <c r="I3595" s="0" t="n">
        <f aca="false">(G3595-Stats!$B$2)/H3595</f>
        <v>1.43407155335494</v>
      </c>
    </row>
    <row r="3596" customFormat="false" ht="15" hidden="false" customHeight="false" outlineLevel="0" collapsed="false">
      <c r="A3596" s="0" t="n">
        <v>0.916978749018503</v>
      </c>
      <c r="B3596" s="0" t="n">
        <v>0.706765281861631</v>
      </c>
      <c r="C3596" s="0" t="n">
        <v>0.722433423022413</v>
      </c>
      <c r="D3596" s="0" t="n">
        <f aca="false">A3596/SUM($A3596:$C3596)</f>
        <v>0.390839468469545</v>
      </c>
      <c r="E3596" s="0" t="n">
        <f aca="false">B3596/SUM($A3596:$C3596)</f>
        <v>0.301241187313442</v>
      </c>
      <c r="F3596" s="0" t="n">
        <f aca="false">C3596/SUM($A3596:$C3596)</f>
        <v>0.307919344217013</v>
      </c>
      <c r="G3596" s="0" t="n">
        <f aca="false">SUMPRODUCT(D3596:F3596,Stats!$B$6:$D$6)</f>
        <v>0.365325975000725</v>
      </c>
      <c r="H3596" s="0" t="n">
        <f aca="false">SQRT(SUMPRODUCT(MMULT(D3596:F3596,Stats!$B$12:$D$14),D3596:F3596))</f>
        <v>0.224663561339705</v>
      </c>
      <c r="I3596" s="0" t="n">
        <f aca="false">(G3596-Stats!$B$2)/H3596</f>
        <v>1.43915627916108</v>
      </c>
    </row>
    <row r="3597" customFormat="false" ht="15" hidden="false" customHeight="false" outlineLevel="0" collapsed="false">
      <c r="A3597" s="0" t="n">
        <v>0.0850436213060711</v>
      </c>
      <c r="B3597" s="0" t="n">
        <v>0.219991126896931</v>
      </c>
      <c r="C3597" s="0" t="n">
        <v>0.00881483329447264</v>
      </c>
      <c r="D3597" s="0" t="n">
        <f aca="false">A3597/SUM($A3597:$C3597)</f>
        <v>0.270969363413841</v>
      </c>
      <c r="E3597" s="0" t="n">
        <f aca="false">B3597/SUM($A3597:$C3597)</f>
        <v>0.700944464693196</v>
      </c>
      <c r="F3597" s="0" t="n">
        <f aca="false">C3597/SUM($A3597:$C3597)</f>
        <v>0.0280861718929632</v>
      </c>
      <c r="G3597" s="0" t="n">
        <f aca="false">SUMPRODUCT(D3597:F3597,Stats!$B$6:$D$6)</f>
        <v>0.396040676352666</v>
      </c>
      <c r="H3597" s="0" t="n">
        <f aca="false">SQRT(SUMPRODUCT(MMULT(D3597:F3597,Stats!$B$12:$D$14),D3597:F3597))</f>
        <v>0.236586307519166</v>
      </c>
      <c r="I3597" s="0" t="n">
        <f aca="false">(G3597-Stats!$B$2)/H3597</f>
        <v>1.49645463452692</v>
      </c>
    </row>
    <row r="3598" customFormat="false" ht="15" hidden="false" customHeight="false" outlineLevel="0" collapsed="false">
      <c r="A3598" s="0" t="n">
        <v>0.716127640476738</v>
      </c>
      <c r="B3598" s="0" t="n">
        <v>0.34443828842851</v>
      </c>
      <c r="C3598" s="0" t="n">
        <v>0.786652516076347</v>
      </c>
      <c r="D3598" s="0" t="n">
        <f aca="false">A3598/SUM($A3598:$C3598)</f>
        <v>0.387678913894709</v>
      </c>
      <c r="E3598" s="0" t="n">
        <f aca="false">B3598/SUM($A3598:$C3598)</f>
        <v>0.18646321411756</v>
      </c>
      <c r="F3598" s="0" t="n">
        <f aca="false">C3598/SUM($A3598:$C3598)</f>
        <v>0.425857871987731</v>
      </c>
      <c r="G3598" s="0" t="n">
        <f aca="false">SUMPRODUCT(D3598:F3598,Stats!$B$6:$D$6)</f>
        <v>0.355469689435523</v>
      </c>
      <c r="H3598" s="0" t="n">
        <f aca="false">SQRT(SUMPRODUCT(MMULT(D3598:F3598,Stats!$B$12:$D$14),D3598:F3598))</f>
        <v>0.22467056613178</v>
      </c>
      <c r="I3598" s="0" t="n">
        <f aca="false">(G3598-Stats!$B$2)/H3598</f>
        <v>1.39524146323492</v>
      </c>
    </row>
    <row r="3599" customFormat="false" ht="15" hidden="false" customHeight="false" outlineLevel="0" collapsed="false">
      <c r="A3599" s="0" t="n">
        <v>0.338936219937026</v>
      </c>
      <c r="B3599" s="0" t="n">
        <v>0.819333752298861</v>
      </c>
      <c r="C3599" s="0" t="n">
        <v>0.130698253748313</v>
      </c>
      <c r="D3599" s="0" t="n">
        <f aca="false">A3599/SUM($A3599:$C3599)</f>
        <v>0.262951570957639</v>
      </c>
      <c r="E3599" s="0" t="n">
        <f aca="false">B3599/SUM($A3599:$C3599)</f>
        <v>0.635650852970602</v>
      </c>
      <c r="F3599" s="0" t="n">
        <f aca="false">C3599/SUM($A3599:$C3599)</f>
        <v>0.101397576071759</v>
      </c>
      <c r="G3599" s="0" t="n">
        <f aca="false">SUMPRODUCT(D3599:F3599,Stats!$B$6:$D$6)</f>
        <v>0.390262232668835</v>
      </c>
      <c r="H3599" s="0" t="n">
        <f aca="false">SQRT(SUMPRODUCT(MMULT(D3599:F3599,Stats!$B$12:$D$14),D3599:F3599))</f>
        <v>0.234087350507552</v>
      </c>
      <c r="I3599" s="0" t="n">
        <f aca="false">(G3599-Stats!$B$2)/H3599</f>
        <v>1.48774477524619</v>
      </c>
    </row>
    <row r="3600" customFormat="false" ht="15" hidden="false" customHeight="false" outlineLevel="0" collapsed="false">
      <c r="A3600" s="0" t="n">
        <v>0.173373156757508</v>
      </c>
      <c r="B3600" s="0" t="n">
        <v>0.340876539583937</v>
      </c>
      <c r="C3600" s="0" t="n">
        <v>0.408487388882273</v>
      </c>
      <c r="D3600" s="0" t="n">
        <f aca="false">A3600/SUM($A3600:$C3600)</f>
        <v>0.187890093000298</v>
      </c>
      <c r="E3600" s="0" t="n">
        <f aca="false">B3600/SUM($A3600:$C3600)</f>
        <v>0.369418922293874</v>
      </c>
      <c r="F3600" s="0" t="n">
        <f aca="false">C3600/SUM($A3600:$C3600)</f>
        <v>0.442690984705828</v>
      </c>
      <c r="G3600" s="0" t="n">
        <f aca="false">SUMPRODUCT(D3600:F3600,Stats!$B$6:$D$6)</f>
        <v>0.365532557480203</v>
      </c>
      <c r="H3600" s="0" t="n">
        <f aca="false">SQRT(SUMPRODUCT(MMULT(D3600:F3600,Stats!$B$12:$D$14),D3600:F3600))</f>
        <v>0.232255103890791</v>
      </c>
      <c r="I3600" s="0" t="n">
        <f aca="false">(G3600-Stats!$B$2)/H3600</f>
        <v>1.39300515708939</v>
      </c>
    </row>
    <row r="3601" customFormat="false" ht="15" hidden="false" customHeight="false" outlineLevel="0" collapsed="false">
      <c r="A3601" s="0" t="n">
        <v>0.348702810842978</v>
      </c>
      <c r="B3601" s="0" t="n">
        <v>0.76364703252322</v>
      </c>
      <c r="C3601" s="0" t="n">
        <v>0.0969513926267147</v>
      </c>
      <c r="D3601" s="0" t="n">
        <f aca="false">A3601/SUM($A3601:$C3601)</f>
        <v>0.288350661079637</v>
      </c>
      <c r="E3601" s="0" t="n">
        <f aca="false">B3601/SUM($A3601:$C3601)</f>
        <v>0.631477922782587</v>
      </c>
      <c r="F3601" s="0" t="n">
        <f aca="false">C3601/SUM($A3601:$C3601)</f>
        <v>0.080171416137776</v>
      </c>
      <c r="G3601" s="0" t="n">
        <f aca="false">SUMPRODUCT(D3601:F3601,Stats!$B$6:$D$6)</f>
        <v>0.390607430862903</v>
      </c>
      <c r="H3601" s="0" t="n">
        <f aca="false">SQRT(SUMPRODUCT(MMULT(D3601:F3601,Stats!$B$12:$D$14),D3601:F3601))</f>
        <v>0.233677378634392</v>
      </c>
      <c r="I3601" s="0" t="n">
        <f aca="false">(G3601-Stats!$B$2)/H3601</f>
        <v>1.49183217006353</v>
      </c>
    </row>
    <row r="3602" customFormat="false" ht="15" hidden="false" customHeight="false" outlineLevel="0" collapsed="false">
      <c r="A3602" s="0" t="n">
        <v>0.351217019638488</v>
      </c>
      <c r="B3602" s="0" t="n">
        <v>0.837239999515459</v>
      </c>
      <c r="C3602" s="0" t="n">
        <v>0.066797077262172</v>
      </c>
      <c r="D3602" s="0" t="n">
        <f aca="false">A3602/SUM($A3602:$C3602)</f>
        <v>0.27979754907094</v>
      </c>
      <c r="E3602" s="0" t="n">
        <f aca="false">B3602/SUM($A3602:$C3602)</f>
        <v>0.666988462261041</v>
      </c>
      <c r="F3602" s="0" t="n">
        <f aca="false">C3602/SUM($A3602:$C3602)</f>
        <v>0.0532139886680191</v>
      </c>
      <c r="G3602" s="0" t="n">
        <f aca="false">SUMPRODUCT(D3602:F3602,Stats!$B$6:$D$6)</f>
        <v>0.393394002038208</v>
      </c>
      <c r="H3602" s="0" t="n">
        <f aca="false">SQRT(SUMPRODUCT(MMULT(D3602:F3602,Stats!$B$12:$D$14),D3602:F3602))</f>
        <v>0.235116813824384</v>
      </c>
      <c r="I3602" s="0" t="n">
        <f aca="false">(G3602-Stats!$B$2)/H3602</f>
        <v>1.49455071427037</v>
      </c>
    </row>
    <row r="3603" customFormat="false" ht="15" hidden="false" customHeight="false" outlineLevel="0" collapsed="false">
      <c r="A3603" s="0" t="n">
        <v>0.942343507671357</v>
      </c>
      <c r="B3603" s="0" t="n">
        <v>0.986316842272013</v>
      </c>
      <c r="C3603" s="0" t="n">
        <v>0.0885681738250801</v>
      </c>
      <c r="D3603" s="0" t="n">
        <f aca="false">A3603/SUM($A3603:$C3603)</f>
        <v>0.467147621882193</v>
      </c>
      <c r="E3603" s="0" t="n">
        <f aca="false">B3603/SUM($A3603:$C3603)</f>
        <v>0.488946507869838</v>
      </c>
      <c r="F3603" s="0" t="n">
        <f aca="false">C3603/SUM($A3603:$C3603)</f>
        <v>0.0439058702479692</v>
      </c>
      <c r="G3603" s="0" t="n">
        <f aca="false">SUMPRODUCT(D3603:F3603,Stats!$B$6:$D$6)</f>
        <v>0.383406366203073</v>
      </c>
      <c r="H3603" s="0" t="n">
        <f aca="false">SQRT(SUMPRODUCT(MMULT(D3603:F3603,Stats!$B$12:$D$14),D3603:F3603))</f>
        <v>0.228700760899863</v>
      </c>
      <c r="I3603" s="0" t="n">
        <f aca="false">(G3603-Stats!$B$2)/H3603</f>
        <v>1.49280817807405</v>
      </c>
    </row>
    <row r="3604" customFormat="false" ht="15" hidden="false" customHeight="false" outlineLevel="0" collapsed="false">
      <c r="A3604" s="0" t="n">
        <v>0.291272522255737</v>
      </c>
      <c r="B3604" s="0" t="n">
        <v>0.372400666035356</v>
      </c>
      <c r="C3604" s="0" t="n">
        <v>0.776391368652726</v>
      </c>
      <c r="D3604" s="0" t="n">
        <f aca="false">A3604/SUM($A3604:$C3604)</f>
        <v>0.202263517181404</v>
      </c>
      <c r="E3604" s="0" t="n">
        <f aca="false">B3604/SUM($A3604:$C3604)</f>
        <v>0.258599980285387</v>
      </c>
      <c r="F3604" s="0" t="n">
        <f aca="false">C3604/SUM($A3604:$C3604)</f>
        <v>0.539136502533209</v>
      </c>
      <c r="G3604" s="0" t="n">
        <f aca="false">SUMPRODUCT(D3604:F3604,Stats!$B$6:$D$6)</f>
        <v>0.356496730927991</v>
      </c>
      <c r="H3604" s="0" t="n">
        <f aca="false">SQRT(SUMPRODUCT(MMULT(D3604:F3604,Stats!$B$12:$D$14),D3604:F3604))</f>
        <v>0.232498068139505</v>
      </c>
      <c r="I3604" s="0" t="n">
        <f aca="false">(G3604-Stats!$B$2)/H3604</f>
        <v>1.35268535108552</v>
      </c>
    </row>
    <row r="3605" customFormat="false" ht="15" hidden="false" customHeight="false" outlineLevel="0" collapsed="false">
      <c r="A3605" s="0" t="n">
        <v>0.595926812116734</v>
      </c>
      <c r="B3605" s="0" t="n">
        <v>0.644365700492567</v>
      </c>
      <c r="C3605" s="0" t="n">
        <v>0.757509822818506</v>
      </c>
      <c r="D3605" s="0" t="n">
        <f aca="false">A3605/SUM($A3605:$C3605)</f>
        <v>0.29829117803545</v>
      </c>
      <c r="E3605" s="0" t="n">
        <f aca="false">B3605/SUM($A3605:$C3605)</f>
        <v>0.322537264606102</v>
      </c>
      <c r="F3605" s="0" t="n">
        <f aca="false">C3605/SUM($A3605:$C3605)</f>
        <v>0.379171557358448</v>
      </c>
      <c r="G3605" s="0" t="n">
        <f aca="false">SUMPRODUCT(D3605:F3605,Stats!$B$6:$D$6)</f>
        <v>0.364586571352839</v>
      </c>
      <c r="H3605" s="0" t="n">
        <f aca="false">SQRT(SUMPRODUCT(MMULT(D3605:F3605,Stats!$B$12:$D$14),D3605:F3605))</f>
        <v>0.227410285548688</v>
      </c>
      <c r="I3605" s="0" t="n">
        <f aca="false">(G3605-Stats!$B$2)/H3605</f>
        <v>1.41852234420494</v>
      </c>
    </row>
    <row r="3606" customFormat="false" ht="15" hidden="false" customHeight="false" outlineLevel="0" collapsed="false">
      <c r="A3606" s="0" t="n">
        <v>0.117978999437026</v>
      </c>
      <c r="B3606" s="0" t="n">
        <v>0.833209456910262</v>
      </c>
      <c r="C3606" s="0" t="n">
        <v>0.705619804180144</v>
      </c>
      <c r="D3606" s="0" t="n">
        <f aca="false">A3606/SUM($A3606:$C3606)</f>
        <v>0.0712086016516287</v>
      </c>
      <c r="E3606" s="0" t="n">
        <f aca="false">B3606/SUM($A3606:$C3606)</f>
        <v>0.502900351694901</v>
      </c>
      <c r="F3606" s="0" t="n">
        <f aca="false">C3606/SUM($A3606:$C3606)</f>
        <v>0.425891046653471</v>
      </c>
      <c r="G3606" s="0" t="n">
        <f aca="false">SUMPRODUCT(D3606:F3606,Stats!$B$6:$D$6)</f>
        <v>0.373676157996502</v>
      </c>
      <c r="H3606" s="0" t="n">
        <f aca="false">SQRT(SUMPRODUCT(MMULT(D3606:F3606,Stats!$B$12:$D$14),D3606:F3606))</f>
        <v>0.23865630831349</v>
      </c>
      <c r="I3606" s="0" t="n">
        <f aca="false">(G3606-Stats!$B$2)/H3606</f>
        <v>1.38976488968741</v>
      </c>
    </row>
    <row r="3607" customFormat="false" ht="15" hidden="false" customHeight="false" outlineLevel="0" collapsed="false">
      <c r="A3607" s="0" t="n">
        <v>0.57734172519637</v>
      </c>
      <c r="B3607" s="0" t="n">
        <v>0.889735334783057</v>
      </c>
      <c r="C3607" s="0" t="n">
        <v>0.700306353883807</v>
      </c>
      <c r="D3607" s="0" t="n">
        <f aca="false">A3607/SUM($A3607:$C3607)</f>
        <v>0.266377292316403</v>
      </c>
      <c r="E3607" s="0" t="n">
        <f aca="false">B3607/SUM($A3607:$C3607)</f>
        <v>0.41051127783485</v>
      </c>
      <c r="F3607" s="0" t="n">
        <f aca="false">C3607/SUM($A3607:$C3607)</f>
        <v>0.323111429848747</v>
      </c>
      <c r="G3607" s="0" t="n">
        <f aca="false">SUMPRODUCT(D3607:F3607,Stats!$B$6:$D$6)</f>
        <v>0.371194318665705</v>
      </c>
      <c r="H3607" s="0" t="n">
        <f aca="false">SQRT(SUMPRODUCT(MMULT(D3607:F3607,Stats!$B$12:$D$14),D3607:F3607))</f>
        <v>0.228990582266832</v>
      </c>
      <c r="I3607" s="0" t="n">
        <f aca="false">(G3607-Stats!$B$2)/H3607</f>
        <v>1.43758889735522</v>
      </c>
    </row>
    <row r="3608" customFormat="false" ht="15" hidden="false" customHeight="false" outlineLevel="0" collapsed="false">
      <c r="A3608" s="0" t="n">
        <v>0.201699962631025</v>
      </c>
      <c r="B3608" s="0" t="n">
        <v>0.429745381075667</v>
      </c>
      <c r="C3608" s="0" t="n">
        <v>0.494042866935733</v>
      </c>
      <c r="D3608" s="0" t="n">
        <f aca="false">A3608/SUM($A3608:$C3608)</f>
        <v>0.179211084331035</v>
      </c>
      <c r="E3608" s="0" t="n">
        <f aca="false">B3608/SUM($A3608:$C3608)</f>
        <v>0.381830193343713</v>
      </c>
      <c r="F3608" s="0" t="n">
        <f aca="false">C3608/SUM($A3608:$C3608)</f>
        <v>0.438958722325252</v>
      </c>
      <c r="G3608" s="0" t="n">
        <f aca="false">SUMPRODUCT(D3608:F3608,Stats!$B$6:$D$6)</f>
        <v>0.366349601652458</v>
      </c>
      <c r="H3608" s="0" t="n">
        <f aca="false">SQRT(SUMPRODUCT(MMULT(D3608:F3608,Stats!$B$12:$D$14),D3608:F3608))</f>
        <v>0.232669701995866</v>
      </c>
      <c r="I3608" s="0" t="n">
        <f aca="false">(G3608-Stats!$B$2)/H3608</f>
        <v>1.39403454283111</v>
      </c>
    </row>
    <row r="3609" customFormat="false" ht="15" hidden="false" customHeight="false" outlineLevel="0" collapsed="false">
      <c r="A3609" s="0" t="n">
        <v>0.0552176267504057</v>
      </c>
      <c r="B3609" s="0" t="n">
        <v>0.954637513360056</v>
      </c>
      <c r="C3609" s="0" t="n">
        <v>0.128577260796879</v>
      </c>
      <c r="D3609" s="0" t="n">
        <f aca="false">A3609/SUM($A3609:$C3609)</f>
        <v>0.048503210824285</v>
      </c>
      <c r="E3609" s="0" t="n">
        <f aca="false">B3609/SUM($A3609:$C3609)</f>
        <v>0.838554412716295</v>
      </c>
      <c r="F3609" s="0" t="n">
        <f aca="false">C3609/SUM($A3609:$C3609)</f>
        <v>0.11294237645942</v>
      </c>
      <c r="G3609" s="0" t="n">
        <f aca="false">SUMPRODUCT(D3609:F3609,Stats!$B$6:$D$6)</f>
        <v>0.401618697453337</v>
      </c>
      <c r="H3609" s="0" t="n">
        <f aca="false">SQRT(SUMPRODUCT(MMULT(D3609:F3609,Stats!$B$12:$D$14),D3609:F3609))</f>
        <v>0.246245520205675</v>
      </c>
      <c r="I3609" s="0" t="n">
        <f aca="false">(G3609-Stats!$B$2)/H3609</f>
        <v>1.46040706508272</v>
      </c>
    </row>
    <row r="3610" customFormat="false" ht="15" hidden="false" customHeight="false" outlineLevel="0" collapsed="false">
      <c r="A3610" s="0" t="n">
        <v>0.697461267226727</v>
      </c>
      <c r="B3610" s="0" t="n">
        <v>0.50623103609088</v>
      </c>
      <c r="C3610" s="0" t="n">
        <v>0.0256322498844226</v>
      </c>
      <c r="D3610" s="0" t="n">
        <f aca="false">A3610/SUM($A3610:$C3610)</f>
        <v>0.567353239150756</v>
      </c>
      <c r="E3610" s="0" t="n">
        <f aca="false">B3610/SUM($A3610:$C3610)</f>
        <v>0.41179608328191</v>
      </c>
      <c r="F3610" s="0" t="n">
        <f aca="false">C3610/SUM($A3610:$C3610)</f>
        <v>0.0208506775673341</v>
      </c>
      <c r="G3610" s="0" t="n">
        <f aca="false">SUMPRODUCT(D3610:F3610,Stats!$B$6:$D$6)</f>
        <v>0.3796029686968</v>
      </c>
      <c r="H3610" s="0" t="n">
        <f aca="false">SQRT(SUMPRODUCT(MMULT(D3610:F3610,Stats!$B$12:$D$14),D3610:F3610))</f>
        <v>0.227602974878644</v>
      </c>
      <c r="I3610" s="0" t="n">
        <f aca="false">(G3610-Stats!$B$2)/H3610</f>
        <v>1.48329769800595</v>
      </c>
    </row>
    <row r="3611" customFormat="false" ht="15" hidden="false" customHeight="false" outlineLevel="0" collapsed="false">
      <c r="A3611" s="0" t="n">
        <v>0.924747475864362</v>
      </c>
      <c r="B3611" s="0" t="n">
        <v>0.851836808818933</v>
      </c>
      <c r="C3611" s="0" t="n">
        <v>0.524257927903836</v>
      </c>
      <c r="D3611" s="0" t="n">
        <f aca="false">A3611/SUM($A3611:$C3611)</f>
        <v>0.401916946240546</v>
      </c>
      <c r="E3611" s="0" t="n">
        <f aca="false">B3611/SUM($A3611:$C3611)</f>
        <v>0.370228259964469</v>
      </c>
      <c r="F3611" s="0" t="n">
        <f aca="false">C3611/SUM($A3611:$C3611)</f>
        <v>0.227854793794984</v>
      </c>
      <c r="G3611" s="0" t="n">
        <f aca="false">SUMPRODUCT(D3611:F3611,Stats!$B$6:$D$6)</f>
        <v>0.371503151056287</v>
      </c>
      <c r="H3611" s="0" t="n">
        <f aca="false">SQRT(SUMPRODUCT(MMULT(D3611:F3611,Stats!$B$12:$D$14),D3611:F3611))</f>
        <v>0.225362448290585</v>
      </c>
      <c r="I3611" s="0" t="n">
        <f aca="false">(G3611-Stats!$B$2)/H3611</f>
        <v>1.46210317448904</v>
      </c>
    </row>
    <row r="3612" customFormat="false" ht="15" hidden="false" customHeight="false" outlineLevel="0" collapsed="false">
      <c r="A3612" s="0" t="n">
        <v>0.228942336139445</v>
      </c>
      <c r="B3612" s="0" t="n">
        <v>0.121622890680094</v>
      </c>
      <c r="C3612" s="0" t="n">
        <v>0.363392479432127</v>
      </c>
      <c r="D3612" s="0" t="n">
        <f aca="false">A3612/SUM($A3612:$C3612)</f>
        <v>0.320666524269919</v>
      </c>
      <c r="E3612" s="0" t="n">
        <f aca="false">B3612/SUM($A3612:$C3612)</f>
        <v>0.170350273713865</v>
      </c>
      <c r="F3612" s="0" t="n">
        <f aca="false">C3612/SUM($A3612:$C3612)</f>
        <v>0.508983202016217</v>
      </c>
      <c r="G3612" s="0" t="n">
        <f aca="false">SUMPRODUCT(D3612:F3612,Stats!$B$6:$D$6)</f>
        <v>0.352250422695413</v>
      </c>
      <c r="H3612" s="0" t="n">
        <f aca="false">SQRT(SUMPRODUCT(MMULT(D3612:F3612,Stats!$B$12:$D$14),D3612:F3612))</f>
        <v>0.227512073236881</v>
      </c>
      <c r="I3612" s="0" t="n">
        <f aca="false">(G3612-Stats!$B$2)/H3612</f>
        <v>1.36366575312417</v>
      </c>
    </row>
    <row r="3613" customFormat="false" ht="15" hidden="false" customHeight="false" outlineLevel="0" collapsed="false">
      <c r="A3613" s="0" t="n">
        <v>0.255428281046091</v>
      </c>
      <c r="B3613" s="0" t="n">
        <v>0.506691201006299</v>
      </c>
      <c r="C3613" s="0" t="n">
        <v>0.966409296123429</v>
      </c>
      <c r="D3613" s="0" t="n">
        <f aca="false">A3613/SUM($A3613:$C3613)</f>
        <v>0.147772073147462</v>
      </c>
      <c r="E3613" s="0" t="n">
        <f aca="false">B3613/SUM($A3613:$C3613)</f>
        <v>0.293134373811832</v>
      </c>
      <c r="F3613" s="0" t="n">
        <f aca="false">C3613/SUM($A3613:$C3613)</f>
        <v>0.559093553040706</v>
      </c>
      <c r="G3613" s="0" t="n">
        <f aca="false">SUMPRODUCT(D3613:F3613,Stats!$B$6:$D$6)</f>
        <v>0.357933487242653</v>
      </c>
      <c r="H3613" s="0" t="n">
        <f aca="false">SQRT(SUMPRODUCT(MMULT(D3613:F3613,Stats!$B$12:$D$14),D3613:F3613))</f>
        <v>0.235386503269977</v>
      </c>
      <c r="I3613" s="0" t="n">
        <f aca="false">(G3613-Stats!$B$2)/H3613</f>
        <v>1.3421903246521</v>
      </c>
    </row>
    <row r="3614" customFormat="false" ht="15" hidden="false" customHeight="false" outlineLevel="0" collapsed="false">
      <c r="A3614" s="0" t="n">
        <v>0.574953493229641</v>
      </c>
      <c r="B3614" s="0" t="n">
        <v>0.889931055890098</v>
      </c>
      <c r="C3614" s="0" t="n">
        <v>0.650878837495777</v>
      </c>
      <c r="D3614" s="0" t="n">
        <f aca="false">A3614/SUM($A3614:$C3614)</f>
        <v>0.271747538910467</v>
      </c>
      <c r="E3614" s="0" t="n">
        <f aca="false">B3614/SUM($A3614:$C3614)</f>
        <v>0.420619366759001</v>
      </c>
      <c r="F3614" s="0" t="n">
        <f aca="false">C3614/SUM($A3614:$C3614)</f>
        <v>0.307633094330532</v>
      </c>
      <c r="G3614" s="0" t="n">
        <f aca="false">SUMPRODUCT(D3614:F3614,Stats!$B$6:$D$6)</f>
        <v>0.372202734168391</v>
      </c>
      <c r="H3614" s="0" t="n">
        <f aca="false">SQRT(SUMPRODUCT(MMULT(D3614:F3614,Stats!$B$12:$D$14),D3614:F3614))</f>
        <v>0.228914690090852</v>
      </c>
      <c r="I3614" s="0" t="n">
        <f aca="false">(G3614-Stats!$B$2)/H3614</f>
        <v>1.44247070398732</v>
      </c>
    </row>
    <row r="3615" customFormat="false" ht="15" hidden="false" customHeight="false" outlineLevel="0" collapsed="false">
      <c r="A3615" s="0" t="n">
        <v>0.475246526587201</v>
      </c>
      <c r="B3615" s="0" t="n">
        <v>0.854607562733371</v>
      </c>
      <c r="C3615" s="0" t="n">
        <v>0.471368110172998</v>
      </c>
      <c r="D3615" s="0" t="n">
        <f aca="false">A3615/SUM($A3615:$C3615)</f>
        <v>0.263846696271465</v>
      </c>
      <c r="E3615" s="0" t="n">
        <f aca="false">B3615/SUM($A3615:$C3615)</f>
        <v>0.474459821211204</v>
      </c>
      <c r="F3615" s="0" t="n">
        <f aca="false">C3615/SUM($A3615:$C3615)</f>
        <v>0.26169348251733</v>
      </c>
      <c r="G3615" s="0" t="n">
        <f aca="false">SUMPRODUCT(D3615:F3615,Stats!$B$6:$D$6)</f>
        <v>0.376567411359679</v>
      </c>
      <c r="H3615" s="0" t="n">
        <f aca="false">SQRT(SUMPRODUCT(MMULT(D3615:F3615,Stats!$B$12:$D$14),D3615:F3615))</f>
        <v>0.229884820165992</v>
      </c>
      <c r="I3615" s="0" t="n">
        <f aca="false">(G3615-Stats!$B$2)/H3615</f>
        <v>1.45536974176068</v>
      </c>
    </row>
    <row r="3616" customFormat="false" ht="15" hidden="false" customHeight="false" outlineLevel="0" collapsed="false">
      <c r="A3616" s="0" t="n">
        <v>0.868628170510361</v>
      </c>
      <c r="B3616" s="0" t="n">
        <v>0.291576769575765</v>
      </c>
      <c r="C3616" s="0" t="n">
        <v>0.128813073762988</v>
      </c>
      <c r="D3616" s="0" t="n">
        <f aca="false">A3616/SUM($A3616:$C3616)</f>
        <v>0.673868139295095</v>
      </c>
      <c r="E3616" s="0" t="n">
        <f aca="false">B3616/SUM($A3616:$C3616)</f>
        <v>0.226200694205268</v>
      </c>
      <c r="F3616" s="0" t="n">
        <f aca="false">C3616/SUM($A3616:$C3616)</f>
        <v>0.0999311664996377</v>
      </c>
      <c r="G3616" s="0" t="n">
        <f aca="false">SUMPRODUCT(D3616:F3616,Stats!$B$6:$D$6)</f>
        <v>0.366743436154388</v>
      </c>
      <c r="H3616" s="0" t="n">
        <f aca="false">SQRT(SUMPRODUCT(MMULT(D3616:F3616,Stats!$B$12:$D$14),D3616:F3616))</f>
        <v>0.224321996422223</v>
      </c>
      <c r="I3616" s="0" t="n">
        <f aca="false">(G3616-Stats!$B$2)/H3616</f>
        <v>1.4476664853818</v>
      </c>
    </row>
    <row r="3617" customFormat="false" ht="15" hidden="false" customHeight="false" outlineLevel="0" collapsed="false">
      <c r="A3617" s="0" t="n">
        <v>0.855314464362938</v>
      </c>
      <c r="B3617" s="0" t="n">
        <v>0.587415163792667</v>
      </c>
      <c r="C3617" s="0" t="n">
        <v>0.88909239824896</v>
      </c>
      <c r="D3617" s="0" t="n">
        <f aca="false">A3617/SUM($A3617:$C3617)</f>
        <v>0.366800919914865</v>
      </c>
      <c r="E3617" s="0" t="n">
        <f aca="false">B3617/SUM($A3617:$C3617)</f>
        <v>0.251912520398652</v>
      </c>
      <c r="F3617" s="0" t="n">
        <f aca="false">C3617/SUM($A3617:$C3617)</f>
        <v>0.381286559686483</v>
      </c>
      <c r="G3617" s="0" t="n">
        <f aca="false">SUMPRODUCT(D3617:F3617,Stats!$B$6:$D$6)</f>
        <v>0.360464594603237</v>
      </c>
      <c r="H3617" s="0" t="n">
        <f aca="false">SQRT(SUMPRODUCT(MMULT(D3617:F3617,Stats!$B$12:$D$14),D3617:F3617))</f>
        <v>0.225094477950869</v>
      </c>
      <c r="I3617" s="0" t="n">
        <f aca="false">(G3617-Stats!$B$2)/H3617</f>
        <v>1.4148041191519</v>
      </c>
    </row>
    <row r="3618" customFormat="false" ht="15" hidden="false" customHeight="false" outlineLevel="0" collapsed="false">
      <c r="A3618" s="0" t="n">
        <v>0.937827206992383</v>
      </c>
      <c r="B3618" s="0" t="n">
        <v>0.0536283903714492</v>
      </c>
      <c r="C3618" s="0" t="n">
        <v>0.500969301858868</v>
      </c>
      <c r="D3618" s="0" t="n">
        <f aca="false">A3618/SUM($A3618:$C3618)</f>
        <v>0.628391557579099</v>
      </c>
      <c r="E3618" s="0" t="n">
        <f aca="false">B3618/SUM($A3618:$C3618)</f>
        <v>0.0359337279881758</v>
      </c>
      <c r="F3618" s="0" t="n">
        <f aca="false">C3618/SUM($A3618:$C3618)</f>
        <v>0.335674714432725</v>
      </c>
      <c r="G3618" s="0" t="n">
        <f aca="false">SUMPRODUCT(D3618:F3618,Stats!$B$6:$D$6)</f>
        <v>0.349295183513453</v>
      </c>
      <c r="H3618" s="0" t="n">
        <f aca="false">SQRT(SUMPRODUCT(MMULT(D3618:F3618,Stats!$B$12:$D$14),D3618:F3618))</f>
        <v>0.221294127238696</v>
      </c>
      <c r="I3618" s="0" t="n">
        <f aca="false">(G3618-Stats!$B$2)/H3618</f>
        <v>1.38862782916057</v>
      </c>
    </row>
    <row r="3619" customFormat="false" ht="15" hidden="false" customHeight="false" outlineLevel="0" collapsed="false">
      <c r="A3619" s="0" t="n">
        <v>0.374964549074529</v>
      </c>
      <c r="B3619" s="0" t="n">
        <v>0.625858397070117</v>
      </c>
      <c r="C3619" s="0" t="n">
        <v>0.793591197202324</v>
      </c>
      <c r="D3619" s="0" t="n">
        <f aca="false">A3619/SUM($A3619:$C3619)</f>
        <v>0.208962100786354</v>
      </c>
      <c r="E3619" s="0" t="n">
        <f aca="false">B3619/SUM($A3619:$C3619)</f>
        <v>0.348781466859571</v>
      </c>
      <c r="F3619" s="0" t="n">
        <f aca="false">C3619/SUM($A3619:$C3619)</f>
        <v>0.442256432354074</v>
      </c>
      <c r="G3619" s="0" t="n">
        <f aca="false">SUMPRODUCT(D3619:F3619,Stats!$B$6:$D$6)</f>
        <v>0.364357087619011</v>
      </c>
      <c r="H3619" s="0" t="n">
        <f aca="false">SQRT(SUMPRODUCT(MMULT(D3619:F3619,Stats!$B$12:$D$14),D3619:F3619))</f>
        <v>0.231253159862477</v>
      </c>
      <c r="I3619" s="0" t="n">
        <f aca="false">(G3619-Stats!$B$2)/H3619</f>
        <v>1.3939575476967</v>
      </c>
    </row>
    <row r="3620" customFormat="false" ht="15" hidden="false" customHeight="false" outlineLevel="0" collapsed="false">
      <c r="A3620" s="0" t="n">
        <v>0.280590215974369</v>
      </c>
      <c r="B3620" s="0" t="n">
        <v>0.556798384373172</v>
      </c>
      <c r="C3620" s="0" t="n">
        <v>0.7087285799049</v>
      </c>
      <c r="D3620" s="0" t="n">
        <f aca="false">A3620/SUM($A3620:$C3620)</f>
        <v>0.181480562765984</v>
      </c>
      <c r="E3620" s="0" t="n">
        <f aca="false">B3620/SUM($A3620:$C3620)</f>
        <v>0.36012689819685</v>
      </c>
      <c r="F3620" s="0" t="n">
        <f aca="false">C3620/SUM($A3620:$C3620)</f>
        <v>0.458392539037166</v>
      </c>
      <c r="G3620" s="0" t="n">
        <f aca="false">SUMPRODUCT(D3620:F3620,Stats!$B$6:$D$6)</f>
        <v>0.36456494211854</v>
      </c>
      <c r="H3620" s="0" t="n">
        <f aca="false">SQRT(SUMPRODUCT(MMULT(D3620:F3620,Stats!$B$12:$D$14),D3620:F3620))</f>
        <v>0.232636289269791</v>
      </c>
      <c r="I3620" s="0" t="n">
        <f aca="false">(G3620-Stats!$B$2)/H3620</f>
        <v>1.38656330502443</v>
      </c>
    </row>
    <row r="3621" customFormat="false" ht="15" hidden="false" customHeight="false" outlineLevel="0" collapsed="false">
      <c r="A3621" s="0" t="n">
        <v>0.134431082835734</v>
      </c>
      <c r="B3621" s="0" t="n">
        <v>0.814066905951267</v>
      </c>
      <c r="C3621" s="0" t="n">
        <v>0.606109599852973</v>
      </c>
      <c r="D3621" s="0" t="n">
        <f aca="false">A3621/SUM($A3621:$C3621)</f>
        <v>0.0864726789049956</v>
      </c>
      <c r="E3621" s="0" t="n">
        <f aca="false">B3621/SUM($A3621:$C3621)</f>
        <v>0.52364784007226</v>
      </c>
      <c r="F3621" s="0" t="n">
        <f aca="false">C3621/SUM($A3621:$C3621)</f>
        <v>0.389879481022744</v>
      </c>
      <c r="G3621" s="0" t="n">
        <f aca="false">SUMPRODUCT(D3621:F3621,Stats!$B$6:$D$6)</f>
        <v>0.375862946696278</v>
      </c>
      <c r="H3621" s="0" t="n">
        <f aca="false">SQRT(SUMPRODUCT(MMULT(D3621:F3621,Stats!$B$12:$D$14),D3621:F3621))</f>
        <v>0.237843595825685</v>
      </c>
      <c r="I3621" s="0" t="n">
        <f aca="false">(G3621-Stats!$B$2)/H3621</f>
        <v>1.40370795159423</v>
      </c>
    </row>
    <row r="3622" customFormat="false" ht="15" hidden="false" customHeight="false" outlineLevel="0" collapsed="false">
      <c r="A3622" s="0" t="n">
        <v>0.949537437113652</v>
      </c>
      <c r="B3622" s="0" t="n">
        <v>0.339528919130693</v>
      </c>
      <c r="C3622" s="0" t="n">
        <v>0.108145942337199</v>
      </c>
      <c r="D3622" s="0" t="n">
        <f aca="false">A3622/SUM($A3622:$C3622)</f>
        <v>0.679594244967373</v>
      </c>
      <c r="E3622" s="0" t="n">
        <f aca="false">B3622/SUM($A3622:$C3622)</f>
        <v>0.243004530861477</v>
      </c>
      <c r="F3622" s="0" t="n">
        <f aca="false">C3622/SUM($A3622:$C3622)</f>
        <v>0.0774012241711506</v>
      </c>
      <c r="G3622" s="0" t="n">
        <f aca="false">SUMPRODUCT(D3622:F3622,Stats!$B$6:$D$6)</f>
        <v>0.368331561661043</v>
      </c>
      <c r="H3622" s="0" t="n">
        <f aca="false">SQRT(SUMPRODUCT(MMULT(D3622:F3622,Stats!$B$12:$D$14),D3622:F3622))</f>
        <v>0.224955702686621</v>
      </c>
      <c r="I3622" s="0" t="n">
        <f aca="false">(G3622-Stats!$B$2)/H3622</f>
        <v>1.45064809544147</v>
      </c>
    </row>
    <row r="3623" customFormat="false" ht="15" hidden="false" customHeight="false" outlineLevel="0" collapsed="false">
      <c r="A3623" s="0" t="n">
        <v>0.506501201036925</v>
      </c>
      <c r="B3623" s="0" t="n">
        <v>0.0858107717094389</v>
      </c>
      <c r="C3623" s="0" t="n">
        <v>0.969526523324007</v>
      </c>
      <c r="D3623" s="0" t="n">
        <f aca="false">A3623/SUM($A3623:$C3623)</f>
        <v>0.324298064307735</v>
      </c>
      <c r="E3623" s="0" t="n">
        <f aca="false">B3623/SUM($A3623:$C3623)</f>
        <v>0.0549421543426809</v>
      </c>
      <c r="F3623" s="0" t="n">
        <f aca="false">C3623/SUM($A3623:$C3623)</f>
        <v>0.620759781349584</v>
      </c>
      <c r="G3623" s="0" t="n">
        <f aca="false">SUMPRODUCT(D3623:F3623,Stats!$B$6:$D$6)</f>
        <v>0.342527792693016</v>
      </c>
      <c r="H3623" s="0" t="n">
        <f aca="false">SQRT(SUMPRODUCT(MMULT(D3623:F3623,Stats!$B$12:$D$14),D3623:F3623))</f>
        <v>0.229836304494885</v>
      </c>
      <c r="I3623" s="0" t="n">
        <f aca="false">(G3623-Stats!$B$2)/H3623</f>
        <v>1.30757320238633</v>
      </c>
    </row>
    <row r="3624" customFormat="false" ht="15" hidden="false" customHeight="false" outlineLevel="0" collapsed="false">
      <c r="A3624" s="0" t="n">
        <v>0.0386849582571915</v>
      </c>
      <c r="B3624" s="0" t="n">
        <v>0.753503901107308</v>
      </c>
      <c r="C3624" s="0" t="n">
        <v>0.525102398142244</v>
      </c>
      <c r="D3624" s="0" t="n">
        <f aca="false">A3624/SUM($A3624:$C3624)</f>
        <v>0.0293670500253764</v>
      </c>
      <c r="E3624" s="0" t="n">
        <f aca="false">B3624/SUM($A3624:$C3624)</f>
        <v>0.572010097852981</v>
      </c>
      <c r="F3624" s="0" t="n">
        <f aca="false">C3624/SUM($A3624:$C3624)</f>
        <v>0.398622852121643</v>
      </c>
      <c r="G3624" s="0" t="n">
        <f aca="false">SUMPRODUCT(D3624:F3624,Stats!$B$6:$D$6)</f>
        <v>0.37840455331976</v>
      </c>
      <c r="H3624" s="0" t="n">
        <f aca="false">SQRT(SUMPRODUCT(MMULT(D3624:F3624,Stats!$B$12:$D$14),D3624:F3624))</f>
        <v>0.241410488190349</v>
      </c>
      <c r="I3624" s="0" t="n">
        <f aca="false">(G3624-Stats!$B$2)/H3624</f>
        <v>1.39349601519595</v>
      </c>
    </row>
    <row r="3625" customFormat="false" ht="15" hidden="false" customHeight="false" outlineLevel="0" collapsed="false">
      <c r="A3625" s="0" t="n">
        <v>0.368620652498289</v>
      </c>
      <c r="B3625" s="0" t="n">
        <v>0.0658421645086547</v>
      </c>
      <c r="C3625" s="0" t="n">
        <v>0.622166924173608</v>
      </c>
      <c r="D3625" s="0" t="n">
        <f aca="false">A3625/SUM($A3625:$C3625)</f>
        <v>0.348864543682479</v>
      </c>
      <c r="E3625" s="0" t="n">
        <f aca="false">B3625/SUM($A3625:$C3625)</f>
        <v>0.0623133742526408</v>
      </c>
      <c r="F3625" s="0" t="n">
        <f aca="false">C3625/SUM($A3625:$C3625)</f>
        <v>0.58882208206488</v>
      </c>
      <c r="G3625" s="0" t="n">
        <f aca="false">SUMPRODUCT(D3625:F3625,Stats!$B$6:$D$6)</f>
        <v>0.343832592920142</v>
      </c>
      <c r="H3625" s="0" t="n">
        <f aca="false">SQRT(SUMPRODUCT(MMULT(D3625:F3625,Stats!$B$12:$D$14),D3625:F3625))</f>
        <v>0.228304924371131</v>
      </c>
      <c r="I3625" s="0" t="n">
        <f aca="false">(G3625-Stats!$B$2)/H3625</f>
        <v>1.32205905655143</v>
      </c>
    </row>
    <row r="3626" customFormat="false" ht="15" hidden="false" customHeight="false" outlineLevel="0" collapsed="false">
      <c r="A3626" s="0" t="n">
        <v>0.585220329390955</v>
      </c>
      <c r="B3626" s="0" t="n">
        <v>0.2808832730676</v>
      </c>
      <c r="C3626" s="0" t="n">
        <v>0.910221701410312</v>
      </c>
      <c r="D3626" s="0" t="n">
        <f aca="false">A3626/SUM($A3626:$C3626)</f>
        <v>0.329455605972811</v>
      </c>
      <c r="E3626" s="0" t="n">
        <f aca="false">B3626/SUM($A3626:$C3626)</f>
        <v>0.158126032689976</v>
      </c>
      <c r="F3626" s="0" t="n">
        <f aca="false">C3626/SUM($A3626:$C3626)</f>
        <v>0.512418361337213</v>
      </c>
      <c r="G3626" s="0" t="n">
        <f aca="false">SUMPRODUCT(D3626:F3626,Stats!$B$6:$D$6)</f>
        <v>0.351452332491379</v>
      </c>
      <c r="H3626" s="0" t="n">
        <f aca="false">SQRT(SUMPRODUCT(MMULT(D3626:F3626,Stats!$B$12:$D$14),D3626:F3626))</f>
        <v>0.227289860104552</v>
      </c>
      <c r="I3626" s="0" t="n">
        <f aca="false">(G3626-Stats!$B$2)/H3626</f>
        <v>1.3614876279524</v>
      </c>
    </row>
    <row r="3627" customFormat="false" ht="15" hidden="false" customHeight="false" outlineLevel="0" collapsed="false">
      <c r="A3627" s="0" t="n">
        <v>0.304110007342837</v>
      </c>
      <c r="B3627" s="0" t="n">
        <v>0.449725410592106</v>
      </c>
      <c r="C3627" s="0" t="n">
        <v>0.543762455918656</v>
      </c>
      <c r="D3627" s="0" t="n">
        <f aca="false">A3627/SUM($A3627:$C3627)</f>
        <v>0.234363829866408</v>
      </c>
      <c r="E3627" s="0" t="n">
        <f aca="false">B3627/SUM($A3627:$C3627)</f>
        <v>0.346583035972858</v>
      </c>
      <c r="F3627" s="0" t="n">
        <f aca="false">C3627/SUM($A3627:$C3627)</f>
        <v>0.419053134160734</v>
      </c>
      <c r="G3627" s="0" t="n">
        <f aca="false">SUMPRODUCT(D3627:F3627,Stats!$B$6:$D$6)</f>
        <v>0.364870414774387</v>
      </c>
      <c r="H3627" s="0" t="n">
        <f aca="false">SQRT(SUMPRODUCT(MMULT(D3627:F3627,Stats!$B$12:$D$14),D3627:F3627))</f>
        <v>0.230037310179067</v>
      </c>
      <c r="I3627" s="0" t="n">
        <f aca="false">(G3627-Stats!$B$2)/H3627</f>
        <v>1.40355672965857</v>
      </c>
    </row>
    <row r="3628" customFormat="false" ht="15" hidden="false" customHeight="false" outlineLevel="0" collapsed="false">
      <c r="A3628" s="0" t="n">
        <v>0.100231878176286</v>
      </c>
      <c r="B3628" s="0" t="n">
        <v>0.932161719213632</v>
      </c>
      <c r="C3628" s="0" t="n">
        <v>0.374536152451041</v>
      </c>
      <c r="D3628" s="0" t="n">
        <f aca="false">A3628/SUM($A3628:$C3628)</f>
        <v>0.0712415656770471</v>
      </c>
      <c r="E3628" s="0" t="n">
        <f aca="false">B3628/SUM($A3628:$C3628)</f>
        <v>0.662550293871464</v>
      </c>
      <c r="F3628" s="0" t="n">
        <f aca="false">C3628/SUM($A3628:$C3628)</f>
        <v>0.26620814045149</v>
      </c>
      <c r="G3628" s="0" t="n">
        <f aca="false">SUMPRODUCT(D3628:F3628,Stats!$B$6:$D$6)</f>
        <v>0.38726540375971</v>
      </c>
      <c r="H3628" s="0" t="n">
        <f aca="false">SQRT(SUMPRODUCT(MMULT(D3628:F3628,Stats!$B$12:$D$14),D3628:F3628))</f>
        <v>0.240344642710688</v>
      </c>
      <c r="I3628" s="0" t="n">
        <f aca="false">(G3628-Stats!$B$2)/H3628</f>
        <v>1.43654295708733</v>
      </c>
    </row>
    <row r="3629" customFormat="false" ht="15" hidden="false" customHeight="false" outlineLevel="0" collapsed="false">
      <c r="A3629" s="0" t="n">
        <v>0.0807792138743436</v>
      </c>
      <c r="B3629" s="0" t="n">
        <v>0.38729117367533</v>
      </c>
      <c r="C3629" s="0" t="n">
        <v>0.600202547092581</v>
      </c>
      <c r="D3629" s="0" t="n">
        <f aca="false">A3629/SUM($A3629:$C3629)</f>
        <v>0.0756166437010736</v>
      </c>
      <c r="E3629" s="0" t="n">
        <f aca="false">B3629/SUM($A3629:$C3629)</f>
        <v>0.362539535652494</v>
      </c>
      <c r="F3629" s="0" t="n">
        <f aca="false">C3629/SUM($A3629:$C3629)</f>
        <v>0.561843820646433</v>
      </c>
      <c r="G3629" s="0" t="n">
        <f aca="false">SUMPRODUCT(D3629:F3629,Stats!$B$6:$D$6)</f>
        <v>0.361851132854202</v>
      </c>
      <c r="H3629" s="0" t="n">
        <f aca="false">SQRT(SUMPRODUCT(MMULT(D3629:F3629,Stats!$B$12:$D$14),D3629:F3629))</f>
        <v>0.239299453817063</v>
      </c>
      <c r="I3629" s="0" t="n">
        <f aca="false">(G3629-Stats!$B$2)/H3629</f>
        <v>1.33661455449338</v>
      </c>
    </row>
    <row r="3630" customFormat="false" ht="15" hidden="false" customHeight="false" outlineLevel="0" collapsed="false">
      <c r="A3630" s="0" t="n">
        <v>0.51365267182133</v>
      </c>
      <c r="B3630" s="0" t="n">
        <v>0.694541974037274</v>
      </c>
      <c r="C3630" s="0" t="n">
        <v>0.0554839420679106</v>
      </c>
      <c r="D3630" s="0" t="n">
        <f aca="false">A3630/SUM($A3630:$C3630)</f>
        <v>0.406474143606523</v>
      </c>
      <c r="E3630" s="0" t="n">
        <f aca="false">B3630/SUM($A3630:$C3630)</f>
        <v>0.549619167938029</v>
      </c>
      <c r="F3630" s="0" t="n">
        <f aca="false">C3630/SUM($A3630:$C3630)</f>
        <v>0.0439066884554486</v>
      </c>
      <c r="G3630" s="0" t="n">
        <f aca="false">SUMPRODUCT(D3630:F3630,Stats!$B$6:$D$6)</f>
        <v>0.386897369974553</v>
      </c>
      <c r="H3630" s="0" t="n">
        <f aca="false">SQRT(SUMPRODUCT(MMULT(D3630:F3630,Stats!$B$12:$D$14),D3630:F3630))</f>
        <v>0.23046304471052</v>
      </c>
      <c r="I3630" s="0" t="n">
        <f aca="false">(G3630-Stats!$B$2)/H3630</f>
        <v>1.49654088970217</v>
      </c>
    </row>
    <row r="3631" customFormat="false" ht="15" hidden="false" customHeight="false" outlineLevel="0" collapsed="false">
      <c r="A3631" s="0" t="n">
        <v>0.284540610272056</v>
      </c>
      <c r="B3631" s="0" t="n">
        <v>0.819230576840102</v>
      </c>
      <c r="C3631" s="0" t="n">
        <v>0.0798936877913609</v>
      </c>
      <c r="D3631" s="0" t="n">
        <f aca="false">A3631/SUM($A3631:$C3631)</f>
        <v>0.240389502387869</v>
      </c>
      <c r="E3631" s="0" t="n">
        <f aca="false">B3631/SUM($A3631:$C3631)</f>
        <v>0.692113616116959</v>
      </c>
      <c r="F3631" s="0" t="n">
        <f aca="false">C3631/SUM($A3631:$C3631)</f>
        <v>0.0674968814951724</v>
      </c>
      <c r="G3631" s="0" t="n">
        <f aca="false">SUMPRODUCT(D3631:F3631,Stats!$B$6:$D$6)</f>
        <v>0.394445825596008</v>
      </c>
      <c r="H3631" s="0" t="n">
        <f aca="false">SQRT(SUMPRODUCT(MMULT(D3631:F3631,Stats!$B$12:$D$14),D3631:F3631))</f>
        <v>0.236462517717534</v>
      </c>
      <c r="I3631" s="0" t="n">
        <f aca="false">(G3631-Stats!$B$2)/H3631</f>
        <v>1.49049341518482</v>
      </c>
    </row>
    <row r="3632" customFormat="false" ht="15" hidden="false" customHeight="false" outlineLevel="0" collapsed="false">
      <c r="A3632" s="0" t="n">
        <v>0.855485954695958</v>
      </c>
      <c r="B3632" s="0" t="n">
        <v>0.0918960920771063</v>
      </c>
      <c r="C3632" s="0" t="n">
        <v>0.834454214891696</v>
      </c>
      <c r="D3632" s="0" t="n">
        <f aca="false">A3632/SUM($A3632:$C3632)</f>
        <v>0.480114796797704</v>
      </c>
      <c r="E3632" s="0" t="n">
        <f aca="false">B3632/SUM($A3632:$C3632)</f>
        <v>0.0515738140783195</v>
      </c>
      <c r="F3632" s="0" t="n">
        <f aca="false">C3632/SUM($A3632:$C3632)</f>
        <v>0.468311389123976</v>
      </c>
      <c r="G3632" s="0" t="n">
        <f aca="false">SUMPRODUCT(D3632:F3632,Stats!$B$6:$D$6)</f>
        <v>0.346537688534649</v>
      </c>
      <c r="H3632" s="0" t="n">
        <f aca="false">SQRT(SUMPRODUCT(MMULT(D3632:F3632,Stats!$B$12:$D$14),D3632:F3632))</f>
        <v>0.223271259387914</v>
      </c>
      <c r="I3632" s="0" t="n">
        <f aca="false">(G3632-Stats!$B$2)/H3632</f>
        <v>1.36398069939464</v>
      </c>
    </row>
    <row r="3633" customFormat="false" ht="15" hidden="false" customHeight="false" outlineLevel="0" collapsed="false">
      <c r="A3633" s="0" t="n">
        <v>0.360788401078727</v>
      </c>
      <c r="B3633" s="0" t="n">
        <v>0.612209063257216</v>
      </c>
      <c r="C3633" s="0" t="n">
        <v>0.152887115647998</v>
      </c>
      <c r="D3633" s="0" t="n">
        <f aca="false">A3633/SUM($A3633:$C3633)</f>
        <v>0.320448834181451</v>
      </c>
      <c r="E3633" s="0" t="n">
        <f aca="false">B3633/SUM($A3633:$C3633)</f>
        <v>0.543758280503272</v>
      </c>
      <c r="F3633" s="0" t="n">
        <f aca="false">C3633/SUM($A3633:$C3633)</f>
        <v>0.135792885315277</v>
      </c>
      <c r="G3633" s="0" t="n">
        <f aca="false">SUMPRODUCT(D3633:F3633,Stats!$B$6:$D$6)</f>
        <v>0.384026415560035</v>
      </c>
      <c r="H3633" s="0" t="n">
        <f aca="false">SQRT(SUMPRODUCT(MMULT(D3633:F3633,Stats!$B$12:$D$14),D3633:F3633))</f>
        <v>0.230420184232879</v>
      </c>
      <c r="I3633" s="0" t="n">
        <f aca="false">(G3633-Stats!$B$2)/H3633</f>
        <v>1.48435961328093</v>
      </c>
    </row>
    <row r="3634" customFormat="false" ht="15" hidden="false" customHeight="false" outlineLevel="0" collapsed="false">
      <c r="A3634" s="0" t="n">
        <v>0.0661687217251809</v>
      </c>
      <c r="B3634" s="0" t="n">
        <v>0.215938204020135</v>
      </c>
      <c r="C3634" s="0" t="n">
        <v>0.127853817908696</v>
      </c>
      <c r="D3634" s="0" t="n">
        <f aca="false">A3634/SUM($A3634:$C3634)</f>
        <v>0.161402580001719</v>
      </c>
      <c r="E3634" s="0" t="n">
        <f aca="false">B3634/SUM($A3634:$C3634)</f>
        <v>0.526728979207769</v>
      </c>
      <c r="F3634" s="0" t="n">
        <f aca="false">C3634/SUM($A3634:$C3634)</f>
        <v>0.311868440790512</v>
      </c>
      <c r="G3634" s="0" t="n">
        <f aca="false">SUMPRODUCT(D3634:F3634,Stats!$B$6:$D$6)</f>
        <v>0.378191355884075</v>
      </c>
      <c r="H3634" s="0" t="n">
        <f aca="false">SQRT(SUMPRODUCT(MMULT(D3634:F3634,Stats!$B$12:$D$14),D3634:F3634))</f>
        <v>0.234226811781828</v>
      </c>
      <c r="I3634" s="0" t="n">
        <f aca="false">(G3634-Stats!$B$2)/H3634</f>
        <v>1.43532396366827</v>
      </c>
    </row>
    <row r="3635" customFormat="false" ht="15" hidden="false" customHeight="false" outlineLevel="0" collapsed="false">
      <c r="A3635" s="0" t="n">
        <v>0.312405897679632</v>
      </c>
      <c r="B3635" s="0" t="n">
        <v>0.51438324651102</v>
      </c>
      <c r="C3635" s="0" t="n">
        <v>0.58875946356501</v>
      </c>
      <c r="D3635" s="0" t="n">
        <f aca="false">A3635/SUM($A3635:$C3635)</f>
        <v>0.220695987384671</v>
      </c>
      <c r="E3635" s="0" t="n">
        <f aca="false">B3635/SUM($A3635:$C3635)</f>
        <v>0.363380843082859</v>
      </c>
      <c r="F3635" s="0" t="n">
        <f aca="false">C3635/SUM($A3635:$C3635)</f>
        <v>0.41592316953247</v>
      </c>
      <c r="G3635" s="0" t="n">
        <f aca="false">SUMPRODUCT(D3635:F3635,Stats!$B$6:$D$6)</f>
        <v>0.365923246425296</v>
      </c>
      <c r="H3635" s="0" t="n">
        <f aca="false">SQRT(SUMPRODUCT(MMULT(D3635:F3635,Stats!$B$12:$D$14),D3635:F3635))</f>
        <v>0.230646152205505</v>
      </c>
      <c r="I3635" s="0" t="n">
        <f aca="false">(G3635-Stats!$B$2)/H3635</f>
        <v>1.40441643325869</v>
      </c>
    </row>
    <row r="3636" customFormat="false" ht="15" hidden="false" customHeight="false" outlineLevel="0" collapsed="false">
      <c r="A3636" s="0" t="n">
        <v>0.789868107379743</v>
      </c>
      <c r="B3636" s="0" t="n">
        <v>0.656239893248359</v>
      </c>
      <c r="C3636" s="0" t="n">
        <v>0.608758325129553</v>
      </c>
      <c r="D3636" s="0" t="n">
        <f aca="false">A3636/SUM($A3636:$C3636)</f>
        <v>0.384389046371914</v>
      </c>
      <c r="E3636" s="0" t="n">
        <f aca="false">B3636/SUM($A3636:$C3636)</f>
        <v>0.319358921318833</v>
      </c>
      <c r="F3636" s="0" t="n">
        <f aca="false">C3636/SUM($A3636:$C3636)</f>
        <v>0.296252032309253</v>
      </c>
      <c r="G3636" s="0" t="n">
        <f aca="false">SUMPRODUCT(D3636:F3636,Stats!$B$6:$D$6)</f>
        <v>0.366690167604444</v>
      </c>
      <c r="H3636" s="0" t="n">
        <f aca="false">SQRT(SUMPRODUCT(MMULT(D3636:F3636,Stats!$B$12:$D$14),D3636:F3636))</f>
        <v>0.224953847960911</v>
      </c>
      <c r="I3636" s="0" t="n">
        <f aca="false">(G3636-Stats!$B$2)/H3636</f>
        <v>1.44336347454196</v>
      </c>
    </row>
    <row r="3637" customFormat="false" ht="15" hidden="false" customHeight="false" outlineLevel="0" collapsed="false">
      <c r="A3637" s="0" t="n">
        <v>0.411782027485775</v>
      </c>
      <c r="B3637" s="0" t="n">
        <v>0.473808434960139</v>
      </c>
      <c r="C3637" s="0" t="n">
        <v>0.414520829390181</v>
      </c>
      <c r="D3637" s="0" t="n">
        <f aca="false">A3637/SUM($A3637:$C3637)</f>
        <v>0.316728290932872</v>
      </c>
      <c r="E3637" s="0" t="n">
        <f aca="false">B3637/SUM($A3637:$C3637)</f>
        <v>0.364436827781873</v>
      </c>
      <c r="F3637" s="0" t="n">
        <f aca="false">C3637/SUM($A3637:$C3637)</f>
        <v>0.318834881285255</v>
      </c>
      <c r="G3637" s="0" t="n">
        <f aca="false">SUMPRODUCT(D3637:F3637,Stats!$B$6:$D$6)</f>
        <v>0.368661178624442</v>
      </c>
      <c r="H3637" s="0" t="n">
        <f aca="false">SQRT(SUMPRODUCT(MMULT(D3637:F3637,Stats!$B$12:$D$14),D3637:F3637))</f>
        <v>0.227014907403683</v>
      </c>
      <c r="I3637" s="0" t="n">
        <f aca="false">(G3637-Stats!$B$2)/H3637</f>
        <v>1.43894153190374</v>
      </c>
    </row>
    <row r="3638" customFormat="false" ht="15" hidden="false" customHeight="false" outlineLevel="0" collapsed="false">
      <c r="A3638" s="0" t="n">
        <v>0.842166030061383</v>
      </c>
      <c r="B3638" s="0" t="n">
        <v>0.2300004525484</v>
      </c>
      <c r="C3638" s="0" t="n">
        <v>0.00572093154196463</v>
      </c>
      <c r="D3638" s="0" t="n">
        <f aca="false">A3638/SUM($A3638:$C3638)</f>
        <v>0.781311683395183</v>
      </c>
      <c r="E3638" s="0" t="n">
        <f aca="false">B3638/SUM($A3638:$C3638)</f>
        <v>0.213380775699474</v>
      </c>
      <c r="F3638" s="0" t="n">
        <f aca="false">C3638/SUM($A3638:$C3638)</f>
        <v>0.00530754090534285</v>
      </c>
      <c r="G3638" s="0" t="n">
        <f aca="false">SUMPRODUCT(D3638:F3638,Stats!$B$6:$D$6)</f>
        <v>0.368615004717664</v>
      </c>
      <c r="H3638" s="0" t="n">
        <f aca="false">SQRT(SUMPRODUCT(MMULT(D3638:F3638,Stats!$B$12:$D$14),D3638:F3638))</f>
        <v>0.227918257424864</v>
      </c>
      <c r="I3638" s="0" t="n">
        <f aca="false">(G3638-Stats!$B$2)/H3638</f>
        <v>1.43303572257846</v>
      </c>
    </row>
    <row r="3639" customFormat="false" ht="15" hidden="false" customHeight="false" outlineLevel="0" collapsed="false">
      <c r="A3639" s="0" t="n">
        <v>0.651319897226239</v>
      </c>
      <c r="B3639" s="0" t="n">
        <v>0.202462183638831</v>
      </c>
      <c r="C3639" s="0" t="n">
        <v>0.890115136309809</v>
      </c>
      <c r="D3639" s="0" t="n">
        <f aca="false">A3639/SUM($A3639:$C3639)</f>
        <v>0.373485255215545</v>
      </c>
      <c r="E3639" s="0" t="n">
        <f aca="false">B3639/SUM($A3639:$C3639)</f>
        <v>0.11609754384884</v>
      </c>
      <c r="F3639" s="0" t="n">
        <f aca="false">C3639/SUM($A3639:$C3639)</f>
        <v>0.510417200935614</v>
      </c>
      <c r="G3639" s="0" t="n">
        <f aca="false">SUMPRODUCT(D3639:F3639,Stats!$B$6:$D$6)</f>
        <v>0.349089248868256</v>
      </c>
      <c r="H3639" s="0" t="n">
        <f aca="false">SQRT(SUMPRODUCT(MMULT(D3639:F3639,Stats!$B$12:$D$14),D3639:F3639))</f>
        <v>0.226018769847161</v>
      </c>
      <c r="I3639" s="0" t="n">
        <f aca="false">(G3639-Stats!$B$2)/H3639</f>
        <v>1.35868914371986</v>
      </c>
    </row>
    <row r="3640" customFormat="false" ht="15" hidden="false" customHeight="false" outlineLevel="0" collapsed="false">
      <c r="A3640" s="0" t="n">
        <v>0.859046329706656</v>
      </c>
      <c r="B3640" s="0" t="n">
        <v>0.0767273719282059</v>
      </c>
      <c r="C3640" s="0" t="n">
        <v>0.106388405414077</v>
      </c>
      <c r="D3640" s="0" t="n">
        <f aca="false">A3640/SUM($A3640:$C3640)</f>
        <v>0.824292424274754</v>
      </c>
      <c r="E3640" s="0" t="n">
        <f aca="false">B3640/SUM($A3640:$C3640)</f>
        <v>0.0736232601523698</v>
      </c>
      <c r="F3640" s="0" t="n">
        <f aca="false">C3640/SUM($A3640:$C3640)</f>
        <v>0.102084315572876</v>
      </c>
      <c r="G3640" s="0" t="n">
        <f aca="false">SUMPRODUCT(D3640:F3640,Stats!$B$6:$D$6)</f>
        <v>0.357904955818543</v>
      </c>
      <c r="H3640" s="0" t="n">
        <f aca="false">SQRT(SUMPRODUCT(MMULT(D3640:F3640,Stats!$B$12:$D$14),D3640:F3640))</f>
        <v>0.225802101953443</v>
      </c>
      <c r="I3640" s="0" t="n">
        <f aca="false">(G3640-Stats!$B$2)/H3640</f>
        <v>1.39903461077469</v>
      </c>
    </row>
    <row r="3641" customFormat="false" ht="15" hidden="false" customHeight="false" outlineLevel="0" collapsed="false">
      <c r="A3641" s="0" t="n">
        <v>0.495171592246666</v>
      </c>
      <c r="B3641" s="0" t="n">
        <v>0.609222662769355</v>
      </c>
      <c r="C3641" s="0" t="n">
        <v>0.274908337482241</v>
      </c>
      <c r="D3641" s="0" t="n">
        <f aca="false">A3641/SUM($A3641:$C3641)</f>
        <v>0.359001422124341</v>
      </c>
      <c r="E3641" s="0" t="n">
        <f aca="false">B3641/SUM($A3641:$C3641)</f>
        <v>0.441688912993269</v>
      </c>
      <c r="F3641" s="0" t="n">
        <f aca="false">C3641/SUM($A3641:$C3641)</f>
        <v>0.19930966488239</v>
      </c>
      <c r="G3641" s="0" t="n">
        <f aca="false">SUMPRODUCT(D3641:F3641,Stats!$B$6:$D$6)</f>
        <v>0.376402025492582</v>
      </c>
      <c r="H3641" s="0" t="n">
        <f aca="false">SQRT(SUMPRODUCT(MMULT(D3641:F3641,Stats!$B$12:$D$14),D3641:F3641))</f>
        <v>0.227303305390115</v>
      </c>
      <c r="I3641" s="0" t="n">
        <f aca="false">(G3641-Stats!$B$2)/H3641</f>
        <v>1.47117097535672</v>
      </c>
    </row>
    <row r="3642" customFormat="false" ht="15" hidden="false" customHeight="false" outlineLevel="0" collapsed="false">
      <c r="A3642" s="0" t="n">
        <v>0.716797716699371</v>
      </c>
      <c r="B3642" s="0" t="n">
        <v>0.594916020918872</v>
      </c>
      <c r="C3642" s="0" t="n">
        <v>0.324824109748555</v>
      </c>
      <c r="D3642" s="0" t="n">
        <f aca="false">A3642/SUM($A3642:$C3642)</f>
        <v>0.437996418996789</v>
      </c>
      <c r="E3642" s="0" t="n">
        <f aca="false">B3642/SUM($A3642:$C3642)</f>
        <v>0.363521089277646</v>
      </c>
      <c r="F3642" s="0" t="n">
        <f aca="false">C3642/SUM($A3642:$C3642)</f>
        <v>0.198482491725565</v>
      </c>
      <c r="G3642" s="0" t="n">
        <f aca="false">SUMPRODUCT(D3642:F3642,Stats!$B$6:$D$6)</f>
        <v>0.371927159068271</v>
      </c>
      <c r="H3642" s="0" t="n">
        <f aca="false">SQRT(SUMPRODUCT(MMULT(D3642:F3642,Stats!$B$12:$D$14),D3642:F3642))</f>
        <v>0.224928020083643</v>
      </c>
      <c r="I3642" s="0" t="n">
        <f aca="false">(G3642-Stats!$B$2)/H3642</f>
        <v>1.46681217816074</v>
      </c>
    </row>
    <row r="3643" customFormat="false" ht="15" hidden="false" customHeight="false" outlineLevel="0" collapsed="false">
      <c r="A3643" s="0" t="n">
        <v>0.0253714880423156</v>
      </c>
      <c r="B3643" s="0" t="n">
        <v>0.750150281298518</v>
      </c>
      <c r="C3643" s="0" t="n">
        <v>0.214753665825083</v>
      </c>
      <c r="D3643" s="0" t="n">
        <f aca="false">A3643/SUM($A3643:$C3643)</f>
        <v>0.025620637593686</v>
      </c>
      <c r="E3643" s="0" t="n">
        <f aca="false">B3643/SUM($A3643:$C3643)</f>
        <v>0.7575168025579</v>
      </c>
      <c r="F3643" s="0" t="n">
        <f aca="false">C3643/SUM($A3643:$C3643)</f>
        <v>0.216862559848414</v>
      </c>
      <c r="G3643" s="0" t="n">
        <f aca="false">SUMPRODUCT(D3643:F3643,Stats!$B$6:$D$6)</f>
        <v>0.394090339162602</v>
      </c>
      <c r="H3643" s="0" t="n">
        <f aca="false">SQRT(SUMPRODUCT(MMULT(D3643:F3643,Stats!$B$12:$D$14),D3643:F3643))</f>
        <v>0.244544267437615</v>
      </c>
      <c r="I3643" s="0" t="n">
        <f aca="false">(G3643-Stats!$B$2)/H3643</f>
        <v>1.4397816103067</v>
      </c>
    </row>
    <row r="3644" customFormat="false" ht="15" hidden="false" customHeight="false" outlineLevel="0" collapsed="false">
      <c r="A3644" s="0" t="n">
        <v>0.834473743462628</v>
      </c>
      <c r="B3644" s="0" t="n">
        <v>0.420290260054255</v>
      </c>
      <c r="C3644" s="0" t="n">
        <v>0.577077442631765</v>
      </c>
      <c r="D3644" s="0" t="n">
        <f aca="false">A3644/SUM($A3644:$C3644)</f>
        <v>0.455538193666851</v>
      </c>
      <c r="E3644" s="0" t="n">
        <f aca="false">B3644/SUM($A3644:$C3644)</f>
        <v>0.229435937776107</v>
      </c>
      <c r="F3644" s="0" t="n">
        <f aca="false">C3644/SUM($A3644:$C3644)</f>
        <v>0.315025868557042</v>
      </c>
      <c r="G3644" s="0" t="n">
        <f aca="false">SUMPRODUCT(D3644:F3644,Stats!$B$6:$D$6)</f>
        <v>0.3609984342027</v>
      </c>
      <c r="H3644" s="0" t="n">
        <f aca="false">SQRT(SUMPRODUCT(MMULT(D3644:F3644,Stats!$B$12:$D$14),D3644:F3644))</f>
        <v>0.223018257198559</v>
      </c>
      <c r="I3644" s="0" t="n">
        <f aca="false">(G3644-Stats!$B$2)/H3644</f>
        <v>1.43036914649856</v>
      </c>
    </row>
    <row r="3645" customFormat="false" ht="15" hidden="false" customHeight="false" outlineLevel="0" collapsed="false">
      <c r="A3645" s="0" t="n">
        <v>0.872948730409002</v>
      </c>
      <c r="B3645" s="0" t="n">
        <v>0.863623000919953</v>
      </c>
      <c r="C3645" s="0" t="n">
        <v>0.371519575243573</v>
      </c>
      <c r="D3645" s="0" t="n">
        <f aca="false">A3645/SUM($A3645:$C3645)</f>
        <v>0.414094364739969</v>
      </c>
      <c r="E3645" s="0" t="n">
        <f aca="false">B3645/SUM($A3645:$C3645)</f>
        <v>0.409670586007058</v>
      </c>
      <c r="F3645" s="0" t="n">
        <f aca="false">C3645/SUM($A3645:$C3645)</f>
        <v>0.176235049252973</v>
      </c>
      <c r="G3645" s="0" t="n">
        <f aca="false">SUMPRODUCT(D3645:F3645,Stats!$B$6:$D$6)</f>
        <v>0.375196006049322</v>
      </c>
      <c r="H3645" s="0" t="n">
        <f aca="false">SQRT(SUMPRODUCT(MMULT(D3645:F3645,Stats!$B$12:$D$14),D3645:F3645))</f>
        <v>0.226067347414454</v>
      </c>
      <c r="I3645" s="0" t="n">
        <f aca="false">(G3645-Stats!$B$2)/H3645</f>
        <v>1.47387939859562</v>
      </c>
    </row>
    <row r="3646" customFormat="false" ht="15" hidden="false" customHeight="false" outlineLevel="0" collapsed="false">
      <c r="A3646" s="0" t="n">
        <v>0.208888892714843</v>
      </c>
      <c r="B3646" s="0" t="n">
        <v>0.775146077728595</v>
      </c>
      <c r="C3646" s="0" t="n">
        <v>0.433080203602131</v>
      </c>
      <c r="D3646" s="0" t="n">
        <f aca="false">A3646/SUM($A3646:$C3646)</f>
        <v>0.147404315852824</v>
      </c>
      <c r="E3646" s="0" t="n">
        <f aca="false">B3646/SUM($A3646:$C3646)</f>
        <v>0.546988764163546</v>
      </c>
      <c r="F3646" s="0" t="n">
        <f aca="false">C3646/SUM($A3646:$C3646)</f>
        <v>0.305606919983629</v>
      </c>
      <c r="G3646" s="0" t="n">
        <f aca="false">SUMPRODUCT(D3646:F3646,Stats!$B$6:$D$6)</f>
        <v>0.379529736716646</v>
      </c>
      <c r="H3646" s="0" t="n">
        <f aca="false">SQRT(SUMPRODUCT(MMULT(D3646:F3646,Stats!$B$12:$D$14),D3646:F3646))</f>
        <v>0.235083774430537</v>
      </c>
      <c r="I3646" s="0" t="n">
        <f aca="false">(G3646-Stats!$B$2)/H3646</f>
        <v>1.43578491341766</v>
      </c>
    </row>
    <row r="3647" customFormat="false" ht="15" hidden="false" customHeight="false" outlineLevel="0" collapsed="false">
      <c r="A3647" s="0" t="n">
        <v>0.192041993559004</v>
      </c>
      <c r="B3647" s="0" t="n">
        <v>0.90442534231715</v>
      </c>
      <c r="C3647" s="0" t="n">
        <v>0.198104194241087</v>
      </c>
      <c r="D3647" s="0" t="n">
        <f aca="false">A3647/SUM($A3647:$C3647)</f>
        <v>0.148344057544361</v>
      </c>
      <c r="E3647" s="0" t="n">
        <f aca="false">B3647/SUM($A3647:$C3647)</f>
        <v>0.698629099494596</v>
      </c>
      <c r="F3647" s="0" t="n">
        <f aca="false">C3647/SUM($A3647:$C3647)</f>
        <v>0.153026842961042</v>
      </c>
      <c r="G3647" s="0" t="n">
        <f aca="false">SUMPRODUCT(D3647:F3647,Stats!$B$6:$D$6)</f>
        <v>0.392462262285864</v>
      </c>
      <c r="H3647" s="0" t="n">
        <f aca="false">SQRT(SUMPRODUCT(MMULT(D3647:F3647,Stats!$B$12:$D$14),D3647:F3647))</f>
        <v>0.238476325208193</v>
      </c>
      <c r="I3647" s="0" t="n">
        <f aca="false">(G3647-Stats!$B$2)/H3647</f>
        <v>1.46958932707431</v>
      </c>
    </row>
    <row r="3648" customFormat="false" ht="15" hidden="false" customHeight="false" outlineLevel="0" collapsed="false">
      <c r="A3648" s="0" t="n">
        <v>0.0258071681912311</v>
      </c>
      <c r="B3648" s="0" t="n">
        <v>0.02027997376742</v>
      </c>
      <c r="C3648" s="0" t="n">
        <v>0.622315356454264</v>
      </c>
      <c r="D3648" s="0" t="n">
        <f aca="false">A3648/SUM($A3648:$C3648)</f>
        <v>0.0386102210157933</v>
      </c>
      <c r="E3648" s="0" t="n">
        <f aca="false">B3648/SUM($A3648:$C3648)</f>
        <v>0.030340960447595</v>
      </c>
      <c r="F3648" s="0" t="n">
        <f aca="false">C3648/SUM($A3648:$C3648)</f>
        <v>0.931048818536612</v>
      </c>
      <c r="G3648" s="0" t="n">
        <f aca="false">SUMPRODUCT(D3648:F3648,Stats!$B$6:$D$6)</f>
        <v>0.332556170980001</v>
      </c>
      <c r="H3648" s="0" t="n">
        <f aca="false">SQRT(SUMPRODUCT(MMULT(D3648:F3648,Stats!$B$12:$D$14),D3648:F3648))</f>
        <v>0.254037871018136</v>
      </c>
      <c r="I3648" s="0" t="n">
        <f aca="false">(G3648-Stats!$B$2)/H3648</f>
        <v>1.1437514013777</v>
      </c>
    </row>
    <row r="3649" customFormat="false" ht="15" hidden="false" customHeight="false" outlineLevel="0" collapsed="false">
      <c r="A3649" s="0" t="n">
        <v>0.66167506071753</v>
      </c>
      <c r="B3649" s="0" t="n">
        <v>0.311041705056984</v>
      </c>
      <c r="C3649" s="0" t="n">
        <v>0.320010989247063</v>
      </c>
      <c r="D3649" s="0" t="n">
        <f aca="false">A3649/SUM($A3649:$C3649)</f>
        <v>0.51184408948231</v>
      </c>
      <c r="E3649" s="0" t="n">
        <f aca="false">B3649/SUM($A3649:$C3649)</f>
        <v>0.240608824130795</v>
      </c>
      <c r="F3649" s="0" t="n">
        <f aca="false">C3649/SUM($A3649:$C3649)</f>
        <v>0.247547086386895</v>
      </c>
      <c r="G3649" s="0" t="n">
        <f aca="false">SUMPRODUCT(D3649:F3649,Stats!$B$6:$D$6)</f>
        <v>0.363502009087402</v>
      </c>
      <c r="H3649" s="0" t="n">
        <f aca="false">SQRT(SUMPRODUCT(MMULT(D3649:F3649,Stats!$B$12:$D$14),D3649:F3649))</f>
        <v>0.22260607243792</v>
      </c>
      <c r="I3649" s="0" t="n">
        <f aca="false">(G3649-Stats!$B$2)/H3649</f>
        <v>1.44426432561521</v>
      </c>
    </row>
    <row r="3650" customFormat="false" ht="15" hidden="false" customHeight="false" outlineLevel="0" collapsed="false">
      <c r="A3650" s="0" t="n">
        <v>0.339493915059943</v>
      </c>
      <c r="B3650" s="0" t="n">
        <v>0.680158546758879</v>
      </c>
      <c r="C3650" s="0" t="n">
        <v>0.0581337910268286</v>
      </c>
      <c r="D3650" s="0" t="n">
        <f aca="false">A3650/SUM($A3650:$C3650)</f>
        <v>0.314991877251715</v>
      </c>
      <c r="E3650" s="0" t="n">
        <f aca="false">B3650/SUM($A3650:$C3650)</f>
        <v>0.631069977895037</v>
      </c>
      <c r="F3650" s="0" t="n">
        <f aca="false">C3650/SUM($A3650:$C3650)</f>
        <v>0.0539381448532485</v>
      </c>
      <c r="G3650" s="0" t="n">
        <f aca="false">SUMPRODUCT(D3650:F3650,Stats!$B$6:$D$6)</f>
        <v>0.391307330607891</v>
      </c>
      <c r="H3650" s="0" t="n">
        <f aca="false">SQRT(SUMPRODUCT(MMULT(D3650:F3650,Stats!$B$12:$D$14),D3650:F3650))</f>
        <v>0.233515192249705</v>
      </c>
      <c r="I3650" s="0" t="n">
        <f aca="false">(G3650-Stats!$B$2)/H3650</f>
        <v>1.49586554623121</v>
      </c>
    </row>
    <row r="3651" customFormat="false" ht="15" hidden="false" customHeight="false" outlineLevel="0" collapsed="false">
      <c r="A3651" s="0" t="n">
        <v>0.929116352691326</v>
      </c>
      <c r="B3651" s="0" t="n">
        <v>0.222521044177446</v>
      </c>
      <c r="C3651" s="0" t="n">
        <v>0.999673205242092</v>
      </c>
      <c r="D3651" s="0" t="n">
        <f aca="false">A3651/SUM($A3651:$C3651)</f>
        <v>0.431883871989325</v>
      </c>
      <c r="E3651" s="0" t="n">
        <f aca="false">B3651/SUM($A3651:$C3651)</f>
        <v>0.103435107863601</v>
      </c>
      <c r="F3651" s="0" t="n">
        <f aca="false">C3651/SUM($A3651:$C3651)</f>
        <v>0.464681020147074</v>
      </c>
      <c r="G3651" s="0" t="n">
        <f aca="false">SUMPRODUCT(D3651:F3651,Stats!$B$6:$D$6)</f>
        <v>0.34962182628452</v>
      </c>
      <c r="H3651" s="0" t="n">
        <f aca="false">SQRT(SUMPRODUCT(MMULT(D3651:F3651,Stats!$B$12:$D$14),D3651:F3651))</f>
        <v>0.224029240645351</v>
      </c>
      <c r="I3651" s="0" t="n">
        <f aca="false">(G3651-Stats!$B$2)/H3651</f>
        <v>1.37313247769964</v>
      </c>
    </row>
    <row r="3652" customFormat="false" ht="15" hidden="false" customHeight="false" outlineLevel="0" collapsed="false">
      <c r="A3652" s="0" t="n">
        <v>0.171522693787187</v>
      </c>
      <c r="B3652" s="0" t="n">
        <v>0.771546457312378</v>
      </c>
      <c r="C3652" s="0" t="n">
        <v>0.223412544929625</v>
      </c>
      <c r="D3652" s="0" t="n">
        <f aca="false">A3652/SUM($A3652:$C3652)</f>
        <v>0.147042764898126</v>
      </c>
      <c r="E3652" s="0" t="n">
        <f aca="false">B3652/SUM($A3652:$C3652)</f>
        <v>0.661430402156152</v>
      </c>
      <c r="F3652" s="0" t="n">
        <f aca="false">C3652/SUM($A3652:$C3652)</f>
        <v>0.191526832945722</v>
      </c>
      <c r="G3652" s="0" t="n">
        <f aca="false">SUMPRODUCT(D3652:F3652,Stats!$B$6:$D$6)</f>
        <v>0.389260274970389</v>
      </c>
      <c r="H3652" s="0" t="n">
        <f aca="false">SQRT(SUMPRODUCT(MMULT(D3652:F3652,Stats!$B$12:$D$14),D3652:F3652))</f>
        <v>0.237430226616366</v>
      </c>
      <c r="I3652" s="0" t="n">
        <f aca="false">(G3652-Stats!$B$2)/H3652</f>
        <v>1.46257820631862</v>
      </c>
    </row>
    <row r="3653" customFormat="false" ht="15" hidden="false" customHeight="false" outlineLevel="0" collapsed="false">
      <c r="A3653" s="0" t="n">
        <v>0.080846801643254</v>
      </c>
      <c r="B3653" s="0" t="n">
        <v>0.874933324350649</v>
      </c>
      <c r="C3653" s="0" t="n">
        <v>0.858751259190892</v>
      </c>
      <c r="D3653" s="0" t="n">
        <f aca="false">A3653/SUM($A3653:$C3653)</f>
        <v>0.0445551960706485</v>
      </c>
      <c r="E3653" s="0" t="n">
        <f aca="false">B3653/SUM($A3653:$C3653)</f>
        <v>0.4821814224291</v>
      </c>
      <c r="F3653" s="0" t="n">
        <f aca="false">C3653/SUM($A3653:$C3653)</f>
        <v>0.473263381500252</v>
      </c>
      <c r="G3653" s="0" t="n">
        <f aca="false">SUMPRODUCT(D3653:F3653,Stats!$B$6:$D$6)</f>
        <v>0.371177743709491</v>
      </c>
      <c r="H3653" s="0" t="n">
        <f aca="false">SQRT(SUMPRODUCT(MMULT(D3653:F3653,Stats!$B$12:$D$14),D3653:F3653))</f>
        <v>0.240362060803154</v>
      </c>
      <c r="I3653" s="0" t="n">
        <f aca="false">(G3653-Stats!$B$2)/H3653</f>
        <v>1.36950791073086</v>
      </c>
    </row>
    <row r="3654" customFormat="false" ht="15" hidden="false" customHeight="false" outlineLevel="0" collapsed="false">
      <c r="A3654" s="0" t="n">
        <v>0.403570392449601</v>
      </c>
      <c r="B3654" s="0" t="n">
        <v>0.702396142540427</v>
      </c>
      <c r="C3654" s="0" t="n">
        <v>0.557065932683917</v>
      </c>
      <c r="D3654" s="0" t="n">
        <f aca="false">A3654/SUM($A3654:$C3654)</f>
        <v>0.242671385131806</v>
      </c>
      <c r="E3654" s="0" t="n">
        <f aca="false">B3654/SUM($A3654:$C3654)</f>
        <v>0.422358646745398</v>
      </c>
      <c r="F3654" s="0" t="n">
        <f aca="false">C3654/SUM($A3654:$C3654)</f>
        <v>0.334969968122797</v>
      </c>
      <c r="G3654" s="0" t="n">
        <f aca="false">SUMPRODUCT(D3654:F3654,Stats!$B$6:$D$6)</f>
        <v>0.371549006307195</v>
      </c>
      <c r="H3654" s="0" t="n">
        <f aca="false">SQRT(SUMPRODUCT(MMULT(D3654:F3654,Stats!$B$12:$D$14),D3654:F3654))</f>
        <v>0.229931586589656</v>
      </c>
      <c r="I3654" s="0" t="n">
        <f aca="false">(G3654-Stats!$B$2)/H3654</f>
        <v>1.4332480856374</v>
      </c>
    </row>
    <row r="3655" customFormat="false" ht="15" hidden="false" customHeight="false" outlineLevel="0" collapsed="false">
      <c r="A3655" s="0" t="n">
        <v>0.852956113673749</v>
      </c>
      <c r="B3655" s="0" t="n">
        <v>0.315055969318654</v>
      </c>
      <c r="C3655" s="0" t="n">
        <v>0.523672399998985</v>
      </c>
      <c r="D3655" s="0" t="n">
        <f aca="false">A3655/SUM($A3655:$C3655)</f>
        <v>0.504205200348871</v>
      </c>
      <c r="E3655" s="0" t="n">
        <f aca="false">B3655/SUM($A3655:$C3655)</f>
        <v>0.186238020438388</v>
      </c>
      <c r="F3655" s="0" t="n">
        <f aca="false">C3655/SUM($A3655:$C3655)</f>
        <v>0.309556779212741</v>
      </c>
      <c r="G3655" s="0" t="n">
        <f aca="false">SUMPRODUCT(D3655:F3655,Stats!$B$6:$D$6)</f>
        <v>0.358663689984204</v>
      </c>
      <c r="H3655" s="0" t="n">
        <f aca="false">SQRT(SUMPRODUCT(MMULT(D3655:F3655,Stats!$B$12:$D$14),D3655:F3655))</f>
        <v>0.222182018905298</v>
      </c>
      <c r="I3655" s="0" t="n">
        <f aca="false">(G3655-Stats!$B$2)/H3655</f>
        <v>1.42524445292388</v>
      </c>
    </row>
    <row r="3656" customFormat="false" ht="15" hidden="false" customHeight="false" outlineLevel="0" collapsed="false">
      <c r="A3656" s="0" t="n">
        <v>0.485372371204551</v>
      </c>
      <c r="B3656" s="0" t="n">
        <v>0.353905826256859</v>
      </c>
      <c r="C3656" s="0" t="n">
        <v>0.891455064556372</v>
      </c>
      <c r="D3656" s="0" t="n">
        <f aca="false">A3656/SUM($A3656:$C3656)</f>
        <v>0.280443198184495</v>
      </c>
      <c r="E3656" s="0" t="n">
        <f aca="false">B3656/SUM($A3656:$C3656)</f>
        <v>0.204483171395375</v>
      </c>
      <c r="F3656" s="0" t="n">
        <f aca="false">C3656/SUM($A3656:$C3656)</f>
        <v>0.51507363042013</v>
      </c>
      <c r="G3656" s="0" t="n">
        <f aca="false">SUMPRODUCT(D3656:F3656,Stats!$B$6:$D$6)</f>
        <v>0.354046444229926</v>
      </c>
      <c r="H3656" s="0" t="n">
        <f aca="false">SQRT(SUMPRODUCT(MMULT(D3656:F3656,Stats!$B$12:$D$14),D3656:F3656))</f>
        <v>0.228973799778959</v>
      </c>
      <c r="I3656" s="0" t="n">
        <f aca="false">(G3656-Stats!$B$2)/H3656</f>
        <v>1.36280414847096</v>
      </c>
    </row>
    <row r="3657" customFormat="false" ht="15" hidden="false" customHeight="false" outlineLevel="0" collapsed="false">
      <c r="A3657" s="0" t="n">
        <v>0.165877924662536</v>
      </c>
      <c r="B3657" s="0" t="n">
        <v>0.149508639520696</v>
      </c>
      <c r="C3657" s="0" t="n">
        <v>0.576909535322751</v>
      </c>
      <c r="D3657" s="0" t="n">
        <f aca="false">A3657/SUM($A3657:$C3657)</f>
        <v>0.185900089392269</v>
      </c>
      <c r="E3657" s="0" t="n">
        <f aca="false">B3657/SUM($A3657:$C3657)</f>
        <v>0.167554962532584</v>
      </c>
      <c r="F3657" s="0" t="n">
        <f aca="false">C3657/SUM($A3657:$C3657)</f>
        <v>0.646544948075146</v>
      </c>
      <c r="G3657" s="0" t="n">
        <f aca="false">SUMPRODUCT(D3657:F3657,Stats!$B$6:$D$6)</f>
        <v>0.348296371869397</v>
      </c>
      <c r="H3657" s="0" t="n">
        <f aca="false">SQRT(SUMPRODUCT(MMULT(D3657:F3657,Stats!$B$12:$D$14),D3657:F3657))</f>
        <v>0.235524017071255</v>
      </c>
      <c r="I3657" s="0" t="n">
        <f aca="false">(G3657-Stats!$B$2)/H3657</f>
        <v>1.30048890842725</v>
      </c>
    </row>
    <row r="3658" customFormat="false" ht="15" hidden="false" customHeight="false" outlineLevel="0" collapsed="false">
      <c r="A3658" s="0" t="n">
        <v>0.657494229984942</v>
      </c>
      <c r="B3658" s="0" t="n">
        <v>0.194619254324565</v>
      </c>
      <c r="C3658" s="0" t="n">
        <v>0.390717442254624</v>
      </c>
      <c r="D3658" s="0" t="n">
        <f aca="false">A3658/SUM($A3658:$C3658)</f>
        <v>0.529029505085312</v>
      </c>
      <c r="E3658" s="0" t="n">
        <f aca="false">B3658/SUM($A3658:$C3658)</f>
        <v>0.156593507744935</v>
      </c>
      <c r="F3658" s="0" t="n">
        <f aca="false">C3658/SUM($A3658:$C3658)</f>
        <v>0.314376987169753</v>
      </c>
      <c r="G3658" s="0" t="n">
        <f aca="false">SUMPRODUCT(D3658:F3658,Stats!$B$6:$D$6)</f>
        <v>0.3568250677115</v>
      </c>
      <c r="H3658" s="0" t="n">
        <f aca="false">SQRT(SUMPRODUCT(MMULT(D3658:F3658,Stats!$B$12:$D$14),D3658:F3658))</f>
        <v>0.221832460749496</v>
      </c>
      <c r="I3658" s="0" t="n">
        <f aca="false">(G3658-Stats!$B$2)/H3658</f>
        <v>1.41920198084543</v>
      </c>
    </row>
    <row r="3659" customFormat="false" ht="15" hidden="false" customHeight="false" outlineLevel="0" collapsed="false">
      <c r="A3659" s="0" t="n">
        <v>0.946563842978744</v>
      </c>
      <c r="B3659" s="0" t="n">
        <v>0.246617422690674</v>
      </c>
      <c r="C3659" s="0" t="n">
        <v>0.668360702117394</v>
      </c>
      <c r="D3659" s="0" t="n">
        <f aca="false">A3659/SUM($A3659:$C3659)</f>
        <v>0.508483751297917</v>
      </c>
      <c r="E3659" s="0" t="n">
        <f aca="false">B3659/SUM($A3659:$C3659)</f>
        <v>0.132480184147488</v>
      </c>
      <c r="F3659" s="0" t="n">
        <f aca="false">C3659/SUM($A3659:$C3659)</f>
        <v>0.359036064554595</v>
      </c>
      <c r="G3659" s="0" t="n">
        <f aca="false">SUMPRODUCT(D3659:F3659,Stats!$B$6:$D$6)</f>
        <v>0.354206161398864</v>
      </c>
      <c r="H3659" s="0" t="n">
        <f aca="false">SQRT(SUMPRODUCT(MMULT(D3659:F3659,Stats!$B$12:$D$14),D3659:F3659))</f>
        <v>0.222034531111179</v>
      </c>
      <c r="I3659" s="0" t="n">
        <f aca="false">(G3659-Stats!$B$2)/H3659</f>
        <v>1.40611534537632</v>
      </c>
    </row>
    <row r="3660" customFormat="false" ht="15" hidden="false" customHeight="false" outlineLevel="0" collapsed="false">
      <c r="A3660" s="0" t="n">
        <v>0.740149393697591</v>
      </c>
      <c r="B3660" s="0" t="n">
        <v>0.44812869946516</v>
      </c>
      <c r="C3660" s="0" t="n">
        <v>0.937525986759583</v>
      </c>
      <c r="D3660" s="0" t="n">
        <f aca="false">A3660/SUM($A3660:$C3660)</f>
        <v>0.34817385133847</v>
      </c>
      <c r="E3660" s="0" t="n">
        <f aca="false">B3660/SUM($A3660:$C3660)</f>
        <v>0.210804327500177</v>
      </c>
      <c r="F3660" s="0" t="n">
        <f aca="false">C3660/SUM($A3660:$C3660)</f>
        <v>0.441021821161354</v>
      </c>
      <c r="G3660" s="0" t="n">
        <f aca="false">SUMPRODUCT(D3660:F3660,Stats!$B$6:$D$6)</f>
        <v>0.356452105529371</v>
      </c>
      <c r="H3660" s="0" t="n">
        <f aca="false">SQRT(SUMPRODUCT(MMULT(D3660:F3660,Stats!$B$12:$D$14),D3660:F3660))</f>
        <v>0.225892889851139</v>
      </c>
      <c r="I3660" s="0" t="n">
        <f aca="false">(G3660-Stats!$B$2)/H3660</f>
        <v>1.39204073991258</v>
      </c>
    </row>
    <row r="3661" customFormat="false" ht="15" hidden="false" customHeight="false" outlineLevel="0" collapsed="false">
      <c r="A3661" s="0" t="n">
        <v>0.736656735218791</v>
      </c>
      <c r="B3661" s="0" t="n">
        <v>0.457924579860898</v>
      </c>
      <c r="C3661" s="0" t="n">
        <v>0.569335201776094</v>
      </c>
      <c r="D3661" s="0" t="n">
        <f aca="false">A3661/SUM($A3661:$C3661)</f>
        <v>0.417625623536819</v>
      </c>
      <c r="E3661" s="0" t="n">
        <f aca="false">B3661/SUM($A3661:$C3661)</f>
        <v>0.259606719187118</v>
      </c>
      <c r="F3661" s="0" t="n">
        <f aca="false">C3661/SUM($A3661:$C3661)</f>
        <v>0.322767657276063</v>
      </c>
      <c r="G3661" s="0" t="n">
        <f aca="false">SUMPRODUCT(D3661:F3661,Stats!$B$6:$D$6)</f>
        <v>0.362520945069532</v>
      </c>
      <c r="H3661" s="0" t="n">
        <f aca="false">SQRT(SUMPRODUCT(MMULT(D3661:F3661,Stats!$B$12:$D$14),D3661:F3661))</f>
        <v>0.223843951068204</v>
      </c>
      <c r="I3661" s="0" t="n">
        <f aca="false">(G3661-Stats!$B$2)/H3661</f>
        <v>1.43189460130585</v>
      </c>
    </row>
    <row r="3662" customFormat="false" ht="15" hidden="false" customHeight="false" outlineLevel="0" collapsed="false">
      <c r="A3662" s="0" t="n">
        <v>0.692613443425101</v>
      </c>
      <c r="B3662" s="0" t="n">
        <v>0.592190180429218</v>
      </c>
      <c r="C3662" s="0" t="n">
        <v>0.878697583826076</v>
      </c>
      <c r="D3662" s="0" t="n">
        <f aca="false">A3662/SUM($A3662:$C3662)</f>
        <v>0.320135454958996</v>
      </c>
      <c r="E3662" s="0" t="n">
        <f aca="false">B3662/SUM($A3662:$C3662)</f>
        <v>0.273718442276322</v>
      </c>
      <c r="F3662" s="0" t="n">
        <f aca="false">C3662/SUM($A3662:$C3662)</f>
        <v>0.406146102764682</v>
      </c>
      <c r="G3662" s="0" t="n">
        <f aca="false">SUMPRODUCT(D3662:F3662,Stats!$B$6:$D$6)</f>
        <v>0.361033786786327</v>
      </c>
      <c r="H3662" s="0" t="n">
        <f aca="false">SQRT(SUMPRODUCT(MMULT(D3662:F3662,Stats!$B$12:$D$14),D3662:F3662))</f>
        <v>0.226632621394856</v>
      </c>
      <c r="I3662" s="0" t="n">
        <f aca="false">(G3662-Stats!$B$2)/H3662</f>
        <v>1.40771343870432</v>
      </c>
    </row>
    <row r="3663" customFormat="false" ht="15" hidden="false" customHeight="false" outlineLevel="0" collapsed="false">
      <c r="A3663" s="0" t="n">
        <v>0.356888662280401</v>
      </c>
      <c r="B3663" s="0" t="n">
        <v>0.299885740055805</v>
      </c>
      <c r="C3663" s="0" t="n">
        <v>0.213838889495264</v>
      </c>
      <c r="D3663" s="0" t="n">
        <f aca="false">A3663/SUM($A3663:$C3663)</f>
        <v>0.409927881447377</v>
      </c>
      <c r="E3663" s="0" t="n">
        <f aca="false">B3663/SUM($A3663:$C3663)</f>
        <v>0.344453436295406</v>
      </c>
      <c r="F3663" s="0" t="n">
        <f aca="false">C3663/SUM($A3663:$C3663)</f>
        <v>0.245618682257218</v>
      </c>
      <c r="G3663" s="0" t="n">
        <f aca="false">SUMPRODUCT(D3663:F3663,Stats!$B$6:$D$6)</f>
        <v>0.369530268670075</v>
      </c>
      <c r="H3663" s="0" t="n">
        <f aca="false">SQRT(SUMPRODUCT(MMULT(D3663:F3663,Stats!$B$12:$D$14),D3663:F3663))</f>
        <v>0.224843381345863</v>
      </c>
      <c r="I3663" s="0" t="n">
        <f aca="false">(G3663-Stats!$B$2)/H3663</f>
        <v>1.45670406978205</v>
      </c>
    </row>
    <row r="3664" customFormat="false" ht="15" hidden="false" customHeight="false" outlineLevel="0" collapsed="false">
      <c r="A3664" s="0" t="n">
        <v>0.0377829680645951</v>
      </c>
      <c r="B3664" s="0" t="n">
        <v>0.0430139643800553</v>
      </c>
      <c r="C3664" s="0" t="n">
        <v>0.870055193109283</v>
      </c>
      <c r="D3664" s="0" t="n">
        <f aca="false">A3664/SUM($A3664:$C3664)</f>
        <v>0.0397359032484511</v>
      </c>
      <c r="E3664" s="0" t="n">
        <f aca="false">B3664/SUM($A3664:$C3664)</f>
        <v>0.0452372805655737</v>
      </c>
      <c r="F3664" s="0" t="n">
        <f aca="false">C3664/SUM($A3664:$C3664)</f>
        <v>0.915026816185975</v>
      </c>
      <c r="G3664" s="0" t="n">
        <f aca="false">SUMPRODUCT(D3664:F3664,Stats!$B$6:$D$6)</f>
        <v>0.333855086512092</v>
      </c>
      <c r="H3664" s="0" t="n">
        <f aca="false">SQRT(SUMPRODUCT(MMULT(D3664:F3664,Stats!$B$12:$D$14),D3664:F3664))</f>
        <v>0.253138944653158</v>
      </c>
      <c r="I3664" s="0" t="n">
        <f aca="false">(G3664-Stats!$B$2)/H3664</f>
        <v>1.15294423349983</v>
      </c>
    </row>
    <row r="3665" customFormat="false" ht="15" hidden="false" customHeight="false" outlineLevel="0" collapsed="false">
      <c r="A3665" s="0" t="n">
        <v>0.678393146405907</v>
      </c>
      <c r="B3665" s="0" t="n">
        <v>0.660532415436486</v>
      </c>
      <c r="C3665" s="0" t="n">
        <v>0.614642818934886</v>
      </c>
      <c r="D3665" s="0" t="n">
        <f aca="false">A3665/SUM($A3665:$C3665)</f>
        <v>0.347258459484275</v>
      </c>
      <c r="E3665" s="0" t="n">
        <f aca="false">B3665/SUM($A3665:$C3665)</f>
        <v>0.338115840702579</v>
      </c>
      <c r="F3665" s="0" t="n">
        <f aca="false">C3665/SUM($A3665:$C3665)</f>
        <v>0.314625699813146</v>
      </c>
      <c r="G3665" s="0" t="n">
        <f aca="false">SUMPRODUCT(D3665:F3665,Stats!$B$6:$D$6)</f>
        <v>0.367262769654643</v>
      </c>
      <c r="H3665" s="0" t="n">
        <f aca="false">SQRT(SUMPRODUCT(MMULT(D3665:F3665,Stats!$B$12:$D$14),D3665:F3665))</f>
        <v>0.225968598905182</v>
      </c>
      <c r="I3665" s="0" t="n">
        <f aca="false">(G3665-Stats!$B$2)/H3665</f>
        <v>1.43941579153272</v>
      </c>
    </row>
    <row r="3666" customFormat="false" ht="15" hidden="false" customHeight="false" outlineLevel="0" collapsed="false">
      <c r="A3666" s="0" t="n">
        <v>0.849219144694105</v>
      </c>
      <c r="B3666" s="0" t="n">
        <v>0.480266925665628</v>
      </c>
      <c r="C3666" s="0" t="n">
        <v>0.8704108285583</v>
      </c>
      <c r="D3666" s="0" t="n">
        <f aca="false">A3666/SUM($A3666:$C3666)</f>
        <v>0.386026792942784</v>
      </c>
      <c r="E3666" s="0" t="n">
        <f aca="false">B3666/SUM($A3666:$C3666)</f>
        <v>0.218313379096009</v>
      </c>
      <c r="F3666" s="0" t="n">
        <f aca="false">C3666/SUM($A3666:$C3666)</f>
        <v>0.395659827961206</v>
      </c>
      <c r="G3666" s="0" t="n">
        <f aca="false">SUMPRODUCT(D3666:F3666,Stats!$B$6:$D$6)</f>
        <v>0.358135006154774</v>
      </c>
      <c r="H3666" s="0" t="n">
        <f aca="false">SQRT(SUMPRODUCT(MMULT(D3666:F3666,Stats!$B$12:$D$14),D3666:F3666))</f>
        <v>0.224572573885258</v>
      </c>
      <c r="I3666" s="0" t="n">
        <f aca="false">(G3666-Stats!$B$2)/H3666</f>
        <v>1.40771867501639</v>
      </c>
    </row>
    <row r="3667" customFormat="false" ht="15" hidden="false" customHeight="false" outlineLevel="0" collapsed="false">
      <c r="A3667" s="0" t="n">
        <v>0.359445026182239</v>
      </c>
      <c r="B3667" s="0" t="n">
        <v>0.926707504339091</v>
      </c>
      <c r="C3667" s="0" t="n">
        <v>0.69865698008124</v>
      </c>
      <c r="D3667" s="0" t="n">
        <f aca="false">A3667/SUM($A3667:$C3667)</f>
        <v>0.181097996690431</v>
      </c>
      <c r="E3667" s="0" t="n">
        <f aca="false">B3667/SUM($A3667:$C3667)</f>
        <v>0.466899971704464</v>
      </c>
      <c r="F3667" s="0" t="n">
        <f aca="false">C3667/SUM($A3667:$C3667)</f>
        <v>0.352002031605106</v>
      </c>
      <c r="G3667" s="0" t="n">
        <f aca="false">SUMPRODUCT(D3667:F3667,Stats!$B$6:$D$6)</f>
        <v>0.373642203896982</v>
      </c>
      <c r="H3667" s="0" t="n">
        <f aca="false">SQRT(SUMPRODUCT(MMULT(D3667:F3667,Stats!$B$12:$D$14),D3667:F3667))</f>
        <v>0.232776801090684</v>
      </c>
      <c r="I3667" s="0" t="n">
        <f aca="false">(G3667-Stats!$B$2)/H3667</f>
        <v>1.42472188956571</v>
      </c>
    </row>
    <row r="3668" customFormat="false" ht="15" hidden="false" customHeight="false" outlineLevel="0" collapsed="false">
      <c r="A3668" s="0" t="n">
        <v>0.257177136024427</v>
      </c>
      <c r="B3668" s="0" t="n">
        <v>0.564084921688625</v>
      </c>
      <c r="C3668" s="0" t="n">
        <v>0.533030561488256</v>
      </c>
      <c r="D3668" s="0" t="n">
        <f aca="false">A3668/SUM($A3668:$C3668)</f>
        <v>0.189897760925624</v>
      </c>
      <c r="E3668" s="0" t="n">
        <f aca="false">B3668/SUM($A3668:$C3668)</f>
        <v>0.416516278454868</v>
      </c>
      <c r="F3668" s="0" t="n">
        <f aca="false">C3668/SUM($A3668:$C3668)</f>
        <v>0.393585960619507</v>
      </c>
      <c r="G3668" s="0" t="n">
        <f aca="false">SUMPRODUCT(D3668:F3668,Stats!$B$6:$D$6)</f>
        <v>0.369596530549186</v>
      </c>
      <c r="H3668" s="0" t="n">
        <f aca="false">SQRT(SUMPRODUCT(MMULT(D3668:F3668,Stats!$B$12:$D$14),D3668:F3668))</f>
        <v>0.232127340459612</v>
      </c>
      <c r="I3668" s="0" t="n">
        <f aca="false">(G3668-Stats!$B$2)/H3668</f>
        <v>1.41127938613584</v>
      </c>
    </row>
    <row r="3669" customFormat="false" ht="15" hidden="false" customHeight="false" outlineLevel="0" collapsed="false">
      <c r="A3669" s="0" t="n">
        <v>0.137898821730334</v>
      </c>
      <c r="B3669" s="0" t="n">
        <v>0.591242905750614</v>
      </c>
      <c r="C3669" s="0" t="n">
        <v>0.314785623716958</v>
      </c>
      <c r="D3669" s="0" t="n">
        <f aca="false">A3669/SUM($A3669:$C3669)</f>
        <v>0.132096186168602</v>
      </c>
      <c r="E3669" s="0" t="n">
        <f aca="false">B3669/SUM($A3669:$C3669)</f>
        <v>0.566364033926464</v>
      </c>
      <c r="F3669" s="0" t="n">
        <f aca="false">C3669/SUM($A3669:$C3669)</f>
        <v>0.301539779904935</v>
      </c>
      <c r="G3669" s="0" t="n">
        <f aca="false">SUMPRODUCT(D3669:F3669,Stats!$B$6:$D$6)</f>
        <v>0.380756714485249</v>
      </c>
      <c r="H3669" s="0" t="n">
        <f aca="false">SQRT(SUMPRODUCT(MMULT(D3669:F3669,Stats!$B$12:$D$14),D3669:F3669))</f>
        <v>0.236012924312265</v>
      </c>
      <c r="I3669" s="0" t="n">
        <f aca="false">(G3669-Stats!$B$2)/H3669</f>
        <v>1.43533120261264</v>
      </c>
    </row>
    <row r="3670" customFormat="false" ht="15" hidden="false" customHeight="false" outlineLevel="0" collapsed="false">
      <c r="A3670" s="0" t="n">
        <v>0.0523487668096024</v>
      </c>
      <c r="B3670" s="0" t="n">
        <v>0.948656157706565</v>
      </c>
      <c r="C3670" s="0" t="n">
        <v>0.641490369064288</v>
      </c>
      <c r="D3670" s="0" t="n">
        <f aca="false">A3670/SUM($A3670:$C3670)</f>
        <v>0.0318714866424293</v>
      </c>
      <c r="E3670" s="0" t="n">
        <f aca="false">B3670/SUM($A3670:$C3670)</f>
        <v>0.577570091929214</v>
      </c>
      <c r="F3670" s="0" t="n">
        <f aca="false">C3670/SUM($A3670:$C3670)</f>
        <v>0.390558421428357</v>
      </c>
      <c r="G3670" s="0" t="n">
        <f aca="false">SUMPRODUCT(D3670:F3670,Stats!$B$6:$D$6)</f>
        <v>0.378946841757372</v>
      </c>
      <c r="H3670" s="0" t="n">
        <f aca="false">SQRT(SUMPRODUCT(MMULT(D3670:F3670,Stats!$B$12:$D$14),D3670:F3670))</f>
        <v>0.241292625570206</v>
      </c>
      <c r="I3670" s="0" t="n">
        <f aca="false">(G3670-Stats!$B$2)/H3670</f>
        <v>1.39642411765019</v>
      </c>
    </row>
    <row r="3671" customFormat="false" ht="15" hidden="false" customHeight="false" outlineLevel="0" collapsed="false">
      <c r="A3671" s="0" t="n">
        <v>0.876918931870847</v>
      </c>
      <c r="B3671" s="0" t="n">
        <v>0.676056005013253</v>
      </c>
      <c r="C3671" s="0" t="n">
        <v>0.356983692140113</v>
      </c>
      <c r="D3671" s="0" t="n">
        <f aca="false">A3671/SUM($A3671:$C3671)</f>
        <v>0.459129804460142</v>
      </c>
      <c r="E3671" s="0" t="n">
        <f aca="false">B3671/SUM($A3671:$C3671)</f>
        <v>0.353963690490326</v>
      </c>
      <c r="F3671" s="0" t="n">
        <f aca="false">C3671/SUM($A3671:$C3671)</f>
        <v>0.186906505049533</v>
      </c>
      <c r="G3671" s="0" t="n">
        <f aca="false">SUMPRODUCT(D3671:F3671,Stats!$B$6:$D$6)</f>
        <v>0.371696442092181</v>
      </c>
      <c r="H3671" s="0" t="n">
        <f aca="false">SQRT(SUMPRODUCT(MMULT(D3671:F3671,Stats!$B$12:$D$14),D3671:F3671))</f>
        <v>0.22465107655009</v>
      </c>
      <c r="I3671" s="0" t="n">
        <f aca="false">(G3671-Stats!$B$2)/H3671</f>
        <v>1.46759342156399</v>
      </c>
    </row>
    <row r="3672" customFormat="false" ht="15" hidden="false" customHeight="false" outlineLevel="0" collapsed="false">
      <c r="A3672" s="0" t="n">
        <v>0.512688072328811</v>
      </c>
      <c r="B3672" s="0" t="n">
        <v>0.675746760347177</v>
      </c>
      <c r="C3672" s="0" t="n">
        <v>0.960252325201438</v>
      </c>
      <c r="D3672" s="0" t="n">
        <f aca="false">A3672/SUM($A3672:$C3672)</f>
        <v>0.238605266685388</v>
      </c>
      <c r="E3672" s="0" t="n">
        <f aca="false">B3672/SUM($A3672:$C3672)</f>
        <v>0.314492855728105</v>
      </c>
      <c r="F3672" s="0" t="n">
        <f aca="false">C3672/SUM($A3672:$C3672)</f>
        <v>0.446901877586507</v>
      </c>
      <c r="G3672" s="0" t="n">
        <f aca="false">SUMPRODUCT(D3672:F3672,Stats!$B$6:$D$6)</f>
        <v>0.362256068947835</v>
      </c>
      <c r="H3672" s="0" t="n">
        <f aca="false">SQRT(SUMPRODUCT(MMULT(D3672:F3672,Stats!$B$12:$D$14),D3672:F3672))</f>
        <v>0.229952221927061</v>
      </c>
      <c r="I3672" s="0" t="n">
        <f aca="false">(G3672-Stats!$B$2)/H3672</f>
        <v>1.39270699914967</v>
      </c>
    </row>
    <row r="3673" customFormat="false" ht="15" hidden="false" customHeight="false" outlineLevel="0" collapsed="false">
      <c r="A3673" s="0" t="n">
        <v>0.253669459121697</v>
      </c>
      <c r="B3673" s="0" t="n">
        <v>0.874977058624118</v>
      </c>
      <c r="C3673" s="0" t="n">
        <v>0.924077805294269</v>
      </c>
      <c r="D3673" s="0" t="n">
        <f aca="false">A3673/SUM($A3673:$C3673)</f>
        <v>0.123576973427202</v>
      </c>
      <c r="E3673" s="0" t="n">
        <f aca="false">B3673/SUM($A3673:$C3673)</f>
        <v>0.426251615379252</v>
      </c>
      <c r="F3673" s="0" t="n">
        <f aca="false">C3673/SUM($A3673:$C3673)</f>
        <v>0.450171411193545</v>
      </c>
      <c r="G3673" s="0" t="n">
        <f aca="false">SUMPRODUCT(D3673:F3673,Stats!$B$6:$D$6)</f>
        <v>0.368596367199945</v>
      </c>
      <c r="H3673" s="0" t="n">
        <f aca="false">SQRT(SUMPRODUCT(MMULT(D3673:F3673,Stats!$B$12:$D$14),D3673:F3673))</f>
        <v>0.235621675827347</v>
      </c>
      <c r="I3673" s="0" t="n">
        <f aca="false">(G3673-Stats!$B$2)/H3673</f>
        <v>1.38610493305913</v>
      </c>
    </row>
    <row r="3674" customFormat="false" ht="15" hidden="false" customHeight="false" outlineLevel="0" collapsed="false">
      <c r="A3674" s="0" t="n">
        <v>0.670415514658957</v>
      </c>
      <c r="B3674" s="0" t="n">
        <v>0.931266627401338</v>
      </c>
      <c r="C3674" s="0" t="n">
        <v>0.397878587477369</v>
      </c>
      <c r="D3674" s="0" t="n">
        <f aca="false">A3674/SUM($A3674:$C3674)</f>
        <v>0.335281396936601</v>
      </c>
      <c r="E3674" s="0" t="n">
        <f aca="false">B3674/SUM($A3674:$C3674)</f>
        <v>0.465735605648079</v>
      </c>
      <c r="F3674" s="0" t="n">
        <f aca="false">C3674/SUM($A3674:$C3674)</f>
        <v>0.19898299741532</v>
      </c>
      <c r="G3674" s="0" t="n">
        <f aca="false">SUMPRODUCT(D3674:F3674,Stats!$B$6:$D$6)</f>
        <v>0.377794648794676</v>
      </c>
      <c r="H3674" s="0" t="n">
        <f aca="false">SQRT(SUMPRODUCT(MMULT(D3674:F3674,Stats!$B$12:$D$14),D3674:F3674))</f>
        <v>0.228171737360687</v>
      </c>
      <c r="I3674" s="0" t="n">
        <f aca="false">(G3674-Stats!$B$2)/H3674</f>
        <v>1.47167503161823</v>
      </c>
    </row>
    <row r="3675" customFormat="false" ht="15" hidden="false" customHeight="false" outlineLevel="0" collapsed="false">
      <c r="A3675" s="0" t="n">
        <v>0.953016176040443</v>
      </c>
      <c r="B3675" s="0" t="n">
        <v>0.702782877165975</v>
      </c>
      <c r="C3675" s="0" t="n">
        <v>0.0420057674188119</v>
      </c>
      <c r="D3675" s="0" t="n">
        <f aca="false">A3675/SUM($A3675:$C3675)</f>
        <v>0.56132257634272</v>
      </c>
      <c r="E3675" s="0" t="n">
        <f aca="false">B3675/SUM($A3675:$C3675)</f>
        <v>0.413936200809684</v>
      </c>
      <c r="F3675" s="0" t="n">
        <f aca="false">C3675/SUM($A3675:$C3675)</f>
        <v>0.0247412228475962</v>
      </c>
      <c r="G3675" s="0" t="n">
        <f aca="false">SUMPRODUCT(D3675:F3675,Stats!$B$6:$D$6)</f>
        <v>0.379618827999727</v>
      </c>
      <c r="H3675" s="0" t="n">
        <f aca="false">SQRT(SUMPRODUCT(MMULT(D3675:F3675,Stats!$B$12:$D$14),D3675:F3675))</f>
        <v>0.227540092457555</v>
      </c>
      <c r="I3675" s="0" t="n">
        <f aca="false">(G3675-Stats!$B$2)/H3675</f>
        <v>1.48377731745321</v>
      </c>
    </row>
    <row r="3676" customFormat="false" ht="15" hidden="false" customHeight="false" outlineLevel="0" collapsed="false">
      <c r="A3676" s="0" t="n">
        <v>0.906872831819053</v>
      </c>
      <c r="B3676" s="0" t="n">
        <v>0.484472809033193</v>
      </c>
      <c r="C3676" s="0" t="n">
        <v>0.460326984777833</v>
      </c>
      <c r="D3676" s="0" t="n">
        <f aca="false">A3676/SUM($A3676:$C3676)</f>
        <v>0.48975872908985</v>
      </c>
      <c r="E3676" s="0" t="n">
        <f aca="false">B3676/SUM($A3676:$C3676)</f>
        <v>0.261640639024049</v>
      </c>
      <c r="F3676" s="0" t="n">
        <f aca="false">C3676/SUM($A3676:$C3676)</f>
        <v>0.248600631886101</v>
      </c>
      <c r="G3676" s="0" t="n">
        <f aca="false">SUMPRODUCT(D3676:F3676,Stats!$B$6:$D$6)</f>
        <v>0.364683101383489</v>
      </c>
      <c r="H3676" s="0" t="n">
        <f aca="false">SQRT(SUMPRODUCT(MMULT(D3676:F3676,Stats!$B$12:$D$14),D3676:F3676))</f>
        <v>0.222963493086545</v>
      </c>
      <c r="I3676" s="0" t="n">
        <f aca="false">(G3676-Stats!$B$2)/H3676</f>
        <v>1.44724634924085</v>
      </c>
    </row>
    <row r="3677" customFormat="false" ht="15" hidden="false" customHeight="false" outlineLevel="0" collapsed="false">
      <c r="A3677" s="0" t="n">
        <v>0.566466605979634</v>
      </c>
      <c r="B3677" s="0" t="n">
        <v>0.149384546771228</v>
      </c>
      <c r="C3677" s="0" t="n">
        <v>0.469166048567399</v>
      </c>
      <c r="D3677" s="0" t="n">
        <f aca="false">A3677/SUM($A3677:$C3677)</f>
        <v>0.478023952183541</v>
      </c>
      <c r="E3677" s="0" t="n">
        <f aca="false">B3677/SUM($A3677:$C3677)</f>
        <v>0.126061078780162</v>
      </c>
      <c r="F3677" s="0" t="n">
        <f aca="false">C3677/SUM($A3677:$C3677)</f>
        <v>0.395914969036297</v>
      </c>
      <c r="G3677" s="0" t="n">
        <f aca="false">SUMPRODUCT(D3677:F3677,Stats!$B$6:$D$6)</f>
        <v>0.352819892777403</v>
      </c>
      <c r="H3677" s="0" t="n">
        <f aca="false">SQRT(SUMPRODUCT(MMULT(D3677:F3677,Stats!$B$12:$D$14),D3677:F3677))</f>
        <v>0.222596605260847</v>
      </c>
      <c r="I3677" s="0" t="n">
        <f aca="false">(G3677-Stats!$B$2)/H3677</f>
        <v>1.39633707537081</v>
      </c>
    </row>
    <row r="3678" customFormat="false" ht="15" hidden="false" customHeight="false" outlineLevel="0" collapsed="false">
      <c r="A3678" s="0" t="n">
        <v>0.831127216717746</v>
      </c>
      <c r="B3678" s="0" t="n">
        <v>0.0154824591375153</v>
      </c>
      <c r="C3678" s="0" t="n">
        <v>0.272917160324371</v>
      </c>
      <c r="D3678" s="0" t="n">
        <f aca="false">A3678/SUM($A3678:$C3678)</f>
        <v>0.742391508500104</v>
      </c>
      <c r="E3678" s="0" t="n">
        <f aca="false">B3678/SUM($A3678:$C3678)</f>
        <v>0.0138294667328824</v>
      </c>
      <c r="F3678" s="0" t="n">
        <f aca="false">C3678/SUM($A3678:$C3678)</f>
        <v>0.243779024767014</v>
      </c>
      <c r="G3678" s="0" t="n">
        <f aca="false">SUMPRODUCT(D3678:F3678,Stats!$B$6:$D$6)</f>
        <v>0.350557321227401</v>
      </c>
      <c r="H3678" s="0" t="n">
        <f aca="false">SQRT(SUMPRODUCT(MMULT(D3678:F3678,Stats!$B$12:$D$14),D3678:F3678))</f>
        <v>0.222373730970663</v>
      </c>
      <c r="I3678" s="0" t="n">
        <f aca="false">(G3678-Stats!$B$2)/H3678</f>
        <v>1.38756192055845</v>
      </c>
    </row>
    <row r="3679" customFormat="false" ht="15" hidden="false" customHeight="false" outlineLevel="0" collapsed="false">
      <c r="A3679" s="0" t="n">
        <v>0.00245458644384422</v>
      </c>
      <c r="B3679" s="0" t="n">
        <v>0.415711309149848</v>
      </c>
      <c r="C3679" s="0" t="n">
        <v>0.728315510493735</v>
      </c>
      <c r="D3679" s="0" t="n">
        <f aca="false">A3679/SUM($A3679:$C3679)</f>
        <v>0.00214097361789838</v>
      </c>
      <c r="E3679" s="0" t="n">
        <f aca="false">B3679/SUM($A3679:$C3679)</f>
        <v>0.362597515269382</v>
      </c>
      <c r="F3679" s="0" t="n">
        <f aca="false">C3679/SUM($A3679:$C3679)</f>
        <v>0.63526151111272</v>
      </c>
      <c r="G3679" s="0" t="n">
        <f aca="false">SUMPRODUCT(D3679:F3679,Stats!$B$6:$D$6)</f>
        <v>0.359830004349637</v>
      </c>
      <c r="H3679" s="0" t="n">
        <f aca="false">SQRT(SUMPRODUCT(MMULT(D3679:F3679,Stats!$B$12:$D$14),D3679:F3679))</f>
        <v>0.245013798595462</v>
      </c>
      <c r="I3679" s="0" t="n">
        <f aca="false">(G3679-Stats!$B$2)/H3679</f>
        <v>1.2971922649728</v>
      </c>
    </row>
    <row r="3680" customFormat="false" ht="15" hidden="false" customHeight="false" outlineLevel="0" collapsed="false">
      <c r="A3680" s="0" t="n">
        <v>0.798771829114629</v>
      </c>
      <c r="B3680" s="0" t="n">
        <v>0.945189761127007</v>
      </c>
      <c r="C3680" s="0" t="n">
        <v>0.608504612970787</v>
      </c>
      <c r="D3680" s="0" t="n">
        <f aca="false">A3680/SUM($A3680:$C3680)</f>
        <v>0.339546569478389</v>
      </c>
      <c r="E3680" s="0" t="n">
        <f aca="false">B3680/SUM($A3680:$C3680)</f>
        <v>0.401786754613647</v>
      </c>
      <c r="F3680" s="0" t="n">
        <f aca="false">C3680/SUM($A3680:$C3680)</f>
        <v>0.258666675907964</v>
      </c>
      <c r="G3680" s="0" t="n">
        <f aca="false">SUMPRODUCT(D3680:F3680,Stats!$B$6:$D$6)</f>
        <v>0.372469360194648</v>
      </c>
      <c r="H3680" s="0" t="n">
        <f aca="false">SQRT(SUMPRODUCT(MMULT(D3680:F3680,Stats!$B$12:$D$14),D3680:F3680))</f>
        <v>0.226890319550408</v>
      </c>
      <c r="I3680" s="0" t="n">
        <f aca="false">(G3680-Stats!$B$2)/H3680</f>
        <v>1.45651590975536</v>
      </c>
    </row>
    <row r="3681" customFormat="false" ht="15" hidden="false" customHeight="false" outlineLevel="0" collapsed="false">
      <c r="A3681" s="0" t="n">
        <v>0.254626866652896</v>
      </c>
      <c r="B3681" s="0" t="n">
        <v>0.924147949136699</v>
      </c>
      <c r="C3681" s="0" t="n">
        <v>0.775315753880376</v>
      </c>
      <c r="D3681" s="0" t="n">
        <f aca="false">A3681/SUM($A3681:$C3681)</f>
        <v>0.130304536854656</v>
      </c>
      <c r="E3681" s="0" t="n">
        <f aca="false">B3681/SUM($A3681:$C3681)</f>
        <v>0.472929946789918</v>
      </c>
      <c r="F3681" s="0" t="n">
        <f aca="false">C3681/SUM($A3681:$C3681)</f>
        <v>0.396765516355427</v>
      </c>
      <c r="G3681" s="0" t="n">
        <f aca="false">SUMPRODUCT(D3681:F3681,Stats!$B$6:$D$6)</f>
        <v>0.372754824983906</v>
      </c>
      <c r="H3681" s="0" t="n">
        <f aca="false">SQRT(SUMPRODUCT(MMULT(D3681:F3681,Stats!$B$12:$D$14),D3681:F3681))</f>
        <v>0.235262525773785</v>
      </c>
      <c r="I3681" s="0" t="n">
        <f aca="false">(G3681-Stats!$B$2)/H3681</f>
        <v>1.40589676956007</v>
      </c>
    </row>
    <row r="3682" customFormat="false" ht="15" hidden="false" customHeight="false" outlineLevel="0" collapsed="false">
      <c r="A3682" s="0" t="n">
        <v>0.574428483003145</v>
      </c>
      <c r="B3682" s="0" t="n">
        <v>0.695640215718936</v>
      </c>
      <c r="C3682" s="0" t="n">
        <v>0.924316355007429</v>
      </c>
      <c r="D3682" s="0" t="n">
        <f aca="false">A3682/SUM($A3682:$C3682)</f>
        <v>0.261771962959219</v>
      </c>
      <c r="E3682" s="0" t="n">
        <f aca="false">B3682/SUM($A3682:$C3682)</f>
        <v>0.31700918420705</v>
      </c>
      <c r="F3682" s="0" t="n">
        <f aca="false">C3682/SUM($A3682:$C3682)</f>
        <v>0.421218852833731</v>
      </c>
      <c r="G3682" s="0" t="n">
        <f aca="false">SUMPRODUCT(D3682:F3682,Stats!$B$6:$D$6)</f>
        <v>0.363109054761041</v>
      </c>
      <c r="H3682" s="0" t="n">
        <f aca="false">SQRT(SUMPRODUCT(MMULT(D3682:F3682,Stats!$B$12:$D$14),D3682:F3682))</f>
        <v>0.228877068520041</v>
      </c>
      <c r="I3682" s="0" t="n">
        <f aca="false">(G3682-Stats!$B$2)/H3682</f>
        <v>1.40297609034137</v>
      </c>
    </row>
    <row r="3683" customFormat="false" ht="15" hidden="false" customHeight="false" outlineLevel="0" collapsed="false">
      <c r="A3683" s="0" t="n">
        <v>0.712394028472922</v>
      </c>
      <c r="B3683" s="0" t="n">
        <v>0.368374507584734</v>
      </c>
      <c r="C3683" s="0" t="n">
        <v>0.713028202289097</v>
      </c>
      <c r="D3683" s="0" t="n">
        <f aca="false">A3683/SUM($A3683:$C3683)</f>
        <v>0.397143117301851</v>
      </c>
      <c r="E3683" s="0" t="n">
        <f aca="false">B3683/SUM($A3683:$C3683)</f>
        <v>0.205360228229786</v>
      </c>
      <c r="F3683" s="0" t="n">
        <f aca="false">C3683/SUM($A3683:$C3683)</f>
        <v>0.397496654468364</v>
      </c>
      <c r="G3683" s="0" t="n">
        <f aca="false">SUMPRODUCT(D3683:F3683,Stats!$B$6:$D$6)</f>
        <v>0.357339048834413</v>
      </c>
      <c r="H3683" s="0" t="n">
        <f aca="false">SQRT(SUMPRODUCT(MMULT(D3683:F3683,Stats!$B$12:$D$14),D3683:F3683))</f>
        <v>0.224285028985003</v>
      </c>
      <c r="I3683" s="0" t="n">
        <f aca="false">(G3683-Stats!$B$2)/H3683</f>
        <v>1.40597457735575</v>
      </c>
    </row>
    <row r="3684" customFormat="false" ht="15" hidden="false" customHeight="false" outlineLevel="0" collapsed="false">
      <c r="A3684" s="0" t="n">
        <v>0.0402781627353879</v>
      </c>
      <c r="B3684" s="0" t="n">
        <v>0.386415561830581</v>
      </c>
      <c r="C3684" s="0" t="n">
        <v>0.406323031845579</v>
      </c>
      <c r="D3684" s="0" t="n">
        <f aca="false">A3684/SUM($A3684:$C3684)</f>
        <v>0.0483521638975154</v>
      </c>
      <c r="E3684" s="0" t="n">
        <f aca="false">B3684/SUM($A3684:$C3684)</f>
        <v>0.463874896700967</v>
      </c>
      <c r="F3684" s="0" t="n">
        <f aca="false">C3684/SUM($A3684:$C3684)</f>
        <v>0.487772939401518</v>
      </c>
      <c r="G3684" s="0" t="n">
        <f aca="false">SUMPRODUCT(D3684:F3684,Stats!$B$6:$D$6)</f>
        <v>0.369724314434309</v>
      </c>
      <c r="H3684" s="0" t="n">
        <f aca="false">SQRT(SUMPRODUCT(MMULT(D3684:F3684,Stats!$B$12:$D$14),D3684:F3684))</f>
        <v>0.240189531877842</v>
      </c>
      <c r="I3684" s="0" t="n">
        <f aca="false">(G3684-Stats!$B$2)/H3684</f>
        <v>1.36444045613523</v>
      </c>
    </row>
    <row r="3685" customFormat="false" ht="15" hidden="false" customHeight="false" outlineLevel="0" collapsed="false">
      <c r="A3685" s="0" t="n">
        <v>0.166838234420835</v>
      </c>
      <c r="B3685" s="0" t="n">
        <v>0.0230854805517702</v>
      </c>
      <c r="C3685" s="0" t="n">
        <v>0.133381236637743</v>
      </c>
      <c r="D3685" s="0" t="n">
        <f aca="false">A3685/SUM($A3685:$C3685)</f>
        <v>0.516039836661428</v>
      </c>
      <c r="E3685" s="0" t="n">
        <f aca="false">B3685/SUM($A3685:$C3685)</f>
        <v>0.0714046612549045</v>
      </c>
      <c r="F3685" s="0" t="n">
        <f aca="false">C3685/SUM($A3685:$C3685)</f>
        <v>0.412555502083667</v>
      </c>
      <c r="G3685" s="0" t="n">
        <f aca="false">SUMPRODUCT(D3685:F3685,Stats!$B$6:$D$6)</f>
        <v>0.349216176954921</v>
      </c>
      <c r="H3685" s="0" t="n">
        <f aca="false">SQRT(SUMPRODUCT(MMULT(D3685:F3685,Stats!$B$12:$D$14),D3685:F3685))</f>
        <v>0.222203022063935</v>
      </c>
      <c r="I3685" s="0" t="n">
        <f aca="false">(G3685-Stats!$B$2)/H3685</f>
        <v>1.38259225325264</v>
      </c>
    </row>
    <row r="3686" customFormat="false" ht="15" hidden="false" customHeight="false" outlineLevel="0" collapsed="false">
      <c r="A3686" s="0" t="n">
        <v>0.654621495797055</v>
      </c>
      <c r="B3686" s="0" t="n">
        <v>0.802288816363688</v>
      </c>
      <c r="C3686" s="0" t="n">
        <v>0.988203492726974</v>
      </c>
      <c r="D3686" s="0" t="n">
        <f aca="false">A3686/SUM($A3686:$C3686)</f>
        <v>0.267726391503121</v>
      </c>
      <c r="E3686" s="0" t="n">
        <f aca="false">B3686/SUM($A3686:$C3686)</f>
        <v>0.328119212594495</v>
      </c>
      <c r="F3686" s="0" t="n">
        <f aca="false">C3686/SUM($A3686:$C3686)</f>
        <v>0.404154395902384</v>
      </c>
      <c r="G3686" s="0" t="n">
        <f aca="false">SUMPRODUCT(D3686:F3686,Stats!$B$6:$D$6)</f>
        <v>0.364218857251573</v>
      </c>
      <c r="H3686" s="0" t="n">
        <f aca="false">SQRT(SUMPRODUCT(MMULT(D3686:F3686,Stats!$B$12:$D$14),D3686:F3686))</f>
        <v>0.228602967666696</v>
      </c>
      <c r="I3686" s="0" t="n">
        <f aca="false">(G3686-Stats!$B$2)/H3686</f>
        <v>1.40951301087818</v>
      </c>
    </row>
    <row r="3687" customFormat="false" ht="15" hidden="false" customHeight="false" outlineLevel="0" collapsed="false">
      <c r="A3687" s="0" t="n">
        <v>0.346363503108494</v>
      </c>
      <c r="B3687" s="0" t="n">
        <v>0.599379222261102</v>
      </c>
      <c r="C3687" s="0" t="n">
        <v>0.937144966815122</v>
      </c>
      <c r="D3687" s="0" t="n">
        <f aca="false">A3687/SUM($A3687:$C3687)</f>
        <v>0.183953352367293</v>
      </c>
      <c r="E3687" s="0" t="n">
        <f aca="false">B3687/SUM($A3687:$C3687)</f>
        <v>0.318329778642103</v>
      </c>
      <c r="F3687" s="0" t="n">
        <f aca="false">C3687/SUM($A3687:$C3687)</f>
        <v>0.497716868990604</v>
      </c>
      <c r="G3687" s="0" t="n">
        <f aca="false">SUMPRODUCT(D3687:F3687,Stats!$B$6:$D$6)</f>
        <v>0.36107563668278</v>
      </c>
      <c r="H3687" s="0" t="n">
        <f aca="false">SQRT(SUMPRODUCT(MMULT(D3687:F3687,Stats!$B$12:$D$14),D3687:F3687))</f>
        <v>0.232815994134452</v>
      </c>
      <c r="I3687" s="0" t="n">
        <f aca="false">(G3687-Stats!$B$2)/H3687</f>
        <v>1.37050565563168</v>
      </c>
    </row>
    <row r="3688" customFormat="false" ht="15" hidden="false" customHeight="false" outlineLevel="0" collapsed="false">
      <c r="A3688" s="0" t="n">
        <v>0.167041781338153</v>
      </c>
      <c r="B3688" s="0" t="n">
        <v>0.717645586342743</v>
      </c>
      <c r="C3688" s="0" t="n">
        <v>0.754978733149163</v>
      </c>
      <c r="D3688" s="0" t="n">
        <f aca="false">A3688/SUM($A3688:$C3688)</f>
        <v>0.10187548626735</v>
      </c>
      <c r="E3688" s="0" t="n">
        <f aca="false">B3688/SUM($A3688:$C3688)</f>
        <v>0.437677882087972</v>
      </c>
      <c r="F3688" s="0" t="n">
        <f aca="false">C3688/SUM($A3688:$C3688)</f>
        <v>0.460446631644678</v>
      </c>
      <c r="G3688" s="0" t="n">
        <f aca="false">SUMPRODUCT(D3688:F3688,Stats!$B$6:$D$6)</f>
        <v>0.368970484545754</v>
      </c>
      <c r="H3688" s="0" t="n">
        <f aca="false">SQRT(SUMPRODUCT(MMULT(D3688:F3688,Stats!$B$12:$D$14),D3688:F3688))</f>
        <v>0.236875532951471</v>
      </c>
      <c r="I3688" s="0" t="n">
        <f aca="false">(G3688-Stats!$B$2)/H3688</f>
        <v>1.3803472248556</v>
      </c>
    </row>
    <row r="3689" customFormat="false" ht="15" hidden="false" customHeight="false" outlineLevel="0" collapsed="false">
      <c r="A3689" s="0" t="n">
        <v>0.0889755358693384</v>
      </c>
      <c r="B3689" s="0" t="n">
        <v>0.861249385183065</v>
      </c>
      <c r="C3689" s="0" t="n">
        <v>0.813105047110844</v>
      </c>
      <c r="D3689" s="0" t="n">
        <f aca="false">A3689/SUM($A3689:$C3689)</f>
        <v>0.0504588122902594</v>
      </c>
      <c r="E3689" s="0" t="n">
        <f aca="false">B3689/SUM($A3689:$C3689)</f>
        <v>0.488422133538725</v>
      </c>
      <c r="F3689" s="0" t="n">
        <f aca="false">C3689/SUM($A3689:$C3689)</f>
        <v>0.461119054171016</v>
      </c>
      <c r="G3689" s="0" t="n">
        <f aca="false">SUMPRODUCT(D3689:F3689,Stats!$B$6:$D$6)</f>
        <v>0.371871701304695</v>
      </c>
      <c r="H3689" s="0" t="n">
        <f aca="false">SQRT(SUMPRODUCT(MMULT(D3689:F3689,Stats!$B$12:$D$14),D3689:F3689))</f>
        <v>0.239957008473618</v>
      </c>
      <c r="I3689" s="0" t="n">
        <f aca="false">(G3689-Stats!$B$2)/H3689</f>
        <v>1.37471167607494</v>
      </c>
    </row>
    <row r="3690" customFormat="false" ht="15" hidden="false" customHeight="false" outlineLevel="0" collapsed="false">
      <c r="A3690" s="0" t="n">
        <v>0.0334030065774345</v>
      </c>
      <c r="B3690" s="0" t="n">
        <v>0.0910844148800515</v>
      </c>
      <c r="C3690" s="0" t="n">
        <v>0.0491268938918523</v>
      </c>
      <c r="D3690" s="0" t="n">
        <f aca="false">A3690/SUM($A3690:$C3690)</f>
        <v>0.192397766913532</v>
      </c>
      <c r="E3690" s="0" t="n">
        <f aca="false">B3690/SUM($A3690:$C3690)</f>
        <v>0.52463654680074</v>
      </c>
      <c r="F3690" s="0" t="n">
        <f aca="false">C3690/SUM($A3690:$C3690)</f>
        <v>0.282965686285728</v>
      </c>
      <c r="G3690" s="0" t="n">
        <f aca="false">SUMPRODUCT(D3690:F3690,Stats!$B$6:$D$6)</f>
        <v>0.378867942370442</v>
      </c>
      <c r="H3690" s="0" t="n">
        <f aca="false">SQRT(SUMPRODUCT(MMULT(D3690:F3690,Stats!$B$12:$D$14),D3690:F3690))</f>
        <v>0.232985857508839</v>
      </c>
      <c r="I3690" s="0" t="n">
        <f aca="false">(G3690-Stats!$B$2)/H3690</f>
        <v>1.44587292109634</v>
      </c>
    </row>
    <row r="3691" customFormat="false" ht="15" hidden="false" customHeight="false" outlineLevel="0" collapsed="false">
      <c r="A3691" s="0" t="n">
        <v>0.334743531799362</v>
      </c>
      <c r="B3691" s="0" t="n">
        <v>0.509288990679926</v>
      </c>
      <c r="C3691" s="0" t="n">
        <v>0.532347727954629</v>
      </c>
      <c r="D3691" s="0" t="n">
        <f aca="false">A3691/SUM($A3691:$C3691)</f>
        <v>0.243205706921348</v>
      </c>
      <c r="E3691" s="0" t="n">
        <f aca="false">B3691/SUM($A3691:$C3691)</f>
        <v>0.370020559739482</v>
      </c>
      <c r="F3691" s="0" t="n">
        <f aca="false">C3691/SUM($A3691:$C3691)</f>
        <v>0.386773733339171</v>
      </c>
      <c r="G3691" s="0" t="n">
        <f aca="false">SUMPRODUCT(D3691:F3691,Stats!$B$6:$D$6)</f>
        <v>0.367109071619669</v>
      </c>
      <c r="H3691" s="0" t="n">
        <f aca="false">SQRT(SUMPRODUCT(MMULT(D3691:F3691,Stats!$B$12:$D$14),D3691:F3691))</f>
        <v>0.229648781053965</v>
      </c>
      <c r="I3691" s="0" t="n">
        <f aca="false">(G3691-Stats!$B$2)/H3691</f>
        <v>1.41567950035525</v>
      </c>
    </row>
    <row r="3692" customFormat="false" ht="15" hidden="false" customHeight="false" outlineLevel="0" collapsed="false">
      <c r="A3692" s="0" t="n">
        <v>0.267666759769443</v>
      </c>
      <c r="B3692" s="0" t="n">
        <v>0.911596886560274</v>
      </c>
      <c r="C3692" s="0" t="n">
        <v>0.368262789871913</v>
      </c>
      <c r="D3692" s="0" t="n">
        <f aca="false">A3692/SUM($A3692:$C3692)</f>
        <v>0.172964256705317</v>
      </c>
      <c r="E3692" s="0" t="n">
        <f aca="false">B3692/SUM($A3692:$C3692)</f>
        <v>0.589067084887913</v>
      </c>
      <c r="F3692" s="0" t="n">
        <f aca="false">C3692/SUM($A3692:$C3692)</f>
        <v>0.237968658406771</v>
      </c>
      <c r="G3692" s="0" t="n">
        <f aca="false">SUMPRODUCT(D3692:F3692,Stats!$B$6:$D$6)</f>
        <v>0.38381596787816</v>
      </c>
      <c r="H3692" s="0" t="n">
        <f aca="false">SQRT(SUMPRODUCT(MMULT(D3692:F3692,Stats!$B$12:$D$14),D3692:F3692))</f>
        <v>0.234845978021974</v>
      </c>
      <c r="I3692" s="0" t="n">
        <f aca="false">(G3692-Stats!$B$2)/H3692</f>
        <v>1.45548998010167</v>
      </c>
    </row>
    <row r="3693" customFormat="false" ht="15" hidden="false" customHeight="false" outlineLevel="0" collapsed="false">
      <c r="A3693" s="0" t="n">
        <v>0.0455501559653525</v>
      </c>
      <c r="B3693" s="0" t="n">
        <v>0.300227111541386</v>
      </c>
      <c r="C3693" s="0" t="n">
        <v>0.531109422544156</v>
      </c>
      <c r="D3693" s="0" t="n">
        <f aca="false">A3693/SUM($A3693:$C3693)</f>
        <v>0.051945315719992</v>
      </c>
      <c r="E3693" s="0" t="n">
        <f aca="false">B3693/SUM($A3693:$C3693)</f>
        <v>0.342378456587089</v>
      </c>
      <c r="F3693" s="0" t="n">
        <f aca="false">C3693/SUM($A3693:$C3693)</f>
        <v>0.605676227692919</v>
      </c>
      <c r="G3693" s="0" t="n">
        <f aca="false">SUMPRODUCT(D3693:F3693,Stats!$B$6:$D$6)</f>
        <v>0.359482428693276</v>
      </c>
      <c r="H3693" s="0" t="n">
        <f aca="false">SQRT(SUMPRODUCT(MMULT(D3693:F3693,Stats!$B$12:$D$14),D3693:F3693))</f>
        <v>0.241406945814353</v>
      </c>
      <c r="I3693" s="0" t="n">
        <f aca="false">(G3693-Stats!$B$2)/H3693</f>
        <v>1.3151337780373</v>
      </c>
    </row>
    <row r="3694" customFormat="false" ht="15" hidden="false" customHeight="false" outlineLevel="0" collapsed="false">
      <c r="A3694" s="0" t="n">
        <v>0.408221822588232</v>
      </c>
      <c r="B3694" s="0" t="n">
        <v>0.273842519099259</v>
      </c>
      <c r="C3694" s="0" t="n">
        <v>0.131323249764317</v>
      </c>
      <c r="D3694" s="0" t="n">
        <f aca="false">A3694/SUM($A3694:$C3694)</f>
        <v>0.501878596229382</v>
      </c>
      <c r="E3694" s="0" t="n">
        <f aca="false">B3694/SUM($A3694:$C3694)</f>
        <v>0.336669162373722</v>
      </c>
      <c r="F3694" s="0" t="n">
        <f aca="false">C3694/SUM($A3694:$C3694)</f>
        <v>0.161452241396896</v>
      </c>
      <c r="G3694" s="0" t="n">
        <f aca="false">SUMPRODUCT(D3694:F3694,Stats!$B$6:$D$6)</f>
        <v>0.371403228858218</v>
      </c>
      <c r="H3694" s="0" t="n">
        <f aca="false">SQRT(SUMPRODUCT(MMULT(D3694:F3694,Stats!$B$12:$D$14),D3694:F3694))</f>
        <v>0.224318563260894</v>
      </c>
      <c r="I3694" s="0" t="n">
        <f aca="false">(G3694-Stats!$B$2)/H3694</f>
        <v>1.46846174507237</v>
      </c>
    </row>
    <row r="3695" customFormat="false" ht="15" hidden="false" customHeight="false" outlineLevel="0" collapsed="false">
      <c r="A3695" s="0" t="n">
        <v>0.81916450009623</v>
      </c>
      <c r="B3695" s="0" t="n">
        <v>0.996145242124192</v>
      </c>
      <c r="C3695" s="0" t="n">
        <v>0.329542133523882</v>
      </c>
      <c r="D3695" s="0" t="n">
        <f aca="false">A3695/SUM($A3695:$C3695)</f>
        <v>0.381921245639382</v>
      </c>
      <c r="E3695" s="0" t="n">
        <f aca="false">B3695/SUM($A3695:$C3695)</f>
        <v>0.464435448148843</v>
      </c>
      <c r="F3695" s="0" t="n">
        <f aca="false">C3695/SUM($A3695:$C3695)</f>
        <v>0.153643306211775</v>
      </c>
      <c r="G3695" s="0" t="n">
        <f aca="false">SUMPRODUCT(D3695:F3695,Stats!$B$6:$D$6)</f>
        <v>0.378970063961306</v>
      </c>
      <c r="H3695" s="0" t="n">
        <f aca="false">SQRT(SUMPRODUCT(MMULT(D3695:F3695,Stats!$B$12:$D$14),D3695:F3695))</f>
        <v>0.227637675871006</v>
      </c>
      <c r="I3695" s="0" t="n">
        <f aca="false">(G3695-Stats!$B$2)/H3695</f>
        <v>1.48029126844651</v>
      </c>
    </row>
    <row r="3696" customFormat="false" ht="15" hidden="false" customHeight="false" outlineLevel="0" collapsed="false">
      <c r="A3696" s="0" t="n">
        <v>0.381621044176604</v>
      </c>
      <c r="B3696" s="0" t="n">
        <v>0.618037524676957</v>
      </c>
      <c r="C3696" s="0" t="n">
        <v>0.718441474735541</v>
      </c>
      <c r="D3696" s="0" t="n">
        <f aca="false">A3696/SUM($A3696:$C3696)</f>
        <v>0.222118057444082</v>
      </c>
      <c r="E3696" s="0" t="n">
        <f aca="false">B3696/SUM($A3696:$C3696)</f>
        <v>0.35972149991096</v>
      </c>
      <c r="F3696" s="0" t="n">
        <f aca="false">C3696/SUM($A3696:$C3696)</f>
        <v>0.418160442644958</v>
      </c>
      <c r="G3696" s="0" t="n">
        <f aca="false">SUMPRODUCT(D3696:F3696,Stats!$B$6:$D$6)</f>
        <v>0.365651000609804</v>
      </c>
      <c r="H3696" s="0" t="n">
        <f aca="false">SQRT(SUMPRODUCT(MMULT(D3696:F3696,Stats!$B$12:$D$14),D3696:F3696))</f>
        <v>0.230584172656386</v>
      </c>
      <c r="I3696" s="0" t="n">
        <f aca="false">(G3696-Stats!$B$2)/H3696</f>
        <v>1.40361325272791</v>
      </c>
    </row>
    <row r="3697" customFormat="false" ht="15" hidden="false" customHeight="false" outlineLevel="0" collapsed="false">
      <c r="A3697" s="0" t="n">
        <v>0.392029534803591</v>
      </c>
      <c r="B3697" s="0" t="n">
        <v>0.904929516981815</v>
      </c>
      <c r="C3697" s="0" t="n">
        <v>0.560003989228918</v>
      </c>
      <c r="D3697" s="0" t="n">
        <f aca="false">A3697/SUM($A3697:$C3697)</f>
        <v>0.211113267278305</v>
      </c>
      <c r="E3697" s="0" t="n">
        <f aca="false">B3697/SUM($A3697:$C3697)</f>
        <v>0.487316923920854</v>
      </c>
      <c r="F3697" s="0" t="n">
        <f aca="false">C3697/SUM($A3697:$C3697)</f>
        <v>0.301569808800841</v>
      </c>
      <c r="G3697" s="0" t="n">
        <f aca="false">SUMPRODUCT(D3697:F3697,Stats!$B$6:$D$6)</f>
        <v>0.376207618048944</v>
      </c>
      <c r="H3697" s="0" t="n">
        <f aca="false">SQRT(SUMPRODUCT(MMULT(D3697:F3697,Stats!$B$12:$D$14),D3697:F3697))</f>
        <v>0.231775098407883</v>
      </c>
      <c r="I3697" s="0" t="n">
        <f aca="false">(G3697-Stats!$B$2)/H3697</f>
        <v>1.44194790702148</v>
      </c>
    </row>
    <row r="3698" customFormat="false" ht="15" hidden="false" customHeight="false" outlineLevel="0" collapsed="false">
      <c r="A3698" s="0" t="n">
        <v>0.450390076405931</v>
      </c>
      <c r="B3698" s="0" t="n">
        <v>0.646672753159905</v>
      </c>
      <c r="C3698" s="0" t="n">
        <v>0.952803848249173</v>
      </c>
      <c r="D3698" s="0" t="n">
        <f aca="false">A3698/SUM($A3698:$C3698)</f>
        <v>0.21971676562205</v>
      </c>
      <c r="E3698" s="0" t="n">
        <f aca="false">B3698/SUM($A3698:$C3698)</f>
        <v>0.315470640192662</v>
      </c>
      <c r="F3698" s="0" t="n">
        <f aca="false">C3698/SUM($A3698:$C3698)</f>
        <v>0.464812594185288</v>
      </c>
      <c r="G3698" s="0" t="n">
        <f aca="false">SUMPRODUCT(D3698:F3698,Stats!$B$6:$D$6)</f>
        <v>0.361818448279017</v>
      </c>
      <c r="H3698" s="0" t="n">
        <f aca="false">SQRT(SUMPRODUCT(MMULT(D3698:F3698,Stats!$B$12:$D$14),D3698:F3698))</f>
        <v>0.230888207828378</v>
      </c>
      <c r="I3698" s="0" t="n">
        <f aca="false">(G3698-Stats!$B$2)/H3698</f>
        <v>1.38516579641322</v>
      </c>
    </row>
    <row r="3699" customFormat="false" ht="15" hidden="false" customHeight="false" outlineLevel="0" collapsed="false">
      <c r="A3699" s="0" t="n">
        <v>0.794552294421706</v>
      </c>
      <c r="B3699" s="0" t="n">
        <v>0.0400131305351243</v>
      </c>
      <c r="C3699" s="0" t="n">
        <v>0.33230991073996</v>
      </c>
      <c r="D3699" s="0" t="n">
        <f aca="false">A3699/SUM($A3699:$C3699)</f>
        <v>0.680923034462157</v>
      </c>
      <c r="E3699" s="0" t="n">
        <f aca="false">B3699/SUM($A3699:$C3699)</f>
        <v>0.0342908357997222</v>
      </c>
      <c r="F3699" s="0" t="n">
        <f aca="false">C3699/SUM($A3699:$C3699)</f>
        <v>0.284786129738121</v>
      </c>
      <c r="G3699" s="0" t="n">
        <f aca="false">SUMPRODUCT(D3699:F3699,Stats!$B$6:$D$6)</f>
        <v>0.350603886773458</v>
      </c>
      <c r="H3699" s="0" t="n">
        <f aca="false">SQRT(SUMPRODUCT(MMULT(D3699:F3699,Stats!$B$12:$D$14),D3699:F3699))</f>
        <v>0.221551255995378</v>
      </c>
      <c r="I3699" s="0" t="n">
        <f aca="false">(G3699-Stats!$B$2)/H3699</f>
        <v>1.39292321041907</v>
      </c>
    </row>
    <row r="3700" customFormat="false" ht="15" hidden="false" customHeight="false" outlineLevel="0" collapsed="false">
      <c r="A3700" s="0" t="n">
        <v>0.470544684951223</v>
      </c>
      <c r="B3700" s="0" t="n">
        <v>0.314517572209105</v>
      </c>
      <c r="C3700" s="0" t="n">
        <v>0.700187560830457</v>
      </c>
      <c r="D3700" s="0" t="n">
        <f aca="false">A3700/SUM($A3700:$C3700)</f>
        <v>0.316811811219587</v>
      </c>
      <c r="E3700" s="0" t="n">
        <f aca="false">B3700/SUM($A3700:$C3700)</f>
        <v>0.211760720923419</v>
      </c>
      <c r="F3700" s="0" t="n">
        <f aca="false">C3700/SUM($A3700:$C3700)</f>
        <v>0.471427467856994</v>
      </c>
      <c r="G3700" s="0" t="n">
        <f aca="false">SUMPRODUCT(D3700:F3700,Stats!$B$6:$D$6)</f>
        <v>0.355668711156103</v>
      </c>
      <c r="H3700" s="0" t="n">
        <f aca="false">SQRT(SUMPRODUCT(MMULT(D3700:F3700,Stats!$B$12:$D$14),D3700:F3700))</f>
        <v>0.227161888691953</v>
      </c>
      <c r="I3700" s="0" t="n">
        <f aca="false">(G3700-Stats!$B$2)/H3700</f>
        <v>1.38081573877676</v>
      </c>
    </row>
    <row r="3701" customFormat="false" ht="15" hidden="false" customHeight="false" outlineLevel="0" collapsed="false">
      <c r="A3701" s="0" t="n">
        <v>0.826269149862581</v>
      </c>
      <c r="B3701" s="0" t="n">
        <v>0.731345095185272</v>
      </c>
      <c r="C3701" s="0" t="n">
        <v>0.989333286828275</v>
      </c>
      <c r="D3701" s="0" t="n">
        <f aca="false">A3701/SUM($A3701:$C3701)</f>
        <v>0.32441545792423</v>
      </c>
      <c r="E3701" s="0" t="n">
        <f aca="false">B3701/SUM($A3701:$C3701)</f>
        <v>0.287145724845988</v>
      </c>
      <c r="F3701" s="0" t="n">
        <f aca="false">C3701/SUM($A3701:$C3701)</f>
        <v>0.388438817229782</v>
      </c>
      <c r="G3701" s="0" t="n">
        <f aca="false">SUMPRODUCT(D3701:F3701,Stats!$B$6:$D$6)</f>
        <v>0.362294646834839</v>
      </c>
      <c r="H3701" s="0" t="n">
        <f aca="false">SQRT(SUMPRODUCT(MMULT(D3701:F3701,Stats!$B$12:$D$14),D3701:F3701))</f>
        <v>0.226460074419808</v>
      </c>
      <c r="I3701" s="0" t="n">
        <f aca="false">(G3701-Stats!$B$2)/H3701</f>
        <v>1.41435371182066</v>
      </c>
    </row>
    <row r="3702" customFormat="false" ht="15" hidden="false" customHeight="false" outlineLevel="0" collapsed="false">
      <c r="A3702" s="0" t="n">
        <v>0.272547647893029</v>
      </c>
      <c r="B3702" s="0" t="n">
        <v>0.874989495024422</v>
      </c>
      <c r="C3702" s="0" t="n">
        <v>0.766622665174486</v>
      </c>
      <c r="D3702" s="0" t="n">
        <f aca="false">A3702/SUM($A3702:$C3702)</f>
        <v>0.142385001890051</v>
      </c>
      <c r="E3702" s="0" t="n">
        <f aca="false">B3702/SUM($A3702:$C3702)</f>
        <v>0.457114129826299</v>
      </c>
      <c r="F3702" s="0" t="n">
        <f aca="false">C3702/SUM($A3702:$C3702)</f>
        <v>0.40050086828365</v>
      </c>
      <c r="G3702" s="0" t="n">
        <f aca="false">SUMPRODUCT(D3702:F3702,Stats!$B$6:$D$6)</f>
        <v>0.371741802453102</v>
      </c>
      <c r="H3702" s="0" t="n">
        <f aca="false">SQRT(SUMPRODUCT(MMULT(D3702:F3702,Stats!$B$12:$D$14),D3702:F3702))</f>
        <v>0.234584516678438</v>
      </c>
      <c r="I3702" s="0" t="n">
        <f aca="false">(G3702-Stats!$B$2)/H3702</f>
        <v>1.40564180075492</v>
      </c>
    </row>
    <row r="3703" customFormat="false" ht="15" hidden="false" customHeight="false" outlineLevel="0" collapsed="false">
      <c r="A3703" s="0" t="n">
        <v>0.362178757558146</v>
      </c>
      <c r="B3703" s="0" t="n">
        <v>0.734124543656969</v>
      </c>
      <c r="C3703" s="0" t="n">
        <v>0.104075956418247</v>
      </c>
      <c r="D3703" s="0" t="n">
        <f aca="false">A3703/SUM($A3703:$C3703)</f>
        <v>0.301720273201162</v>
      </c>
      <c r="E3703" s="0" t="n">
        <f aca="false">B3703/SUM($A3703:$C3703)</f>
        <v>0.611577165290535</v>
      </c>
      <c r="F3703" s="0" t="n">
        <f aca="false">C3703/SUM($A3703:$C3703)</f>
        <v>0.0867025615083025</v>
      </c>
      <c r="G3703" s="0" t="n">
        <f aca="false">SUMPRODUCT(D3703:F3703,Stats!$B$6:$D$6)</f>
        <v>0.389282273212275</v>
      </c>
      <c r="H3703" s="0" t="n">
        <f aca="false">SQRT(SUMPRODUCT(MMULT(D3703:F3703,Stats!$B$12:$D$14),D3703:F3703))</f>
        <v>0.23284321354312</v>
      </c>
      <c r="I3703" s="0" t="n">
        <f aca="false">(G3703-Stats!$B$2)/H3703</f>
        <v>1.49148548470777</v>
      </c>
    </row>
    <row r="3704" customFormat="false" ht="15" hidden="false" customHeight="false" outlineLevel="0" collapsed="false">
      <c r="A3704" s="0" t="n">
        <v>0.789333482340552</v>
      </c>
      <c r="B3704" s="0" t="n">
        <v>0.532330602587103</v>
      </c>
      <c r="C3704" s="0" t="n">
        <v>0.292290172709253</v>
      </c>
      <c r="D3704" s="0" t="n">
        <f aca="false">A3704/SUM($A3704:$C3704)</f>
        <v>0.489068062868315</v>
      </c>
      <c r="E3704" s="0" t="n">
        <f aca="false">B3704/SUM($A3704:$C3704)</f>
        <v>0.329830043242069</v>
      </c>
      <c r="F3704" s="0" t="n">
        <f aca="false">C3704/SUM($A3704:$C3704)</f>
        <v>0.181101893889616</v>
      </c>
      <c r="G3704" s="0" t="n">
        <f aca="false">SUMPRODUCT(D3704:F3704,Stats!$B$6:$D$6)</f>
        <v>0.370467883185248</v>
      </c>
      <c r="H3704" s="0" t="n">
        <f aca="false">SQRT(SUMPRODUCT(MMULT(D3704:F3704,Stats!$B$12:$D$14),D3704:F3704))</f>
        <v>0.224128119472646</v>
      </c>
      <c r="I3704" s="0" t="n">
        <f aca="false">(G3704-Stats!$B$2)/H3704</f>
        <v>1.4655362475628</v>
      </c>
    </row>
    <row r="3705" customFormat="false" ht="15" hidden="false" customHeight="false" outlineLevel="0" collapsed="false">
      <c r="A3705" s="0" t="n">
        <v>0.65577730178418</v>
      </c>
      <c r="B3705" s="0" t="n">
        <v>0.641619998714409</v>
      </c>
      <c r="C3705" s="0" t="n">
        <v>0.2094862227196</v>
      </c>
      <c r="D3705" s="0" t="n">
        <f aca="false">A3705/SUM($A3705:$C3705)</f>
        <v>0.435187784377431</v>
      </c>
      <c r="E3705" s="0" t="n">
        <f aca="false">B3705/SUM($A3705:$C3705)</f>
        <v>0.425792696534453</v>
      </c>
      <c r="F3705" s="0" t="n">
        <f aca="false">C3705/SUM($A3705:$C3705)</f>
        <v>0.139019519088117</v>
      </c>
      <c r="G3705" s="0" t="n">
        <f aca="false">SUMPRODUCT(D3705:F3705,Stats!$B$6:$D$6)</f>
        <v>0.377149855353079</v>
      </c>
      <c r="H3705" s="0" t="n">
        <f aca="false">SQRT(SUMPRODUCT(MMULT(D3705:F3705,Stats!$B$12:$D$14),D3705:F3705))</f>
        <v>0.226424044063922</v>
      </c>
      <c r="I3705" s="0" t="n">
        <f aca="false">(G3705-Stats!$B$2)/H3705</f>
        <v>1.4801866857323</v>
      </c>
    </row>
    <row r="3706" customFormat="false" ht="15" hidden="false" customHeight="false" outlineLevel="0" collapsed="false">
      <c r="A3706" s="0" t="n">
        <v>0.0303974148115261</v>
      </c>
      <c r="B3706" s="0" t="n">
        <v>0.433622586901674</v>
      </c>
      <c r="C3706" s="0" t="n">
        <v>0.569511869344421</v>
      </c>
      <c r="D3706" s="0" t="n">
        <f aca="false">A3706/SUM($A3706:$C3706)</f>
        <v>0.0294112021726241</v>
      </c>
      <c r="E3706" s="0" t="n">
        <f aca="false">B3706/SUM($A3706:$C3706)</f>
        <v>0.419554151201883</v>
      </c>
      <c r="F3706" s="0" t="n">
        <f aca="false">C3706/SUM($A3706:$C3706)</f>
        <v>0.551034646625493</v>
      </c>
      <c r="G3706" s="0" t="n">
        <f aca="false">SUMPRODUCT(D3706:F3706,Stats!$B$6:$D$6)</f>
        <v>0.365429738856541</v>
      </c>
      <c r="H3706" s="0" t="n">
        <f aca="false">SQRT(SUMPRODUCT(MMULT(D3706:F3706,Stats!$B$12:$D$14),D3706:F3706))</f>
        <v>0.241918789668158</v>
      </c>
      <c r="I3706" s="0" t="n">
        <f aca="false">(G3706-Stats!$B$2)/H3706</f>
        <v>1.3369351727503</v>
      </c>
    </row>
    <row r="3707" customFormat="false" ht="15" hidden="false" customHeight="false" outlineLevel="0" collapsed="false">
      <c r="A3707" s="0" t="n">
        <v>0.876605278370598</v>
      </c>
      <c r="B3707" s="0" t="n">
        <v>0.928216795647594</v>
      </c>
      <c r="C3707" s="0" t="n">
        <v>0.528805218156766</v>
      </c>
      <c r="D3707" s="0" t="n">
        <f aca="false">A3707/SUM($A3707:$C3707)</f>
        <v>0.375640652348386</v>
      </c>
      <c r="E3707" s="0" t="n">
        <f aca="false">B3707/SUM($A3707:$C3707)</f>
        <v>0.397757087757784</v>
      </c>
      <c r="F3707" s="0" t="n">
        <f aca="false">C3707/SUM($A3707:$C3707)</f>
        <v>0.226602259893831</v>
      </c>
      <c r="G3707" s="0" t="n">
        <f aca="false">SUMPRODUCT(D3707:F3707,Stats!$B$6:$D$6)</f>
        <v>0.373121662318224</v>
      </c>
      <c r="H3707" s="0" t="n">
        <f aca="false">SQRT(SUMPRODUCT(MMULT(D3707:F3707,Stats!$B$12:$D$14),D3707:F3707))</f>
        <v>0.226194542662296</v>
      </c>
      <c r="I3707" s="0" t="n">
        <f aca="false">(G3707-Stats!$B$2)/H3707</f>
        <v>1.46387997880472</v>
      </c>
    </row>
    <row r="3708" customFormat="false" ht="15" hidden="false" customHeight="false" outlineLevel="0" collapsed="false">
      <c r="A3708" s="0" t="n">
        <v>0.753803483768545</v>
      </c>
      <c r="B3708" s="0" t="n">
        <v>0.439303272327997</v>
      </c>
      <c r="C3708" s="0" t="n">
        <v>0.746082156572893</v>
      </c>
      <c r="D3708" s="0" t="n">
        <f aca="false">A3708/SUM($A3708:$C3708)</f>
        <v>0.388721015700775</v>
      </c>
      <c r="E3708" s="0" t="n">
        <f aca="false">B3708/SUM($A3708:$C3708)</f>
        <v>0.226539698869907</v>
      </c>
      <c r="F3708" s="0" t="n">
        <f aca="false">C3708/SUM($A3708:$C3708)</f>
        <v>0.384739285429317</v>
      </c>
      <c r="G3708" s="0" t="n">
        <f aca="false">SUMPRODUCT(D3708:F3708,Stats!$B$6:$D$6)</f>
        <v>0.358909467707503</v>
      </c>
      <c r="H3708" s="0" t="n">
        <f aca="false">SQRT(SUMPRODUCT(MMULT(D3708:F3708,Stats!$B$12:$D$14),D3708:F3708))</f>
        <v>0.224476059170283</v>
      </c>
      <c r="I3708" s="0" t="n">
        <f aca="false">(G3708-Stats!$B$2)/H3708</f>
        <v>1.4117740166986</v>
      </c>
    </row>
    <row r="3709" customFormat="false" ht="15" hidden="false" customHeight="false" outlineLevel="0" collapsed="false">
      <c r="A3709" s="0" t="n">
        <v>0.204801524939167</v>
      </c>
      <c r="B3709" s="0" t="n">
        <v>0.371064734803531</v>
      </c>
      <c r="C3709" s="0" t="n">
        <v>0.634227998813615</v>
      </c>
      <c r="D3709" s="0" t="n">
        <f aca="false">A3709/SUM($A3709:$C3709)</f>
        <v>0.169244274560481</v>
      </c>
      <c r="E3709" s="0" t="n">
        <f aca="false">B3709/SUM($A3709:$C3709)</f>
        <v>0.306641182849859</v>
      </c>
      <c r="F3709" s="0" t="n">
        <f aca="false">C3709/SUM($A3709:$C3709)</f>
        <v>0.524114542589659</v>
      </c>
      <c r="G3709" s="0" t="n">
        <f aca="false">SUMPRODUCT(D3709:F3709,Stats!$B$6:$D$6)</f>
        <v>0.359675184312733</v>
      </c>
      <c r="H3709" s="0" t="n">
        <f aca="false">SQRT(SUMPRODUCT(MMULT(D3709:F3709,Stats!$B$12:$D$14),D3709:F3709))</f>
        <v>0.233822927199002</v>
      </c>
      <c r="I3709" s="0" t="n">
        <f aca="false">(G3709-Stats!$B$2)/H3709</f>
        <v>1.35861435026158</v>
      </c>
    </row>
    <row r="3710" customFormat="false" ht="15" hidden="false" customHeight="false" outlineLevel="0" collapsed="false">
      <c r="A3710" s="0" t="n">
        <v>0.0181579656070788</v>
      </c>
      <c r="B3710" s="0" t="n">
        <v>0.722461310338954</v>
      </c>
      <c r="C3710" s="0" t="n">
        <v>0.835535501268167</v>
      </c>
      <c r="D3710" s="0" t="n">
        <f aca="false">A3710/SUM($A3710:$C3710)</f>
        <v>0.0115204203734182</v>
      </c>
      <c r="E3710" s="0" t="n">
        <f aca="false">B3710/SUM($A3710:$C3710)</f>
        <v>0.458369521054195</v>
      </c>
      <c r="F3710" s="0" t="n">
        <f aca="false">C3710/SUM($A3710:$C3710)</f>
        <v>0.530110058572387</v>
      </c>
      <c r="G3710" s="0" t="n">
        <f aca="false">SUMPRODUCT(D3710:F3710,Stats!$B$6:$D$6)</f>
        <v>0.368240112467638</v>
      </c>
      <c r="H3710" s="0" t="n">
        <f aca="false">SQRT(SUMPRODUCT(MMULT(D3710:F3710,Stats!$B$12:$D$14),D3710:F3710))</f>
        <v>0.242829644494056</v>
      </c>
      <c r="I3710" s="0" t="n">
        <f aca="false">(G3710-Stats!$B$2)/H3710</f>
        <v>1.34349376142839</v>
      </c>
    </row>
    <row r="3711" customFormat="false" ht="15" hidden="false" customHeight="false" outlineLevel="0" collapsed="false">
      <c r="A3711" s="0" t="n">
        <v>0.399141661093951</v>
      </c>
      <c r="B3711" s="0" t="n">
        <v>0.447942417177164</v>
      </c>
      <c r="C3711" s="0" t="n">
        <v>0.851282212216531</v>
      </c>
      <c r="D3711" s="0" t="n">
        <f aca="false">A3711/SUM($A3711:$C3711)</f>
        <v>0.235015063198968</v>
      </c>
      <c r="E3711" s="0" t="n">
        <f aca="false">B3711/SUM($A3711:$C3711)</f>
        <v>0.263749003784424</v>
      </c>
      <c r="F3711" s="0" t="n">
        <f aca="false">C3711/SUM($A3711:$C3711)</f>
        <v>0.501235933016608</v>
      </c>
      <c r="G3711" s="0" t="n">
        <f aca="false">SUMPRODUCT(D3711:F3711,Stats!$B$6:$D$6)</f>
        <v>0.35783809270297</v>
      </c>
      <c r="H3711" s="0" t="n">
        <f aca="false">SQRT(SUMPRODUCT(MMULT(D3711:F3711,Stats!$B$12:$D$14),D3711:F3711))</f>
        <v>0.230568297813491</v>
      </c>
      <c r="I3711" s="0" t="n">
        <f aca="false">(G3711-Stats!$B$2)/H3711</f>
        <v>1.36982445417737</v>
      </c>
    </row>
    <row r="3712" customFormat="false" ht="15" hidden="false" customHeight="false" outlineLevel="0" collapsed="false">
      <c r="A3712" s="0" t="n">
        <v>0.775654635326033</v>
      </c>
      <c r="B3712" s="0" t="n">
        <v>0.288149489033375</v>
      </c>
      <c r="C3712" s="0" t="n">
        <v>0.323976106561539</v>
      </c>
      <c r="D3712" s="0" t="n">
        <f aca="false">A3712/SUM($A3712:$C3712)</f>
        <v>0.558917484226807</v>
      </c>
      <c r="E3712" s="0" t="n">
        <f aca="false">B3712/SUM($A3712:$C3712)</f>
        <v>0.207633372066524</v>
      </c>
      <c r="F3712" s="0" t="n">
        <f aca="false">C3712/SUM($A3712:$C3712)</f>
        <v>0.233449143706669</v>
      </c>
      <c r="G3712" s="0" t="n">
        <f aca="false">SUMPRODUCT(D3712:F3712,Stats!$B$6:$D$6)</f>
        <v>0.36199338960197</v>
      </c>
      <c r="H3712" s="0" t="n">
        <f aca="false">SQRT(SUMPRODUCT(MMULT(D3712:F3712,Stats!$B$12:$D$14),D3712:F3712))</f>
        <v>0.222187756975197</v>
      </c>
      <c r="I3712" s="0" t="n">
        <f aca="false">(G3712-Stats!$B$2)/H3712</f>
        <v>1.44019361803851</v>
      </c>
    </row>
    <row r="3713" customFormat="false" ht="15" hidden="false" customHeight="false" outlineLevel="0" collapsed="false">
      <c r="A3713" s="0" t="n">
        <v>0.678878232390597</v>
      </c>
      <c r="B3713" s="0" t="n">
        <v>0.563198092448161</v>
      </c>
      <c r="C3713" s="0" t="n">
        <v>0.162229571096497</v>
      </c>
      <c r="D3713" s="0" t="n">
        <f aca="false">A3713/SUM($A3713:$C3713)</f>
        <v>0.48342617826757</v>
      </c>
      <c r="E3713" s="0" t="n">
        <f aca="false">B3713/SUM($A3713:$C3713)</f>
        <v>0.401050863688838</v>
      </c>
      <c r="F3713" s="0" t="n">
        <f aca="false">C3713/SUM($A3713:$C3713)</f>
        <v>0.115522958043592</v>
      </c>
      <c r="G3713" s="0" t="n">
        <f aca="false">SUMPRODUCT(D3713:F3713,Stats!$B$6:$D$6)</f>
        <v>0.376374150947421</v>
      </c>
      <c r="H3713" s="0" t="n">
        <f aca="false">SQRT(SUMPRODUCT(MMULT(D3713:F3713,Stats!$B$12:$D$14),D3713:F3713))</f>
        <v>0.225902439203964</v>
      </c>
      <c r="I3713" s="0" t="n">
        <f aca="false">(G3713-Stats!$B$2)/H3713</f>
        <v>1.48017060871804</v>
      </c>
    </row>
    <row r="3714" customFormat="false" ht="15" hidden="false" customHeight="false" outlineLevel="0" collapsed="false">
      <c r="A3714" s="0" t="n">
        <v>0.309929909229166</v>
      </c>
      <c r="B3714" s="0" t="n">
        <v>0.899983276878654</v>
      </c>
      <c r="C3714" s="0" t="n">
        <v>0.688174436722263</v>
      </c>
      <c r="D3714" s="0" t="n">
        <f aca="false">A3714/SUM($A3714:$C3714)</f>
        <v>0.163285353901131</v>
      </c>
      <c r="E3714" s="0" t="n">
        <f aca="false">B3714/SUM($A3714:$C3714)</f>
        <v>0.474152650306398</v>
      </c>
      <c r="F3714" s="0" t="n">
        <f aca="false">C3714/SUM($A3714:$C3714)</f>
        <v>0.362561995792472</v>
      </c>
      <c r="G3714" s="0" t="n">
        <f aca="false">SUMPRODUCT(D3714:F3714,Stats!$B$6:$D$6)</f>
        <v>0.373768326685888</v>
      </c>
      <c r="H3714" s="0" t="n">
        <f aca="false">SQRT(SUMPRODUCT(MMULT(D3714:F3714,Stats!$B$12:$D$14),D3714:F3714))</f>
        <v>0.23363474633255</v>
      </c>
      <c r="I3714" s="0" t="n">
        <f aca="false">(G3714-Stats!$B$2)/H3714</f>
        <v>1.42002990519936</v>
      </c>
    </row>
    <row r="3715" customFormat="false" ht="15" hidden="false" customHeight="false" outlineLevel="0" collapsed="false">
      <c r="A3715" s="0" t="n">
        <v>0.98597431768552</v>
      </c>
      <c r="B3715" s="0" t="n">
        <v>0.767012529980769</v>
      </c>
      <c r="C3715" s="0" t="n">
        <v>0.94197443214359</v>
      </c>
      <c r="D3715" s="0" t="n">
        <f aca="false">A3715/SUM($A3715:$C3715)</f>
        <v>0.365858435544973</v>
      </c>
      <c r="E3715" s="0" t="n">
        <f aca="false">B3715/SUM($A3715:$C3715)</f>
        <v>0.284609851624614</v>
      </c>
      <c r="F3715" s="0" t="n">
        <f aca="false">C3715/SUM($A3715:$C3715)</f>
        <v>0.349531712830414</v>
      </c>
      <c r="G3715" s="0" t="n">
        <f aca="false">SUMPRODUCT(D3715:F3715,Stats!$B$6:$D$6)</f>
        <v>0.363221584411151</v>
      </c>
      <c r="H3715" s="0" t="n">
        <f aca="false">SQRT(SUMPRODUCT(MMULT(D3715:F3715,Stats!$B$12:$D$14),D3715:F3715))</f>
        <v>0.225168444284919</v>
      </c>
      <c r="I3715" s="0" t="n">
        <f aca="false">(G3715-Stats!$B$2)/H3715</f>
        <v>1.42658348700358</v>
      </c>
    </row>
    <row r="3716" customFormat="false" ht="15" hidden="false" customHeight="false" outlineLevel="0" collapsed="false">
      <c r="A3716" s="0" t="n">
        <v>0.216188573870475</v>
      </c>
      <c r="B3716" s="0" t="n">
        <v>0.771484874816926</v>
      </c>
      <c r="C3716" s="0" t="n">
        <v>0.0202175201477974</v>
      </c>
      <c r="D3716" s="0" t="n">
        <f aca="false">A3716/SUM($A3716:$C3716)</f>
        <v>0.214495992676986</v>
      </c>
      <c r="E3716" s="0" t="n">
        <f aca="false">B3716/SUM($A3716:$C3716)</f>
        <v>0.765444773960538</v>
      </c>
      <c r="F3716" s="0" t="n">
        <f aca="false">C3716/SUM($A3716:$C3716)</f>
        <v>0.0200592333624762</v>
      </c>
      <c r="G3716" s="0" t="n">
        <f aca="false">SUMPRODUCT(D3716:F3716,Stats!$B$6:$D$6)</f>
        <v>0.399973280409448</v>
      </c>
      <c r="H3716" s="0" t="n">
        <f aca="false">SQRT(SUMPRODUCT(MMULT(D3716:F3716,Stats!$B$12:$D$14),D3716:F3716))</f>
        <v>0.239821231632378</v>
      </c>
      <c r="I3716" s="0" t="n">
        <f aca="false">(G3716-Stats!$B$2)/H3716</f>
        <v>1.49266717534912</v>
      </c>
    </row>
    <row r="3717" customFormat="false" ht="15" hidden="false" customHeight="false" outlineLevel="0" collapsed="false">
      <c r="A3717" s="0" t="n">
        <v>0.670760021711534</v>
      </c>
      <c r="B3717" s="0" t="n">
        <v>0.469282278120241</v>
      </c>
      <c r="C3717" s="0" t="n">
        <v>0.346760071920069</v>
      </c>
      <c r="D3717" s="0" t="n">
        <f aca="false">A3717/SUM($A3717:$C3717)</f>
        <v>0.451142690148659</v>
      </c>
      <c r="E3717" s="0" t="n">
        <f aca="false">B3717/SUM($A3717:$C3717)</f>
        <v>0.315631913855036</v>
      </c>
      <c r="F3717" s="0" t="n">
        <f aca="false">C3717/SUM($A3717:$C3717)</f>
        <v>0.233225395996305</v>
      </c>
      <c r="G3717" s="0" t="n">
        <f aca="false">SUMPRODUCT(D3717:F3717,Stats!$B$6:$D$6)</f>
        <v>0.368213655673759</v>
      </c>
      <c r="H3717" s="0" t="n">
        <f aca="false">SQRT(SUMPRODUCT(MMULT(D3717:F3717,Stats!$B$12:$D$14),D3717:F3717))</f>
        <v>0.22398178743105</v>
      </c>
      <c r="I3717" s="0" t="n">
        <f aca="false">(G3717-Stats!$B$2)/H3717</f>
        <v>1.45642937943863</v>
      </c>
    </row>
    <row r="3718" customFormat="false" ht="15" hidden="false" customHeight="false" outlineLevel="0" collapsed="false">
      <c r="A3718" s="0" t="n">
        <v>0.862404352293089</v>
      </c>
      <c r="B3718" s="0" t="n">
        <v>0.854267692657531</v>
      </c>
      <c r="C3718" s="0" t="n">
        <v>0.0223017048986436</v>
      </c>
      <c r="D3718" s="0" t="n">
        <f aca="false">A3718/SUM($A3718:$C3718)</f>
        <v>0.495927182551113</v>
      </c>
      <c r="E3718" s="0" t="n">
        <f aca="false">B3718/SUM($A3718:$C3718)</f>
        <v>0.491248181711529</v>
      </c>
      <c r="F3718" s="0" t="n">
        <f aca="false">C3718/SUM($A3718:$C3718)</f>
        <v>0.0128246357373576</v>
      </c>
      <c r="G3718" s="0" t="n">
        <f aca="false">SUMPRODUCT(D3718:F3718,Stats!$B$6:$D$6)</f>
        <v>0.384395854624085</v>
      </c>
      <c r="H3718" s="0" t="n">
        <f aca="false">SQRT(SUMPRODUCT(MMULT(D3718:F3718,Stats!$B$12:$D$14),D3718:F3718))</f>
        <v>0.229235112258901</v>
      </c>
      <c r="I3718" s="0" t="n">
        <f aca="false">(G3718-Stats!$B$2)/H3718</f>
        <v>1.49364489257378</v>
      </c>
    </row>
    <row r="3719" customFormat="false" ht="15" hidden="false" customHeight="false" outlineLevel="0" collapsed="false">
      <c r="A3719" s="0" t="n">
        <v>0.609505122449431</v>
      </c>
      <c r="B3719" s="0" t="n">
        <v>0.367832224320956</v>
      </c>
      <c r="C3719" s="0" t="n">
        <v>0.415661001500449</v>
      </c>
      <c r="D3719" s="0" t="n">
        <f aca="false">A3719/SUM($A3719:$C3719)</f>
        <v>0.437549063289289</v>
      </c>
      <c r="E3719" s="0" t="n">
        <f aca="false">B3719/SUM($A3719:$C3719)</f>
        <v>0.264057904144363</v>
      </c>
      <c r="F3719" s="0" t="n">
        <f aca="false">C3719/SUM($A3719:$C3719)</f>
        <v>0.298393032566348</v>
      </c>
      <c r="G3719" s="0" t="n">
        <f aca="false">SUMPRODUCT(D3719:F3719,Stats!$B$6:$D$6)</f>
        <v>0.363449181392313</v>
      </c>
      <c r="H3719" s="0" t="n">
        <f aca="false">SQRT(SUMPRODUCT(MMULT(D3719:F3719,Stats!$B$12:$D$14),D3719:F3719))</f>
        <v>0.223525550697817</v>
      </c>
      <c r="I3719" s="0" t="n">
        <f aca="false">(G3719-Stats!$B$2)/H3719</f>
        <v>1.43808696763655</v>
      </c>
    </row>
    <row r="3720" customFormat="false" ht="15" hidden="false" customHeight="false" outlineLevel="0" collapsed="false">
      <c r="A3720" s="0" t="n">
        <v>0.832040739218776</v>
      </c>
      <c r="B3720" s="0" t="n">
        <v>0.309839771527678</v>
      </c>
      <c r="C3720" s="0" t="n">
        <v>0.94304881063762</v>
      </c>
      <c r="D3720" s="0" t="n">
        <f aca="false">A3720/SUM($A3720:$C3720)</f>
        <v>0.399073834630724</v>
      </c>
      <c r="E3720" s="0" t="n">
        <f aca="false">B3720/SUM($A3720:$C3720)</f>
        <v>0.14860924461554</v>
      </c>
      <c r="F3720" s="0" t="n">
        <f aca="false">C3720/SUM($A3720:$C3720)</f>
        <v>0.452316920753736</v>
      </c>
      <c r="G3720" s="0" t="n">
        <f aca="false">SUMPRODUCT(D3720:F3720,Stats!$B$6:$D$6)</f>
        <v>0.352562022930774</v>
      </c>
      <c r="H3720" s="0" t="n">
        <f aca="false">SQRT(SUMPRODUCT(MMULT(D3720:F3720,Stats!$B$12:$D$14),D3720:F3720))</f>
        <v>0.224606587302867</v>
      </c>
      <c r="I3720" s="0" t="n">
        <f aca="false">(G3720-Stats!$B$2)/H3720</f>
        <v>1.38269329791295</v>
      </c>
    </row>
    <row r="3721" customFormat="false" ht="15" hidden="false" customHeight="false" outlineLevel="0" collapsed="false">
      <c r="A3721" s="0" t="n">
        <v>0.179633826372141</v>
      </c>
      <c r="B3721" s="0" t="n">
        <v>0.662722423368178</v>
      </c>
      <c r="C3721" s="0" t="n">
        <v>0.672105067013765</v>
      </c>
      <c r="D3721" s="0" t="n">
        <f aca="false">A3721/SUM($A3721:$C3721)</f>
        <v>0.118612357004368</v>
      </c>
      <c r="E3721" s="0" t="n">
        <f aca="false">B3721/SUM($A3721:$C3721)</f>
        <v>0.437596138004091</v>
      </c>
      <c r="F3721" s="0" t="n">
        <f aca="false">C3721/SUM($A3721:$C3721)</f>
        <v>0.44379150499154</v>
      </c>
      <c r="G3721" s="0" t="n">
        <f aca="false">SUMPRODUCT(D3721:F3721,Stats!$B$6:$D$6)</f>
        <v>0.369425039808529</v>
      </c>
      <c r="H3721" s="0" t="n">
        <f aca="false">SQRT(SUMPRODUCT(MMULT(D3721:F3721,Stats!$B$12:$D$14),D3721:F3721))</f>
        <v>0.235882821902045</v>
      </c>
      <c r="I3721" s="0" t="n">
        <f aca="false">(G3721-Stats!$B$2)/H3721</f>
        <v>1.38808344400975</v>
      </c>
    </row>
    <row r="3722" customFormat="false" ht="15" hidden="false" customHeight="false" outlineLevel="0" collapsed="false">
      <c r="A3722" s="0" t="n">
        <v>0.252195161427918</v>
      </c>
      <c r="B3722" s="0" t="n">
        <v>0.324750608967202</v>
      </c>
      <c r="C3722" s="0" t="n">
        <v>0.83479849257994</v>
      </c>
      <c r="D3722" s="0" t="n">
        <f aca="false">A3722/SUM($A3722:$C3722)</f>
        <v>0.178640826134084</v>
      </c>
      <c r="E3722" s="0" t="n">
        <f aca="false">B3722/SUM($A3722:$C3722)</f>
        <v>0.230035012349074</v>
      </c>
      <c r="F3722" s="0" t="n">
        <f aca="false">C3722/SUM($A3722:$C3722)</f>
        <v>0.591324161516843</v>
      </c>
      <c r="G3722" s="0" t="n">
        <f aca="false">SUMPRODUCT(D3722:F3722,Stats!$B$6:$D$6)</f>
        <v>0.353414085019805</v>
      </c>
      <c r="H3722" s="0" t="n">
        <f aca="false">SQRT(SUMPRODUCT(MMULT(D3722:F3722,Stats!$B$12:$D$14),D3722:F3722))</f>
        <v>0.234510424636974</v>
      </c>
      <c r="I3722" s="0" t="n">
        <f aca="false">(G3722-Stats!$B$2)/H3722</f>
        <v>1.32793280086324</v>
      </c>
    </row>
    <row r="3723" customFormat="false" ht="15" hidden="false" customHeight="false" outlineLevel="0" collapsed="false">
      <c r="A3723" s="0" t="n">
        <v>0.761805254954952</v>
      </c>
      <c r="B3723" s="0" t="n">
        <v>0.32909588031476</v>
      </c>
      <c r="C3723" s="0" t="n">
        <v>0.533956546934934</v>
      </c>
      <c r="D3723" s="0" t="n">
        <f aca="false">A3723/SUM($A3723:$C3723)</f>
        <v>0.468844295287029</v>
      </c>
      <c r="E3723" s="0" t="n">
        <f aca="false">B3723/SUM($A3723:$C3723)</f>
        <v>0.202538280071541</v>
      </c>
      <c r="F3723" s="0" t="n">
        <f aca="false">C3723/SUM($A3723:$C3723)</f>
        <v>0.32861742464143</v>
      </c>
      <c r="G3723" s="0" t="n">
        <f aca="false">SUMPRODUCT(D3723:F3723,Stats!$B$6:$D$6)</f>
        <v>0.359075995859896</v>
      </c>
      <c r="H3723" s="0" t="n">
        <f aca="false">SQRT(SUMPRODUCT(MMULT(D3723:F3723,Stats!$B$12:$D$14),D3723:F3723))</f>
        <v>0.222695666031264</v>
      </c>
      <c r="I3723" s="0" t="n">
        <f aca="false">(G3723-Stats!$B$2)/H3723</f>
        <v>1.4238085613008</v>
      </c>
    </row>
    <row r="3724" customFormat="false" ht="15" hidden="false" customHeight="false" outlineLevel="0" collapsed="false">
      <c r="A3724" s="0" t="n">
        <v>0.0616802962530955</v>
      </c>
      <c r="B3724" s="0" t="n">
        <v>0.208745882398629</v>
      </c>
      <c r="C3724" s="0" t="n">
        <v>0.485820558860399</v>
      </c>
      <c r="D3724" s="0" t="n">
        <f aca="false">A3724/SUM($A3724:$C3724)</f>
        <v>0.0815610741753536</v>
      </c>
      <c r="E3724" s="0" t="n">
        <f aca="false">B3724/SUM($A3724:$C3724)</f>
        <v>0.276028803886619</v>
      </c>
      <c r="F3724" s="0" t="n">
        <f aca="false">C3724/SUM($A3724:$C3724)</f>
        <v>0.642410121938028</v>
      </c>
      <c r="G3724" s="0" t="n">
        <f aca="false">SUMPRODUCT(D3724:F3724,Stats!$B$6:$D$6)</f>
        <v>0.354651832546355</v>
      </c>
      <c r="H3724" s="0" t="n">
        <f aca="false">SQRT(SUMPRODUCT(MMULT(D3724:F3724,Stats!$B$12:$D$14),D3724:F3724))</f>
        <v>0.240522486130449</v>
      </c>
      <c r="I3724" s="0" t="n">
        <f aca="false">(G3724-Stats!$B$2)/H3724</f>
        <v>1.29988608373517</v>
      </c>
    </row>
    <row r="3725" customFormat="false" ht="15" hidden="false" customHeight="false" outlineLevel="0" collapsed="false">
      <c r="A3725" s="0" t="n">
        <v>0.0859737352792116</v>
      </c>
      <c r="B3725" s="0" t="n">
        <v>0.843332354891938</v>
      </c>
      <c r="C3725" s="0" t="n">
        <v>0.718006210107648</v>
      </c>
      <c r="D3725" s="0" t="n">
        <f aca="false">A3725/SUM($A3725:$C3725)</f>
        <v>0.0521903073659203</v>
      </c>
      <c r="E3725" s="0" t="n">
        <f aca="false">B3725/SUM($A3725:$C3725)</f>
        <v>0.511944428964204</v>
      </c>
      <c r="F3725" s="0" t="n">
        <f aca="false">C3725/SUM($A3725:$C3725)</f>
        <v>0.435865263669876</v>
      </c>
      <c r="G3725" s="0" t="n">
        <f aca="false">SUMPRODUCT(D3725:F3725,Stats!$B$6:$D$6)</f>
        <v>0.373921507299116</v>
      </c>
      <c r="H3725" s="0" t="n">
        <f aca="false">SQRT(SUMPRODUCT(MMULT(D3725:F3725,Stats!$B$12:$D$14),D3725:F3725))</f>
        <v>0.239827202365132</v>
      </c>
      <c r="I3725" s="0" t="n">
        <f aca="false">(G3725-Stats!$B$2)/H3725</f>
        <v>1.38400274875313</v>
      </c>
    </row>
    <row r="3726" customFormat="false" ht="15" hidden="false" customHeight="false" outlineLevel="0" collapsed="false">
      <c r="A3726" s="0" t="n">
        <v>0.943633670648495</v>
      </c>
      <c r="B3726" s="0" t="n">
        <v>0.693466905964027</v>
      </c>
      <c r="C3726" s="0" t="n">
        <v>0.940401372262186</v>
      </c>
      <c r="D3726" s="0" t="n">
        <f aca="false">A3726/SUM($A3726:$C3726)</f>
        <v>0.366103960099999</v>
      </c>
      <c r="E3726" s="0" t="n">
        <f aca="false">B3726/SUM($A3726:$C3726)</f>
        <v>0.269046122842616</v>
      </c>
      <c r="F3726" s="0" t="n">
        <f aca="false">C3726/SUM($A3726:$C3726)</f>
        <v>0.364849917057385</v>
      </c>
      <c r="G3726" s="0" t="n">
        <f aca="false">SUMPRODUCT(D3726:F3726,Stats!$B$6:$D$6)</f>
        <v>0.361903674010907</v>
      </c>
      <c r="H3726" s="0" t="n">
        <f aca="false">SQRT(SUMPRODUCT(MMULT(D3726:F3726,Stats!$B$12:$D$14),D3726:F3726))</f>
        <v>0.22512332323214</v>
      </c>
      <c r="I3726" s="0" t="n">
        <f aca="false">(G3726-Stats!$B$2)/H3726</f>
        <v>1.42101524363619</v>
      </c>
    </row>
    <row r="3727" customFormat="false" ht="15" hidden="false" customHeight="false" outlineLevel="0" collapsed="false">
      <c r="A3727" s="0" t="n">
        <v>0.554512555690965</v>
      </c>
      <c r="B3727" s="0" t="n">
        <v>0.600218611061969</v>
      </c>
      <c r="C3727" s="0" t="n">
        <v>0.976971054626261</v>
      </c>
      <c r="D3727" s="0" t="n">
        <f aca="false">A3727/SUM($A3727:$C3727)</f>
        <v>0.260126649083379</v>
      </c>
      <c r="E3727" s="0" t="n">
        <f aca="false">B3727/SUM($A3727:$C3727)</f>
        <v>0.281567756060053</v>
      </c>
      <c r="F3727" s="0" t="n">
        <f aca="false">C3727/SUM($A3727:$C3727)</f>
        <v>0.458305594856569</v>
      </c>
      <c r="G3727" s="0" t="n">
        <f aca="false">SUMPRODUCT(D3727:F3727,Stats!$B$6:$D$6)</f>
        <v>0.360047148209436</v>
      </c>
      <c r="H3727" s="0" t="n">
        <f aca="false">SQRT(SUMPRODUCT(MMULT(D3727:F3727,Stats!$B$12:$D$14),D3727:F3727))</f>
        <v>0.229129758600826</v>
      </c>
      <c r="I3727" s="0" t="n">
        <f aca="false">(G3727-Stats!$B$2)/H3727</f>
        <v>1.38806565394029</v>
      </c>
    </row>
    <row r="3728" customFormat="false" ht="15" hidden="false" customHeight="false" outlineLevel="0" collapsed="false">
      <c r="A3728" s="0" t="n">
        <v>0.64212914686426</v>
      </c>
      <c r="B3728" s="0" t="n">
        <v>0.0307865688607466</v>
      </c>
      <c r="C3728" s="0" t="n">
        <v>0.723802776630523</v>
      </c>
      <c r="D3728" s="0" t="n">
        <f aca="false">A3728/SUM($A3728:$C3728)</f>
        <v>0.459741279562588</v>
      </c>
      <c r="E3728" s="0" t="n">
        <f aca="false">B3728/SUM($A3728:$C3728)</f>
        <v>0.0220420714906021</v>
      </c>
      <c r="F3728" s="0" t="n">
        <f aca="false">C3728/SUM($A3728:$C3728)</f>
        <v>0.51821664894681</v>
      </c>
      <c r="G3728" s="0" t="n">
        <f aca="false">SUMPRODUCT(D3728:F3728,Stats!$B$6:$D$6)</f>
        <v>0.343462351943296</v>
      </c>
      <c r="H3728" s="0" t="n">
        <f aca="false">SQRT(SUMPRODUCT(MMULT(D3728:F3728,Stats!$B$12:$D$14),D3728:F3728))</f>
        <v>0.224414998651277</v>
      </c>
      <c r="I3728" s="0" t="n">
        <f aca="false">(G3728-Stats!$B$2)/H3728</f>
        <v>1.34332532921181</v>
      </c>
    </row>
    <row r="3729" customFormat="false" ht="15" hidden="false" customHeight="false" outlineLevel="0" collapsed="false">
      <c r="A3729" s="0" t="n">
        <v>0.905468692137416</v>
      </c>
      <c r="B3729" s="0" t="n">
        <v>0.795580249794327</v>
      </c>
      <c r="C3729" s="0" t="n">
        <v>0.583833272625423</v>
      </c>
      <c r="D3729" s="0" t="n">
        <f aca="false">A3729/SUM($A3729:$C3729)</f>
        <v>0.396286813547151</v>
      </c>
      <c r="E3729" s="0" t="n">
        <f aca="false">B3729/SUM($A3729:$C3729)</f>
        <v>0.348193112417621</v>
      </c>
      <c r="F3729" s="0" t="n">
        <f aca="false">C3729/SUM($A3729:$C3729)</f>
        <v>0.255520074035228</v>
      </c>
      <c r="G3729" s="0" t="n">
        <f aca="false">SUMPRODUCT(D3729:F3729,Stats!$B$6:$D$6)</f>
        <v>0.369472417723976</v>
      </c>
      <c r="H3729" s="0" t="n">
        <f aca="false">SQRT(SUMPRODUCT(MMULT(D3729:F3729,Stats!$B$12:$D$14),D3729:F3729))</f>
        <v>0.225087520423074</v>
      </c>
      <c r="I3729" s="0" t="n">
        <f aca="false">(G3729-Stats!$B$2)/H3729</f>
        <v>1.45486705397287</v>
      </c>
    </row>
    <row r="3730" customFormat="false" ht="15" hidden="false" customHeight="false" outlineLevel="0" collapsed="false">
      <c r="A3730" s="0" t="n">
        <v>0.671303513093516</v>
      </c>
      <c r="B3730" s="0" t="n">
        <v>0.990191789251672</v>
      </c>
      <c r="C3730" s="0" t="n">
        <v>0.0906620885093383</v>
      </c>
      <c r="D3730" s="0" t="n">
        <f aca="false">A3730/SUM($A3730:$C3730)</f>
        <v>0.383129687205852</v>
      </c>
      <c r="E3730" s="0" t="n">
        <f aca="false">B3730/SUM($A3730:$C3730)</f>
        <v>0.565127193721311</v>
      </c>
      <c r="F3730" s="0" t="n">
        <f aca="false">C3730/SUM($A3730:$C3730)</f>
        <v>0.0517431190728377</v>
      </c>
      <c r="G3730" s="0" t="n">
        <f aca="false">SUMPRODUCT(D3730:F3730,Stats!$B$6:$D$6)</f>
        <v>0.387573595146253</v>
      </c>
      <c r="H3730" s="0" t="n">
        <f aca="false">SQRT(SUMPRODUCT(MMULT(D3730:F3730,Stats!$B$12:$D$14),D3730:F3730))</f>
        <v>0.230947512454532</v>
      </c>
      <c r="I3730" s="0" t="n">
        <f aca="false">(G3730-Stats!$B$2)/H3730</f>
        <v>1.49632958360739</v>
      </c>
    </row>
    <row r="3731" customFormat="false" ht="15" hidden="false" customHeight="false" outlineLevel="0" collapsed="false">
      <c r="A3731" s="0" t="n">
        <v>0.66724482863324</v>
      </c>
      <c r="B3731" s="0" t="n">
        <v>0.283397694570594</v>
      </c>
      <c r="C3731" s="0" t="n">
        <v>0.64009039658617</v>
      </c>
      <c r="D3731" s="0" t="n">
        <f aca="false">A3731/SUM($A3731:$C3731)</f>
        <v>0.419457484240236</v>
      </c>
      <c r="E3731" s="0" t="n">
        <f aca="false">B3731/SUM($A3731:$C3731)</f>
        <v>0.178155421972411</v>
      </c>
      <c r="F3731" s="0" t="n">
        <f aca="false">C3731/SUM($A3731:$C3731)</f>
        <v>0.402387093787353</v>
      </c>
      <c r="G3731" s="0" t="n">
        <f aca="false">SUMPRODUCT(D3731:F3731,Stats!$B$6:$D$6)</f>
        <v>0.355638867509596</v>
      </c>
      <c r="H3731" s="0" t="n">
        <f aca="false">SQRT(SUMPRODUCT(MMULT(D3731:F3731,Stats!$B$12:$D$14),D3731:F3731))</f>
        <v>0.223762544976164</v>
      </c>
      <c r="I3731" s="0" t="n">
        <f aca="false">(G3731-Stats!$B$2)/H3731</f>
        <v>1.40165936860884</v>
      </c>
    </row>
    <row r="3732" customFormat="false" ht="15" hidden="false" customHeight="false" outlineLevel="0" collapsed="false">
      <c r="A3732" s="0" t="n">
        <v>0.607623575883939</v>
      </c>
      <c r="B3732" s="0" t="n">
        <v>0.153456832108162</v>
      </c>
      <c r="C3732" s="0" t="n">
        <v>0.206746645740239</v>
      </c>
      <c r="D3732" s="0" t="n">
        <f aca="false">A3732/SUM($A3732:$C3732)</f>
        <v>0.627822474625701</v>
      </c>
      <c r="E3732" s="0" t="n">
        <f aca="false">B3732/SUM($A3732:$C3732)</f>
        <v>0.158558113783211</v>
      </c>
      <c r="F3732" s="0" t="n">
        <f aca="false">C3732/SUM($A3732:$C3732)</f>
        <v>0.213619411591088</v>
      </c>
      <c r="G3732" s="0" t="n">
        <f aca="false">SUMPRODUCT(D3732:F3732,Stats!$B$6:$D$6)</f>
        <v>0.359716459993383</v>
      </c>
      <c r="H3732" s="0" t="n">
        <f aca="false">SQRT(SUMPRODUCT(MMULT(D3732:F3732,Stats!$B$12:$D$14),D3732:F3732))</f>
        <v>0.222044888661321</v>
      </c>
      <c r="I3732" s="0" t="n">
        <f aca="false">(G3732-Stats!$B$2)/H3732</f>
        <v>1.43086590242564</v>
      </c>
    </row>
    <row r="3733" customFormat="false" ht="15" hidden="false" customHeight="false" outlineLevel="0" collapsed="false">
      <c r="A3733" s="0" t="n">
        <v>0.621629578043214</v>
      </c>
      <c r="B3733" s="0" t="n">
        <v>0.128229947303774</v>
      </c>
      <c r="C3733" s="0" t="n">
        <v>0.265180875130323</v>
      </c>
      <c r="D3733" s="0" t="n">
        <f aca="false">A3733/SUM($A3733:$C3733)</f>
        <v>0.612418557676029</v>
      </c>
      <c r="E3733" s="0" t="n">
        <f aca="false">B3733/SUM($A3733:$C3733)</f>
        <v>0.126329895089373</v>
      </c>
      <c r="F3733" s="0" t="n">
        <f aca="false">C3733/SUM($A3733:$C3733)</f>
        <v>0.261251547234598</v>
      </c>
      <c r="G3733" s="0" t="n">
        <f aca="false">SUMPRODUCT(D3733:F3733,Stats!$B$6:$D$6)</f>
        <v>0.35654865218182</v>
      </c>
      <c r="H3733" s="0" t="n">
        <f aca="false">SQRT(SUMPRODUCT(MMULT(D3733:F3733,Stats!$B$12:$D$14),D3733:F3733))</f>
        <v>0.22155479174925</v>
      </c>
      <c r="I3733" s="0" t="n">
        <f aca="false">(G3733-Stats!$B$2)/H3733</f>
        <v>1.41973301366381</v>
      </c>
    </row>
    <row r="3734" customFormat="false" ht="15" hidden="false" customHeight="false" outlineLevel="0" collapsed="false">
      <c r="A3734" s="0" t="n">
        <v>0.835245547738002</v>
      </c>
      <c r="B3734" s="0" t="n">
        <v>0.327091506001639</v>
      </c>
      <c r="C3734" s="0" t="n">
        <v>0.488060156269663</v>
      </c>
      <c r="D3734" s="0" t="n">
        <f aca="false">A3734/SUM($A3734:$C3734)</f>
        <v>0.506087590715991</v>
      </c>
      <c r="E3734" s="0" t="n">
        <f aca="false">B3734/SUM($A3734:$C3734)</f>
        <v>0.19818956552877</v>
      </c>
      <c r="F3734" s="0" t="n">
        <f aca="false">C3734/SUM($A3734:$C3734)</f>
        <v>0.295722843755239</v>
      </c>
      <c r="G3734" s="0" t="n">
        <f aca="false">SUMPRODUCT(D3734:F3734,Stats!$B$6:$D$6)</f>
        <v>0.359732831869552</v>
      </c>
      <c r="H3734" s="0" t="n">
        <f aca="false">SQRT(SUMPRODUCT(MMULT(D3734:F3734,Stats!$B$12:$D$14),D3734:F3734))</f>
        <v>0.222233774915902</v>
      </c>
      <c r="I3734" s="0" t="n">
        <f aca="false">(G3734-Stats!$B$2)/H3734</f>
        <v>1.42972341620795</v>
      </c>
    </row>
    <row r="3735" customFormat="false" ht="15" hidden="false" customHeight="false" outlineLevel="0" collapsed="false">
      <c r="A3735" s="0" t="n">
        <v>0.94114033514584</v>
      </c>
      <c r="B3735" s="0" t="n">
        <v>0.227149088836946</v>
      </c>
      <c r="C3735" s="0" t="n">
        <v>0.38962601735801</v>
      </c>
      <c r="D3735" s="0" t="n">
        <f aca="false">A3735/SUM($A3735:$C3735)</f>
        <v>0.604102321712571</v>
      </c>
      <c r="E3735" s="0" t="n">
        <f aca="false">B3735/SUM($A3735:$C3735)</f>
        <v>0.145803220642998</v>
      </c>
      <c r="F3735" s="0" t="n">
        <f aca="false">C3735/SUM($A3735:$C3735)</f>
        <v>0.250094457644431</v>
      </c>
      <c r="G3735" s="0" t="n">
        <f aca="false">SUMPRODUCT(D3735:F3735,Stats!$B$6:$D$6)</f>
        <v>0.35797677458455</v>
      </c>
      <c r="H3735" s="0" t="n">
        <f aca="false">SQRT(SUMPRODUCT(MMULT(D3735:F3735,Stats!$B$12:$D$14),D3735:F3735))</f>
        <v>0.221682855380231</v>
      </c>
      <c r="I3735" s="0" t="n">
        <f aca="false">(G3735-Stats!$B$2)/H3735</f>
        <v>1.42535503723365</v>
      </c>
    </row>
    <row r="3736" customFormat="false" ht="15" hidden="false" customHeight="false" outlineLevel="0" collapsed="false">
      <c r="A3736" s="0" t="n">
        <v>0.606457775543546</v>
      </c>
      <c r="B3736" s="0" t="n">
        <v>0.755338929503972</v>
      </c>
      <c r="C3736" s="0" t="n">
        <v>0.901653386712705</v>
      </c>
      <c r="D3736" s="0" t="n">
        <f aca="false">A3736/SUM($A3736:$C3736)</f>
        <v>0.267935121587735</v>
      </c>
      <c r="E3736" s="0" t="n">
        <f aca="false">B3736/SUM($A3736:$C3736)</f>
        <v>0.333711325137532</v>
      </c>
      <c r="F3736" s="0" t="n">
        <f aca="false">C3736/SUM($A3736:$C3736)</f>
        <v>0.398353553274733</v>
      </c>
      <c r="G3736" s="0" t="n">
        <f aca="false">SUMPRODUCT(D3736:F3736,Stats!$B$6:$D$6)</f>
        <v>0.364700576173905</v>
      </c>
      <c r="H3736" s="0" t="n">
        <f aca="false">SQRT(SUMPRODUCT(MMULT(D3736:F3736,Stats!$B$12:$D$14),D3736:F3736))</f>
        <v>0.228591521375806</v>
      </c>
      <c r="I3736" s="0" t="n">
        <f aca="false">(G3736-Stats!$B$2)/H3736</f>
        <v>1.41169092463138</v>
      </c>
    </row>
    <row r="3737" customFormat="false" ht="15" hidden="false" customHeight="false" outlineLevel="0" collapsed="false">
      <c r="A3737" s="0" t="n">
        <v>0.915472987573515</v>
      </c>
      <c r="B3737" s="0" t="n">
        <v>0.776640074372623</v>
      </c>
      <c r="C3737" s="0" t="n">
        <v>0.22833083659331</v>
      </c>
      <c r="D3737" s="0" t="n">
        <f aca="false">A3737/SUM($A3737:$C3737)</f>
        <v>0.476698636325569</v>
      </c>
      <c r="E3737" s="0" t="n">
        <f aca="false">B3737/SUM($A3737:$C3737)</f>
        <v>0.404406541093588</v>
      </c>
      <c r="F3737" s="0" t="n">
        <f aca="false">C3737/SUM($A3737:$C3737)</f>
        <v>0.118894822580843</v>
      </c>
      <c r="G3737" s="0" t="n">
        <f aca="false">SUMPRODUCT(D3737:F3737,Stats!$B$6:$D$6)</f>
        <v>0.376474254414394</v>
      </c>
      <c r="H3737" s="0" t="n">
        <f aca="false">SQRT(SUMPRODUCT(MMULT(D3737:F3737,Stats!$B$12:$D$14),D3737:F3737))</f>
        <v>0.225954744411926</v>
      </c>
      <c r="I3737" s="0" t="n">
        <f aca="false">(G3737-Stats!$B$2)/H3737</f>
        <v>1.48027099534866</v>
      </c>
    </row>
    <row r="3738" customFormat="false" ht="15" hidden="false" customHeight="false" outlineLevel="0" collapsed="false">
      <c r="A3738" s="0" t="n">
        <v>0.0248093300425658</v>
      </c>
      <c r="B3738" s="0" t="n">
        <v>0.383773930355624</v>
      </c>
      <c r="C3738" s="0" t="n">
        <v>0.141548850987823</v>
      </c>
      <c r="D3738" s="0" t="n">
        <f aca="false">A3738/SUM($A3738:$C3738)</f>
        <v>0.0450970403819198</v>
      </c>
      <c r="E3738" s="0" t="n">
        <f aca="false">B3738/SUM($A3738:$C3738)</f>
        <v>0.697603216414211</v>
      </c>
      <c r="F3738" s="0" t="n">
        <f aca="false">C3738/SUM($A3738:$C3738)</f>
        <v>0.257299743203869</v>
      </c>
      <c r="G3738" s="0" t="n">
        <f aca="false">SUMPRODUCT(D3738:F3738,Stats!$B$6:$D$6)</f>
        <v>0.389527949182463</v>
      </c>
      <c r="H3738" s="0" t="n">
        <f aca="false">SQRT(SUMPRODUCT(MMULT(D3738:F3738,Stats!$B$12:$D$14),D3738:F3738))</f>
        <v>0.242251031983568</v>
      </c>
      <c r="I3738" s="0" t="n">
        <f aca="false">(G3738-Stats!$B$2)/H3738</f>
        <v>1.43457778626114</v>
      </c>
    </row>
    <row r="3739" customFormat="false" ht="15" hidden="false" customHeight="false" outlineLevel="0" collapsed="false">
      <c r="A3739" s="0" t="n">
        <v>0.710387647438298</v>
      </c>
      <c r="B3739" s="0" t="n">
        <v>0.661130586825717</v>
      </c>
      <c r="C3739" s="0" t="n">
        <v>0.0439716416214548</v>
      </c>
      <c r="D3739" s="0" t="n">
        <f aca="false">A3739/SUM($A3739:$C3739)</f>
        <v>0.501866992862743</v>
      </c>
      <c r="E3739" s="0" t="n">
        <f aca="false">B3739/SUM($A3739:$C3739)</f>
        <v>0.467068396665248</v>
      </c>
      <c r="F3739" s="0" t="n">
        <f aca="false">C3739/SUM($A3739:$C3739)</f>
        <v>0.0310646104720093</v>
      </c>
      <c r="G3739" s="0" t="n">
        <f aca="false">SUMPRODUCT(D3739:F3739,Stats!$B$6:$D$6)</f>
        <v>0.38250162079996</v>
      </c>
      <c r="H3739" s="0" t="n">
        <f aca="false">SQRT(SUMPRODUCT(MMULT(D3739:F3739,Stats!$B$12:$D$14),D3739:F3739))</f>
        <v>0.22837574124881</v>
      </c>
      <c r="I3739" s="0" t="n">
        <f aca="false">(G3739-Stats!$B$2)/H3739</f>
        <v>1.49097105908894</v>
      </c>
    </row>
    <row r="3740" customFormat="false" ht="15" hidden="false" customHeight="false" outlineLevel="0" collapsed="false">
      <c r="A3740" s="0" t="n">
        <v>0.836593779130951</v>
      </c>
      <c r="B3740" s="0" t="n">
        <v>0.248743266291182</v>
      </c>
      <c r="C3740" s="0" t="n">
        <v>0.432227075491042</v>
      </c>
      <c r="D3740" s="0" t="n">
        <f aca="false">A3740/SUM($A3740:$C3740)</f>
        <v>0.551274089576881</v>
      </c>
      <c r="E3740" s="0" t="n">
        <f aca="false">B3740/SUM($A3740:$C3740)</f>
        <v>0.163909559315032</v>
      </c>
      <c r="F3740" s="0" t="n">
        <f aca="false">C3740/SUM($A3740:$C3740)</f>
        <v>0.284816351108087</v>
      </c>
      <c r="G3740" s="0" t="n">
        <f aca="false">SUMPRODUCT(D3740:F3740,Stats!$B$6:$D$6)</f>
        <v>0.358061147019645</v>
      </c>
      <c r="H3740" s="0" t="n">
        <f aca="false">SQRT(SUMPRODUCT(MMULT(D3740:F3740,Stats!$B$12:$D$14),D3740:F3740))</f>
        <v>0.221751478415941</v>
      </c>
      <c r="I3740" s="0" t="n">
        <f aca="false">(G3740-Stats!$B$2)/H3740</f>
        <v>1.42529442995102</v>
      </c>
    </row>
    <row r="3741" customFormat="false" ht="15" hidden="false" customHeight="false" outlineLevel="0" collapsed="false">
      <c r="A3741" s="0" t="n">
        <v>0.667933735455742</v>
      </c>
      <c r="B3741" s="0" t="n">
        <v>0.429418786852253</v>
      </c>
      <c r="C3741" s="0" t="n">
        <v>0.441287802799943</v>
      </c>
      <c r="D3741" s="0" t="n">
        <f aca="false">A3741/SUM($A3741:$C3741)</f>
        <v>0.434106479959106</v>
      </c>
      <c r="E3741" s="0" t="n">
        <f aca="false">B3741/SUM($A3741:$C3741)</f>
        <v>0.279089778062413</v>
      </c>
      <c r="F3741" s="0" t="n">
        <f aca="false">C3741/SUM($A3741:$C3741)</f>
        <v>0.286803741978481</v>
      </c>
      <c r="G3741" s="0" t="n">
        <f aca="false">SUMPRODUCT(D3741:F3741,Stats!$B$6:$D$6)</f>
        <v>0.364633666192669</v>
      </c>
      <c r="H3741" s="0" t="n">
        <f aca="false">SQRT(SUMPRODUCT(MMULT(D3741:F3741,Stats!$B$12:$D$14),D3741:F3741))</f>
        <v>0.22370820123292</v>
      </c>
      <c r="I3741" s="0" t="n">
        <f aca="false">(G3741-Stats!$B$2)/H3741</f>
        <v>1.44220759191904</v>
      </c>
    </row>
    <row r="3742" customFormat="false" ht="15" hidden="false" customHeight="false" outlineLevel="0" collapsed="false">
      <c r="A3742" s="0" t="n">
        <v>0.0656279953357404</v>
      </c>
      <c r="B3742" s="0" t="n">
        <v>0.401443549260004</v>
      </c>
      <c r="C3742" s="0" t="n">
        <v>0.764847893219984</v>
      </c>
      <c r="D3742" s="0" t="n">
        <f aca="false">A3742/SUM($A3742:$C3742)</f>
        <v>0.0532729603261257</v>
      </c>
      <c r="E3742" s="0" t="n">
        <f aca="false">B3742/SUM($A3742:$C3742)</f>
        <v>0.325868345718929</v>
      </c>
      <c r="F3742" s="0" t="n">
        <f aca="false">C3742/SUM($A3742:$C3742)</f>
        <v>0.620858693954946</v>
      </c>
      <c r="G3742" s="0" t="n">
        <f aca="false">SUMPRODUCT(D3742:F3742,Stats!$B$6:$D$6)</f>
        <v>0.358113807614848</v>
      </c>
      <c r="H3742" s="0" t="n">
        <f aca="false">SQRT(SUMPRODUCT(MMULT(D3742:F3742,Stats!$B$12:$D$14),D3742:F3742))</f>
        <v>0.241630988133999</v>
      </c>
      <c r="I3742" s="0" t="n">
        <f aca="false">(G3742-Stats!$B$2)/H3742</f>
        <v>1.30825027889032</v>
      </c>
    </row>
    <row r="3743" customFormat="false" ht="15" hidden="false" customHeight="false" outlineLevel="0" collapsed="false">
      <c r="A3743" s="0" t="n">
        <v>0.915176337186598</v>
      </c>
      <c r="B3743" s="0" t="n">
        <v>0.413497137063372</v>
      </c>
      <c r="C3743" s="0" t="n">
        <v>0.423585826879079</v>
      </c>
      <c r="D3743" s="0" t="n">
        <f aca="false">A3743/SUM($A3743:$C3743)</f>
        <v>0.52228362354642</v>
      </c>
      <c r="E3743" s="0" t="n">
        <f aca="false">B3743/SUM($A3743:$C3743)</f>
        <v>0.235979421993617</v>
      </c>
      <c r="F3743" s="0" t="n">
        <f aca="false">C3743/SUM($A3743:$C3743)</f>
        <v>0.241736954459963</v>
      </c>
      <c r="G3743" s="0" t="n">
        <f aca="false">SUMPRODUCT(D3743:F3743,Stats!$B$6:$D$6)</f>
        <v>0.363395851433338</v>
      </c>
      <c r="H3743" s="0" t="n">
        <f aca="false">SQRT(SUMPRODUCT(MMULT(D3743:F3743,Stats!$B$12:$D$14),D3743:F3743))</f>
        <v>0.222524646757708</v>
      </c>
      <c r="I3743" s="0" t="n">
        <f aca="false">(G3743-Stats!$B$2)/H3743</f>
        <v>1.4443157471149</v>
      </c>
    </row>
    <row r="3744" customFormat="false" ht="15" hidden="false" customHeight="false" outlineLevel="0" collapsed="false">
      <c r="A3744" s="0" t="n">
        <v>0.702627106323652</v>
      </c>
      <c r="B3744" s="0" t="n">
        <v>0.942772001105277</v>
      </c>
      <c r="C3744" s="0" t="n">
        <v>0.26706094023936</v>
      </c>
      <c r="D3744" s="0" t="n">
        <f aca="false">A3744/SUM($A3744:$C3744)</f>
        <v>0.3673943971694</v>
      </c>
      <c r="E3744" s="0" t="n">
        <f aca="false">B3744/SUM($A3744:$C3744)</f>
        <v>0.492962978366384</v>
      </c>
      <c r="F3744" s="0" t="n">
        <f aca="false">C3744/SUM($A3744:$C3744)</f>
        <v>0.139642624464216</v>
      </c>
      <c r="G3744" s="0" t="n">
        <f aca="false">SUMPRODUCT(D3744:F3744,Stats!$B$6:$D$6)</f>
        <v>0.380997564541807</v>
      </c>
      <c r="H3744" s="0" t="n">
        <f aca="false">SQRT(SUMPRODUCT(MMULT(D3744:F3744,Stats!$B$12:$D$14),D3744:F3744))</f>
        <v>0.228525334535219</v>
      </c>
      <c r="I3744" s="0" t="n">
        <f aca="false">(G3744-Stats!$B$2)/H3744</f>
        <v>1.48341349212449</v>
      </c>
    </row>
    <row r="3745" customFormat="false" ht="15" hidden="false" customHeight="false" outlineLevel="0" collapsed="false">
      <c r="A3745" s="0" t="n">
        <v>0.440144206537937</v>
      </c>
      <c r="B3745" s="0" t="n">
        <v>0.795973243552301</v>
      </c>
      <c r="C3745" s="0" t="n">
        <v>0.609693569374039</v>
      </c>
      <c r="D3745" s="0" t="n">
        <f aca="false">A3745/SUM($A3745:$C3745)</f>
        <v>0.238455725909407</v>
      </c>
      <c r="E3745" s="0" t="n">
        <f aca="false">B3745/SUM($A3745:$C3745)</f>
        <v>0.431232252467169</v>
      </c>
      <c r="F3745" s="0" t="n">
        <f aca="false">C3745/SUM($A3745:$C3745)</f>
        <v>0.330312021623424</v>
      </c>
      <c r="G3745" s="0" t="n">
        <f aca="false">SUMPRODUCT(D3745:F3745,Stats!$B$6:$D$6)</f>
        <v>0.372188023178722</v>
      </c>
      <c r="H3745" s="0" t="n">
        <f aca="false">SQRT(SUMPRODUCT(MMULT(D3745:F3745,Stats!$B$12:$D$14),D3745:F3745))</f>
        <v>0.230162691639407</v>
      </c>
      <c r="I3745" s="0" t="n">
        <f aca="false">(G3745-Stats!$B$2)/H3745</f>
        <v>1.43458533973014</v>
      </c>
    </row>
    <row r="3746" customFormat="false" ht="15" hidden="false" customHeight="false" outlineLevel="0" collapsed="false">
      <c r="A3746" s="0" t="n">
        <v>0.110586343963955</v>
      </c>
      <c r="B3746" s="0" t="n">
        <v>0.627732735562266</v>
      </c>
      <c r="C3746" s="0" t="n">
        <v>0.186746284597327</v>
      </c>
      <c r="D3746" s="0" t="n">
        <f aca="false">A3746/SUM($A3746:$C3746)</f>
        <v>0.119544356812807</v>
      </c>
      <c r="E3746" s="0" t="n">
        <f aca="false">B3746/SUM($A3746:$C3746)</f>
        <v>0.678582033126936</v>
      </c>
      <c r="F3746" s="0" t="n">
        <f aca="false">C3746/SUM($A3746:$C3746)</f>
        <v>0.201873610060257</v>
      </c>
      <c r="G3746" s="0" t="n">
        <f aca="false">SUMPRODUCT(D3746:F3746,Stats!$B$6:$D$6)</f>
        <v>0.389961849218172</v>
      </c>
      <c r="H3746" s="0" t="n">
        <f aca="false">SQRT(SUMPRODUCT(MMULT(D3746:F3746,Stats!$B$12:$D$14),D3746:F3746))</f>
        <v>0.23879438104252</v>
      </c>
      <c r="I3746" s="0" t="n">
        <f aca="false">(G3746-Stats!$B$2)/H3746</f>
        <v>1.45716095872546</v>
      </c>
    </row>
    <row r="3747" customFormat="false" ht="15" hidden="false" customHeight="false" outlineLevel="0" collapsed="false">
      <c r="A3747" s="0" t="n">
        <v>0.510215934078404</v>
      </c>
      <c r="B3747" s="0" t="n">
        <v>0.529103267660439</v>
      </c>
      <c r="C3747" s="0" t="n">
        <v>0.876203362224985</v>
      </c>
      <c r="D3747" s="0" t="n">
        <f aca="false">A3747/SUM($A3747:$C3747)</f>
        <v>0.266358613402394</v>
      </c>
      <c r="E3747" s="0" t="n">
        <f aca="false">B3747/SUM($A3747:$C3747)</f>
        <v>0.276218760151567</v>
      </c>
      <c r="F3747" s="0" t="n">
        <f aca="false">C3747/SUM($A3747:$C3747)</f>
        <v>0.457422626446039</v>
      </c>
      <c r="G3747" s="0" t="n">
        <f aca="false">SUMPRODUCT(D3747:F3747,Stats!$B$6:$D$6)</f>
        <v>0.359763721422245</v>
      </c>
      <c r="H3747" s="0" t="n">
        <f aca="false">SQRT(SUMPRODUCT(MMULT(D3747:F3747,Stats!$B$12:$D$14),D3747:F3747))</f>
        <v>0.228875112719775</v>
      </c>
      <c r="I3747" s="0" t="n">
        <f aca="false">(G3747-Stats!$B$2)/H3747</f>
        <v>1.38837166543005</v>
      </c>
    </row>
    <row r="3748" customFormat="false" ht="15" hidden="false" customHeight="false" outlineLevel="0" collapsed="false">
      <c r="A3748" s="0" t="n">
        <v>0.462494274012438</v>
      </c>
      <c r="B3748" s="0" t="n">
        <v>0.279442422235894</v>
      </c>
      <c r="C3748" s="0" t="n">
        <v>0.230966348216032</v>
      </c>
      <c r="D3748" s="0" t="n">
        <f aca="false">A3748/SUM($A3748:$C3748)</f>
        <v>0.475375502876616</v>
      </c>
      <c r="E3748" s="0" t="n">
        <f aca="false">B3748/SUM($A3748:$C3748)</f>
        <v>0.287225354906503</v>
      </c>
      <c r="F3748" s="0" t="n">
        <f aca="false">C3748/SUM($A3748:$C3748)</f>
        <v>0.237399142216881</v>
      </c>
      <c r="G3748" s="0" t="n">
        <f aca="false">SUMPRODUCT(D3748:F3748,Stats!$B$6:$D$6)</f>
        <v>0.366464089591025</v>
      </c>
      <c r="H3748" s="0" t="n">
        <f aca="false">SQRT(SUMPRODUCT(MMULT(D3748:F3748,Stats!$B$12:$D$14),D3748:F3748))</f>
        <v>0.223392950164744</v>
      </c>
      <c r="I3748" s="0" t="n">
        <f aca="false">(G3748-Stats!$B$2)/H3748</f>
        <v>1.45243656682874</v>
      </c>
    </row>
    <row r="3749" customFormat="false" ht="15" hidden="false" customHeight="false" outlineLevel="0" collapsed="false">
      <c r="A3749" s="0" t="n">
        <v>0.874251876684336</v>
      </c>
      <c r="B3749" s="0" t="n">
        <v>0.171010854418228</v>
      </c>
      <c r="C3749" s="0" t="n">
        <v>0.425868560883144</v>
      </c>
      <c r="D3749" s="0" t="n">
        <f aca="false">A3749/SUM($A3749:$C3749)</f>
        <v>0.594271824307595</v>
      </c>
      <c r="E3749" s="0" t="n">
        <f aca="false">B3749/SUM($A3749:$C3749)</f>
        <v>0.116244454420789</v>
      </c>
      <c r="F3749" s="0" t="n">
        <f aca="false">C3749/SUM($A3749:$C3749)</f>
        <v>0.289483721271616</v>
      </c>
      <c r="G3749" s="0" t="n">
        <f aca="false">SUMPRODUCT(D3749:F3749,Stats!$B$6:$D$6)</f>
        <v>0.355189857638674</v>
      </c>
      <c r="H3749" s="0" t="n">
        <f aca="false">SQRT(SUMPRODUCT(MMULT(D3749:F3749,Stats!$B$12:$D$14),D3749:F3749))</f>
        <v>0.221427042426478</v>
      </c>
      <c r="I3749" s="0" t="n">
        <f aca="false">(G3749-Stats!$B$2)/H3749</f>
        <v>1.41441557547184</v>
      </c>
    </row>
    <row r="3750" customFormat="false" ht="15" hidden="false" customHeight="false" outlineLevel="0" collapsed="false">
      <c r="A3750" s="0" t="n">
        <v>0.187173114926947</v>
      </c>
      <c r="B3750" s="0" t="n">
        <v>0.773304040114375</v>
      </c>
      <c r="C3750" s="0" t="n">
        <v>0.474372639974619</v>
      </c>
      <c r="D3750" s="0" t="n">
        <f aca="false">A3750/SUM($A3750:$C3750)</f>
        <v>0.130447880730866</v>
      </c>
      <c r="E3750" s="0" t="n">
        <f aca="false">B3750/SUM($A3750:$C3750)</f>
        <v>0.538944245453779</v>
      </c>
      <c r="F3750" s="0" t="n">
        <f aca="false">C3750/SUM($A3750:$C3750)</f>
        <v>0.330607873815355</v>
      </c>
      <c r="G3750" s="0" t="n">
        <f aca="false">SUMPRODUCT(D3750:F3750,Stats!$B$6:$D$6)</f>
        <v>0.378377473835865</v>
      </c>
      <c r="H3750" s="0" t="n">
        <f aca="false">SQRT(SUMPRODUCT(MMULT(D3750:F3750,Stats!$B$12:$D$14),D3750:F3750))</f>
        <v>0.235734541226445</v>
      </c>
      <c r="I3750" s="0" t="n">
        <f aca="false">(G3750-Stats!$B$2)/H3750</f>
        <v>1.42693332969284</v>
      </c>
    </row>
    <row r="3751" customFormat="false" ht="15" hidden="false" customHeight="false" outlineLevel="0" collapsed="false">
      <c r="A3751" s="0" t="n">
        <v>0.351143690556812</v>
      </c>
      <c r="B3751" s="0" t="n">
        <v>0.361099640626467</v>
      </c>
      <c r="C3751" s="0" t="n">
        <v>0.852214206722979</v>
      </c>
      <c r="D3751" s="0" t="n">
        <f aca="false">A3751/SUM($A3751:$C3751)</f>
        <v>0.2244507645933</v>
      </c>
      <c r="E3751" s="0" t="n">
        <f aca="false">B3751/SUM($A3751:$C3751)</f>
        <v>0.230814599870657</v>
      </c>
      <c r="F3751" s="0" t="n">
        <f aca="false">C3751/SUM($A3751:$C3751)</f>
        <v>0.544734635536042</v>
      </c>
      <c r="G3751" s="0" t="n">
        <f aca="false">SUMPRODUCT(D3751:F3751,Stats!$B$6:$D$6)</f>
        <v>0.354743629736444</v>
      </c>
      <c r="H3751" s="0" t="n">
        <f aca="false">SQRT(SUMPRODUCT(MMULT(D3751:F3751,Stats!$B$12:$D$14),D3751:F3751))</f>
        <v>0.231629412912832</v>
      </c>
      <c r="I3751" s="0" t="n">
        <f aca="false">(G3751-Stats!$B$2)/H3751</f>
        <v>1.3501896231725</v>
      </c>
    </row>
    <row r="3752" customFormat="false" ht="15" hidden="false" customHeight="false" outlineLevel="0" collapsed="false">
      <c r="A3752" s="0" t="n">
        <v>0.553773954294438</v>
      </c>
      <c r="B3752" s="0" t="n">
        <v>0.717867851131264</v>
      </c>
      <c r="C3752" s="0" t="n">
        <v>0.897038516250685</v>
      </c>
      <c r="D3752" s="0" t="n">
        <f aca="false">A3752/SUM($A3752:$C3752)</f>
        <v>0.255350661302802</v>
      </c>
      <c r="E3752" s="0" t="n">
        <f aca="false">B3752/SUM($A3752:$C3752)</f>
        <v>0.331015984216776</v>
      </c>
      <c r="F3752" s="0" t="n">
        <f aca="false">C3752/SUM($A3752:$C3752)</f>
        <v>0.413633354480422</v>
      </c>
      <c r="G3752" s="0" t="n">
        <f aca="false">SUMPRODUCT(D3752:F3752,Stats!$B$6:$D$6)</f>
        <v>0.36412415510451</v>
      </c>
      <c r="H3752" s="0" t="n">
        <f aca="false">SQRT(SUMPRODUCT(MMULT(D3752:F3752,Stats!$B$12:$D$14),D3752:F3752))</f>
        <v>0.22912589911223</v>
      </c>
      <c r="I3752" s="0" t="n">
        <f aca="false">(G3752-Stats!$B$2)/H3752</f>
        <v>1.40588277603104</v>
      </c>
    </row>
    <row r="3753" customFormat="false" ht="15" hidden="false" customHeight="false" outlineLevel="0" collapsed="false">
      <c r="A3753" s="0" t="n">
        <v>0.901741676040642</v>
      </c>
      <c r="B3753" s="0" t="n">
        <v>0.328509054337863</v>
      </c>
      <c r="C3753" s="0" t="n">
        <v>0.952451263146385</v>
      </c>
      <c r="D3753" s="0" t="n">
        <f aca="false">A3753/SUM($A3753:$C3753)</f>
        <v>0.413130916962421</v>
      </c>
      <c r="E3753" s="0" t="n">
        <f aca="false">B3753/SUM($A3753:$C3753)</f>
        <v>0.15050568300776</v>
      </c>
      <c r="F3753" s="0" t="n">
        <f aca="false">C3753/SUM($A3753:$C3753)</f>
        <v>0.436363400029819</v>
      </c>
      <c r="G3753" s="0" t="n">
        <f aca="false">SUMPRODUCT(D3753:F3753,Stats!$B$6:$D$6)</f>
        <v>0.353111053739265</v>
      </c>
      <c r="H3753" s="0" t="n">
        <f aca="false">SQRT(SUMPRODUCT(MMULT(D3753:F3753,Stats!$B$12:$D$14),D3753:F3753))</f>
        <v>0.224128638464986</v>
      </c>
      <c r="I3753" s="0" t="n">
        <f aca="false">(G3753-Stats!$B$2)/H3753</f>
        <v>1.38809148116905</v>
      </c>
    </row>
    <row r="3754" customFormat="false" ht="15" hidden="false" customHeight="false" outlineLevel="0" collapsed="false">
      <c r="A3754" s="0" t="n">
        <v>0.0248758820146054</v>
      </c>
      <c r="B3754" s="0" t="n">
        <v>0.376835561016166</v>
      </c>
      <c r="C3754" s="0" t="n">
        <v>0.895798857508842</v>
      </c>
      <c r="D3754" s="0" t="n">
        <f aca="false">A3754/SUM($A3754:$C3754)</f>
        <v>0.0191720112004197</v>
      </c>
      <c r="E3754" s="0" t="n">
        <f aca="false">B3754/SUM($A3754:$C3754)</f>
        <v>0.29042972596013</v>
      </c>
      <c r="F3754" s="0" t="n">
        <f aca="false">C3754/SUM($A3754:$C3754)</f>
        <v>0.69039826283945</v>
      </c>
      <c r="G3754" s="0" t="n">
        <f aca="false">SUMPRODUCT(D3754:F3754,Stats!$B$6:$D$6)</f>
        <v>0.354157188435569</v>
      </c>
      <c r="H3754" s="0" t="n">
        <f aca="false">SQRT(SUMPRODUCT(MMULT(D3754:F3754,Stats!$B$12:$D$14),D3754:F3754))</f>
        <v>0.245310342025056</v>
      </c>
      <c r="I3754" s="0" t="n">
        <f aca="false">(G3754-Stats!$B$2)/H3754</f>
        <v>1.27249909587459</v>
      </c>
    </row>
    <row r="3755" customFormat="false" ht="15" hidden="false" customHeight="false" outlineLevel="0" collapsed="false">
      <c r="A3755" s="0" t="n">
        <v>0.274636879816983</v>
      </c>
      <c r="B3755" s="0" t="n">
        <v>0.273081450321318</v>
      </c>
      <c r="C3755" s="0" t="n">
        <v>0.302622285081889</v>
      </c>
      <c r="D3755" s="0" t="n">
        <f aca="false">A3755/SUM($A3755:$C3755)</f>
        <v>0.322972788669947</v>
      </c>
      <c r="E3755" s="0" t="n">
        <f aca="false">B3755/SUM($A3755:$C3755)</f>
        <v>0.321143604613789</v>
      </c>
      <c r="F3755" s="0" t="n">
        <f aca="false">C3755/SUM($A3755:$C3755)</f>
        <v>0.355883606716265</v>
      </c>
      <c r="G3755" s="0" t="n">
        <f aca="false">SUMPRODUCT(D3755:F3755,Stats!$B$6:$D$6)</f>
        <v>0.365148538242601</v>
      </c>
      <c r="H3755" s="0" t="n">
        <f aca="false">SQRT(SUMPRODUCT(MMULT(D3755:F3755,Stats!$B$12:$D$14),D3755:F3755))</f>
        <v>0.226564759018867</v>
      </c>
      <c r="I3755" s="0" t="n">
        <f aca="false">(G3755-Stats!$B$2)/H3755</f>
        <v>1.42629656810701</v>
      </c>
    </row>
    <row r="3756" customFormat="false" ht="15" hidden="false" customHeight="false" outlineLevel="0" collapsed="false">
      <c r="A3756" s="0" t="n">
        <v>0.612313384846922</v>
      </c>
      <c r="B3756" s="0" t="n">
        <v>0.438332775614354</v>
      </c>
      <c r="C3756" s="0" t="n">
        <v>0.726734836353343</v>
      </c>
      <c r="D3756" s="0" t="n">
        <f aca="false">A3756/SUM($A3756:$C3756)</f>
        <v>0.344503168394563</v>
      </c>
      <c r="E3756" s="0" t="n">
        <f aca="false">B3756/SUM($A3756:$C3756)</f>
        <v>0.246617228607667</v>
      </c>
      <c r="F3756" s="0" t="n">
        <f aca="false">C3756/SUM($A3756:$C3756)</f>
        <v>0.40887960299777</v>
      </c>
      <c r="G3756" s="0" t="n">
        <f aca="false">SUMPRODUCT(D3756:F3756,Stats!$B$6:$D$6)</f>
        <v>0.359399042810679</v>
      </c>
      <c r="H3756" s="0" t="n">
        <f aca="false">SQRT(SUMPRODUCT(MMULT(D3756:F3756,Stats!$B$12:$D$14),D3756:F3756))</f>
        <v>0.225833115939295</v>
      </c>
      <c r="I3756" s="0" t="n">
        <f aca="false">(G3756-Stats!$B$2)/H3756</f>
        <v>1.40545836907284</v>
      </c>
    </row>
    <row r="3757" customFormat="false" ht="15" hidden="false" customHeight="false" outlineLevel="0" collapsed="false">
      <c r="A3757" s="0" t="n">
        <v>0.894910642564666</v>
      </c>
      <c r="B3757" s="0" t="n">
        <v>0.674199374942861</v>
      </c>
      <c r="C3757" s="0" t="n">
        <v>0.204466720197576</v>
      </c>
      <c r="D3757" s="0" t="n">
        <f aca="false">A3757/SUM($A3757:$C3757)</f>
        <v>0.504579600949562</v>
      </c>
      <c r="E3757" s="0" t="n">
        <f aca="false">B3757/SUM($A3757:$C3757)</f>
        <v>0.380135440778972</v>
      </c>
      <c r="F3757" s="0" t="n">
        <f aca="false">C3757/SUM($A3757:$C3757)</f>
        <v>0.115284958271466</v>
      </c>
      <c r="G3757" s="0" t="n">
        <f aca="false">SUMPRODUCT(D3757:F3757,Stats!$B$6:$D$6)</f>
        <v>0.375177267335666</v>
      </c>
      <c r="H3757" s="0" t="n">
        <f aca="false">SQRT(SUMPRODUCT(MMULT(D3757:F3757,Stats!$B$12:$D$14),D3757:F3757))</f>
        <v>0.225470621305878</v>
      </c>
      <c r="I3757" s="0" t="n">
        <f aca="false">(G3757-Stats!$B$2)/H3757</f>
        <v>1.47769702946652</v>
      </c>
    </row>
    <row r="3758" customFormat="false" ht="15" hidden="false" customHeight="false" outlineLevel="0" collapsed="false">
      <c r="A3758" s="0" t="n">
        <v>0.932681902360502</v>
      </c>
      <c r="B3758" s="0" t="n">
        <v>0.264492873347479</v>
      </c>
      <c r="C3758" s="0" t="n">
        <v>0.149894295328158</v>
      </c>
      <c r="D3758" s="0" t="n">
        <f aca="false">A3758/SUM($A3758:$C3758)</f>
        <v>0.692378677838028</v>
      </c>
      <c r="E3758" s="0" t="n">
        <f aca="false">B3758/SUM($A3758:$C3758)</f>
        <v>0.196346927588528</v>
      </c>
      <c r="F3758" s="0" t="n">
        <f aca="false">C3758/SUM($A3758:$C3758)</f>
        <v>0.111274394573444</v>
      </c>
      <c r="G3758" s="0" t="n">
        <f aca="false">SUMPRODUCT(D3758:F3758,Stats!$B$6:$D$6)</f>
        <v>0.364712903910935</v>
      </c>
      <c r="H3758" s="0" t="n">
        <f aca="false">SQRT(SUMPRODUCT(MMULT(D3758:F3758,Stats!$B$12:$D$14),D3758:F3758))</f>
        <v>0.224071710078211</v>
      </c>
      <c r="I3758" s="0" t="n">
        <f aca="false">(G3758-Stats!$B$2)/H3758</f>
        <v>1.44022154246198</v>
      </c>
    </row>
    <row r="3759" customFormat="false" ht="15" hidden="false" customHeight="false" outlineLevel="0" collapsed="false">
      <c r="A3759" s="0" t="n">
        <v>0.0899672788609609</v>
      </c>
      <c r="B3759" s="0" t="n">
        <v>0.563383740666166</v>
      </c>
      <c r="C3759" s="0" t="n">
        <v>0.113762462480652</v>
      </c>
      <c r="D3759" s="0" t="n">
        <f aca="false">A3759/SUM($A3759:$C3759)</f>
        <v>0.117280273350806</v>
      </c>
      <c r="E3759" s="0" t="n">
        <f aca="false">B3759/SUM($A3759:$C3759)</f>
        <v>0.73442033529591</v>
      </c>
      <c r="F3759" s="0" t="n">
        <f aca="false">C3759/SUM($A3759:$C3759)</f>
        <v>0.148299391353284</v>
      </c>
      <c r="G3759" s="0" t="n">
        <f aca="false">SUMPRODUCT(D3759:F3759,Stats!$B$6:$D$6)</f>
        <v>0.394652001329992</v>
      </c>
      <c r="H3759" s="0" t="n">
        <f aca="false">SQRT(SUMPRODUCT(MMULT(D3759:F3759,Stats!$B$12:$D$14),D3759:F3759))</f>
        <v>0.240503912375633</v>
      </c>
      <c r="I3759" s="0" t="n">
        <f aca="false">(G3759-Stats!$B$2)/H3759</f>
        <v>1.4663046344926</v>
      </c>
    </row>
    <row r="3760" customFormat="false" ht="15" hidden="false" customHeight="false" outlineLevel="0" collapsed="false">
      <c r="A3760" s="0" t="n">
        <v>0.138775884112631</v>
      </c>
      <c r="B3760" s="0" t="n">
        <v>0.300030480595497</v>
      </c>
      <c r="C3760" s="0" t="n">
        <v>0.281653009684464</v>
      </c>
      <c r="D3760" s="0" t="n">
        <f aca="false">A3760/SUM($A3760:$C3760)</f>
        <v>0.192621387194289</v>
      </c>
      <c r="E3760" s="0" t="n">
        <f aca="false">B3760/SUM($A3760:$C3760)</f>
        <v>0.416443301676029</v>
      </c>
      <c r="F3760" s="0" t="n">
        <f aca="false">C3760/SUM($A3760:$C3760)</f>
        <v>0.390935311129682</v>
      </c>
      <c r="G3760" s="0" t="n">
        <f aca="false">SUMPRODUCT(D3760:F3760,Stats!$B$6:$D$6)</f>
        <v>0.369665422199972</v>
      </c>
      <c r="H3760" s="0" t="n">
        <f aca="false">SQRT(SUMPRODUCT(MMULT(D3760:F3760,Stats!$B$12:$D$14),D3760:F3760))</f>
        <v>0.231999044966206</v>
      </c>
      <c r="I3760" s="0" t="n">
        <f aca="false">(G3760-Stats!$B$2)/H3760</f>
        <v>1.41235677176042</v>
      </c>
    </row>
    <row r="3761" customFormat="false" ht="15" hidden="false" customHeight="false" outlineLevel="0" collapsed="false">
      <c r="A3761" s="0" t="n">
        <v>0.604239510332142</v>
      </c>
      <c r="B3761" s="0" t="n">
        <v>0.816745279472682</v>
      </c>
      <c r="C3761" s="0" t="n">
        <v>0.761349656202892</v>
      </c>
      <c r="D3761" s="0" t="n">
        <f aca="false">A3761/SUM($A3761:$C3761)</f>
        <v>0.276877593825051</v>
      </c>
      <c r="E3761" s="0" t="n">
        <f aca="false">B3761/SUM($A3761:$C3761)</f>
        <v>0.374253030266193</v>
      </c>
      <c r="F3761" s="0" t="n">
        <f aca="false">C3761/SUM($A3761:$C3761)</f>
        <v>0.348869375908756</v>
      </c>
      <c r="G3761" s="0" t="n">
        <f aca="false">SUMPRODUCT(D3761:F3761,Stats!$B$6:$D$6)</f>
        <v>0.368397800573158</v>
      </c>
      <c r="H3761" s="0" t="n">
        <f aca="false">SQRT(SUMPRODUCT(MMULT(D3761:F3761,Stats!$B$12:$D$14),D3761:F3761))</f>
        <v>0.228361589988701</v>
      </c>
      <c r="I3761" s="0" t="n">
        <f aca="false">(G3761-Stats!$B$2)/H3761</f>
        <v>1.42930253984178</v>
      </c>
    </row>
    <row r="3762" customFormat="false" ht="15" hidden="false" customHeight="false" outlineLevel="0" collapsed="false">
      <c r="A3762" s="0" t="n">
        <v>0.262484454716477</v>
      </c>
      <c r="B3762" s="0" t="n">
        <v>0.24531049798598</v>
      </c>
      <c r="C3762" s="0" t="n">
        <v>0.965791530106968</v>
      </c>
      <c r="D3762" s="0" t="n">
        <f aca="false">A3762/SUM($A3762:$C3762)</f>
        <v>0.178126263900063</v>
      </c>
      <c r="E3762" s="0" t="n">
        <f aca="false">B3762/SUM($A3762:$C3762)</f>
        <v>0.166471734674364</v>
      </c>
      <c r="F3762" s="0" t="n">
        <f aca="false">C3762/SUM($A3762:$C3762)</f>
        <v>0.655402001425573</v>
      </c>
      <c r="G3762" s="0" t="n">
        <f aca="false">SUMPRODUCT(D3762:F3762,Stats!$B$6:$D$6)</f>
        <v>0.347989814500893</v>
      </c>
      <c r="H3762" s="0" t="n">
        <f aca="false">SQRT(SUMPRODUCT(MMULT(D3762:F3762,Stats!$B$12:$D$14),D3762:F3762))</f>
        <v>0.236109704550052</v>
      </c>
      <c r="I3762" s="0" t="n">
        <f aca="false">(G3762-Stats!$B$2)/H3762</f>
        <v>1.29596458173547</v>
      </c>
    </row>
    <row r="3763" customFormat="false" ht="15" hidden="false" customHeight="false" outlineLevel="0" collapsed="false">
      <c r="A3763" s="0" t="n">
        <v>0.00823624159196013</v>
      </c>
      <c r="B3763" s="0" t="n">
        <v>0.879720533060216</v>
      </c>
      <c r="C3763" s="0" t="n">
        <v>0.199728519122405</v>
      </c>
      <c r="D3763" s="0" t="n">
        <f aca="false">A3763/SUM($A3763:$C3763)</f>
        <v>0.00757226528583281</v>
      </c>
      <c r="E3763" s="0" t="n">
        <f aca="false">B3763/SUM($A3763:$C3763)</f>
        <v>0.808800613647476</v>
      </c>
      <c r="F3763" s="0" t="n">
        <f aca="false">C3763/SUM($A3763:$C3763)</f>
        <v>0.183627121066692</v>
      </c>
      <c r="G3763" s="0" t="n">
        <f aca="false">SUMPRODUCT(D3763:F3763,Stats!$B$6:$D$6)</f>
        <v>0.397957597718742</v>
      </c>
      <c r="H3763" s="0" t="n">
        <f aca="false">SQRT(SUMPRODUCT(MMULT(D3763:F3763,Stats!$B$12:$D$14),D3763:F3763))</f>
        <v>0.246756891195554</v>
      </c>
      <c r="I3763" s="0" t="n">
        <f aca="false">(G3763-Stats!$B$2)/H3763</f>
        <v>1.44254369551385</v>
      </c>
    </row>
    <row r="3764" customFormat="false" ht="15" hidden="false" customHeight="false" outlineLevel="0" collapsed="false">
      <c r="A3764" s="0" t="n">
        <v>0.947284323089768</v>
      </c>
      <c r="B3764" s="0" t="n">
        <v>0.34230728482752</v>
      </c>
      <c r="C3764" s="0" t="n">
        <v>0.440351773893252</v>
      </c>
      <c r="D3764" s="0" t="n">
        <f aca="false">A3764/SUM($A3764:$C3764)</f>
        <v>0.547581113376295</v>
      </c>
      <c r="E3764" s="0" t="n">
        <f aca="false">B3764/SUM($A3764:$C3764)</f>
        <v>0.197871958369681</v>
      </c>
      <c r="F3764" s="0" t="n">
        <f aca="false">C3764/SUM($A3764:$C3764)</f>
        <v>0.254546928254025</v>
      </c>
      <c r="G3764" s="0" t="n">
        <f aca="false">SUMPRODUCT(D3764:F3764,Stats!$B$6:$D$6)</f>
        <v>0.360849967197545</v>
      </c>
      <c r="H3764" s="0" t="n">
        <f aca="false">SQRT(SUMPRODUCT(MMULT(D3764:F3764,Stats!$B$12:$D$14),D3764:F3764))</f>
        <v>0.222054971980369</v>
      </c>
      <c r="I3764" s="0" t="n">
        <f aca="false">(G3764-Stats!$B$2)/H3764</f>
        <v>1.43590555236806</v>
      </c>
    </row>
    <row r="3765" customFormat="false" ht="15" hidden="false" customHeight="false" outlineLevel="0" collapsed="false">
      <c r="A3765" s="0" t="n">
        <v>0.707120613944381</v>
      </c>
      <c r="B3765" s="0" t="n">
        <v>0.58766905147326</v>
      </c>
      <c r="C3765" s="0" t="n">
        <v>0.317939329706823</v>
      </c>
      <c r="D3765" s="0" t="n">
        <f aca="false">A3765/SUM($A3765:$C3765)</f>
        <v>0.438462144651779</v>
      </c>
      <c r="E3765" s="0" t="n">
        <f aca="false">B3765/SUM($A3765:$C3765)</f>
        <v>0.364394174873694</v>
      </c>
      <c r="F3765" s="0" t="n">
        <f aca="false">C3765/SUM($A3765:$C3765)</f>
        <v>0.197143680474527</v>
      </c>
      <c r="G3765" s="0" t="n">
        <f aca="false">SUMPRODUCT(D3765:F3765,Stats!$B$6:$D$6)</f>
        <v>0.372014312488769</v>
      </c>
      <c r="H3765" s="0" t="n">
        <f aca="false">SQRT(SUMPRODUCT(MMULT(D3765:F3765,Stats!$B$12:$D$14),D3765:F3765))</f>
        <v>0.224943350518363</v>
      </c>
      <c r="I3765" s="0" t="n">
        <f aca="false">(G3765-Stats!$B$2)/H3765</f>
        <v>1.46709965743943</v>
      </c>
    </row>
    <row r="3766" customFormat="false" ht="15" hidden="false" customHeight="false" outlineLevel="0" collapsed="false">
      <c r="A3766" s="0" t="n">
        <v>0.553830915867824</v>
      </c>
      <c r="B3766" s="0" t="n">
        <v>0.730706884362886</v>
      </c>
      <c r="C3766" s="0" t="n">
        <v>0.0423349459024921</v>
      </c>
      <c r="D3766" s="0" t="n">
        <f aca="false">A3766/SUM($A3766:$C3766)</f>
        <v>0.417395652659088</v>
      </c>
      <c r="E3766" s="0" t="n">
        <f aca="false">B3766/SUM($A3766:$C3766)</f>
        <v>0.550698540227257</v>
      </c>
      <c r="F3766" s="0" t="n">
        <f aca="false">C3766/SUM($A3766:$C3766)</f>
        <v>0.0319058071136553</v>
      </c>
      <c r="G3766" s="0" t="n">
        <f aca="false">SUMPRODUCT(D3766:F3766,Stats!$B$6:$D$6)</f>
        <v>0.38729039534629</v>
      </c>
      <c r="H3766" s="0" t="n">
        <f aca="false">SQRT(SUMPRODUCT(MMULT(D3766:F3766,Stats!$B$12:$D$14),D3766:F3766))</f>
        <v>0.230590618226875</v>
      </c>
      <c r="I3766" s="0" t="n">
        <f aca="false">(G3766-Stats!$B$2)/H3766</f>
        <v>1.49741736242956</v>
      </c>
    </row>
    <row r="3767" customFormat="false" ht="15" hidden="false" customHeight="false" outlineLevel="0" collapsed="false">
      <c r="A3767" s="0" t="n">
        <v>0.0111993052557041</v>
      </c>
      <c r="B3767" s="0" t="n">
        <v>0.458066939072891</v>
      </c>
      <c r="C3767" s="0" t="n">
        <v>0.131836617803514</v>
      </c>
      <c r="D3767" s="0" t="n">
        <f aca="false">A3767/SUM($A3767:$C3767)</f>
        <v>0.0186312625695713</v>
      </c>
      <c r="E3767" s="0" t="n">
        <f aca="false">B3767/SUM($A3767:$C3767)</f>
        <v>0.762044182335332</v>
      </c>
      <c r="F3767" s="0" t="n">
        <f aca="false">C3767/SUM($A3767:$C3767)</f>
        <v>0.219324555095097</v>
      </c>
      <c r="G3767" s="0" t="n">
        <f aca="false">SUMPRODUCT(D3767:F3767,Stats!$B$6:$D$6)</f>
        <v>0.394282950163328</v>
      </c>
      <c r="H3767" s="0" t="n">
        <f aca="false">SQRT(SUMPRODUCT(MMULT(D3767:F3767,Stats!$B$12:$D$14),D3767:F3767))</f>
        <v>0.244969926265814</v>
      </c>
      <c r="I3767" s="0" t="n">
        <f aca="false">(G3767-Stats!$B$2)/H3767</f>
        <v>1.43806611502618</v>
      </c>
    </row>
    <row r="3768" customFormat="false" ht="15" hidden="false" customHeight="false" outlineLevel="0" collapsed="false">
      <c r="A3768" s="0" t="n">
        <v>0.664344291464714</v>
      </c>
      <c r="B3768" s="0" t="n">
        <v>0.214052456227434</v>
      </c>
      <c r="C3768" s="0" t="n">
        <v>0.432851106795671</v>
      </c>
      <c r="D3768" s="0" t="n">
        <f aca="false">A3768/SUM($A3768:$C3768)</f>
        <v>0.506650431641096</v>
      </c>
      <c r="E3768" s="0" t="n">
        <f aca="false">B3768/SUM($A3768:$C3768)</f>
        <v>0.163243322377861</v>
      </c>
      <c r="F3768" s="0" t="n">
        <f aca="false">C3768/SUM($A3768:$C3768)</f>
        <v>0.330106245981043</v>
      </c>
      <c r="G3768" s="0" t="n">
        <f aca="false">SUMPRODUCT(D3768:F3768,Stats!$B$6:$D$6)</f>
        <v>0.356773961176862</v>
      </c>
      <c r="H3768" s="0" t="n">
        <f aca="false">SQRT(SUMPRODUCT(MMULT(D3768:F3768,Stats!$B$12:$D$14),D3768:F3768))</f>
        <v>0.222072553774482</v>
      </c>
      <c r="I3768" s="0" t="n">
        <f aca="false">(G3768-Stats!$B$2)/H3768</f>
        <v>1.41743748079972</v>
      </c>
    </row>
    <row r="3769" customFormat="false" ht="15" hidden="false" customHeight="false" outlineLevel="0" collapsed="false">
      <c r="A3769" s="0" t="n">
        <v>0.197670936874269</v>
      </c>
      <c r="B3769" s="0" t="n">
        <v>0.548483585749125</v>
      </c>
      <c r="C3769" s="0" t="n">
        <v>0.116053459384569</v>
      </c>
      <c r="D3769" s="0" t="n">
        <f aca="false">A3769/SUM($A3769:$C3769)</f>
        <v>0.229261316293919</v>
      </c>
      <c r="E3769" s="0" t="n">
        <f aca="false">B3769/SUM($A3769:$C3769)</f>
        <v>0.636138376348341</v>
      </c>
      <c r="F3769" s="0" t="n">
        <f aca="false">C3769/SUM($A3769:$C3769)</f>
        <v>0.13460030735774</v>
      </c>
      <c r="G3769" s="0" t="n">
        <f aca="false">SUMPRODUCT(D3769:F3769,Stats!$B$6:$D$6)</f>
        <v>0.389374731588231</v>
      </c>
      <c r="H3769" s="0" t="n">
        <f aca="false">SQRT(SUMPRODUCT(MMULT(D3769:F3769,Stats!$B$12:$D$14),D3769:F3769))</f>
        <v>0.234626274259275</v>
      </c>
      <c r="I3769" s="0" t="n">
        <f aca="false">(G3769-Stats!$B$2)/H3769</f>
        <v>1.48054489074128</v>
      </c>
    </row>
    <row r="3770" customFormat="false" ht="15" hidden="false" customHeight="false" outlineLevel="0" collapsed="false">
      <c r="A3770" s="0" t="n">
        <v>0.0231068527874803</v>
      </c>
      <c r="B3770" s="0" t="n">
        <v>0.0511316381066972</v>
      </c>
      <c r="C3770" s="0" t="n">
        <v>0.95425844151531</v>
      </c>
      <c r="D3770" s="0" t="n">
        <f aca="false">A3770/SUM($A3770:$C3770)</f>
        <v>0.0224666229517547</v>
      </c>
      <c r="E3770" s="0" t="n">
        <f aca="false">B3770/SUM($A3770:$C3770)</f>
        <v>0.0497149155193975</v>
      </c>
      <c r="F3770" s="0" t="n">
        <f aca="false">C3770/SUM($A3770:$C3770)</f>
        <v>0.927818461528848</v>
      </c>
      <c r="G3770" s="0" t="n">
        <f aca="false">SUMPRODUCT(D3770:F3770,Stats!$B$6:$D$6)</f>
        <v>0.333759999131641</v>
      </c>
      <c r="H3770" s="0" t="n">
        <f aca="false">SQRT(SUMPRODUCT(MMULT(D3770:F3770,Stats!$B$12:$D$14),D3770:F3770))</f>
        <v>0.254684533194802</v>
      </c>
      <c r="I3770" s="0" t="n">
        <f aca="false">(G3770-Stats!$B$2)/H3770</f>
        <v>1.14557407735664</v>
      </c>
    </row>
    <row r="3771" customFormat="false" ht="15" hidden="false" customHeight="false" outlineLevel="0" collapsed="false">
      <c r="A3771" s="0" t="n">
        <v>0.142286218610936</v>
      </c>
      <c r="B3771" s="0" t="n">
        <v>0.708478253136835</v>
      </c>
      <c r="C3771" s="0" t="n">
        <v>0.0679262042228263</v>
      </c>
      <c r="D3771" s="0" t="n">
        <f aca="false">A3771/SUM($A3771:$C3771)</f>
        <v>0.154879354207672</v>
      </c>
      <c r="E3771" s="0" t="n">
        <f aca="false">B3771/SUM($A3771:$C3771)</f>
        <v>0.771182588076588</v>
      </c>
      <c r="F3771" s="0" t="n">
        <f aca="false">C3771/SUM($A3771:$C3771)</f>
        <v>0.07393805771574</v>
      </c>
      <c r="G3771" s="0" t="n">
        <f aca="false">SUMPRODUCT(D3771:F3771,Stats!$B$6:$D$6)</f>
        <v>0.398817738948722</v>
      </c>
      <c r="H3771" s="0" t="n">
        <f aca="false">SQRT(SUMPRODUCT(MMULT(D3771:F3771,Stats!$B$12:$D$14),D3771:F3771))</f>
        <v>0.240911399821915</v>
      </c>
      <c r="I3771" s="0" t="n">
        <f aca="false">(G3771-Stats!$B$2)/H3771</f>
        <v>1.48111604188298</v>
      </c>
    </row>
    <row r="3772" customFormat="false" ht="15" hidden="false" customHeight="false" outlineLevel="0" collapsed="false">
      <c r="A3772" s="0" t="n">
        <v>0.108160352235182</v>
      </c>
      <c r="B3772" s="0" t="n">
        <v>0.508876251409335</v>
      </c>
      <c r="C3772" s="0" t="n">
        <v>0.464870930154344</v>
      </c>
      <c r="D3772" s="0" t="n">
        <f aca="false">A3772/SUM($A3772:$C3772)</f>
        <v>0.0999719004223983</v>
      </c>
      <c r="E3772" s="0" t="n">
        <f aca="false">B3772/SUM($A3772:$C3772)</f>
        <v>0.470350963933615</v>
      </c>
      <c r="F3772" s="0" t="n">
        <f aca="false">C3772/SUM($A3772:$C3772)</f>
        <v>0.429677135643986</v>
      </c>
      <c r="G3772" s="0" t="n">
        <f aca="false">SUMPRODUCT(D3772:F3772,Stats!$B$6:$D$6)</f>
        <v>0.371698908404859</v>
      </c>
      <c r="H3772" s="0" t="n">
        <f aca="false">SQRT(SUMPRODUCT(MMULT(D3772:F3772,Stats!$B$12:$D$14),D3772:F3772))</f>
        <v>0.236935093251845</v>
      </c>
      <c r="I3772" s="0" t="n">
        <f aca="false">(G3772-Stats!$B$2)/H3772</f>
        <v>1.39151572643742</v>
      </c>
    </row>
    <row r="3773" customFormat="false" ht="15" hidden="false" customHeight="false" outlineLevel="0" collapsed="false">
      <c r="A3773" s="0" t="n">
        <v>0.95158030943987</v>
      </c>
      <c r="B3773" s="0" t="n">
        <v>0.944835453020737</v>
      </c>
      <c r="C3773" s="0" t="n">
        <v>0.779608642542465</v>
      </c>
      <c r="D3773" s="0" t="n">
        <f aca="false">A3773/SUM($A3773:$C3773)</f>
        <v>0.355594779950737</v>
      </c>
      <c r="E3773" s="0" t="n">
        <f aca="false">B3773/SUM($A3773:$C3773)</f>
        <v>0.35307430352813</v>
      </c>
      <c r="F3773" s="0" t="n">
        <f aca="false">C3773/SUM($A3773:$C3773)</f>
        <v>0.291330916521133</v>
      </c>
      <c r="G3773" s="0" t="n">
        <f aca="false">SUMPRODUCT(D3773:F3773,Stats!$B$6:$D$6)</f>
        <v>0.368765804934898</v>
      </c>
      <c r="H3773" s="0" t="n">
        <f aca="false">SQRT(SUMPRODUCT(MMULT(D3773:F3773,Stats!$B$12:$D$14),D3773:F3773))</f>
        <v>0.225910722806405</v>
      </c>
      <c r="I3773" s="0" t="n">
        <f aca="false">(G3773-Stats!$B$2)/H3773</f>
        <v>1.44643778248154</v>
      </c>
    </row>
    <row r="3774" customFormat="false" ht="15" hidden="false" customHeight="false" outlineLevel="0" collapsed="false">
      <c r="A3774" s="0" t="n">
        <v>0.60210183012735</v>
      </c>
      <c r="B3774" s="0" t="n">
        <v>0.454960317393011</v>
      </c>
      <c r="C3774" s="0" t="n">
        <v>0.356178534328421</v>
      </c>
      <c r="D3774" s="0" t="n">
        <f aca="false">A3774/SUM($A3774:$C3774)</f>
        <v>0.426043375244257</v>
      </c>
      <c r="E3774" s="0" t="n">
        <f aca="false">B3774/SUM($A3774:$C3774)</f>
        <v>0.321926988966832</v>
      </c>
      <c r="F3774" s="0" t="n">
        <f aca="false">C3774/SUM($A3774:$C3774)</f>
        <v>0.252029635788911</v>
      </c>
      <c r="G3774" s="0" t="n">
        <f aca="false">SUMPRODUCT(D3774:F3774,Stats!$B$6:$D$6)</f>
        <v>0.368057346468345</v>
      </c>
      <c r="H3774" s="0" t="n">
        <f aca="false">SQRT(SUMPRODUCT(MMULT(D3774:F3774,Stats!$B$12:$D$14),D3774:F3774))</f>
        <v>0.224317463162028</v>
      </c>
      <c r="I3774" s="0" t="n">
        <f aca="false">(G3774-Stats!$B$2)/H3774</f>
        <v>1.4535531111674</v>
      </c>
    </row>
    <row r="3775" customFormat="false" ht="15" hidden="false" customHeight="false" outlineLevel="0" collapsed="false">
      <c r="A3775" s="0" t="n">
        <v>0.947087546975555</v>
      </c>
      <c r="B3775" s="0" t="n">
        <v>0.602908811424686</v>
      </c>
      <c r="C3775" s="0" t="n">
        <v>0.579072527685995</v>
      </c>
      <c r="D3775" s="0" t="n">
        <f aca="false">A3775/SUM($A3775:$C3775)</f>
        <v>0.444836497853548</v>
      </c>
      <c r="E3775" s="0" t="n">
        <f aca="false">B3775/SUM($A3775:$C3775)</f>
        <v>0.283179569888405</v>
      </c>
      <c r="F3775" s="0" t="n">
        <f aca="false">C3775/SUM($A3775:$C3775)</f>
        <v>0.271983932258047</v>
      </c>
      <c r="G3775" s="0" t="n">
        <f aca="false">SUMPRODUCT(D3775:F3775,Stats!$B$6:$D$6)</f>
        <v>0.365277638074065</v>
      </c>
      <c r="H3775" s="0" t="n">
        <f aca="false">SQRT(SUMPRODUCT(MMULT(D3775:F3775,Stats!$B$12:$D$14),D3775:F3775))</f>
        <v>0.223608373585994</v>
      </c>
      <c r="I3775" s="0" t="n">
        <f aca="false">(G3775-Stats!$B$2)/H3775</f>
        <v>1.44573136009927</v>
      </c>
    </row>
    <row r="3776" customFormat="false" ht="15" hidden="false" customHeight="false" outlineLevel="0" collapsed="false">
      <c r="A3776" s="0" t="n">
        <v>0.231901121768915</v>
      </c>
      <c r="B3776" s="0" t="n">
        <v>0.0466978178851131</v>
      </c>
      <c r="C3776" s="0" t="n">
        <v>0.945188579759544</v>
      </c>
      <c r="D3776" s="0" t="n">
        <f aca="false">A3776/SUM($A3776:$C3776)</f>
        <v>0.189494596153456</v>
      </c>
      <c r="E3776" s="0" t="n">
        <f aca="false">B3776/SUM($A3776:$C3776)</f>
        <v>0.0381584361209128</v>
      </c>
      <c r="F3776" s="0" t="n">
        <f aca="false">C3776/SUM($A3776:$C3776)</f>
        <v>0.772346967725631</v>
      </c>
      <c r="G3776" s="0" t="n">
        <f aca="false">SUMPRODUCT(D3776:F3776,Stats!$B$6:$D$6)</f>
        <v>0.337382120908455</v>
      </c>
      <c r="H3776" s="0" t="n">
        <f aca="false">SQRT(SUMPRODUCT(MMULT(D3776:F3776,Stats!$B$12:$D$14),D3776:F3776))</f>
        <v>0.239736382366574</v>
      </c>
      <c r="I3776" s="0" t="n">
        <f aca="false">(G3776-Stats!$B$2)/H3776</f>
        <v>1.23211219754203</v>
      </c>
    </row>
    <row r="3777" customFormat="false" ht="15" hidden="false" customHeight="false" outlineLevel="0" collapsed="false">
      <c r="A3777" s="0" t="n">
        <v>0.313735258844654</v>
      </c>
      <c r="B3777" s="0" t="n">
        <v>0.442589023324459</v>
      </c>
      <c r="C3777" s="0" t="n">
        <v>0.114639943585707</v>
      </c>
      <c r="D3777" s="0" t="n">
        <f aca="false">A3777/SUM($A3777:$C3777)</f>
        <v>0.360216010678</v>
      </c>
      <c r="E3777" s="0" t="n">
        <f aca="false">B3777/SUM($A3777:$C3777)</f>
        <v>0.508159819010809</v>
      </c>
      <c r="F3777" s="0" t="n">
        <f aca="false">C3777/SUM($A3777:$C3777)</f>
        <v>0.131624170311191</v>
      </c>
      <c r="G3777" s="0" t="n">
        <f aca="false">SUMPRODUCT(D3777:F3777,Stats!$B$6:$D$6)</f>
        <v>0.382093076872811</v>
      </c>
      <c r="H3777" s="0" t="n">
        <f aca="false">SQRT(SUMPRODUCT(MMULT(D3777:F3777,Stats!$B$12:$D$14),D3777:F3777))</f>
        <v>0.229017512923236</v>
      </c>
      <c r="I3777" s="0" t="n">
        <f aca="false">(G3777-Stats!$B$2)/H3777</f>
        <v>1.48500903940393</v>
      </c>
    </row>
    <row r="3778" customFormat="false" ht="15" hidden="false" customHeight="false" outlineLevel="0" collapsed="false">
      <c r="A3778" s="0" t="n">
        <v>0.836924329909292</v>
      </c>
      <c r="B3778" s="0" t="n">
        <v>0.0276318328559306</v>
      </c>
      <c r="C3778" s="0" t="n">
        <v>0.833990762099097</v>
      </c>
      <c r="D3778" s="0" t="n">
        <f aca="false">A3778/SUM($A3778:$C3778)</f>
        <v>0.492729590014798</v>
      </c>
      <c r="E3778" s="0" t="n">
        <f aca="false">B3778/SUM($A3778:$C3778)</f>
        <v>0.0162679243366431</v>
      </c>
      <c r="F3778" s="0" t="n">
        <f aca="false">C3778/SUM($A3778:$C3778)</f>
        <v>0.491002485648559</v>
      </c>
      <c r="G3778" s="0" t="n">
        <f aca="false">SUMPRODUCT(D3778:F3778,Stats!$B$6:$D$6)</f>
        <v>0.343880535075221</v>
      </c>
      <c r="H3778" s="0" t="n">
        <f aca="false">SQRT(SUMPRODUCT(MMULT(D3778:F3778,Stats!$B$12:$D$14),D3778:F3778))</f>
        <v>0.223471091109655</v>
      </c>
      <c r="I3778" s="0" t="n">
        <f aca="false">(G3778-Stats!$B$2)/H3778</f>
        <v>1.35087063644886</v>
      </c>
    </row>
    <row r="3779" customFormat="false" ht="15" hidden="false" customHeight="false" outlineLevel="0" collapsed="false">
      <c r="A3779" s="0" t="n">
        <v>0.140285012787967</v>
      </c>
      <c r="B3779" s="0" t="n">
        <v>0.886564112631152</v>
      </c>
      <c r="C3779" s="0" t="n">
        <v>0.729772637336157</v>
      </c>
      <c r="D3779" s="0" t="n">
        <f aca="false">A3779/SUM($A3779:$C3779)</f>
        <v>0.0798606824544451</v>
      </c>
      <c r="E3779" s="0" t="n">
        <f aca="false">B3779/SUM($A3779:$C3779)</f>
        <v>0.504698354209485</v>
      </c>
      <c r="F3779" s="0" t="n">
        <f aca="false">C3779/SUM($A3779:$C3779)</f>
        <v>0.41544096333607</v>
      </c>
      <c r="G3779" s="0" t="n">
        <f aca="false">SUMPRODUCT(D3779:F3779,Stats!$B$6:$D$6)</f>
        <v>0.374067769762246</v>
      </c>
      <c r="H3779" s="0" t="n">
        <f aca="false">SQRT(SUMPRODUCT(MMULT(D3779:F3779,Stats!$B$12:$D$14),D3779:F3779))</f>
        <v>0.238148236760768</v>
      </c>
      <c r="I3779" s="0" t="n">
        <f aca="false">(G3779-Stats!$B$2)/H3779</f>
        <v>1.39437425310784</v>
      </c>
    </row>
    <row r="3780" customFormat="false" ht="15" hidden="false" customHeight="false" outlineLevel="0" collapsed="false">
      <c r="A3780" s="0" t="n">
        <v>0.164670262507305</v>
      </c>
      <c r="B3780" s="0" t="n">
        <v>0.565817992859468</v>
      </c>
      <c r="C3780" s="0" t="n">
        <v>0.31265631435522</v>
      </c>
      <c r="D3780" s="0" t="n">
        <f aca="false">A3780/SUM($A3780:$C3780)</f>
        <v>0.157859483035215</v>
      </c>
      <c r="E3780" s="0" t="n">
        <f aca="false">B3780/SUM($A3780:$C3780)</f>
        <v>0.542415700836427</v>
      </c>
      <c r="F3780" s="0" t="n">
        <f aca="false">C3780/SUM($A3780:$C3780)</f>
        <v>0.299724816128358</v>
      </c>
      <c r="G3780" s="0" t="n">
        <f aca="false">SUMPRODUCT(D3780:F3780,Stats!$B$6:$D$6)</f>
        <v>0.379428805323037</v>
      </c>
      <c r="H3780" s="0" t="n">
        <f aca="false">SQRT(SUMPRODUCT(MMULT(D3780:F3780,Stats!$B$12:$D$14),D3780:F3780))</f>
        <v>0.234584433439536</v>
      </c>
      <c r="I3780" s="0" t="n">
        <f aca="false">(G3780-Stats!$B$2)/H3780</f>
        <v>1.43841089698737</v>
      </c>
    </row>
    <row r="3781" customFormat="false" ht="15" hidden="false" customHeight="false" outlineLevel="0" collapsed="false">
      <c r="A3781" s="0" t="n">
        <v>0.178233098911584</v>
      </c>
      <c r="B3781" s="0" t="n">
        <v>0.859182199411108</v>
      </c>
      <c r="C3781" s="0" t="n">
        <v>0.403522766507229</v>
      </c>
      <c r="D3781" s="0" t="n">
        <f aca="false">A3781/SUM($A3781:$C3781)</f>
        <v>0.123692407926375</v>
      </c>
      <c r="E3781" s="0" t="n">
        <f aca="false">B3781/SUM($A3781:$C3781)</f>
        <v>0.596265877334929</v>
      </c>
      <c r="F3781" s="0" t="n">
        <f aca="false">C3781/SUM($A3781:$C3781)</f>
        <v>0.280041714738696</v>
      </c>
      <c r="G3781" s="0" t="n">
        <f aca="false">SUMPRODUCT(D3781:F3781,Stats!$B$6:$D$6)</f>
        <v>0.383070028732142</v>
      </c>
      <c r="H3781" s="0" t="n">
        <f aca="false">SQRT(SUMPRODUCT(MMULT(D3781:F3781,Stats!$B$12:$D$14),D3781:F3781))</f>
        <v>0.236845015046279</v>
      </c>
      <c r="I3781" s="0" t="n">
        <f aca="false">(G3781-Stats!$B$2)/H3781</f>
        <v>1.44005576248036</v>
      </c>
    </row>
    <row r="3782" customFormat="false" ht="15" hidden="false" customHeight="false" outlineLevel="0" collapsed="false">
      <c r="A3782" s="0" t="n">
        <v>0.398543714365383</v>
      </c>
      <c r="B3782" s="0" t="n">
        <v>0.16988667480662</v>
      </c>
      <c r="C3782" s="0" t="n">
        <v>0.383065676085779</v>
      </c>
      <c r="D3782" s="0" t="n">
        <f aca="false">A3782/SUM($A3782:$C3782)</f>
        <v>0.418860076165852</v>
      </c>
      <c r="E3782" s="0" t="n">
        <f aca="false">B3782/SUM($A3782:$C3782)</f>
        <v>0.178546902094224</v>
      </c>
      <c r="F3782" s="0" t="n">
        <f aca="false">C3782/SUM($A3782:$C3782)</f>
        <v>0.402593021739925</v>
      </c>
      <c r="G3782" s="0" t="n">
        <f aca="false">SUMPRODUCT(D3782:F3782,Stats!$B$6:$D$6)</f>
        <v>0.355655714385034</v>
      </c>
      <c r="H3782" s="0" t="n">
        <f aca="false">SQRT(SUMPRODUCT(MMULT(D3782:F3782,Stats!$B$12:$D$14),D3782:F3782))</f>
        <v>0.223777149379914</v>
      </c>
      <c r="I3782" s="0" t="n">
        <f aca="false">(G3782-Stats!$B$2)/H3782</f>
        <v>1.40164317605338</v>
      </c>
    </row>
    <row r="3783" customFormat="false" ht="15" hidden="false" customHeight="false" outlineLevel="0" collapsed="false">
      <c r="A3783" s="0" t="n">
        <v>0.87161684632885</v>
      </c>
      <c r="B3783" s="0" t="n">
        <v>0.363128710489636</v>
      </c>
      <c r="C3783" s="0" t="n">
        <v>0.951603562499788</v>
      </c>
      <c r="D3783" s="0" t="n">
        <f aca="false">A3783/SUM($A3783:$C3783)</f>
        <v>0.398663158883166</v>
      </c>
      <c r="E3783" s="0" t="n">
        <f aca="false">B3783/SUM($A3783:$C3783)</f>
        <v>0.166089078492123</v>
      </c>
      <c r="F3783" s="0" t="n">
        <f aca="false">C3783/SUM($A3783:$C3783)</f>
        <v>0.435247762624712</v>
      </c>
      <c r="G3783" s="0" t="n">
        <f aca="false">SUMPRODUCT(D3783:F3783,Stats!$B$6:$D$6)</f>
        <v>0.35403846541859</v>
      </c>
      <c r="H3783" s="0" t="n">
        <f aca="false">SQRT(SUMPRODUCT(MMULT(D3783:F3783,Stats!$B$12:$D$14),D3783:F3783))</f>
        <v>0.224461285277582</v>
      </c>
      <c r="I3783" s="0" t="n">
        <f aca="false">(G3783-Stats!$B$2)/H3783</f>
        <v>1.39016608157039</v>
      </c>
    </row>
    <row r="3784" customFormat="false" ht="15" hidden="false" customHeight="false" outlineLevel="0" collapsed="false">
      <c r="A3784" s="0" t="n">
        <v>0.946308899208388</v>
      </c>
      <c r="B3784" s="0" t="n">
        <v>0.144898659307346</v>
      </c>
      <c r="C3784" s="0" t="n">
        <v>0.177311253522645</v>
      </c>
      <c r="D3784" s="0" t="n">
        <f aca="false">A3784/SUM($A3784:$C3784)</f>
        <v>0.745995163987964</v>
      </c>
      <c r="E3784" s="0" t="n">
        <f aca="false">B3784/SUM($A3784:$C3784)</f>
        <v>0.114226653899211</v>
      </c>
      <c r="F3784" s="0" t="n">
        <f aca="false">C3784/SUM($A3784:$C3784)</f>
        <v>0.139778182112825</v>
      </c>
      <c r="G3784" s="0" t="n">
        <f aca="false">SUMPRODUCT(D3784:F3784,Stats!$B$6:$D$6)</f>
        <v>0.359201828670777</v>
      </c>
      <c r="H3784" s="0" t="n">
        <f aca="false">SQRT(SUMPRODUCT(MMULT(D3784:F3784,Stats!$B$12:$D$14),D3784:F3784))</f>
        <v>0.223820259675922</v>
      </c>
      <c r="I3784" s="0" t="n">
        <f aca="false">(G3784-Stats!$B$2)/H3784</f>
        <v>1.41721678426281</v>
      </c>
    </row>
    <row r="3785" customFormat="false" ht="15" hidden="false" customHeight="false" outlineLevel="0" collapsed="false">
      <c r="A3785" s="0" t="n">
        <v>0.862674070331889</v>
      </c>
      <c r="B3785" s="0" t="n">
        <v>0.392760918924719</v>
      </c>
      <c r="C3785" s="0" t="n">
        <v>0.00437398228300934</v>
      </c>
      <c r="D3785" s="0" t="n">
        <f aca="false">A3785/SUM($A3785:$C3785)</f>
        <v>0.684765777844566</v>
      </c>
      <c r="E3785" s="0" t="n">
        <f aca="false">B3785/SUM($A3785:$C3785)</f>
        <v>0.311762281264535</v>
      </c>
      <c r="F3785" s="0" t="n">
        <f aca="false">C3785/SUM($A3785:$C3785)</f>
        <v>0.00347194089089862</v>
      </c>
      <c r="G3785" s="0" t="n">
        <f aca="false">SUMPRODUCT(D3785:F3785,Stats!$B$6:$D$6)</f>
        <v>0.374326365179576</v>
      </c>
      <c r="H3785" s="0" t="n">
        <f aca="false">SQRT(SUMPRODUCT(MMULT(D3785:F3785,Stats!$B$12:$D$14),D3785:F3785))</f>
        <v>0.227433148918319</v>
      </c>
      <c r="I3785" s="0" t="n">
        <f aca="false">(G3785-Stats!$B$2)/H3785</f>
        <v>1.46120460786008</v>
      </c>
    </row>
    <row r="3786" customFormat="false" ht="15" hidden="false" customHeight="false" outlineLevel="0" collapsed="false">
      <c r="A3786" s="0" t="n">
        <v>0.273871819705371</v>
      </c>
      <c r="B3786" s="0" t="n">
        <v>0.59762899319556</v>
      </c>
      <c r="C3786" s="0" t="n">
        <v>0.799265965959968</v>
      </c>
      <c r="D3786" s="0" t="n">
        <f aca="false">A3786/SUM($A3786:$C3786)</f>
        <v>0.163919837987258</v>
      </c>
      <c r="E3786" s="0" t="n">
        <f aca="false">B3786/SUM($A3786:$C3786)</f>
        <v>0.357697436145465</v>
      </c>
      <c r="F3786" s="0" t="n">
        <f aca="false">C3786/SUM($A3786:$C3786)</f>
        <v>0.478382725867278</v>
      </c>
      <c r="G3786" s="0" t="n">
        <f aca="false">SUMPRODUCT(D3786:F3786,Stats!$B$6:$D$6)</f>
        <v>0.363873932303285</v>
      </c>
      <c r="H3786" s="0" t="n">
        <f aca="false">SQRT(SUMPRODUCT(MMULT(D3786:F3786,Stats!$B$12:$D$14),D3786:F3786))</f>
        <v>0.2336313456703</v>
      </c>
      <c r="I3786" s="0" t="n">
        <f aca="false">(G3786-Stats!$B$2)/H3786</f>
        <v>1.37770011716456</v>
      </c>
    </row>
    <row r="3787" customFormat="false" ht="15" hidden="false" customHeight="false" outlineLevel="0" collapsed="false">
      <c r="A3787" s="0" t="n">
        <v>0.13338861709326</v>
      </c>
      <c r="B3787" s="0" t="n">
        <v>0.110541364416735</v>
      </c>
      <c r="C3787" s="0" t="n">
        <v>0.922092653572332</v>
      </c>
      <c r="D3787" s="0" t="n">
        <f aca="false">A3787/SUM($A3787:$C3787)</f>
        <v>0.114396250192726</v>
      </c>
      <c r="E3787" s="0" t="n">
        <f aca="false">B3787/SUM($A3787:$C3787)</f>
        <v>0.0948020742401202</v>
      </c>
      <c r="F3787" s="0" t="n">
        <f aca="false">C3787/SUM($A3787:$C3787)</f>
        <v>0.790801675567154</v>
      </c>
      <c r="G3787" s="0" t="n">
        <f aca="false">SUMPRODUCT(D3787:F3787,Stats!$B$6:$D$6)</f>
        <v>0.340132441062731</v>
      </c>
      <c r="H3787" s="0" t="n">
        <f aca="false">SQRT(SUMPRODUCT(MMULT(D3787:F3787,Stats!$B$12:$D$14),D3787:F3787))</f>
        <v>0.243722666551626</v>
      </c>
      <c r="I3787" s="0" t="n">
        <f aca="false">(G3787-Stats!$B$2)/H3787</f>
        <v>1.22324462177005</v>
      </c>
    </row>
    <row r="3788" customFormat="false" ht="15" hidden="false" customHeight="false" outlineLevel="0" collapsed="false">
      <c r="A3788" s="0" t="n">
        <v>0.751148367822583</v>
      </c>
      <c r="B3788" s="0" t="n">
        <v>0.589779600778078</v>
      </c>
      <c r="C3788" s="0" t="n">
        <v>0.769186789995928</v>
      </c>
      <c r="D3788" s="0" t="n">
        <f aca="false">A3788/SUM($A3788:$C3788)</f>
        <v>0.355975126358607</v>
      </c>
      <c r="E3788" s="0" t="n">
        <f aca="false">B3788/SUM($A3788:$C3788)</f>
        <v>0.279501196972971</v>
      </c>
      <c r="F3788" s="0" t="n">
        <f aca="false">C3788/SUM($A3788:$C3788)</f>
        <v>0.364523676668422</v>
      </c>
      <c r="G3788" s="0" t="n">
        <f aca="false">SUMPRODUCT(D3788:F3788,Stats!$B$6:$D$6)</f>
        <v>0.362514241397877</v>
      </c>
      <c r="H3788" s="0" t="n">
        <f aca="false">SQRT(SUMPRODUCT(MMULT(D3788:F3788,Stats!$B$12:$D$14),D3788:F3788))</f>
        <v>0.225436107421851</v>
      </c>
      <c r="I3788" s="0" t="n">
        <f aca="false">(G3788-Stats!$B$2)/H3788</f>
        <v>1.42175202128605</v>
      </c>
    </row>
    <row r="3789" customFormat="false" ht="15" hidden="false" customHeight="false" outlineLevel="0" collapsed="false">
      <c r="A3789" s="0" t="n">
        <v>0.428854361306639</v>
      </c>
      <c r="B3789" s="0" t="n">
        <v>0.758455747309127</v>
      </c>
      <c r="C3789" s="0" t="n">
        <v>0.371802991274536</v>
      </c>
      <c r="D3789" s="0" t="n">
        <f aca="false">A3789/SUM($A3789:$C3789)</f>
        <v>0.275063022263627</v>
      </c>
      <c r="E3789" s="0" t="n">
        <f aca="false">B3789/SUM($A3789:$C3789)</f>
        <v>0.486466150122458</v>
      </c>
      <c r="F3789" s="0" t="n">
        <f aca="false">C3789/SUM($A3789:$C3789)</f>
        <v>0.238470827613915</v>
      </c>
      <c r="G3789" s="0" t="n">
        <f aca="false">SUMPRODUCT(D3789:F3789,Stats!$B$6:$D$6)</f>
        <v>0.377898595762804</v>
      </c>
      <c r="H3789" s="0" t="n">
        <f aca="false">SQRT(SUMPRODUCT(MMULT(D3789:F3789,Stats!$B$12:$D$14),D3789:F3789))</f>
        <v>0.229802905236768</v>
      </c>
      <c r="I3789" s="0" t="n">
        <f aca="false">(G3789-Stats!$B$2)/H3789</f>
        <v>1.46168124122158</v>
      </c>
    </row>
    <row r="3790" customFormat="false" ht="15" hidden="false" customHeight="false" outlineLevel="0" collapsed="false">
      <c r="A3790" s="0" t="n">
        <v>0.244094572492602</v>
      </c>
      <c r="B3790" s="0" t="n">
        <v>0.729013421292969</v>
      </c>
      <c r="C3790" s="0" t="n">
        <v>0.419672292157268</v>
      </c>
      <c r="D3790" s="0" t="n">
        <f aca="false">A3790/SUM($A3790:$C3790)</f>
        <v>0.175257055945018</v>
      </c>
      <c r="E3790" s="0" t="n">
        <f aca="false">B3790/SUM($A3790:$C3790)</f>
        <v>0.523423133318882</v>
      </c>
      <c r="F3790" s="0" t="n">
        <f aca="false">C3790/SUM($A3790:$C3790)</f>
        <v>0.301319810736101</v>
      </c>
      <c r="G3790" s="0" t="n">
        <f aca="false">SUMPRODUCT(D3790:F3790,Stats!$B$6:$D$6)</f>
        <v>0.378292016206835</v>
      </c>
      <c r="H3790" s="0" t="n">
        <f aca="false">SQRT(SUMPRODUCT(MMULT(D3790:F3790,Stats!$B$12:$D$14),D3790:F3790))</f>
        <v>0.23361926015248</v>
      </c>
      <c r="I3790" s="0" t="n">
        <f aca="false">(G3790-Stats!$B$2)/H3790</f>
        <v>1.43948754904601</v>
      </c>
    </row>
    <row r="3791" customFormat="false" ht="15" hidden="false" customHeight="false" outlineLevel="0" collapsed="false">
      <c r="A3791" s="0" t="n">
        <v>0.981377104326195</v>
      </c>
      <c r="B3791" s="0" t="n">
        <v>0.349485182308101</v>
      </c>
      <c r="C3791" s="0" t="n">
        <v>0.921727420531066</v>
      </c>
      <c r="D3791" s="0" t="n">
        <f aca="false">A3791/SUM($A3791:$C3791)</f>
        <v>0.435666158468402</v>
      </c>
      <c r="E3791" s="0" t="n">
        <f aca="false">B3791/SUM($A3791:$C3791)</f>
        <v>0.155148175096605</v>
      </c>
      <c r="F3791" s="0" t="n">
        <f aca="false">C3791/SUM($A3791:$C3791)</f>
        <v>0.409185666434994</v>
      </c>
      <c r="G3791" s="0" t="n">
        <f aca="false">SUMPRODUCT(D3791:F3791,Stats!$B$6:$D$6)</f>
        <v>0.354127592276169</v>
      </c>
      <c r="H3791" s="0" t="n">
        <f aca="false">SQRT(SUMPRODUCT(MMULT(D3791:F3791,Stats!$B$12:$D$14),D3791:F3791))</f>
        <v>0.223444322140995</v>
      </c>
      <c r="I3791" s="0" t="n">
        <f aca="false">(G3791-Stats!$B$2)/H3791</f>
        <v>1.39689202789057</v>
      </c>
    </row>
    <row r="3792" customFormat="false" ht="15" hidden="false" customHeight="false" outlineLevel="0" collapsed="false">
      <c r="A3792" s="0" t="n">
        <v>0.93296254856708</v>
      </c>
      <c r="B3792" s="0" t="n">
        <v>0.241852947064746</v>
      </c>
      <c r="C3792" s="0" t="n">
        <v>0.798221181588013</v>
      </c>
      <c r="D3792" s="0" t="n">
        <f aca="false">A3792/SUM($A3792:$C3792)</f>
        <v>0.472856160931431</v>
      </c>
      <c r="E3792" s="0" t="n">
        <f aca="false">B3792/SUM($A3792:$C3792)</f>
        <v>0.122579042679296</v>
      </c>
      <c r="F3792" s="0" t="n">
        <f aca="false">C3792/SUM($A3792:$C3792)</f>
        <v>0.404564796389274</v>
      </c>
      <c r="G3792" s="0" t="n">
        <f aca="false">SUMPRODUCT(D3792:F3792,Stats!$B$6:$D$6)</f>
        <v>0.352381025264511</v>
      </c>
      <c r="H3792" s="0" t="n">
        <f aca="false">SQRT(SUMPRODUCT(MMULT(D3792:F3792,Stats!$B$12:$D$14),D3792:F3792))</f>
        <v>0.222728814456473</v>
      </c>
      <c r="I3792" s="0" t="n">
        <f aca="false">(G3792-Stats!$B$2)/H3792</f>
        <v>1.39353781423358</v>
      </c>
    </row>
    <row r="3793" customFormat="false" ht="15" hidden="false" customHeight="false" outlineLevel="0" collapsed="false">
      <c r="A3793" s="0" t="n">
        <v>0.433074505144565</v>
      </c>
      <c r="B3793" s="0" t="n">
        <v>0.917524727230348</v>
      </c>
      <c r="C3793" s="0" t="n">
        <v>0.450124272635239</v>
      </c>
      <c r="D3793" s="0" t="n">
        <f aca="false">A3793/SUM($A3793:$C3793)</f>
        <v>0.240500278882139</v>
      </c>
      <c r="E3793" s="0" t="n">
        <f aca="false">B3793/SUM($A3793:$C3793)</f>
        <v>0.509531154937179</v>
      </c>
      <c r="F3793" s="0" t="n">
        <f aca="false">C3793/SUM($A3793:$C3793)</f>
        <v>0.249968566180681</v>
      </c>
      <c r="G3793" s="0" t="n">
        <f aca="false">SUMPRODUCT(D3793:F3793,Stats!$B$6:$D$6)</f>
        <v>0.378908680568676</v>
      </c>
      <c r="H3793" s="0" t="n">
        <f aca="false">SQRT(SUMPRODUCT(MMULT(D3793:F3793,Stats!$B$12:$D$14),D3793:F3793))</f>
        <v>0.23116010139375</v>
      </c>
      <c r="I3793" s="0" t="n">
        <f aca="false">(G3793-Stats!$B$2)/H3793</f>
        <v>1.45746899459434</v>
      </c>
    </row>
    <row r="3794" customFormat="false" ht="15" hidden="false" customHeight="false" outlineLevel="0" collapsed="false">
      <c r="A3794" s="0" t="n">
        <v>0.744303717337366</v>
      </c>
      <c r="B3794" s="0" t="n">
        <v>0.466967409163798</v>
      </c>
      <c r="C3794" s="0" t="n">
        <v>0.227800755712856</v>
      </c>
      <c r="D3794" s="0" t="n">
        <f aca="false">A3794/SUM($A3794:$C3794)</f>
        <v>0.517210937505256</v>
      </c>
      <c r="E3794" s="0" t="n">
        <f aca="false">B3794/SUM($A3794:$C3794)</f>
        <v>0.324492066682149</v>
      </c>
      <c r="F3794" s="0" t="n">
        <f aca="false">C3794/SUM($A3794:$C3794)</f>
        <v>0.158296995812595</v>
      </c>
      <c r="G3794" s="0" t="n">
        <f aca="false">SUMPRODUCT(D3794:F3794,Stats!$B$6:$D$6)</f>
        <v>0.370789579216047</v>
      </c>
      <c r="H3794" s="0" t="n">
        <f aca="false">SQRT(SUMPRODUCT(MMULT(D3794:F3794,Stats!$B$12:$D$14),D3794:F3794))</f>
        <v>0.224118715360295</v>
      </c>
      <c r="I3794" s="0" t="n">
        <f aca="false">(G3794-Stats!$B$2)/H3794</f>
        <v>1.46703312433093</v>
      </c>
    </row>
    <row r="3795" customFormat="false" ht="15" hidden="false" customHeight="false" outlineLevel="0" collapsed="false">
      <c r="A3795" s="0" t="n">
        <v>0.199350128944686</v>
      </c>
      <c r="B3795" s="0" t="n">
        <v>0.425431194256346</v>
      </c>
      <c r="C3795" s="0" t="n">
        <v>0.755494657014215</v>
      </c>
      <c r="D3795" s="0" t="n">
        <f aca="false">A3795/SUM($A3795:$C3795)</f>
        <v>0.144427731701597</v>
      </c>
      <c r="E3795" s="0" t="n">
        <f aca="false">B3795/SUM($A3795:$C3795)</f>
        <v>0.308221834150879</v>
      </c>
      <c r="F3795" s="0" t="n">
        <f aca="false">C3795/SUM($A3795:$C3795)</f>
        <v>0.547350434147524</v>
      </c>
      <c r="G3795" s="0" t="n">
        <f aca="false">SUMPRODUCT(D3795:F3795,Stats!$B$6:$D$6)</f>
        <v>0.359125412170082</v>
      </c>
      <c r="H3795" s="0" t="n">
        <f aca="false">SQRT(SUMPRODUCT(MMULT(D3795:F3795,Stats!$B$12:$D$14),D3795:F3795))</f>
        <v>0.235372174777339</v>
      </c>
      <c r="I3795" s="0" t="n">
        <f aca="false">(G3795-Stats!$B$2)/H3795</f>
        <v>1.34733603268985</v>
      </c>
    </row>
    <row r="3796" customFormat="false" ht="15" hidden="false" customHeight="false" outlineLevel="0" collapsed="false">
      <c r="A3796" s="0" t="n">
        <v>0.605071485180767</v>
      </c>
      <c r="B3796" s="0" t="n">
        <v>0.688629289900543</v>
      </c>
      <c r="C3796" s="0" t="n">
        <v>0.282326350731943</v>
      </c>
      <c r="D3796" s="0" t="n">
        <f aca="false">A3796/SUM($A3796:$C3796)</f>
        <v>0.383921999355526</v>
      </c>
      <c r="E3796" s="0" t="n">
        <f aca="false">B3796/SUM($A3796:$C3796)</f>
        <v>0.436939998443999</v>
      </c>
      <c r="F3796" s="0" t="n">
        <f aca="false">C3796/SUM($A3796:$C3796)</f>
        <v>0.179138002200475</v>
      </c>
      <c r="G3796" s="0" t="n">
        <f aca="false">SUMPRODUCT(D3796:F3796,Stats!$B$6:$D$6)</f>
        <v>0.376685004935841</v>
      </c>
      <c r="H3796" s="0" t="n">
        <f aca="false">SQRT(SUMPRODUCT(MMULT(D3796:F3796,Stats!$B$12:$D$14),D3796:F3796))</f>
        <v>0.226925173819726</v>
      </c>
      <c r="I3796" s="0" t="n">
        <f aca="false">(G3796-Stats!$B$2)/H3796</f>
        <v>1.47486944397681</v>
      </c>
    </row>
    <row r="3797" customFormat="false" ht="15" hidden="false" customHeight="false" outlineLevel="0" collapsed="false">
      <c r="A3797" s="0" t="n">
        <v>0.481435345957606</v>
      </c>
      <c r="B3797" s="0" t="n">
        <v>0.044395264969327</v>
      </c>
      <c r="C3797" s="0" t="n">
        <v>0.817532415958121</v>
      </c>
      <c r="D3797" s="0" t="n">
        <f aca="false">A3797/SUM($A3797:$C3797)</f>
        <v>0.358380673222742</v>
      </c>
      <c r="E3797" s="0" t="n">
        <f aca="false">B3797/SUM($A3797:$C3797)</f>
        <v>0.0330478538420618</v>
      </c>
      <c r="F3797" s="0" t="n">
        <f aca="false">C3797/SUM($A3797:$C3797)</f>
        <v>0.608571472935196</v>
      </c>
      <c r="G3797" s="0" t="n">
        <f aca="false">SUMPRODUCT(D3797:F3797,Stats!$B$6:$D$6)</f>
        <v>0.341604110896106</v>
      </c>
      <c r="H3797" s="0" t="n">
        <f aca="false">SQRT(SUMPRODUCT(MMULT(D3797:F3797,Stats!$B$12:$D$14),D3797:F3797))</f>
        <v>0.228589396943006</v>
      </c>
      <c r="I3797" s="0" t="n">
        <f aca="false">(G3797-Stats!$B$2)/H3797</f>
        <v>1.31066495166793</v>
      </c>
    </row>
    <row r="3798" customFormat="false" ht="15" hidden="false" customHeight="false" outlineLevel="0" collapsed="false">
      <c r="A3798" s="0" t="n">
        <v>0.989892162239875</v>
      </c>
      <c r="B3798" s="0" t="n">
        <v>0.406879062624671</v>
      </c>
      <c r="C3798" s="0" t="n">
        <v>0.0109636531315434</v>
      </c>
      <c r="D3798" s="0" t="n">
        <f aca="false">A3798/SUM($A3798:$C3798)</f>
        <v>0.703180817434165</v>
      </c>
      <c r="E3798" s="0" t="n">
        <f aca="false">B3798/SUM($A3798:$C3798)</f>
        <v>0.289031030618396</v>
      </c>
      <c r="F3798" s="0" t="n">
        <f aca="false">C3798/SUM($A3798:$C3798)</f>
        <v>0.00778815194743922</v>
      </c>
      <c r="G3798" s="0" t="n">
        <f aca="false">SUMPRODUCT(D3798:F3798,Stats!$B$6:$D$6)</f>
        <v>0.372899420578097</v>
      </c>
      <c r="H3798" s="0" t="n">
        <f aca="false">SQRT(SUMPRODUCT(MMULT(D3798:F3798,Stats!$B$12:$D$14),D3798:F3798))</f>
        <v>0.227290733012013</v>
      </c>
      <c r="I3798" s="0" t="n">
        <f aca="false">(G3798-Stats!$B$2)/H3798</f>
        <v>1.45584211108425</v>
      </c>
    </row>
    <row r="3799" customFormat="false" ht="15" hidden="false" customHeight="false" outlineLevel="0" collapsed="false">
      <c r="A3799" s="0" t="n">
        <v>0.169792639550947</v>
      </c>
      <c r="B3799" s="0" t="n">
        <v>0.652526877750419</v>
      </c>
      <c r="C3799" s="0" t="n">
        <v>0.612079318203859</v>
      </c>
      <c r="D3799" s="0" t="n">
        <f aca="false">A3799/SUM($A3799:$C3799)</f>
        <v>0.118371986471352</v>
      </c>
      <c r="E3799" s="0" t="n">
        <f aca="false">B3799/SUM($A3799:$C3799)</f>
        <v>0.454913139636359</v>
      </c>
      <c r="F3799" s="0" t="n">
        <f aca="false">C3799/SUM($A3799:$C3799)</f>
        <v>0.42671487389229</v>
      </c>
      <c r="G3799" s="0" t="n">
        <f aca="false">SUMPRODUCT(D3799:F3799,Stats!$B$6:$D$6)</f>
        <v>0.370892319204037</v>
      </c>
      <c r="H3799" s="0" t="n">
        <f aca="false">SQRT(SUMPRODUCT(MMULT(D3799:F3799,Stats!$B$12:$D$14),D3799:F3799))</f>
        <v>0.235880781589592</v>
      </c>
      <c r="I3799" s="0" t="n">
        <f aca="false">(G3799-Stats!$B$2)/H3799</f>
        <v>1.39431587850288</v>
      </c>
    </row>
    <row r="3800" customFormat="false" ht="15" hidden="false" customHeight="false" outlineLevel="0" collapsed="false">
      <c r="A3800" s="0" t="n">
        <v>0.787864719585544</v>
      </c>
      <c r="B3800" s="0" t="n">
        <v>0.253884010961068</v>
      </c>
      <c r="C3800" s="0" t="n">
        <v>0.763631915547134</v>
      </c>
      <c r="D3800" s="0" t="n">
        <f aca="false">A3800/SUM($A3800:$C3800)</f>
        <v>0.436398119859225</v>
      </c>
      <c r="E3800" s="0" t="n">
        <f aca="false">B3800/SUM($A3800:$C3800)</f>
        <v>0.140626305876487</v>
      </c>
      <c r="F3800" s="0" t="n">
        <f aca="false">C3800/SUM($A3800:$C3800)</f>
        <v>0.422975574264288</v>
      </c>
      <c r="G3800" s="0" t="n">
        <f aca="false">SUMPRODUCT(D3800:F3800,Stats!$B$6:$D$6)</f>
        <v>0.352911771312015</v>
      </c>
      <c r="H3800" s="0" t="n">
        <f aca="false">SQRT(SUMPRODUCT(MMULT(D3800:F3800,Stats!$B$12:$D$14),D3800:F3800))</f>
        <v>0.223520803352169</v>
      </c>
      <c r="I3800" s="0" t="n">
        <f aca="false">(G3800-Stats!$B$2)/H3800</f>
        <v>1.39097465045415</v>
      </c>
    </row>
    <row r="3801" customFormat="false" ht="15" hidden="false" customHeight="false" outlineLevel="0" collapsed="false">
      <c r="A3801" s="0" t="n">
        <v>0.68798402152367</v>
      </c>
      <c r="B3801" s="0" t="n">
        <v>0.322814497713843</v>
      </c>
      <c r="C3801" s="0" t="n">
        <v>0.545488148056962</v>
      </c>
      <c r="D3801" s="0" t="n">
        <f aca="false">A3801/SUM($A3801:$C3801)</f>
        <v>0.442067670424559</v>
      </c>
      <c r="E3801" s="0" t="n">
        <f aca="false">B3801/SUM($A3801:$C3801)</f>
        <v>0.207426115315271</v>
      </c>
      <c r="F3801" s="0" t="n">
        <f aca="false">C3801/SUM($A3801:$C3801)</f>
        <v>0.350506214260169</v>
      </c>
      <c r="G3801" s="0" t="n">
        <f aca="false">SUMPRODUCT(D3801:F3801,Stats!$B$6:$D$6)</f>
        <v>0.358753660618754</v>
      </c>
      <c r="H3801" s="0" t="n">
        <f aca="false">SQRT(SUMPRODUCT(MMULT(D3801:F3801,Stats!$B$12:$D$14),D3801:F3801))</f>
        <v>0.22318055704572</v>
      </c>
      <c r="I3801" s="0" t="n">
        <f aca="false">(G3801-Stats!$B$2)/H3801</f>
        <v>1.41927085769333</v>
      </c>
    </row>
    <row r="3802" customFormat="false" ht="15" hidden="false" customHeight="false" outlineLevel="0" collapsed="false">
      <c r="A3802" s="0" t="n">
        <v>0.147273808498327</v>
      </c>
      <c r="B3802" s="0" t="n">
        <v>0.452564503435583</v>
      </c>
      <c r="C3802" s="0" t="n">
        <v>0.881197339555641</v>
      </c>
      <c r="D3802" s="0" t="n">
        <f aca="false">A3802/SUM($A3802:$C3802)</f>
        <v>0.0994397456605492</v>
      </c>
      <c r="E3802" s="0" t="n">
        <f aca="false">B3802/SUM($A3802:$C3802)</f>
        <v>0.305572997503751</v>
      </c>
      <c r="F3802" s="0" t="n">
        <f aca="false">C3802/SUM($A3802:$C3802)</f>
        <v>0.5949872568357</v>
      </c>
      <c r="G3802" s="0" t="n">
        <f aca="false">SUMPRODUCT(D3802:F3802,Stats!$B$6:$D$6)</f>
        <v>0.357659434474187</v>
      </c>
      <c r="H3802" s="0" t="n">
        <f aca="false">SQRT(SUMPRODUCT(MMULT(D3802:F3802,Stats!$B$12:$D$14),D3802:F3802))</f>
        <v>0.238531457317853</v>
      </c>
      <c r="I3802" s="0" t="n">
        <f aca="false">(G3802-Stats!$B$2)/H3802</f>
        <v>1.3233450968002</v>
      </c>
    </row>
    <row r="3803" customFormat="false" ht="15" hidden="false" customHeight="false" outlineLevel="0" collapsed="false">
      <c r="A3803" s="0" t="n">
        <v>0.421191379825391</v>
      </c>
      <c r="B3803" s="0" t="n">
        <v>0.839566706475422</v>
      </c>
      <c r="C3803" s="0" t="n">
        <v>0.590253365259694</v>
      </c>
      <c r="D3803" s="0" t="n">
        <f aca="false">A3803/SUM($A3803:$C3803)</f>
        <v>0.227546609433617</v>
      </c>
      <c r="E3803" s="0" t="n">
        <f aca="false">B3803/SUM($A3803:$C3803)</f>
        <v>0.453571859735184</v>
      </c>
      <c r="F3803" s="0" t="n">
        <f aca="false">C3803/SUM($A3803:$C3803)</f>
        <v>0.318881530831199</v>
      </c>
      <c r="G3803" s="0" t="n">
        <f aca="false">SUMPRODUCT(D3803:F3803,Stats!$B$6:$D$6)</f>
        <v>0.373788606654534</v>
      </c>
      <c r="H3803" s="0" t="n">
        <f aca="false">SQRT(SUMPRODUCT(MMULT(D3803:F3803,Stats!$B$12:$D$14),D3803:F3803))</f>
        <v>0.230779658801488</v>
      </c>
      <c r="I3803" s="0" t="n">
        <f aca="false">(G3803-Stats!$B$2)/H3803</f>
        <v>1.43768566249563</v>
      </c>
    </row>
    <row r="3804" customFormat="false" ht="15" hidden="false" customHeight="false" outlineLevel="0" collapsed="false">
      <c r="A3804" s="0" t="n">
        <v>0.191876713102357</v>
      </c>
      <c r="B3804" s="0" t="n">
        <v>0.581106244697896</v>
      </c>
      <c r="C3804" s="0" t="n">
        <v>0.505983329157064</v>
      </c>
      <c r="D3804" s="0" t="n">
        <f aca="false">A3804/SUM($A3804:$C3804)</f>
        <v>0.150024840419238</v>
      </c>
      <c r="E3804" s="0" t="n">
        <f aca="false">B3804/SUM($A3804:$C3804)</f>
        <v>0.454356186417047</v>
      </c>
      <c r="F3804" s="0" t="n">
        <f aca="false">C3804/SUM($A3804:$C3804)</f>
        <v>0.395618973163715</v>
      </c>
      <c r="G3804" s="0" t="n">
        <f aca="false">SUMPRODUCT(D3804:F3804,Stats!$B$6:$D$6)</f>
        <v>0.371717730339127</v>
      </c>
      <c r="H3804" s="0" t="n">
        <f aca="false">SQRT(SUMPRODUCT(MMULT(D3804:F3804,Stats!$B$12:$D$14),D3804:F3804))</f>
        <v>0.234184425201558</v>
      </c>
      <c r="I3804" s="0" t="n">
        <f aca="false">(G3804-Stats!$B$2)/H3804</f>
        <v>1.40794047279338</v>
      </c>
    </row>
    <row r="3805" customFormat="false" ht="15" hidden="false" customHeight="false" outlineLevel="0" collapsed="false">
      <c r="A3805" s="0" t="n">
        <v>0.398641335196384</v>
      </c>
      <c r="B3805" s="0" t="n">
        <v>0.11963043951607</v>
      </c>
      <c r="C3805" s="0" t="n">
        <v>0.41670866384723</v>
      </c>
      <c r="D3805" s="0" t="n">
        <f aca="false">A3805/SUM($A3805:$C3805)</f>
        <v>0.426363289279594</v>
      </c>
      <c r="E3805" s="0" t="n">
        <f aca="false">B3805/SUM($A3805:$C3805)</f>
        <v>0.127949671011683</v>
      </c>
      <c r="F3805" s="0" t="n">
        <f aca="false">C3805/SUM($A3805:$C3805)</f>
        <v>0.445687039708724</v>
      </c>
      <c r="G3805" s="0" t="n">
        <f aca="false">SUMPRODUCT(D3805:F3805,Stats!$B$6:$D$6)</f>
        <v>0.351556114224601</v>
      </c>
      <c r="H3805" s="0" t="n">
        <f aca="false">SQRT(SUMPRODUCT(MMULT(D3805:F3805,Stats!$B$12:$D$14),D3805:F3805))</f>
        <v>0.223926677659232</v>
      </c>
      <c r="I3805" s="0" t="n">
        <f aca="false">(G3805-Stats!$B$2)/H3805</f>
        <v>1.38239944190874</v>
      </c>
    </row>
    <row r="3806" customFormat="false" ht="15" hidden="false" customHeight="false" outlineLevel="0" collapsed="false">
      <c r="A3806" s="0" t="n">
        <v>0.0727623762396271</v>
      </c>
      <c r="B3806" s="0" t="n">
        <v>0.0987690513987513</v>
      </c>
      <c r="C3806" s="0" t="n">
        <v>0.415916532932716</v>
      </c>
      <c r="D3806" s="0" t="n">
        <f aca="false">A3806/SUM($A3806:$C3806)</f>
        <v>0.12386182457573</v>
      </c>
      <c r="E3806" s="0" t="n">
        <f aca="false">B3806/SUM($A3806:$C3806)</f>
        <v>0.168132427088064</v>
      </c>
      <c r="F3806" s="0" t="n">
        <f aca="false">C3806/SUM($A3806:$C3806)</f>
        <v>0.708005748336207</v>
      </c>
      <c r="G3806" s="0" t="n">
        <f aca="false">SUMPRODUCT(D3806:F3806,Stats!$B$6:$D$6)</f>
        <v>0.346634840504389</v>
      </c>
      <c r="H3806" s="0" t="n">
        <f aca="false">SQRT(SUMPRODUCT(MMULT(D3806:F3806,Stats!$B$12:$D$14),D3806:F3806))</f>
        <v>0.240208922133292</v>
      </c>
      <c r="I3806" s="0" t="n">
        <f aca="false">(G3806-Stats!$B$2)/H3806</f>
        <v>1.26820784922946</v>
      </c>
    </row>
    <row r="3807" customFormat="false" ht="15" hidden="false" customHeight="false" outlineLevel="0" collapsed="false">
      <c r="A3807" s="0" t="n">
        <v>0.305381481968464</v>
      </c>
      <c r="B3807" s="0" t="n">
        <v>0.925544325862224</v>
      </c>
      <c r="C3807" s="0" t="n">
        <v>0.375705805380271</v>
      </c>
      <c r="D3807" s="0" t="n">
        <f aca="false">A3807/SUM($A3807:$C3807)</f>
        <v>0.190075608781368</v>
      </c>
      <c r="E3807" s="0" t="n">
        <f aca="false">B3807/SUM($A3807:$C3807)</f>
        <v>0.576077501682208</v>
      </c>
      <c r="F3807" s="0" t="n">
        <f aca="false">C3807/SUM($A3807:$C3807)</f>
        <v>0.233846889536425</v>
      </c>
      <c r="G3807" s="0" t="n">
        <f aca="false">SUMPRODUCT(D3807:F3807,Stats!$B$6:$D$6)</f>
        <v>0.383182220263876</v>
      </c>
      <c r="H3807" s="0" t="n">
        <f aca="false">SQRT(SUMPRODUCT(MMULT(D3807:F3807,Stats!$B$12:$D$14),D3807:F3807))</f>
        <v>0.234010744360013</v>
      </c>
      <c r="I3807" s="0" t="n">
        <f aca="false">(G3807-Stats!$B$2)/H3807</f>
        <v>1.45797673178196</v>
      </c>
    </row>
    <row r="3808" customFormat="false" ht="15" hidden="false" customHeight="false" outlineLevel="0" collapsed="false">
      <c r="A3808" s="0" t="n">
        <v>0.7578581220721</v>
      </c>
      <c r="B3808" s="0" t="n">
        <v>0.530247526366243</v>
      </c>
      <c r="C3808" s="0" t="n">
        <v>0.704085668642336</v>
      </c>
      <c r="D3808" s="0" t="n">
        <f aca="false">A3808/SUM($A3808:$C3808)</f>
        <v>0.380414328470547</v>
      </c>
      <c r="E3808" s="0" t="n">
        <f aca="false">B3808/SUM($A3808:$C3808)</f>
        <v>0.266162954240388</v>
      </c>
      <c r="F3808" s="0" t="n">
        <f aca="false">C3808/SUM($A3808:$C3808)</f>
        <v>0.353422717289065</v>
      </c>
      <c r="G3808" s="0" t="n">
        <f aca="false">SUMPRODUCT(D3808:F3808,Stats!$B$6:$D$6)</f>
        <v>0.362052880859626</v>
      </c>
      <c r="H3808" s="0" t="n">
        <f aca="false">SQRT(SUMPRODUCT(MMULT(D3808:F3808,Stats!$B$12:$D$14),D3808:F3808))</f>
        <v>0.224724244880752</v>
      </c>
      <c r="I3808" s="0" t="n">
        <f aca="false">(G3808-Stats!$B$2)/H3808</f>
        <v>1.42420272022478</v>
      </c>
    </row>
    <row r="3809" customFormat="false" ht="15" hidden="false" customHeight="false" outlineLevel="0" collapsed="false">
      <c r="A3809" s="0" t="n">
        <v>0.260115983015399</v>
      </c>
      <c r="B3809" s="0" t="n">
        <v>0.941904972838329</v>
      </c>
      <c r="C3809" s="0" t="n">
        <v>0.530088496914424</v>
      </c>
      <c r="D3809" s="0" t="n">
        <f aca="false">A3809/SUM($A3809:$C3809)</f>
        <v>0.150172948135407</v>
      </c>
      <c r="E3809" s="0" t="n">
        <f aca="false">B3809/SUM($A3809:$C3809)</f>
        <v>0.543790677507726</v>
      </c>
      <c r="F3809" s="0" t="n">
        <f aca="false">C3809/SUM($A3809:$C3809)</f>
        <v>0.306036374356868</v>
      </c>
      <c r="G3809" s="0" t="n">
        <f aca="false">SUMPRODUCT(D3809:F3809,Stats!$B$6:$D$6)</f>
        <v>0.379333880910507</v>
      </c>
      <c r="H3809" s="0" t="n">
        <f aca="false">SQRT(SUMPRODUCT(MMULT(D3809:F3809,Stats!$B$12:$D$14),D3809:F3809))</f>
        <v>0.234922978111703</v>
      </c>
      <c r="I3809" s="0" t="n">
        <f aca="false">(G3809-Stats!$B$2)/H3809</f>
        <v>1.43593395427717</v>
      </c>
    </row>
    <row r="3810" customFormat="false" ht="15" hidden="false" customHeight="false" outlineLevel="0" collapsed="false">
      <c r="A3810" s="0" t="n">
        <v>0.83132407128525</v>
      </c>
      <c r="B3810" s="0" t="n">
        <v>0.365045693476114</v>
      </c>
      <c r="C3810" s="0" t="n">
        <v>0.100211349050525</v>
      </c>
      <c r="D3810" s="0" t="n">
        <f aca="false">A3810/SUM($A3810:$C3810)</f>
        <v>0.641166265981768</v>
      </c>
      <c r="E3810" s="0" t="n">
        <f aca="false">B3810/SUM($A3810:$C3810)</f>
        <v>0.2815448178193</v>
      </c>
      <c r="F3810" s="0" t="n">
        <f aca="false">C3810/SUM($A3810:$C3810)</f>
        <v>0.0772889161989317</v>
      </c>
      <c r="G3810" s="0" t="n">
        <f aca="false">SUMPRODUCT(D3810:F3810,Stats!$B$6:$D$6)</f>
        <v>0.370552216740017</v>
      </c>
      <c r="H3810" s="0" t="n">
        <f aca="false">SQRT(SUMPRODUCT(MMULT(D3810:F3810,Stats!$B$12:$D$14),D3810:F3810))</f>
        <v>0.225009326312232</v>
      </c>
      <c r="I3810" s="0" t="n">
        <f aca="false">(G3810-Stats!$B$2)/H3810</f>
        <v>1.46017154988547</v>
      </c>
    </row>
    <row r="3811" customFormat="false" ht="15" hidden="false" customHeight="false" outlineLevel="0" collapsed="false">
      <c r="A3811" s="0" t="n">
        <v>0.673711647720849</v>
      </c>
      <c r="B3811" s="0" t="n">
        <v>0.00775964833742449</v>
      </c>
      <c r="C3811" s="0" t="n">
        <v>0.475292976565508</v>
      </c>
      <c r="D3811" s="0" t="n">
        <f aca="false">A3811/SUM($A3811:$C3811)</f>
        <v>0.58241049076726</v>
      </c>
      <c r="E3811" s="0" t="n">
        <f aca="false">B3811/SUM($A3811:$C3811)</f>
        <v>0.00670806362287105</v>
      </c>
      <c r="F3811" s="0" t="n">
        <f aca="false">C3811/SUM($A3811:$C3811)</f>
        <v>0.410881445609869</v>
      </c>
      <c r="G3811" s="0" t="n">
        <f aca="false">SUMPRODUCT(D3811:F3811,Stats!$B$6:$D$6)</f>
        <v>0.345539779925731</v>
      </c>
      <c r="H3811" s="0" t="n">
        <f aca="false">SQRT(SUMPRODUCT(MMULT(D3811:F3811,Stats!$B$12:$D$14),D3811:F3811))</f>
        <v>0.221747647004518</v>
      </c>
      <c r="I3811" s="0" t="n">
        <f aca="false">(G3811-Stats!$B$2)/H3811</f>
        <v>1.36885231489986</v>
      </c>
    </row>
    <row r="3812" customFormat="false" ht="15" hidden="false" customHeight="false" outlineLevel="0" collapsed="false">
      <c r="A3812" s="0" t="n">
        <v>0.192801902666459</v>
      </c>
      <c r="B3812" s="0" t="n">
        <v>0.627375504435362</v>
      </c>
      <c r="C3812" s="0" t="n">
        <v>0.979419873137852</v>
      </c>
      <c r="D3812" s="0" t="n">
        <f aca="false">A3812/SUM($A3812:$C3812)</f>
        <v>0.107136138059056</v>
      </c>
      <c r="E3812" s="0" t="n">
        <f aca="false">B3812/SUM($A3812:$C3812)</f>
        <v>0.348619944764424</v>
      </c>
      <c r="F3812" s="0" t="n">
        <f aca="false">C3812/SUM($A3812:$C3812)</f>
        <v>0.54424391717652</v>
      </c>
      <c r="G3812" s="0" t="n">
        <f aca="false">SUMPRODUCT(D3812:F3812,Stats!$B$6:$D$6)</f>
        <v>0.36153552817918</v>
      </c>
      <c r="H3812" s="0" t="n">
        <f aca="false">SQRT(SUMPRODUCT(MMULT(D3812:F3812,Stats!$B$12:$D$14),D3812:F3812))</f>
        <v>0.237288973235998</v>
      </c>
      <c r="I3812" s="0" t="n">
        <f aca="false">(G3812-Stats!$B$2)/H3812</f>
        <v>1.34660925799272</v>
      </c>
    </row>
    <row r="3813" customFormat="false" ht="15" hidden="false" customHeight="false" outlineLevel="0" collapsed="false">
      <c r="A3813" s="0" t="n">
        <v>0.464402906320646</v>
      </c>
      <c r="B3813" s="0" t="n">
        <v>0.817498256525667</v>
      </c>
      <c r="C3813" s="0" t="n">
        <v>0.507784186951121</v>
      </c>
      <c r="D3813" s="0" t="n">
        <f aca="false">A3813/SUM($A3813:$C3813)</f>
        <v>0.259488577907401</v>
      </c>
      <c r="E3813" s="0" t="n">
        <f aca="false">B3813/SUM($A3813:$C3813)</f>
        <v>0.45678323098426</v>
      </c>
      <c r="F3813" s="0" t="n">
        <f aca="false">C3813/SUM($A3813:$C3813)</f>
        <v>0.283728191108339</v>
      </c>
      <c r="G3813" s="0" t="n">
        <f aca="false">SUMPRODUCT(D3813:F3813,Stats!$B$6:$D$6)</f>
        <v>0.374942724621981</v>
      </c>
      <c r="H3813" s="0" t="n">
        <f aca="false">SQRT(SUMPRODUCT(MMULT(D3813:F3813,Stats!$B$12:$D$14),D3813:F3813))</f>
        <v>0.229743374333532</v>
      </c>
      <c r="I3813" s="0" t="n">
        <f aca="false">(G3813-Stats!$B$2)/H3813</f>
        <v>1.44919402175502</v>
      </c>
    </row>
    <row r="3814" customFormat="false" ht="15" hidden="false" customHeight="false" outlineLevel="0" collapsed="false">
      <c r="A3814" s="0" t="n">
        <v>0.495840031104024</v>
      </c>
      <c r="B3814" s="0" t="n">
        <v>0.930423493178778</v>
      </c>
      <c r="C3814" s="0" t="n">
        <v>0.889965868746682</v>
      </c>
      <c r="D3814" s="0" t="n">
        <f aca="false">A3814/SUM($A3814:$C3814)</f>
        <v>0.214072074465602</v>
      </c>
      <c r="E3814" s="0" t="n">
        <f aca="false">B3814/SUM($A3814:$C3814)</f>
        <v>0.401697472615975</v>
      </c>
      <c r="F3814" s="0" t="n">
        <f aca="false">C3814/SUM($A3814:$C3814)</f>
        <v>0.384230452918423</v>
      </c>
      <c r="G3814" s="0" t="n">
        <f aca="false">SUMPRODUCT(D3814:F3814,Stats!$B$6:$D$6)</f>
        <v>0.369001850167361</v>
      </c>
      <c r="H3814" s="0" t="n">
        <f aca="false">SQRT(SUMPRODUCT(MMULT(D3814:F3814,Stats!$B$12:$D$14),D3814:F3814))</f>
        <v>0.230981609943209</v>
      </c>
      <c r="I3814" s="0" t="n">
        <f aca="false">(G3814-Stats!$B$2)/H3814</f>
        <v>1.41570513015197</v>
      </c>
    </row>
    <row r="3815" customFormat="false" ht="15" hidden="false" customHeight="false" outlineLevel="0" collapsed="false">
      <c r="A3815" s="0" t="n">
        <v>0.785800465187974</v>
      </c>
      <c r="B3815" s="0" t="n">
        <v>0.296255753316784</v>
      </c>
      <c r="C3815" s="0" t="n">
        <v>0.545008415723941</v>
      </c>
      <c r="D3815" s="0" t="n">
        <f aca="false">A3815/SUM($A3815:$C3815)</f>
        <v>0.482955900249457</v>
      </c>
      <c r="E3815" s="0" t="n">
        <f aca="false">B3815/SUM($A3815:$C3815)</f>
        <v>0.182079892270059</v>
      </c>
      <c r="F3815" s="0" t="n">
        <f aca="false">C3815/SUM($A3815:$C3815)</f>
        <v>0.334964207480485</v>
      </c>
      <c r="G3815" s="0" t="n">
        <f aca="false">SUMPRODUCT(D3815:F3815,Stats!$B$6:$D$6)</f>
        <v>0.357723836608886</v>
      </c>
      <c r="H3815" s="0" t="n">
        <f aca="false">SQRT(SUMPRODUCT(MMULT(D3815:F3815,Stats!$B$12:$D$14),D3815:F3815))</f>
        <v>0.222426798169791</v>
      </c>
      <c r="I3815" s="0" t="n">
        <f aca="false">(G3815-Stats!$B$2)/H3815</f>
        <v>1.41945053027233</v>
      </c>
    </row>
    <row r="3816" customFormat="false" ht="15" hidden="false" customHeight="false" outlineLevel="0" collapsed="false">
      <c r="A3816" s="0" t="n">
        <v>0.223897233305685</v>
      </c>
      <c r="B3816" s="0" t="n">
        <v>0.44391669804654</v>
      </c>
      <c r="C3816" s="0" t="n">
        <v>0.484213065759791</v>
      </c>
      <c r="D3816" s="0" t="n">
        <f aca="false">A3816/SUM($A3816:$C3816)</f>
        <v>0.194350682637618</v>
      </c>
      <c r="E3816" s="0" t="n">
        <f aca="false">B3816/SUM($A3816:$C3816)</f>
        <v>0.385335325612492</v>
      </c>
      <c r="F3816" s="0" t="n">
        <f aca="false">C3816/SUM($A3816:$C3816)</f>
        <v>0.42031399174989</v>
      </c>
      <c r="G3816" s="0" t="n">
        <f aca="false">SUMPRODUCT(D3816:F3816,Stats!$B$6:$D$6)</f>
        <v>0.367065403701074</v>
      </c>
      <c r="H3816" s="0" t="n">
        <f aca="false">SQRT(SUMPRODUCT(MMULT(D3816:F3816,Stats!$B$12:$D$14),D3816:F3816))</f>
        <v>0.231891107528137</v>
      </c>
      <c r="I3816" s="0" t="n">
        <f aca="false">(G3816-Stats!$B$2)/H3816</f>
        <v>1.40180193697868</v>
      </c>
    </row>
    <row r="3817" customFormat="false" ht="15" hidden="false" customHeight="false" outlineLevel="0" collapsed="false">
      <c r="A3817" s="0" t="n">
        <v>0.831640040169331</v>
      </c>
      <c r="B3817" s="0" t="n">
        <v>0.896028365324993</v>
      </c>
      <c r="C3817" s="0" t="n">
        <v>0.414620062396478</v>
      </c>
      <c r="D3817" s="0" t="n">
        <f aca="false">A3817/SUM($A3817:$C3817)</f>
        <v>0.388201707022269</v>
      </c>
      <c r="E3817" s="0" t="n">
        <f aca="false">B3817/SUM($A3817:$C3817)</f>
        <v>0.418257568369017</v>
      </c>
      <c r="F3817" s="0" t="n">
        <f aca="false">C3817/SUM($A3817:$C3817)</f>
        <v>0.193540724608714</v>
      </c>
      <c r="G3817" s="0" t="n">
        <f aca="false">SUMPRODUCT(D3817:F3817,Stats!$B$6:$D$6)</f>
        <v>0.375212892558694</v>
      </c>
      <c r="H3817" s="0" t="n">
        <f aca="false">SQRT(SUMPRODUCT(MMULT(D3817:F3817,Stats!$B$12:$D$14),D3817:F3817))</f>
        <v>0.22645808413798</v>
      </c>
      <c r="I3817" s="0" t="n">
        <f aca="false">(G3817-Stats!$B$2)/H3817</f>
        <v>1.47141089631257</v>
      </c>
    </row>
    <row r="3818" customFormat="false" ht="15" hidden="false" customHeight="false" outlineLevel="0" collapsed="false">
      <c r="A3818" s="0" t="n">
        <v>0.0177044450732372</v>
      </c>
      <c r="B3818" s="0" t="n">
        <v>0.861773839789355</v>
      </c>
      <c r="C3818" s="0" t="n">
        <v>0.174278678501361</v>
      </c>
      <c r="D3818" s="0" t="n">
        <f aca="false">A3818/SUM($A3818:$C3818)</f>
        <v>0.0168012603368414</v>
      </c>
      <c r="E3818" s="0" t="n">
        <f aca="false">B3818/SUM($A3818:$C3818)</f>
        <v>0.817810813831567</v>
      </c>
      <c r="F3818" s="0" t="n">
        <f aca="false">C3818/SUM($A3818:$C3818)</f>
        <v>0.165387925831592</v>
      </c>
      <c r="G3818" s="0" t="n">
        <f aca="false">SUMPRODUCT(D3818:F3818,Stats!$B$6:$D$6)</f>
        <v>0.398978971769106</v>
      </c>
      <c r="H3818" s="0" t="n">
        <f aca="false">SQRT(SUMPRODUCT(MMULT(D3818:F3818,Stats!$B$12:$D$14),D3818:F3818))</f>
        <v>0.246660820818292</v>
      </c>
      <c r="I3818" s="0" t="n">
        <f aca="false">(G3818-Stats!$B$2)/H3818</f>
        <v>1.44724634656138</v>
      </c>
    </row>
    <row r="3819" customFormat="false" ht="15" hidden="false" customHeight="false" outlineLevel="0" collapsed="false">
      <c r="A3819" s="0" t="n">
        <v>0.621881963890394</v>
      </c>
      <c r="B3819" s="0" t="n">
        <v>0.0249709004341312</v>
      </c>
      <c r="C3819" s="0" t="n">
        <v>0.399506475260564</v>
      </c>
      <c r="D3819" s="0" t="n">
        <f aca="false">A3819/SUM($A3819:$C3819)</f>
        <v>0.594329252259542</v>
      </c>
      <c r="E3819" s="0" t="n">
        <f aca="false">B3819/SUM($A3819:$C3819)</f>
        <v>0.0238645554060165</v>
      </c>
      <c r="F3819" s="0" t="n">
        <f aca="false">C3819/SUM($A3819:$C3819)</f>
        <v>0.381806192334442</v>
      </c>
      <c r="G3819" s="0" t="n">
        <f aca="false">SUMPRODUCT(D3819:F3819,Stats!$B$6:$D$6)</f>
        <v>0.34732868118386</v>
      </c>
      <c r="H3819" s="0" t="n">
        <f aca="false">SQRT(SUMPRODUCT(MMULT(D3819:F3819,Stats!$B$12:$D$14),D3819:F3819))</f>
        <v>0.221486177062825</v>
      </c>
      <c r="I3819" s="0" t="n">
        <f aca="false">(G3819-Stats!$B$2)/H3819</f>
        <v>1.37854508679904</v>
      </c>
    </row>
    <row r="3820" customFormat="false" ht="15" hidden="false" customHeight="false" outlineLevel="0" collapsed="false">
      <c r="A3820" s="0" t="n">
        <v>0.98596030211535</v>
      </c>
      <c r="B3820" s="0" t="n">
        <v>0.100693601103803</v>
      </c>
      <c r="C3820" s="0" t="n">
        <v>0.423693151999642</v>
      </c>
      <c r="D3820" s="0" t="n">
        <f aca="false">A3820/SUM($A3820:$C3820)</f>
        <v>0.652803803409621</v>
      </c>
      <c r="E3820" s="0" t="n">
        <f aca="false">B3820/SUM($A3820:$C3820)</f>
        <v>0.0666691809381627</v>
      </c>
      <c r="F3820" s="0" t="n">
        <f aca="false">C3820/SUM($A3820:$C3820)</f>
        <v>0.280527015652217</v>
      </c>
      <c r="G3820" s="0" t="n">
        <f aca="false">SUMPRODUCT(D3820:F3820,Stats!$B$6:$D$6)</f>
        <v>0.35258433827903</v>
      </c>
      <c r="H3820" s="0" t="n">
        <f aca="false">SQRT(SUMPRODUCT(MMULT(D3820:F3820,Stats!$B$12:$D$14),D3820:F3820))</f>
        <v>0.221435719302533</v>
      </c>
      <c r="I3820" s="0" t="n">
        <f aca="false">(G3820-Stats!$B$2)/H3820</f>
        <v>1.40259367033148</v>
      </c>
    </row>
    <row r="3821" customFormat="false" ht="15" hidden="false" customHeight="false" outlineLevel="0" collapsed="false">
      <c r="A3821" s="0" t="n">
        <v>0.307149950189952</v>
      </c>
      <c r="B3821" s="0" t="n">
        <v>0.905088123388264</v>
      </c>
      <c r="C3821" s="0" t="n">
        <v>0.869340107907355</v>
      </c>
      <c r="D3821" s="0" t="n">
        <f aca="false">A3821/SUM($A3821:$C3821)</f>
        <v>0.147556288263334</v>
      </c>
      <c r="E3821" s="0" t="n">
        <f aca="false">B3821/SUM($A3821:$C3821)</f>
        <v>0.434808613694406</v>
      </c>
      <c r="F3821" s="0" t="n">
        <f aca="false">C3821/SUM($A3821:$C3821)</f>
        <v>0.41763509804226</v>
      </c>
      <c r="G3821" s="0" t="n">
        <f aca="false">SUMPRODUCT(D3821:F3821,Stats!$B$6:$D$6)</f>
        <v>0.369985902128915</v>
      </c>
      <c r="H3821" s="0" t="n">
        <f aca="false">SQRT(SUMPRODUCT(MMULT(D3821:F3821,Stats!$B$12:$D$14),D3821:F3821))</f>
        <v>0.234278458081993</v>
      </c>
      <c r="I3821" s="0" t="n">
        <f aca="false">(G3821-Stats!$B$2)/H3821</f>
        <v>1.39998318588099</v>
      </c>
    </row>
    <row r="3822" customFormat="false" ht="15" hidden="false" customHeight="false" outlineLevel="0" collapsed="false">
      <c r="A3822" s="0" t="n">
        <v>0.237698760306229</v>
      </c>
      <c r="B3822" s="0" t="n">
        <v>0.0811877870504312</v>
      </c>
      <c r="C3822" s="0" t="n">
        <v>0.627138394061118</v>
      </c>
      <c r="D3822" s="0" t="n">
        <f aca="false">A3822/SUM($A3822:$C3822)</f>
        <v>0.251260563965679</v>
      </c>
      <c r="E3822" s="0" t="n">
        <f aca="false">B3822/SUM($A3822:$C3822)</f>
        <v>0.0858199223888935</v>
      </c>
      <c r="F3822" s="0" t="n">
        <f aca="false">C3822/SUM($A3822:$C3822)</f>
        <v>0.662919513645428</v>
      </c>
      <c r="G3822" s="0" t="n">
        <f aca="false">SUMPRODUCT(D3822:F3822,Stats!$B$6:$D$6)</f>
        <v>0.34314192109951</v>
      </c>
      <c r="H3822" s="0" t="n">
        <f aca="false">SQRT(SUMPRODUCT(MMULT(D3822:F3822,Stats!$B$12:$D$14),D3822:F3822))</f>
        <v>0.233429431002403</v>
      </c>
      <c r="I3822" s="0" t="n">
        <f aca="false">(G3822-Stats!$B$2)/H3822</f>
        <v>1.29007691877726</v>
      </c>
    </row>
    <row r="3823" customFormat="false" ht="15" hidden="false" customHeight="false" outlineLevel="0" collapsed="false">
      <c r="A3823" s="0" t="n">
        <v>0.33636871188371</v>
      </c>
      <c r="B3823" s="0" t="n">
        <v>0.672084390606063</v>
      </c>
      <c r="C3823" s="0" t="n">
        <v>0.0321197560678145</v>
      </c>
      <c r="D3823" s="0" t="n">
        <f aca="false">A3823/SUM($A3823:$C3823)</f>
        <v>0.323253397508344</v>
      </c>
      <c r="E3823" s="0" t="n">
        <f aca="false">B3823/SUM($A3823:$C3823)</f>
        <v>0.645879224197417</v>
      </c>
      <c r="F3823" s="0" t="n">
        <f aca="false">C3823/SUM($A3823:$C3823)</f>
        <v>0.0308673782942388</v>
      </c>
      <c r="G3823" s="0" t="n">
        <f aca="false">SUMPRODUCT(D3823:F3823,Stats!$B$6:$D$6)</f>
        <v>0.392795602987278</v>
      </c>
      <c r="H3823" s="0" t="n">
        <f aca="false">SQRT(SUMPRODUCT(MMULT(D3823:F3823,Stats!$B$12:$D$14),D3823:F3823))</f>
        <v>0.234109302310705</v>
      </c>
      <c r="I3823" s="0" t="n">
        <f aca="false">(G3823-Stats!$B$2)/H3823</f>
        <v>1.49842658760185</v>
      </c>
    </row>
    <row r="3824" customFormat="false" ht="15" hidden="false" customHeight="false" outlineLevel="0" collapsed="false">
      <c r="A3824" s="0" t="n">
        <v>0.133399235177489</v>
      </c>
      <c r="B3824" s="0" t="n">
        <v>0.686372232772643</v>
      </c>
      <c r="C3824" s="0" t="n">
        <v>0.212370655302498</v>
      </c>
      <c r="D3824" s="0" t="n">
        <f aca="false">A3824/SUM($A3824:$C3824)</f>
        <v>0.129245025633779</v>
      </c>
      <c r="E3824" s="0" t="n">
        <f aca="false">B3824/SUM($A3824:$C3824)</f>
        <v>0.66499779178632</v>
      </c>
      <c r="F3824" s="0" t="n">
        <f aca="false">C3824/SUM($A3824:$C3824)</f>
        <v>0.205757182579901</v>
      </c>
      <c r="G3824" s="0" t="n">
        <f aca="false">SUMPRODUCT(D3824:F3824,Stats!$B$6:$D$6)</f>
        <v>0.389073141534644</v>
      </c>
      <c r="H3824" s="0" t="n">
        <f aca="false">SQRT(SUMPRODUCT(MMULT(D3824:F3824,Stats!$B$12:$D$14),D3824:F3824))</f>
        <v>0.238107592547962</v>
      </c>
      <c r="I3824" s="0" t="n">
        <f aca="false">(G3824-Stats!$B$2)/H3824</f>
        <v>1.45763155983669</v>
      </c>
    </row>
    <row r="3825" customFormat="false" ht="15" hidden="false" customHeight="false" outlineLevel="0" collapsed="false">
      <c r="A3825" s="0" t="n">
        <v>0.857587675762402</v>
      </c>
      <c r="B3825" s="0" t="n">
        <v>0.0585908877101354</v>
      </c>
      <c r="C3825" s="0" t="n">
        <v>0.215481982785575</v>
      </c>
      <c r="D3825" s="0" t="n">
        <f aca="false">A3825/SUM($A3825:$C3825)</f>
        <v>0.757813532156843</v>
      </c>
      <c r="E3825" s="0" t="n">
        <f aca="false">B3825/SUM($A3825:$C3825)</f>
        <v>0.0517742603149584</v>
      </c>
      <c r="F3825" s="0" t="n">
        <f aca="false">C3825/SUM($A3825:$C3825)</f>
        <v>0.190412207528199</v>
      </c>
      <c r="G3825" s="0" t="n">
        <f aca="false">SUMPRODUCT(D3825:F3825,Stats!$B$6:$D$6)</f>
        <v>0.354212184998531</v>
      </c>
      <c r="H3825" s="0" t="n">
        <f aca="false">SQRT(SUMPRODUCT(MMULT(D3825:F3825,Stats!$B$12:$D$14),D3825:F3825))</f>
        <v>0.223124501561645</v>
      </c>
      <c r="I3825" s="0" t="n">
        <f aca="false">(G3825-Stats!$B$2)/H3825</f>
        <v>1.39927342274543</v>
      </c>
    </row>
    <row r="3826" customFormat="false" ht="15" hidden="false" customHeight="false" outlineLevel="0" collapsed="false">
      <c r="A3826" s="0" t="n">
        <v>0.998560248485069</v>
      </c>
      <c r="B3826" s="0" t="n">
        <v>0.433076102586793</v>
      </c>
      <c r="C3826" s="0" t="n">
        <v>0.702965663544644</v>
      </c>
      <c r="D3826" s="0" t="n">
        <f aca="false">A3826/SUM($A3826:$C3826)</f>
        <v>0.467796920291236</v>
      </c>
      <c r="E3826" s="0" t="n">
        <f aca="false">B3826/SUM($A3826:$C3826)</f>
        <v>0.202883769255974</v>
      </c>
      <c r="F3826" s="0" t="n">
        <f aca="false">C3826/SUM($A3826:$C3826)</f>
        <v>0.32931931045279</v>
      </c>
      <c r="G3826" s="0" t="n">
        <f aca="false">SUMPRODUCT(D3826:F3826,Stats!$B$6:$D$6)</f>
        <v>0.359076520629122</v>
      </c>
      <c r="H3826" s="0" t="n">
        <f aca="false">SQRT(SUMPRODUCT(MMULT(D3826:F3826,Stats!$B$12:$D$14),D3826:F3826))</f>
        <v>0.222712934257429</v>
      </c>
      <c r="I3826" s="0" t="n">
        <f aca="false">(G3826-Stats!$B$2)/H3826</f>
        <v>1.42370052141929</v>
      </c>
    </row>
    <row r="3827" customFormat="false" ht="15" hidden="false" customHeight="false" outlineLevel="0" collapsed="false">
      <c r="A3827" s="0" t="n">
        <v>0.182663048857014</v>
      </c>
      <c r="B3827" s="0" t="n">
        <v>0.609868734985538</v>
      </c>
      <c r="C3827" s="0" t="n">
        <v>0.726106068369419</v>
      </c>
      <c r="D3827" s="0" t="n">
        <f aca="false">A3827/SUM($A3827:$C3827)</f>
        <v>0.120280848123834</v>
      </c>
      <c r="E3827" s="0" t="n">
        <f aca="false">B3827/SUM($A3827:$C3827)</f>
        <v>0.40158931512028</v>
      </c>
      <c r="F3827" s="0" t="n">
        <f aca="false">C3827/SUM($A3827:$C3827)</f>
        <v>0.478129836755886</v>
      </c>
      <c r="G3827" s="0" t="n">
        <f aca="false">SUMPRODUCT(D3827:F3827,Stats!$B$6:$D$6)</f>
        <v>0.366406387531328</v>
      </c>
      <c r="H3827" s="0" t="n">
        <f aca="false">SQRT(SUMPRODUCT(MMULT(D3827:F3827,Stats!$B$12:$D$14),D3827:F3827))</f>
        <v>0.235926462242879</v>
      </c>
      <c r="I3827" s="0" t="n">
        <f aca="false">(G3827-Stats!$B$2)/H3827</f>
        <v>1.37503179782081</v>
      </c>
    </row>
    <row r="3828" customFormat="false" ht="15" hidden="false" customHeight="false" outlineLevel="0" collapsed="false">
      <c r="A3828" s="0" t="n">
        <v>0.314476635866511</v>
      </c>
      <c r="B3828" s="0" t="n">
        <v>0.828897111975878</v>
      </c>
      <c r="C3828" s="0" t="n">
        <v>0.603417578472283</v>
      </c>
      <c r="D3828" s="0" t="n">
        <f aca="false">A3828/SUM($A3828:$C3828)</f>
        <v>0.180031026676772</v>
      </c>
      <c r="E3828" s="0" t="n">
        <f aca="false">B3828/SUM($A3828:$C3828)</f>
        <v>0.474525548351938</v>
      </c>
      <c r="F3828" s="0" t="n">
        <f aca="false">C3828/SUM($A3828:$C3828)</f>
        <v>0.345443424971291</v>
      </c>
      <c r="G3828" s="0" t="n">
        <f aca="false">SUMPRODUCT(D3828:F3828,Stats!$B$6:$D$6)</f>
        <v>0.374261820763042</v>
      </c>
      <c r="H3828" s="0" t="n">
        <f aca="false">SQRT(SUMPRODUCT(MMULT(D3828:F3828,Stats!$B$12:$D$14),D3828:F3828))</f>
        <v>0.232883771063164</v>
      </c>
      <c r="I3828" s="0" t="n">
        <f aca="false">(G3828-Stats!$B$2)/H3828</f>
        <v>1.42672810237569</v>
      </c>
    </row>
    <row r="3829" customFormat="false" ht="15" hidden="false" customHeight="false" outlineLevel="0" collapsed="false">
      <c r="A3829" s="0" t="n">
        <v>0.38912300961503</v>
      </c>
      <c r="B3829" s="0" t="n">
        <v>0.557642393343159</v>
      </c>
      <c r="C3829" s="0" t="n">
        <v>0.576760847435924</v>
      </c>
      <c r="D3829" s="0" t="n">
        <f aca="false">A3829/SUM($A3829:$C3829)</f>
        <v>0.255409455212452</v>
      </c>
      <c r="E3829" s="0" t="n">
        <f aca="false">B3829/SUM($A3829:$C3829)</f>
        <v>0.366020863243351</v>
      </c>
      <c r="F3829" s="0" t="n">
        <f aca="false">C3829/SUM($A3829:$C3829)</f>
        <v>0.378569681544197</v>
      </c>
      <c r="G3829" s="0" t="n">
        <f aca="false">SUMPRODUCT(D3829:F3829,Stats!$B$6:$D$6)</f>
        <v>0.36710515783279</v>
      </c>
      <c r="H3829" s="0" t="n">
        <f aca="false">SQRT(SUMPRODUCT(MMULT(D3829:F3829,Stats!$B$12:$D$14),D3829:F3829))</f>
        <v>0.229138427676146</v>
      </c>
      <c r="I3829" s="0" t="n">
        <f aca="false">(G3829-Stats!$B$2)/H3829</f>
        <v>1.41881552182194</v>
      </c>
    </row>
    <row r="3830" customFormat="false" ht="15" hidden="false" customHeight="false" outlineLevel="0" collapsed="false">
      <c r="A3830" s="0" t="n">
        <v>0.165535292693866</v>
      </c>
      <c r="B3830" s="0" t="n">
        <v>0.402732369866966</v>
      </c>
      <c r="C3830" s="0" t="n">
        <v>0.343430588019493</v>
      </c>
      <c r="D3830" s="0" t="n">
        <f aca="false">A3830/SUM($A3830:$C3830)</f>
        <v>0.181568071002108</v>
      </c>
      <c r="E3830" s="0" t="n">
        <f aca="false">B3830/SUM($A3830:$C3830)</f>
        <v>0.441738666944479</v>
      </c>
      <c r="F3830" s="0" t="n">
        <f aca="false">C3830/SUM($A3830:$C3830)</f>
        <v>0.376693262053414</v>
      </c>
      <c r="G3830" s="0" t="n">
        <f aca="false">SUMPRODUCT(D3830:F3830,Stats!$B$6:$D$6)</f>
        <v>0.371513603803866</v>
      </c>
      <c r="H3830" s="0" t="n">
        <f aca="false">SQRT(SUMPRODUCT(MMULT(D3830:F3830,Stats!$B$12:$D$14),D3830:F3830))</f>
        <v>0.232603992778643</v>
      </c>
      <c r="I3830" s="0" t="n">
        <f aca="false">(G3830-Stats!$B$2)/H3830</f>
        <v>1.41662918107106</v>
      </c>
    </row>
    <row r="3831" customFormat="false" ht="15" hidden="false" customHeight="false" outlineLevel="0" collapsed="false">
      <c r="A3831" s="0" t="n">
        <v>0.400902722579126</v>
      </c>
      <c r="B3831" s="0" t="n">
        <v>0.761110588485258</v>
      </c>
      <c r="C3831" s="0" t="n">
        <v>0.482538407466673</v>
      </c>
      <c r="D3831" s="0" t="n">
        <f aca="false">A3831/SUM($A3831:$C3831)</f>
        <v>0.243776293601286</v>
      </c>
      <c r="E3831" s="0" t="n">
        <f aca="false">B3831/SUM($A3831:$C3831)</f>
        <v>0.462807329139576</v>
      </c>
      <c r="F3831" s="0" t="n">
        <f aca="false">C3831/SUM($A3831:$C3831)</f>
        <v>0.293416377259138</v>
      </c>
      <c r="G3831" s="0" t="n">
        <f aca="false">SUMPRODUCT(D3831:F3831,Stats!$B$6:$D$6)</f>
        <v>0.375022195426165</v>
      </c>
      <c r="H3831" s="0" t="n">
        <f aca="false">SQRT(SUMPRODUCT(MMULT(D3831:F3831,Stats!$B$12:$D$14),D3831:F3831))</f>
        <v>0.230322902686732</v>
      </c>
      <c r="I3831" s="0" t="n">
        <f aca="false">(G3831-Stats!$B$2)/H3831</f>
        <v>1.44589266434835</v>
      </c>
    </row>
    <row r="3832" customFormat="false" ht="15" hidden="false" customHeight="false" outlineLevel="0" collapsed="false">
      <c r="A3832" s="0" t="n">
        <v>0.940316153239264</v>
      </c>
      <c r="B3832" s="0" t="n">
        <v>0.293676413358436</v>
      </c>
      <c r="C3832" s="0" t="n">
        <v>0.415703578284929</v>
      </c>
      <c r="D3832" s="0" t="n">
        <f aca="false">A3832/SUM($A3832:$C3832)</f>
        <v>0.569993544663442</v>
      </c>
      <c r="E3832" s="0" t="n">
        <f aca="false">B3832/SUM($A3832:$C3832)</f>
        <v>0.178018487992121</v>
      </c>
      <c r="F3832" s="0" t="n">
        <f aca="false">C3832/SUM($A3832:$C3832)</f>
        <v>0.251987967344438</v>
      </c>
      <c r="G3832" s="0" t="n">
        <f aca="false">SUMPRODUCT(D3832:F3832,Stats!$B$6:$D$6)</f>
        <v>0.359778186570718</v>
      </c>
      <c r="H3832" s="0" t="n">
        <f aca="false">SQRT(SUMPRODUCT(MMULT(D3832:F3832,Stats!$B$12:$D$14),D3832:F3832))</f>
        <v>0.221869350330014</v>
      </c>
      <c r="I3832" s="0" t="n">
        <f aca="false">(G3832-Stats!$B$2)/H3832</f>
        <v>1.43227618460165</v>
      </c>
    </row>
    <row r="3833" customFormat="false" ht="15" hidden="false" customHeight="false" outlineLevel="0" collapsed="false">
      <c r="A3833" s="0" t="n">
        <v>0.786956810479041</v>
      </c>
      <c r="B3833" s="0" t="n">
        <v>0.54602459332075</v>
      </c>
      <c r="C3833" s="0" t="n">
        <v>0.547028146424448</v>
      </c>
      <c r="D3833" s="0" t="n">
        <f aca="false">A3833/SUM($A3833:$C3833)</f>
        <v>0.418591921719321</v>
      </c>
      <c r="E3833" s="0" t="n">
        <f aca="false">B3833/SUM($A3833:$C3833)</f>
        <v>0.290437138074976</v>
      </c>
      <c r="F3833" s="0" t="n">
        <f aca="false">C3833/SUM($A3833:$C3833)</f>
        <v>0.290970940205703</v>
      </c>
      <c r="G3833" s="0" t="n">
        <f aca="false">SUMPRODUCT(D3833:F3833,Stats!$B$6:$D$6)</f>
        <v>0.365171669712864</v>
      </c>
      <c r="H3833" s="0" t="n">
        <f aca="false">SQRT(SUMPRODUCT(MMULT(D3833:F3833,Stats!$B$12:$D$14),D3833:F3833))</f>
        <v>0.224054763392622</v>
      </c>
      <c r="I3833" s="0" t="n">
        <f aca="false">(G3833-Stats!$B$2)/H3833</f>
        <v>1.44237803659882</v>
      </c>
    </row>
    <row r="3834" customFormat="false" ht="15" hidden="false" customHeight="false" outlineLevel="0" collapsed="false">
      <c r="A3834" s="0" t="n">
        <v>0.0533401630051835</v>
      </c>
      <c r="B3834" s="0" t="n">
        <v>0.398599662718456</v>
      </c>
      <c r="C3834" s="0" t="n">
        <v>0.270733732421733</v>
      </c>
      <c r="D3834" s="0" t="n">
        <f aca="false">A3834/SUM($A3834:$C3834)</f>
        <v>0.0738094847998489</v>
      </c>
      <c r="E3834" s="0" t="n">
        <f aca="false">B3834/SUM($A3834:$C3834)</f>
        <v>0.551562539165539</v>
      </c>
      <c r="F3834" s="0" t="n">
        <f aca="false">C3834/SUM($A3834:$C3834)</f>
        <v>0.374627976034613</v>
      </c>
      <c r="G3834" s="0" t="n">
        <f aca="false">SUMPRODUCT(D3834:F3834,Stats!$B$6:$D$6)</f>
        <v>0.377889676736828</v>
      </c>
      <c r="H3834" s="0" t="n">
        <f aca="false">SQRT(SUMPRODUCT(MMULT(D3834:F3834,Stats!$B$12:$D$14),D3834:F3834))</f>
        <v>0.238714877825082</v>
      </c>
      <c r="I3834" s="0" t="n">
        <f aca="false">(G3834-Stats!$B$2)/H3834</f>
        <v>1.40707474874251</v>
      </c>
    </row>
    <row r="3835" customFormat="false" ht="15" hidden="false" customHeight="false" outlineLevel="0" collapsed="false">
      <c r="A3835" s="0" t="n">
        <v>0.999335122831115</v>
      </c>
      <c r="B3835" s="0" t="n">
        <v>0.30835507063231</v>
      </c>
      <c r="C3835" s="0" t="n">
        <v>0.884496534793864</v>
      </c>
      <c r="D3835" s="0" t="n">
        <f aca="false">A3835/SUM($A3835:$C3835)</f>
        <v>0.4558622264927</v>
      </c>
      <c r="E3835" s="0" t="n">
        <f aca="false">B3835/SUM($A3835:$C3835)</f>
        <v>0.140660951303834</v>
      </c>
      <c r="F3835" s="0" t="n">
        <f aca="false">C3835/SUM($A3835:$C3835)</f>
        <v>0.403476822203466</v>
      </c>
      <c r="G3835" s="0" t="n">
        <f aca="false">SUMPRODUCT(D3835:F3835,Stats!$B$6:$D$6)</f>
        <v>0.353451435353527</v>
      </c>
      <c r="H3835" s="0" t="n">
        <f aca="false">SQRT(SUMPRODUCT(MMULT(D3835:F3835,Stats!$B$12:$D$14),D3835:F3835))</f>
        <v>0.223017032592912</v>
      </c>
      <c r="I3835" s="0" t="n">
        <f aca="false">(G3835-Stats!$B$2)/H3835</f>
        <v>1.39653654132346</v>
      </c>
    </row>
    <row r="3836" customFormat="false" ht="15" hidden="false" customHeight="false" outlineLevel="0" collapsed="false">
      <c r="A3836" s="0" t="n">
        <v>0.676233735040478</v>
      </c>
      <c r="B3836" s="0" t="n">
        <v>0.34091640919209</v>
      </c>
      <c r="C3836" s="0" t="n">
        <v>0.543534378374124</v>
      </c>
      <c r="D3836" s="0" t="n">
        <f aca="false">A3836/SUM($A3836:$C3836)</f>
        <v>0.43329303600129</v>
      </c>
      <c r="E3836" s="0" t="n">
        <f aca="false">B3836/SUM($A3836:$C3836)</f>
        <v>0.218440308886183</v>
      </c>
      <c r="F3836" s="0" t="n">
        <f aca="false">C3836/SUM($A3836:$C3836)</f>
        <v>0.348266655112527</v>
      </c>
      <c r="G3836" s="0" t="n">
        <f aca="false">SUMPRODUCT(D3836:F3836,Stats!$B$6:$D$6)</f>
        <v>0.359449158043549</v>
      </c>
      <c r="H3836" s="0" t="n">
        <f aca="false">SQRT(SUMPRODUCT(MMULT(D3836:F3836,Stats!$B$12:$D$14),D3836:F3836))</f>
        <v>0.223377224988658</v>
      </c>
      <c r="I3836" s="0" t="n">
        <f aca="false">(G3836-Stats!$B$2)/H3836</f>
        <v>1.42113484514667</v>
      </c>
    </row>
    <row r="3837" customFormat="false" ht="15" hidden="false" customHeight="false" outlineLevel="0" collapsed="false">
      <c r="A3837" s="0" t="n">
        <v>0.840535879949194</v>
      </c>
      <c r="B3837" s="0" t="n">
        <v>0.883368298030912</v>
      </c>
      <c r="C3837" s="0" t="n">
        <v>0.160393875006145</v>
      </c>
      <c r="D3837" s="0" t="n">
        <f aca="false">A3837/SUM($A3837:$C3837)</f>
        <v>0.446073740094942</v>
      </c>
      <c r="E3837" s="0" t="n">
        <f aca="false">B3837/SUM($A3837:$C3837)</f>
        <v>0.468804973093796</v>
      </c>
      <c r="F3837" s="0" t="n">
        <f aca="false">C3837/SUM($A3837:$C3837)</f>
        <v>0.085121286811262</v>
      </c>
      <c r="G3837" s="0" t="n">
        <f aca="false">SUMPRODUCT(D3837:F3837,Stats!$B$6:$D$6)</f>
        <v>0.381110949101288</v>
      </c>
      <c r="H3837" s="0" t="n">
        <f aca="false">SQRT(SUMPRODUCT(MMULT(D3837:F3837,Stats!$B$12:$D$14),D3837:F3837))</f>
        <v>0.227777480123296</v>
      </c>
      <c r="I3837" s="0" t="n">
        <f aca="false">(G3837-Stats!$B$2)/H3837</f>
        <v>1.48878172204613</v>
      </c>
    </row>
    <row r="3838" customFormat="false" ht="15" hidden="false" customHeight="false" outlineLevel="0" collapsed="false">
      <c r="A3838" s="0" t="n">
        <v>0.33957314120817</v>
      </c>
      <c r="B3838" s="0" t="n">
        <v>0.335223180213572</v>
      </c>
      <c r="C3838" s="0" t="n">
        <v>0.0420447960759447</v>
      </c>
      <c r="D3838" s="0" t="n">
        <f aca="false">A3838/SUM($A3838:$C3838)</f>
        <v>0.473707677921064</v>
      </c>
      <c r="E3838" s="0" t="n">
        <f aca="false">B3838/SUM($A3838:$C3838)</f>
        <v>0.467639442033895</v>
      </c>
      <c r="F3838" s="0" t="n">
        <f aca="false">C3838/SUM($A3838:$C3838)</f>
        <v>0.0586528800450407</v>
      </c>
      <c r="G3838" s="0" t="n">
        <f aca="false">SUMPRODUCT(D3838:F3838,Stats!$B$6:$D$6)</f>
        <v>0.381773742088913</v>
      </c>
      <c r="H3838" s="0" t="n">
        <f aca="false">SQRT(SUMPRODUCT(MMULT(D3838:F3838,Stats!$B$12:$D$14),D3838:F3838))</f>
        <v>0.227989928943698</v>
      </c>
      <c r="I3838" s="0" t="n">
        <f aca="false">(G3838-Stats!$B$2)/H3838</f>
        <v>1.49030153947204</v>
      </c>
    </row>
    <row r="3839" customFormat="false" ht="15" hidden="false" customHeight="false" outlineLevel="0" collapsed="false">
      <c r="A3839" s="0" t="n">
        <v>0.598237759851897</v>
      </c>
      <c r="B3839" s="0" t="n">
        <v>0.854820052992188</v>
      </c>
      <c r="C3839" s="0" t="n">
        <v>0.381574387825518</v>
      </c>
      <c r="D3839" s="0" t="n">
        <f aca="false">A3839/SUM($A3839:$C3839)</f>
        <v>0.326080486123351</v>
      </c>
      <c r="E3839" s="0" t="n">
        <f aca="false">B3839/SUM($A3839:$C3839)</f>
        <v>0.46593538077016</v>
      </c>
      <c r="F3839" s="0" t="n">
        <f aca="false">C3839/SUM($A3839:$C3839)</f>
        <v>0.207984133106489</v>
      </c>
      <c r="G3839" s="0" t="n">
        <f aca="false">SUMPRODUCT(D3839:F3839,Stats!$B$6:$D$6)</f>
        <v>0.377557940741971</v>
      </c>
      <c r="H3839" s="0" t="n">
        <f aca="false">SQRT(SUMPRODUCT(MMULT(D3839:F3839,Stats!$B$12:$D$14),D3839:F3839))</f>
        <v>0.228324025268418</v>
      </c>
      <c r="I3839" s="0" t="n">
        <f aca="false">(G3839-Stats!$B$2)/H3839</f>
        <v>1.46965673168861</v>
      </c>
    </row>
    <row r="3840" customFormat="false" ht="15" hidden="false" customHeight="false" outlineLevel="0" collapsed="false">
      <c r="A3840" s="0" t="n">
        <v>0.740035944984177</v>
      </c>
      <c r="B3840" s="0" t="n">
        <v>0.62770041360074</v>
      </c>
      <c r="C3840" s="0" t="n">
        <v>0.375648735493001</v>
      </c>
      <c r="D3840" s="0" t="n">
        <f aca="false">A3840/SUM($A3840:$C3840)</f>
        <v>0.424482202754856</v>
      </c>
      <c r="E3840" s="0" t="n">
        <f aca="false">B3840/SUM($A3840:$C3840)</f>
        <v>0.360046908587763</v>
      </c>
      <c r="F3840" s="0" t="n">
        <f aca="false">C3840/SUM($A3840:$C3840)</f>
        <v>0.215470888657381</v>
      </c>
      <c r="G3840" s="0" t="n">
        <f aca="false">SUMPRODUCT(D3840:F3840,Stats!$B$6:$D$6)</f>
        <v>0.371258810696605</v>
      </c>
      <c r="H3840" s="0" t="n">
        <f aca="false">SQRT(SUMPRODUCT(MMULT(D3840:F3840,Stats!$B$12:$D$14),D3840:F3840))</f>
        <v>0.224952846669256</v>
      </c>
      <c r="I3840" s="0" t="n">
        <f aca="false">(G3840-Stats!$B$2)/H3840</f>
        <v>1.46367923576761</v>
      </c>
    </row>
    <row r="3841" customFormat="false" ht="15" hidden="false" customHeight="false" outlineLevel="0" collapsed="false">
      <c r="A3841" s="0" t="n">
        <v>0.141059799492297</v>
      </c>
      <c r="B3841" s="0" t="n">
        <v>0.709323852775967</v>
      </c>
      <c r="C3841" s="0" t="n">
        <v>0.854565168941241</v>
      </c>
      <c r="D3841" s="0" t="n">
        <f aca="false">A3841/SUM($A3841:$C3841)</f>
        <v>0.0827355036922622</v>
      </c>
      <c r="E3841" s="0" t="n">
        <f aca="false">B3841/SUM($A3841:$C3841)</f>
        <v>0.416038208274643</v>
      </c>
      <c r="F3841" s="0" t="n">
        <f aca="false">C3841/SUM($A3841:$C3841)</f>
        <v>0.501226288033095</v>
      </c>
      <c r="G3841" s="0" t="n">
        <f aca="false">SUMPRODUCT(D3841:F3841,Stats!$B$6:$D$6)</f>
        <v>0.366600882381987</v>
      </c>
      <c r="H3841" s="0" t="n">
        <f aca="false">SQRT(SUMPRODUCT(MMULT(D3841:F3841,Stats!$B$12:$D$14),D3841:F3841))</f>
        <v>0.238210078016242</v>
      </c>
      <c r="I3841" s="0" t="n">
        <f aca="false">(G3841-Stats!$B$2)/H3841</f>
        <v>1.3626664542709</v>
      </c>
    </row>
    <row r="3842" customFormat="false" ht="15" hidden="false" customHeight="false" outlineLevel="0" collapsed="false">
      <c r="A3842" s="0" t="n">
        <v>0.685854492401492</v>
      </c>
      <c r="B3842" s="0" t="n">
        <v>0.0178784840348181</v>
      </c>
      <c r="C3842" s="0" t="n">
        <v>0.216232894390991</v>
      </c>
      <c r="D3842" s="0" t="n">
        <f aca="false">A3842/SUM($A3842:$C3842)</f>
        <v>0.745521670042739</v>
      </c>
      <c r="E3842" s="0" t="n">
        <f aca="false">B3842/SUM($A3842:$C3842)</f>
        <v>0.0194338557567798</v>
      </c>
      <c r="F3842" s="0" t="n">
        <f aca="false">C3842/SUM($A3842:$C3842)</f>
        <v>0.235044474200482</v>
      </c>
      <c r="G3842" s="0" t="n">
        <f aca="false">SUMPRODUCT(D3842:F3842,Stats!$B$6:$D$6)</f>
        <v>0.351120642390604</v>
      </c>
      <c r="H3842" s="0" t="n">
        <f aca="false">SQRT(SUMPRODUCT(MMULT(D3842:F3842,Stats!$B$12:$D$14),D3842:F3842))</f>
        <v>0.222481282117204</v>
      </c>
      <c r="I3842" s="0" t="n">
        <f aca="false">(G3842-Stats!$B$2)/H3842</f>
        <v>1.38942314359623</v>
      </c>
    </row>
    <row r="3843" customFormat="false" ht="15" hidden="false" customHeight="false" outlineLevel="0" collapsed="false">
      <c r="A3843" s="0" t="n">
        <v>0.0694799848835319</v>
      </c>
      <c r="B3843" s="0" t="n">
        <v>0.570386099576227</v>
      </c>
      <c r="C3843" s="0" t="n">
        <v>0.756477678840412</v>
      </c>
      <c r="D3843" s="0" t="n">
        <f aca="false">A3843/SUM($A3843:$C3843)</f>
        <v>0.0497585098380934</v>
      </c>
      <c r="E3843" s="0" t="n">
        <f aca="false">B3843/SUM($A3843:$C3843)</f>
        <v>0.408485442172316</v>
      </c>
      <c r="F3843" s="0" t="n">
        <f aca="false">C3843/SUM($A3843:$C3843)</f>
        <v>0.54175604798959</v>
      </c>
      <c r="G3843" s="0" t="n">
        <f aca="false">SUMPRODUCT(D3843:F3843,Stats!$B$6:$D$6)</f>
        <v>0.365048713453578</v>
      </c>
      <c r="H3843" s="0" t="n">
        <f aca="false">SQRT(SUMPRODUCT(MMULT(D3843:F3843,Stats!$B$12:$D$14),D3843:F3843))</f>
        <v>0.240559998071175</v>
      </c>
      <c r="I3843" s="0" t="n">
        <f aca="false">(G3843-Stats!$B$2)/H3843</f>
        <v>1.3429028768033</v>
      </c>
    </row>
    <row r="3844" customFormat="false" ht="15" hidden="false" customHeight="false" outlineLevel="0" collapsed="false">
      <c r="A3844" s="0" t="n">
        <v>0.110579187068659</v>
      </c>
      <c r="B3844" s="0" t="n">
        <v>0.838337820593385</v>
      </c>
      <c r="C3844" s="0" t="n">
        <v>0.555508978395483</v>
      </c>
      <c r="D3844" s="0" t="n">
        <f aca="false">A3844/SUM($A3844:$C3844)</f>
        <v>0.0735025771247419</v>
      </c>
      <c r="E3844" s="0" t="n">
        <f aca="false">B3844/SUM($A3844:$C3844)</f>
        <v>0.557247633557779</v>
      </c>
      <c r="F3844" s="0" t="n">
        <f aca="false">C3844/SUM($A3844:$C3844)</f>
        <v>0.369249789317479</v>
      </c>
      <c r="G3844" s="0" t="n">
        <f aca="false">SUMPRODUCT(D3844:F3844,Stats!$B$6:$D$6)</f>
        <v>0.378365091140249</v>
      </c>
      <c r="H3844" s="0" t="n">
        <f aca="false">SQRT(SUMPRODUCT(MMULT(D3844:F3844,Stats!$B$12:$D$14),D3844:F3844))</f>
        <v>0.238774547799177</v>
      </c>
      <c r="I3844" s="0" t="n">
        <f aca="false">(G3844-Stats!$B$2)/H3844</f>
        <v>1.40871417929834</v>
      </c>
    </row>
    <row r="3845" customFormat="false" ht="15" hidden="false" customHeight="false" outlineLevel="0" collapsed="false">
      <c r="A3845" s="0" t="n">
        <v>0.689969012141725</v>
      </c>
      <c r="B3845" s="0" t="n">
        <v>0.971401848608646</v>
      </c>
      <c r="C3845" s="0" t="n">
        <v>0.0836809882476973</v>
      </c>
      <c r="D3845" s="0" t="n">
        <f aca="false">A3845/SUM($A3845:$C3845)</f>
        <v>0.395385966633527</v>
      </c>
      <c r="E3845" s="0" t="n">
        <f aca="false">B3845/SUM($A3845:$C3845)</f>
        <v>0.556660737138775</v>
      </c>
      <c r="F3845" s="0" t="n">
        <f aca="false">C3845/SUM($A3845:$C3845)</f>
        <v>0.0479532962276985</v>
      </c>
      <c r="G3845" s="0" t="n">
        <f aca="false">SUMPRODUCT(D3845:F3845,Stats!$B$6:$D$6)</f>
        <v>0.387190949099727</v>
      </c>
      <c r="H3845" s="0" t="n">
        <f aca="false">SQRT(SUMPRODUCT(MMULT(D3845:F3845,Stats!$B$12:$D$14),D3845:F3845))</f>
        <v>0.230672683225572</v>
      </c>
      <c r="I3845" s="0" t="n">
        <f aca="false">(G3845-Stats!$B$2)/H3845</f>
        <v>1.4964535213828</v>
      </c>
    </row>
    <row r="3846" customFormat="false" ht="15" hidden="false" customHeight="false" outlineLevel="0" collapsed="false">
      <c r="A3846" s="0" t="n">
        <v>0.901224022977789</v>
      </c>
      <c r="B3846" s="0" t="n">
        <v>0.126102695987409</v>
      </c>
      <c r="C3846" s="0" t="n">
        <v>0.392958806636682</v>
      </c>
      <c r="D3846" s="0" t="n">
        <f aca="false">A3846/SUM($A3846:$C3846)</f>
        <v>0.634537215744611</v>
      </c>
      <c r="E3846" s="0" t="n">
        <f aca="false">B3846/SUM($A3846:$C3846)</f>
        <v>0.088786862721825</v>
      </c>
      <c r="F3846" s="0" t="n">
        <f aca="false">C3846/SUM($A3846:$C3846)</f>
        <v>0.276675921533564</v>
      </c>
      <c r="G3846" s="0" t="n">
        <f aca="false">SUMPRODUCT(D3846:F3846,Stats!$B$6:$D$6)</f>
        <v>0.353963153501619</v>
      </c>
      <c r="H3846" s="0" t="n">
        <f aca="false">SQRT(SUMPRODUCT(MMULT(D3846:F3846,Stats!$B$12:$D$14),D3846:F3846))</f>
        <v>0.221424223199709</v>
      </c>
      <c r="I3846" s="0" t="n">
        <f aca="false">(G3846-Stats!$B$2)/H3846</f>
        <v>1.40889352119461</v>
      </c>
    </row>
    <row r="3847" customFormat="false" ht="15" hidden="false" customHeight="false" outlineLevel="0" collapsed="false">
      <c r="A3847" s="0" t="n">
        <v>0.851438696331114</v>
      </c>
      <c r="B3847" s="0" t="n">
        <v>0.906254236737868</v>
      </c>
      <c r="C3847" s="0" t="n">
        <v>0.506371673545145</v>
      </c>
      <c r="D3847" s="0" t="n">
        <f aca="false">A3847/SUM($A3847:$C3847)</f>
        <v>0.376066431074344</v>
      </c>
      <c r="E3847" s="0" t="n">
        <f aca="false">B3847/SUM($A3847:$C3847)</f>
        <v>0.400277551307671</v>
      </c>
      <c r="F3847" s="0" t="n">
        <f aca="false">C3847/SUM($A3847:$C3847)</f>
        <v>0.223656017617985</v>
      </c>
      <c r="G3847" s="0" t="n">
        <f aca="false">SUMPRODUCT(D3847:F3847,Stats!$B$6:$D$6)</f>
        <v>0.373347928026284</v>
      </c>
      <c r="H3847" s="0" t="n">
        <f aca="false">SQRT(SUMPRODUCT(MMULT(D3847:F3847,Stats!$B$12:$D$14),D3847:F3847))</f>
        <v>0.226235087015377</v>
      </c>
      <c r="I3847" s="0" t="n">
        <f aca="false">(G3847-Stats!$B$2)/H3847</f>
        <v>1.46461776728631</v>
      </c>
    </row>
    <row r="3848" customFormat="false" ht="15" hidden="false" customHeight="false" outlineLevel="0" collapsed="false">
      <c r="A3848" s="0" t="n">
        <v>0.594104638275425</v>
      </c>
      <c r="B3848" s="0" t="n">
        <v>0.708147334598557</v>
      </c>
      <c r="C3848" s="0" t="n">
        <v>0.832758668452714</v>
      </c>
      <c r="D3848" s="0" t="n">
        <f aca="false">A3848/SUM($A3848:$C3848)</f>
        <v>0.278267764467089</v>
      </c>
      <c r="E3848" s="0" t="n">
        <f aca="false">B3848/SUM($A3848:$C3848)</f>
        <v>0.331683281053117</v>
      </c>
      <c r="F3848" s="0" t="n">
        <f aca="false">C3848/SUM($A3848:$C3848)</f>
        <v>0.390048954479795</v>
      </c>
      <c r="G3848" s="0" t="n">
        <f aca="false">SUMPRODUCT(D3848:F3848,Stats!$B$6:$D$6)</f>
        <v>0.364812881259788</v>
      </c>
      <c r="H3848" s="0" t="n">
        <f aca="false">SQRT(SUMPRODUCT(MMULT(D3848:F3848,Stats!$B$12:$D$14),D3848:F3848))</f>
        <v>0.228176681122499</v>
      </c>
      <c r="I3848" s="0" t="n">
        <f aca="false">(G3848-Stats!$B$2)/H3848</f>
        <v>1.4147496565895</v>
      </c>
    </row>
    <row r="3849" customFormat="false" ht="15" hidden="false" customHeight="false" outlineLevel="0" collapsed="false">
      <c r="A3849" s="0" t="n">
        <v>0.121511169537666</v>
      </c>
      <c r="B3849" s="0" t="n">
        <v>0.810069308229228</v>
      </c>
      <c r="C3849" s="0" t="n">
        <v>0.481276150511617</v>
      </c>
      <c r="D3849" s="0" t="n">
        <f aca="false">A3849/SUM($A3849:$C3849)</f>
        <v>0.0860038924726007</v>
      </c>
      <c r="E3849" s="0" t="n">
        <f aca="false">B3849/SUM($A3849:$C3849)</f>
        <v>0.573355634262942</v>
      </c>
      <c r="F3849" s="0" t="n">
        <f aca="false">C3849/SUM($A3849:$C3849)</f>
        <v>0.340640473264457</v>
      </c>
      <c r="G3849" s="0" t="n">
        <f aca="false">SUMPRODUCT(D3849:F3849,Stats!$B$6:$D$6)</f>
        <v>0.380080815539087</v>
      </c>
      <c r="H3849" s="0" t="n">
        <f aca="false">SQRT(SUMPRODUCT(MMULT(D3849:F3849,Stats!$B$12:$D$14),D3849:F3849))</f>
        <v>0.238268471933646</v>
      </c>
      <c r="I3849" s="0" t="n">
        <f aca="false">(G3849-Stats!$B$2)/H3849</f>
        <v>1.41890705385998</v>
      </c>
    </row>
    <row r="3850" customFormat="false" ht="15" hidden="false" customHeight="false" outlineLevel="0" collapsed="false">
      <c r="A3850" s="0" t="n">
        <v>0.450623425108169</v>
      </c>
      <c r="B3850" s="0" t="n">
        <v>0.423899751996998</v>
      </c>
      <c r="C3850" s="0" t="n">
        <v>0.509211585246043</v>
      </c>
      <c r="D3850" s="0" t="n">
        <f aca="false">A3850/SUM($A3850:$C3850)</f>
        <v>0.325657371173129</v>
      </c>
      <c r="E3850" s="0" t="n">
        <f aca="false">B3850/SUM($A3850:$C3850)</f>
        <v>0.306344657611057</v>
      </c>
      <c r="F3850" s="0" t="n">
        <f aca="false">C3850/SUM($A3850:$C3850)</f>
        <v>0.367997971215815</v>
      </c>
      <c r="G3850" s="0" t="n">
        <f aca="false">SUMPRODUCT(D3850:F3850,Stats!$B$6:$D$6)</f>
        <v>0.363962977044321</v>
      </c>
      <c r="H3850" s="0" t="n">
        <f aca="false">SQRT(SUMPRODUCT(MMULT(D3850:F3850,Stats!$B$12:$D$14),D3850:F3850))</f>
        <v>0.226435051362916</v>
      </c>
      <c r="I3850" s="0" t="n">
        <f aca="false">(G3850-Stats!$B$2)/H3850</f>
        <v>1.42187781929706</v>
      </c>
    </row>
    <row r="3851" customFormat="false" ht="15" hidden="false" customHeight="false" outlineLevel="0" collapsed="false">
      <c r="A3851" s="0" t="n">
        <v>0.945050553394604</v>
      </c>
      <c r="B3851" s="0" t="n">
        <v>0.548203772792152</v>
      </c>
      <c r="C3851" s="0" t="n">
        <v>0.953177538263139</v>
      </c>
      <c r="D3851" s="0" t="n">
        <f aca="false">A3851/SUM($A3851:$C3851)</f>
        <v>0.386297516447329</v>
      </c>
      <c r="E3851" s="0" t="n">
        <f aca="false">B3851/SUM($A3851:$C3851)</f>
        <v>0.224082992360558</v>
      </c>
      <c r="F3851" s="0" t="n">
        <f aca="false">C3851/SUM($A3851:$C3851)</f>
        <v>0.389619491192113</v>
      </c>
      <c r="G3851" s="0" t="n">
        <f aca="false">SUMPRODUCT(D3851:F3851,Stats!$B$6:$D$6)</f>
        <v>0.358633542197724</v>
      </c>
      <c r="H3851" s="0" t="n">
        <f aca="false">SQRT(SUMPRODUCT(MMULT(D3851:F3851,Stats!$B$12:$D$14),D3851:F3851))</f>
        <v>0.224550505944191</v>
      </c>
      <c r="I3851" s="0" t="n">
        <f aca="false">(G3851-Stats!$B$2)/H3851</f>
        <v>1.41007717113057</v>
      </c>
    </row>
    <row r="3852" customFormat="false" ht="15" hidden="false" customHeight="false" outlineLevel="0" collapsed="false">
      <c r="A3852" s="0" t="n">
        <v>0.180290130615641</v>
      </c>
      <c r="B3852" s="0" t="n">
        <v>0.724135978832633</v>
      </c>
      <c r="C3852" s="0" t="n">
        <v>0.812239538608747</v>
      </c>
      <c r="D3852" s="0" t="n">
        <f aca="false">A3852/SUM($A3852:$C3852)</f>
        <v>0.105023439374871</v>
      </c>
      <c r="E3852" s="0" t="n">
        <f aca="false">B3852/SUM($A3852:$C3852)</f>
        <v>0.421827034083331</v>
      </c>
      <c r="F3852" s="0" t="n">
        <f aca="false">C3852/SUM($A3852:$C3852)</f>
        <v>0.473149526541797</v>
      </c>
      <c r="G3852" s="0" t="n">
        <f aca="false">SUMPRODUCT(D3852:F3852,Stats!$B$6:$D$6)</f>
        <v>0.367708169825921</v>
      </c>
      <c r="H3852" s="0" t="n">
        <f aca="false">SQRT(SUMPRODUCT(MMULT(D3852:F3852,Stats!$B$12:$D$14),D3852:F3852))</f>
        <v>0.236750221250782</v>
      </c>
      <c r="I3852" s="0" t="n">
        <f aca="false">(G3852-Stats!$B$2)/H3852</f>
        <v>1.37574599975097</v>
      </c>
    </row>
    <row r="3853" customFormat="false" ht="15" hidden="false" customHeight="false" outlineLevel="0" collapsed="false">
      <c r="A3853" s="0" t="n">
        <v>0.679128831334862</v>
      </c>
      <c r="B3853" s="0" t="n">
        <v>0.60692228022654</v>
      </c>
      <c r="C3853" s="0" t="n">
        <v>0.564812781086182</v>
      </c>
      <c r="D3853" s="0" t="n">
        <f aca="false">A3853/SUM($A3853:$C3853)</f>
        <v>0.366925322835812</v>
      </c>
      <c r="E3853" s="0" t="n">
        <f aca="false">B3853/SUM($A3853:$C3853)</f>
        <v>0.327912972227452</v>
      </c>
      <c r="F3853" s="0" t="n">
        <f aca="false">C3853/SUM($A3853:$C3853)</f>
        <v>0.305161704936737</v>
      </c>
      <c r="G3853" s="0" t="n">
        <f aca="false">SUMPRODUCT(D3853:F3853,Stats!$B$6:$D$6)</f>
        <v>0.366936675826571</v>
      </c>
      <c r="H3853" s="0" t="n">
        <f aca="false">SQRT(SUMPRODUCT(MMULT(D3853:F3853,Stats!$B$12:$D$14),D3853:F3853))</f>
        <v>0.225407324173746</v>
      </c>
      <c r="I3853" s="0" t="n">
        <f aca="false">(G3853-Stats!$B$2)/H3853</f>
        <v>1.44155331694593</v>
      </c>
    </row>
    <row r="3854" customFormat="false" ht="15" hidden="false" customHeight="false" outlineLevel="0" collapsed="false">
      <c r="A3854" s="0" t="n">
        <v>0.860930482578696</v>
      </c>
      <c r="B3854" s="0" t="n">
        <v>0.8216465971645</v>
      </c>
      <c r="C3854" s="0" t="n">
        <v>0.1222887211806</v>
      </c>
      <c r="D3854" s="0" t="n">
        <f aca="false">A3854/SUM($A3854:$C3854)</f>
        <v>0.477005261077051</v>
      </c>
      <c r="E3854" s="0" t="n">
        <f aca="false">B3854/SUM($A3854:$C3854)</f>
        <v>0.455239717403893</v>
      </c>
      <c r="F3854" s="0" t="n">
        <f aca="false">C3854/SUM($A3854:$C3854)</f>
        <v>0.0677550215190557</v>
      </c>
      <c r="G3854" s="0" t="n">
        <f aca="false">SUMPRODUCT(D3854:F3854,Stats!$B$6:$D$6)</f>
        <v>0.380809289932074</v>
      </c>
      <c r="H3854" s="0" t="n">
        <f aca="false">SQRT(SUMPRODUCT(MMULT(D3854:F3854,Stats!$B$12:$D$14),D3854:F3854))</f>
        <v>0.227586236069058</v>
      </c>
      <c r="I3854" s="0" t="n">
        <f aca="false">(G3854-Stats!$B$2)/H3854</f>
        <v>1.48870729523936</v>
      </c>
    </row>
    <row r="3855" customFormat="false" ht="15" hidden="false" customHeight="false" outlineLevel="0" collapsed="false">
      <c r="A3855" s="0" t="n">
        <v>0.848587657030878</v>
      </c>
      <c r="B3855" s="0" t="n">
        <v>0.414068619440443</v>
      </c>
      <c r="C3855" s="0" t="n">
        <v>0.253696829995811</v>
      </c>
      <c r="D3855" s="0" t="n">
        <f aca="false">A3855/SUM($A3855:$C3855)</f>
        <v>0.559624043642418</v>
      </c>
      <c r="E3855" s="0" t="n">
        <f aca="false">B3855/SUM($A3855:$C3855)</f>
        <v>0.273068731599831</v>
      </c>
      <c r="F3855" s="0" t="n">
        <f aca="false">C3855/SUM($A3855:$C3855)</f>
        <v>0.167307224757751</v>
      </c>
      <c r="G3855" s="0" t="n">
        <f aca="false">SUMPRODUCT(D3855:F3855,Stats!$B$6:$D$6)</f>
        <v>0.367582293473685</v>
      </c>
      <c r="H3855" s="0" t="n">
        <f aca="false">SQRT(SUMPRODUCT(MMULT(D3855:F3855,Stats!$B$12:$D$14),D3855:F3855))</f>
        <v>0.223314469442144</v>
      </c>
      <c r="I3855" s="0" t="n">
        <f aca="false">(G3855-Stats!$B$2)/H3855</f>
        <v>1.45795431118733</v>
      </c>
    </row>
    <row r="3856" customFormat="false" ht="15" hidden="false" customHeight="false" outlineLevel="0" collapsed="false">
      <c r="A3856" s="0" t="n">
        <v>0.869768568013926</v>
      </c>
      <c r="B3856" s="0" t="n">
        <v>0.432024799633742</v>
      </c>
      <c r="C3856" s="0" t="n">
        <v>0.808364690176817</v>
      </c>
      <c r="D3856" s="0" t="n">
        <f aca="false">A3856/SUM($A3856:$C3856)</f>
        <v>0.412181715388009</v>
      </c>
      <c r="E3856" s="0" t="n">
        <f aca="false">B3856/SUM($A3856:$C3856)</f>
        <v>0.204735753339324</v>
      </c>
      <c r="F3856" s="0" t="n">
        <f aca="false">C3856/SUM($A3856:$C3856)</f>
        <v>0.383082531272666</v>
      </c>
      <c r="G3856" s="0" t="n">
        <f aca="false">SUMPRODUCT(D3856:F3856,Stats!$B$6:$D$6)</f>
        <v>0.357700581260616</v>
      </c>
      <c r="H3856" s="0" t="n">
        <f aca="false">SQRT(SUMPRODUCT(MMULT(D3856:F3856,Stats!$B$12:$D$14),D3856:F3856))</f>
        <v>0.223871918114761</v>
      </c>
      <c r="I3856" s="0" t="n">
        <f aca="false">(G3856-Stats!$B$2)/H3856</f>
        <v>1.4101839298075</v>
      </c>
    </row>
    <row r="3857" customFormat="false" ht="15" hidden="false" customHeight="false" outlineLevel="0" collapsed="false">
      <c r="A3857" s="0" t="n">
        <v>0.263403611955845</v>
      </c>
      <c r="B3857" s="0" t="n">
        <v>0.0039293214222178</v>
      </c>
      <c r="C3857" s="0" t="n">
        <v>0.495459192902944</v>
      </c>
      <c r="D3857" s="0" t="n">
        <f aca="false">A3857/SUM($A3857:$C3857)</f>
        <v>0.345315064066103</v>
      </c>
      <c r="E3857" s="0" t="n">
        <f aca="false">B3857/SUM($A3857:$C3857)</f>
        <v>0.00515123489983465</v>
      </c>
      <c r="F3857" s="0" t="n">
        <f aca="false">C3857/SUM($A3857:$C3857)</f>
        <v>0.649533701034063</v>
      </c>
      <c r="G3857" s="0" t="n">
        <f aca="false">SUMPRODUCT(D3857:F3857,Stats!$B$6:$D$6)</f>
        <v>0.338869457863132</v>
      </c>
      <c r="H3857" s="0" t="n">
        <f aca="false">SQRT(SUMPRODUCT(MMULT(D3857:F3857,Stats!$B$12:$D$14),D3857:F3857))</f>
        <v>0.230151768537646</v>
      </c>
      <c r="I3857" s="0" t="n">
        <f aca="false">(G3857-Stats!$B$2)/H3857</f>
        <v>1.28988562525242</v>
      </c>
    </row>
    <row r="3858" customFormat="false" ht="15" hidden="false" customHeight="false" outlineLevel="0" collapsed="false">
      <c r="A3858" s="0" t="n">
        <v>0.100228256642884</v>
      </c>
      <c r="B3858" s="0" t="n">
        <v>0.75437595552491</v>
      </c>
      <c r="C3858" s="0" t="n">
        <v>0.27607513606941</v>
      </c>
      <c r="D3858" s="0" t="n">
        <f aca="false">A3858/SUM($A3858:$C3858)</f>
        <v>0.0886442799182156</v>
      </c>
      <c r="E3858" s="0" t="n">
        <f aca="false">B3858/SUM($A3858:$C3858)</f>
        <v>0.667188232190697</v>
      </c>
      <c r="F3858" s="0" t="n">
        <f aca="false">C3858/SUM($A3858:$C3858)</f>
        <v>0.244167487891088</v>
      </c>
      <c r="G3858" s="0" t="n">
        <f aca="false">SUMPRODUCT(D3858:F3858,Stats!$B$6:$D$6)</f>
        <v>0.388140027244905</v>
      </c>
      <c r="H3858" s="0" t="n">
        <f aca="false">SQRT(SUMPRODUCT(MMULT(D3858:F3858,Stats!$B$12:$D$14),D3858:F3858))</f>
        <v>0.239692732994988</v>
      </c>
      <c r="I3858" s="0" t="n">
        <f aca="false">(G3858-Stats!$B$2)/H3858</f>
        <v>1.444098963368</v>
      </c>
    </row>
    <row r="3859" customFormat="false" ht="15" hidden="false" customHeight="false" outlineLevel="0" collapsed="false">
      <c r="A3859" s="0" t="n">
        <v>0.443645646603479</v>
      </c>
      <c r="B3859" s="0" t="n">
        <v>0.0870335650915542</v>
      </c>
      <c r="C3859" s="0" t="n">
        <v>0.286659248447253</v>
      </c>
      <c r="D3859" s="0" t="n">
        <f aca="false">A3859/SUM($A3859:$C3859)</f>
        <v>0.542793063385573</v>
      </c>
      <c r="E3859" s="0" t="n">
        <f aca="false">B3859/SUM($A3859:$C3859)</f>
        <v>0.106484118068301</v>
      </c>
      <c r="F3859" s="0" t="n">
        <f aca="false">C3859/SUM($A3859:$C3859)</f>
        <v>0.350722818546126</v>
      </c>
      <c r="G3859" s="0" t="n">
        <f aca="false">SUMPRODUCT(D3859:F3859,Stats!$B$6:$D$6)</f>
        <v>0.352939615963959</v>
      </c>
      <c r="H3859" s="0" t="n">
        <f aca="false">SQRT(SUMPRODUCT(MMULT(D3859:F3859,Stats!$B$12:$D$14),D3859:F3859))</f>
        <v>0.221645241533524</v>
      </c>
      <c r="I3859" s="0" t="n">
        <f aca="false">(G3859-Stats!$B$2)/H3859</f>
        <v>1.40287070370933</v>
      </c>
    </row>
    <row r="3860" customFormat="false" ht="15" hidden="false" customHeight="false" outlineLevel="0" collapsed="false">
      <c r="A3860" s="0" t="n">
        <v>0.781490243258572</v>
      </c>
      <c r="B3860" s="0" t="n">
        <v>0.15158791190232</v>
      </c>
      <c r="C3860" s="0" t="n">
        <v>0.647159561126957</v>
      </c>
      <c r="D3860" s="0" t="n">
        <f aca="false">A3860/SUM($A3860:$C3860)</f>
        <v>0.494539672862877</v>
      </c>
      <c r="E3860" s="0" t="n">
        <f aca="false">B3860/SUM($A3860:$C3860)</f>
        <v>0.0959272838129798</v>
      </c>
      <c r="F3860" s="0" t="n">
        <f aca="false">C3860/SUM($A3860:$C3860)</f>
        <v>0.409533043324144</v>
      </c>
      <c r="G3860" s="0" t="n">
        <f aca="false">SUMPRODUCT(D3860:F3860,Stats!$B$6:$D$6)</f>
        <v>0.350710520055699</v>
      </c>
      <c r="H3860" s="0" t="n">
        <f aca="false">SQRT(SUMPRODUCT(MMULT(D3860:F3860,Stats!$B$12:$D$14),D3860:F3860))</f>
        <v>0.222439730743779</v>
      </c>
      <c r="I3860" s="0" t="n">
        <f aca="false">(G3860-Stats!$B$2)/H3860</f>
        <v>1.38783893966898</v>
      </c>
    </row>
    <row r="3861" customFormat="false" ht="15" hidden="false" customHeight="false" outlineLevel="0" collapsed="false">
      <c r="A3861" s="0" t="n">
        <v>0.917425852804501</v>
      </c>
      <c r="B3861" s="0" t="n">
        <v>0.67983675975772</v>
      </c>
      <c r="C3861" s="0" t="n">
        <v>0.811021689292227</v>
      </c>
      <c r="D3861" s="0" t="n">
        <f aca="false">A3861/SUM($A3861:$C3861)</f>
        <v>0.380945826079611</v>
      </c>
      <c r="E3861" s="0" t="n">
        <f aca="false">B3861/SUM($A3861:$C3861)</f>
        <v>0.282290906947418</v>
      </c>
      <c r="F3861" s="0" t="n">
        <f aca="false">C3861/SUM($A3861:$C3861)</f>
        <v>0.336763266972972</v>
      </c>
      <c r="G3861" s="0" t="n">
        <f aca="false">SUMPRODUCT(D3861:F3861,Stats!$B$6:$D$6)</f>
        <v>0.363440240319293</v>
      </c>
      <c r="H3861" s="0" t="n">
        <f aca="false">SQRT(SUMPRODUCT(MMULT(D3861:F3861,Stats!$B$12:$D$14),D3861:F3861))</f>
        <v>0.224768633878459</v>
      </c>
      <c r="I3861" s="0" t="n">
        <f aca="false">(G3861-Stats!$B$2)/H3861</f>
        <v>1.43009384704944</v>
      </c>
    </row>
    <row r="3862" customFormat="false" ht="15" hidden="false" customHeight="false" outlineLevel="0" collapsed="false">
      <c r="A3862" s="0" t="n">
        <v>0.108971629303916</v>
      </c>
      <c r="B3862" s="0" t="n">
        <v>0.250731826002055</v>
      </c>
      <c r="C3862" s="0" t="n">
        <v>0.894538852240591</v>
      </c>
      <c r="D3862" s="0" t="n">
        <f aca="false">A3862/SUM($A3862:$C3862)</f>
        <v>0.086882437825811</v>
      </c>
      <c r="E3862" s="0" t="n">
        <f aca="false">B3862/SUM($A3862:$C3862)</f>
        <v>0.199907007197448</v>
      </c>
      <c r="F3862" s="0" t="n">
        <f aca="false">C3862/SUM($A3862:$C3862)</f>
        <v>0.713210554976741</v>
      </c>
      <c r="G3862" s="0" t="n">
        <f aca="false">SUMPRODUCT(D3862:F3862,Stats!$B$6:$D$6)</f>
        <v>0.34831958817761</v>
      </c>
      <c r="H3862" s="0" t="n">
        <f aca="false">SQRT(SUMPRODUCT(MMULT(D3862:F3862,Stats!$B$12:$D$14),D3862:F3862))</f>
        <v>0.24222528799324</v>
      </c>
      <c r="I3862" s="0" t="n">
        <f aca="false">(G3862-Stats!$B$2)/H3862</f>
        <v>1.26460614709295</v>
      </c>
    </row>
    <row r="3863" customFormat="false" ht="15" hidden="false" customHeight="false" outlineLevel="0" collapsed="false">
      <c r="A3863" s="0" t="n">
        <v>0.715105613618089</v>
      </c>
      <c r="B3863" s="0" t="n">
        <v>0.639553826377311</v>
      </c>
      <c r="C3863" s="0" t="n">
        <v>0.6637667361217</v>
      </c>
      <c r="D3863" s="0" t="n">
        <f aca="false">A3863/SUM($A3863:$C3863)</f>
        <v>0.354288713691653</v>
      </c>
      <c r="E3863" s="0" t="n">
        <f aca="false">B3863/SUM($A3863:$C3863)</f>
        <v>0.316857675522043</v>
      </c>
      <c r="F3863" s="0" t="n">
        <f aca="false">C3863/SUM($A3863:$C3863)</f>
        <v>0.328853610786304</v>
      </c>
      <c r="G3863" s="0" t="n">
        <f aca="false">SUMPRODUCT(D3863:F3863,Stats!$B$6:$D$6)</f>
        <v>0.365647273171317</v>
      </c>
      <c r="H3863" s="0" t="n">
        <f aca="false">SQRT(SUMPRODUCT(MMULT(D3863:F3863,Stats!$B$12:$D$14),D3863:F3863))</f>
        <v>0.225633491803019</v>
      </c>
      <c r="I3863" s="0" t="n">
        <f aca="false">(G3863-Stats!$B$2)/H3863</f>
        <v>1.43439376213645</v>
      </c>
    </row>
    <row r="3864" customFormat="false" ht="15" hidden="false" customHeight="false" outlineLevel="0" collapsed="false">
      <c r="A3864" s="0" t="n">
        <v>0.414200554304643</v>
      </c>
      <c r="B3864" s="0" t="n">
        <v>0.0445566316176532</v>
      </c>
      <c r="C3864" s="0" t="n">
        <v>0.784441542070729</v>
      </c>
      <c r="D3864" s="0" t="n">
        <f aca="false">A3864/SUM($A3864:$C3864)</f>
        <v>0.333173244935115</v>
      </c>
      <c r="E3864" s="0" t="n">
        <f aca="false">B3864/SUM($A3864:$C3864)</f>
        <v>0.0358403130685179</v>
      </c>
      <c r="F3864" s="0" t="n">
        <f aca="false">C3864/SUM($A3864:$C3864)</f>
        <v>0.630986441996367</v>
      </c>
      <c r="G3864" s="0" t="n">
        <f aca="false">SUMPRODUCT(D3864:F3864,Stats!$B$6:$D$6)</f>
        <v>0.341146701235175</v>
      </c>
      <c r="H3864" s="0" t="n">
        <f aca="false">SQRT(SUMPRODUCT(MMULT(D3864:F3864,Stats!$B$12:$D$14),D3864:F3864))</f>
        <v>0.229889443548257</v>
      </c>
      <c r="I3864" s="0" t="n">
        <f aca="false">(G3864-Stats!$B$2)/H3864</f>
        <v>1.30126332300413</v>
      </c>
    </row>
    <row r="3865" customFormat="false" ht="15" hidden="false" customHeight="false" outlineLevel="0" collapsed="false">
      <c r="A3865" s="0" t="n">
        <v>0.678713236215354</v>
      </c>
      <c r="B3865" s="0" t="n">
        <v>0.472804464112725</v>
      </c>
      <c r="C3865" s="0" t="n">
        <v>0.899759615368257</v>
      </c>
      <c r="D3865" s="0" t="n">
        <f aca="false">A3865/SUM($A3865:$C3865)</f>
        <v>0.33087346650882</v>
      </c>
      <c r="E3865" s="0" t="n">
        <f aca="false">B3865/SUM($A3865:$C3865)</f>
        <v>0.230492708369967</v>
      </c>
      <c r="F3865" s="0" t="n">
        <f aca="false">C3865/SUM($A3865:$C3865)</f>
        <v>0.438633825121213</v>
      </c>
      <c r="G3865" s="0" t="n">
        <f aca="false">SUMPRODUCT(D3865:F3865,Stats!$B$6:$D$6)</f>
        <v>0.357650797554782</v>
      </c>
      <c r="H3865" s="0" t="n">
        <f aca="false">SQRT(SUMPRODUCT(MMULT(D3865:F3865,Stats!$B$12:$D$14),D3865:F3865))</f>
        <v>0.226420218103584</v>
      </c>
      <c r="I3865" s="0" t="n">
        <f aca="false">(G3865-Stats!$B$2)/H3865</f>
        <v>1.39409280760597</v>
      </c>
    </row>
    <row r="3866" customFormat="false" ht="15" hidden="false" customHeight="false" outlineLevel="0" collapsed="false">
      <c r="A3866" s="0" t="n">
        <v>0.336159664985099</v>
      </c>
      <c r="B3866" s="0" t="n">
        <v>0.294321744231236</v>
      </c>
      <c r="C3866" s="0" t="n">
        <v>0.872796325079443</v>
      </c>
      <c r="D3866" s="0" t="n">
        <f aca="false">A3866/SUM($A3866:$C3866)</f>
        <v>0.223617803494293</v>
      </c>
      <c r="E3866" s="0" t="n">
        <f aca="false">B3866/SUM($A3866:$C3866)</f>
        <v>0.195786671695176</v>
      </c>
      <c r="F3866" s="0" t="n">
        <f aca="false">C3866/SUM($A3866:$C3866)</f>
        <v>0.580595524810531</v>
      </c>
      <c r="G3866" s="0" t="n">
        <f aca="false">SUMPRODUCT(D3866:F3866,Stats!$B$6:$D$6)</f>
        <v>0.351739317856066</v>
      </c>
      <c r="H3866" s="0" t="n">
        <f aca="false">SQRT(SUMPRODUCT(MMULT(D3866:F3866,Stats!$B$12:$D$14),D3866:F3866))</f>
        <v>0.232337678166349</v>
      </c>
      <c r="I3866" s="0" t="n">
        <f aca="false">(G3866-Stats!$B$2)/H3866</f>
        <v>1.33314286473285</v>
      </c>
    </row>
    <row r="3867" customFormat="false" ht="15" hidden="false" customHeight="false" outlineLevel="0" collapsed="false">
      <c r="A3867" s="0" t="n">
        <v>0.796987654758986</v>
      </c>
      <c r="B3867" s="0" t="n">
        <v>0.514979810648345</v>
      </c>
      <c r="C3867" s="0" t="n">
        <v>0.13073473945785</v>
      </c>
      <c r="D3867" s="0" t="n">
        <f aca="false">A3867/SUM($A3867:$C3867)</f>
        <v>0.552427002656077</v>
      </c>
      <c r="E3867" s="0" t="n">
        <f aca="false">B3867/SUM($A3867:$C3867)</f>
        <v>0.356955031268195</v>
      </c>
      <c r="F3867" s="0" t="n">
        <f aca="false">C3867/SUM($A3867:$C3867)</f>
        <v>0.0906179660757274</v>
      </c>
      <c r="G3867" s="0" t="n">
        <f aca="false">SUMPRODUCT(D3867:F3867,Stats!$B$6:$D$6)</f>
        <v>0.374523679396606</v>
      </c>
      <c r="H3867" s="0" t="n">
        <f aca="false">SQRT(SUMPRODUCT(MMULT(D3867:F3867,Stats!$B$12:$D$14),D3867:F3867))</f>
        <v>0.225398401432687</v>
      </c>
      <c r="I3867" s="0" t="n">
        <f aca="false">(G3867-Stats!$B$2)/H3867</f>
        <v>1.47527079732156</v>
      </c>
    </row>
    <row r="3868" customFormat="false" ht="15" hidden="false" customHeight="false" outlineLevel="0" collapsed="false">
      <c r="A3868" s="0" t="n">
        <v>0.215071471465053</v>
      </c>
      <c r="B3868" s="0" t="n">
        <v>0.656227990408807</v>
      </c>
      <c r="C3868" s="0" t="n">
        <v>0.385041237840412</v>
      </c>
      <c r="D3868" s="0" t="n">
        <f aca="false">A3868/SUM($A3868:$C3868)</f>
        <v>0.171188811692534</v>
      </c>
      <c r="E3868" s="0" t="n">
        <f aca="false">B3868/SUM($A3868:$C3868)</f>
        <v>0.522332827837268</v>
      </c>
      <c r="F3868" s="0" t="n">
        <f aca="false">C3868/SUM($A3868:$C3868)</f>
        <v>0.306478360470199</v>
      </c>
      <c r="G3868" s="0" t="n">
        <f aca="false">SUMPRODUCT(D3868:F3868,Stats!$B$6:$D$6)</f>
        <v>0.378087036415742</v>
      </c>
      <c r="H3868" s="0" t="n">
        <f aca="false">SQRT(SUMPRODUCT(MMULT(D3868:F3868,Stats!$B$12:$D$14),D3868:F3868))</f>
        <v>0.233767520517138</v>
      </c>
      <c r="I3868" s="0" t="n">
        <f aca="false">(G3868-Stats!$B$2)/H3868</f>
        <v>1.43769774206551</v>
      </c>
    </row>
    <row r="3869" customFormat="false" ht="15" hidden="false" customHeight="false" outlineLevel="0" collapsed="false">
      <c r="A3869" s="0" t="n">
        <v>0.836473191665971</v>
      </c>
      <c r="B3869" s="0" t="n">
        <v>0.949955009332204</v>
      </c>
      <c r="C3869" s="0" t="n">
        <v>0.805636925274918</v>
      </c>
      <c r="D3869" s="0" t="n">
        <f aca="false">A3869/SUM($A3869:$C3869)</f>
        <v>0.32270531445661</v>
      </c>
      <c r="E3869" s="0" t="n">
        <f aca="false">B3869/SUM($A3869:$C3869)</f>
        <v>0.366485779891674</v>
      </c>
      <c r="F3869" s="0" t="n">
        <f aca="false">C3869/SUM($A3869:$C3869)</f>
        <v>0.310808905651716</v>
      </c>
      <c r="G3869" s="0" t="n">
        <f aca="false">SUMPRODUCT(D3869:F3869,Stats!$B$6:$D$6)</f>
        <v>0.369000385868075</v>
      </c>
      <c r="H3869" s="0" t="n">
        <f aca="false">SQRT(SUMPRODUCT(MMULT(D3869:F3869,Stats!$B$12:$D$14),D3869:F3869))</f>
        <v>0.226864989260738</v>
      </c>
      <c r="I3869" s="0" t="n">
        <f aca="false">(G3869-Stats!$B$2)/H3869</f>
        <v>1.44138761531093</v>
      </c>
    </row>
    <row r="3870" customFormat="false" ht="15" hidden="false" customHeight="false" outlineLevel="0" collapsed="false">
      <c r="A3870" s="0" t="n">
        <v>0.377545422995557</v>
      </c>
      <c r="B3870" s="0" t="n">
        <v>0.788686429231424</v>
      </c>
      <c r="C3870" s="0" t="n">
        <v>0.351441673470683</v>
      </c>
      <c r="D3870" s="0" t="n">
        <f aca="false">A3870/SUM($A3870:$C3870)</f>
        <v>0.248765901626967</v>
      </c>
      <c r="E3870" s="0" t="n">
        <f aca="false">B3870/SUM($A3870:$C3870)</f>
        <v>0.519668041826631</v>
      </c>
      <c r="F3870" s="0" t="n">
        <f aca="false">C3870/SUM($A3870:$C3870)</f>
        <v>0.231566056546402</v>
      </c>
      <c r="G3870" s="0" t="n">
        <f aca="false">SUMPRODUCT(D3870:F3870,Stats!$B$6:$D$6)</f>
        <v>0.379999386045567</v>
      </c>
      <c r="H3870" s="0" t="n">
        <f aca="false">SQRT(SUMPRODUCT(MMULT(D3870:F3870,Stats!$B$12:$D$14),D3870:F3870))</f>
        <v>0.231128237370953</v>
      </c>
      <c r="I3870" s="0" t="n">
        <f aca="false">(G3870-Stats!$B$2)/H3870</f>
        <v>1.46238897458076</v>
      </c>
    </row>
    <row r="3871" customFormat="false" ht="15" hidden="false" customHeight="false" outlineLevel="0" collapsed="false">
      <c r="A3871" s="0" t="n">
        <v>0.167100087765634</v>
      </c>
      <c r="B3871" s="0" t="n">
        <v>0.0333932048658574</v>
      </c>
      <c r="C3871" s="0" t="n">
        <v>0.38571671276102</v>
      </c>
      <c r="D3871" s="0" t="n">
        <f aca="false">A3871/SUM($A3871:$C3871)</f>
        <v>0.285051579175535</v>
      </c>
      <c r="E3871" s="0" t="n">
        <f aca="false">B3871/SUM($A3871:$C3871)</f>
        <v>0.0569645767876278</v>
      </c>
      <c r="F3871" s="0" t="n">
        <f aca="false">C3871/SUM($A3871:$C3871)</f>
        <v>0.657983844036838</v>
      </c>
      <c r="G3871" s="0" t="n">
        <f aca="false">SUMPRODUCT(D3871:F3871,Stats!$B$6:$D$6)</f>
        <v>0.341617721051454</v>
      </c>
      <c r="H3871" s="0" t="n">
        <f aca="false">SQRT(SUMPRODUCT(MMULT(D3871:F3871,Stats!$B$12:$D$14),D3871:F3871))</f>
        <v>0.23213648996559</v>
      </c>
      <c r="I3871" s="0" t="n">
        <f aca="false">(G3871-Stats!$B$2)/H3871</f>
        <v>1.29069635323541</v>
      </c>
    </row>
    <row r="3872" customFormat="false" ht="15" hidden="false" customHeight="false" outlineLevel="0" collapsed="false">
      <c r="A3872" s="0" t="n">
        <v>0.903559303697282</v>
      </c>
      <c r="B3872" s="0" t="n">
        <v>0.238986587755677</v>
      </c>
      <c r="C3872" s="0" t="n">
        <v>0.206513164929784</v>
      </c>
      <c r="D3872" s="0" t="n">
        <f aca="false">A3872/SUM($A3872:$C3872)</f>
        <v>0.669770014457345</v>
      </c>
      <c r="E3872" s="0" t="n">
        <f aca="false">B3872/SUM($A3872:$C3872)</f>
        <v>0.177150575154564</v>
      </c>
      <c r="F3872" s="0" t="n">
        <f aca="false">C3872/SUM($A3872:$C3872)</f>
        <v>0.153079410388091</v>
      </c>
      <c r="G3872" s="0" t="n">
        <f aca="false">SUMPRODUCT(D3872:F3872,Stats!$B$6:$D$6)</f>
        <v>0.362455613405203</v>
      </c>
      <c r="H3872" s="0" t="n">
        <f aca="false">SQRT(SUMPRODUCT(MMULT(D3872:F3872,Stats!$B$12:$D$14),D3872:F3872))</f>
        <v>0.223072205837358</v>
      </c>
      <c r="I3872" s="0" t="n">
        <f aca="false">(G3872-Stats!$B$2)/H3872</f>
        <v>1.4365555412979</v>
      </c>
    </row>
    <row r="3873" customFormat="false" ht="15" hidden="false" customHeight="false" outlineLevel="0" collapsed="false">
      <c r="A3873" s="0" t="n">
        <v>0.96982078524104</v>
      </c>
      <c r="B3873" s="0" t="n">
        <v>0.0250041128505921</v>
      </c>
      <c r="C3873" s="0" t="n">
        <v>0.785782150393754</v>
      </c>
      <c r="D3873" s="0" t="n">
        <f aca="false">A3873/SUM($A3873:$C3873)</f>
        <v>0.544657388650677</v>
      </c>
      <c r="E3873" s="0" t="n">
        <f aca="false">B3873/SUM($A3873:$C3873)</f>
        <v>0.0140424653894642</v>
      </c>
      <c r="F3873" s="0" t="n">
        <f aca="false">C3873/SUM($A3873:$C3873)</f>
        <v>0.441300145959859</v>
      </c>
      <c r="G3873" s="0" t="n">
        <f aca="false">SUMPRODUCT(D3873:F3873,Stats!$B$6:$D$6)</f>
        <v>0.345123007948146</v>
      </c>
      <c r="H3873" s="0" t="n">
        <f aca="false">SQRT(SUMPRODUCT(MMULT(D3873:F3873,Stats!$B$12:$D$14),D3873:F3873))</f>
        <v>0.222257272456552</v>
      </c>
      <c r="I3873" s="0" t="n">
        <f aca="false">(G3873-Stats!$B$2)/H3873</f>
        <v>1.36383842291326</v>
      </c>
    </row>
    <row r="3874" customFormat="false" ht="15" hidden="false" customHeight="false" outlineLevel="0" collapsed="false">
      <c r="A3874" s="0" t="n">
        <v>0.32136995574087</v>
      </c>
      <c r="B3874" s="0" t="n">
        <v>0.0374879568696593</v>
      </c>
      <c r="C3874" s="0" t="n">
        <v>0.917802540209584</v>
      </c>
      <c r="D3874" s="0" t="n">
        <f aca="false">A3874/SUM($A3874:$C3874)</f>
        <v>0.251727039112844</v>
      </c>
      <c r="E3874" s="0" t="n">
        <f aca="false">B3874/SUM($A3874:$C3874)</f>
        <v>0.0293640778069449</v>
      </c>
      <c r="F3874" s="0" t="n">
        <f aca="false">C3874/SUM($A3874:$C3874)</f>
        <v>0.718908883080211</v>
      </c>
      <c r="G3874" s="0" t="n">
        <f aca="false">SUMPRODUCT(D3874:F3874,Stats!$B$6:$D$6)</f>
        <v>0.338349639544114</v>
      </c>
      <c r="H3874" s="0" t="n">
        <f aca="false">SQRT(SUMPRODUCT(MMULT(D3874:F3874,Stats!$B$12:$D$14),D3874:F3874))</f>
        <v>0.235344011643206</v>
      </c>
      <c r="I3874" s="0" t="n">
        <f aca="false">(G3874-Stats!$B$2)/H3874</f>
        <v>1.25921895133408</v>
      </c>
    </row>
    <row r="3875" customFormat="false" ht="15" hidden="false" customHeight="false" outlineLevel="0" collapsed="false">
      <c r="A3875" s="0" t="n">
        <v>0.139642330209584</v>
      </c>
      <c r="B3875" s="0" t="n">
        <v>0.551779283725695</v>
      </c>
      <c r="C3875" s="0" t="n">
        <v>0.274054207429548</v>
      </c>
      <c r="D3875" s="0" t="n">
        <f aca="false">A3875/SUM($A3875:$C3875)</f>
        <v>0.144635761061505</v>
      </c>
      <c r="E3875" s="0" t="n">
        <f aca="false">B3875/SUM($A3875:$C3875)</f>
        <v>0.571510204104006</v>
      </c>
      <c r="F3875" s="0" t="n">
        <f aca="false">C3875/SUM($A3875:$C3875)</f>
        <v>0.283854034834488</v>
      </c>
      <c r="G3875" s="0" t="n">
        <f aca="false">SUMPRODUCT(D3875:F3875,Stats!$B$6:$D$6)</f>
        <v>0.381540496074729</v>
      </c>
      <c r="H3875" s="0" t="n">
        <f aca="false">SQRT(SUMPRODUCT(MMULT(D3875:F3875,Stats!$B$12:$D$14),D3875:F3875))</f>
        <v>0.235567255275323</v>
      </c>
      <c r="I3875" s="0" t="n">
        <f aca="false">(G3875-Stats!$B$2)/H3875</f>
        <v>1.44137391114858</v>
      </c>
    </row>
    <row r="3876" customFormat="false" ht="15" hidden="false" customHeight="false" outlineLevel="0" collapsed="false">
      <c r="A3876" s="0" t="n">
        <v>0.065192802184691</v>
      </c>
      <c r="B3876" s="0" t="n">
        <v>0.0499224856633791</v>
      </c>
      <c r="C3876" s="0" t="n">
        <v>0.115556698836339</v>
      </c>
      <c r="D3876" s="0" t="n">
        <f aca="false">A3876/SUM($A3876:$C3876)</f>
        <v>0.282621236855621</v>
      </c>
      <c r="E3876" s="0" t="n">
        <f aca="false">B3876/SUM($A3876:$C3876)</f>
        <v>0.216421969485527</v>
      </c>
      <c r="F3876" s="0" t="n">
        <f aca="false">C3876/SUM($A3876:$C3876)</f>
        <v>0.500956793658852</v>
      </c>
      <c r="G3876" s="0" t="n">
        <f aca="false">SUMPRODUCT(D3876:F3876,Stats!$B$6:$D$6)</f>
        <v>0.355122653564021</v>
      </c>
      <c r="H3876" s="0" t="n">
        <f aca="false">SQRT(SUMPRODUCT(MMULT(D3876:F3876,Stats!$B$12:$D$14),D3876:F3876))</f>
        <v>0.228699314436487</v>
      </c>
      <c r="I3876" s="0" t="n">
        <f aca="false">(G3876-Stats!$B$2)/H3876</f>
        <v>1.36914557149221</v>
      </c>
    </row>
    <row r="3877" customFormat="false" ht="15" hidden="false" customHeight="false" outlineLevel="0" collapsed="false">
      <c r="A3877" s="0" t="n">
        <v>0.0713670138893801</v>
      </c>
      <c r="B3877" s="0" t="n">
        <v>0.760558115519923</v>
      </c>
      <c r="C3877" s="0" t="n">
        <v>0.485566202283429</v>
      </c>
      <c r="D3877" s="0" t="n">
        <f aca="false">A3877/SUM($A3877:$C3877)</f>
        <v>0.0541688678874924</v>
      </c>
      <c r="E3877" s="0" t="n">
        <f aca="false">B3877/SUM($A3877:$C3877)</f>
        <v>0.577277510086345</v>
      </c>
      <c r="F3877" s="0" t="n">
        <f aca="false">C3877/SUM($A3877:$C3877)</f>
        <v>0.368553622026163</v>
      </c>
      <c r="G3877" s="0" t="n">
        <f aca="false">SUMPRODUCT(D3877:F3877,Stats!$B$6:$D$6)</f>
        <v>0.379536780856839</v>
      </c>
      <c r="H3877" s="0" t="n">
        <f aca="false">SQRT(SUMPRODUCT(MMULT(D3877:F3877,Stats!$B$12:$D$14),D3877:F3877))</f>
        <v>0.240003101420473</v>
      </c>
      <c r="I3877" s="0" t="n">
        <f aca="false">(G3877-Stats!$B$2)/H3877</f>
        <v>1.406385079439</v>
      </c>
    </row>
    <row r="3878" customFormat="false" ht="15" hidden="false" customHeight="false" outlineLevel="0" collapsed="false">
      <c r="A3878" s="0" t="n">
        <v>0.34289209134898</v>
      </c>
      <c r="B3878" s="0" t="n">
        <v>0.418368910132007</v>
      </c>
      <c r="C3878" s="0" t="n">
        <v>0.928946735572623</v>
      </c>
      <c r="D3878" s="0" t="n">
        <f aca="false">A3878/SUM($A3878:$C3878)</f>
        <v>0.202869791583556</v>
      </c>
      <c r="E3878" s="0" t="n">
        <f aca="false">B3878/SUM($A3878:$C3878)</f>
        <v>0.247525142004919</v>
      </c>
      <c r="F3878" s="0" t="n">
        <f aca="false">C3878/SUM($A3878:$C3878)</f>
        <v>0.549605066411525</v>
      </c>
      <c r="G3878" s="0" t="n">
        <f aca="false">SUMPRODUCT(D3878:F3878,Stats!$B$6:$D$6)</f>
        <v>0.355570832444692</v>
      </c>
      <c r="H3878" s="0" t="n">
        <f aca="false">SQRT(SUMPRODUCT(MMULT(D3878:F3878,Stats!$B$12:$D$14),D3878:F3878))</f>
        <v>0.232638988596556</v>
      </c>
      <c r="I3878" s="0" t="n">
        <f aca="false">(G3878-Stats!$B$2)/H3878</f>
        <v>1.3478859856483</v>
      </c>
    </row>
    <row r="3879" customFormat="false" ht="15" hidden="false" customHeight="false" outlineLevel="0" collapsed="false">
      <c r="A3879" s="0" t="n">
        <v>0.910751812738147</v>
      </c>
      <c r="B3879" s="0" t="n">
        <v>0.715676480122577</v>
      </c>
      <c r="C3879" s="0" t="n">
        <v>0.884682377421688</v>
      </c>
      <c r="D3879" s="0" t="n">
        <f aca="false">A3879/SUM($A3879:$C3879)</f>
        <v>0.362688838654698</v>
      </c>
      <c r="E3879" s="0" t="n">
        <f aca="false">B3879/SUM($A3879:$C3879)</f>
        <v>0.285003958046217</v>
      </c>
      <c r="F3879" s="0" t="n">
        <f aca="false">C3879/SUM($A3879:$C3879)</f>
        <v>0.352307203299085</v>
      </c>
      <c r="G3879" s="0" t="n">
        <f aca="false">SUMPRODUCT(D3879:F3879,Stats!$B$6:$D$6)</f>
        <v>0.363167727702404</v>
      </c>
      <c r="H3879" s="0" t="n">
        <f aca="false">SQRT(SUMPRODUCT(MMULT(D3879:F3879,Stats!$B$12:$D$14),D3879:F3879))</f>
        <v>0.225256933799249</v>
      </c>
      <c r="I3879" s="0" t="n">
        <f aca="false">(G3879-Stats!$B$2)/H3879</f>
        <v>1.4257839804773</v>
      </c>
    </row>
    <row r="3880" customFormat="false" ht="15" hidden="false" customHeight="false" outlineLevel="0" collapsed="false">
      <c r="A3880" s="0" t="n">
        <v>0.319648027587625</v>
      </c>
      <c r="B3880" s="0" t="n">
        <v>0.381109326008283</v>
      </c>
      <c r="C3880" s="0" t="n">
        <v>0.613712181854228</v>
      </c>
      <c r="D3880" s="0" t="n">
        <f aca="false">A3880/SUM($A3880:$C3880)</f>
        <v>0.243176444160163</v>
      </c>
      <c r="E3880" s="0" t="n">
        <f aca="false">B3880/SUM($A3880:$C3880)</f>
        <v>0.289933935880662</v>
      </c>
      <c r="F3880" s="0" t="n">
        <f aca="false">C3880/SUM($A3880:$C3880)</f>
        <v>0.466889619959176</v>
      </c>
      <c r="G3880" s="0" t="n">
        <f aca="false">SUMPRODUCT(D3880:F3880,Stats!$B$6:$D$6)</f>
        <v>0.360291826177565</v>
      </c>
      <c r="H3880" s="0" t="n">
        <f aca="false">SQRT(SUMPRODUCT(MMULT(D3880:F3880,Stats!$B$12:$D$14),D3880:F3880))</f>
        <v>0.229889847395398</v>
      </c>
      <c r="I3880" s="0" t="n">
        <f aca="false">(G3880-Stats!$B$2)/H3880</f>
        <v>1.38454059534922</v>
      </c>
    </row>
    <row r="3881" customFormat="false" ht="15" hidden="false" customHeight="false" outlineLevel="0" collapsed="false">
      <c r="A3881" s="0" t="n">
        <v>0.623625947297264</v>
      </c>
      <c r="B3881" s="0" t="n">
        <v>0.481699838012341</v>
      </c>
      <c r="C3881" s="0" t="n">
        <v>0.400657848437953</v>
      </c>
      <c r="D3881" s="0" t="n">
        <f aca="false">A3881/SUM($A3881:$C3881)</f>
        <v>0.414098754675975</v>
      </c>
      <c r="E3881" s="0" t="n">
        <f aca="false">B3881/SUM($A3881:$C3881)</f>
        <v>0.319857286107192</v>
      </c>
      <c r="F3881" s="0" t="n">
        <f aca="false">C3881/SUM($A3881:$C3881)</f>
        <v>0.266043959216833</v>
      </c>
      <c r="G3881" s="0" t="n">
        <f aca="false">SUMPRODUCT(D3881:F3881,Stats!$B$6:$D$6)</f>
        <v>0.367551818866233</v>
      </c>
      <c r="H3881" s="0" t="n">
        <f aca="false">SQRT(SUMPRODUCT(MMULT(D3881:F3881,Stats!$B$12:$D$14),D3881:F3881))</f>
        <v>0.224446161911337</v>
      </c>
      <c r="I3881" s="0" t="n">
        <f aca="false">(G3881-Stats!$B$2)/H3881</f>
        <v>1.45046730179702</v>
      </c>
    </row>
    <row r="3882" customFormat="false" ht="15" hidden="false" customHeight="false" outlineLevel="0" collapsed="false">
      <c r="A3882" s="0" t="n">
        <v>0.986180311608695</v>
      </c>
      <c r="B3882" s="0" t="n">
        <v>0.821123626117724</v>
      </c>
      <c r="C3882" s="0" t="n">
        <v>0.434980197888045</v>
      </c>
      <c r="D3882" s="0" t="n">
        <f aca="false">A3882/SUM($A3882:$C3882)</f>
        <v>0.439810591327422</v>
      </c>
      <c r="E3882" s="0" t="n">
        <f aca="false">B3882/SUM($A3882:$C3882)</f>
        <v>0.366199632364035</v>
      </c>
      <c r="F3882" s="0" t="n">
        <f aca="false">C3882/SUM($A3882:$C3882)</f>
        <v>0.193989776308543</v>
      </c>
      <c r="G3882" s="0" t="n">
        <f aca="false">SUMPRODUCT(D3882:F3882,Stats!$B$6:$D$6)</f>
        <v>0.372205163870327</v>
      </c>
      <c r="H3882" s="0" t="n">
        <f aca="false">SQRT(SUMPRODUCT(MMULT(D3882:F3882,Stats!$B$12:$D$14),D3882:F3882))</f>
        <v>0.224973909152153</v>
      </c>
      <c r="I3882" s="0" t="n">
        <f aca="false">(G3882-Stats!$B$2)/H3882</f>
        <v>1.46774870523765</v>
      </c>
    </row>
    <row r="3883" customFormat="false" ht="15" hidden="false" customHeight="false" outlineLevel="0" collapsed="false">
      <c r="A3883" s="0" t="n">
        <v>0.727292477239569</v>
      </c>
      <c r="B3883" s="0" t="n">
        <v>0.26956169325246</v>
      </c>
      <c r="C3883" s="0" t="n">
        <v>0.10016932623733</v>
      </c>
      <c r="D3883" s="0" t="n">
        <f aca="false">A3883/SUM($A3883:$C3883)</f>
        <v>0.662968914893712</v>
      </c>
      <c r="E3883" s="0" t="n">
        <f aca="false">B3883/SUM($A3883:$C3883)</f>
        <v>0.245720984150408</v>
      </c>
      <c r="F3883" s="0" t="n">
        <f aca="false">C3883/SUM($A3883:$C3883)</f>
        <v>0.0913101009558798</v>
      </c>
      <c r="G3883" s="0" t="n">
        <f aca="false">SUMPRODUCT(D3883:F3883,Stats!$B$6:$D$6)</f>
        <v>0.368104330939748</v>
      </c>
      <c r="H3883" s="0" t="n">
        <f aca="false">SQRT(SUMPRODUCT(MMULT(D3883:F3883,Stats!$B$12:$D$14),D3883:F3883))</f>
        <v>0.224555377918574</v>
      </c>
      <c r="I3883" s="0" t="n">
        <f aca="false">(G3883-Stats!$B$2)/H3883</f>
        <v>1.45222231577102</v>
      </c>
    </row>
    <row r="3884" customFormat="false" ht="15" hidden="false" customHeight="false" outlineLevel="0" collapsed="false">
      <c r="A3884" s="0" t="n">
        <v>0.352431025552741</v>
      </c>
      <c r="B3884" s="0" t="n">
        <v>0.402972800123394</v>
      </c>
      <c r="C3884" s="0" t="n">
        <v>0.0165371245606708</v>
      </c>
      <c r="D3884" s="0" t="n">
        <f aca="false">A3884/SUM($A3884:$C3884)</f>
        <v>0.45655179381872</v>
      </c>
      <c r="E3884" s="0" t="n">
        <f aca="false">B3884/SUM($A3884:$C3884)</f>
        <v>0.522025421762864</v>
      </c>
      <c r="F3884" s="0" t="n">
        <f aca="false">C3884/SUM($A3884:$C3884)</f>
        <v>0.0214227844184167</v>
      </c>
      <c r="G3884" s="0" t="n">
        <f aca="false">SUMPRODUCT(D3884:F3884,Stats!$B$6:$D$6)</f>
        <v>0.385929646539578</v>
      </c>
      <c r="H3884" s="0" t="n">
        <f aca="false">SQRT(SUMPRODUCT(MMULT(D3884:F3884,Stats!$B$12:$D$14),D3884:F3884))</f>
        <v>0.229866225516383</v>
      </c>
      <c r="I3884" s="0" t="n">
        <f aca="false">(G3884-Stats!$B$2)/H3884</f>
        <v>1.49621653101475</v>
      </c>
    </row>
    <row r="3885" customFormat="false" ht="15" hidden="false" customHeight="false" outlineLevel="0" collapsed="false">
      <c r="A3885" s="0" t="n">
        <v>0.814792001635896</v>
      </c>
      <c r="B3885" s="0" t="n">
        <v>0.359193402389182</v>
      </c>
      <c r="C3885" s="0" t="n">
        <v>0.580418165780147</v>
      </c>
      <c r="D3885" s="0" t="n">
        <f aca="false">A3885/SUM($A3885:$C3885)</f>
        <v>0.464426780507723</v>
      </c>
      <c r="E3885" s="0" t="n">
        <f aca="false">B3885/SUM($A3885:$C3885)</f>
        <v>0.204738184857353</v>
      </c>
      <c r="F3885" s="0" t="n">
        <f aca="false">C3885/SUM($A3885:$C3885)</f>
        <v>0.330835034634925</v>
      </c>
      <c r="G3885" s="0" t="n">
        <f aca="false">SUMPRODUCT(D3885:F3885,Stats!$B$6:$D$6)</f>
        <v>0.359141425791358</v>
      </c>
      <c r="H3885" s="0" t="n">
        <f aca="false">SQRT(SUMPRODUCT(MMULT(D3885:F3885,Stats!$B$12:$D$14),D3885:F3885))</f>
        <v>0.222771970634271</v>
      </c>
      <c r="I3885" s="0" t="n">
        <f aca="false">(G3885-Stats!$B$2)/H3885</f>
        <v>1.42361458171062</v>
      </c>
    </row>
    <row r="3886" customFormat="false" ht="15" hidden="false" customHeight="false" outlineLevel="0" collapsed="false">
      <c r="A3886" s="0" t="n">
        <v>0.073963187270956</v>
      </c>
      <c r="B3886" s="0" t="n">
        <v>0.174996828750584</v>
      </c>
      <c r="C3886" s="0" t="n">
        <v>0.88969372532756</v>
      </c>
      <c r="D3886" s="0" t="n">
        <f aca="false">A3886/SUM($A3886:$C3886)</f>
        <v>0.0649566980593441</v>
      </c>
      <c r="E3886" s="0" t="n">
        <f aca="false">B3886/SUM($A3886:$C3886)</f>
        <v>0.153687484083831</v>
      </c>
      <c r="F3886" s="0" t="n">
        <f aca="false">C3886/SUM($A3886:$C3886)</f>
        <v>0.781355817856825</v>
      </c>
      <c r="G3886" s="0" t="n">
        <f aca="false">SUMPRODUCT(D3886:F3886,Stats!$B$6:$D$6)</f>
        <v>0.343781097224538</v>
      </c>
      <c r="H3886" s="0" t="n">
        <f aca="false">SQRT(SUMPRODUCT(MMULT(D3886:F3886,Stats!$B$12:$D$14),D3886:F3886))</f>
        <v>0.245780225318961</v>
      </c>
      <c r="I3886" s="0" t="n">
        <f aca="false">(G3886-Stats!$B$2)/H3886</f>
        <v>1.22784937979816</v>
      </c>
    </row>
    <row r="3887" customFormat="false" ht="15" hidden="false" customHeight="false" outlineLevel="0" collapsed="false">
      <c r="A3887" s="0" t="n">
        <v>0.608687527882801</v>
      </c>
      <c r="B3887" s="0" t="n">
        <v>0.950284050170486</v>
      </c>
      <c r="C3887" s="0" t="n">
        <v>0.998750034391317</v>
      </c>
      <c r="D3887" s="0" t="n">
        <f aca="false">A3887/SUM($A3887:$C3887)</f>
        <v>0.23798036694894</v>
      </c>
      <c r="E3887" s="0" t="n">
        <f aca="false">B3887/SUM($A3887:$C3887)</f>
        <v>0.371535371772626</v>
      </c>
      <c r="F3887" s="0" t="n">
        <f aca="false">C3887/SUM($A3887:$C3887)</f>
        <v>0.390484261278434</v>
      </c>
      <c r="G3887" s="0" t="n">
        <f aca="false">SUMPRODUCT(D3887:F3887,Stats!$B$6:$D$6)</f>
        <v>0.367093915562692</v>
      </c>
      <c r="H3887" s="0" t="n">
        <f aca="false">SQRT(SUMPRODUCT(MMULT(D3887:F3887,Stats!$B$12:$D$14),D3887:F3887))</f>
        <v>0.229873108800638</v>
      </c>
      <c r="I3887" s="0" t="n">
        <f aca="false">(G3887-Stats!$B$2)/H3887</f>
        <v>1.41423203983654</v>
      </c>
    </row>
    <row r="3888" customFormat="false" ht="15" hidden="false" customHeight="false" outlineLevel="0" collapsed="false">
      <c r="A3888" s="0" t="n">
        <v>0.371860115333094</v>
      </c>
      <c r="B3888" s="0" t="n">
        <v>0.298803064083275</v>
      </c>
      <c r="C3888" s="0" t="n">
        <v>0.858356055159097</v>
      </c>
      <c r="D3888" s="0" t="n">
        <f aca="false">A3888/SUM($A3888:$C3888)</f>
        <v>0.243201724951709</v>
      </c>
      <c r="E3888" s="0" t="n">
        <f aca="false">B3888/SUM($A3888:$C3888)</f>
        <v>0.195421389951473</v>
      </c>
      <c r="F3888" s="0" t="n">
        <f aca="false">C3888/SUM($A3888:$C3888)</f>
        <v>0.561376885096819</v>
      </c>
      <c r="G3888" s="0" t="n">
        <f aca="false">SUMPRODUCT(D3888:F3888,Stats!$B$6:$D$6)</f>
        <v>0.352248246615536</v>
      </c>
      <c r="H3888" s="0" t="n">
        <f aca="false">SQRT(SUMPRODUCT(MMULT(D3888:F3888,Stats!$B$12:$D$14),D3888:F3888))</f>
        <v>0.231166322001141</v>
      </c>
      <c r="I3888" s="0" t="n">
        <f aca="false">(G3888-Stats!$B$2)/H3888</f>
        <v>1.34209967926905</v>
      </c>
    </row>
    <row r="3889" customFormat="false" ht="15" hidden="false" customHeight="false" outlineLevel="0" collapsed="false">
      <c r="A3889" s="0" t="n">
        <v>0.998611427037454</v>
      </c>
      <c r="B3889" s="0" t="n">
        <v>0.629641234232457</v>
      </c>
      <c r="C3889" s="0" t="n">
        <v>0.795140722511522</v>
      </c>
      <c r="D3889" s="0" t="n">
        <f aca="false">A3889/SUM($A3889:$C3889)</f>
        <v>0.412071533132286</v>
      </c>
      <c r="E3889" s="0" t="n">
        <f aca="false">B3889/SUM($A3889:$C3889)</f>
        <v>0.259818004970358</v>
      </c>
      <c r="F3889" s="0" t="n">
        <f aca="false">C3889/SUM($A3889:$C3889)</f>
        <v>0.328110461897356</v>
      </c>
      <c r="G3889" s="0" t="n">
        <f aca="false">SUMPRODUCT(D3889:F3889,Stats!$B$6:$D$6)</f>
        <v>0.362385776397557</v>
      </c>
      <c r="H3889" s="0" t="n">
        <f aca="false">SQRT(SUMPRODUCT(MMULT(D3889:F3889,Stats!$B$12:$D$14),D3889:F3889))</f>
        <v>0.223957151551934</v>
      </c>
      <c r="I3889" s="0" t="n">
        <f aca="false">(G3889-Stats!$B$2)/H3889</f>
        <v>1.43056729458028</v>
      </c>
    </row>
    <row r="3890" customFormat="false" ht="15" hidden="false" customHeight="false" outlineLevel="0" collapsed="false">
      <c r="A3890" s="0" t="n">
        <v>0.781745858815275</v>
      </c>
      <c r="B3890" s="0" t="n">
        <v>0.355339708219547</v>
      </c>
      <c r="C3890" s="0" t="n">
        <v>0.574270380257087</v>
      </c>
      <c r="D3890" s="0" t="n">
        <f aca="false">A3890/SUM($A3890:$C3890)</f>
        <v>0.456799101351375</v>
      </c>
      <c r="E3890" s="0" t="n">
        <f aca="false">B3890/SUM($A3890:$C3890)</f>
        <v>0.207636353373385</v>
      </c>
      <c r="F3890" s="0" t="n">
        <f aca="false">C3890/SUM($A3890:$C3890)</f>
        <v>0.33556454527524</v>
      </c>
      <c r="G3890" s="0" t="n">
        <f aca="false">SUMPRODUCT(D3890:F3890,Stats!$B$6:$D$6)</f>
        <v>0.359177768219903</v>
      </c>
      <c r="H3890" s="0" t="n">
        <f aca="false">SQRT(SUMPRODUCT(MMULT(D3890:F3890,Stats!$B$12:$D$14),D3890:F3890))</f>
        <v>0.222907000097806</v>
      </c>
      <c r="I3890" s="0" t="n">
        <f aca="false">(G3890-Stats!$B$2)/H3890</f>
        <v>1.42291524304187</v>
      </c>
    </row>
    <row r="3891" customFormat="false" ht="15" hidden="false" customHeight="false" outlineLevel="0" collapsed="false">
      <c r="A3891" s="0" t="n">
        <v>0.833056941264214</v>
      </c>
      <c r="B3891" s="0" t="n">
        <v>0.688113876261056</v>
      </c>
      <c r="C3891" s="0" t="n">
        <v>0.0211638139820383</v>
      </c>
      <c r="D3891" s="0" t="n">
        <f aca="false">A3891/SUM($A3891:$C3891)</f>
        <v>0.540127235845101</v>
      </c>
      <c r="E3891" s="0" t="n">
        <f aca="false">B3891/SUM($A3891:$C3891)</f>
        <v>0.446150830179161</v>
      </c>
      <c r="F3891" s="0" t="n">
        <f aca="false">C3891/SUM($A3891:$C3891)</f>
        <v>0.0137219339757385</v>
      </c>
      <c r="G3891" s="0" t="n">
        <f aca="false">SUMPRODUCT(D3891:F3891,Stats!$B$6:$D$6)</f>
        <v>0.381776268731468</v>
      </c>
      <c r="H3891" s="0" t="n">
        <f aca="false">SQRT(SUMPRODUCT(MMULT(D3891:F3891,Stats!$B$12:$D$14),D3891:F3891))</f>
        <v>0.228310899300395</v>
      </c>
      <c r="I3891" s="0" t="n">
        <f aca="false">(G3891-Stats!$B$2)/H3891</f>
        <v>1.4882174691293</v>
      </c>
    </row>
    <row r="3892" customFormat="false" ht="15" hidden="false" customHeight="false" outlineLevel="0" collapsed="false">
      <c r="A3892" s="0" t="n">
        <v>0.336705668897534</v>
      </c>
      <c r="B3892" s="0" t="n">
        <v>0.144475696594605</v>
      </c>
      <c r="C3892" s="0" t="n">
        <v>0.232972212078039</v>
      </c>
      <c r="D3892" s="0" t="n">
        <f aca="false">A3892/SUM($A3892:$C3892)</f>
        <v>0.471475155306418</v>
      </c>
      <c r="E3892" s="0" t="n">
        <f aca="false">B3892/SUM($A3892:$C3892)</f>
        <v>0.202303399621923</v>
      </c>
      <c r="F3892" s="0" t="n">
        <f aca="false">C3892/SUM($A3892:$C3892)</f>
        <v>0.32622144507166</v>
      </c>
      <c r="G3892" s="0" t="n">
        <f aca="false">SUMPRODUCT(D3892:F3892,Stats!$B$6:$D$6)</f>
        <v>0.359128549357919</v>
      </c>
      <c r="H3892" s="0" t="n">
        <f aca="false">SQRT(SUMPRODUCT(MMULT(D3892:F3892,Stats!$B$12:$D$14),D3892:F3892))</f>
        <v>0.222655288674859</v>
      </c>
      <c r="I3892" s="0" t="n">
        <f aca="false">(G3892-Stats!$B$2)/H3892</f>
        <v>1.42430279220099</v>
      </c>
    </row>
    <row r="3893" customFormat="false" ht="15" hidden="false" customHeight="false" outlineLevel="0" collapsed="false">
      <c r="A3893" s="0" t="n">
        <v>0.905489477491326</v>
      </c>
      <c r="B3893" s="0" t="n">
        <v>0.0368932889107682</v>
      </c>
      <c r="C3893" s="0" t="n">
        <v>0.219800711961924</v>
      </c>
      <c r="D3893" s="0" t="n">
        <f aca="false">A3893/SUM($A3893:$C3893)</f>
        <v>0.779127817894955</v>
      </c>
      <c r="E3893" s="0" t="n">
        <f aca="false">B3893/SUM($A3893:$C3893)</f>
        <v>0.0317448058741139</v>
      </c>
      <c r="F3893" s="0" t="n">
        <f aca="false">C3893/SUM($A3893:$C3893)</f>
        <v>0.189127376230931</v>
      </c>
      <c r="G3893" s="0" t="n">
        <f aca="false">SUMPRODUCT(D3893:F3893,Stats!$B$6:$D$6)</f>
        <v>0.353095144842471</v>
      </c>
      <c r="H3893" s="0" t="n">
        <f aca="false">SQRT(SUMPRODUCT(MMULT(D3893:F3893,Stats!$B$12:$D$14),D3893:F3893))</f>
        <v>0.22345952409941</v>
      </c>
      <c r="I3893" s="0" t="n">
        <f aca="false">(G3893-Stats!$B$2)/H3893</f>
        <v>1.39217670894204</v>
      </c>
    </row>
    <row r="3894" customFormat="false" ht="15" hidden="false" customHeight="false" outlineLevel="0" collapsed="false">
      <c r="A3894" s="0" t="n">
        <v>0.309569352238232</v>
      </c>
      <c r="B3894" s="0" t="n">
        <v>0.616884071966395</v>
      </c>
      <c r="C3894" s="0" t="n">
        <v>0.534101690085866</v>
      </c>
      <c r="D3894" s="0" t="n">
        <f aca="false">A3894/SUM($A3894:$C3894)</f>
        <v>0.211953215054547</v>
      </c>
      <c r="E3894" s="0" t="n">
        <f aca="false">B3894/SUM($A3894:$C3894)</f>
        <v>0.422362748198013</v>
      </c>
      <c r="F3894" s="0" t="n">
        <f aca="false">C3894/SUM($A3894:$C3894)</f>
        <v>0.36568403674744</v>
      </c>
      <c r="G3894" s="0" t="n">
        <f aca="false">SUMPRODUCT(D3894:F3894,Stats!$B$6:$D$6)</f>
        <v>0.370702313670397</v>
      </c>
      <c r="H3894" s="0" t="n">
        <f aca="false">SQRT(SUMPRODUCT(MMULT(D3894:F3894,Stats!$B$12:$D$14),D3894:F3894))</f>
        <v>0.231156689830954</v>
      </c>
      <c r="I3894" s="0" t="n">
        <f aca="false">(G3894-Stats!$B$2)/H3894</f>
        <v>1.42198918798664</v>
      </c>
    </row>
    <row r="3895" customFormat="false" ht="15" hidden="false" customHeight="false" outlineLevel="0" collapsed="false">
      <c r="A3895" s="0" t="n">
        <v>0.218269482853386</v>
      </c>
      <c r="B3895" s="0" t="n">
        <v>0.164241067223155</v>
      </c>
      <c r="C3895" s="0" t="n">
        <v>0.236798034596119</v>
      </c>
      <c r="D3895" s="0" t="n">
        <f aca="false">A3895/SUM($A3895:$C3895)</f>
        <v>0.352440589805088</v>
      </c>
      <c r="E3895" s="0" t="n">
        <f aca="false">B3895/SUM($A3895:$C3895)</f>
        <v>0.265200695239782</v>
      </c>
      <c r="F3895" s="0" t="n">
        <f aca="false">C3895/SUM($A3895:$C3895)</f>
        <v>0.382358714955131</v>
      </c>
      <c r="G3895" s="0" t="n">
        <f aca="false">SUMPRODUCT(D3895:F3895,Stats!$B$6:$D$6)</f>
        <v>0.361199614715887</v>
      </c>
      <c r="H3895" s="0" t="n">
        <f aca="false">SQRT(SUMPRODUCT(MMULT(D3895:F3895,Stats!$B$12:$D$14),D3895:F3895))</f>
        <v>0.225533862436956</v>
      </c>
      <c r="I3895" s="0" t="n">
        <f aca="false">(G3895-Stats!$B$2)/H3895</f>
        <v>1.41530682473508</v>
      </c>
    </row>
    <row r="3896" customFormat="false" ht="15" hidden="false" customHeight="false" outlineLevel="0" collapsed="false">
      <c r="A3896" s="0" t="n">
        <v>0.502529626701656</v>
      </c>
      <c r="B3896" s="0" t="n">
        <v>0.271177785711203</v>
      </c>
      <c r="C3896" s="0" t="n">
        <v>0.947602501607722</v>
      </c>
      <c r="D3896" s="0" t="n">
        <f aca="false">A3896/SUM($A3896:$C3896)</f>
        <v>0.291946047953598</v>
      </c>
      <c r="E3896" s="0" t="n">
        <f aca="false">B3896/SUM($A3896:$C3896)</f>
        <v>0.1575415231751</v>
      </c>
      <c r="F3896" s="0" t="n">
        <f aca="false">C3896/SUM($A3896:$C3896)</f>
        <v>0.550512428871302</v>
      </c>
      <c r="G3896" s="0" t="n">
        <f aca="false">SUMPRODUCT(D3896:F3896,Stats!$B$6:$D$6)</f>
        <v>0.350368271309905</v>
      </c>
      <c r="H3896" s="0" t="n">
        <f aca="false">SQRT(SUMPRODUCT(MMULT(D3896:F3896,Stats!$B$12:$D$14),D3896:F3896))</f>
        <v>0.229169242951929</v>
      </c>
      <c r="I3896" s="0" t="n">
        <f aca="false">(G3896-Stats!$B$2)/H3896</f>
        <v>1.34559187497333</v>
      </c>
    </row>
    <row r="3897" customFormat="false" ht="15" hidden="false" customHeight="false" outlineLevel="0" collapsed="false">
      <c r="A3897" s="0" t="n">
        <v>0.463865221428848</v>
      </c>
      <c r="B3897" s="0" t="n">
        <v>0.0587960165446371</v>
      </c>
      <c r="C3897" s="0" t="n">
        <v>0.729266405836633</v>
      </c>
      <c r="D3897" s="0" t="n">
        <f aca="false">A3897/SUM($A3897:$C3897)</f>
        <v>0.370520791454944</v>
      </c>
      <c r="E3897" s="0" t="n">
        <f aca="false">B3897/SUM($A3897:$C3897)</f>
        <v>0.0469643887451013</v>
      </c>
      <c r="F3897" s="0" t="n">
        <f aca="false">C3897/SUM($A3897:$C3897)</f>
        <v>0.582514819799955</v>
      </c>
      <c r="G3897" s="0" t="n">
        <f aca="false">SUMPRODUCT(D3897:F3897,Stats!$B$6:$D$6)</f>
        <v>0.343123352490897</v>
      </c>
      <c r="H3897" s="0" t="n">
        <f aca="false">SQRT(SUMPRODUCT(MMULT(D3897:F3897,Stats!$B$12:$D$14),D3897:F3897))</f>
        <v>0.227601100852634</v>
      </c>
      <c r="I3897" s="0" t="n">
        <f aca="false">(G3897-Stats!$B$2)/H3897</f>
        <v>1.32303117762979</v>
      </c>
    </row>
    <row r="3898" customFormat="false" ht="15" hidden="false" customHeight="false" outlineLevel="0" collapsed="false">
      <c r="A3898" s="0" t="n">
        <v>0.32884528820899</v>
      </c>
      <c r="B3898" s="0" t="n">
        <v>0.653488932058248</v>
      </c>
      <c r="C3898" s="0" t="n">
        <v>0.279594370523232</v>
      </c>
      <c r="D3898" s="0" t="n">
        <f aca="false">A3898/SUM($A3898:$C3898)</f>
        <v>0.260589458554863</v>
      </c>
      <c r="E3898" s="0" t="n">
        <f aca="false">B3898/SUM($A3898:$C3898)</f>
        <v>0.517849375018046</v>
      </c>
      <c r="F3898" s="0" t="n">
        <f aca="false">C3898/SUM($A3898:$C3898)</f>
        <v>0.221561166427091</v>
      </c>
      <c r="G3898" s="0" t="n">
        <f aca="false">SUMPRODUCT(D3898:F3898,Stats!$B$6:$D$6)</f>
        <v>0.380170623308212</v>
      </c>
      <c r="H3898" s="0" t="n">
        <f aca="false">SQRT(SUMPRODUCT(MMULT(D3898:F3898,Stats!$B$12:$D$14),D3898:F3898))</f>
        <v>0.230790751882751</v>
      </c>
      <c r="I3898" s="0" t="n">
        <f aca="false">(G3898-Stats!$B$2)/H3898</f>
        <v>1.46526938601081</v>
      </c>
    </row>
    <row r="3899" customFormat="false" ht="15" hidden="false" customHeight="false" outlineLevel="0" collapsed="false">
      <c r="A3899" s="0" t="n">
        <v>0.57074374173332</v>
      </c>
      <c r="B3899" s="0" t="n">
        <v>0.772152504807465</v>
      </c>
      <c r="C3899" s="0" t="n">
        <v>0.928008741774554</v>
      </c>
      <c r="D3899" s="0" t="n">
        <f aca="false">A3899/SUM($A3899:$C3899)</f>
        <v>0.251328763057024</v>
      </c>
      <c r="E3899" s="0" t="n">
        <f aca="false">B3899/SUM($A3899:$C3899)</f>
        <v>0.340019731684276</v>
      </c>
      <c r="F3899" s="0" t="n">
        <f aca="false">C3899/SUM($A3899:$C3899)</f>
        <v>0.4086515052587</v>
      </c>
      <c r="G3899" s="0" t="n">
        <f aca="false">SUMPRODUCT(D3899:F3899,Stats!$B$6:$D$6)</f>
        <v>0.364779591656637</v>
      </c>
      <c r="H3899" s="0" t="n">
        <f aca="false">SQRT(SUMPRODUCT(MMULT(D3899:F3899,Stats!$B$12:$D$14),D3899:F3899))</f>
        <v>0.229288697925966</v>
      </c>
      <c r="I3899" s="0" t="n">
        <f aca="false">(G3899-Stats!$B$2)/H3899</f>
        <v>1.40774314031326</v>
      </c>
    </row>
    <row r="3900" customFormat="false" ht="15" hidden="false" customHeight="false" outlineLevel="0" collapsed="false">
      <c r="A3900" s="0" t="n">
        <v>0.261127144433077</v>
      </c>
      <c r="B3900" s="0" t="n">
        <v>0.334856950998981</v>
      </c>
      <c r="C3900" s="0" t="n">
        <v>0.46426642028594</v>
      </c>
      <c r="D3900" s="0" t="n">
        <f aca="false">A3900/SUM($A3900:$C3900)</f>
        <v>0.246288156017772</v>
      </c>
      <c r="E3900" s="0" t="n">
        <f aca="false">B3900/SUM($A3900:$C3900)</f>
        <v>0.315828142533104</v>
      </c>
      <c r="F3900" s="0" t="n">
        <f aca="false">C3900/SUM($A3900:$C3900)</f>
        <v>0.437883701449124</v>
      </c>
      <c r="G3900" s="0" t="n">
        <f aca="false">SUMPRODUCT(D3900:F3900,Stats!$B$6:$D$6)</f>
        <v>0.362581572360783</v>
      </c>
      <c r="H3900" s="0" t="n">
        <f aca="false">SQRT(SUMPRODUCT(MMULT(D3900:F3900,Stats!$B$12:$D$14),D3900:F3900))</f>
        <v>0.229581229554106</v>
      </c>
      <c r="I3900" s="0" t="n">
        <f aca="false">(G3900-Stats!$B$2)/H3900</f>
        <v>1.39637536127591</v>
      </c>
    </row>
    <row r="3901" customFormat="false" ht="15" hidden="false" customHeight="false" outlineLevel="0" collapsed="false">
      <c r="A3901" s="0" t="n">
        <v>0.927174837735989</v>
      </c>
      <c r="B3901" s="0" t="n">
        <v>0.901386856810657</v>
      </c>
      <c r="C3901" s="0" t="n">
        <v>0.089878280100638</v>
      </c>
      <c r="D3901" s="0" t="n">
        <f aca="false">A3901/SUM($A3901:$C3901)</f>
        <v>0.483296245902328</v>
      </c>
      <c r="E3901" s="0" t="n">
        <f aca="false">B3901/SUM($A3901:$C3901)</f>
        <v>0.469854083902929</v>
      </c>
      <c r="F3901" s="0" t="n">
        <f aca="false">C3901/SUM($A3901:$C3901)</f>
        <v>0.0468496701947439</v>
      </c>
      <c r="G3901" s="0" t="n">
        <f aca="false">SUMPRODUCT(D3901:F3901,Stats!$B$6:$D$6)</f>
        <v>0.382226638687571</v>
      </c>
      <c r="H3901" s="0" t="n">
        <f aca="false">SQRT(SUMPRODUCT(MMULT(D3901:F3901,Stats!$B$12:$D$14),D3901:F3901))</f>
        <v>0.228194134167155</v>
      </c>
      <c r="I3901" s="0" t="n">
        <f aca="false">(G3901-Stats!$B$2)/H3901</f>
        <v>1.49095260458514</v>
      </c>
    </row>
    <row r="3902" customFormat="false" ht="15" hidden="false" customHeight="false" outlineLevel="0" collapsed="false">
      <c r="A3902" s="0" t="n">
        <v>0.131929825753811</v>
      </c>
      <c r="B3902" s="0" t="n">
        <v>0.495509177330638</v>
      </c>
      <c r="C3902" s="0" t="n">
        <v>0.106619272805424</v>
      </c>
      <c r="D3902" s="0" t="n">
        <f aca="false">A3902/SUM($A3902:$C3902)</f>
        <v>0.179726637634971</v>
      </c>
      <c r="E3902" s="0" t="n">
        <f aca="false">B3902/SUM($A3902:$C3902)</f>
        <v>0.675027029332174</v>
      </c>
      <c r="F3902" s="0" t="n">
        <f aca="false">C3902/SUM($A3902:$C3902)</f>
        <v>0.145246333032855</v>
      </c>
      <c r="G3902" s="0" t="n">
        <f aca="false">SUMPRODUCT(D3902:F3902,Stats!$B$6:$D$6)</f>
        <v>0.391318774285008</v>
      </c>
      <c r="H3902" s="0" t="n">
        <f aca="false">SQRT(SUMPRODUCT(MMULT(D3902:F3902,Stats!$B$12:$D$14),D3902:F3902))</f>
        <v>0.236923633919524</v>
      </c>
      <c r="I3902" s="0" t="n">
        <f aca="false">(G3902-Stats!$B$2)/H3902</f>
        <v>1.47439395769044</v>
      </c>
    </row>
    <row r="3903" customFormat="false" ht="15" hidden="false" customHeight="false" outlineLevel="0" collapsed="false">
      <c r="A3903" s="0" t="n">
        <v>0.345580873348698</v>
      </c>
      <c r="B3903" s="0" t="n">
        <v>0.148385378217478</v>
      </c>
      <c r="C3903" s="0" t="n">
        <v>0.636040355131886</v>
      </c>
      <c r="D3903" s="0" t="n">
        <f aca="false">A3903/SUM($A3903:$C3903)</f>
        <v>0.305821993694801</v>
      </c>
      <c r="E3903" s="0" t="n">
        <f aca="false">B3903/SUM($A3903:$C3903)</f>
        <v>0.131313726254281</v>
      </c>
      <c r="F3903" s="0" t="n">
        <f aca="false">C3903/SUM($A3903:$C3903)</f>
        <v>0.562864280050919</v>
      </c>
      <c r="G3903" s="0" t="n">
        <f aca="false">SUMPRODUCT(D3903:F3903,Stats!$B$6:$D$6)</f>
        <v>0.348518560275548</v>
      </c>
      <c r="H3903" s="0" t="n">
        <f aca="false">SQRT(SUMPRODUCT(MMULT(D3903:F3903,Stats!$B$12:$D$14),D3903:F3903))</f>
        <v>0.228959328864932</v>
      </c>
      <c r="I3903" s="0" t="n">
        <f aca="false">(G3903-Stats!$B$2)/H3903</f>
        <v>1.33874676255874</v>
      </c>
    </row>
    <row r="3904" customFormat="false" ht="15" hidden="false" customHeight="false" outlineLevel="0" collapsed="false">
      <c r="A3904" s="0" t="n">
        <v>0.949495431739162</v>
      </c>
      <c r="B3904" s="0" t="n">
        <v>0.996733770294382</v>
      </c>
      <c r="C3904" s="0" t="n">
        <v>0.375241132496915</v>
      </c>
      <c r="D3904" s="0" t="n">
        <f aca="false">A3904/SUM($A3904:$C3904)</f>
        <v>0.409006058624138</v>
      </c>
      <c r="E3904" s="0" t="n">
        <f aca="false">B3904/SUM($A3904:$C3904)</f>
        <v>0.429354515312375</v>
      </c>
      <c r="F3904" s="0" t="n">
        <f aca="false">C3904/SUM($A3904:$C3904)</f>
        <v>0.161639426063487</v>
      </c>
      <c r="G3904" s="0" t="n">
        <f aca="false">SUMPRODUCT(D3904:F3904,Stats!$B$6:$D$6)</f>
        <v>0.376731062560817</v>
      </c>
      <c r="H3904" s="0" t="n">
        <f aca="false">SQRT(SUMPRODUCT(MMULT(D3904:F3904,Stats!$B$12:$D$14),D3904:F3904))</f>
        <v>0.226573852782916</v>
      </c>
      <c r="I3904" s="0" t="n">
        <f aca="false">(G3904-Stats!$B$2)/H3904</f>
        <v>1.47735962667117</v>
      </c>
    </row>
    <row r="3905" customFormat="false" ht="15" hidden="false" customHeight="false" outlineLevel="0" collapsed="false">
      <c r="A3905" s="0" t="n">
        <v>0.599012637114612</v>
      </c>
      <c r="B3905" s="0" t="n">
        <v>0.856267653524081</v>
      </c>
      <c r="C3905" s="0" t="n">
        <v>0.117462072796384</v>
      </c>
      <c r="D3905" s="0" t="n">
        <f aca="false">A3905/SUM($A3905:$C3905)</f>
        <v>0.380871432626949</v>
      </c>
      <c r="E3905" s="0" t="n">
        <f aca="false">B3905/SUM($A3905:$C3905)</f>
        <v>0.5444424169092</v>
      </c>
      <c r="F3905" s="0" t="n">
        <f aca="false">C3905/SUM($A3905:$C3905)</f>
        <v>0.0746861504638505</v>
      </c>
      <c r="G3905" s="0" t="n">
        <f aca="false">SUMPRODUCT(D3905:F3905,Stats!$B$6:$D$6)</f>
        <v>0.385750774594014</v>
      </c>
      <c r="H3905" s="0" t="n">
        <f aca="false">SQRT(SUMPRODUCT(MMULT(D3905:F3905,Stats!$B$12:$D$14),D3905:F3905))</f>
        <v>0.230166624390894</v>
      </c>
      <c r="I3905" s="0" t="n">
        <f aca="false">(G3905-Stats!$B$2)/H3905</f>
        <v>1.49348662302237</v>
      </c>
    </row>
    <row r="3906" customFormat="false" ht="15" hidden="false" customHeight="false" outlineLevel="0" collapsed="false">
      <c r="A3906" s="0" t="n">
        <v>0.689564411051965</v>
      </c>
      <c r="B3906" s="0" t="n">
        <v>0.408843661725068</v>
      </c>
      <c r="C3906" s="0" t="n">
        <v>0.206146160280164</v>
      </c>
      <c r="D3906" s="0" t="n">
        <f aca="false">A3906/SUM($A3906:$C3906)</f>
        <v>0.528582402769093</v>
      </c>
      <c r="E3906" s="0" t="n">
        <f aca="false">B3906/SUM($A3906:$C3906)</f>
        <v>0.313397213672713</v>
      </c>
      <c r="F3906" s="0" t="n">
        <f aca="false">C3906/SUM($A3906:$C3906)</f>
        <v>0.158020383558194</v>
      </c>
      <c r="G3906" s="0" t="n">
        <f aca="false">SUMPRODUCT(D3906:F3906,Stats!$B$6:$D$6)</f>
        <v>0.370158823210196</v>
      </c>
      <c r="H3906" s="0" t="n">
        <f aca="false">SQRT(SUMPRODUCT(MMULT(D3906:F3906,Stats!$B$12:$D$14),D3906:F3906))</f>
        <v>0.223940423297139</v>
      </c>
      <c r="I3906" s="0" t="n">
        <f aca="false">(G3906-Stats!$B$2)/H3906</f>
        <v>1.46538449101158</v>
      </c>
    </row>
    <row r="3907" customFormat="false" ht="15" hidden="false" customHeight="false" outlineLevel="0" collapsed="false">
      <c r="A3907" s="0" t="n">
        <v>0.402753618747442</v>
      </c>
      <c r="B3907" s="0" t="n">
        <v>0.0759602869649169</v>
      </c>
      <c r="C3907" s="0" t="n">
        <v>0.695407148589306</v>
      </c>
      <c r="D3907" s="0" t="n">
        <f aca="false">A3907/SUM($A3907:$C3907)</f>
        <v>0.34302563374693</v>
      </c>
      <c r="E3907" s="0" t="n">
        <f aca="false">B3907/SUM($A3907:$C3907)</f>
        <v>0.0646954474469381</v>
      </c>
      <c r="F3907" s="0" t="n">
        <f aca="false">C3907/SUM($A3907:$C3907)</f>
        <v>0.592278918806132</v>
      </c>
      <c r="G3907" s="0" t="n">
        <f aca="false">SUMPRODUCT(D3907:F3907,Stats!$B$6:$D$6)</f>
        <v>0.343874333385115</v>
      </c>
      <c r="H3907" s="0" t="n">
        <f aca="false">SQRT(SUMPRODUCT(MMULT(D3907:F3907,Stats!$B$12:$D$14),D3907:F3907))</f>
        <v>0.22854853074817</v>
      </c>
      <c r="I3907" s="0" t="n">
        <f aca="false">(G3907-Stats!$B$2)/H3907</f>
        <v>1.32083252689006</v>
      </c>
    </row>
    <row r="3908" customFormat="false" ht="15" hidden="false" customHeight="false" outlineLevel="0" collapsed="false">
      <c r="A3908" s="0" t="n">
        <v>0.252742668748453</v>
      </c>
      <c r="B3908" s="0" t="n">
        <v>0.311405645044878</v>
      </c>
      <c r="C3908" s="0" t="n">
        <v>0.121081298241463</v>
      </c>
      <c r="D3908" s="0" t="n">
        <f aca="false">A3908/SUM($A3908:$C3908)</f>
        <v>0.368843763184624</v>
      </c>
      <c r="E3908" s="0" t="n">
        <f aca="false">B3908/SUM($A3908:$C3908)</f>
        <v>0.454454447933382</v>
      </c>
      <c r="F3908" s="0" t="n">
        <f aca="false">C3908/SUM($A3908:$C3908)</f>
        <v>0.176701788881994</v>
      </c>
      <c r="G3908" s="0" t="n">
        <f aca="false">SUMPRODUCT(D3908:F3908,Stats!$B$6:$D$6)</f>
        <v>0.377759941336192</v>
      </c>
      <c r="H3908" s="0" t="n">
        <f aca="false">SQRT(SUMPRODUCT(MMULT(D3908:F3908,Stats!$B$12:$D$14),D3908:F3908))</f>
        <v>0.227486979468532</v>
      </c>
      <c r="I3908" s="0" t="n">
        <f aca="false">(G3908-Stats!$B$2)/H3908</f>
        <v>1.47595234734143</v>
      </c>
    </row>
    <row r="3909" customFormat="false" ht="15" hidden="false" customHeight="false" outlineLevel="0" collapsed="false">
      <c r="A3909" s="0" t="n">
        <v>0.864659113889892</v>
      </c>
      <c r="B3909" s="0" t="n">
        <v>0.493444279282739</v>
      </c>
      <c r="C3909" s="0" t="n">
        <v>0.5721468777864</v>
      </c>
      <c r="D3909" s="0" t="n">
        <f aca="false">A3909/SUM($A3909:$C3909)</f>
        <v>0.447951815833857</v>
      </c>
      <c r="E3909" s="0" t="n">
        <f aca="false">B3909/SUM($A3909:$C3909)</f>
        <v>0.255637461476731</v>
      </c>
      <c r="F3909" s="0" t="n">
        <f aca="false">C3909/SUM($A3909:$C3909)</f>
        <v>0.296410722689412</v>
      </c>
      <c r="G3909" s="0" t="n">
        <f aca="false">SUMPRODUCT(D3909:F3909,Stats!$B$6:$D$6)</f>
        <v>0.363019341452003</v>
      </c>
      <c r="H3909" s="0" t="n">
        <f aca="false">SQRT(SUMPRODUCT(MMULT(D3909:F3909,Stats!$B$12:$D$14),D3909:F3909))</f>
        <v>0.223305464116114</v>
      </c>
      <c r="I3909" s="0" t="n">
        <f aca="false">(G3909-Stats!$B$2)/H3909</f>
        <v>1.43757942835237</v>
      </c>
    </row>
    <row r="3910" customFormat="false" ht="15" hidden="false" customHeight="false" outlineLevel="0" collapsed="false">
      <c r="A3910" s="0" t="n">
        <v>0.569432683094855</v>
      </c>
      <c r="B3910" s="0" t="n">
        <v>0.410493114541342</v>
      </c>
      <c r="C3910" s="0" t="n">
        <v>0.19252991543814</v>
      </c>
      <c r="D3910" s="0" t="n">
        <f aca="false">A3910/SUM($A3910:$C3910)</f>
        <v>0.485675217191553</v>
      </c>
      <c r="E3910" s="0" t="n">
        <f aca="false">B3910/SUM($A3910:$C3910)</f>
        <v>0.350113961630989</v>
      </c>
      <c r="F3910" s="0" t="n">
        <f aca="false">C3910/SUM($A3910:$C3910)</f>
        <v>0.164210821177459</v>
      </c>
      <c r="G3910" s="0" t="n">
        <f aca="false">SUMPRODUCT(D3910:F3910,Stats!$B$6:$D$6)</f>
        <v>0.372100758429775</v>
      </c>
      <c r="H3910" s="0" t="n">
        <f aca="false">SQRT(SUMPRODUCT(MMULT(D3910:F3910,Stats!$B$12:$D$14),D3910:F3910))</f>
        <v>0.224573157320119</v>
      </c>
      <c r="I3910" s="0" t="n">
        <f aca="false">(G3910-Stats!$B$2)/H3910</f>
        <v>1.46990300340851</v>
      </c>
    </row>
    <row r="3911" customFormat="false" ht="15" hidden="false" customHeight="false" outlineLevel="0" collapsed="false">
      <c r="A3911" s="0" t="n">
        <v>0.7451327484984</v>
      </c>
      <c r="B3911" s="0" t="n">
        <v>0.127056265357674</v>
      </c>
      <c r="C3911" s="0" t="n">
        <v>0.103873790278811</v>
      </c>
      <c r="D3911" s="0" t="n">
        <f aca="false">A3911/SUM($A3911:$C3911)</f>
        <v>0.763406560870675</v>
      </c>
      <c r="E3911" s="0" t="n">
        <f aca="false">B3911/SUM($A3911:$C3911)</f>
        <v>0.130172223364549</v>
      </c>
      <c r="F3911" s="0" t="n">
        <f aca="false">C3911/SUM($A3911:$C3911)</f>
        <v>0.106421215764776</v>
      </c>
      <c r="G3911" s="0" t="n">
        <f aca="false">SUMPRODUCT(D3911:F3911,Stats!$B$6:$D$6)</f>
        <v>0.361039121617149</v>
      </c>
      <c r="H3911" s="0" t="n">
        <f aca="false">SQRT(SUMPRODUCT(MMULT(D3911:F3911,Stats!$B$12:$D$14),D3911:F3911))</f>
        <v>0.224743165272846</v>
      </c>
      <c r="I3911" s="0" t="n">
        <f aca="false">(G3911-Stats!$B$2)/H3911</f>
        <v>1.41957207566168</v>
      </c>
    </row>
    <row r="3912" customFormat="false" ht="15" hidden="false" customHeight="false" outlineLevel="0" collapsed="false">
      <c r="A3912" s="0" t="n">
        <v>0.710145037596503</v>
      </c>
      <c r="B3912" s="0" t="n">
        <v>0.208837020451984</v>
      </c>
      <c r="C3912" s="0" t="n">
        <v>0.306772751352832</v>
      </c>
      <c r="D3912" s="0" t="n">
        <f aca="false">A3912/SUM($A3912:$C3912)</f>
        <v>0.57935325413355</v>
      </c>
      <c r="E3912" s="0" t="n">
        <f aca="false">B3912/SUM($A3912:$C3912)</f>
        <v>0.170374220725255</v>
      </c>
      <c r="F3912" s="0" t="n">
        <f aca="false">C3912/SUM($A3912:$C3912)</f>
        <v>0.250272525141195</v>
      </c>
      <c r="G3912" s="0" t="n">
        <f aca="false">SUMPRODUCT(D3912:F3912,Stats!$B$6:$D$6)</f>
        <v>0.359385647984925</v>
      </c>
      <c r="H3912" s="0" t="n">
        <f aca="false">SQRT(SUMPRODUCT(MMULT(D3912:F3912,Stats!$B$12:$D$14),D3912:F3912))</f>
        <v>0.221816437397065</v>
      </c>
      <c r="I3912" s="0" t="n">
        <f aca="false">(G3912-Stats!$B$2)/H3912</f>
        <v>1.43084819010408</v>
      </c>
    </row>
    <row r="3913" customFormat="false" ht="15" hidden="false" customHeight="false" outlineLevel="0" collapsed="false">
      <c r="A3913" s="0" t="n">
        <v>0.47522746700174</v>
      </c>
      <c r="B3913" s="0" t="n">
        <v>0.449351316729546</v>
      </c>
      <c r="C3913" s="0" t="n">
        <v>0.708579125064999</v>
      </c>
      <c r="D3913" s="0" t="n">
        <f aca="false">A3913/SUM($A3913:$C3913)</f>
        <v>0.290986844837316</v>
      </c>
      <c r="E3913" s="0" t="n">
        <f aca="false">B3913/SUM($A3913:$C3913)</f>
        <v>0.275142602138662</v>
      </c>
      <c r="F3913" s="0" t="n">
        <f aca="false">C3913/SUM($A3913:$C3913)</f>
        <v>0.433870553024022</v>
      </c>
      <c r="G3913" s="0" t="n">
        <f aca="false">SUMPRODUCT(D3913:F3913,Stats!$B$6:$D$6)</f>
        <v>0.360351240049035</v>
      </c>
      <c r="H3913" s="0" t="n">
        <f aca="false">SQRT(SUMPRODUCT(MMULT(D3913:F3913,Stats!$B$12:$D$14),D3913:F3913))</f>
        <v>0.227784111342409</v>
      </c>
      <c r="I3913" s="0" t="n">
        <f aca="false">(G3913-Stats!$B$2)/H3913</f>
        <v>1.39760072892215</v>
      </c>
    </row>
    <row r="3914" customFormat="false" ht="15" hidden="false" customHeight="false" outlineLevel="0" collapsed="false">
      <c r="A3914" s="0" t="n">
        <v>0.623431793443361</v>
      </c>
      <c r="B3914" s="0" t="n">
        <v>0.644396162281866</v>
      </c>
      <c r="C3914" s="0" t="n">
        <v>0.714054330655457</v>
      </c>
      <c r="D3914" s="0" t="n">
        <f aca="false">A3914/SUM($A3914:$C3914)</f>
        <v>0.314565500548407</v>
      </c>
      <c r="E3914" s="0" t="n">
        <f aca="false">B3914/SUM($A3914:$C3914)</f>
        <v>0.325143509637327</v>
      </c>
      <c r="F3914" s="0" t="n">
        <f aca="false">C3914/SUM($A3914:$C3914)</f>
        <v>0.360290989814266</v>
      </c>
      <c r="G3914" s="0" t="n">
        <f aca="false">SUMPRODUCT(D3914:F3914,Stats!$B$6:$D$6)</f>
        <v>0.365257155706921</v>
      </c>
      <c r="H3914" s="0" t="n">
        <f aca="false">SQRT(SUMPRODUCT(MMULT(D3914:F3914,Stats!$B$12:$D$14),D3914:F3914))</f>
        <v>0.226851569559363</v>
      </c>
      <c r="I3914" s="0" t="n">
        <f aca="false">(G3914-Stats!$B$2)/H3914</f>
        <v>1.42497209225758</v>
      </c>
    </row>
    <row r="3915" customFormat="false" ht="15" hidden="false" customHeight="false" outlineLevel="0" collapsed="false">
      <c r="A3915" s="0" t="n">
        <v>0.292612727423465</v>
      </c>
      <c r="B3915" s="0" t="n">
        <v>0.322333311800474</v>
      </c>
      <c r="C3915" s="0" t="n">
        <v>0.437997747895554</v>
      </c>
      <c r="D3915" s="0" t="n">
        <f aca="false">A3915/SUM($A3915:$C3915)</f>
        <v>0.277899666632686</v>
      </c>
      <c r="E3915" s="0" t="n">
        <f aca="false">B3915/SUM($A3915:$C3915)</f>
        <v>0.306125849967994</v>
      </c>
      <c r="F3915" s="0" t="n">
        <f aca="false">C3915/SUM($A3915:$C3915)</f>
        <v>0.415974483399319</v>
      </c>
      <c r="G3915" s="0" t="n">
        <f aca="false">SUMPRODUCT(D3915:F3915,Stats!$B$6:$D$6)</f>
        <v>0.362627453265013</v>
      </c>
      <c r="H3915" s="0" t="n">
        <f aca="false">SQRT(SUMPRODUCT(MMULT(D3915:F3915,Stats!$B$12:$D$14),D3915:F3915))</f>
        <v>0.228216562141601</v>
      </c>
      <c r="I3915" s="0" t="n">
        <f aca="false">(G3915-Stats!$B$2)/H3915</f>
        <v>1.40492631321855</v>
      </c>
    </row>
    <row r="3916" customFormat="false" ht="15" hidden="false" customHeight="false" outlineLevel="0" collapsed="false">
      <c r="A3916" s="0" t="n">
        <v>0.307462173033526</v>
      </c>
      <c r="B3916" s="0" t="n">
        <v>0.984937868970863</v>
      </c>
      <c r="C3916" s="0" t="n">
        <v>0.81405192642143</v>
      </c>
      <c r="D3916" s="0" t="n">
        <f aca="false">A3916/SUM($A3916:$C3916)</f>
        <v>0.145962109576748</v>
      </c>
      <c r="E3916" s="0" t="n">
        <f aca="false">B3916/SUM($A3916:$C3916)</f>
        <v>0.467581451528145</v>
      </c>
      <c r="F3916" s="0" t="n">
        <f aca="false">C3916/SUM($A3916:$C3916)</f>
        <v>0.386456438895107</v>
      </c>
      <c r="G3916" s="0" t="n">
        <f aca="false">SUMPRODUCT(D3916:F3916,Stats!$B$6:$D$6)</f>
        <v>0.372731348334855</v>
      </c>
      <c r="H3916" s="0" t="n">
        <f aca="false">SQRT(SUMPRODUCT(MMULT(D3916:F3916,Stats!$B$12:$D$14),D3916:F3916))</f>
        <v>0.234437597659889</v>
      </c>
      <c r="I3916" s="0" t="n">
        <f aca="false">(G3916-Stats!$B$2)/H3916</f>
        <v>1.41074363342805</v>
      </c>
    </row>
    <row r="3917" customFormat="false" ht="15" hidden="false" customHeight="false" outlineLevel="0" collapsed="false">
      <c r="A3917" s="0" t="n">
        <v>0.16465468825603</v>
      </c>
      <c r="B3917" s="0" t="n">
        <v>0.00559415588186951</v>
      </c>
      <c r="C3917" s="0" t="n">
        <v>0.0427832682472679</v>
      </c>
      <c r="D3917" s="0" t="n">
        <f aca="false">A3917/SUM($A3917:$C3917)</f>
        <v>0.772910179655592</v>
      </c>
      <c r="E3917" s="0" t="n">
        <f aca="false">B3917/SUM($A3917:$C3917)</f>
        <v>0.0262596836656961</v>
      </c>
      <c r="F3917" s="0" t="n">
        <f aca="false">C3917/SUM($A3917:$C3917)</f>
        <v>0.200830136678712</v>
      </c>
      <c r="G3917" s="0" t="n">
        <f aca="false">SUMPRODUCT(D3917:F3917,Stats!$B$6:$D$6)</f>
        <v>0.352456838891624</v>
      </c>
      <c r="H3917" s="0" t="n">
        <f aca="false">SQRT(SUMPRODUCT(MMULT(D3917:F3917,Stats!$B$12:$D$14),D3917:F3917))</f>
        <v>0.223216475957236</v>
      </c>
      <c r="I3917" s="0" t="n">
        <f aca="false">(G3917-Stats!$B$2)/H3917</f>
        <v>1.39083299098003</v>
      </c>
    </row>
    <row r="3918" customFormat="false" ht="15" hidden="false" customHeight="false" outlineLevel="0" collapsed="false">
      <c r="A3918" s="0" t="n">
        <v>0.244063451042925</v>
      </c>
      <c r="B3918" s="0" t="n">
        <v>0.114291285836857</v>
      </c>
      <c r="C3918" s="0" t="n">
        <v>0.533338114892572</v>
      </c>
      <c r="D3918" s="0" t="n">
        <f aca="false">A3918/SUM($A3918:$C3918)</f>
        <v>0.273707982022978</v>
      </c>
      <c r="E3918" s="0" t="n">
        <f aca="false">B3918/SUM($A3918:$C3918)</f>
        <v>0.128173378994446</v>
      </c>
      <c r="F3918" s="0" t="n">
        <f aca="false">C3918/SUM($A3918:$C3918)</f>
        <v>0.598118638982576</v>
      </c>
      <c r="G3918" s="0" t="n">
        <f aca="false">SUMPRODUCT(D3918:F3918,Stats!$B$6:$D$6)</f>
        <v>0.347365743370688</v>
      </c>
      <c r="H3918" s="0" t="n">
        <f aca="false">SQRT(SUMPRODUCT(MMULT(D3918:F3918,Stats!$B$12:$D$14),D3918:F3918))</f>
        <v>0.230835444049796</v>
      </c>
      <c r="I3918" s="0" t="n">
        <f aca="false">(G3918-Stats!$B$2)/H3918</f>
        <v>1.32287199059783</v>
      </c>
    </row>
    <row r="3919" customFormat="false" ht="15" hidden="false" customHeight="false" outlineLevel="0" collapsed="false">
      <c r="A3919" s="0" t="n">
        <v>0.857995222727359</v>
      </c>
      <c r="B3919" s="0" t="n">
        <v>0.736750220913227</v>
      </c>
      <c r="C3919" s="0" t="n">
        <v>0.21560906308219</v>
      </c>
      <c r="D3919" s="0" t="n">
        <f aca="false">A3919/SUM($A3919:$C3919)</f>
        <v>0.47393768432712</v>
      </c>
      <c r="E3919" s="0" t="n">
        <f aca="false">B3919/SUM($A3919:$C3919)</f>
        <v>0.40696461282986</v>
      </c>
      <c r="F3919" s="0" t="n">
        <f aca="false">C3919/SUM($A3919:$C3919)</f>
        <v>0.11909770284302</v>
      </c>
      <c r="G3919" s="0" t="n">
        <f aca="false">SUMPRODUCT(D3919:F3919,Stats!$B$6:$D$6)</f>
        <v>0.376615848206054</v>
      </c>
      <c r="H3919" s="0" t="n">
        <f aca="false">SQRT(SUMPRODUCT(MMULT(D3919:F3919,Stats!$B$12:$D$14),D3919:F3919))</f>
        <v>0.22601210809713</v>
      </c>
      <c r="I3919" s="0" t="n">
        <f aca="false">(G3919-Stats!$B$2)/H3919</f>
        <v>1.48052177833876</v>
      </c>
    </row>
    <row r="3920" customFormat="false" ht="15" hidden="false" customHeight="false" outlineLevel="0" collapsed="false">
      <c r="A3920" s="0" t="n">
        <v>0.399299256025786</v>
      </c>
      <c r="B3920" s="0" t="n">
        <v>0.507894209531278</v>
      </c>
      <c r="C3920" s="0" t="n">
        <v>0.810205849503336</v>
      </c>
      <c r="D3920" s="0" t="n">
        <f aca="false">A3920/SUM($A3920:$C3920)</f>
        <v>0.232502279769305</v>
      </c>
      <c r="E3920" s="0" t="n">
        <f aca="false">B3920/SUM($A3920:$C3920)</f>
        <v>0.29573448939766</v>
      </c>
      <c r="F3920" s="0" t="n">
        <f aca="false">C3920/SUM($A3920:$C3920)</f>
        <v>0.471763230833035</v>
      </c>
      <c r="G3920" s="0" t="n">
        <f aca="false">SUMPRODUCT(D3920:F3920,Stats!$B$6:$D$6)</f>
        <v>0.360491194574066</v>
      </c>
      <c r="H3920" s="0" t="n">
        <f aca="false">SQRT(SUMPRODUCT(MMULT(D3920:F3920,Stats!$B$12:$D$14),D3920:F3920))</f>
        <v>0.230381455943143</v>
      </c>
      <c r="I3920" s="0" t="n">
        <f aca="false">(G3920-Stats!$B$2)/H3920</f>
        <v>1.38245152271574</v>
      </c>
    </row>
    <row r="3921" customFormat="false" ht="15" hidden="false" customHeight="false" outlineLevel="0" collapsed="false">
      <c r="A3921" s="0" t="n">
        <v>0.839121603106165</v>
      </c>
      <c r="B3921" s="0" t="n">
        <v>0.909718311907776</v>
      </c>
      <c r="C3921" s="0" t="n">
        <v>0.509245250502875</v>
      </c>
      <c r="D3921" s="0" t="n">
        <f aca="false">A3921/SUM($A3921:$C3921)</f>
        <v>0.371607597410575</v>
      </c>
      <c r="E3921" s="0" t="n">
        <f aca="false">B3921/SUM($A3921:$C3921)</f>
        <v>0.402871568265037</v>
      </c>
      <c r="F3921" s="0" t="n">
        <f aca="false">C3921/SUM($A3921:$C3921)</f>
        <v>0.225520834324388</v>
      </c>
      <c r="G3921" s="0" t="n">
        <f aca="false">SUMPRODUCT(D3921:F3921,Stats!$B$6:$D$6)</f>
        <v>0.373445762801208</v>
      </c>
      <c r="H3921" s="0" t="n">
        <f aca="false">SQRT(SUMPRODUCT(MMULT(D3921:F3921,Stats!$B$12:$D$14),D3921:F3921))</f>
        <v>0.226346012685021</v>
      </c>
      <c r="I3921" s="0" t="n">
        <f aca="false">(G3921-Stats!$B$2)/H3921</f>
        <v>1.46433223571931</v>
      </c>
    </row>
    <row r="3922" customFormat="false" ht="15" hidden="false" customHeight="false" outlineLevel="0" collapsed="false">
      <c r="A3922" s="0" t="n">
        <v>0.694274746435863</v>
      </c>
      <c r="B3922" s="0" t="n">
        <v>0.111800371233937</v>
      </c>
      <c r="C3922" s="0" t="n">
        <v>0.565288959953982</v>
      </c>
      <c r="D3922" s="0" t="n">
        <f aca="false">A3922/SUM($A3922:$C3922)</f>
        <v>0.506265810636414</v>
      </c>
      <c r="E3922" s="0" t="n">
        <f aca="false">B3922/SUM($A3922:$C3922)</f>
        <v>0.0815249378762044</v>
      </c>
      <c r="F3922" s="0" t="n">
        <f aca="false">C3922/SUM($A3922:$C3922)</f>
        <v>0.412209251487381</v>
      </c>
      <c r="G3922" s="0" t="n">
        <f aca="false">SUMPRODUCT(D3922:F3922,Stats!$B$6:$D$6)</f>
        <v>0.349808032300311</v>
      </c>
      <c r="H3922" s="0" t="n">
        <f aca="false">SQRT(SUMPRODUCT(MMULT(D3922:F3922,Stats!$B$12:$D$14),D3922:F3922))</f>
        <v>0.222311109946065</v>
      </c>
      <c r="I3922" s="0" t="n">
        <f aca="false">(G3922-Stats!$B$2)/H3922</f>
        <v>1.38458231968249</v>
      </c>
    </row>
    <row r="3923" customFormat="false" ht="15" hidden="false" customHeight="false" outlineLevel="0" collapsed="false">
      <c r="A3923" s="0" t="n">
        <v>0.248691809471135</v>
      </c>
      <c r="B3923" s="0" t="n">
        <v>0.431716885026611</v>
      </c>
      <c r="C3923" s="0" t="n">
        <v>0.634050508306719</v>
      </c>
      <c r="D3923" s="0" t="n">
        <f aca="false">A3923/SUM($A3923:$C3923)</f>
        <v>0.189197054530516</v>
      </c>
      <c r="E3923" s="0" t="n">
        <f aca="false">B3923/SUM($A3923:$C3923)</f>
        <v>0.328436884237655</v>
      </c>
      <c r="F3923" s="0" t="n">
        <f aca="false">C3923/SUM($A3923:$C3923)</f>
        <v>0.482366061231829</v>
      </c>
      <c r="G3923" s="0" t="n">
        <f aca="false">SUMPRODUCT(D3923:F3923,Stats!$B$6:$D$6)</f>
        <v>0.362080479077094</v>
      </c>
      <c r="H3923" s="0" t="n">
        <f aca="false">SQRT(SUMPRODUCT(MMULT(D3923:F3923,Stats!$B$12:$D$14),D3923:F3923))</f>
        <v>0.232426436235672</v>
      </c>
      <c r="I3923" s="0" t="n">
        <f aca="false">(G3923-Stats!$B$2)/H3923</f>
        <v>1.37712595977053</v>
      </c>
    </row>
    <row r="3924" customFormat="false" ht="15" hidden="false" customHeight="false" outlineLevel="0" collapsed="false">
      <c r="A3924" s="0" t="n">
        <v>0.256985937853781</v>
      </c>
      <c r="B3924" s="0" t="n">
        <v>0.0521850577967611</v>
      </c>
      <c r="C3924" s="0" t="n">
        <v>0.0102338564087575</v>
      </c>
      <c r="D3924" s="0" t="n">
        <f aca="false">A3924/SUM($A3924:$C3924)</f>
        <v>0.804577438936557</v>
      </c>
      <c r="E3924" s="0" t="n">
        <f aca="false">B3924/SUM($A3924:$C3924)</f>
        <v>0.163382169870959</v>
      </c>
      <c r="F3924" s="0" t="n">
        <f aca="false">C3924/SUM($A3924:$C3924)</f>
        <v>0.0320403911924842</v>
      </c>
      <c r="G3924" s="0" t="n">
        <f aca="false">SUMPRODUCT(D3924:F3924,Stats!$B$6:$D$6)</f>
        <v>0.365001001585547</v>
      </c>
      <c r="H3924" s="0" t="n">
        <f aca="false">SQRT(SUMPRODUCT(MMULT(D3924:F3924,Stats!$B$12:$D$14),D3924:F3924))</f>
        <v>0.227342234303832</v>
      </c>
      <c r="I3924" s="0" t="n">
        <f aca="false">(G3924-Stats!$B$2)/H3924</f>
        <v>1.4207698915894</v>
      </c>
    </row>
    <row r="3925" customFormat="false" ht="15" hidden="false" customHeight="false" outlineLevel="0" collapsed="false">
      <c r="A3925" s="0" t="n">
        <v>0.0221595355445216</v>
      </c>
      <c r="B3925" s="0" t="n">
        <v>0.00834973751376966</v>
      </c>
      <c r="C3925" s="0" t="n">
        <v>0.110355056557876</v>
      </c>
      <c r="D3925" s="0" t="n">
        <f aca="false">A3925/SUM($A3925:$C3925)</f>
        <v>0.157311191590538</v>
      </c>
      <c r="E3925" s="0" t="n">
        <f aca="false">B3925/SUM($A3925:$C3925)</f>
        <v>0.0592750310637291</v>
      </c>
      <c r="F3925" s="0" t="n">
        <f aca="false">C3925/SUM($A3925:$C3925)</f>
        <v>0.783413777345733</v>
      </c>
      <c r="G3925" s="0" t="n">
        <f aca="false">SUMPRODUCT(D3925:F3925,Stats!$B$6:$D$6)</f>
        <v>0.338291979432035</v>
      </c>
      <c r="H3925" s="0" t="n">
        <f aca="false">SQRT(SUMPRODUCT(MMULT(D3925:F3925,Stats!$B$12:$D$14),D3925:F3925))</f>
        <v>0.241508626358014</v>
      </c>
      <c r="I3925" s="0" t="n">
        <f aca="false">(G3925-Stats!$B$2)/H3925</f>
        <v>1.22683807986556</v>
      </c>
    </row>
    <row r="3926" customFormat="false" ht="15" hidden="false" customHeight="false" outlineLevel="0" collapsed="false">
      <c r="A3926" s="0" t="n">
        <v>0.23948871457013</v>
      </c>
      <c r="B3926" s="0" t="n">
        <v>0.221221514182299</v>
      </c>
      <c r="C3926" s="0" t="n">
        <v>0.986796594179897</v>
      </c>
      <c r="D3926" s="0" t="n">
        <f aca="false">A3926/SUM($A3926:$C3926)</f>
        <v>0.165449109307118</v>
      </c>
      <c r="E3926" s="0" t="n">
        <f aca="false">B3926/SUM($A3926:$C3926)</f>
        <v>0.152829341235265</v>
      </c>
      <c r="F3926" s="0" t="n">
        <f aca="false">C3926/SUM($A3926:$C3926)</f>
        <v>0.681721549457616</v>
      </c>
      <c r="G3926" s="0" t="n">
        <f aca="false">SUMPRODUCT(D3926:F3926,Stats!$B$6:$D$6)</f>
        <v>0.346479097425458</v>
      </c>
      <c r="H3926" s="0" t="n">
        <f aca="false">SQRT(SUMPRODUCT(MMULT(D3926:F3926,Stats!$B$12:$D$14),D3926:F3926))</f>
        <v>0.237448571514327</v>
      </c>
      <c r="I3926" s="0" t="n">
        <f aca="false">(G3926-Stats!$B$2)/H3926</f>
        <v>1.2822949217325</v>
      </c>
    </row>
    <row r="3927" customFormat="false" ht="15" hidden="false" customHeight="false" outlineLevel="0" collapsed="false">
      <c r="A3927" s="0" t="n">
        <v>0.306006105208943</v>
      </c>
      <c r="B3927" s="0" t="n">
        <v>0.127420783359399</v>
      </c>
      <c r="C3927" s="0" t="n">
        <v>0.545562544167758</v>
      </c>
      <c r="D3927" s="0" t="n">
        <f aca="false">A3927/SUM($A3927:$C3927)</f>
        <v>0.312573450720209</v>
      </c>
      <c r="E3927" s="0" t="n">
        <f aca="false">B3927/SUM($A3927:$C3927)</f>
        <v>0.130155422621142</v>
      </c>
      <c r="F3927" s="0" t="n">
        <f aca="false">C3927/SUM($A3927:$C3927)</f>
        <v>0.557271126658649</v>
      </c>
      <c r="G3927" s="0" t="n">
        <f aca="false">SUMPRODUCT(D3927:F3927,Stats!$B$6:$D$6)</f>
        <v>0.348606142037212</v>
      </c>
      <c r="H3927" s="0" t="n">
        <f aca="false">SQRT(SUMPRODUCT(MMULT(D3927:F3927,Stats!$B$12:$D$14),D3927:F3927))</f>
        <v>0.228628192254945</v>
      </c>
      <c r="I3927" s="0" t="n">
        <f aca="false">(G3927-Stats!$B$2)/H3927</f>
        <v>1.34106882888403</v>
      </c>
    </row>
    <row r="3928" customFormat="false" ht="15" hidden="false" customHeight="false" outlineLevel="0" collapsed="false">
      <c r="A3928" s="0" t="n">
        <v>0.857957455397508</v>
      </c>
      <c r="B3928" s="0" t="n">
        <v>0.678060376787675</v>
      </c>
      <c r="C3928" s="0" t="n">
        <v>0.29608208913545</v>
      </c>
      <c r="D3928" s="0" t="n">
        <f aca="false">A3928/SUM($A3928:$C3928)</f>
        <v>0.468291846647243</v>
      </c>
      <c r="E3928" s="0" t="n">
        <f aca="false">B3928/SUM($A3928:$C3928)</f>
        <v>0.370100106930253</v>
      </c>
      <c r="F3928" s="0" t="n">
        <f aca="false">C3928/SUM($A3928:$C3928)</f>
        <v>0.161608046422504</v>
      </c>
      <c r="G3928" s="0" t="n">
        <f aca="false">SUMPRODUCT(D3928:F3928,Stats!$B$6:$D$6)</f>
        <v>0.373322505875521</v>
      </c>
      <c r="H3928" s="0" t="n">
        <f aca="false">SQRT(SUMPRODUCT(MMULT(D3928:F3928,Stats!$B$12:$D$14),D3928:F3928))</f>
        <v>0.225012402439342</v>
      </c>
      <c r="I3928" s="0" t="n">
        <f aca="false">(G3928-Stats!$B$2)/H3928</f>
        <v>1.47246330550529</v>
      </c>
    </row>
    <row r="3929" customFormat="false" ht="15" hidden="false" customHeight="false" outlineLevel="0" collapsed="false">
      <c r="A3929" s="0" t="n">
        <v>0.561616159791455</v>
      </c>
      <c r="B3929" s="0" t="n">
        <v>0.714855974200409</v>
      </c>
      <c r="C3929" s="0" t="n">
        <v>0.728104492367742</v>
      </c>
      <c r="D3929" s="0" t="n">
        <f aca="false">A3929/SUM($A3929:$C3929)</f>
        <v>0.280166970125444</v>
      </c>
      <c r="E3929" s="0" t="n">
        <f aca="false">B3929/SUM($A3929:$C3929)</f>
        <v>0.356611947281166</v>
      </c>
      <c r="F3929" s="0" t="n">
        <f aca="false">C3929/SUM($A3929:$C3929)</f>
        <v>0.36322108259339</v>
      </c>
      <c r="G3929" s="0" t="n">
        <f aca="false">SUMPRODUCT(D3929:F3929,Stats!$B$6:$D$6)</f>
        <v>0.366987012698734</v>
      </c>
      <c r="H3929" s="0" t="n">
        <f aca="false">SQRT(SUMPRODUCT(MMULT(D3929:F3929,Stats!$B$12:$D$14),D3929:F3929))</f>
        <v>0.228159922612919</v>
      </c>
      <c r="I3929" s="0" t="n">
        <f aca="false">(G3929-Stats!$B$2)/H3929</f>
        <v>1.42438255140052</v>
      </c>
    </row>
    <row r="3930" customFormat="false" ht="15" hidden="false" customHeight="false" outlineLevel="0" collapsed="false">
      <c r="A3930" s="0" t="n">
        <v>0.666538455297689</v>
      </c>
      <c r="B3930" s="0" t="n">
        <v>0.870810424775618</v>
      </c>
      <c r="C3930" s="0" t="n">
        <v>0.870105458344104</v>
      </c>
      <c r="D3930" s="0" t="n">
        <f aca="false">A3930/SUM($A3930:$C3930)</f>
        <v>0.276864422581677</v>
      </c>
      <c r="E3930" s="0" t="n">
        <f aca="false">B3930/SUM($A3930:$C3930)</f>
        <v>0.361714201959927</v>
      </c>
      <c r="F3930" s="0" t="n">
        <f aca="false">C3930/SUM($A3930:$C3930)</f>
        <v>0.361421375458396</v>
      </c>
      <c r="G3930" s="0" t="n">
        <f aca="false">SUMPRODUCT(D3930:F3930,Stats!$B$6:$D$6)</f>
        <v>0.367330216061275</v>
      </c>
      <c r="H3930" s="0" t="n">
        <f aca="false">SQRT(SUMPRODUCT(MMULT(D3930:F3930,Stats!$B$12:$D$14),D3930:F3930))</f>
        <v>0.228300791225425</v>
      </c>
      <c r="I3930" s="0" t="n">
        <f aca="false">(G3930-Stats!$B$2)/H3930</f>
        <v>1.42500695821086</v>
      </c>
    </row>
    <row r="3931" customFormat="false" ht="15" hidden="false" customHeight="false" outlineLevel="0" collapsed="false">
      <c r="A3931" s="0" t="n">
        <v>0.578936559407003</v>
      </c>
      <c r="B3931" s="0" t="n">
        <v>0.429856369111212</v>
      </c>
      <c r="C3931" s="0" t="n">
        <v>0.6415702955651</v>
      </c>
      <c r="D3931" s="0" t="n">
        <f aca="false">A3931/SUM($A3931:$C3931)</f>
        <v>0.350793419871901</v>
      </c>
      <c r="E3931" s="0" t="n">
        <f aca="false">B3931/SUM($A3931:$C3931)</f>
        <v>0.260461674641334</v>
      </c>
      <c r="F3931" s="0" t="n">
        <f aca="false">C3931/SUM($A3931:$C3931)</f>
        <v>0.388744905486764</v>
      </c>
      <c r="G3931" s="0" t="n">
        <f aca="false">SUMPRODUCT(D3931:F3931,Stats!$B$6:$D$6)</f>
        <v>0.360750840856595</v>
      </c>
      <c r="H3931" s="0" t="n">
        <f aca="false">SQRT(SUMPRODUCT(MMULT(D3931:F3931,Stats!$B$12:$D$14),D3931:F3931))</f>
        <v>0.225589982813195</v>
      </c>
      <c r="I3931" s="0" t="n">
        <f aca="false">(G3931-Stats!$B$2)/H3931</f>
        <v>1.41296540246002</v>
      </c>
    </row>
    <row r="3932" customFormat="false" ht="15" hidden="false" customHeight="false" outlineLevel="0" collapsed="false">
      <c r="A3932" s="0" t="n">
        <v>0.818212001370463</v>
      </c>
      <c r="B3932" s="0" t="n">
        <v>0.00565210484118472</v>
      </c>
      <c r="C3932" s="0" t="n">
        <v>0.991997009014851</v>
      </c>
      <c r="D3932" s="0" t="n">
        <f aca="false">A3932/SUM($A3932:$C3932)</f>
        <v>0.450591730011469</v>
      </c>
      <c r="E3932" s="0" t="n">
        <f aca="false">B3932/SUM($A3932:$C3932)</f>
        <v>0.00311263058269724</v>
      </c>
      <c r="F3932" s="0" t="n">
        <f aca="false">C3932/SUM($A3932:$C3932)</f>
        <v>0.546295639405834</v>
      </c>
      <c r="G3932" s="0" t="n">
        <f aca="false">SUMPRODUCT(D3932:F3932,Stats!$B$6:$D$6)</f>
        <v>0.341598909051191</v>
      </c>
      <c r="H3932" s="0" t="n">
        <f aca="false">SQRT(SUMPRODUCT(MMULT(D3932:F3932,Stats!$B$12:$D$14),D3932:F3932))</f>
        <v>0.225155530943934</v>
      </c>
      <c r="I3932" s="0" t="n">
        <f aca="false">(G3932-Stats!$B$2)/H3932</f>
        <v>1.33063091008763</v>
      </c>
    </row>
    <row r="3933" customFormat="false" ht="15" hidden="false" customHeight="false" outlineLevel="0" collapsed="false">
      <c r="A3933" s="0" t="n">
        <v>0.182893772329199</v>
      </c>
      <c r="B3933" s="0" t="n">
        <v>0.470248985659976</v>
      </c>
      <c r="C3933" s="0" t="n">
        <v>0.872029734842867</v>
      </c>
      <c r="D3933" s="0" t="n">
        <f aca="false">A3933/SUM($A3933:$C3933)</f>
        <v>0.119916778717658</v>
      </c>
      <c r="E3933" s="0" t="n">
        <f aca="false">B3933/SUM($A3933:$C3933)</f>
        <v>0.308325115926256</v>
      </c>
      <c r="F3933" s="0" t="n">
        <f aca="false">C3933/SUM($A3933:$C3933)</f>
        <v>0.571758105356086</v>
      </c>
      <c r="G3933" s="0" t="n">
        <f aca="false">SUMPRODUCT(D3933:F3933,Stats!$B$6:$D$6)</f>
        <v>0.35845832272387</v>
      </c>
      <c r="H3933" s="0" t="n">
        <f aca="false">SQRT(SUMPRODUCT(MMULT(D3933:F3933,Stats!$B$12:$D$14),D3933:F3933))</f>
        <v>0.237022715148949</v>
      </c>
      <c r="I3933" s="0" t="n">
        <f aca="false">(G3933-Stats!$B$2)/H3933</f>
        <v>1.33513921872426</v>
      </c>
    </row>
    <row r="3934" customFormat="false" ht="15" hidden="false" customHeight="false" outlineLevel="0" collapsed="false">
      <c r="A3934" s="0" t="n">
        <v>0.225040399044199</v>
      </c>
      <c r="B3934" s="0" t="n">
        <v>0.476795223900383</v>
      </c>
      <c r="C3934" s="0" t="n">
        <v>0.132582180181179</v>
      </c>
      <c r="D3934" s="0" t="n">
        <f aca="false">A3934/SUM($A3934:$C3934)</f>
        <v>0.269697504297235</v>
      </c>
      <c r="E3934" s="0" t="n">
        <f aca="false">B3934/SUM($A3934:$C3934)</f>
        <v>0.57141065556642</v>
      </c>
      <c r="F3934" s="0" t="n">
        <f aca="false">C3934/SUM($A3934:$C3934)</f>
        <v>0.158891840136346</v>
      </c>
      <c r="G3934" s="0" t="n">
        <f aca="false">SUMPRODUCT(D3934:F3934,Stats!$B$6:$D$6)</f>
        <v>0.384980552636534</v>
      </c>
      <c r="H3934" s="0" t="n">
        <f aca="false">SQRT(SUMPRODUCT(MMULT(D3934:F3934,Stats!$B$12:$D$14),D3934:F3934))</f>
        <v>0.23193714973648</v>
      </c>
      <c r="I3934" s="0" t="n">
        <f aca="false">(G3934-Stats!$B$2)/H3934</f>
        <v>1.47876505780216</v>
      </c>
    </row>
    <row r="3935" customFormat="false" ht="15" hidden="false" customHeight="false" outlineLevel="0" collapsed="false">
      <c r="A3935" s="0" t="n">
        <v>0.395076325388193</v>
      </c>
      <c r="B3935" s="0" t="n">
        <v>0.177135454793003</v>
      </c>
      <c r="C3935" s="0" t="n">
        <v>0.363627748771157</v>
      </c>
      <c r="D3935" s="0" t="n">
        <f aca="false">A3935/SUM($A3935:$C3935)</f>
        <v>0.422162468206991</v>
      </c>
      <c r="E3935" s="0" t="n">
        <f aca="false">B3935/SUM($A3935:$C3935)</f>
        <v>0.189279731527585</v>
      </c>
      <c r="F3935" s="0" t="n">
        <f aca="false">C3935/SUM($A3935:$C3935)</f>
        <v>0.388557800265425</v>
      </c>
      <c r="G3935" s="0" t="n">
        <f aca="false">SUMPRODUCT(D3935:F3935,Stats!$B$6:$D$6)</f>
        <v>0.35666028333333</v>
      </c>
      <c r="H3935" s="0" t="n">
        <f aca="false">SQRT(SUMPRODUCT(MMULT(D3935:F3935,Stats!$B$12:$D$14),D3935:F3935))</f>
        <v>0.22364981162179</v>
      </c>
      <c r="I3935" s="0" t="n">
        <f aca="false">(G3935-Stats!$B$2)/H3935</f>
        <v>1.40693292362547</v>
      </c>
    </row>
    <row r="3936" customFormat="false" ht="15" hidden="false" customHeight="false" outlineLevel="0" collapsed="false">
      <c r="A3936" s="0" t="n">
        <v>0.373464216792722</v>
      </c>
      <c r="B3936" s="0" t="n">
        <v>0.993170789598333</v>
      </c>
      <c r="C3936" s="0" t="n">
        <v>0.994813029303772</v>
      </c>
      <c r="D3936" s="0" t="n">
        <f aca="false">A3936/SUM($A3936:$C3936)</f>
        <v>0.158150512375274</v>
      </c>
      <c r="E3936" s="0" t="n">
        <f aca="false">B3936/SUM($A3936:$C3936)</f>
        <v>0.420577025022744</v>
      </c>
      <c r="F3936" s="0" t="n">
        <f aca="false">C3936/SUM($A3936:$C3936)</f>
        <v>0.421272462601982</v>
      </c>
      <c r="G3936" s="0" t="n">
        <f aca="false">SUMPRODUCT(D3936:F3936,Stats!$B$6:$D$6)</f>
        <v>0.369066736007602</v>
      </c>
      <c r="H3936" s="0" t="n">
        <f aca="false">SQRT(SUMPRODUCT(MMULT(D3936:F3936,Stats!$B$12:$D$14),D3936:F3936))</f>
        <v>0.233716907494875</v>
      </c>
      <c r="I3936" s="0" t="n">
        <f aca="false">(G3936-Stats!$B$2)/H3936</f>
        <v>1.39941410107343</v>
      </c>
    </row>
    <row r="3937" customFormat="false" ht="15" hidden="false" customHeight="false" outlineLevel="0" collapsed="false">
      <c r="A3937" s="0" t="n">
        <v>0.114786278660612</v>
      </c>
      <c r="B3937" s="0" t="n">
        <v>0.725968779328347</v>
      </c>
      <c r="C3937" s="0" t="n">
        <v>0.0517454796691012</v>
      </c>
      <c r="D3937" s="0" t="n">
        <f aca="false">A3937/SUM($A3937:$C3937)</f>
        <v>0.128611999452475</v>
      </c>
      <c r="E3937" s="0" t="n">
        <f aca="false">B3937/SUM($A3937:$C3937)</f>
        <v>0.813409906993786</v>
      </c>
      <c r="F3937" s="0" t="n">
        <f aca="false">C3937/SUM($A3937:$C3937)</f>
        <v>0.0579780935537387</v>
      </c>
      <c r="G3937" s="0" t="n">
        <f aca="false">SUMPRODUCT(D3937:F3937,Stats!$B$6:$D$6)</f>
        <v>0.40168753409871</v>
      </c>
      <c r="H3937" s="0" t="n">
        <f aca="false">SQRT(SUMPRODUCT(MMULT(D3937:F3937,Stats!$B$12:$D$14),D3937:F3937))</f>
        <v>0.243162001496841</v>
      </c>
      <c r="I3937" s="0" t="n">
        <f aca="false">(G3937-Stats!$B$2)/H3937</f>
        <v>1.47920946482003</v>
      </c>
    </row>
    <row r="3938" customFormat="false" ht="15" hidden="false" customHeight="false" outlineLevel="0" collapsed="false">
      <c r="A3938" s="0" t="n">
        <v>0.0301920153371886</v>
      </c>
      <c r="B3938" s="0" t="n">
        <v>0.105333894244964</v>
      </c>
      <c r="C3938" s="0" t="n">
        <v>0.965485657007934</v>
      </c>
      <c r="D3938" s="0" t="n">
        <f aca="false">A3938/SUM($A3938:$C3938)</f>
        <v>0.0274220691710765</v>
      </c>
      <c r="E3938" s="0" t="n">
        <f aca="false">B3938/SUM($A3938:$C3938)</f>
        <v>0.0956701068738006</v>
      </c>
      <c r="F3938" s="0" t="n">
        <f aca="false">C3938/SUM($A3938:$C3938)</f>
        <v>0.876907823955123</v>
      </c>
      <c r="G3938" s="0" t="n">
        <f aca="false">SUMPRODUCT(D3938:F3938,Stats!$B$6:$D$6)</f>
        <v>0.337808042613368</v>
      </c>
      <c r="H3938" s="0" t="n">
        <f aca="false">SQRT(SUMPRODUCT(MMULT(D3938:F3938,Stats!$B$12:$D$14),D3938:F3938))</f>
        <v>0.251877524690167</v>
      </c>
      <c r="I3938" s="0" t="n">
        <f aca="false">(G3938-Stats!$B$2)/H3938</f>
        <v>1.17441221870526</v>
      </c>
    </row>
    <row r="3939" customFormat="false" ht="15" hidden="false" customHeight="false" outlineLevel="0" collapsed="false">
      <c r="A3939" s="0" t="n">
        <v>0.940863547894697</v>
      </c>
      <c r="B3939" s="0" t="n">
        <v>0.193927820280681</v>
      </c>
      <c r="C3939" s="0" t="n">
        <v>0.161672335553712</v>
      </c>
      <c r="D3939" s="0" t="n">
        <f aca="false">A3939/SUM($A3939:$C3939)</f>
        <v>0.725715301699878</v>
      </c>
      <c r="E3939" s="0" t="n">
        <f aca="false">B3939/SUM($A3939:$C3939)</f>
        <v>0.149582143891013</v>
      </c>
      <c r="F3939" s="0" t="n">
        <f aca="false">C3939/SUM($A3939:$C3939)</f>
        <v>0.124702554409109</v>
      </c>
      <c r="G3939" s="0" t="n">
        <f aca="false">SUMPRODUCT(D3939:F3939,Stats!$B$6:$D$6)</f>
        <v>0.361651842440728</v>
      </c>
      <c r="H3939" s="0" t="n">
        <f aca="false">SQRT(SUMPRODUCT(MMULT(D3939:F3939,Stats!$B$12:$D$14),D3939:F3939))</f>
        <v>0.223947056506092</v>
      </c>
      <c r="I3939" s="0" t="n">
        <f aca="false">(G3939-Stats!$B$2)/H3939</f>
        <v>1.42735451596361</v>
      </c>
    </row>
    <row r="3940" customFormat="false" ht="15" hidden="false" customHeight="false" outlineLevel="0" collapsed="false">
      <c r="A3940" s="0" t="n">
        <v>0.240535086515947</v>
      </c>
      <c r="B3940" s="0" t="n">
        <v>0.515546994075142</v>
      </c>
      <c r="C3940" s="0" t="n">
        <v>0.56970463203541</v>
      </c>
      <c r="D3940" s="0" t="n">
        <f aca="false">A3940/SUM($A3940:$C3940)</f>
        <v>0.181428192201011</v>
      </c>
      <c r="E3940" s="0" t="n">
        <f aca="false">B3940/SUM($A3940:$C3940)</f>
        <v>0.388861186467768</v>
      </c>
      <c r="F3940" s="0" t="n">
        <f aca="false">C3940/SUM($A3940:$C3940)</f>
        <v>0.429710621331221</v>
      </c>
      <c r="G3940" s="0" t="n">
        <f aca="false">SUMPRODUCT(D3940:F3940,Stats!$B$6:$D$6)</f>
        <v>0.367009168724683</v>
      </c>
      <c r="H3940" s="0" t="n">
        <f aca="false">SQRT(SUMPRODUCT(MMULT(D3940:F3940,Stats!$B$12:$D$14),D3940:F3940))</f>
        <v>0.23253815779573</v>
      </c>
      <c r="I3940" s="0" t="n">
        <f aca="false">(G3940-Stats!$B$2)/H3940</f>
        <v>1.39765951448787</v>
      </c>
    </row>
    <row r="3941" customFormat="false" ht="15" hidden="false" customHeight="false" outlineLevel="0" collapsed="false">
      <c r="A3941" s="0" t="n">
        <v>0.221593430439447</v>
      </c>
      <c r="B3941" s="0" t="n">
        <v>0.756622788089945</v>
      </c>
      <c r="C3941" s="0" t="n">
        <v>0.309553169402651</v>
      </c>
      <c r="D3941" s="0" t="n">
        <f aca="false">A3941/SUM($A3941:$C3941)</f>
        <v>0.172075398371825</v>
      </c>
      <c r="E3941" s="0" t="n">
        <f aca="false">B3941/SUM($A3941:$C3941)</f>
        <v>0.587545250865889</v>
      </c>
      <c r="F3941" s="0" t="n">
        <f aca="false">C3941/SUM($A3941:$C3941)</f>
        <v>0.240379350762286</v>
      </c>
      <c r="G3941" s="0" t="n">
        <f aca="false">SUMPRODUCT(D3941:F3941,Stats!$B$6:$D$6)</f>
        <v>0.383661929603702</v>
      </c>
      <c r="H3941" s="0" t="n">
        <f aca="false">SQRT(SUMPRODUCT(MMULT(D3941:F3941,Stats!$B$12:$D$14),D3941:F3941))</f>
        <v>0.234844042531415</v>
      </c>
      <c r="I3941" s="0" t="n">
        <f aca="false">(G3941-Stats!$B$2)/H3941</f>
        <v>1.45484605834954</v>
      </c>
    </row>
    <row r="3942" customFormat="false" ht="15" hidden="false" customHeight="false" outlineLevel="0" collapsed="false">
      <c r="A3942" s="0" t="n">
        <v>0.92213132552941</v>
      </c>
      <c r="B3942" s="0" t="n">
        <v>0.656722706456731</v>
      </c>
      <c r="C3942" s="0" t="n">
        <v>0.436351194303612</v>
      </c>
      <c r="D3942" s="0" t="n">
        <f aca="false">A3942/SUM($A3942:$C3942)</f>
        <v>0.45758680728869</v>
      </c>
      <c r="E3942" s="0" t="n">
        <f aca="false">B3942/SUM($A3942:$C3942)</f>
        <v>0.325883784881722</v>
      </c>
      <c r="F3942" s="0" t="n">
        <f aca="false">C3942/SUM($A3942:$C3942)</f>
        <v>0.216529407829588</v>
      </c>
      <c r="G3942" s="0" t="n">
        <f aca="false">SUMPRODUCT(D3942:F3942,Stats!$B$6:$D$6)</f>
        <v>0.36926392051598</v>
      </c>
      <c r="H3942" s="0" t="n">
        <f aca="false">SQRT(SUMPRODUCT(MMULT(D3942:F3942,Stats!$B$12:$D$14),D3942:F3942))</f>
        <v>0.224111700412056</v>
      </c>
      <c r="I3942" s="0" t="n">
        <f aca="false">(G3942-Stats!$B$2)/H3942</f>
        <v>1.46027146246388</v>
      </c>
    </row>
    <row r="3943" customFormat="false" ht="15" hidden="false" customHeight="false" outlineLevel="0" collapsed="false">
      <c r="A3943" s="0" t="n">
        <v>0.789912001702845</v>
      </c>
      <c r="B3943" s="0" t="n">
        <v>0.817914626046665</v>
      </c>
      <c r="C3943" s="0" t="n">
        <v>0.290481605608944</v>
      </c>
      <c r="D3943" s="0" t="n">
        <f aca="false">A3943/SUM($A3943:$C3943)</f>
        <v>0.416113667855376</v>
      </c>
      <c r="E3943" s="0" t="n">
        <f aca="false">B3943/SUM($A3943:$C3943)</f>
        <v>0.430865025854955</v>
      </c>
      <c r="F3943" s="0" t="n">
        <f aca="false">C3943/SUM($A3943:$C3943)</f>
        <v>0.153021306289669</v>
      </c>
      <c r="G3943" s="0" t="n">
        <f aca="false">SUMPRODUCT(D3943:F3943,Stats!$B$6:$D$6)</f>
        <v>0.377055616720482</v>
      </c>
      <c r="H3943" s="0" t="n">
        <f aca="false">SQRT(SUMPRODUCT(MMULT(D3943:F3943,Stats!$B$12:$D$14),D3943:F3943))</f>
        <v>0.226586320563011</v>
      </c>
      <c r="I3943" s="0" t="n">
        <f aca="false">(G3943-Stats!$B$2)/H3943</f>
        <v>1.47871070013384</v>
      </c>
    </row>
    <row r="3944" customFormat="false" ht="15" hidden="false" customHeight="false" outlineLevel="0" collapsed="false">
      <c r="A3944" s="0" t="n">
        <v>0.339714543836084</v>
      </c>
      <c r="B3944" s="0" t="n">
        <v>0.935955153728603</v>
      </c>
      <c r="C3944" s="0" t="n">
        <v>0.164741038363272</v>
      </c>
      <c r="D3944" s="0" t="n">
        <f aca="false">A3944/SUM($A3944:$C3944)</f>
        <v>0.23584560664721</v>
      </c>
      <c r="E3944" s="0" t="n">
        <f aca="false">B3944/SUM($A3944:$C3944)</f>
        <v>0.64978351687002</v>
      </c>
      <c r="F3944" s="0" t="n">
        <f aca="false">C3944/SUM($A3944:$C3944)</f>
        <v>0.11437087648277</v>
      </c>
      <c r="G3944" s="0" t="n">
        <f aca="false">SUMPRODUCT(D3944:F3944,Stats!$B$6:$D$6)</f>
        <v>0.390717674089018</v>
      </c>
      <c r="H3944" s="0" t="n">
        <f aca="false">SQRT(SUMPRODUCT(MMULT(D3944:F3944,Stats!$B$12:$D$14),D3944:F3944))</f>
        <v>0.234964385107144</v>
      </c>
      <c r="I3944" s="0" t="n">
        <f aca="false">(G3944-Stats!$B$2)/H3944</f>
        <v>1.48412992007279</v>
      </c>
    </row>
    <row r="3945" customFormat="false" ht="15" hidden="false" customHeight="false" outlineLevel="0" collapsed="false">
      <c r="A3945" s="0" t="n">
        <v>0.0421504169629342</v>
      </c>
      <c r="B3945" s="0" t="n">
        <v>0.454055322609549</v>
      </c>
      <c r="C3945" s="0" t="n">
        <v>0.801209900243629</v>
      </c>
      <c r="D3945" s="0" t="n">
        <f aca="false">A3945/SUM($A3945:$C3945)</f>
        <v>0.0324879827785245</v>
      </c>
      <c r="E3945" s="0" t="n">
        <f aca="false">B3945/SUM($A3945:$C3945)</f>
        <v>0.349969052842545</v>
      </c>
      <c r="F3945" s="0" t="n">
        <f aca="false">C3945/SUM($A3945:$C3945)</f>
        <v>0.617542964378931</v>
      </c>
      <c r="G3945" s="0" t="n">
        <f aca="false">SUMPRODUCT(D3945:F3945,Stats!$B$6:$D$6)</f>
        <v>0.359591961077568</v>
      </c>
      <c r="H3945" s="0" t="n">
        <f aca="false">SQRT(SUMPRODUCT(MMULT(D3945:F3945,Stats!$B$12:$D$14),D3945:F3945))</f>
        <v>0.242791144747531</v>
      </c>
      <c r="I3945" s="0" t="n">
        <f aca="false">(G3945-Stats!$B$2)/H3945</f>
        <v>1.3080870861572</v>
      </c>
    </row>
    <row r="3946" customFormat="false" ht="15" hidden="false" customHeight="false" outlineLevel="0" collapsed="false">
      <c r="A3946" s="0" t="n">
        <v>0.771668106310746</v>
      </c>
      <c r="B3946" s="0" t="n">
        <v>0.919530628912833</v>
      </c>
      <c r="C3946" s="0" t="n">
        <v>0.53320066436904</v>
      </c>
      <c r="D3946" s="0" t="n">
        <f aca="false">A3946/SUM($A3946:$C3946)</f>
        <v>0.346910769015704</v>
      </c>
      <c r="E3946" s="0" t="n">
        <f aca="false">B3946/SUM($A3946:$C3946)</f>
        <v>0.413383778597152</v>
      </c>
      <c r="F3946" s="0" t="n">
        <f aca="false">C3946/SUM($A3946:$C3946)</f>
        <v>0.239705452387144</v>
      </c>
      <c r="G3946" s="0" t="n">
        <f aca="false">SUMPRODUCT(D3946:F3946,Stats!$B$6:$D$6)</f>
        <v>0.373659486390641</v>
      </c>
      <c r="H3946" s="0" t="n">
        <f aca="false">SQRT(SUMPRODUCT(MMULT(D3946:F3946,Stats!$B$12:$D$14),D3946:F3946))</f>
        <v>0.226935820858751</v>
      </c>
      <c r="I3946" s="0" t="n">
        <f aca="false">(G3946-Stats!$B$2)/H3946</f>
        <v>1.46146820336958</v>
      </c>
    </row>
    <row r="3947" customFormat="false" ht="15" hidden="false" customHeight="false" outlineLevel="0" collapsed="false">
      <c r="A3947" s="0" t="n">
        <v>0.100064671566533</v>
      </c>
      <c r="B3947" s="0" t="n">
        <v>0.588688974336016</v>
      </c>
      <c r="C3947" s="0" t="n">
        <v>0.778395614353212</v>
      </c>
      <c r="D3947" s="0" t="n">
        <f aca="false">A3947/SUM($A3947:$C3947)</f>
        <v>0.0682034706878355</v>
      </c>
      <c r="E3947" s="0" t="n">
        <f aca="false">B3947/SUM($A3947:$C3947)</f>
        <v>0.401246819449981</v>
      </c>
      <c r="F3947" s="0" t="n">
        <f aca="false">C3947/SUM($A3947:$C3947)</f>
        <v>0.530549709862184</v>
      </c>
      <c r="G3947" s="0" t="n">
        <f aca="false">SUMPRODUCT(D3947:F3947,Stats!$B$6:$D$6)</f>
        <v>0.36494122293458</v>
      </c>
      <c r="H3947" s="0" t="n">
        <f aca="false">SQRT(SUMPRODUCT(MMULT(D3947:F3947,Stats!$B$12:$D$14),D3947:F3947))</f>
        <v>0.239333245297921</v>
      </c>
      <c r="I3947" s="0" t="n">
        <f aca="false">(G3947-Stats!$B$2)/H3947</f>
        <v>1.34933708241237</v>
      </c>
    </row>
    <row r="3948" customFormat="false" ht="15" hidden="false" customHeight="false" outlineLevel="0" collapsed="false">
      <c r="A3948" s="0" t="n">
        <v>0.0933281202698264</v>
      </c>
      <c r="B3948" s="0" t="n">
        <v>0.17265740109759</v>
      </c>
      <c r="C3948" s="0" t="n">
        <v>0.0122906611556709</v>
      </c>
      <c r="D3948" s="0" t="n">
        <f aca="false">A3948/SUM($A3948:$C3948)</f>
        <v>0.335379475971083</v>
      </c>
      <c r="E3948" s="0" t="n">
        <f aca="false">B3948/SUM($A3948:$C3948)</f>
        <v>0.620453391059673</v>
      </c>
      <c r="F3948" s="0" t="n">
        <f aca="false">C3948/SUM($A3948:$C3948)</f>
        <v>0.0441671329692444</v>
      </c>
      <c r="G3948" s="0" t="n">
        <f aca="false">SUMPRODUCT(D3948:F3948,Stats!$B$6:$D$6)</f>
        <v>0.390965897836736</v>
      </c>
      <c r="H3948" s="0" t="n">
        <f aca="false">SQRT(SUMPRODUCT(MMULT(D3948:F3948,Stats!$B$12:$D$14),D3948:F3948))</f>
        <v>0.23305709223927</v>
      </c>
      <c r="I3948" s="0" t="n">
        <f aca="false">(G3948-Stats!$B$2)/H3948</f>
        <v>1.49734082101423</v>
      </c>
    </row>
    <row r="3949" customFormat="false" ht="15" hidden="false" customHeight="false" outlineLevel="0" collapsed="false">
      <c r="A3949" s="0" t="n">
        <v>0.59365257944681</v>
      </c>
      <c r="B3949" s="0" t="n">
        <v>0.886734391945904</v>
      </c>
      <c r="C3949" s="0" t="n">
        <v>0.6706633160021</v>
      </c>
      <c r="D3949" s="0" t="n">
        <f aca="false">A3949/SUM($A3949:$C3949)</f>
        <v>0.275982659692162</v>
      </c>
      <c r="E3949" s="0" t="n">
        <f aca="false">B3949/SUM($A3949:$C3949)</f>
        <v>0.412233222599295</v>
      </c>
      <c r="F3949" s="0" t="n">
        <f aca="false">C3949/SUM($A3949:$C3949)</f>
        <v>0.311784117708543</v>
      </c>
      <c r="G3949" s="0" t="n">
        <f aca="false">SUMPRODUCT(D3949:F3949,Stats!$B$6:$D$6)</f>
        <v>0.371605743414334</v>
      </c>
      <c r="H3949" s="0" t="n">
        <f aca="false">SQRT(SUMPRODUCT(MMULT(D3949:F3949,Stats!$B$12:$D$14),D3949:F3949))</f>
        <v>0.228692248904413</v>
      </c>
      <c r="I3949" s="0" t="n">
        <f aca="false">(G3949-Stats!$B$2)/H3949</f>
        <v>1.44126329157793</v>
      </c>
    </row>
    <row r="3950" customFormat="false" ht="15" hidden="false" customHeight="false" outlineLevel="0" collapsed="false">
      <c r="A3950" s="0" t="n">
        <v>0.982040087590982</v>
      </c>
      <c r="B3950" s="0" t="n">
        <v>0.0630336524997616</v>
      </c>
      <c r="C3950" s="0" t="n">
        <v>0.903001085151496</v>
      </c>
      <c r="D3950" s="0" t="n">
        <f aca="false">A3950/SUM($A3950:$C3950)</f>
        <v>0.504107991575153</v>
      </c>
      <c r="E3950" s="0" t="n">
        <f aca="false">B3950/SUM($A3950:$C3950)</f>
        <v>0.032356894962658</v>
      </c>
      <c r="F3950" s="0" t="n">
        <f aca="false">C3950/SUM($A3950:$C3950)</f>
        <v>0.463535113462189</v>
      </c>
      <c r="G3950" s="0" t="n">
        <f aca="false">SUMPRODUCT(D3950:F3950,Stats!$B$6:$D$6)</f>
        <v>0.345563675845027</v>
      </c>
      <c r="H3950" s="0" t="n">
        <f aca="false">SQRT(SUMPRODUCT(MMULT(D3950:F3950,Stats!$B$12:$D$14),D3950:F3950))</f>
        <v>0.222907810085925</v>
      </c>
      <c r="I3950" s="0" t="n">
        <f aca="false">(G3950-Stats!$B$2)/H3950</f>
        <v>1.36183508208174</v>
      </c>
    </row>
    <row r="3951" customFormat="false" ht="15" hidden="false" customHeight="false" outlineLevel="0" collapsed="false">
      <c r="A3951" s="0" t="n">
        <v>0.814068287386681</v>
      </c>
      <c r="B3951" s="0" t="n">
        <v>0.314241520499505</v>
      </c>
      <c r="C3951" s="0" t="n">
        <v>0.973526551837252</v>
      </c>
      <c r="D3951" s="0" t="n">
        <f aca="false">A3951/SUM($A3951:$C3951)</f>
        <v>0.387312876961457</v>
      </c>
      <c r="E3951" s="0" t="n">
        <f aca="false">B3951/SUM($A3951:$C3951)</f>
        <v>0.149508080895914</v>
      </c>
      <c r="F3951" s="0" t="n">
        <f aca="false">C3951/SUM($A3951:$C3951)</f>
        <v>0.463179042142629</v>
      </c>
      <c r="G3951" s="0" t="n">
        <f aca="false">SUMPRODUCT(D3951:F3951,Stats!$B$6:$D$6)</f>
        <v>0.352314221987498</v>
      </c>
      <c r="H3951" s="0" t="n">
        <f aca="false">SQRT(SUMPRODUCT(MMULT(D3951:F3951,Stats!$B$12:$D$14),D3951:F3951))</f>
        <v>0.22501166330941</v>
      </c>
      <c r="I3951" s="0" t="n">
        <f aca="false">(G3951-Stats!$B$2)/H3951</f>
        <v>1.37910283148652</v>
      </c>
    </row>
    <row r="3952" customFormat="false" ht="15" hidden="false" customHeight="false" outlineLevel="0" collapsed="false">
      <c r="A3952" s="0" t="n">
        <v>0.287937748171415</v>
      </c>
      <c r="B3952" s="0" t="n">
        <v>0.889304723828219</v>
      </c>
      <c r="C3952" s="0" t="n">
        <v>0.880748577074189</v>
      </c>
      <c r="D3952" s="0" t="n">
        <f aca="false">A3952/SUM($A3952:$C3952)</f>
        <v>0.139912050784185</v>
      </c>
      <c r="E3952" s="0" t="n">
        <f aca="false">B3952/SUM($A3952:$C3952)</f>
        <v>0.432122736504826</v>
      </c>
      <c r="F3952" s="0" t="n">
        <f aca="false">C3952/SUM($A3952:$C3952)</f>
        <v>0.427965212710989</v>
      </c>
      <c r="G3952" s="0" t="n">
        <f aca="false">SUMPRODUCT(D3952:F3952,Stats!$B$6:$D$6)</f>
        <v>0.36954651129287</v>
      </c>
      <c r="H3952" s="0" t="n">
        <f aca="false">SQRT(SUMPRODUCT(MMULT(D3952:F3952,Stats!$B$12:$D$14),D3952:F3952))</f>
        <v>0.234690575597326</v>
      </c>
      <c r="I3952" s="0" t="n">
        <f aca="false">(G3952-Stats!$B$2)/H3952</f>
        <v>1.39565259686807</v>
      </c>
    </row>
    <row r="3953" customFormat="false" ht="15" hidden="false" customHeight="false" outlineLevel="0" collapsed="false">
      <c r="A3953" s="0" t="n">
        <v>0.757657616602973</v>
      </c>
      <c r="B3953" s="0" t="n">
        <v>0.563470473812852</v>
      </c>
      <c r="C3953" s="0" t="n">
        <v>0.120002749616888</v>
      </c>
      <c r="D3953" s="0" t="n">
        <f aca="false">A3953/SUM($A3953:$C3953)</f>
        <v>0.525738257454663</v>
      </c>
      <c r="E3953" s="0" t="n">
        <f aca="false">B3953/SUM($A3953:$C3953)</f>
        <v>0.39099189203394</v>
      </c>
      <c r="F3953" s="0" t="n">
        <f aca="false">C3953/SUM($A3953:$C3953)</f>
        <v>0.0832698505113971</v>
      </c>
      <c r="G3953" s="0" t="n">
        <f aca="false">SUMPRODUCT(D3953:F3953,Stats!$B$6:$D$6)</f>
        <v>0.376684737772473</v>
      </c>
      <c r="H3953" s="0" t="n">
        <f aca="false">SQRT(SUMPRODUCT(MMULT(D3953:F3953,Stats!$B$12:$D$14),D3953:F3953))</f>
        <v>0.226054317306093</v>
      </c>
      <c r="I3953" s="0" t="n">
        <f aca="false">(G3953-Stats!$B$2)/H3953</f>
        <v>1.48055008088736</v>
      </c>
    </row>
    <row r="3954" customFormat="false" ht="15" hidden="false" customHeight="false" outlineLevel="0" collapsed="false">
      <c r="A3954" s="0" t="n">
        <v>0.531971734496498</v>
      </c>
      <c r="B3954" s="0" t="n">
        <v>0.356796255654935</v>
      </c>
      <c r="C3954" s="0" t="n">
        <v>0.792217033155352</v>
      </c>
      <c r="D3954" s="0" t="n">
        <f aca="false">A3954/SUM($A3954:$C3954)</f>
        <v>0.316464291543787</v>
      </c>
      <c r="E3954" s="0" t="n">
        <f aca="false">B3954/SUM($A3954:$C3954)</f>
        <v>0.212254273957216</v>
      </c>
      <c r="F3954" s="0" t="n">
        <f aca="false">C3954/SUM($A3954:$C3954)</f>
        <v>0.471281434498997</v>
      </c>
      <c r="G3954" s="0" t="n">
        <f aca="false">SUMPRODUCT(D3954:F3954,Stats!$B$6:$D$6)</f>
        <v>0.355701136372554</v>
      </c>
      <c r="H3954" s="0" t="n">
        <f aca="false">SQRT(SUMPRODUCT(MMULT(D3954:F3954,Stats!$B$12:$D$14),D3954:F3954))</f>
        <v>0.227171959757845</v>
      </c>
      <c r="I3954" s="0" t="n">
        <f aca="false">(G3954-Stats!$B$2)/H3954</f>
        <v>1.38089725821331</v>
      </c>
    </row>
    <row r="3955" customFormat="false" ht="15" hidden="false" customHeight="false" outlineLevel="0" collapsed="false">
      <c r="A3955" s="0" t="n">
        <v>0.758129206496845</v>
      </c>
      <c r="B3955" s="0" t="n">
        <v>0.910612507372605</v>
      </c>
      <c r="C3955" s="0" t="n">
        <v>0.0148301624317079</v>
      </c>
      <c r="D3955" s="0" t="n">
        <f aca="false">A3955/SUM($A3955:$C3955)</f>
        <v>0.450309973199642</v>
      </c>
      <c r="E3955" s="0" t="n">
        <f aca="false">B3955/SUM($A3955:$C3955)</f>
        <v>0.540881277592519</v>
      </c>
      <c r="F3955" s="0" t="n">
        <f aca="false">C3955/SUM($A3955:$C3955)</f>
        <v>0.00880874920783902</v>
      </c>
      <c r="G3955" s="0" t="n">
        <f aca="false">SUMPRODUCT(D3955:F3955,Stats!$B$6:$D$6)</f>
        <v>0.387362415248678</v>
      </c>
      <c r="H3955" s="0" t="n">
        <f aca="false">SQRT(SUMPRODUCT(MMULT(D3955:F3955,Stats!$B$12:$D$14),D3955:F3955))</f>
        <v>0.23056363530962</v>
      </c>
      <c r="I3955" s="0" t="n">
        <f aca="false">(G3955-Stats!$B$2)/H3955</f>
        <v>1.4979049700743</v>
      </c>
    </row>
    <row r="3956" customFormat="false" ht="15" hidden="false" customHeight="false" outlineLevel="0" collapsed="false">
      <c r="A3956" s="0" t="n">
        <v>0.809103216823046</v>
      </c>
      <c r="B3956" s="0" t="n">
        <v>0.938462053124669</v>
      </c>
      <c r="C3956" s="0" t="n">
        <v>0.78930044910815</v>
      </c>
      <c r="D3956" s="0" t="n">
        <f aca="false">A3956/SUM($A3956:$C3956)</f>
        <v>0.318938133282106</v>
      </c>
      <c r="E3956" s="0" t="n">
        <f aca="false">B3956/SUM($A3956:$C3956)</f>
        <v>0.369929731035954</v>
      </c>
      <c r="F3956" s="0" t="n">
        <f aca="false">C3956/SUM($A3956:$C3956)</f>
        <v>0.311132135681939</v>
      </c>
      <c r="G3956" s="0" t="n">
        <f aca="false">SUMPRODUCT(D3956:F3956,Stats!$B$6:$D$6)</f>
        <v>0.369189633415735</v>
      </c>
      <c r="H3956" s="0" t="n">
        <f aca="false">SQRT(SUMPRODUCT(MMULT(D3956:F3956,Stats!$B$12:$D$14),D3956:F3956))</f>
        <v>0.227000816277846</v>
      </c>
      <c r="I3956" s="0" t="n">
        <f aca="false">(G3956-Stats!$B$2)/H3956</f>
        <v>1.44135884082134</v>
      </c>
    </row>
    <row r="3957" customFormat="false" ht="15" hidden="false" customHeight="false" outlineLevel="0" collapsed="false">
      <c r="A3957" s="0" t="n">
        <v>0.130194459870367</v>
      </c>
      <c r="B3957" s="0" t="n">
        <v>0.0812791048408877</v>
      </c>
      <c r="C3957" s="0" t="n">
        <v>0.0208452398077008</v>
      </c>
      <c r="D3957" s="0" t="n">
        <f aca="false">A3957/SUM($A3957:$C3957)</f>
        <v>0.560412921114804</v>
      </c>
      <c r="E3957" s="0" t="n">
        <f aca="false">B3957/SUM($A3957:$C3957)</f>
        <v>0.349860206147265</v>
      </c>
      <c r="F3957" s="0" t="n">
        <f aca="false">C3957/SUM($A3957:$C3957)</f>
        <v>0.0897268727379321</v>
      </c>
      <c r="G3957" s="0" t="n">
        <f aca="false">SUMPRODUCT(D3957:F3957,Stats!$B$6:$D$6)</f>
        <v>0.374140023897858</v>
      </c>
      <c r="H3957" s="0" t="n">
        <f aca="false">SQRT(SUMPRODUCT(MMULT(D3957:F3957,Stats!$B$12:$D$14),D3957:F3957))</f>
        <v>0.225315933684666</v>
      </c>
      <c r="I3957" s="0" t="n">
        <f aca="false">(G3957-Stats!$B$2)/H3957</f>
        <v>1.47410801564835</v>
      </c>
    </row>
    <row r="3958" customFormat="false" ht="15" hidden="false" customHeight="false" outlineLevel="0" collapsed="false">
      <c r="A3958" s="0" t="n">
        <v>0.628745225828071</v>
      </c>
      <c r="B3958" s="0" t="n">
        <v>0.629672651859887</v>
      </c>
      <c r="C3958" s="0" t="n">
        <v>0.986913714218212</v>
      </c>
      <c r="D3958" s="0" t="n">
        <f aca="false">A3958/SUM($A3958:$C3958)</f>
        <v>0.280023328444909</v>
      </c>
      <c r="E3958" s="0" t="n">
        <f aca="false">B3958/SUM($A3958:$C3958)</f>
        <v>0.280436374800805</v>
      </c>
      <c r="F3958" s="0" t="n">
        <f aca="false">C3958/SUM($A3958:$C3958)</f>
        <v>0.439540296754286</v>
      </c>
      <c r="G3958" s="0" t="n">
        <f aca="false">SUMPRODUCT(D3958:F3958,Stats!$B$6:$D$6)</f>
        <v>0.360499495873755</v>
      </c>
      <c r="H3958" s="0" t="n">
        <f aca="false">SQRT(SUMPRODUCT(MMULT(D3958:F3958,Stats!$B$12:$D$14),D3958:F3958))</f>
        <v>0.22822877111061</v>
      </c>
      <c r="I3958" s="0" t="n">
        <f aca="false">(G3958-Stats!$B$2)/H3958</f>
        <v>1.39552736635205</v>
      </c>
    </row>
    <row r="3959" customFormat="false" ht="15" hidden="false" customHeight="false" outlineLevel="0" collapsed="false">
      <c r="A3959" s="0" t="n">
        <v>0.398043174104096</v>
      </c>
      <c r="B3959" s="0" t="n">
        <v>0.331906284897497</v>
      </c>
      <c r="C3959" s="0" t="n">
        <v>0.624424927184393</v>
      </c>
      <c r="D3959" s="0" t="n">
        <f aca="false">A3959/SUM($A3959:$C3959)</f>
        <v>0.293894493401499</v>
      </c>
      <c r="E3959" s="0" t="n">
        <f aca="false">B3959/SUM($A3959:$C3959)</f>
        <v>0.245062434938812</v>
      </c>
      <c r="F3959" s="0" t="n">
        <f aca="false">C3959/SUM($A3959:$C3959)</f>
        <v>0.461043071659689</v>
      </c>
      <c r="G3959" s="0" t="n">
        <f aca="false">SUMPRODUCT(D3959:F3959,Stats!$B$6:$D$6)</f>
        <v>0.357871194410076</v>
      </c>
      <c r="H3959" s="0" t="n">
        <f aca="false">SQRT(SUMPRODUCT(MMULT(D3959:F3959,Stats!$B$12:$D$14),D3959:F3959))</f>
        <v>0.227861047651978</v>
      </c>
      <c r="I3959" s="0" t="n">
        <f aca="false">(G3959-Stats!$B$2)/H3959</f>
        <v>1.38624480868937</v>
      </c>
    </row>
    <row r="3960" customFormat="false" ht="15" hidden="false" customHeight="false" outlineLevel="0" collapsed="false">
      <c r="A3960" s="0" t="n">
        <v>0.825608672507594</v>
      </c>
      <c r="B3960" s="0" t="n">
        <v>0.936773949523002</v>
      </c>
      <c r="C3960" s="0" t="n">
        <v>0.803124166179039</v>
      </c>
      <c r="D3960" s="0" t="n">
        <f aca="false">A3960/SUM($A3960:$C3960)</f>
        <v>0.321811143241509</v>
      </c>
      <c r="E3960" s="0" t="n">
        <f aca="false">B3960/SUM($A3960:$C3960)</f>
        <v>0.365141871316871</v>
      </c>
      <c r="F3960" s="0" t="n">
        <f aca="false">C3960/SUM($A3960:$C3960)</f>
        <v>0.31304698544162</v>
      </c>
      <c r="G3960" s="0" t="n">
        <f aca="false">SUMPRODUCT(D3960:F3960,Stats!$B$6:$D$6)</f>
        <v>0.368861344918672</v>
      </c>
      <c r="H3960" s="0" t="n">
        <f aca="false">SQRT(SUMPRODUCT(MMULT(D3960:F3960,Stats!$B$12:$D$14),D3960:F3960))</f>
        <v>0.226877438739002</v>
      </c>
      <c r="I3960" s="0" t="n">
        <f aca="false">(G3960-Stats!$B$2)/H3960</f>
        <v>1.4406956757595</v>
      </c>
    </row>
    <row r="3961" customFormat="false" ht="15" hidden="false" customHeight="false" outlineLevel="0" collapsed="false">
      <c r="A3961" s="0" t="n">
        <v>0.426673980615805</v>
      </c>
      <c r="B3961" s="0" t="n">
        <v>0.634914235312064</v>
      </c>
      <c r="C3961" s="0" t="n">
        <v>0.856299326716117</v>
      </c>
      <c r="D3961" s="0" t="n">
        <f aca="false">A3961/SUM($A3961:$C3961)</f>
        <v>0.222470802447361</v>
      </c>
      <c r="E3961" s="0" t="n">
        <f aca="false">B3961/SUM($A3961:$C3961)</f>
        <v>0.331048730019267</v>
      </c>
      <c r="F3961" s="0" t="n">
        <f aca="false">C3961/SUM($A3961:$C3961)</f>
        <v>0.446480467533372</v>
      </c>
      <c r="G3961" s="0" t="n">
        <f aca="false">SUMPRODUCT(D3961:F3961,Stats!$B$6:$D$6)</f>
        <v>0.363220292746832</v>
      </c>
      <c r="H3961" s="0" t="n">
        <f aca="false">SQRT(SUMPRODUCT(MMULT(D3961:F3961,Stats!$B$12:$D$14),D3961:F3961))</f>
        <v>0.230656922296671</v>
      </c>
      <c r="I3961" s="0" t="n">
        <f aca="false">(G3961-Stats!$B$2)/H3961</f>
        <v>1.39263235435735</v>
      </c>
    </row>
    <row r="3962" customFormat="false" ht="15" hidden="false" customHeight="false" outlineLevel="0" collapsed="false">
      <c r="A3962" s="0" t="n">
        <v>0.49060968831174</v>
      </c>
      <c r="B3962" s="0" t="n">
        <v>0.216686643705393</v>
      </c>
      <c r="C3962" s="0" t="n">
        <v>0.169723439747873</v>
      </c>
      <c r="D3962" s="0" t="n">
        <f aca="false">A3962/SUM($A3962:$C3962)</f>
        <v>0.559405504991508</v>
      </c>
      <c r="E3962" s="0" t="n">
        <f aca="false">B3962/SUM($A3962:$C3962)</f>
        <v>0.247071560620931</v>
      </c>
      <c r="F3962" s="0" t="n">
        <f aca="false">C3962/SUM($A3962:$C3962)</f>
        <v>0.193522934387561</v>
      </c>
      <c r="G3962" s="0" t="n">
        <f aca="false">SUMPRODUCT(D3962:F3962,Stats!$B$6:$D$6)</f>
        <v>0.365363561793089</v>
      </c>
      <c r="H3962" s="0" t="n">
        <f aca="false">SQRT(SUMPRODUCT(MMULT(D3962:F3962,Stats!$B$12:$D$14),D3962:F3962))</f>
        <v>0.222802832524244</v>
      </c>
      <c r="I3962" s="0" t="n">
        <f aca="false">(G3962-Stats!$B$2)/H3962</f>
        <v>1.45134403422767</v>
      </c>
    </row>
    <row r="3963" customFormat="false" ht="15" hidden="false" customHeight="false" outlineLevel="0" collapsed="false">
      <c r="A3963" s="0" t="n">
        <v>0.000157744578056729</v>
      </c>
      <c r="B3963" s="0" t="n">
        <v>0.718237994981284</v>
      </c>
      <c r="C3963" s="0" t="n">
        <v>0.111097208845991</v>
      </c>
      <c r="D3963" s="0" t="n">
        <f aca="false">A3963/SUM($A3963:$C3963)</f>
        <v>0.000190169884337157</v>
      </c>
      <c r="E3963" s="0" t="n">
        <f aca="false">B3963/SUM($A3963:$C3963)</f>
        <v>0.865875950316479</v>
      </c>
      <c r="F3963" s="0" t="n">
        <f aca="false">C3963/SUM($A3963:$C3963)</f>
        <v>0.133933879799184</v>
      </c>
      <c r="G3963" s="0" t="n">
        <f aca="false">SUMPRODUCT(D3963:F3963,Stats!$B$6:$D$6)</f>
        <v>0.40261191073444</v>
      </c>
      <c r="H3963" s="0" t="n">
        <f aca="false">SQRT(SUMPRODUCT(MMULT(D3963:F3963,Stats!$B$12:$D$14),D3963:F3963))</f>
        <v>0.248922494926794</v>
      </c>
      <c r="I3963" s="0" t="n">
        <f aca="false">(G3963-Stats!$B$2)/H3963</f>
        <v>1.44869153284235</v>
      </c>
    </row>
    <row r="3964" customFormat="false" ht="15" hidden="false" customHeight="false" outlineLevel="0" collapsed="false">
      <c r="A3964" s="0" t="n">
        <v>0.24383909969594</v>
      </c>
      <c r="B3964" s="0" t="n">
        <v>0.297876331522793</v>
      </c>
      <c r="C3964" s="0" t="n">
        <v>0.560379860136768</v>
      </c>
      <c r="D3964" s="0" t="n">
        <f aca="false">A3964/SUM($A3964:$C3964)</f>
        <v>0.221250468637821</v>
      </c>
      <c r="E3964" s="0" t="n">
        <f aca="false">B3964/SUM($A3964:$C3964)</f>
        <v>0.270281829401908</v>
      </c>
      <c r="F3964" s="0" t="n">
        <f aca="false">C3964/SUM($A3964:$C3964)</f>
        <v>0.508467701960272</v>
      </c>
      <c r="G3964" s="0" t="n">
        <f aca="false">SUMPRODUCT(D3964:F3964,Stats!$B$6:$D$6)</f>
        <v>0.358014569786592</v>
      </c>
      <c r="H3964" s="0" t="n">
        <f aca="false">SQRT(SUMPRODUCT(MMULT(D3964:F3964,Stats!$B$12:$D$14),D3964:F3964))</f>
        <v>0.23124090048246</v>
      </c>
      <c r="I3964" s="0" t="n">
        <f aca="false">(G3964-Stats!$B$2)/H3964</f>
        <v>1.36660326580315</v>
      </c>
    </row>
    <row r="3965" customFormat="false" ht="15" hidden="false" customHeight="false" outlineLevel="0" collapsed="false">
      <c r="A3965" s="0" t="n">
        <v>0.397957277295769</v>
      </c>
      <c r="B3965" s="0" t="n">
        <v>0.674673992023162</v>
      </c>
      <c r="C3965" s="0" t="n">
        <v>0.0556386593287027</v>
      </c>
      <c r="D3965" s="0" t="n">
        <f aca="false">A3965/SUM($A3965:$C3965)</f>
        <v>0.352714600638846</v>
      </c>
      <c r="E3965" s="0" t="n">
        <f aca="false">B3965/SUM($A3965:$C3965)</f>
        <v>0.597972147349384</v>
      </c>
      <c r="F3965" s="0" t="n">
        <f aca="false">C3965/SUM($A3965:$C3965)</f>
        <v>0.0493132520117702</v>
      </c>
      <c r="G3965" s="0" t="n">
        <f aca="false">SUMPRODUCT(D3965:F3965,Stats!$B$6:$D$6)</f>
        <v>0.389530453917254</v>
      </c>
      <c r="H3965" s="0" t="n">
        <f aca="false">SQRT(SUMPRODUCT(MMULT(D3965:F3965,Stats!$B$12:$D$14),D3965:F3965))</f>
        <v>0.232164008652581</v>
      </c>
      <c r="I3965" s="0" t="n">
        <f aca="false">(G3965-Stats!$B$2)/H3965</f>
        <v>1.49691787256014</v>
      </c>
    </row>
    <row r="3966" customFormat="false" ht="15" hidden="false" customHeight="false" outlineLevel="0" collapsed="false">
      <c r="A3966" s="0" t="n">
        <v>0.123939194264439</v>
      </c>
      <c r="B3966" s="0" t="n">
        <v>0.499211503533267</v>
      </c>
      <c r="C3966" s="0" t="n">
        <v>0.33696478784683</v>
      </c>
      <c r="D3966" s="0" t="n">
        <f aca="false">A3966/SUM($A3966:$C3966)</f>
        <v>0.129087798413373</v>
      </c>
      <c r="E3966" s="0" t="n">
        <f aca="false">B3966/SUM($A3966:$C3966)</f>
        <v>0.51994943420597</v>
      </c>
      <c r="F3966" s="0" t="n">
        <f aca="false">C3966/SUM($A3966:$C3966)</f>
        <v>0.350962767380657</v>
      </c>
      <c r="G3966" s="0" t="n">
        <f aca="false">SUMPRODUCT(D3966:F3966,Stats!$B$6:$D$6)</f>
        <v>0.37672325862001</v>
      </c>
      <c r="H3966" s="0" t="n">
        <f aca="false">SQRT(SUMPRODUCT(MMULT(D3966:F3966,Stats!$B$12:$D$14),D3966:F3966))</f>
        <v>0.235609374894266</v>
      </c>
      <c r="I3966" s="0" t="n">
        <f aca="false">(G3966-Stats!$B$2)/H3966</f>
        <v>1.42067037345277</v>
      </c>
    </row>
    <row r="3967" customFormat="false" ht="15" hidden="false" customHeight="false" outlineLevel="0" collapsed="false">
      <c r="A3967" s="0" t="n">
        <v>0.29581336275136</v>
      </c>
      <c r="B3967" s="0" t="n">
        <v>0.0670280790375227</v>
      </c>
      <c r="C3967" s="0" t="n">
        <v>0.895719174748001</v>
      </c>
      <c r="D3967" s="0" t="n">
        <f aca="false">A3967/SUM($A3967:$C3967)</f>
        <v>0.235041013412079</v>
      </c>
      <c r="E3967" s="0" t="n">
        <f aca="false">B3967/SUM($A3967:$C3967)</f>
        <v>0.0532577280401165</v>
      </c>
      <c r="F3967" s="0" t="n">
        <f aca="false">C3967/SUM($A3967:$C3967)</f>
        <v>0.711701258547805</v>
      </c>
      <c r="G3967" s="0" t="n">
        <f aca="false">SUMPRODUCT(D3967:F3967,Stats!$B$6:$D$6)</f>
        <v>0.339923196727867</v>
      </c>
      <c r="H3967" s="0" t="n">
        <f aca="false">SQRT(SUMPRODUCT(MMULT(D3967:F3967,Stats!$B$12:$D$14),D3967:F3967))</f>
        <v>0.235659011580674</v>
      </c>
      <c r="I3967" s="0" t="n">
        <f aca="false">(G3967-Stats!$B$2)/H3967</f>
        <v>1.26421304549127</v>
      </c>
    </row>
    <row r="3968" customFormat="false" ht="15" hidden="false" customHeight="false" outlineLevel="0" collapsed="false">
      <c r="A3968" s="0" t="n">
        <v>0.691818586125051</v>
      </c>
      <c r="B3968" s="0" t="n">
        <v>0.121618156819649</v>
      </c>
      <c r="C3968" s="0" t="n">
        <v>0.0650459577371406</v>
      </c>
      <c r="D3968" s="0" t="n">
        <f aca="false">A3968/SUM($A3968:$C3968)</f>
        <v>0.787515321119119</v>
      </c>
      <c r="E3968" s="0" t="n">
        <f aca="false">B3968/SUM($A3968:$C3968)</f>
        <v>0.13844115168717</v>
      </c>
      <c r="F3968" s="0" t="n">
        <f aca="false">C3968/SUM($A3968:$C3968)</f>
        <v>0.0740435271937111</v>
      </c>
      <c r="G3968" s="0" t="n">
        <f aca="false">SUMPRODUCT(D3968:F3968,Stats!$B$6:$D$6)</f>
        <v>0.362407707359802</v>
      </c>
      <c r="H3968" s="0" t="n">
        <f aca="false">SQRT(SUMPRODUCT(MMULT(D3968:F3968,Stats!$B$12:$D$14),D3968:F3968))</f>
        <v>0.225873244189892</v>
      </c>
      <c r="I3968" s="0" t="n">
        <f aca="false">(G3968-Stats!$B$2)/H3968</f>
        <v>1.41852882358406</v>
      </c>
    </row>
    <row r="3969" customFormat="false" ht="15" hidden="false" customHeight="false" outlineLevel="0" collapsed="false">
      <c r="A3969" s="0" t="n">
        <v>0.974872533431243</v>
      </c>
      <c r="B3969" s="0" t="n">
        <v>0.681172550439505</v>
      </c>
      <c r="C3969" s="0" t="n">
        <v>0.417456071093742</v>
      </c>
      <c r="D3969" s="0" t="n">
        <f aca="false">A3969/SUM($A3969:$C3969)</f>
        <v>0.470157699742366</v>
      </c>
      <c r="E3969" s="0" t="n">
        <f aca="false">B3969/SUM($A3969:$C3969)</f>
        <v>0.32851322450851</v>
      </c>
      <c r="F3969" s="0" t="n">
        <f aca="false">C3969/SUM($A3969:$C3969)</f>
        <v>0.201329075749124</v>
      </c>
      <c r="G3969" s="0" t="n">
        <f aca="false">SUMPRODUCT(D3969:F3969,Stats!$B$6:$D$6)</f>
        <v>0.369834358379652</v>
      </c>
      <c r="H3969" s="0" t="n">
        <f aca="false">SQRT(SUMPRODUCT(MMULT(D3969:F3969,Stats!$B$12:$D$14),D3969:F3969))</f>
        <v>0.224111812468808</v>
      </c>
      <c r="I3969" s="0" t="n">
        <f aca="false">(G3969-Stats!$B$2)/H3969</f>
        <v>1.46281605939571</v>
      </c>
    </row>
    <row r="3970" customFormat="false" ht="15" hidden="false" customHeight="false" outlineLevel="0" collapsed="false">
      <c r="A3970" s="0" t="n">
        <v>0.701731040755785</v>
      </c>
      <c r="B3970" s="0" t="n">
        <v>0.756331786480159</v>
      </c>
      <c r="C3970" s="0" t="n">
        <v>0.779962202388779</v>
      </c>
      <c r="D3970" s="0" t="n">
        <f aca="false">A3970/SUM($A3970:$C3970)</f>
        <v>0.313549237147474</v>
      </c>
      <c r="E3970" s="0" t="n">
        <f aca="false">B3970/SUM($A3970:$C3970)</f>
        <v>0.337946080347002</v>
      </c>
      <c r="F3970" s="0" t="n">
        <f aca="false">C3970/SUM($A3970:$C3970)</f>
        <v>0.348504682505524</v>
      </c>
      <c r="G3970" s="0" t="n">
        <f aca="false">SUMPRODUCT(D3970:F3970,Stats!$B$6:$D$6)</f>
        <v>0.366318801946299</v>
      </c>
      <c r="H3970" s="0" t="n">
        <f aca="false">SQRT(SUMPRODUCT(MMULT(D3970:F3970,Stats!$B$12:$D$14),D3970:F3970))</f>
        <v>0.226936840567728</v>
      </c>
      <c r="I3970" s="0" t="n">
        <f aca="false">(G3970-Stats!$B$2)/H3970</f>
        <v>1.42911481950198</v>
      </c>
    </row>
    <row r="3971" customFormat="false" ht="15" hidden="false" customHeight="false" outlineLevel="0" collapsed="false">
      <c r="A3971" s="0" t="n">
        <v>0.477877305653058</v>
      </c>
      <c r="B3971" s="0" t="n">
        <v>0.429882758124848</v>
      </c>
      <c r="C3971" s="0" t="n">
        <v>0.0110280842689003</v>
      </c>
      <c r="D3971" s="0" t="n">
        <f aca="false">A3971/SUM($A3971:$C3971)</f>
        <v>0.520116967843944</v>
      </c>
      <c r="E3971" s="0" t="n">
        <f aca="false">B3971/SUM($A3971:$C3971)</f>
        <v>0.46788017350758</v>
      </c>
      <c r="F3971" s="0" t="n">
        <f aca="false">C3971/SUM($A3971:$C3971)</f>
        <v>0.0120028586484754</v>
      </c>
      <c r="G3971" s="0" t="n">
        <f aca="false">SUMPRODUCT(D3971:F3971,Stats!$B$6:$D$6)</f>
        <v>0.383073949863805</v>
      </c>
      <c r="H3971" s="0" t="n">
        <f aca="false">SQRT(SUMPRODUCT(MMULT(D3971:F3971,Stats!$B$12:$D$14),D3971:F3971))</f>
        <v>0.228753425956749</v>
      </c>
      <c r="I3971" s="0" t="n">
        <f aca="false">(G3971-Stats!$B$2)/H3971</f>
        <v>1.4910113299387</v>
      </c>
    </row>
    <row r="3972" customFormat="false" ht="15" hidden="false" customHeight="false" outlineLevel="0" collapsed="false">
      <c r="A3972" s="0" t="n">
        <v>0.926557115141838</v>
      </c>
      <c r="B3972" s="0" t="n">
        <v>0.603307878388943</v>
      </c>
      <c r="C3972" s="0" t="n">
        <v>0.203153937189968</v>
      </c>
      <c r="D3972" s="0" t="n">
        <f aca="false">A3972/SUM($A3972:$C3972)</f>
        <v>0.534649159750661</v>
      </c>
      <c r="E3972" s="0" t="n">
        <f aca="false">B3972/SUM($A3972:$C3972)</f>
        <v>0.348125382645435</v>
      </c>
      <c r="F3972" s="0" t="n">
        <f aca="false">C3972/SUM($A3972:$C3972)</f>
        <v>0.117225457603904</v>
      </c>
      <c r="G3972" s="0" t="n">
        <f aca="false">SUMPRODUCT(D3972:F3972,Stats!$B$6:$D$6)</f>
        <v>0.373281941497733</v>
      </c>
      <c r="H3972" s="0" t="n">
        <f aca="false">SQRT(SUMPRODUCT(MMULT(D3972:F3972,Stats!$B$12:$D$14),D3972:F3972))</f>
        <v>0.224885779525401</v>
      </c>
      <c r="I3972" s="0" t="n">
        <f aca="false">(G3972-Stats!$B$2)/H3972</f>
        <v>1.47311200466686</v>
      </c>
    </row>
    <row r="3973" customFormat="false" ht="15" hidden="false" customHeight="false" outlineLevel="0" collapsed="false">
      <c r="A3973" s="0" t="n">
        <v>0.919603419421437</v>
      </c>
      <c r="B3973" s="0" t="n">
        <v>0.914931901770296</v>
      </c>
      <c r="C3973" s="0" t="n">
        <v>0.989184164366096</v>
      </c>
      <c r="D3973" s="0" t="n">
        <f aca="false">A3973/SUM($A3973:$C3973)</f>
        <v>0.32567095425903</v>
      </c>
      <c r="E3973" s="0" t="n">
        <f aca="false">B3973/SUM($A3973:$C3973)</f>
        <v>0.324016569793777</v>
      </c>
      <c r="F3973" s="0" t="n">
        <f aca="false">C3973/SUM($A3973:$C3973)</f>
        <v>0.350312475947193</v>
      </c>
      <c r="G3973" s="0" t="n">
        <f aca="false">SUMPRODUCT(D3973:F3973,Stats!$B$6:$D$6)</f>
        <v>0.365467466728839</v>
      </c>
      <c r="H3973" s="0" t="n">
        <f aca="false">SQRT(SUMPRODUCT(MMULT(D3973:F3973,Stats!$B$12:$D$14),D3973:F3973))</f>
        <v>0.226491381747538</v>
      </c>
      <c r="I3973" s="0" t="n">
        <f aca="false">(G3973-Stats!$B$2)/H3973</f>
        <v>1.42816677717741</v>
      </c>
    </row>
    <row r="3974" customFormat="false" ht="15" hidden="false" customHeight="false" outlineLevel="0" collapsed="false">
      <c r="A3974" s="0" t="n">
        <v>0.874056563138979</v>
      </c>
      <c r="B3974" s="0" t="n">
        <v>0.997784387820065</v>
      </c>
      <c r="C3974" s="0" t="n">
        <v>0.244686188123273</v>
      </c>
      <c r="D3974" s="0" t="n">
        <f aca="false">A3974/SUM($A3974:$C3974)</f>
        <v>0.412967330774673</v>
      </c>
      <c r="E3974" s="0" t="n">
        <f aca="false">B3974/SUM($A3974:$C3974)</f>
        <v>0.471425274637718</v>
      </c>
      <c r="F3974" s="0" t="n">
        <f aca="false">C3974/SUM($A3974:$C3974)</f>
        <v>0.115607394587609</v>
      </c>
      <c r="G3974" s="0" t="n">
        <f aca="false">SUMPRODUCT(D3974:F3974,Stats!$B$6:$D$6)</f>
        <v>0.380421075164376</v>
      </c>
      <c r="H3974" s="0" t="n">
        <f aca="false">SQRT(SUMPRODUCT(MMULT(D3974:F3974,Stats!$B$12:$D$14),D3974:F3974))</f>
        <v>0.227747221149868</v>
      </c>
      <c r="I3974" s="0" t="n">
        <f aca="false">(G3974-Stats!$B$2)/H3974</f>
        <v>1.48595040350319</v>
      </c>
    </row>
    <row r="3975" customFormat="false" ht="15" hidden="false" customHeight="false" outlineLevel="0" collapsed="false">
      <c r="A3975" s="0" t="n">
        <v>0.842249585199234</v>
      </c>
      <c r="B3975" s="0" t="n">
        <v>0.823028308795765</v>
      </c>
      <c r="C3975" s="0" t="n">
        <v>0.230940359220734</v>
      </c>
      <c r="D3975" s="0" t="n">
        <f aca="false">A3975/SUM($A3975:$C3975)</f>
        <v>0.444173334884258</v>
      </c>
      <c r="E3975" s="0" t="n">
        <f aca="false">B3975/SUM($A3975:$C3975)</f>
        <v>0.434036697727183</v>
      </c>
      <c r="F3975" s="0" t="n">
        <f aca="false">C3975/SUM($A3975:$C3975)</f>
        <v>0.121789967388559</v>
      </c>
      <c r="G3975" s="0" t="n">
        <f aca="false">SUMPRODUCT(D3975:F3975,Stats!$B$6:$D$6)</f>
        <v>0.378099302772989</v>
      </c>
      <c r="H3975" s="0" t="n">
        <f aca="false">SQRT(SUMPRODUCT(MMULT(D3975:F3975,Stats!$B$12:$D$14),D3975:F3975))</f>
        <v>0.226672351864567</v>
      </c>
      <c r="I3975" s="0" t="n">
        <f aca="false">(G3975-Stats!$B$2)/H3975</f>
        <v>1.48275385157605</v>
      </c>
    </row>
    <row r="3976" customFormat="false" ht="15" hidden="false" customHeight="false" outlineLevel="0" collapsed="false">
      <c r="A3976" s="0" t="n">
        <v>0.0984375490009908</v>
      </c>
      <c r="B3976" s="0" t="n">
        <v>0.9794205136776</v>
      </c>
      <c r="C3976" s="0" t="n">
        <v>0.29602455152061</v>
      </c>
      <c r="D3976" s="0" t="n">
        <f aca="false">A3976/SUM($A3976:$C3976)</f>
        <v>0.0716491700117826</v>
      </c>
      <c r="E3976" s="0" t="n">
        <f aca="false">B3976/SUM($A3976:$C3976)</f>
        <v>0.712885150125055</v>
      </c>
      <c r="F3976" s="0" t="n">
        <f aca="false">C3976/SUM($A3976:$C3976)</f>
        <v>0.215465679863163</v>
      </c>
      <c r="G3976" s="0" t="n">
        <f aca="false">SUMPRODUCT(D3976:F3976,Stats!$B$6:$D$6)</f>
        <v>0.391560810075559</v>
      </c>
      <c r="H3976" s="0" t="n">
        <f aca="false">SQRT(SUMPRODUCT(MMULT(D3976:F3976,Stats!$B$12:$D$14),D3976:F3976))</f>
        <v>0.241468518240468</v>
      </c>
      <c r="I3976" s="0" t="n">
        <f aca="false">(G3976-Stats!$B$2)/H3976</f>
        <v>1.44764548448277</v>
      </c>
    </row>
    <row r="3977" customFormat="false" ht="15" hidden="false" customHeight="false" outlineLevel="0" collapsed="false">
      <c r="A3977" s="0" t="n">
        <v>0.870891790467806</v>
      </c>
      <c r="B3977" s="0" t="n">
        <v>0.0041271546746039</v>
      </c>
      <c r="C3977" s="0" t="n">
        <v>0.0210248072196022</v>
      </c>
      <c r="D3977" s="0" t="n">
        <f aca="false">A3977/SUM($A3977:$C3977)</f>
        <v>0.971929984637576</v>
      </c>
      <c r="E3977" s="0" t="n">
        <f aca="false">B3977/SUM($A3977:$C3977)</f>
        <v>0.00460597450037962</v>
      </c>
      <c r="F3977" s="0" t="n">
        <f aca="false">C3977/SUM($A3977:$C3977)</f>
        <v>0.0234640408620448</v>
      </c>
      <c r="G3977" s="0" t="n">
        <f aca="false">SUMPRODUCT(D3977:F3977,Stats!$B$6:$D$6)</f>
        <v>0.356101714365656</v>
      </c>
      <c r="H3977" s="0" t="n">
        <f aca="false">SQRT(SUMPRODUCT(MMULT(D3977:F3977,Stats!$B$12:$D$14),D3977:F3977))</f>
        <v>0.231770229538113</v>
      </c>
      <c r="I3977" s="0" t="n">
        <f aca="false">(G3977-Stats!$B$2)/H3977</f>
        <v>1.35522890490129</v>
      </c>
    </row>
    <row r="3978" customFormat="false" ht="15" hidden="false" customHeight="false" outlineLevel="0" collapsed="false">
      <c r="A3978" s="0" t="n">
        <v>0.465871308696368</v>
      </c>
      <c r="B3978" s="0" t="n">
        <v>0.238714683935064</v>
      </c>
      <c r="C3978" s="0" t="n">
        <v>0.689841283435964</v>
      </c>
      <c r="D3978" s="0" t="n">
        <f aca="false">A3978/SUM($A3978:$C3978)</f>
        <v>0.334095091721264</v>
      </c>
      <c r="E3978" s="0" t="n">
        <f aca="false">B3978/SUM($A3978:$C3978)</f>
        <v>0.171191920892636</v>
      </c>
      <c r="F3978" s="0" t="n">
        <f aca="false">C3978/SUM($A3978:$C3978)</f>
        <v>0.494712987386101</v>
      </c>
      <c r="G3978" s="0" t="n">
        <f aca="false">SUMPRODUCT(D3978:F3978,Stats!$B$6:$D$6)</f>
        <v>0.352692345664569</v>
      </c>
      <c r="H3978" s="0" t="n">
        <f aca="false">SQRT(SUMPRODUCT(MMULT(D3978:F3978,Stats!$B$12:$D$14),D3978:F3978))</f>
        <v>0.22688827169837</v>
      </c>
      <c r="I3978" s="0" t="n">
        <f aca="false">(G3978-Stats!$B$2)/H3978</f>
        <v>1.36936274113635</v>
      </c>
    </row>
    <row r="3979" customFormat="false" ht="15" hidden="false" customHeight="false" outlineLevel="0" collapsed="false">
      <c r="A3979" s="0" t="n">
        <v>0.565564325567954</v>
      </c>
      <c r="B3979" s="0" t="n">
        <v>0.0774857974504914</v>
      </c>
      <c r="C3979" s="0" t="n">
        <v>0.162628296315717</v>
      </c>
      <c r="D3979" s="0" t="n">
        <f aca="false">A3979/SUM($A3979:$C3979)</f>
        <v>0.70197278715167</v>
      </c>
      <c r="E3979" s="0" t="n">
        <f aca="false">B3979/SUM($A3979:$C3979)</f>
        <v>0.0961745971978846</v>
      </c>
      <c r="F3979" s="0" t="n">
        <f aca="false">C3979/SUM($A3979:$C3979)</f>
        <v>0.201852615650445</v>
      </c>
      <c r="G3979" s="0" t="n">
        <f aca="false">SUMPRODUCT(D3979:F3979,Stats!$B$6:$D$6)</f>
        <v>0.356451458062785</v>
      </c>
      <c r="H3979" s="0" t="n">
        <f aca="false">SQRT(SUMPRODUCT(MMULT(D3979:F3979,Stats!$B$12:$D$14),D3979:F3979))</f>
        <v>0.222394843091047</v>
      </c>
      <c r="I3979" s="0" t="n">
        <f aca="false">(G3979-Stats!$B$2)/H3979</f>
        <v>1.4139332265634</v>
      </c>
    </row>
    <row r="3980" customFormat="false" ht="15" hidden="false" customHeight="false" outlineLevel="0" collapsed="false">
      <c r="A3980" s="0" t="n">
        <v>0.388049270058414</v>
      </c>
      <c r="B3980" s="0" t="n">
        <v>0.185604063955433</v>
      </c>
      <c r="C3980" s="0" t="n">
        <v>0.792222347243929</v>
      </c>
      <c r="D3980" s="0" t="n">
        <f aca="false">A3980/SUM($A3980:$C3980)</f>
        <v>0.284102920480344</v>
      </c>
      <c r="E3980" s="0" t="n">
        <f aca="false">B3980/SUM($A3980:$C3980)</f>
        <v>0.135886498677917</v>
      </c>
      <c r="F3980" s="0" t="n">
        <f aca="false">C3980/SUM($A3980:$C3980)</f>
        <v>0.580010580841739</v>
      </c>
      <c r="G3980" s="0" t="n">
        <f aca="false">SUMPRODUCT(D3980:F3980,Stats!$B$6:$D$6)</f>
        <v>0.348308869032888</v>
      </c>
      <c r="H3980" s="0" t="n">
        <f aca="false">SQRT(SUMPRODUCT(MMULT(D3980:F3980,Stats!$B$12:$D$14),D3980:F3980))</f>
        <v>0.230052441995075</v>
      </c>
      <c r="I3980" s="0" t="n">
        <f aca="false">(G3980-Stats!$B$2)/H3980</f>
        <v>1.33147410380215</v>
      </c>
    </row>
    <row r="3981" customFormat="false" ht="15" hidden="false" customHeight="false" outlineLevel="0" collapsed="false">
      <c r="A3981" s="0" t="n">
        <v>0.41607023555328</v>
      </c>
      <c r="B3981" s="0" t="n">
        <v>0.0934318668424993</v>
      </c>
      <c r="C3981" s="0" t="n">
        <v>0.484342902272125</v>
      </c>
      <c r="D3981" s="0" t="n">
        <f aca="false">A3981/SUM($A3981:$C3981)</f>
        <v>0.418647005920517</v>
      </c>
      <c r="E3981" s="0" t="n">
        <f aca="false">B3981/SUM($A3981:$C3981)</f>
        <v>0.0940105010375534</v>
      </c>
      <c r="F3981" s="0" t="n">
        <f aca="false">C3981/SUM($A3981:$C3981)</f>
        <v>0.48734249304193</v>
      </c>
      <c r="G3981" s="0" t="n">
        <f aca="false">SUMPRODUCT(D3981:F3981,Stats!$B$6:$D$6)</f>
        <v>0.348454665206764</v>
      </c>
      <c r="H3981" s="0" t="n">
        <f aca="false">SQRT(SUMPRODUCT(MMULT(D3981:F3981,Stats!$B$12:$D$14),D3981:F3981))</f>
        <v>0.224609002647191</v>
      </c>
      <c r="I3981" s="0" t="n">
        <f aca="false">(G3981-Stats!$B$2)/H3981</f>
        <v>1.36439172782461</v>
      </c>
    </row>
    <row r="3982" customFormat="false" ht="15" hidden="false" customHeight="false" outlineLevel="0" collapsed="false">
      <c r="A3982" s="0" t="n">
        <v>0.0908381810614142</v>
      </c>
      <c r="B3982" s="0" t="n">
        <v>0.128937305419817</v>
      </c>
      <c r="C3982" s="0" t="n">
        <v>0.239609832028205</v>
      </c>
      <c r="D3982" s="0" t="n">
        <f aca="false">A3982/SUM($A3982:$C3982)</f>
        <v>0.197738537566146</v>
      </c>
      <c r="E3982" s="0" t="n">
        <f aca="false">B3982/SUM($A3982:$C3982)</f>
        <v>0.280673544026568</v>
      </c>
      <c r="F3982" s="0" t="n">
        <f aca="false">C3982/SUM($A3982:$C3982)</f>
        <v>0.521587918407286</v>
      </c>
      <c r="G3982" s="0" t="n">
        <f aca="false">SUMPRODUCT(D3982:F3982,Stats!$B$6:$D$6)</f>
        <v>0.358250710674136</v>
      </c>
      <c r="H3982" s="0" t="n">
        <f aca="false">SQRT(SUMPRODUCT(MMULT(D3982:F3982,Stats!$B$12:$D$14),D3982:F3982))</f>
        <v>0.232450787547593</v>
      </c>
      <c r="I3982" s="0" t="n">
        <f aca="false">(G3982-Stats!$B$2)/H3982</f>
        <v>1.36050608393566</v>
      </c>
    </row>
    <row r="3983" customFormat="false" ht="15" hidden="false" customHeight="false" outlineLevel="0" collapsed="false">
      <c r="A3983" s="0" t="n">
        <v>0.85952770524749</v>
      </c>
      <c r="B3983" s="0" t="n">
        <v>0.924612532332972</v>
      </c>
      <c r="C3983" s="0" t="n">
        <v>0.826257729332069</v>
      </c>
      <c r="D3983" s="0" t="n">
        <f aca="false">A3983/SUM($A3983:$C3983)</f>
        <v>0.329270753403207</v>
      </c>
      <c r="E3983" s="0" t="n">
        <f aca="false">B3983/SUM($A3983:$C3983)</f>
        <v>0.354203667047199</v>
      </c>
      <c r="F3983" s="0" t="n">
        <f aca="false">C3983/SUM($A3983:$C3983)</f>
        <v>0.316525579549593</v>
      </c>
      <c r="G3983" s="0" t="n">
        <f aca="false">SUMPRODUCT(D3983:F3983,Stats!$B$6:$D$6)</f>
        <v>0.368136053907446</v>
      </c>
      <c r="H3983" s="0" t="n">
        <f aca="false">SQRT(SUMPRODUCT(MMULT(D3983:F3983,Stats!$B$12:$D$14),D3983:F3983))</f>
        <v>0.226577215453806</v>
      </c>
      <c r="I3983" s="0" t="n">
        <f aca="false">(G3983-Stats!$B$2)/H3983</f>
        <v>1.43940357486624</v>
      </c>
    </row>
    <row r="3984" customFormat="false" ht="15" hidden="false" customHeight="false" outlineLevel="0" collapsed="false">
      <c r="A3984" s="0" t="n">
        <v>0.334077217417847</v>
      </c>
      <c r="B3984" s="0" t="n">
        <v>0.272446441108832</v>
      </c>
      <c r="C3984" s="0" t="n">
        <v>0.549155690790239</v>
      </c>
      <c r="D3984" s="0" t="n">
        <f aca="false">A3984/SUM($A3984:$C3984)</f>
        <v>0.289074315998905</v>
      </c>
      <c r="E3984" s="0" t="n">
        <f aca="false">B3984/SUM($A3984:$C3984)</f>
        <v>0.23574570339936</v>
      </c>
      <c r="F3984" s="0" t="n">
        <f aca="false">C3984/SUM($A3984:$C3984)</f>
        <v>0.475179980601735</v>
      </c>
      <c r="G3984" s="0" t="n">
        <f aca="false">SUMPRODUCT(D3984:F3984,Stats!$B$6:$D$6)</f>
        <v>0.35694530190897</v>
      </c>
      <c r="H3984" s="0" t="n">
        <f aca="false">SQRT(SUMPRODUCT(MMULT(D3984:F3984,Stats!$B$12:$D$14),D3984:F3984))</f>
        <v>0.228166966966234</v>
      </c>
      <c r="I3984" s="0" t="n">
        <f aca="false">(G3984-Stats!$B$2)/H3984</f>
        <v>1.38032821357343</v>
      </c>
    </row>
    <row r="3985" customFormat="false" ht="15" hidden="false" customHeight="false" outlineLevel="0" collapsed="false">
      <c r="A3985" s="0" t="n">
        <v>0.721853160533112</v>
      </c>
      <c r="B3985" s="0" t="n">
        <v>0.993372788160175</v>
      </c>
      <c r="C3985" s="0" t="n">
        <v>0.131570711878926</v>
      </c>
      <c r="D3985" s="0" t="n">
        <f aca="false">A3985/SUM($A3985:$C3985)</f>
        <v>0.390867698617915</v>
      </c>
      <c r="E3985" s="0" t="n">
        <f aca="false">B3985/SUM($A3985:$C3985)</f>
        <v>0.537889638511902</v>
      </c>
      <c r="F3985" s="0" t="n">
        <f aca="false">C3985/SUM($A3985:$C3985)</f>
        <v>0.0712426628701831</v>
      </c>
      <c r="G3985" s="0" t="n">
        <f aca="false">SUMPRODUCT(D3985:F3985,Stats!$B$6:$D$6)</f>
        <v>0.385468689052089</v>
      </c>
      <c r="H3985" s="0" t="n">
        <f aca="false">SQRT(SUMPRODUCT(MMULT(D3985:F3985,Stats!$B$12:$D$14),D3985:F3985))</f>
        <v>0.229947772910803</v>
      </c>
      <c r="I3985" s="0" t="n">
        <f aca="false">(G3985-Stats!$B$2)/H3985</f>
        <v>1.493681302951</v>
      </c>
    </row>
    <row r="3986" customFormat="false" ht="15" hidden="false" customHeight="false" outlineLevel="0" collapsed="false">
      <c r="A3986" s="0" t="n">
        <v>0.0492919990238044</v>
      </c>
      <c r="B3986" s="0" t="n">
        <v>0.694355888995271</v>
      </c>
      <c r="C3986" s="0" t="n">
        <v>0.832225783503906</v>
      </c>
      <c r="D3986" s="0" t="n">
        <f aca="false">A3986/SUM($A3986:$C3986)</f>
        <v>0.031279156390859</v>
      </c>
      <c r="E3986" s="0" t="n">
        <f aca="false">B3986/SUM($A3986:$C3986)</f>
        <v>0.44061646662592</v>
      </c>
      <c r="F3986" s="0" t="n">
        <f aca="false">C3986/SUM($A3986:$C3986)</f>
        <v>0.528104376983221</v>
      </c>
      <c r="G3986" s="0" t="n">
        <f aca="false">SUMPRODUCT(D3986:F3986,Stats!$B$6:$D$6)</f>
        <v>0.367273930591559</v>
      </c>
      <c r="H3986" s="0" t="n">
        <f aca="false">SQRT(SUMPRODUCT(MMULT(D3986:F3986,Stats!$B$12:$D$14),D3986:F3986))</f>
        <v>0.241553846872222</v>
      </c>
      <c r="I3986" s="0" t="n">
        <f aca="false">(G3986-Stats!$B$2)/H3986</f>
        <v>1.34658973476677</v>
      </c>
    </row>
    <row r="3987" customFormat="false" ht="15" hidden="false" customHeight="false" outlineLevel="0" collapsed="false">
      <c r="A3987" s="0" t="n">
        <v>0.846348779866423</v>
      </c>
      <c r="B3987" s="0" t="n">
        <v>0.678463549077161</v>
      </c>
      <c r="C3987" s="0" t="n">
        <v>0.954015804119187</v>
      </c>
      <c r="D3987" s="0" t="n">
        <f aca="false">A3987/SUM($A3987:$C3987)</f>
        <v>0.341431004666184</v>
      </c>
      <c r="E3987" s="0" t="n">
        <f aca="false">B3987/SUM($A3987:$C3987)</f>
        <v>0.273703343942151</v>
      </c>
      <c r="F3987" s="0" t="n">
        <f aca="false">C3987/SUM($A3987:$C3987)</f>
        <v>0.384865651391665</v>
      </c>
      <c r="G3987" s="0" t="n">
        <f aca="false">SUMPRODUCT(D3987:F3987,Stats!$B$6:$D$6)</f>
        <v>0.361619718309439</v>
      </c>
      <c r="H3987" s="0" t="n">
        <f aca="false">SQRT(SUMPRODUCT(MMULT(D3987:F3987,Stats!$B$12:$D$14),D3987:F3987))</f>
        <v>0.225887222097395</v>
      </c>
      <c r="I3987" s="0" t="n">
        <f aca="false">(G3987-Stats!$B$2)/H3987</f>
        <v>1.41495262698671</v>
      </c>
    </row>
    <row r="3988" customFormat="false" ht="15" hidden="false" customHeight="false" outlineLevel="0" collapsed="false">
      <c r="A3988" s="0" t="n">
        <v>0.511004763544587</v>
      </c>
      <c r="B3988" s="0" t="n">
        <v>0.913814798336213</v>
      </c>
      <c r="C3988" s="0" t="n">
        <v>0.967812136991523</v>
      </c>
      <c r="D3988" s="0" t="n">
        <f aca="false">A3988/SUM($A3988:$C3988)</f>
        <v>0.213574351533264</v>
      </c>
      <c r="E3988" s="0" t="n">
        <f aca="false">B3988/SUM($A3988:$C3988)</f>
        <v>0.381928735110759</v>
      </c>
      <c r="F3988" s="0" t="n">
        <f aca="false">C3988/SUM($A3988:$C3988)</f>
        <v>0.404496913355978</v>
      </c>
      <c r="G3988" s="0" t="n">
        <f aca="false">SUMPRODUCT(D3988:F3988,Stats!$B$6:$D$6)</f>
        <v>0.367305542745813</v>
      </c>
      <c r="H3988" s="0" t="n">
        <f aca="false">SQRT(SUMPRODUCT(MMULT(D3988:F3988,Stats!$B$12:$D$14),D3988:F3988))</f>
        <v>0.230971452167885</v>
      </c>
      <c r="I3988" s="0" t="n">
        <f aca="false">(G3988-Stats!$B$2)/H3988</f>
        <v>1.40842316092536</v>
      </c>
    </row>
    <row r="3989" customFormat="false" ht="15" hidden="false" customHeight="false" outlineLevel="0" collapsed="false">
      <c r="A3989" s="0" t="n">
        <v>0.847157457003108</v>
      </c>
      <c r="B3989" s="0" t="n">
        <v>0.309758563258621</v>
      </c>
      <c r="C3989" s="0" t="n">
        <v>0.196215651170295</v>
      </c>
      <c r="D3989" s="0" t="n">
        <f aca="false">A3989/SUM($A3989:$C3989)</f>
        <v>0.626071708237055</v>
      </c>
      <c r="E3989" s="0" t="n">
        <f aca="false">B3989/SUM($A3989:$C3989)</f>
        <v>0.228919749495481</v>
      </c>
      <c r="F3989" s="0" t="n">
        <f aca="false">C3989/SUM($A3989:$C3989)</f>
        <v>0.145008542267464</v>
      </c>
      <c r="G3989" s="0" t="n">
        <f aca="false">SUMPRODUCT(D3989:F3989,Stats!$B$6:$D$6)</f>
        <v>0.365656895777455</v>
      </c>
      <c r="H3989" s="0" t="n">
        <f aca="false">SQRT(SUMPRODUCT(MMULT(D3989:F3989,Stats!$B$12:$D$14),D3989:F3989))</f>
        <v>0.223289320294843</v>
      </c>
      <c r="I3989" s="0" t="n">
        <f aca="false">(G3989-Stats!$B$2)/H3989</f>
        <v>1.44949563799147</v>
      </c>
    </row>
    <row r="3990" customFormat="false" ht="15" hidden="false" customHeight="false" outlineLevel="0" collapsed="false">
      <c r="A3990" s="0" t="n">
        <v>0.548120064981818</v>
      </c>
      <c r="B3990" s="0" t="n">
        <v>0.453014750380189</v>
      </c>
      <c r="C3990" s="0" t="n">
        <v>0.877758342192733</v>
      </c>
      <c r="D3990" s="0" t="n">
        <f aca="false">A3990/SUM($A3990:$C3990)</f>
        <v>0.291724977962644</v>
      </c>
      <c r="E3990" s="0" t="n">
        <f aca="false">B3990/SUM($A3990:$C3990)</f>
        <v>0.241107243676249</v>
      </c>
      <c r="F3990" s="0" t="n">
        <f aca="false">C3990/SUM($A3990:$C3990)</f>
        <v>0.467167778361107</v>
      </c>
      <c r="G3990" s="0" t="n">
        <f aca="false">SUMPRODUCT(D3990:F3990,Stats!$B$6:$D$6)</f>
        <v>0.357474731392326</v>
      </c>
      <c r="H3990" s="0" t="n">
        <f aca="false">SQRT(SUMPRODUCT(MMULT(D3990:F3990,Stats!$B$12:$D$14),D3990:F3990))</f>
        <v>0.2279936602941</v>
      </c>
      <c r="I3990" s="0" t="n">
        <f aca="false">(G3990-Stats!$B$2)/H3990</f>
        <v>1.38369957737149</v>
      </c>
    </row>
    <row r="3991" customFormat="false" ht="15" hidden="false" customHeight="false" outlineLevel="0" collapsed="false">
      <c r="A3991" s="0" t="n">
        <v>0.100031671067154</v>
      </c>
      <c r="B3991" s="0" t="n">
        <v>0.257740061311519</v>
      </c>
      <c r="C3991" s="0" t="n">
        <v>0.751798944518709</v>
      </c>
      <c r="D3991" s="0" t="n">
        <f aca="false">A3991/SUM($A3991:$C3991)</f>
        <v>0.0901534919315511</v>
      </c>
      <c r="E3991" s="0" t="n">
        <f aca="false">B3991/SUM($A3991:$C3991)</f>
        <v>0.232288097259582</v>
      </c>
      <c r="F3991" s="0" t="n">
        <f aca="false">C3991/SUM($A3991:$C3991)</f>
        <v>0.677558410808867</v>
      </c>
      <c r="G3991" s="0" t="n">
        <f aca="false">SUMPRODUCT(D3991:F3991,Stats!$B$6:$D$6)</f>
        <v>0.351165848352654</v>
      </c>
      <c r="H3991" s="0" t="n">
        <f aca="false">SQRT(SUMPRODUCT(MMULT(D3991:F3991,Stats!$B$12:$D$14),D3991:F3991))</f>
        <v>0.240979946687269</v>
      </c>
      <c r="I3991" s="0" t="n">
        <f aca="false">(G3991-Stats!$B$2)/H3991</f>
        <v>1.28295259669002</v>
      </c>
    </row>
    <row r="3992" customFormat="false" ht="15" hidden="false" customHeight="false" outlineLevel="0" collapsed="false">
      <c r="A3992" s="0" t="n">
        <v>0.0949866449773121</v>
      </c>
      <c r="B3992" s="0" t="n">
        <v>0.3207644140217</v>
      </c>
      <c r="C3992" s="0" t="n">
        <v>0.387155394053983</v>
      </c>
      <c r="D3992" s="0" t="n">
        <f aca="false">A3992/SUM($A3992:$C3992)</f>
        <v>0.118303501754323</v>
      </c>
      <c r="E3992" s="0" t="n">
        <f aca="false">B3992/SUM($A3992:$C3992)</f>
        <v>0.399504092664863</v>
      </c>
      <c r="F3992" s="0" t="n">
        <f aca="false">C3992/SUM($A3992:$C3992)</f>
        <v>0.482192405580814</v>
      </c>
      <c r="G3992" s="0" t="n">
        <f aca="false">SUMPRODUCT(D3992:F3992,Stats!$B$6:$D$6)</f>
        <v>0.366174382757293</v>
      </c>
      <c r="H3992" s="0" t="n">
        <f aca="false">SQRT(SUMPRODUCT(MMULT(D3992:F3992,Stats!$B$12:$D$14),D3992:F3992))</f>
        <v>0.236060477712052</v>
      </c>
      <c r="I3992" s="0" t="n">
        <f aca="false">(G3992-Stats!$B$2)/H3992</f>
        <v>1.37326835012476</v>
      </c>
    </row>
    <row r="3993" customFormat="false" ht="15" hidden="false" customHeight="false" outlineLevel="0" collapsed="false">
      <c r="A3993" s="0" t="n">
        <v>0.62259379656269</v>
      </c>
      <c r="B3993" s="0" t="n">
        <v>0.158132645719365</v>
      </c>
      <c r="C3993" s="0" t="n">
        <v>0.86060449034971</v>
      </c>
      <c r="D3993" s="0" t="n">
        <f aca="false">A3993/SUM($A3993:$C3993)</f>
        <v>0.379322526727991</v>
      </c>
      <c r="E3993" s="0" t="n">
        <f aca="false">B3993/SUM($A3993:$C3993)</f>
        <v>0.0963441574002444</v>
      </c>
      <c r="F3993" s="0" t="n">
        <f aca="false">C3993/SUM($A3993:$C3993)</f>
        <v>0.524333315871765</v>
      </c>
      <c r="G3993" s="0" t="n">
        <f aca="false">SUMPRODUCT(D3993:F3993,Stats!$B$6:$D$6)</f>
        <v>0.347568933061366</v>
      </c>
      <c r="H3993" s="0" t="n">
        <f aca="false">SQRT(SUMPRODUCT(MMULT(D3993:F3993,Stats!$B$12:$D$14),D3993:F3993))</f>
        <v>0.226116719438289</v>
      </c>
      <c r="I3993" s="0" t="n">
        <f aca="false">(G3993-Stats!$B$2)/H3993</f>
        <v>1.35137699600653</v>
      </c>
    </row>
    <row r="3994" customFormat="false" ht="15" hidden="false" customHeight="false" outlineLevel="0" collapsed="false">
      <c r="A3994" s="0" t="n">
        <v>0.447542235466274</v>
      </c>
      <c r="B3994" s="0" t="n">
        <v>0.917021711880557</v>
      </c>
      <c r="C3994" s="0" t="n">
        <v>0.467869913633932</v>
      </c>
      <c r="D3994" s="0" t="n">
        <f aca="false">A3994/SUM($A3994:$C3994)</f>
        <v>0.244233772905036</v>
      </c>
      <c r="E3994" s="0" t="n">
        <f aca="false">B3994/SUM($A3994:$C3994)</f>
        <v>0.500439187141928</v>
      </c>
      <c r="F3994" s="0" t="n">
        <f aca="false">C3994/SUM($A3994:$C3994)</f>
        <v>0.255327039953036</v>
      </c>
      <c r="G3994" s="0" t="n">
        <f aca="false">SUMPRODUCT(D3994:F3994,Stats!$B$6:$D$6)</f>
        <v>0.378237782655946</v>
      </c>
      <c r="H3994" s="0" t="n">
        <f aca="false">SQRT(SUMPRODUCT(MMULT(D3994:F3994,Stats!$B$12:$D$14),D3994:F3994))</f>
        <v>0.230887982343875</v>
      </c>
      <c r="I3994" s="0" t="n">
        <f aca="false">(G3994-Stats!$B$2)/H3994</f>
        <v>1.4562810036391</v>
      </c>
    </row>
    <row r="3995" customFormat="false" ht="15" hidden="false" customHeight="false" outlineLevel="0" collapsed="false">
      <c r="A3995" s="0" t="n">
        <v>0.275040258940733</v>
      </c>
      <c r="B3995" s="0" t="n">
        <v>0.141828828687675</v>
      </c>
      <c r="C3995" s="0" t="n">
        <v>0.00374509471128481</v>
      </c>
      <c r="D3995" s="0" t="n">
        <f aca="false">A3995/SUM($A3995:$C3995)</f>
        <v>0.653901533730519</v>
      </c>
      <c r="E3995" s="0" t="n">
        <f aca="false">B3995/SUM($A3995:$C3995)</f>
        <v>0.337194594577727</v>
      </c>
      <c r="F3995" s="0" t="n">
        <f aca="false">C3995/SUM($A3995:$C3995)</f>
        <v>0.00890387169175439</v>
      </c>
      <c r="G3995" s="0" t="n">
        <f aca="false">SUMPRODUCT(D3995:F3995,Stats!$B$6:$D$6)</f>
        <v>0.375639924168614</v>
      </c>
      <c r="H3995" s="0" t="n">
        <f aca="false">SQRT(SUMPRODUCT(MMULT(D3995:F3995,Stats!$B$12:$D$14),D3995:F3995))</f>
        <v>0.227288856637879</v>
      </c>
      <c r="I3995" s="0" t="n">
        <f aca="false">(G3995-Stats!$B$2)/H3995</f>
        <v>1.46791148982801</v>
      </c>
    </row>
    <row r="3996" customFormat="false" ht="15" hidden="false" customHeight="false" outlineLevel="0" collapsed="false">
      <c r="A3996" s="0" t="n">
        <v>0.532157484984836</v>
      </c>
      <c r="B3996" s="0" t="n">
        <v>0.107156696926923</v>
      </c>
      <c r="C3996" s="0" t="n">
        <v>0.391727763631178</v>
      </c>
      <c r="D3996" s="0" t="n">
        <f aca="false">A3996/SUM($A3996:$C3996)</f>
        <v>0.516135630839545</v>
      </c>
      <c r="E3996" s="0" t="n">
        <f aca="false">B3996/SUM($A3996:$C3996)</f>
        <v>0.103930492246361</v>
      </c>
      <c r="F3996" s="0" t="n">
        <f aca="false">C3996/SUM($A3996:$C3996)</f>
        <v>0.379933876914094</v>
      </c>
      <c r="G3996" s="0" t="n">
        <f aca="false">SUMPRODUCT(D3996:F3996,Stats!$B$6:$D$6)</f>
        <v>0.351987199939924</v>
      </c>
      <c r="H3996" s="0" t="n">
        <f aca="false">SQRT(SUMPRODUCT(MMULT(D3996:F3996,Stats!$B$12:$D$14),D3996:F3996))</f>
        <v>0.221998570371044</v>
      </c>
      <c r="I3996" s="0" t="n">
        <f aca="false">(G3996-Stats!$B$2)/H3996</f>
        <v>1.39634773062645</v>
      </c>
    </row>
    <row r="3997" customFormat="false" ht="15" hidden="false" customHeight="false" outlineLevel="0" collapsed="false">
      <c r="A3997" s="0" t="n">
        <v>0.589271761237087</v>
      </c>
      <c r="B3997" s="0" t="n">
        <v>0.2756858969027</v>
      </c>
      <c r="C3997" s="0" t="n">
        <v>0.175224292366115</v>
      </c>
      <c r="D3997" s="0" t="n">
        <f aca="false">A3997/SUM($A3997:$C3997)</f>
        <v>0.566508350726994</v>
      </c>
      <c r="E3997" s="0" t="n">
        <f aca="false">B3997/SUM($A3997:$C3997)</f>
        <v>0.265036224449595</v>
      </c>
      <c r="F3997" s="0" t="n">
        <f aca="false">C3997/SUM($A3997:$C3997)</f>
        <v>0.16845542482341</v>
      </c>
      <c r="G3997" s="0" t="n">
        <f aca="false">SUMPRODUCT(D3997:F3997,Stats!$B$6:$D$6)</f>
        <v>0.367088452233341</v>
      </c>
      <c r="H3997" s="0" t="n">
        <f aca="false">SQRT(SUMPRODUCT(MMULT(D3997:F3997,Stats!$B$12:$D$14),D3997:F3997))</f>
        <v>0.223214037467488</v>
      </c>
      <c r="I3997" s="0" t="n">
        <f aca="false">(G3997-Stats!$B$2)/H3997</f>
        <v>1.45639788573195</v>
      </c>
    </row>
    <row r="3998" customFormat="false" ht="15" hidden="false" customHeight="false" outlineLevel="0" collapsed="false">
      <c r="A3998" s="0" t="n">
        <v>0.774721622609342</v>
      </c>
      <c r="B3998" s="0" t="n">
        <v>0.946791172281621</v>
      </c>
      <c r="C3998" s="0" t="n">
        <v>0.100440417861966</v>
      </c>
      <c r="D3998" s="0" t="n">
        <f aca="false">A3998/SUM($A3998:$C3998)</f>
        <v>0.425214883228947</v>
      </c>
      <c r="E3998" s="0" t="n">
        <f aca="false">B3998/SUM($A3998:$C3998)</f>
        <v>0.519657236889767</v>
      </c>
      <c r="F3998" s="0" t="n">
        <f aca="false">C3998/SUM($A3998:$C3998)</f>
        <v>0.0551278798812857</v>
      </c>
      <c r="G3998" s="0" t="n">
        <f aca="false">SUMPRODUCT(D3998:F3998,Stats!$B$6:$D$6)</f>
        <v>0.384863979203334</v>
      </c>
      <c r="H3998" s="0" t="n">
        <f aca="false">SQRT(SUMPRODUCT(MMULT(D3998:F3998,Stats!$B$12:$D$14),D3998:F3998))</f>
        <v>0.229443970136582</v>
      </c>
      <c r="I3998" s="0" t="n">
        <f aca="false">(G3998-Stats!$B$2)/H3998</f>
        <v>1.49432551659229</v>
      </c>
    </row>
    <row r="3999" customFormat="false" ht="15" hidden="false" customHeight="false" outlineLevel="0" collapsed="false">
      <c r="A3999" s="0" t="n">
        <v>0.155590324385008</v>
      </c>
      <c r="B3999" s="0" t="n">
        <v>0.960012657252719</v>
      </c>
      <c r="C3999" s="0" t="n">
        <v>0.0377842218122463</v>
      </c>
      <c r="D3999" s="0" t="n">
        <f aca="false">A3999/SUM($A3999:$C3999)</f>
        <v>0.134898604665988</v>
      </c>
      <c r="E3999" s="0" t="n">
        <f aca="false">B3999/SUM($A3999:$C3999)</f>
        <v>0.832342039499971</v>
      </c>
      <c r="F3999" s="0" t="n">
        <f aca="false">C3999/SUM($A3999:$C3999)</f>
        <v>0.0327593558340403</v>
      </c>
      <c r="G3999" s="0" t="n">
        <f aca="false">SUMPRODUCT(D3999:F3999,Stats!$B$6:$D$6)</f>
        <v>0.403472261492721</v>
      </c>
      <c r="H3999" s="0" t="n">
        <f aca="false">SQRT(SUMPRODUCT(MMULT(D3999:F3999,Stats!$B$12:$D$14),D3999:F3999))</f>
        <v>0.243865632071009</v>
      </c>
      <c r="I3999" s="0" t="n">
        <f aca="false">(G3999-Stats!$B$2)/H3999</f>
        <v>1.48225995776013</v>
      </c>
    </row>
    <row r="4000" customFormat="false" ht="15" hidden="false" customHeight="false" outlineLevel="0" collapsed="false">
      <c r="A4000" s="0" t="n">
        <v>0.977632336550472</v>
      </c>
      <c r="B4000" s="0" t="n">
        <v>0.00464448308498877</v>
      </c>
      <c r="C4000" s="0" t="n">
        <v>0.873668655651331</v>
      </c>
      <c r="D4000" s="0" t="n">
        <f aca="false">A4000/SUM($A4000:$C4000)</f>
        <v>0.526757035467005</v>
      </c>
      <c r="E4000" s="0" t="n">
        <f aca="false">B4000/SUM($A4000:$C4000)</f>
        <v>0.00250248897224261</v>
      </c>
      <c r="F4000" s="0" t="n">
        <f aca="false">C4000/SUM($A4000:$C4000)</f>
        <v>0.470740475560752</v>
      </c>
      <c r="G4000" s="0" t="n">
        <f aca="false">SUMPRODUCT(D4000:F4000,Stats!$B$6:$D$6)</f>
        <v>0.3436472068756</v>
      </c>
      <c r="H4000" s="0" t="n">
        <f aca="false">SQRT(SUMPRODUCT(MMULT(D4000:F4000,Stats!$B$12:$D$14),D4000:F4000))</f>
        <v>0.222803536213691</v>
      </c>
      <c r="I4000" s="0" t="n">
        <f aca="false">(G4000-Stats!$B$2)/H4000</f>
        <v>1.35387082270674</v>
      </c>
    </row>
    <row r="4001" customFormat="false" ht="15" hidden="false" customHeight="false" outlineLevel="0" collapsed="false">
      <c r="A4001" s="0" t="n">
        <v>0.30732518098775</v>
      </c>
      <c r="B4001" s="0" t="n">
        <v>0.938588858177297</v>
      </c>
      <c r="C4001" s="0" t="n">
        <v>0.316945288635586</v>
      </c>
      <c r="D4001" s="0" t="n">
        <f aca="false">A4001/SUM($A4001:$C4001)</f>
        <v>0.19664289390667</v>
      </c>
      <c r="E4001" s="0" t="n">
        <f aca="false">B4001/SUM($A4001:$C4001)</f>
        <v>0.600558758860368</v>
      </c>
      <c r="F4001" s="0" t="n">
        <f aca="false">C4001/SUM($A4001:$C4001)</f>
        <v>0.202798347232962</v>
      </c>
      <c r="G4001" s="0" t="n">
        <f aca="false">SUMPRODUCT(D4001:F4001,Stats!$B$6:$D$6)</f>
        <v>0.385446991728557</v>
      </c>
      <c r="H4001" s="0" t="n">
        <f aca="false">SQRT(SUMPRODUCT(MMULT(D4001:F4001,Stats!$B$12:$D$14),D4001:F4001))</f>
        <v>0.234378084416764</v>
      </c>
      <c r="I4001" s="0" t="n">
        <f aca="false">(G4001-Stats!$B$2)/H4001</f>
        <v>1.46535454704822</v>
      </c>
    </row>
    <row r="4002" customFormat="false" ht="15" hidden="false" customHeight="false" outlineLevel="0" collapsed="false">
      <c r="A4002" s="0" t="n">
        <v>0.654306321534056</v>
      </c>
      <c r="B4002" s="0" t="n">
        <v>0.0800325697659367</v>
      </c>
      <c r="C4002" s="0" t="n">
        <v>0.242329811453739</v>
      </c>
      <c r="D4002" s="0" t="n">
        <f aca="false">A4002/SUM($A4002:$C4002)</f>
        <v>0.669936816536897</v>
      </c>
      <c r="E4002" s="0" t="n">
        <f aca="false">B4002/SUM($A4002:$C4002)</f>
        <v>0.0819444398497501</v>
      </c>
      <c r="F4002" s="0" t="n">
        <f aca="false">C4002/SUM($A4002:$C4002)</f>
        <v>0.248118743613353</v>
      </c>
      <c r="G4002" s="0" t="n">
        <f aca="false">SUMPRODUCT(D4002:F4002,Stats!$B$6:$D$6)</f>
        <v>0.354356902543016</v>
      </c>
      <c r="H4002" s="0" t="n">
        <f aca="false">SQRT(SUMPRODUCT(MMULT(D4002:F4002,Stats!$B$12:$D$14),D4002:F4002))</f>
        <v>0.221710881277144</v>
      </c>
      <c r="I4002" s="0" t="n">
        <f aca="false">(G4002-Stats!$B$2)/H4002</f>
        <v>1.40884786864639</v>
      </c>
    </row>
    <row r="4003" customFormat="false" ht="15" hidden="false" customHeight="false" outlineLevel="0" collapsed="false">
      <c r="A4003" s="0" t="n">
        <v>0.773679346479251</v>
      </c>
      <c r="B4003" s="0" t="n">
        <v>0.52868585367882</v>
      </c>
      <c r="C4003" s="0" t="n">
        <v>0.927969061787045</v>
      </c>
      <c r="D4003" s="0" t="n">
        <f aca="false">A4003/SUM($A4003:$C4003)</f>
        <v>0.346889414595869</v>
      </c>
      <c r="E4003" s="0" t="n">
        <f aca="false">B4003/SUM($A4003:$C4003)</f>
        <v>0.237043326957522</v>
      </c>
      <c r="F4003" s="0" t="n">
        <f aca="false">C4003/SUM($A4003:$C4003)</f>
        <v>0.416067258446609</v>
      </c>
      <c r="G4003" s="0" t="n">
        <f aca="false">SUMPRODUCT(D4003:F4003,Stats!$B$6:$D$6)</f>
        <v>0.358649976066504</v>
      </c>
      <c r="H4003" s="0" t="n">
        <f aca="false">SQRT(SUMPRODUCT(MMULT(D4003:F4003,Stats!$B$12:$D$14),D4003:F4003))</f>
        <v>0.225785790379573</v>
      </c>
      <c r="I4003" s="0" t="n">
        <f aca="false">(G4003-Stats!$B$2)/H4003</f>
        <v>1.40243535934736</v>
      </c>
    </row>
    <row r="4004" customFormat="false" ht="15" hidden="false" customHeight="false" outlineLevel="0" collapsed="false">
      <c r="A4004" s="0" t="n">
        <v>0.428751408341354</v>
      </c>
      <c r="B4004" s="0" t="n">
        <v>0.869812365813923</v>
      </c>
      <c r="C4004" s="0" t="n">
        <v>0.448955437478238</v>
      </c>
      <c r="D4004" s="0" t="n">
        <f aca="false">A4004/SUM($A4004:$C4004)</f>
        <v>0.245348609324056</v>
      </c>
      <c r="E4004" s="0" t="n">
        <f aca="false">B4004/SUM($A4004:$C4004)</f>
        <v>0.497741232269976</v>
      </c>
      <c r="F4004" s="0" t="n">
        <f aca="false">C4004/SUM($A4004:$C4004)</f>
        <v>0.256910158405967</v>
      </c>
      <c r="G4004" s="0" t="n">
        <f aca="false">SUMPRODUCT(D4004:F4004,Stats!$B$6:$D$6)</f>
        <v>0.378038891942068</v>
      </c>
      <c r="H4004" s="0" t="n">
        <f aca="false">SQRT(SUMPRODUCT(MMULT(D4004:F4004,Stats!$B$12:$D$14),D4004:F4004))</f>
        <v>0.230808145611073</v>
      </c>
      <c r="I4004" s="0" t="n">
        <f aca="false">(G4004-Stats!$B$2)/H4004</f>
        <v>1.45592301802171</v>
      </c>
    </row>
    <row r="4005" customFormat="false" ht="15" hidden="false" customHeight="false" outlineLevel="0" collapsed="false">
      <c r="A4005" s="0" t="n">
        <v>0.979248278701985</v>
      </c>
      <c r="B4005" s="0" t="n">
        <v>0.959834381398877</v>
      </c>
      <c r="C4005" s="0" t="n">
        <v>0.32913670555608</v>
      </c>
      <c r="D4005" s="0" t="n">
        <f aca="false">A4005/SUM($A4005:$C4005)</f>
        <v>0.431725561261296</v>
      </c>
      <c r="E4005" s="0" t="n">
        <f aca="false">B4005/SUM($A4005:$C4005)</f>
        <v>0.423166469668546</v>
      </c>
      <c r="F4005" s="0" t="n">
        <f aca="false">C4005/SUM($A4005:$C4005)</f>
        <v>0.145107969070158</v>
      </c>
      <c r="G4005" s="0" t="n">
        <f aca="false">SUMPRODUCT(D4005:F4005,Stats!$B$6:$D$6)</f>
        <v>0.37683085899176</v>
      </c>
      <c r="H4005" s="0" t="n">
        <f aca="false">SQRT(SUMPRODUCT(MMULT(D4005:F4005,Stats!$B$12:$D$14),D4005:F4005))</f>
        <v>0.226353363874528</v>
      </c>
      <c r="I4005" s="0" t="n">
        <f aca="false">(G4005-Stats!$B$2)/H4005</f>
        <v>1.47923959803559</v>
      </c>
    </row>
    <row r="4006" customFormat="false" ht="15" hidden="false" customHeight="false" outlineLevel="0" collapsed="false">
      <c r="A4006" s="0" t="n">
        <v>0.885923670416803</v>
      </c>
      <c r="B4006" s="0" t="n">
        <v>0.847611374215649</v>
      </c>
      <c r="C4006" s="0" t="n">
        <v>0.210680397327563</v>
      </c>
      <c r="D4006" s="0" t="n">
        <f aca="false">A4006/SUM($A4006:$C4006)</f>
        <v>0.455671553314935</v>
      </c>
      <c r="E4006" s="0" t="n">
        <f aca="false">B4006/SUM($A4006:$C4006)</f>
        <v>0.435965765893285</v>
      </c>
      <c r="F4006" s="0" t="n">
        <f aca="false">C4006/SUM($A4006:$C4006)</f>
        <v>0.10836268079178</v>
      </c>
      <c r="G4006" s="0" t="n">
        <f aca="false">SUMPRODUCT(D4006:F4006,Stats!$B$6:$D$6)</f>
        <v>0.378580551122022</v>
      </c>
      <c r="H4006" s="0" t="n">
        <f aca="false">SQRT(SUMPRODUCT(MMULT(D4006:F4006,Stats!$B$12:$D$14),D4006:F4006))</f>
        <v>0.226776565634423</v>
      </c>
      <c r="I4006" s="0" t="n">
        <f aca="false">(G4006-Stats!$B$2)/H4006</f>
        <v>1.48419458677494</v>
      </c>
    </row>
    <row r="4007" customFormat="false" ht="15" hidden="false" customHeight="false" outlineLevel="0" collapsed="false">
      <c r="A4007" s="0" t="n">
        <v>0.62429040078327</v>
      </c>
      <c r="B4007" s="0" t="n">
        <v>0.0726823155898149</v>
      </c>
      <c r="C4007" s="0" t="n">
        <v>0.836710720583462</v>
      </c>
      <c r="D4007" s="0" t="n">
        <f aca="false">A4007/SUM($A4007:$C4007)</f>
        <v>0.407052971780224</v>
      </c>
      <c r="E4007" s="0" t="n">
        <f aca="false">B4007/SUM($A4007:$C4007)</f>
        <v>0.0473906895245907</v>
      </c>
      <c r="F4007" s="0" t="n">
        <f aca="false">C4007/SUM($A4007:$C4007)</f>
        <v>0.545556338695186</v>
      </c>
      <c r="G4007" s="0" t="n">
        <f aca="false">SUMPRODUCT(D4007:F4007,Stats!$B$6:$D$6)</f>
        <v>0.344166997187483</v>
      </c>
      <c r="H4007" s="0" t="n">
        <f aca="false">SQRT(SUMPRODUCT(MMULT(D4007:F4007,Stats!$B$12:$D$14),D4007:F4007))</f>
        <v>0.225919193229596</v>
      </c>
      <c r="I4007" s="0" t="n">
        <f aca="false">(G4007-Stats!$B$2)/H4007</f>
        <v>1.33750033747862</v>
      </c>
    </row>
    <row r="4008" customFormat="false" ht="15" hidden="false" customHeight="false" outlineLevel="0" collapsed="false">
      <c r="A4008" s="0" t="n">
        <v>0.174545883503497</v>
      </c>
      <c r="B4008" s="0" t="n">
        <v>0.0708147013857645</v>
      </c>
      <c r="C4008" s="0" t="n">
        <v>0.400219095538811</v>
      </c>
      <c r="D4008" s="0" t="n">
        <f aca="false">A4008/SUM($A4008:$C4008)</f>
        <v>0.27037078271695</v>
      </c>
      <c r="E4008" s="0" t="n">
        <f aca="false">B4008/SUM($A4008:$C4008)</f>
        <v>0.109691651600324</v>
      </c>
      <c r="F4008" s="0" t="n">
        <f aca="false">C4008/SUM($A4008:$C4008)</f>
        <v>0.619937565682726</v>
      </c>
      <c r="G4008" s="0" t="n">
        <f aca="false">SUMPRODUCT(D4008:F4008,Stats!$B$6:$D$6)</f>
        <v>0.345700680185106</v>
      </c>
      <c r="H4008" s="0" t="n">
        <f aca="false">SQRT(SUMPRODUCT(MMULT(D4008:F4008,Stats!$B$12:$D$14),D4008:F4008))</f>
        <v>0.231510056739273</v>
      </c>
      <c r="I4008" s="0" t="n">
        <f aca="false">(G4008-Stats!$B$2)/H4008</f>
        <v>1.31182500001343</v>
      </c>
    </row>
    <row r="4009" customFormat="false" ht="15" hidden="false" customHeight="false" outlineLevel="0" collapsed="false">
      <c r="A4009" s="0" t="n">
        <v>0.576922138599644</v>
      </c>
      <c r="B4009" s="0" t="n">
        <v>0.854916958559771</v>
      </c>
      <c r="C4009" s="0" t="n">
        <v>0.974242525521737</v>
      </c>
      <c r="D4009" s="0" t="n">
        <f aca="false">A4009/SUM($A4009:$C4009)</f>
        <v>0.239776628174719</v>
      </c>
      <c r="E4009" s="0" t="n">
        <f aca="false">B4009/SUM($A4009:$C4009)</f>
        <v>0.355315027761659</v>
      </c>
      <c r="F4009" s="0" t="n">
        <f aca="false">C4009/SUM($A4009:$C4009)</f>
        <v>0.404908344063622</v>
      </c>
      <c r="G4009" s="0" t="n">
        <f aca="false">SUMPRODUCT(D4009:F4009,Stats!$B$6:$D$6)</f>
        <v>0.365762879426874</v>
      </c>
      <c r="H4009" s="0" t="n">
        <f aca="false">SQRT(SUMPRODUCT(MMULT(D4009:F4009,Stats!$B$12:$D$14),D4009:F4009))</f>
        <v>0.229784636481648</v>
      </c>
      <c r="I4009" s="0" t="n">
        <f aca="false">(G4009-Stats!$B$2)/H4009</f>
        <v>1.40898401383215</v>
      </c>
    </row>
    <row r="4010" customFormat="false" ht="15" hidden="false" customHeight="false" outlineLevel="0" collapsed="false">
      <c r="A4010" s="0" t="n">
        <v>0.439492512569864</v>
      </c>
      <c r="B4010" s="0" t="n">
        <v>0.0604469229852702</v>
      </c>
      <c r="C4010" s="0" t="n">
        <v>0.749115579025871</v>
      </c>
      <c r="D4010" s="0" t="n">
        <f aca="false">A4010/SUM($A4010:$C4010)</f>
        <v>0.351860012120676</v>
      </c>
      <c r="E4010" s="0" t="n">
        <f aca="false">B4010/SUM($A4010:$C4010)</f>
        <v>0.0483941237812869</v>
      </c>
      <c r="F4010" s="0" t="n">
        <f aca="false">C4010/SUM($A4010:$C4010)</f>
        <v>0.599745864098037</v>
      </c>
      <c r="G4010" s="0" t="n">
        <f aca="false">SUMPRODUCT(D4010:F4010,Stats!$B$6:$D$6)</f>
        <v>0.342730478175297</v>
      </c>
      <c r="H4010" s="0" t="n">
        <f aca="false">SQRT(SUMPRODUCT(MMULT(D4010:F4010,Stats!$B$12:$D$14),D4010:F4010))</f>
        <v>0.228511848451876</v>
      </c>
      <c r="I4010" s="0" t="n">
        <f aca="false">(G4010-Stats!$B$2)/H4010</f>
        <v>1.31603888469105</v>
      </c>
    </row>
    <row r="4011" customFormat="false" ht="15" hidden="false" customHeight="false" outlineLevel="0" collapsed="false">
      <c r="A4011" s="0" t="n">
        <v>0.565173256223937</v>
      </c>
      <c r="B4011" s="0" t="n">
        <v>0.447891344844463</v>
      </c>
      <c r="C4011" s="0" t="n">
        <v>0.30926887879219</v>
      </c>
      <c r="D4011" s="0" t="n">
        <f aca="false">A4011/SUM($A4011:$C4011)</f>
        <v>0.427405994653877</v>
      </c>
      <c r="E4011" s="0" t="n">
        <f aca="false">B4011/SUM($A4011:$C4011)</f>
        <v>0.338712852443003</v>
      </c>
      <c r="F4011" s="0" t="n">
        <f aca="false">C4011/SUM($A4011:$C4011)</f>
        <v>0.23388115290312</v>
      </c>
      <c r="G4011" s="0" t="n">
        <f aca="false">SUMPRODUCT(D4011:F4011,Stats!$B$6:$D$6)</f>
        <v>0.369523620762548</v>
      </c>
      <c r="H4011" s="0" t="n">
        <f aca="false">SQRT(SUMPRODUCT(MMULT(D4011:F4011,Stats!$B$12:$D$14),D4011:F4011))</f>
        <v>0.224556042050018</v>
      </c>
      <c r="I4011" s="0" t="n">
        <f aca="false">(G4011-Stats!$B$2)/H4011</f>
        <v>1.45853844667245</v>
      </c>
    </row>
    <row r="4012" customFormat="false" ht="15" hidden="false" customHeight="false" outlineLevel="0" collapsed="false">
      <c r="A4012" s="0" t="n">
        <v>0.502398527843536</v>
      </c>
      <c r="B4012" s="0" t="n">
        <v>0.338679604457031</v>
      </c>
      <c r="C4012" s="0" t="n">
        <v>0.75701186774736</v>
      </c>
      <c r="D4012" s="0" t="n">
        <f aca="false">A4012/SUM($A4012:$C4012)</f>
        <v>0.314374364290164</v>
      </c>
      <c r="E4012" s="0" t="n">
        <f aca="false">B4012/SUM($A4012:$C4012)</f>
        <v>0.211927741520737</v>
      </c>
      <c r="F4012" s="0" t="n">
        <f aca="false">C4012/SUM($A4012:$C4012)</f>
        <v>0.473697894189099</v>
      </c>
      <c r="G4012" s="0" t="n">
        <f aca="false">SUMPRODUCT(D4012:F4012,Stats!$B$6:$D$6)</f>
        <v>0.355615715172246</v>
      </c>
      <c r="H4012" s="0" t="n">
        <f aca="false">SQRT(SUMPRODUCT(MMULT(D4012:F4012,Stats!$B$12:$D$14),D4012:F4012))</f>
        <v>0.227267000936728</v>
      </c>
      <c r="I4012" s="0" t="n">
        <f aca="false">(G4012-Stats!$B$2)/H4012</f>
        <v>1.37994391565698</v>
      </c>
    </row>
    <row r="4013" customFormat="false" ht="15" hidden="false" customHeight="false" outlineLevel="0" collapsed="false">
      <c r="A4013" s="0" t="n">
        <v>0.543893696492641</v>
      </c>
      <c r="B4013" s="0" t="n">
        <v>0.876847774154112</v>
      </c>
      <c r="C4013" s="0" t="n">
        <v>0.543543914649442</v>
      </c>
      <c r="D4013" s="0" t="n">
        <f aca="false">A4013/SUM($A4013:$C4013)</f>
        <v>0.276891382771566</v>
      </c>
      <c r="E4013" s="0" t="n">
        <f aca="false">B4013/SUM($A4013:$C4013)</f>
        <v>0.446395305243231</v>
      </c>
      <c r="F4013" s="0" t="n">
        <f aca="false">C4013/SUM($A4013:$C4013)</f>
        <v>0.276713311985204</v>
      </c>
      <c r="G4013" s="0" t="n">
        <f aca="false">SUMPRODUCT(D4013:F4013,Stats!$B$6:$D$6)</f>
        <v>0.374538449413428</v>
      </c>
      <c r="H4013" s="0" t="n">
        <f aca="false">SQRT(SUMPRODUCT(MMULT(D4013:F4013,Stats!$B$12:$D$14),D4013:F4013))</f>
        <v>0.229084753238085</v>
      </c>
      <c r="I4013" s="0" t="n">
        <f aca="false">(G4013-Stats!$B$2)/H4013</f>
        <v>1.45159572914843</v>
      </c>
    </row>
    <row r="4014" customFormat="false" ht="15" hidden="false" customHeight="false" outlineLevel="0" collapsed="false">
      <c r="A4014" s="0" t="n">
        <v>0.23826241333993</v>
      </c>
      <c r="B4014" s="0" t="n">
        <v>0.851091882232145</v>
      </c>
      <c r="C4014" s="0" t="n">
        <v>0.557219044930044</v>
      </c>
      <c r="D4014" s="0" t="n">
        <f aca="false">A4014/SUM($A4014:$C4014)</f>
        <v>0.144701974384738</v>
      </c>
      <c r="E4014" s="0" t="n">
        <f aca="false">B4014/SUM($A4014:$C4014)</f>
        <v>0.516886713331947</v>
      </c>
      <c r="F4014" s="0" t="n">
        <f aca="false">C4014/SUM($A4014:$C4014)</f>
        <v>0.338411312283315</v>
      </c>
      <c r="G4014" s="0" t="n">
        <f aca="false">SUMPRODUCT(D4014:F4014,Stats!$B$6:$D$6)</f>
        <v>0.376893135171687</v>
      </c>
      <c r="H4014" s="0" t="n">
        <f aca="false">SQRT(SUMPRODUCT(MMULT(D4014:F4014,Stats!$B$12:$D$14),D4014:F4014))</f>
        <v>0.234846727152925</v>
      </c>
      <c r="I4014" s="0" t="n">
        <f aca="false">(G4014-Stats!$B$2)/H4014</f>
        <v>1.42600724835145</v>
      </c>
    </row>
    <row r="4015" customFormat="false" ht="15" hidden="false" customHeight="false" outlineLevel="0" collapsed="false">
      <c r="A4015" s="0" t="n">
        <v>0.206841038143561</v>
      </c>
      <c r="B4015" s="0" t="n">
        <v>0.623507809956222</v>
      </c>
      <c r="C4015" s="0" t="n">
        <v>0.357716764942428</v>
      </c>
      <c r="D4015" s="0" t="n">
        <f aca="false">A4015/SUM($A4015:$C4015)</f>
        <v>0.174099002507038</v>
      </c>
      <c r="E4015" s="0" t="n">
        <f aca="false">B4015/SUM($A4015:$C4015)</f>
        <v>0.524809238741993</v>
      </c>
      <c r="F4015" s="0" t="n">
        <f aca="false">C4015/SUM($A4015:$C4015)</f>
        <v>0.301091758750969</v>
      </c>
      <c r="G4015" s="0" t="n">
        <f aca="false">SUMPRODUCT(D4015:F4015,Stats!$B$6:$D$6)</f>
        <v>0.378378059364656</v>
      </c>
      <c r="H4015" s="0" t="n">
        <f aca="false">SQRT(SUMPRODUCT(MMULT(D4015:F4015,Stats!$B$12:$D$14),D4015:F4015))</f>
        <v>0.23368413509976</v>
      </c>
      <c r="I4015" s="0" t="n">
        <f aca="false">(G4015-Stats!$B$2)/H4015</f>
        <v>1.43945612405847</v>
      </c>
    </row>
    <row r="4016" customFormat="false" ht="15" hidden="false" customHeight="false" outlineLevel="0" collapsed="false">
      <c r="A4016" s="0" t="n">
        <v>0.844405612292066</v>
      </c>
      <c r="B4016" s="0" t="n">
        <v>0.453299738646543</v>
      </c>
      <c r="C4016" s="0" t="n">
        <v>0.726441358107417</v>
      </c>
      <c r="D4016" s="0" t="n">
        <f aca="false">A4016/SUM($A4016:$C4016)</f>
        <v>0.417166210590551</v>
      </c>
      <c r="E4016" s="0" t="n">
        <f aca="false">B4016/SUM($A4016:$C4016)</f>
        <v>0.223946088799157</v>
      </c>
      <c r="F4016" s="0" t="n">
        <f aca="false">C4016/SUM($A4016:$C4016)</f>
        <v>0.358887700610291</v>
      </c>
      <c r="G4016" s="0" t="n">
        <f aca="false">SUMPRODUCT(D4016:F4016,Stats!$B$6:$D$6)</f>
        <v>0.359473082249218</v>
      </c>
      <c r="H4016" s="0" t="n">
        <f aca="false">SQRT(SUMPRODUCT(MMULT(D4016:F4016,Stats!$B$12:$D$14),D4016:F4016))</f>
        <v>0.223739557994699</v>
      </c>
      <c r="I4016" s="0" t="n">
        <f aca="false">(G4016-Stats!$B$2)/H4016</f>
        <v>1.41894032997393</v>
      </c>
    </row>
    <row r="4017" customFormat="false" ht="15" hidden="false" customHeight="false" outlineLevel="0" collapsed="false">
      <c r="A4017" s="0" t="n">
        <v>0.0955362076362372</v>
      </c>
      <c r="B4017" s="0" t="n">
        <v>0.396024346302346</v>
      </c>
      <c r="C4017" s="0" t="n">
        <v>0.983241436472399</v>
      </c>
      <c r="D4017" s="0" t="n">
        <f aca="false">A4017/SUM($A4017:$C4017)</f>
        <v>0.0647790064411387</v>
      </c>
      <c r="E4017" s="0" t="n">
        <f aca="false">B4017/SUM($A4017:$C4017)</f>
        <v>0.268527130338349</v>
      </c>
      <c r="F4017" s="0" t="n">
        <f aca="false">C4017/SUM($A4017:$C4017)</f>
        <v>0.666693863220513</v>
      </c>
      <c r="G4017" s="0" t="n">
        <f aca="false">SUMPRODUCT(D4017:F4017,Stats!$B$6:$D$6)</f>
        <v>0.353550581133768</v>
      </c>
      <c r="H4017" s="0" t="n">
        <f aca="false">SQRT(SUMPRODUCT(MMULT(D4017:F4017,Stats!$B$12:$D$14),D4017:F4017))</f>
        <v>0.242054809587031</v>
      </c>
      <c r="I4017" s="0" t="n">
        <f aca="false">(G4017-Stats!$B$2)/H4017</f>
        <v>1.28710758387864</v>
      </c>
    </row>
    <row r="4018" customFormat="false" ht="15" hidden="false" customHeight="false" outlineLevel="0" collapsed="false">
      <c r="A4018" s="0" t="n">
        <v>0.808460289477148</v>
      </c>
      <c r="B4018" s="0" t="n">
        <v>0.159940802366929</v>
      </c>
      <c r="C4018" s="0" t="n">
        <v>0.277764049477255</v>
      </c>
      <c r="D4018" s="0" t="n">
        <f aca="false">A4018/SUM($A4018:$C4018)</f>
        <v>0.648758549464739</v>
      </c>
      <c r="E4018" s="0" t="n">
        <f aca="false">B4018/SUM($A4018:$C4018)</f>
        <v>0.128346394120237</v>
      </c>
      <c r="F4018" s="0" t="n">
        <f aca="false">C4018/SUM($A4018:$C4018)</f>
        <v>0.222895056415024</v>
      </c>
      <c r="G4018" s="0" t="n">
        <f aca="false">SUMPRODUCT(D4018:F4018,Stats!$B$6:$D$6)</f>
        <v>0.35772234440782</v>
      </c>
      <c r="H4018" s="0" t="n">
        <f aca="false">SQRT(SUMPRODUCT(MMULT(D4018:F4018,Stats!$B$12:$D$14),D4018:F4018))</f>
        <v>0.221914765658879</v>
      </c>
      <c r="I4018" s="0" t="n">
        <f aca="false">(G4018-Stats!$B$2)/H4018</f>
        <v>1.42271895910315</v>
      </c>
    </row>
    <row r="4019" customFormat="false" ht="15" hidden="false" customHeight="false" outlineLevel="0" collapsed="false">
      <c r="A4019" s="0" t="n">
        <v>0.329815808856361</v>
      </c>
      <c r="B4019" s="0" t="n">
        <v>0.650365560495446</v>
      </c>
      <c r="C4019" s="0" t="n">
        <v>0.756994759489656</v>
      </c>
      <c r="D4019" s="0" t="n">
        <f aca="false">A4019/SUM($A4019:$C4019)</f>
        <v>0.189857437815657</v>
      </c>
      <c r="E4019" s="0" t="n">
        <f aca="false">B4019/SUM($A4019:$C4019)</f>
        <v>0.374380898803382</v>
      </c>
      <c r="F4019" s="0" t="n">
        <f aca="false">C4019/SUM($A4019:$C4019)</f>
        <v>0.435761663380962</v>
      </c>
      <c r="G4019" s="0" t="n">
        <f aca="false">SUMPRODUCT(D4019:F4019,Stats!$B$6:$D$6)</f>
        <v>0.366009136556776</v>
      </c>
      <c r="H4019" s="0" t="n">
        <f aca="false">SQRT(SUMPRODUCT(MMULT(D4019:F4019,Stats!$B$12:$D$14),D4019:F4019))</f>
        <v>0.232137873017733</v>
      </c>
      <c r="I4019" s="0" t="n">
        <f aca="false">(G4019-Stats!$B$2)/H4019</f>
        <v>1.395761632278</v>
      </c>
    </row>
    <row r="4020" customFormat="false" ht="15" hidden="false" customHeight="false" outlineLevel="0" collapsed="false">
      <c r="A4020" s="0" t="n">
        <v>0.74952660880791</v>
      </c>
      <c r="B4020" s="0" t="n">
        <v>0.509874056306403</v>
      </c>
      <c r="C4020" s="0" t="n">
        <v>0.810820537838151</v>
      </c>
      <c r="D4020" s="0" t="n">
        <f aca="false">A4020/SUM($A4020:$C4020)</f>
        <v>0.362051459882145</v>
      </c>
      <c r="E4020" s="0" t="n">
        <f aca="false">B4020/SUM($A4020:$C4020)</f>
        <v>0.246289650390616</v>
      </c>
      <c r="F4020" s="0" t="n">
        <f aca="false">C4020/SUM($A4020:$C4020)</f>
        <v>0.391658889727239</v>
      </c>
      <c r="G4020" s="0" t="n">
        <f aca="false">SUMPRODUCT(D4020:F4020,Stats!$B$6:$D$6)</f>
        <v>0.359855048929047</v>
      </c>
      <c r="H4020" s="0" t="n">
        <f aca="false">SQRT(SUMPRODUCT(MMULT(D4020:F4020,Stats!$B$12:$D$14),D4020:F4020))</f>
        <v>0.225248011366601</v>
      </c>
      <c r="I4020" s="0" t="n">
        <f aca="false">(G4020-Stats!$B$2)/H4020</f>
        <v>1.41113365219337</v>
      </c>
    </row>
    <row r="4021" customFormat="false" ht="15" hidden="false" customHeight="false" outlineLevel="0" collapsed="false">
      <c r="A4021" s="0" t="n">
        <v>0.437078082757475</v>
      </c>
      <c r="B4021" s="0" t="n">
        <v>0.123880565295562</v>
      </c>
      <c r="C4021" s="0" t="n">
        <v>0.564441841653813</v>
      </c>
      <c r="D4021" s="0" t="n">
        <f aca="false">A4021/SUM($A4021:$C4021)</f>
        <v>0.388375593182234</v>
      </c>
      <c r="E4021" s="0" t="n">
        <f aca="false">B4021/SUM($A4021:$C4021)</f>
        <v>0.110076871681326</v>
      </c>
      <c r="F4021" s="0" t="n">
        <f aca="false">C4021/SUM($A4021:$C4021)</f>
        <v>0.50154753513644</v>
      </c>
      <c r="G4021" s="0" t="n">
        <f aca="false">SUMPRODUCT(D4021:F4021,Stats!$B$6:$D$6)</f>
        <v>0.3489874048071</v>
      </c>
      <c r="H4021" s="0" t="n">
        <f aca="false">SQRT(SUMPRODUCT(MMULT(D4021:F4021,Stats!$B$12:$D$14),D4021:F4021))</f>
        <v>0.225505636057207</v>
      </c>
      <c r="I4021" s="0" t="n">
        <f aca="false">(G4021-Stats!$B$2)/H4021</f>
        <v>1.36132918970248</v>
      </c>
    </row>
    <row r="4022" customFormat="false" ht="15" hidden="false" customHeight="false" outlineLevel="0" collapsed="false">
      <c r="A4022" s="0" t="n">
        <v>0.952301384601107</v>
      </c>
      <c r="B4022" s="0" t="n">
        <v>0.792993651392511</v>
      </c>
      <c r="C4022" s="0" t="n">
        <v>0.578700647692242</v>
      </c>
      <c r="D4022" s="0" t="n">
        <f aca="false">A4022/SUM($A4022:$C4022)</f>
        <v>0.409768998835125</v>
      </c>
      <c r="E4022" s="0" t="n">
        <f aca="false">B4022/SUM($A4022:$C4022)</f>
        <v>0.341219932962536</v>
      </c>
      <c r="F4022" s="0" t="n">
        <f aca="false">C4022/SUM($A4022:$C4022)</f>
        <v>0.249011068202339</v>
      </c>
      <c r="G4022" s="0" t="n">
        <f aca="false">SUMPRODUCT(D4022:F4022,Stats!$B$6:$D$6)</f>
        <v>0.369250673335687</v>
      </c>
      <c r="H4022" s="0" t="n">
        <f aca="false">SQRT(SUMPRODUCT(MMULT(D4022:F4022,Stats!$B$12:$D$14),D4022:F4022))</f>
        <v>0.224797079640137</v>
      </c>
      <c r="I4022" s="0" t="n">
        <f aca="false">(G4022-Stats!$B$2)/H4022</f>
        <v>1.45576034110212</v>
      </c>
    </row>
    <row r="4023" customFormat="false" ht="15" hidden="false" customHeight="false" outlineLevel="0" collapsed="false">
      <c r="A4023" s="0" t="n">
        <v>0.646805660349097</v>
      </c>
      <c r="B4023" s="0" t="n">
        <v>0.930562027035573</v>
      </c>
      <c r="C4023" s="0" t="n">
        <v>0.428342794434961</v>
      </c>
      <c r="D4023" s="0" t="n">
        <f aca="false">A4023/SUM($A4023:$C4023)</f>
        <v>0.322482066186491</v>
      </c>
      <c r="E4023" s="0" t="n">
        <f aca="false">B4023/SUM($A4023:$C4023)</f>
        <v>0.463956306491126</v>
      </c>
      <c r="F4023" s="0" t="n">
        <f aca="false">C4023/SUM($A4023:$C4023)</f>
        <v>0.213561627322383</v>
      </c>
      <c r="G4023" s="0" t="n">
        <f aca="false">SUMPRODUCT(D4023:F4023,Stats!$B$6:$D$6)</f>
        <v>0.377290270111635</v>
      </c>
      <c r="H4023" s="0" t="n">
        <f aca="false">SQRT(SUMPRODUCT(MMULT(D4023:F4023,Stats!$B$12:$D$14),D4023:F4023))</f>
        <v>0.228344445775971</v>
      </c>
      <c r="I4023" s="0" t="n">
        <f aca="false">(G4023-Stats!$B$2)/H4023</f>
        <v>1.4683530793676</v>
      </c>
    </row>
    <row r="4024" customFormat="false" ht="15" hidden="false" customHeight="false" outlineLevel="0" collapsed="false">
      <c r="A4024" s="0" t="n">
        <v>0.331394138942637</v>
      </c>
      <c r="B4024" s="0" t="n">
        <v>0.977241565000449</v>
      </c>
      <c r="C4024" s="0" t="n">
        <v>0.863443133510333</v>
      </c>
      <c r="D4024" s="0" t="n">
        <f aca="false">A4024/SUM($A4024:$C4024)</f>
        <v>0.152570032555158</v>
      </c>
      <c r="E4024" s="0" t="n">
        <f aca="false">B4024/SUM($A4024:$C4024)</f>
        <v>0.449910725223115</v>
      </c>
      <c r="F4024" s="0" t="n">
        <f aca="false">C4024/SUM($A4024:$C4024)</f>
        <v>0.397519242221727</v>
      </c>
      <c r="G4024" s="0" t="n">
        <f aca="false">SUMPRODUCT(D4024:F4024,Stats!$B$6:$D$6)</f>
        <v>0.371409545067283</v>
      </c>
      <c r="H4024" s="0" t="n">
        <f aca="false">SQRT(SUMPRODUCT(MMULT(D4024:F4024,Stats!$B$12:$D$14),D4024:F4024))</f>
        <v>0.23404233262634</v>
      </c>
      <c r="I4024" s="0" t="n">
        <f aca="false">(G4024-Stats!$B$2)/H4024</f>
        <v>1.40747847353411</v>
      </c>
    </row>
    <row r="4025" customFormat="false" ht="15" hidden="false" customHeight="false" outlineLevel="0" collapsed="false">
      <c r="A4025" s="0" t="n">
        <v>0.323043584618602</v>
      </c>
      <c r="B4025" s="0" t="n">
        <v>0.463780597360923</v>
      </c>
      <c r="C4025" s="0" t="n">
        <v>0.415078129007799</v>
      </c>
      <c r="D4025" s="0" t="n">
        <f aca="false">A4025/SUM($A4025:$C4025)</f>
        <v>0.268776906130776</v>
      </c>
      <c r="E4025" s="0" t="n">
        <f aca="false">B4025/SUM($A4025:$C4025)</f>
        <v>0.385872123816737</v>
      </c>
      <c r="F4025" s="0" t="n">
        <f aca="false">C4025/SUM($A4025:$C4025)</f>
        <v>0.345350970052488</v>
      </c>
      <c r="G4025" s="0" t="n">
        <f aca="false">SUMPRODUCT(D4025:F4025,Stats!$B$6:$D$6)</f>
        <v>0.369163366865994</v>
      </c>
      <c r="H4025" s="0" t="n">
        <f aca="false">SQRT(SUMPRODUCT(MMULT(D4025:F4025,Stats!$B$12:$D$14),D4025:F4025))</f>
        <v>0.228718745617304</v>
      </c>
      <c r="I4025" s="0" t="n">
        <f aca="false">(G4025-Stats!$B$2)/H4025</f>
        <v>1.43041780848785</v>
      </c>
    </row>
    <row r="4026" customFormat="false" ht="15" hidden="false" customHeight="false" outlineLevel="0" collapsed="false">
      <c r="A4026" s="0" t="n">
        <v>0.149095678671434</v>
      </c>
      <c r="B4026" s="0" t="n">
        <v>0.957819323813259</v>
      </c>
      <c r="C4026" s="0" t="n">
        <v>0.404312431219759</v>
      </c>
      <c r="D4026" s="0" t="n">
        <f aca="false">A4026/SUM($A4026:$C4026)</f>
        <v>0.0986586633793152</v>
      </c>
      <c r="E4026" s="0" t="n">
        <f aca="false">B4026/SUM($A4026:$C4026)</f>
        <v>0.633802234164959</v>
      </c>
      <c r="F4026" s="0" t="n">
        <f aca="false">C4026/SUM($A4026:$C4026)</f>
        <v>0.267539102455726</v>
      </c>
      <c r="G4026" s="0" t="n">
        <f aca="false">SUMPRODUCT(D4026:F4026,Stats!$B$6:$D$6)</f>
        <v>0.385574576846731</v>
      </c>
      <c r="H4026" s="0" t="n">
        <f aca="false">SQRT(SUMPRODUCT(MMULT(D4026:F4026,Stats!$B$12:$D$14),D4026:F4026))</f>
        <v>0.238585697039304</v>
      </c>
      <c r="I4026" s="0" t="n">
        <f aca="false">(G4026-Stats!$B$2)/H4026</f>
        <v>1.44004683059493</v>
      </c>
    </row>
    <row r="4027" customFormat="false" ht="15" hidden="false" customHeight="false" outlineLevel="0" collapsed="false">
      <c r="A4027" s="0" t="n">
        <v>0.875329082637908</v>
      </c>
      <c r="B4027" s="0" t="n">
        <v>0.189356227680665</v>
      </c>
      <c r="C4027" s="0" t="n">
        <v>0.54787081063722</v>
      </c>
      <c r="D4027" s="0" t="n">
        <f aca="false">A4027/SUM($A4027:$C4027)</f>
        <v>0.542820849000333</v>
      </c>
      <c r="E4027" s="0" t="n">
        <f aca="false">B4027/SUM($A4027:$C4027)</f>
        <v>0.117426131853588</v>
      </c>
      <c r="F4027" s="0" t="n">
        <f aca="false">C4027/SUM($A4027:$C4027)</f>
        <v>0.339753019146079</v>
      </c>
      <c r="G4027" s="0" t="n">
        <f aca="false">SUMPRODUCT(D4027:F4027,Stats!$B$6:$D$6)</f>
        <v>0.353871693274442</v>
      </c>
      <c r="H4027" s="0" t="n">
        <f aca="false">SQRT(SUMPRODUCT(MMULT(D4027:F4027,Stats!$B$12:$D$14),D4027:F4027))</f>
        <v>0.221639192974905</v>
      </c>
      <c r="I4027" s="0" t="n">
        <f aca="false">(G4027-Stats!$B$2)/H4027</f>
        <v>1.40711436947775</v>
      </c>
    </row>
    <row r="4028" customFormat="false" ht="15" hidden="false" customHeight="false" outlineLevel="0" collapsed="false">
      <c r="A4028" s="0" t="n">
        <v>0.0239613851242698</v>
      </c>
      <c r="B4028" s="0" t="n">
        <v>0.764220483842309</v>
      </c>
      <c r="C4028" s="0" t="n">
        <v>0.580913898246278</v>
      </c>
      <c r="D4028" s="0" t="n">
        <f aca="false">A4028/SUM($A4028:$C4028)</f>
        <v>0.0175016136183441</v>
      </c>
      <c r="E4028" s="0" t="n">
        <f aca="false">B4028/SUM($A4028:$C4028)</f>
        <v>0.558193591817228</v>
      </c>
      <c r="F4028" s="0" t="n">
        <f aca="false">C4028/SUM($A4028:$C4028)</f>
        <v>0.424304794564427</v>
      </c>
      <c r="G4028" s="0" t="n">
        <f aca="false">SUMPRODUCT(D4028:F4028,Stats!$B$6:$D$6)</f>
        <v>0.376901399759752</v>
      </c>
      <c r="H4028" s="0" t="n">
        <f aca="false">SQRT(SUMPRODUCT(MMULT(D4028:F4028,Stats!$B$12:$D$14),D4028:F4028))</f>
        <v>0.242091890013848</v>
      </c>
      <c r="I4028" s="0" t="n">
        <f aca="false">(G4028-Stats!$B$2)/H4028</f>
        <v>1.38336480309437</v>
      </c>
    </row>
    <row r="4029" customFormat="false" ht="15" hidden="false" customHeight="false" outlineLevel="0" collapsed="false">
      <c r="A4029" s="0" t="n">
        <v>0.625589583469753</v>
      </c>
      <c r="B4029" s="0" t="n">
        <v>0.0517208825546535</v>
      </c>
      <c r="C4029" s="0" t="n">
        <v>0.211038330208615</v>
      </c>
      <c r="D4029" s="0" t="n">
        <f aca="false">A4029/SUM($A4029:$C4029)</f>
        <v>0.704216166130376</v>
      </c>
      <c r="E4029" s="0" t="n">
        <f aca="false">B4029/SUM($A4029:$C4029)</f>
        <v>0.0582213684241731</v>
      </c>
      <c r="F4029" s="0" t="n">
        <f aca="false">C4029/SUM($A4029:$C4029)</f>
        <v>0.237562465445451</v>
      </c>
      <c r="G4029" s="0" t="n">
        <f aca="false">SUMPRODUCT(D4029:F4029,Stats!$B$6:$D$6)</f>
        <v>0.353282993027681</v>
      </c>
      <c r="H4029" s="0" t="n">
        <f aca="false">SQRT(SUMPRODUCT(MMULT(D4029:F4029,Stats!$B$12:$D$14),D4029:F4029))</f>
        <v>0.222015579609778</v>
      </c>
      <c r="I4029" s="0" t="n">
        <f aca="false">(G4029-Stats!$B$2)/H4029</f>
        <v>1.40207724869941</v>
      </c>
    </row>
    <row r="4030" customFormat="false" ht="15" hidden="false" customHeight="false" outlineLevel="0" collapsed="false">
      <c r="A4030" s="0" t="n">
        <v>0.0743308723535802</v>
      </c>
      <c r="B4030" s="0" t="n">
        <v>0.288914315803812</v>
      </c>
      <c r="C4030" s="0" t="n">
        <v>0.627439007682151</v>
      </c>
      <c r="D4030" s="0" t="n">
        <f aca="false">A4030/SUM($A4030:$C4030)</f>
        <v>0.0750298356082984</v>
      </c>
      <c r="E4030" s="0" t="n">
        <f aca="false">B4030/SUM($A4030:$C4030)</f>
        <v>0.291631093962264</v>
      </c>
      <c r="F4030" s="0" t="n">
        <f aca="false">C4030/SUM($A4030:$C4030)</f>
        <v>0.633339070429438</v>
      </c>
      <c r="G4030" s="0" t="n">
        <f aca="false">SUMPRODUCT(D4030:F4030,Stats!$B$6:$D$6)</f>
        <v>0.355799698880099</v>
      </c>
      <c r="H4030" s="0" t="n">
        <f aca="false">SQRT(SUMPRODUCT(MMULT(D4030:F4030,Stats!$B$12:$D$14),D4030:F4030))</f>
        <v>0.240669201455309</v>
      </c>
      <c r="I4030" s="0" t="n">
        <f aca="false">(G4030-Stats!$B$2)/H4030</f>
        <v>1.30386313239324</v>
      </c>
    </row>
    <row r="4031" customFormat="false" ht="15" hidden="false" customHeight="false" outlineLevel="0" collapsed="false">
      <c r="A4031" s="0" t="n">
        <v>0.566185984317375</v>
      </c>
      <c r="B4031" s="0" t="n">
        <v>0.61214982161339</v>
      </c>
      <c r="C4031" s="0" t="n">
        <v>0.549251271377894</v>
      </c>
      <c r="D4031" s="0" t="n">
        <f aca="false">A4031/SUM($A4031:$C4031)</f>
        <v>0.327732240970113</v>
      </c>
      <c r="E4031" s="0" t="n">
        <f aca="false">B4031/SUM($A4031:$C4031)</f>
        <v>0.354338041568958</v>
      </c>
      <c r="F4031" s="0" t="n">
        <f aca="false">C4031/SUM($A4031:$C4031)</f>
        <v>0.317929717460929</v>
      </c>
      <c r="G4031" s="0" t="n">
        <f aca="false">SUMPRODUCT(D4031:F4031,Stats!$B$6:$D$6)</f>
        <v>0.368105067080665</v>
      </c>
      <c r="H4031" s="0" t="n">
        <f aca="false">SQRT(SUMPRODUCT(MMULT(D4031:F4031,Stats!$B$12:$D$14),D4031:F4031))</f>
        <v>0.226620669647234</v>
      </c>
      <c r="I4031" s="0" t="n">
        <f aca="false">(G4031-Stats!$B$2)/H4031</f>
        <v>1.43899083692715</v>
      </c>
    </row>
    <row r="4032" customFormat="false" ht="15" hidden="false" customHeight="false" outlineLevel="0" collapsed="false">
      <c r="A4032" s="0" t="n">
        <v>0.273028795675859</v>
      </c>
      <c r="B4032" s="0" t="n">
        <v>0.244507497344425</v>
      </c>
      <c r="C4032" s="0" t="n">
        <v>0.137059683536581</v>
      </c>
      <c r="D4032" s="0" t="n">
        <f aca="false">A4032/SUM($A4032:$C4032)</f>
        <v>0.417095132652623</v>
      </c>
      <c r="E4032" s="0" t="n">
        <f aca="false">B4032/SUM($A4032:$C4032)</f>
        <v>0.373524289945257</v>
      </c>
      <c r="F4032" s="0" t="n">
        <f aca="false">C4032/SUM($A4032:$C4032)</f>
        <v>0.20938057740212</v>
      </c>
      <c r="G4032" s="0" t="n">
        <f aca="false">SUMPRODUCT(D4032:F4032,Stats!$B$6:$D$6)</f>
        <v>0.372202219766889</v>
      </c>
      <c r="H4032" s="0" t="n">
        <f aca="false">SQRT(SUMPRODUCT(MMULT(D4032:F4032,Stats!$B$12:$D$14),D4032:F4032))</f>
        <v>0.225270380894876</v>
      </c>
      <c r="I4032" s="0" t="n">
        <f aca="false">(G4032-Stats!$B$2)/H4032</f>
        <v>1.46580397500629</v>
      </c>
    </row>
    <row r="4033" customFormat="false" ht="15" hidden="false" customHeight="false" outlineLevel="0" collapsed="false">
      <c r="A4033" s="0" t="n">
        <v>0.849070874903492</v>
      </c>
      <c r="B4033" s="0" t="n">
        <v>0.616479358541245</v>
      </c>
      <c r="C4033" s="0" t="n">
        <v>0.18651101250406</v>
      </c>
      <c r="D4033" s="0" t="n">
        <f aca="false">A4033/SUM($A4033:$C4033)</f>
        <v>0.513946366689246</v>
      </c>
      <c r="E4033" s="0" t="n">
        <f aca="false">B4033/SUM($A4033:$C4033)</f>
        <v>0.373157690160085</v>
      </c>
      <c r="F4033" s="0" t="n">
        <f aca="false">C4033/SUM($A4033:$C4033)</f>
        <v>0.11289594315067</v>
      </c>
      <c r="G4033" s="0" t="n">
        <f aca="false">SUMPRODUCT(D4033:F4033,Stats!$B$6:$D$6)</f>
        <v>0.374841652769274</v>
      </c>
      <c r="H4033" s="0" t="n">
        <f aca="false">SQRT(SUMPRODUCT(MMULT(D4033:F4033,Stats!$B$12:$D$14),D4033:F4033))</f>
        <v>0.225362286185771</v>
      </c>
      <c r="I4033" s="0" t="n">
        <f aca="false">(G4033-Stats!$B$2)/H4033</f>
        <v>1.47691815876817</v>
      </c>
    </row>
    <row r="4034" customFormat="false" ht="15" hidden="false" customHeight="false" outlineLevel="0" collapsed="false">
      <c r="A4034" s="0" t="n">
        <v>0.17720937982124</v>
      </c>
      <c r="B4034" s="0" t="n">
        <v>0.873035601526137</v>
      </c>
      <c r="C4034" s="0" t="n">
        <v>0.742730863763319</v>
      </c>
      <c r="D4034" s="0" t="n">
        <f aca="false">A4034/SUM($A4034:$C4034)</f>
        <v>0.0988353414266431</v>
      </c>
      <c r="E4034" s="0" t="n">
        <f aca="false">B4034/SUM($A4034:$C4034)</f>
        <v>0.486919890140649</v>
      </c>
      <c r="F4034" s="0" t="n">
        <f aca="false">C4034/SUM($A4034:$C4034)</f>
        <v>0.414244768432708</v>
      </c>
      <c r="G4034" s="0" t="n">
        <f aca="false">SUMPRODUCT(D4034:F4034,Stats!$B$6:$D$6)</f>
        <v>0.373077804564321</v>
      </c>
      <c r="H4034" s="0" t="n">
        <f aca="false">SQRT(SUMPRODUCT(MMULT(D4034:F4034,Stats!$B$12:$D$14),D4034:F4034))</f>
        <v>0.23701870466614</v>
      </c>
      <c r="I4034" s="0" t="n">
        <f aca="false">(G4034-Stats!$B$2)/H4034</f>
        <v>1.39684251937276</v>
      </c>
    </row>
    <row r="4035" customFormat="false" ht="15" hidden="false" customHeight="false" outlineLevel="0" collapsed="false">
      <c r="A4035" s="0" t="n">
        <v>0.659399079905371</v>
      </c>
      <c r="B4035" s="0" t="n">
        <v>0.4068641075393</v>
      </c>
      <c r="C4035" s="0" t="n">
        <v>0.261975564278518</v>
      </c>
      <c r="D4035" s="0" t="n">
        <f aca="false">A4035/SUM($A4035:$C4035)</f>
        <v>0.49644619918663</v>
      </c>
      <c r="E4035" s="0" t="n">
        <f aca="false">B4035/SUM($A4035:$C4035)</f>
        <v>0.30631850411792</v>
      </c>
      <c r="F4035" s="0" t="n">
        <f aca="false">C4035/SUM($A4035:$C4035)</f>
        <v>0.19723529669545</v>
      </c>
      <c r="G4035" s="0" t="n">
        <f aca="false">SUMPRODUCT(D4035:F4035,Stats!$B$6:$D$6)</f>
        <v>0.368670187277297</v>
      </c>
      <c r="H4035" s="0" t="n">
        <f aca="false">SQRT(SUMPRODUCT(MMULT(D4035:F4035,Stats!$B$12:$D$14),D4035:F4035))</f>
        <v>0.223661593894823</v>
      </c>
      <c r="I4035" s="0" t="n">
        <f aca="false">(G4035-Stats!$B$2)/H4035</f>
        <v>1.46055557232107</v>
      </c>
    </row>
    <row r="4036" customFormat="false" ht="15" hidden="false" customHeight="false" outlineLevel="0" collapsed="false">
      <c r="A4036" s="0" t="n">
        <v>0.979450763112824</v>
      </c>
      <c r="B4036" s="0" t="n">
        <v>0.7972395750228</v>
      </c>
      <c r="C4036" s="0" t="n">
        <v>0.301779223136277</v>
      </c>
      <c r="D4036" s="0" t="n">
        <f aca="false">A4036/SUM($A4036:$C4036)</f>
        <v>0.47123652006405</v>
      </c>
      <c r="E4036" s="0" t="n">
        <f aca="false">B4036/SUM($A4036:$C4036)</f>
        <v>0.383570483724061</v>
      </c>
      <c r="F4036" s="0" t="n">
        <f aca="false">C4036/SUM($A4036:$C4036)</f>
        <v>0.145192996211888</v>
      </c>
      <c r="G4036" s="0" t="n">
        <f aca="false">SUMPRODUCT(D4036:F4036,Stats!$B$6:$D$6)</f>
        <v>0.374550212617866</v>
      </c>
      <c r="H4036" s="0" t="n">
        <f aca="false">SQRT(SUMPRODUCT(MMULT(D4036:F4036,Stats!$B$12:$D$14),D4036:F4036))</f>
        <v>0.225356005465879</v>
      </c>
      <c r="I4036" s="0" t="n">
        <f aca="false">(G4036-Stats!$B$2)/H4036</f>
        <v>1.4756660774599</v>
      </c>
    </row>
    <row r="4037" customFormat="false" ht="15" hidden="false" customHeight="false" outlineLevel="0" collapsed="false">
      <c r="A4037" s="0" t="n">
        <v>0.847564796278495</v>
      </c>
      <c r="B4037" s="0" t="n">
        <v>0.758931948614682</v>
      </c>
      <c r="C4037" s="0" t="n">
        <v>0.297080549877998</v>
      </c>
      <c r="D4037" s="0" t="n">
        <f aca="false">A4037/SUM($A4037:$C4037)</f>
        <v>0.44524842705711</v>
      </c>
      <c r="E4037" s="0" t="n">
        <f aca="false">B4037/SUM($A4037:$C4037)</f>
        <v>0.398687224679212</v>
      </c>
      <c r="F4037" s="0" t="n">
        <f aca="false">C4037/SUM($A4037:$C4037)</f>
        <v>0.156064348263678</v>
      </c>
      <c r="G4037" s="0" t="n">
        <f aca="false">SUMPRODUCT(D4037:F4037,Stats!$B$6:$D$6)</f>
        <v>0.375120236975725</v>
      </c>
      <c r="H4037" s="0" t="n">
        <f aca="false">SQRT(SUMPRODUCT(MMULT(D4037:F4037,Stats!$B$12:$D$14),D4037:F4037))</f>
        <v>0.225707850394214</v>
      </c>
      <c r="I4037" s="0" t="n">
        <f aca="false">(G4037-Stats!$B$2)/H4037</f>
        <v>1.47589123016283</v>
      </c>
    </row>
    <row r="4038" customFormat="false" ht="15" hidden="false" customHeight="false" outlineLevel="0" collapsed="false">
      <c r="A4038" s="0" t="n">
        <v>0.42655285424164</v>
      </c>
      <c r="B4038" s="0" t="n">
        <v>0.185953445391027</v>
      </c>
      <c r="C4038" s="0" t="n">
        <v>0.111052444378109</v>
      </c>
      <c r="D4038" s="0" t="n">
        <f aca="false">A4038/SUM($A4038:$C4038)</f>
        <v>0.589520695827963</v>
      </c>
      <c r="E4038" s="0" t="n">
        <f aca="false">B4038/SUM($A4038:$C4038)</f>
        <v>0.25699840811855</v>
      </c>
      <c r="F4038" s="0" t="n">
        <f aca="false">C4038/SUM($A4038:$C4038)</f>
        <v>0.153480896053487</v>
      </c>
      <c r="G4038" s="0" t="n">
        <f aca="false">SUMPRODUCT(D4038:F4038,Stats!$B$6:$D$6)</f>
        <v>0.367038883556119</v>
      </c>
      <c r="H4038" s="0" t="n">
        <f aca="false">SQRT(SUMPRODUCT(MMULT(D4038:F4038,Stats!$B$12:$D$14),D4038:F4038))</f>
        <v>0.223320372501405</v>
      </c>
      <c r="I4038" s="0" t="n">
        <f aca="false">(G4038-Stats!$B$2)/H4038</f>
        <v>1.45548245292343</v>
      </c>
    </row>
    <row r="4039" customFormat="false" ht="15" hidden="false" customHeight="false" outlineLevel="0" collapsed="false">
      <c r="A4039" s="0" t="n">
        <v>0.722762032839697</v>
      </c>
      <c r="B4039" s="0" t="n">
        <v>0.267511857353867</v>
      </c>
      <c r="C4039" s="0" t="n">
        <v>0.820059365746254</v>
      </c>
      <c r="D4039" s="0" t="n">
        <f aca="false">A4039/SUM($A4039:$C4039)</f>
        <v>0.399242531985903</v>
      </c>
      <c r="E4039" s="0" t="n">
        <f aca="false">B4039/SUM($A4039:$C4039)</f>
        <v>0.147769399073979</v>
      </c>
      <c r="F4039" s="0" t="n">
        <f aca="false">C4039/SUM($A4039:$C4039)</f>
        <v>0.452988068940118</v>
      </c>
      <c r="G4039" s="0" t="n">
        <f aca="false">SUMPRODUCT(D4039:F4039,Stats!$B$6:$D$6)</f>
        <v>0.352495192652201</v>
      </c>
      <c r="H4039" s="0" t="n">
        <f aca="false">SQRT(SUMPRODUCT(MMULT(D4039:F4039,Stats!$B$12:$D$14),D4039:F4039))</f>
        <v>0.224609383451446</v>
      </c>
      <c r="I4039" s="0" t="n">
        <f aca="false">(G4039-Stats!$B$2)/H4039</f>
        <v>1.38237854483636</v>
      </c>
    </row>
    <row r="4040" customFormat="false" ht="15" hidden="false" customHeight="false" outlineLevel="0" collapsed="false">
      <c r="A4040" s="0" t="n">
        <v>0.995608711514426</v>
      </c>
      <c r="B4040" s="0" t="n">
        <v>0.0766198139296487</v>
      </c>
      <c r="C4040" s="0" t="n">
        <v>0.4730351250837</v>
      </c>
      <c r="D4040" s="0" t="n">
        <f aca="false">A4040/SUM($A4040:$C4040)</f>
        <v>0.644296985290751</v>
      </c>
      <c r="E4040" s="0" t="n">
        <f aca="false">B4040/SUM($A4040:$C4040)</f>
        <v>0.0495836512451967</v>
      </c>
      <c r="F4040" s="0" t="n">
        <f aca="false">C4040/SUM($A4040:$C4040)</f>
        <v>0.306119363464052</v>
      </c>
      <c r="G4040" s="0" t="n">
        <f aca="false">SUMPRODUCT(D4040:F4040,Stats!$B$6:$D$6)</f>
        <v>0.350895559866288</v>
      </c>
      <c r="H4040" s="0" t="n">
        <f aca="false">SQRT(SUMPRODUCT(MMULT(D4040:F4040,Stats!$B$12:$D$14),D4040:F4040))</f>
        <v>0.22132842315919</v>
      </c>
      <c r="I4040" s="0" t="n">
        <f aca="false">(G4040-Stats!$B$2)/H4040</f>
        <v>1.39564343095742</v>
      </c>
    </row>
    <row r="4041" customFormat="false" ht="15" hidden="false" customHeight="false" outlineLevel="0" collapsed="false">
      <c r="A4041" s="0" t="n">
        <v>0.802062559310803</v>
      </c>
      <c r="B4041" s="0" t="n">
        <v>0.788950896541234</v>
      </c>
      <c r="C4041" s="0" t="n">
        <v>0.759997158330969</v>
      </c>
      <c r="D4041" s="0" t="n">
        <f aca="false">A4041/SUM($A4041:$C4041)</f>
        <v>0.341156502855486</v>
      </c>
      <c r="E4041" s="0" t="n">
        <f aca="false">B4041/SUM($A4041:$C4041)</f>
        <v>0.335579470284697</v>
      </c>
      <c r="F4041" s="0" t="n">
        <f aca="false">C4041/SUM($A4041:$C4041)</f>
        <v>0.323264026859817</v>
      </c>
      <c r="G4041" s="0" t="n">
        <f aca="false">SUMPRODUCT(D4041:F4041,Stats!$B$6:$D$6)</f>
        <v>0.366878631637721</v>
      </c>
      <c r="H4041" s="0" t="n">
        <f aca="false">SQRT(SUMPRODUCT(MMULT(D4041:F4041,Stats!$B$12:$D$14),D4041:F4041))</f>
        <v>0.22610911136595</v>
      </c>
      <c r="I4041" s="0" t="n">
        <f aca="false">(G4041-Stats!$B$2)/H4041</f>
        <v>1.43682238046531</v>
      </c>
    </row>
    <row r="4042" customFormat="false" ht="15" hidden="false" customHeight="false" outlineLevel="0" collapsed="false">
      <c r="A4042" s="0" t="n">
        <v>0.348994935301911</v>
      </c>
      <c r="B4042" s="0" t="n">
        <v>0.453853255685052</v>
      </c>
      <c r="C4042" s="0" t="n">
        <v>0.59496835734147</v>
      </c>
      <c r="D4042" s="0" t="n">
        <f aca="false">A4042/SUM($A4042:$C4042)</f>
        <v>0.249671486375843</v>
      </c>
      <c r="E4042" s="0" t="n">
        <f aca="false">B4042/SUM($A4042:$C4042)</f>
        <v>0.324687281909625</v>
      </c>
      <c r="F4042" s="0" t="n">
        <f aca="false">C4042/SUM($A4042:$C4042)</f>
        <v>0.425641231714532</v>
      </c>
      <c r="G4042" s="0" t="n">
        <f aca="false">SUMPRODUCT(D4042:F4042,Stats!$B$6:$D$6)</f>
        <v>0.363428897168578</v>
      </c>
      <c r="H4042" s="0" t="n">
        <f aca="false">SQRT(SUMPRODUCT(MMULT(D4042:F4042,Stats!$B$12:$D$14),D4042:F4042))</f>
        <v>0.22939288641318</v>
      </c>
      <c r="I4042" s="0" t="n">
        <f aca="false">(G4042-Stats!$B$2)/H4042</f>
        <v>1.40121562701654</v>
      </c>
    </row>
    <row r="4043" customFormat="false" ht="15" hidden="false" customHeight="false" outlineLevel="0" collapsed="false">
      <c r="A4043" s="0" t="n">
        <v>0.973940583573257</v>
      </c>
      <c r="B4043" s="0" t="n">
        <v>0.327547270938493</v>
      </c>
      <c r="C4043" s="0" t="n">
        <v>0.923143887716858</v>
      </c>
      <c r="D4043" s="0" t="n">
        <f aca="false">A4043/SUM($A4043:$C4043)</f>
        <v>0.437798564627859</v>
      </c>
      <c r="E4043" s="0" t="n">
        <f aca="false">B4043/SUM($A4043:$C4043)</f>
        <v>0.147236625604542</v>
      </c>
      <c r="F4043" s="0" t="n">
        <f aca="false">C4043/SUM($A4043:$C4043)</f>
        <v>0.4149648097676</v>
      </c>
      <c r="G4043" s="0" t="n">
        <f aca="false">SUMPRODUCT(D4043:F4043,Stats!$B$6:$D$6)</f>
        <v>0.353513014303492</v>
      </c>
      <c r="H4043" s="0" t="n">
        <f aca="false">SQRT(SUMPRODUCT(MMULT(D4043:F4043,Stats!$B$12:$D$14),D4043:F4043))</f>
        <v>0.223436156721112</v>
      </c>
      <c r="I4043" s="0" t="n">
        <f aca="false">(G4043-Stats!$B$2)/H4043</f>
        <v>1.39419250167427</v>
      </c>
    </row>
    <row r="4044" customFormat="false" ht="15" hidden="false" customHeight="false" outlineLevel="0" collapsed="false">
      <c r="A4044" s="0" t="n">
        <v>0.269356918180494</v>
      </c>
      <c r="B4044" s="0" t="n">
        <v>0.989074465473705</v>
      </c>
      <c r="C4044" s="0" t="n">
        <v>0.670263686827592</v>
      </c>
      <c r="D4044" s="0" t="n">
        <f aca="false">A4044/SUM($A4044:$C4044)</f>
        <v>0.13965759663253</v>
      </c>
      <c r="E4044" s="0" t="n">
        <f aca="false">B4044/SUM($A4044:$C4044)</f>
        <v>0.51282054929846</v>
      </c>
      <c r="F4044" s="0" t="n">
        <f aca="false">C4044/SUM($A4044:$C4044)</f>
        <v>0.34752185406901</v>
      </c>
      <c r="G4044" s="0" t="n">
        <f aca="false">SUMPRODUCT(D4044:F4044,Stats!$B$6:$D$6)</f>
        <v>0.376407953670291</v>
      </c>
      <c r="H4044" s="0" t="n">
        <f aca="false">SQRT(SUMPRODUCT(MMULT(D4044:F4044,Stats!$B$12:$D$14),D4044:F4044))</f>
        <v>0.23504242866998</v>
      </c>
      <c r="I4044" s="0" t="n">
        <f aca="false">(G4044-Stats!$B$2)/H4044</f>
        <v>1.42275569378084</v>
      </c>
    </row>
    <row r="4045" customFormat="false" ht="15" hidden="false" customHeight="false" outlineLevel="0" collapsed="false">
      <c r="A4045" s="0" t="n">
        <v>0.463511480358551</v>
      </c>
      <c r="B4045" s="0" t="n">
        <v>0.613390428063605</v>
      </c>
      <c r="C4045" s="0" t="n">
        <v>0.272531169040207</v>
      </c>
      <c r="D4045" s="0" t="n">
        <f aca="false">A4045/SUM($A4045:$C4045)</f>
        <v>0.343486081747895</v>
      </c>
      <c r="E4045" s="0" t="n">
        <f aca="false">B4045/SUM($A4045:$C4045)</f>
        <v>0.454554166715032</v>
      </c>
      <c r="F4045" s="0" t="n">
        <f aca="false">C4045/SUM($A4045:$C4045)</f>
        <v>0.201959751537073</v>
      </c>
      <c r="G4045" s="0" t="n">
        <f aca="false">SUMPRODUCT(D4045:F4045,Stats!$B$6:$D$6)</f>
        <v>0.377069200420334</v>
      </c>
      <c r="H4045" s="0" t="n">
        <f aca="false">SQRT(SUMPRODUCT(MMULT(D4045:F4045,Stats!$B$12:$D$14),D4045:F4045))</f>
        <v>0.227800602035144</v>
      </c>
      <c r="I4045" s="0" t="n">
        <f aca="false">(G4045-Stats!$B$2)/H4045</f>
        <v>1.47088812508336</v>
      </c>
    </row>
    <row r="4046" customFormat="false" ht="15" hidden="false" customHeight="false" outlineLevel="0" collapsed="false">
      <c r="A4046" s="0" t="n">
        <v>0.274173857511467</v>
      </c>
      <c r="B4046" s="0" t="n">
        <v>0.113554543843494</v>
      </c>
      <c r="C4046" s="0" t="n">
        <v>0.114050297705399</v>
      </c>
      <c r="D4046" s="0" t="n">
        <f aca="false">A4046/SUM($A4046:$C4046)</f>
        <v>0.546403938678326</v>
      </c>
      <c r="E4046" s="0" t="n">
        <f aca="false">B4046/SUM($A4046:$C4046)</f>
        <v>0.226304034141223</v>
      </c>
      <c r="F4046" s="0" t="n">
        <f aca="false">C4046/SUM($A4046:$C4046)</f>
        <v>0.227292027180452</v>
      </c>
      <c r="G4046" s="0" t="n">
        <f aca="false">SUMPRODUCT(D4046:F4046,Stats!$B$6:$D$6)</f>
        <v>0.363237455452842</v>
      </c>
      <c r="H4046" s="0" t="n">
        <f aca="false">SQRT(SUMPRODUCT(MMULT(D4046:F4046,Stats!$B$12:$D$14),D4046:F4046))</f>
        <v>0.222406934071054</v>
      </c>
      <c r="I4046" s="0" t="n">
        <f aca="false">(G4046-Stats!$B$2)/H4046</f>
        <v>1.44436798607283</v>
      </c>
    </row>
    <row r="4047" customFormat="false" ht="15" hidden="false" customHeight="false" outlineLevel="0" collapsed="false">
      <c r="A4047" s="0" t="n">
        <v>0.347671741468911</v>
      </c>
      <c r="B4047" s="0" t="n">
        <v>0.762855477896372</v>
      </c>
      <c r="C4047" s="0" t="n">
        <v>0.607971167598163</v>
      </c>
      <c r="D4047" s="0" t="n">
        <f aca="false">A4047/SUM($A4047:$C4047)</f>
        <v>0.202311357465538</v>
      </c>
      <c r="E4047" s="0" t="n">
        <f aca="false">B4047/SUM($A4047:$C4047)</f>
        <v>0.443908172206273</v>
      </c>
      <c r="F4047" s="0" t="n">
        <f aca="false">C4047/SUM($A4047:$C4047)</f>
        <v>0.353780470328189</v>
      </c>
      <c r="G4047" s="0" t="n">
        <f aca="false">SUMPRODUCT(D4047:F4047,Stats!$B$6:$D$6)</f>
        <v>0.372270245747794</v>
      </c>
      <c r="H4047" s="0" t="n">
        <f aca="false">SQRT(SUMPRODUCT(MMULT(D4047:F4047,Stats!$B$12:$D$14),D4047:F4047))</f>
        <v>0.23169574326102</v>
      </c>
      <c r="I4047" s="0" t="n">
        <f aca="false">(G4047-Stats!$B$2)/H4047</f>
        <v>1.42544805139438</v>
      </c>
    </row>
    <row r="4048" customFormat="false" ht="15" hidden="false" customHeight="false" outlineLevel="0" collapsed="false">
      <c r="A4048" s="0" t="n">
        <v>0.102584560331021</v>
      </c>
      <c r="B4048" s="0" t="n">
        <v>0.852236524975911</v>
      </c>
      <c r="C4048" s="0" t="n">
        <v>0.601367626990066</v>
      </c>
      <c r="D4048" s="0" t="n">
        <f aca="false">A4048/SUM($A4048:$C4048)</f>
        <v>0.0659203858249311</v>
      </c>
      <c r="E4048" s="0" t="n">
        <f aca="false">B4048/SUM($A4048:$C4048)</f>
        <v>0.547643430543829</v>
      </c>
      <c r="F4048" s="0" t="n">
        <f aca="false">C4048/SUM($A4048:$C4048)</f>
        <v>0.38643618363124</v>
      </c>
      <c r="G4048" s="0" t="n">
        <f aca="false">SUMPRODUCT(D4048:F4048,Stats!$B$6:$D$6)</f>
        <v>0.377338569516336</v>
      </c>
      <c r="H4048" s="0" t="n">
        <f aca="false">SQRT(SUMPRODUCT(MMULT(D4048:F4048,Stats!$B$12:$D$14),D4048:F4048))</f>
        <v>0.239128905786186</v>
      </c>
      <c r="I4048" s="0" t="n">
        <f aca="false">(G4048-Stats!$B$2)/H4048</f>
        <v>1.40233389357025</v>
      </c>
    </row>
    <row r="4049" customFormat="false" ht="15" hidden="false" customHeight="false" outlineLevel="0" collapsed="false">
      <c r="A4049" s="0" t="n">
        <v>0.96085557678478</v>
      </c>
      <c r="B4049" s="0" t="n">
        <v>0.670185467411208</v>
      </c>
      <c r="C4049" s="0" t="n">
        <v>0.175174863704181</v>
      </c>
      <c r="D4049" s="0" t="n">
        <f aca="false">A4049/SUM($A4049:$C4049)</f>
        <v>0.531971605710101</v>
      </c>
      <c r="E4049" s="0" t="n">
        <f aca="false">B4049/SUM($A4049:$C4049)</f>
        <v>0.37104394025094</v>
      </c>
      <c r="F4049" s="0" t="n">
        <f aca="false">C4049/SUM($A4049:$C4049)</f>
        <v>0.0969844540389593</v>
      </c>
      <c r="G4049" s="0" t="n">
        <f aca="false">SUMPRODUCT(D4049:F4049,Stats!$B$6:$D$6)</f>
        <v>0.375158783527649</v>
      </c>
      <c r="H4049" s="0" t="n">
        <f aca="false">SQRT(SUMPRODUCT(MMULT(D4049:F4049,Stats!$B$12:$D$14),D4049:F4049))</f>
        <v>0.225518901676863</v>
      </c>
      <c r="I4049" s="0" t="n">
        <f aca="false">(G4049-Stats!$B$2)/H4049</f>
        <v>1.47729871443334</v>
      </c>
    </row>
    <row r="4050" customFormat="false" ht="15" hidden="false" customHeight="false" outlineLevel="0" collapsed="false">
      <c r="A4050" s="0" t="n">
        <v>0.473783362307822</v>
      </c>
      <c r="B4050" s="0" t="n">
        <v>0.648497597547204</v>
      </c>
      <c r="C4050" s="0" t="n">
        <v>0.0282647010499777</v>
      </c>
      <c r="D4050" s="0" t="n">
        <f aca="false">A4050/SUM($A4050:$C4050)</f>
        <v>0.411790143065813</v>
      </c>
      <c r="E4050" s="0" t="n">
        <f aca="false">B4050/SUM($A4050:$C4050)</f>
        <v>0.563643512450522</v>
      </c>
      <c r="F4050" s="0" t="n">
        <f aca="false">C4050/SUM($A4050:$C4050)</f>
        <v>0.0245663444836644</v>
      </c>
      <c r="G4050" s="0" t="n">
        <f aca="false">SUMPRODUCT(D4050:F4050,Stats!$B$6:$D$6)</f>
        <v>0.388237615152783</v>
      </c>
      <c r="H4050" s="0" t="n">
        <f aca="false">SQRT(SUMPRODUCT(MMULT(D4050:F4050,Stats!$B$12:$D$14),D4050:F4050))</f>
        <v>0.231069486818695</v>
      </c>
      <c r="I4050" s="0" t="n">
        <f aca="false">(G4050-Stats!$B$2)/H4050</f>
        <v>1.49841339901556</v>
      </c>
    </row>
    <row r="4051" customFormat="false" ht="15" hidden="false" customHeight="false" outlineLevel="0" collapsed="false">
      <c r="A4051" s="0" t="n">
        <v>0.0149102641548079</v>
      </c>
      <c r="B4051" s="0" t="n">
        <v>0.129403000598568</v>
      </c>
      <c r="C4051" s="0" t="n">
        <v>0.251664435045471</v>
      </c>
      <c r="D4051" s="0" t="n">
        <f aca="false">A4051/SUM($A4051:$C4051)</f>
        <v>0.0376543026599281</v>
      </c>
      <c r="E4051" s="0" t="n">
        <f aca="false">B4051/SUM($A4051:$C4051)</f>
        <v>0.326793656976904</v>
      </c>
      <c r="F4051" s="0" t="n">
        <f aca="false">C4051/SUM($A4051:$C4051)</f>
        <v>0.635552040363168</v>
      </c>
      <c r="G4051" s="0" t="n">
        <f aca="false">SUMPRODUCT(D4051:F4051,Stats!$B$6:$D$6)</f>
        <v>0.357761885451177</v>
      </c>
      <c r="H4051" s="0" t="n">
        <f aca="false">SQRT(SUMPRODUCT(MMULT(D4051:F4051,Stats!$B$12:$D$14),D4051:F4051))</f>
        <v>0.242858727650242</v>
      </c>
      <c r="I4051" s="0" t="n">
        <f aca="false">(G4051-Stats!$B$2)/H4051</f>
        <v>1.30018751438873</v>
      </c>
    </row>
    <row r="4052" customFormat="false" ht="15" hidden="false" customHeight="false" outlineLevel="0" collapsed="false">
      <c r="A4052" s="0" t="n">
        <v>0.429549123520676</v>
      </c>
      <c r="B4052" s="0" t="n">
        <v>0.487440473759788</v>
      </c>
      <c r="C4052" s="0" t="n">
        <v>0.138027608937897</v>
      </c>
      <c r="D4052" s="0" t="n">
        <f aca="false">A4052/SUM($A4052:$C4052)</f>
        <v>0.407148927040125</v>
      </c>
      <c r="E4052" s="0" t="n">
        <f aca="false">B4052/SUM($A4052:$C4052)</f>
        <v>0.462021349876356</v>
      </c>
      <c r="F4052" s="0" t="n">
        <f aca="false">C4052/SUM($A4052:$C4052)</f>
        <v>0.13082972308352</v>
      </c>
      <c r="G4052" s="0" t="n">
        <f aca="false">SUMPRODUCT(D4052:F4052,Stats!$B$6:$D$6)</f>
        <v>0.37946023565141</v>
      </c>
      <c r="H4052" s="0" t="n">
        <f aca="false">SQRT(SUMPRODUCT(MMULT(D4052:F4052,Stats!$B$12:$D$14),D4052:F4052))</f>
        <v>0.227469430262808</v>
      </c>
      <c r="I4052" s="0" t="n">
        <f aca="false">(G4052-Stats!$B$2)/H4052</f>
        <v>1.48354104224697</v>
      </c>
    </row>
    <row r="4053" customFormat="false" ht="15" hidden="false" customHeight="false" outlineLevel="0" collapsed="false">
      <c r="A4053" s="0" t="n">
        <v>0.673391579115831</v>
      </c>
      <c r="B4053" s="0" t="n">
        <v>0.596138061696535</v>
      </c>
      <c r="C4053" s="0" t="n">
        <v>0.29446409884116</v>
      </c>
      <c r="D4053" s="0" t="n">
        <f aca="false">A4053/SUM($A4053:$C4053)</f>
        <v>0.43055899908206</v>
      </c>
      <c r="E4053" s="0" t="n">
        <f aca="false">B4053/SUM($A4053:$C4053)</f>
        <v>0.381163969255144</v>
      </c>
      <c r="F4053" s="0" t="n">
        <f aca="false">C4053/SUM($A4053:$C4053)</f>
        <v>0.188277031662795</v>
      </c>
      <c r="G4053" s="0" t="n">
        <f aca="false">SUMPRODUCT(D4053:F4053,Stats!$B$6:$D$6)</f>
        <v>0.373223719183448</v>
      </c>
      <c r="H4053" s="0" t="n">
        <f aca="false">SQRT(SUMPRODUCT(MMULT(D4053:F4053,Stats!$B$12:$D$14),D4053:F4053))</f>
        <v>0.22533675580842</v>
      </c>
      <c r="I4053" s="0" t="n">
        <f aca="false">(G4053-Stats!$B$2)/H4053</f>
        <v>1.46990542219864</v>
      </c>
    </row>
    <row r="4054" customFormat="false" ht="15" hidden="false" customHeight="false" outlineLevel="0" collapsed="false">
      <c r="A4054" s="0" t="n">
        <v>0.013659883435292</v>
      </c>
      <c r="B4054" s="0" t="n">
        <v>0.0776479153532907</v>
      </c>
      <c r="C4054" s="0" t="n">
        <v>0.391694775510839</v>
      </c>
      <c r="D4054" s="0" t="n">
        <f aca="false">A4054/SUM($A4054:$C4054)</f>
        <v>0.0282811814307722</v>
      </c>
      <c r="E4054" s="0" t="n">
        <f aca="false">B4054/SUM($A4054:$C4054)</f>
        <v>0.160760872684615</v>
      </c>
      <c r="F4054" s="0" t="n">
        <f aca="false">C4054/SUM($A4054:$C4054)</f>
        <v>0.810957945884613</v>
      </c>
      <c r="G4054" s="0" t="n">
        <f aca="false">SUMPRODUCT(D4054:F4054,Stats!$B$6:$D$6)</f>
        <v>0.343371823554931</v>
      </c>
      <c r="H4054" s="0" t="n">
        <f aca="false">SQRT(SUMPRODUCT(MMULT(D4054:F4054,Stats!$B$12:$D$14),D4054:F4054))</f>
        <v>0.248915341874709</v>
      </c>
      <c r="I4054" s="0" t="n">
        <f aca="false">(G4054-Stats!$B$2)/H4054</f>
        <v>1.21074025122415</v>
      </c>
    </row>
    <row r="4055" customFormat="false" ht="15" hidden="false" customHeight="false" outlineLevel="0" collapsed="false">
      <c r="A4055" s="0" t="n">
        <v>0.153974351165684</v>
      </c>
      <c r="B4055" s="0" t="n">
        <v>0.376819606147971</v>
      </c>
      <c r="C4055" s="0" t="n">
        <v>0.628182604510355</v>
      </c>
      <c r="D4055" s="0" t="n">
        <f aca="false">A4055/SUM($A4055:$C4055)</f>
        <v>0.13285372304972</v>
      </c>
      <c r="E4055" s="0" t="n">
        <f aca="false">B4055/SUM($A4055:$C4055)</f>
        <v>0.325131343083356</v>
      </c>
      <c r="F4055" s="0" t="n">
        <f aca="false">C4055/SUM($A4055:$C4055)</f>
        <v>0.542014933866924</v>
      </c>
      <c r="G4055" s="0" t="n">
        <f aca="false">SUMPRODUCT(D4055:F4055,Stats!$B$6:$D$6)</f>
        <v>0.360245487796604</v>
      </c>
      <c r="H4055" s="0" t="n">
        <f aca="false">SQRT(SUMPRODUCT(MMULT(D4055:F4055,Stats!$B$12:$D$14),D4055:F4055))</f>
        <v>0.235888927694929</v>
      </c>
      <c r="I4055" s="0" t="n">
        <f aca="false">(G4055-Stats!$B$2)/H4055</f>
        <v>1.34913279273619</v>
      </c>
    </row>
    <row r="4056" customFormat="false" ht="15" hidden="false" customHeight="false" outlineLevel="0" collapsed="false">
      <c r="A4056" s="0" t="n">
        <v>0.547237427879284</v>
      </c>
      <c r="B4056" s="0" t="n">
        <v>0.231175883137394</v>
      </c>
      <c r="C4056" s="0" t="n">
        <v>0.343822491258752</v>
      </c>
      <c r="D4056" s="0" t="n">
        <f aca="false">A4056/SUM($A4056:$C4056)</f>
        <v>0.487631411125641</v>
      </c>
      <c r="E4056" s="0" t="n">
        <f aca="false">B4056/SUM($A4056:$C4056)</f>
        <v>0.205995818943457</v>
      </c>
      <c r="F4056" s="0" t="n">
        <f aca="false">C4056/SUM($A4056:$C4056)</f>
        <v>0.306372769930903</v>
      </c>
      <c r="G4056" s="0" t="n">
        <f aca="false">SUMPRODUCT(D4056:F4056,Stats!$B$6:$D$6)</f>
        <v>0.35988832596948</v>
      </c>
      <c r="H4056" s="0" t="n">
        <f aca="false">SQRT(SUMPRODUCT(MMULT(D4056:F4056,Stats!$B$12:$D$14),D4056:F4056))</f>
        <v>0.222462574095359</v>
      </c>
      <c r="I4056" s="0" t="n">
        <f aca="false">(G4056-Stats!$B$2)/H4056</f>
        <v>1.42895193612754</v>
      </c>
    </row>
    <row r="4057" customFormat="false" ht="15" hidden="false" customHeight="false" outlineLevel="0" collapsed="false">
      <c r="A4057" s="0" t="n">
        <v>0.614031198448651</v>
      </c>
      <c r="B4057" s="0" t="n">
        <v>0.860855028043449</v>
      </c>
      <c r="C4057" s="0" t="n">
        <v>0.753213438738877</v>
      </c>
      <c r="D4057" s="0" t="n">
        <f aca="false">A4057/SUM($A4057:$C4057)</f>
        <v>0.275585158074604</v>
      </c>
      <c r="E4057" s="0" t="n">
        <f aca="false">B4057/SUM($A4057:$C4057)</f>
        <v>0.386362890976965</v>
      </c>
      <c r="F4057" s="0" t="n">
        <f aca="false">C4057/SUM($A4057:$C4057)</f>
        <v>0.338051950948431</v>
      </c>
      <c r="G4057" s="0" t="n">
        <f aca="false">SUMPRODUCT(D4057:F4057,Stats!$B$6:$D$6)</f>
        <v>0.36939287261765</v>
      </c>
      <c r="H4057" s="0" t="n">
        <f aca="false">SQRT(SUMPRODUCT(MMULT(D4057:F4057,Stats!$B$12:$D$14),D4057:F4057))</f>
        <v>0.228483246537074</v>
      </c>
      <c r="I4057" s="0" t="n">
        <f aca="false">(G4057-Stats!$B$2)/H4057</f>
        <v>1.43289662406179</v>
      </c>
    </row>
    <row r="4058" customFormat="false" ht="15" hidden="false" customHeight="false" outlineLevel="0" collapsed="false">
      <c r="A4058" s="0" t="n">
        <v>0.553400026833415</v>
      </c>
      <c r="B4058" s="0" t="n">
        <v>0.362292998316486</v>
      </c>
      <c r="C4058" s="0" t="n">
        <v>0.365051277541805</v>
      </c>
      <c r="D4058" s="0" t="n">
        <f aca="false">A4058/SUM($A4058:$C4058)</f>
        <v>0.432092515008928</v>
      </c>
      <c r="E4058" s="0" t="n">
        <f aca="false">B4058/SUM($A4058:$C4058)</f>
        <v>0.282876915833289</v>
      </c>
      <c r="F4058" s="0" t="n">
        <f aca="false">C4058/SUM($A4058:$C4058)</f>
        <v>0.285030569157783</v>
      </c>
      <c r="G4058" s="0" t="n">
        <f aca="false">SUMPRODUCT(D4058:F4058,Stats!$B$6:$D$6)</f>
        <v>0.364900467756941</v>
      </c>
      <c r="H4058" s="0" t="n">
        <f aca="false">SQRT(SUMPRODUCT(MMULT(D4058:F4058,Stats!$B$12:$D$14),D4058:F4058))</f>
        <v>0.223773877565342</v>
      </c>
      <c r="I4058" s="0" t="n">
        <f aca="false">(G4058-Stats!$B$2)/H4058</f>
        <v>1.44297659436434</v>
      </c>
    </row>
    <row r="4059" customFormat="false" ht="15" hidden="false" customHeight="false" outlineLevel="0" collapsed="false">
      <c r="A4059" s="0" t="n">
        <v>0.879417310264396</v>
      </c>
      <c r="B4059" s="0" t="n">
        <v>0.0392435760405464</v>
      </c>
      <c r="C4059" s="0" t="n">
        <v>0.987982644420261</v>
      </c>
      <c r="D4059" s="0" t="n">
        <f aca="false">A4059/SUM($A4059:$C4059)</f>
        <v>0.461238451809555</v>
      </c>
      <c r="E4059" s="0" t="n">
        <f aca="false">B4059/SUM($A4059:$C4059)</f>
        <v>0.0205825448795979</v>
      </c>
      <c r="F4059" s="0" t="n">
        <f aca="false">C4059/SUM($A4059:$C4059)</f>
        <v>0.518179003310847</v>
      </c>
      <c r="G4059" s="0" t="n">
        <f aca="false">SUMPRODUCT(D4059:F4059,Stats!$B$6:$D$6)</f>
        <v>0.343379410735059</v>
      </c>
      <c r="H4059" s="0" t="n">
        <f aca="false">SQRT(SUMPRODUCT(MMULT(D4059:F4059,Stats!$B$12:$D$14),D4059:F4059))</f>
        <v>0.224392079512156</v>
      </c>
      <c r="I4059" s="0" t="n">
        <f aca="false">(G4059-Stats!$B$2)/H4059</f>
        <v>1.3430929085834</v>
      </c>
    </row>
    <row r="4060" customFormat="false" ht="15" hidden="false" customHeight="false" outlineLevel="0" collapsed="false">
      <c r="A4060" s="0" t="n">
        <v>0.664375410851562</v>
      </c>
      <c r="B4060" s="0" t="n">
        <v>0.681137699072391</v>
      </c>
      <c r="C4060" s="0" t="n">
        <v>0.0379978373047422</v>
      </c>
      <c r="D4060" s="0" t="n">
        <f aca="false">A4060/SUM($A4060:$C4060)</f>
        <v>0.480209724529011</v>
      </c>
      <c r="E4060" s="0" t="n">
        <f aca="false">B4060/SUM($A4060:$C4060)</f>
        <v>0.492325485704883</v>
      </c>
      <c r="F4060" s="0" t="n">
        <f aca="false">C4060/SUM($A4060:$C4060)</f>
        <v>0.0274647897661059</v>
      </c>
      <c r="G4060" s="0" t="n">
        <f aca="false">SUMPRODUCT(D4060:F4060,Stats!$B$6:$D$6)</f>
        <v>0.384054144685092</v>
      </c>
      <c r="H4060" s="0" t="n">
        <f aca="false">SQRT(SUMPRODUCT(MMULT(D4060:F4060,Stats!$B$12:$D$14),D4060:F4060))</f>
        <v>0.229014215119025</v>
      </c>
      <c r="I4060" s="0" t="n">
        <f aca="false">(G4060-Stats!$B$2)/H4060</f>
        <v>1.49359350688042</v>
      </c>
    </row>
    <row r="4061" customFormat="false" ht="15" hidden="false" customHeight="false" outlineLevel="0" collapsed="false">
      <c r="A4061" s="0" t="n">
        <v>0.605529274891272</v>
      </c>
      <c r="B4061" s="0" t="n">
        <v>0.484778060090447</v>
      </c>
      <c r="C4061" s="0" t="n">
        <v>0.105778906894067</v>
      </c>
      <c r="D4061" s="0" t="n">
        <f aca="false">A4061/SUM($A4061:$C4061)</f>
        <v>0.506258874729333</v>
      </c>
      <c r="E4061" s="0" t="n">
        <f aca="false">B4061/SUM($A4061:$C4061)</f>
        <v>0.405303600290715</v>
      </c>
      <c r="F4061" s="0" t="n">
        <f aca="false">C4061/SUM($A4061:$C4061)</f>
        <v>0.0884375249799522</v>
      </c>
      <c r="G4061" s="0" t="n">
        <f aca="false">SUMPRODUCT(D4061:F4061,Stats!$B$6:$D$6)</f>
        <v>0.377365718306408</v>
      </c>
      <c r="H4061" s="0" t="n">
        <f aca="false">SQRT(SUMPRODUCT(MMULT(D4061:F4061,Stats!$B$12:$D$14),D4061:F4061))</f>
        <v>0.226253812368339</v>
      </c>
      <c r="I4061" s="0" t="n">
        <f aca="false">(G4061-Stats!$B$2)/H4061</f>
        <v>1.48225444157571</v>
      </c>
    </row>
    <row r="4062" customFormat="false" ht="15" hidden="false" customHeight="false" outlineLevel="0" collapsed="false">
      <c r="A4062" s="0" t="n">
        <v>0.277922010769359</v>
      </c>
      <c r="B4062" s="0" t="n">
        <v>0.890314456213651</v>
      </c>
      <c r="C4062" s="0" t="n">
        <v>0.549988415865953</v>
      </c>
      <c r="D4062" s="0" t="n">
        <f aca="false">A4062/SUM($A4062:$C4062)</f>
        <v>0.16174949713715</v>
      </c>
      <c r="E4062" s="0" t="n">
        <f aca="false">B4062/SUM($A4062:$C4062)</f>
        <v>0.518159447637281</v>
      </c>
      <c r="F4062" s="0" t="n">
        <f aca="false">C4062/SUM($A4062:$C4062)</f>
        <v>0.320091055225568</v>
      </c>
      <c r="G4062" s="0" t="n">
        <f aca="false">SUMPRODUCT(D4062:F4062,Stats!$B$6:$D$6)</f>
        <v>0.377471540698374</v>
      </c>
      <c r="H4062" s="0" t="n">
        <f aca="false">SQRT(SUMPRODUCT(MMULT(D4062:F4062,Stats!$B$12:$D$14),D4062:F4062))</f>
        <v>0.234107530208893</v>
      </c>
      <c r="I4062" s="0" t="n">
        <f aca="false">(G4062-Stats!$B$2)/H4062</f>
        <v>1.43298056409819</v>
      </c>
    </row>
    <row r="4063" customFormat="false" ht="15" hidden="false" customHeight="false" outlineLevel="0" collapsed="false">
      <c r="A4063" s="0" t="n">
        <v>0.413416575173909</v>
      </c>
      <c r="B4063" s="0" t="n">
        <v>0.072682155840811</v>
      </c>
      <c r="C4063" s="0" t="n">
        <v>0.714121527402306</v>
      </c>
      <c r="D4063" s="0" t="n">
        <f aca="false">A4063/SUM($A4063:$C4063)</f>
        <v>0.344450589193658</v>
      </c>
      <c r="E4063" s="0" t="n">
        <f aca="false">B4063/SUM($A4063:$C4063)</f>
        <v>0.0605573479793381</v>
      </c>
      <c r="F4063" s="0" t="n">
        <f aca="false">C4063/SUM($A4063:$C4063)</f>
        <v>0.594992062827004</v>
      </c>
      <c r="G4063" s="0" t="n">
        <f aca="false">SUMPRODUCT(D4063:F4063,Stats!$B$6:$D$6)</f>
        <v>0.343561418594741</v>
      </c>
      <c r="H4063" s="0" t="n">
        <f aca="false">SQRT(SUMPRODUCT(MMULT(D4063:F4063,Stats!$B$12:$D$14),D4063:F4063))</f>
        <v>0.228580373489023</v>
      </c>
      <c r="I4063" s="0" t="n">
        <f aca="false">(G4063-Stats!$B$2)/H4063</f>
        <v>1.3192795776459</v>
      </c>
    </row>
    <row r="4064" customFormat="false" ht="15" hidden="false" customHeight="false" outlineLevel="0" collapsed="false">
      <c r="A4064" s="0" t="n">
        <v>0.702850823396033</v>
      </c>
      <c r="B4064" s="0" t="n">
        <v>0.614043606972564</v>
      </c>
      <c r="C4064" s="0" t="n">
        <v>0.510262646220649</v>
      </c>
      <c r="D4064" s="0" t="n">
        <f aca="false">A4064/SUM($A4064:$C4064)</f>
        <v>0.384669075473273</v>
      </c>
      <c r="E4064" s="0" t="n">
        <f aca="false">B4064/SUM($A4064:$C4064)</f>
        <v>0.336065035042745</v>
      </c>
      <c r="F4064" s="0" t="n">
        <f aca="false">C4064/SUM($A4064:$C4064)</f>
        <v>0.279265889483983</v>
      </c>
      <c r="G4064" s="0" t="n">
        <f aca="false">SUMPRODUCT(D4064:F4064,Stats!$B$6:$D$6)</f>
        <v>0.36811980212101</v>
      </c>
      <c r="H4064" s="0" t="n">
        <f aca="false">SQRT(SUMPRODUCT(MMULT(D4064:F4064,Stats!$B$12:$D$14),D4064:F4064))</f>
        <v>0.225125118030036</v>
      </c>
      <c r="I4064" s="0" t="n">
        <f aca="false">(G4064-Stats!$B$2)/H4064</f>
        <v>1.44861579629466</v>
      </c>
    </row>
    <row r="4065" customFormat="false" ht="15" hidden="false" customHeight="false" outlineLevel="0" collapsed="false">
      <c r="A4065" s="0" t="n">
        <v>0.433784402207373</v>
      </c>
      <c r="B4065" s="0" t="n">
        <v>0.593271092987992</v>
      </c>
      <c r="C4065" s="0" t="n">
        <v>0.233395451728407</v>
      </c>
      <c r="D4065" s="0" t="n">
        <f aca="false">A4065/SUM($A4065:$C4065)</f>
        <v>0.344150165673688</v>
      </c>
      <c r="E4065" s="0" t="n">
        <f aca="false">B4065/SUM($A4065:$C4065)</f>
        <v>0.470681619491751</v>
      </c>
      <c r="F4065" s="0" t="n">
        <f aca="false">C4065/SUM($A4065:$C4065)</f>
        <v>0.185168214834561</v>
      </c>
      <c r="G4065" s="0" t="n">
        <f aca="false">SUMPRODUCT(D4065:F4065,Stats!$B$6:$D$6)</f>
        <v>0.37846017334596</v>
      </c>
      <c r="H4065" s="0" t="n">
        <f aca="false">SQRT(SUMPRODUCT(MMULT(D4065:F4065,Stats!$B$12:$D$14),D4065:F4065))</f>
        <v>0.228161497966925</v>
      </c>
      <c r="I4065" s="0" t="n">
        <f aca="false">(G4065-Stats!$B$2)/H4065</f>
        <v>1.4746579784234</v>
      </c>
    </row>
    <row r="4066" customFormat="false" ht="15" hidden="false" customHeight="false" outlineLevel="0" collapsed="false">
      <c r="A4066" s="0" t="n">
        <v>0.941259064177648</v>
      </c>
      <c r="B4066" s="0" t="n">
        <v>0.58879452918023</v>
      </c>
      <c r="C4066" s="0" t="n">
        <v>0.311192444354377</v>
      </c>
      <c r="D4066" s="0" t="n">
        <f aca="false">A4066/SUM($A4066:$C4066)</f>
        <v>0.511207652263117</v>
      </c>
      <c r="E4066" s="0" t="n">
        <f aca="false">B4066/SUM($A4066:$C4066)</f>
        <v>0.319780473179894</v>
      </c>
      <c r="F4066" s="0" t="n">
        <f aca="false">C4066/SUM($A4066:$C4066)</f>
        <v>0.169011874556989</v>
      </c>
      <c r="G4066" s="0" t="n">
        <f aca="false">SUMPRODUCT(D4066:F4066,Stats!$B$6:$D$6)</f>
        <v>0.370223021563806</v>
      </c>
      <c r="H4066" s="0" t="n">
        <f aca="false">SQRT(SUMPRODUCT(MMULT(D4066:F4066,Stats!$B$12:$D$14),D4066:F4066))</f>
        <v>0.22397804414191</v>
      </c>
      <c r="I4066" s="0" t="n">
        <f aca="false">(G4066-Stats!$B$2)/H4066</f>
        <v>1.46542498315526</v>
      </c>
    </row>
    <row r="4067" customFormat="false" ht="15" hidden="false" customHeight="false" outlineLevel="0" collapsed="false">
      <c r="A4067" s="0" t="n">
        <v>0.449679850885157</v>
      </c>
      <c r="B4067" s="0" t="n">
        <v>0.805684788876892</v>
      </c>
      <c r="C4067" s="0" t="n">
        <v>0.161616060730297</v>
      </c>
      <c r="D4067" s="0" t="n">
        <f aca="false">A4067/SUM($A4067:$C4067)</f>
        <v>0.317350723781143</v>
      </c>
      <c r="E4067" s="0" t="n">
        <f aca="false">B4067/SUM($A4067:$C4067)</f>
        <v>0.568592634040074</v>
      </c>
      <c r="F4067" s="0" t="n">
        <f aca="false">C4067/SUM($A4067:$C4067)</f>
        <v>0.114056642178783</v>
      </c>
      <c r="G4067" s="0" t="n">
        <f aca="false">SUMPRODUCT(D4067:F4067,Stats!$B$6:$D$6)</f>
        <v>0.386054720664358</v>
      </c>
      <c r="H4067" s="0" t="n">
        <f aca="false">SQRT(SUMPRODUCT(MMULT(D4067:F4067,Stats!$B$12:$D$14),D4067:F4067))</f>
        <v>0.231233109936689</v>
      </c>
      <c r="I4067" s="0" t="n">
        <f aca="false">(G4067-Stats!$B$2)/H4067</f>
        <v>1.4879128718139</v>
      </c>
    </row>
    <row r="4068" customFormat="false" ht="15" hidden="false" customHeight="false" outlineLevel="0" collapsed="false">
      <c r="A4068" s="0" t="n">
        <v>0.29283562246026</v>
      </c>
      <c r="B4068" s="0" t="n">
        <v>0.679508022736555</v>
      </c>
      <c r="C4068" s="0" t="n">
        <v>0.315489206482224</v>
      </c>
      <c r="D4068" s="0" t="n">
        <f aca="false">A4068/SUM($A4068:$C4068)</f>
        <v>0.227386358469168</v>
      </c>
      <c r="E4068" s="0" t="n">
        <f aca="false">B4068/SUM($A4068:$C4068)</f>
        <v>0.52763681393174</v>
      </c>
      <c r="F4068" s="0" t="n">
        <f aca="false">C4068/SUM($A4068:$C4068)</f>
        <v>0.244976827599093</v>
      </c>
      <c r="G4068" s="0" t="n">
        <f aca="false">SUMPRODUCT(D4068:F4068,Stats!$B$6:$D$6)</f>
        <v>0.380088102024991</v>
      </c>
      <c r="H4068" s="0" t="n">
        <f aca="false">SQRT(SUMPRODUCT(MMULT(D4068:F4068,Stats!$B$12:$D$14),D4068:F4068))</f>
        <v>0.231884163222283</v>
      </c>
      <c r="I4068" s="0" t="n">
        <f aca="false">(G4068-Stats!$B$2)/H4068</f>
        <v>1.45800427820032</v>
      </c>
    </row>
    <row r="4069" customFormat="false" ht="15" hidden="false" customHeight="false" outlineLevel="0" collapsed="false">
      <c r="A4069" s="0" t="n">
        <v>0.792501681861466</v>
      </c>
      <c r="B4069" s="0" t="n">
        <v>0.130453487177361</v>
      </c>
      <c r="C4069" s="0" t="n">
        <v>0.762686170454609</v>
      </c>
      <c r="D4069" s="0" t="n">
        <f aca="false">A4069/SUM($A4069:$C4069)</f>
        <v>0.470148461178359</v>
      </c>
      <c r="E4069" s="0" t="n">
        <f aca="false">B4069/SUM($A4069:$C4069)</f>
        <v>0.0773910108401615</v>
      </c>
      <c r="F4069" s="0" t="n">
        <f aca="false">C4069/SUM($A4069:$C4069)</f>
        <v>0.45246052798148</v>
      </c>
      <c r="G4069" s="0" t="n">
        <f aca="false">SUMPRODUCT(D4069:F4069,Stats!$B$6:$D$6)</f>
        <v>0.348460258021224</v>
      </c>
      <c r="H4069" s="0" t="n">
        <f aca="false">SQRT(SUMPRODUCT(MMULT(D4069:F4069,Stats!$B$12:$D$14),D4069:F4069))</f>
        <v>0.223207630267454</v>
      </c>
      <c r="I4069" s="0" t="n">
        <f aca="false">(G4069-Stats!$B$2)/H4069</f>
        <v>1.37298289334471</v>
      </c>
    </row>
    <row r="4070" customFormat="false" ht="15" hidden="false" customHeight="false" outlineLevel="0" collapsed="false">
      <c r="A4070" s="0" t="n">
        <v>0.0683517148505662</v>
      </c>
      <c r="B4070" s="0" t="n">
        <v>0.0125926126674948</v>
      </c>
      <c r="C4070" s="0" t="n">
        <v>0.898223518832162</v>
      </c>
      <c r="D4070" s="0" t="n">
        <f aca="false">A4070/SUM($A4070:$C4070)</f>
        <v>0.0698059225548942</v>
      </c>
      <c r="E4070" s="0" t="n">
        <f aca="false">B4070/SUM($A4070:$C4070)</f>
        <v>0.0128605251024457</v>
      </c>
      <c r="F4070" s="0" t="n">
        <f aca="false">C4070/SUM($A4070:$C4070)</f>
        <v>0.91733355234266</v>
      </c>
      <c r="G4070" s="0" t="n">
        <f aca="false">SUMPRODUCT(D4070:F4070,Stats!$B$6:$D$6)</f>
        <v>0.331928562544855</v>
      </c>
      <c r="H4070" s="0" t="n">
        <f aca="false">SQRT(SUMPRODUCT(MMULT(D4070:F4070,Stats!$B$12:$D$14),D4070:F4070))</f>
        <v>0.251796272090957</v>
      </c>
      <c r="I4070" s="0" t="n">
        <f aca="false">(G4070-Stats!$B$2)/H4070</f>
        <v>1.15144104452875</v>
      </c>
    </row>
    <row r="4071" customFormat="false" ht="15" hidden="false" customHeight="false" outlineLevel="0" collapsed="false">
      <c r="A4071" s="0" t="n">
        <v>0.581339216932299</v>
      </c>
      <c r="B4071" s="0" t="n">
        <v>0.351826897086812</v>
      </c>
      <c r="C4071" s="0" t="n">
        <v>0.23259463696385</v>
      </c>
      <c r="D4071" s="0" t="n">
        <f aca="false">A4071/SUM($A4071:$C4071)</f>
        <v>0.498677980402169</v>
      </c>
      <c r="E4071" s="0" t="n">
        <f aca="false">B4071/SUM($A4071:$C4071)</f>
        <v>0.301800259435869</v>
      </c>
      <c r="F4071" s="0" t="n">
        <f aca="false">C4071/SUM($A4071:$C4071)</f>
        <v>0.199521760161962</v>
      </c>
      <c r="G4071" s="0" t="n">
        <f aca="false">SUMPRODUCT(D4071:F4071,Stats!$B$6:$D$6)</f>
        <v>0.368347164975472</v>
      </c>
      <c r="H4071" s="0" t="n">
        <f aca="false">SQRT(SUMPRODUCT(MMULT(D4071:F4071,Stats!$B$12:$D$14),D4071:F4071))</f>
        <v>0.223577350485387</v>
      </c>
      <c r="I4071" s="0" t="n">
        <f aca="false">(G4071-Stats!$B$2)/H4071</f>
        <v>1.45966111623996</v>
      </c>
    </row>
    <row r="4072" customFormat="false" ht="15" hidden="false" customHeight="false" outlineLevel="0" collapsed="false">
      <c r="A4072" s="0" t="n">
        <v>0.616885783260816</v>
      </c>
      <c r="B4072" s="0" t="n">
        <v>0.509002183536738</v>
      </c>
      <c r="C4072" s="0" t="n">
        <v>0.991597775529985</v>
      </c>
      <c r="D4072" s="0" t="n">
        <f aca="false">A4072/SUM($A4072:$C4072)</f>
        <v>0.291329368094227</v>
      </c>
      <c r="E4072" s="0" t="n">
        <f aca="false">B4072/SUM($A4072:$C4072)</f>
        <v>0.240380453743808</v>
      </c>
      <c r="F4072" s="0" t="n">
        <f aca="false">C4072/SUM($A4072:$C4072)</f>
        <v>0.468290178161966</v>
      </c>
      <c r="G4072" s="0" t="n">
        <f aca="false">SUMPRODUCT(D4072:F4072,Stats!$B$6:$D$6)</f>
        <v>0.357401963097468</v>
      </c>
      <c r="H4072" s="0" t="n">
        <f aca="false">SQRT(SUMPRODUCT(MMULT(D4072:F4072,Stats!$B$12:$D$14),D4072:F4072))</f>
        <v>0.228018369130008</v>
      </c>
      <c r="I4072" s="0" t="n">
        <f aca="false">(G4072-Stats!$B$2)/H4072</f>
        <v>1.38323050156383</v>
      </c>
    </row>
    <row r="4073" customFormat="false" ht="15" hidden="false" customHeight="false" outlineLevel="0" collapsed="false">
      <c r="A4073" s="0" t="n">
        <v>0.983215986653746</v>
      </c>
      <c r="B4073" s="0" t="n">
        <v>0.63502456614161</v>
      </c>
      <c r="C4073" s="0" t="n">
        <v>0.442870506105891</v>
      </c>
      <c r="D4073" s="0" t="n">
        <f aca="false">A4073/SUM($A4073:$C4073)</f>
        <v>0.477032027171737</v>
      </c>
      <c r="E4073" s="0" t="n">
        <f aca="false">B4073/SUM($A4073:$C4073)</f>
        <v>0.308098180056408</v>
      </c>
      <c r="F4073" s="0" t="n">
        <f aca="false">C4073/SUM($A4073:$C4073)</f>
        <v>0.214869792771856</v>
      </c>
      <c r="G4073" s="0" t="n">
        <f aca="false">SUMPRODUCT(D4073:F4073,Stats!$B$6:$D$6)</f>
        <v>0.368286323080685</v>
      </c>
      <c r="H4073" s="0" t="n">
        <f aca="false">SQRT(SUMPRODUCT(MMULT(D4073:F4073,Stats!$B$12:$D$14),D4073:F4073))</f>
        <v>0.223719513316716</v>
      </c>
      <c r="I4073" s="0" t="n">
        <f aca="false">(G4073-Stats!$B$2)/H4073</f>
        <v>1.45846161670648</v>
      </c>
    </row>
    <row r="4074" customFormat="false" ht="15" hidden="false" customHeight="false" outlineLevel="0" collapsed="false">
      <c r="A4074" s="0" t="n">
        <v>0.491140969134662</v>
      </c>
      <c r="B4074" s="0" t="n">
        <v>0.682479066236862</v>
      </c>
      <c r="C4074" s="0" t="n">
        <v>0.101574544235381</v>
      </c>
      <c r="D4074" s="0" t="n">
        <f aca="false">A4074/SUM($A4074:$C4074)</f>
        <v>0.385149824967153</v>
      </c>
      <c r="E4074" s="0" t="n">
        <f aca="false">B4074/SUM($A4074:$C4074)</f>
        <v>0.535196021964934</v>
      </c>
      <c r="F4074" s="0" t="n">
        <f aca="false">C4074/SUM($A4074:$C4074)</f>
        <v>0.079654153067913</v>
      </c>
      <c r="G4074" s="0" t="n">
        <f aca="false">SUMPRODUCT(D4074:F4074,Stats!$B$6:$D$6)</f>
        <v>0.385081758235283</v>
      </c>
      <c r="H4074" s="0" t="n">
        <f aca="false">SQRT(SUMPRODUCT(MMULT(D4074:F4074,Stats!$B$12:$D$14),D4074:F4074))</f>
        <v>0.229840254966083</v>
      </c>
      <c r="I4074" s="0" t="n">
        <f aca="false">(G4074-Stats!$B$2)/H4074</f>
        <v>1.49269656129607</v>
      </c>
    </row>
    <row r="4075" customFormat="false" ht="15" hidden="false" customHeight="false" outlineLevel="0" collapsed="false">
      <c r="A4075" s="0" t="n">
        <v>0.328352073810718</v>
      </c>
      <c r="B4075" s="0" t="n">
        <v>0.0752722410036039</v>
      </c>
      <c r="C4075" s="0" t="n">
        <v>0.0733607595169196</v>
      </c>
      <c r="D4075" s="0" t="n">
        <f aca="false">A4075/SUM($A4075:$C4075)</f>
        <v>0.68839066771866</v>
      </c>
      <c r="E4075" s="0" t="n">
        <f aca="false">B4075/SUM($A4075:$C4075)</f>
        <v>0.157808378195355</v>
      </c>
      <c r="F4075" s="0" t="n">
        <f aca="false">C4075/SUM($A4075:$C4075)</f>
        <v>0.153800954085985</v>
      </c>
      <c r="G4075" s="0" t="n">
        <f aca="false">SUMPRODUCT(D4075:F4075,Stats!$B$6:$D$6)</f>
        <v>0.361322792136336</v>
      </c>
      <c r="H4075" s="0" t="n">
        <f aca="false">SQRT(SUMPRODUCT(MMULT(D4075:F4075,Stats!$B$12:$D$14),D4075:F4075))</f>
        <v>0.223112450241172</v>
      </c>
      <c r="I4075" s="0" t="n">
        <f aca="false">(G4075-Stats!$B$2)/H4075</f>
        <v>1.43121906371055</v>
      </c>
    </row>
    <row r="4076" customFormat="false" ht="15" hidden="false" customHeight="false" outlineLevel="0" collapsed="false">
      <c r="A4076" s="0" t="n">
        <v>0.195839241894234</v>
      </c>
      <c r="B4076" s="0" t="n">
        <v>0.485253254593227</v>
      </c>
      <c r="C4076" s="0" t="n">
        <v>0.784774321162789</v>
      </c>
      <c r="D4076" s="0" t="n">
        <f aca="false">A4076/SUM($A4076:$C4076)</f>
        <v>0.13359961460084</v>
      </c>
      <c r="E4076" s="0" t="n">
        <f aca="false">B4076/SUM($A4076:$C4076)</f>
        <v>0.331035022247844</v>
      </c>
      <c r="F4076" s="0" t="n">
        <f aca="false">C4076/SUM($A4076:$C4076)</f>
        <v>0.535365363151316</v>
      </c>
      <c r="G4076" s="0" t="n">
        <f aca="false">SUMPRODUCT(D4076:F4076,Stats!$B$6:$D$6)</f>
        <v>0.36076853720967</v>
      </c>
      <c r="H4076" s="0" t="n">
        <f aca="false">SQRT(SUMPRODUCT(MMULT(D4076:F4076,Stats!$B$12:$D$14),D4076:F4076))</f>
        <v>0.235760589109278</v>
      </c>
      <c r="I4076" s="0" t="n">
        <f aca="false">(G4076-Stats!$B$2)/H4076</f>
        <v>1.35208576808364</v>
      </c>
    </row>
    <row r="4077" customFormat="false" ht="15" hidden="false" customHeight="false" outlineLevel="0" collapsed="false">
      <c r="A4077" s="0" t="n">
        <v>0.485495891165873</v>
      </c>
      <c r="B4077" s="0" t="n">
        <v>0.33547661056087</v>
      </c>
      <c r="C4077" s="0" t="n">
        <v>0.0823529903367581</v>
      </c>
      <c r="D4077" s="0" t="n">
        <f aca="false">A4077/SUM($A4077:$C4077)</f>
        <v>0.537453991314732</v>
      </c>
      <c r="E4077" s="0" t="n">
        <f aca="false">B4077/SUM($A4077:$C4077)</f>
        <v>0.371379545366895</v>
      </c>
      <c r="F4077" s="0" t="n">
        <f aca="false">C4077/SUM($A4077:$C4077)</f>
        <v>0.0911664633183728</v>
      </c>
      <c r="G4077" s="0" t="n">
        <f aca="false">SUMPRODUCT(D4077:F4077,Stats!$B$6:$D$6)</f>
        <v>0.375338522668059</v>
      </c>
      <c r="H4077" s="0" t="n">
        <f aca="false">SQRT(SUMPRODUCT(MMULT(D4077:F4077,Stats!$B$12:$D$14),D4077:F4077))</f>
        <v>0.225607976997561</v>
      </c>
      <c r="I4077" s="0" t="n">
        <f aca="false">(G4077-Stats!$B$2)/H4077</f>
        <v>1.47751213013033</v>
      </c>
    </row>
    <row r="4078" customFormat="false" ht="15" hidden="false" customHeight="false" outlineLevel="0" collapsed="false">
      <c r="A4078" s="0" t="n">
        <v>0.55029552318313</v>
      </c>
      <c r="B4078" s="0" t="n">
        <v>0.271268586483177</v>
      </c>
      <c r="C4078" s="0" t="n">
        <v>0.614934177917147</v>
      </c>
      <c r="D4078" s="0" t="n">
        <f aca="false">A4078/SUM($A4078:$C4078)</f>
        <v>0.383081224627746</v>
      </c>
      <c r="E4078" s="0" t="n">
        <f aca="false">B4078/SUM($A4078:$C4078)</f>
        <v>0.188840173934017</v>
      </c>
      <c r="F4078" s="0" t="n">
        <f aca="false">C4078/SUM($A4078:$C4078)</f>
        <v>0.428078601438237</v>
      </c>
      <c r="G4078" s="0" t="n">
        <f aca="false">SUMPRODUCT(D4078:F4078,Stats!$B$6:$D$6)</f>
        <v>0.355545220866463</v>
      </c>
      <c r="H4078" s="0" t="n">
        <f aca="false">SQRT(SUMPRODUCT(MMULT(D4078:F4078,Stats!$B$12:$D$14),D4078:F4078))</f>
        <v>0.224806443421721</v>
      </c>
      <c r="I4078" s="0" t="n">
        <f aca="false">(G4078-Stats!$B$2)/H4078</f>
        <v>1.39473413703839</v>
      </c>
    </row>
    <row r="4079" customFormat="false" ht="15" hidden="false" customHeight="false" outlineLevel="0" collapsed="false">
      <c r="A4079" s="0" t="n">
        <v>0.977187739132418</v>
      </c>
      <c r="B4079" s="0" t="n">
        <v>0.11131432147755</v>
      </c>
      <c r="C4079" s="0" t="n">
        <v>0.21212539872194</v>
      </c>
      <c r="D4079" s="0" t="n">
        <f aca="false">A4079/SUM($A4079:$C4079)</f>
        <v>0.751320243257335</v>
      </c>
      <c r="E4079" s="0" t="n">
        <f aca="false">B4079/SUM($A4079:$C4079)</f>
        <v>0.085585092548122</v>
      </c>
      <c r="F4079" s="0" t="n">
        <f aca="false">C4079/SUM($A4079:$C4079)</f>
        <v>0.163094664194544</v>
      </c>
      <c r="G4079" s="0" t="n">
        <f aca="false">SUMPRODUCT(D4079:F4079,Stats!$B$6:$D$6)</f>
        <v>0.35691088727527</v>
      </c>
      <c r="H4079" s="0" t="n">
        <f aca="false">SQRT(SUMPRODUCT(MMULT(D4079:F4079,Stats!$B$12:$D$14),D4079:F4079))</f>
        <v>0.223453145826989</v>
      </c>
      <c r="I4079" s="0" t="n">
        <f aca="false">(G4079-Stats!$B$2)/H4079</f>
        <v>1.40929270030995</v>
      </c>
    </row>
    <row r="4080" customFormat="false" ht="15" hidden="false" customHeight="false" outlineLevel="0" collapsed="false">
      <c r="A4080" s="0" t="n">
        <v>0.473094538099375</v>
      </c>
      <c r="B4080" s="0" t="n">
        <v>0.96861381534593</v>
      </c>
      <c r="C4080" s="0" t="n">
        <v>0.771809776269996</v>
      </c>
      <c r="D4080" s="0" t="n">
        <f aca="false">A4080/SUM($A4080:$C4080)</f>
        <v>0.213729687481811</v>
      </c>
      <c r="E4080" s="0" t="n">
        <f aca="false">B4080/SUM($A4080:$C4080)</f>
        <v>0.437590188371537</v>
      </c>
      <c r="F4080" s="0" t="n">
        <f aca="false">C4080/SUM($A4080:$C4080)</f>
        <v>0.348680124146652</v>
      </c>
      <c r="G4080" s="0" t="n">
        <f aca="false">SUMPRODUCT(D4080:F4080,Stats!$B$6:$D$6)</f>
        <v>0.37204735721941</v>
      </c>
      <c r="H4080" s="0" t="n">
        <f aca="false">SQRT(SUMPRODUCT(MMULT(D4080:F4080,Stats!$B$12:$D$14),D4080:F4080))</f>
        <v>0.231176110657161</v>
      </c>
      <c r="I4080" s="0" t="n">
        <f aca="false">(G4080-Stats!$B$2)/H4080</f>
        <v>1.42768799198667</v>
      </c>
    </row>
    <row r="4081" customFormat="false" ht="15" hidden="false" customHeight="false" outlineLevel="0" collapsed="false">
      <c r="A4081" s="0" t="n">
        <v>0.89822919316283</v>
      </c>
      <c r="B4081" s="0" t="n">
        <v>0.333714848475793</v>
      </c>
      <c r="C4081" s="0" t="n">
        <v>0.992038473778595</v>
      </c>
      <c r="D4081" s="0" t="n">
        <f aca="false">A4081/SUM($A4081:$C4081)</f>
        <v>0.40388320813499</v>
      </c>
      <c r="E4081" s="0" t="n">
        <f aca="false">B4081/SUM($A4081:$C4081)</f>
        <v>0.150052820182891</v>
      </c>
      <c r="F4081" s="0" t="n">
        <f aca="false">C4081/SUM($A4081:$C4081)</f>
        <v>0.446063971682119</v>
      </c>
      <c r="G4081" s="0" t="n">
        <f aca="false">SUMPRODUCT(D4081:F4081,Stats!$B$6:$D$6)</f>
        <v>0.352817507066175</v>
      </c>
      <c r="H4081" s="0" t="n">
        <f aca="false">SQRT(SUMPRODUCT(MMULT(D4081:F4081,Stats!$B$12:$D$14),D4081:F4081))</f>
        <v>0.22443056725719</v>
      </c>
      <c r="I4081" s="0" t="n">
        <f aca="false">(G4081-Stats!$B$2)/H4081</f>
        <v>1.38491610507756</v>
      </c>
    </row>
    <row r="4082" customFormat="false" ht="15" hidden="false" customHeight="false" outlineLevel="0" collapsed="false">
      <c r="A4082" s="0" t="n">
        <v>0.102832816064157</v>
      </c>
      <c r="B4082" s="0" t="n">
        <v>0.0529729060461008</v>
      </c>
      <c r="C4082" s="0" t="n">
        <v>0.855602627054028</v>
      </c>
      <c r="D4082" s="0" t="n">
        <f aca="false">A4082/SUM($A4082:$C4082)</f>
        <v>0.101672896164172</v>
      </c>
      <c r="E4082" s="0" t="n">
        <f aca="false">B4082/SUM($A4082:$C4082)</f>
        <v>0.0523753893171553</v>
      </c>
      <c r="F4082" s="0" t="n">
        <f aca="false">C4082/SUM($A4082:$C4082)</f>
        <v>0.845951714518673</v>
      </c>
      <c r="G4082" s="0" t="n">
        <f aca="false">SUMPRODUCT(D4082:F4082,Stats!$B$6:$D$6)</f>
        <v>0.33617052341178</v>
      </c>
      <c r="H4082" s="0" t="n">
        <f aca="false">SQRT(SUMPRODUCT(MMULT(D4082:F4082,Stats!$B$12:$D$14),D4082:F4082))</f>
        <v>0.246744801113472</v>
      </c>
      <c r="I4082" s="0" t="n">
        <f aca="false">(G4082-Stats!$B$2)/H4082</f>
        <v>1.19220555847293</v>
      </c>
    </row>
    <row r="4083" customFormat="false" ht="15" hidden="false" customHeight="false" outlineLevel="0" collapsed="false">
      <c r="A4083" s="0" t="n">
        <v>0.927264870206986</v>
      </c>
      <c r="B4083" s="0" t="n">
        <v>0.0905853575461018</v>
      </c>
      <c r="C4083" s="0" t="n">
        <v>0.113427426745842</v>
      </c>
      <c r="D4083" s="0" t="n">
        <f aca="false">A4083/SUM($A4083:$C4083)</f>
        <v>0.819661615801732</v>
      </c>
      <c r="E4083" s="0" t="n">
        <f aca="false">B4083/SUM($A4083:$C4083)</f>
        <v>0.0800734967104289</v>
      </c>
      <c r="F4083" s="0" t="n">
        <f aca="false">C4083/SUM($A4083:$C4083)</f>
        <v>0.100264887487839</v>
      </c>
      <c r="G4083" s="0" t="n">
        <f aca="false">SUMPRODUCT(D4083:F4083,Stats!$B$6:$D$6)</f>
        <v>0.358326264111372</v>
      </c>
      <c r="H4083" s="0" t="n">
        <f aca="false">SQRT(SUMPRODUCT(MMULT(D4083:F4083,Stats!$B$12:$D$14),D4083:F4083))</f>
        <v>0.225754705540016</v>
      </c>
      <c r="I4083" s="0" t="n">
        <f aca="false">(G4083-Stats!$B$2)/H4083</f>
        <v>1.40119455474784</v>
      </c>
    </row>
    <row r="4084" customFormat="false" ht="15" hidden="false" customHeight="false" outlineLevel="0" collapsed="false">
      <c r="A4084" s="0" t="n">
        <v>0.0331741577557738</v>
      </c>
      <c r="B4084" s="0" t="n">
        <v>0.104507562642724</v>
      </c>
      <c r="C4084" s="0" t="n">
        <v>0.209419816800281</v>
      </c>
      <c r="D4084" s="0" t="n">
        <f aca="false">A4084/SUM($A4084:$C4084)</f>
        <v>0.0955747935416822</v>
      </c>
      <c r="E4084" s="0" t="n">
        <f aca="false">B4084/SUM($A4084:$C4084)</f>
        <v>0.301086429884851</v>
      </c>
      <c r="F4084" s="0" t="n">
        <f aca="false">C4084/SUM($A4084:$C4084)</f>
        <v>0.603338776573467</v>
      </c>
      <c r="G4084" s="0" t="n">
        <f aca="false">SUMPRODUCT(D4084:F4084,Stats!$B$6:$D$6)</f>
        <v>0.357170993235641</v>
      </c>
      <c r="H4084" s="0" t="n">
        <f aca="false">SQRT(SUMPRODUCT(MMULT(D4084:F4084,Stats!$B$12:$D$14),D4084:F4084))</f>
        <v>0.238903286726172</v>
      </c>
      <c r="I4084" s="0" t="n">
        <f aca="false">(G4084-Stats!$B$2)/H4084</f>
        <v>1.31924092612793</v>
      </c>
    </row>
    <row r="4085" customFormat="false" ht="15" hidden="false" customHeight="false" outlineLevel="0" collapsed="false">
      <c r="A4085" s="0" t="n">
        <v>0.970076618910001</v>
      </c>
      <c r="B4085" s="0" t="n">
        <v>0.66786022223968</v>
      </c>
      <c r="C4085" s="0" t="n">
        <v>0.778553025518542</v>
      </c>
      <c r="D4085" s="0" t="n">
        <f aca="false">A4085/SUM($A4085:$C4085)</f>
        <v>0.40144038354587</v>
      </c>
      <c r="E4085" s="0" t="n">
        <f aca="false">B4085/SUM($A4085:$C4085)</f>
        <v>0.276376173329667</v>
      </c>
      <c r="F4085" s="0" t="n">
        <f aca="false">C4085/SUM($A4085:$C4085)</f>
        <v>0.322183443124463</v>
      </c>
      <c r="G4085" s="0" t="n">
        <f aca="false">SUMPRODUCT(D4085:F4085,Stats!$B$6:$D$6)</f>
        <v>0.363501947237145</v>
      </c>
      <c r="H4085" s="0" t="n">
        <f aca="false">SQRT(SUMPRODUCT(MMULT(D4085:F4085,Stats!$B$12:$D$14),D4085:F4085))</f>
        <v>0.224269335829321</v>
      </c>
      <c r="I4085" s="0" t="n">
        <f aca="false">(G4085-Stats!$B$2)/H4085</f>
        <v>1.43355285754189</v>
      </c>
    </row>
    <row r="4086" customFormat="false" ht="15" hidden="false" customHeight="false" outlineLevel="0" collapsed="false">
      <c r="A4086" s="0" t="n">
        <v>0.776139403691522</v>
      </c>
      <c r="B4086" s="0" t="n">
        <v>0.535073749779215</v>
      </c>
      <c r="C4086" s="0" t="n">
        <v>0.797488977713017</v>
      </c>
      <c r="D4086" s="0" t="n">
        <f aca="false">A4086/SUM($A4086:$C4086)</f>
        <v>0.368064978080059</v>
      </c>
      <c r="E4086" s="0" t="n">
        <f aca="false">B4086/SUM($A4086:$C4086)</f>
        <v>0.253745534690024</v>
      </c>
      <c r="F4086" s="0" t="n">
        <f aca="false">C4086/SUM($A4086:$C4086)</f>
        <v>0.378189487229917</v>
      </c>
      <c r="G4086" s="0" t="n">
        <f aca="false">SUMPRODUCT(D4086:F4086,Stats!$B$6:$D$6)</f>
        <v>0.360655464454931</v>
      </c>
      <c r="H4086" s="0" t="n">
        <f aca="false">SQRT(SUMPRODUCT(MMULT(D4086:F4086,Stats!$B$12:$D$14),D4086:F4086))</f>
        <v>0.225055816697909</v>
      </c>
      <c r="I4086" s="0" t="n">
        <f aca="false">(G4086-Stats!$B$2)/H4086</f>
        <v>1.41589526158598</v>
      </c>
    </row>
    <row r="4087" customFormat="false" ht="15" hidden="false" customHeight="false" outlineLevel="0" collapsed="false">
      <c r="A4087" s="0" t="n">
        <v>0.59580753238997</v>
      </c>
      <c r="B4087" s="0" t="n">
        <v>0.314546097603358</v>
      </c>
      <c r="C4087" s="0" t="n">
        <v>0.561110108768401</v>
      </c>
      <c r="D4087" s="0" t="n">
        <f aca="false">A4087/SUM($A4087:$C4087)</f>
        <v>0.404908063104128</v>
      </c>
      <c r="E4087" s="0" t="n">
        <f aca="false">B4087/SUM($A4087:$C4087)</f>
        <v>0.213764083556728</v>
      </c>
      <c r="F4087" s="0" t="n">
        <f aca="false">C4087/SUM($A4087:$C4087)</f>
        <v>0.381327853339144</v>
      </c>
      <c r="G4087" s="0" t="n">
        <f aca="false">SUMPRODUCT(D4087:F4087,Stats!$B$6:$D$6)</f>
        <v>0.358268444265318</v>
      </c>
      <c r="H4087" s="0" t="n">
        <f aca="false">SQRT(SUMPRODUCT(MMULT(D4087:F4087,Stats!$B$12:$D$14),D4087:F4087))</f>
        <v>0.224048551996117</v>
      </c>
      <c r="I4087" s="0" t="n">
        <f aca="false">(G4087-Stats!$B$2)/H4087</f>
        <v>1.41160673187836</v>
      </c>
    </row>
    <row r="4088" customFormat="false" ht="15" hidden="false" customHeight="false" outlineLevel="0" collapsed="false">
      <c r="A4088" s="0" t="n">
        <v>0.533508586134514</v>
      </c>
      <c r="B4088" s="0" t="n">
        <v>0.823453053759321</v>
      </c>
      <c r="C4088" s="0" t="n">
        <v>0.981727217381659</v>
      </c>
      <c r="D4088" s="0" t="n">
        <f aca="false">A4088/SUM($A4088:$C4088)</f>
        <v>0.228122943535138</v>
      </c>
      <c r="E4088" s="0" t="n">
        <f aca="false">B4088/SUM($A4088:$C4088)</f>
        <v>0.352100302354295</v>
      </c>
      <c r="F4088" s="0" t="n">
        <f aca="false">C4088/SUM($A4088:$C4088)</f>
        <v>0.419776754110568</v>
      </c>
      <c r="G4088" s="0" t="n">
        <f aca="false">SUMPRODUCT(D4088:F4088,Stats!$B$6:$D$6)</f>
        <v>0.365167917599319</v>
      </c>
      <c r="H4088" s="0" t="n">
        <f aca="false">SQRT(SUMPRODUCT(MMULT(D4088:F4088,Stats!$B$12:$D$14),D4088:F4088))</f>
        <v>0.230315837127902</v>
      </c>
      <c r="I4088" s="0" t="n">
        <f aca="false">(G4088-Stats!$B$2)/H4088</f>
        <v>1.40315108864986</v>
      </c>
    </row>
    <row r="4089" customFormat="false" ht="15" hidden="false" customHeight="false" outlineLevel="0" collapsed="false">
      <c r="A4089" s="0" t="n">
        <v>0.411042565420931</v>
      </c>
      <c r="B4089" s="0" t="n">
        <v>0.76339067844136</v>
      </c>
      <c r="C4089" s="0" t="n">
        <v>0.0997630040381335</v>
      </c>
      <c r="D4089" s="0" t="n">
        <f aca="false">A4089/SUM($A4089:$C4089)</f>
        <v>0.322589684358459</v>
      </c>
      <c r="E4089" s="0" t="n">
        <f aca="false">B4089/SUM($A4089:$C4089)</f>
        <v>0.599115465690037</v>
      </c>
      <c r="F4089" s="0" t="n">
        <f aca="false">C4089/SUM($A4089:$C4089)</f>
        <v>0.0782948499515044</v>
      </c>
      <c r="G4089" s="0" t="n">
        <f aca="false">SUMPRODUCT(D4089:F4089,Stats!$B$6:$D$6)</f>
        <v>0.388797082558528</v>
      </c>
      <c r="H4089" s="0" t="n">
        <f aca="false">SQRT(SUMPRODUCT(MMULT(D4089:F4089,Stats!$B$12:$D$14),D4089:F4089))</f>
        <v>0.232262360732149</v>
      </c>
      <c r="I4089" s="0" t="n">
        <f aca="false">(G4089-Stats!$B$2)/H4089</f>
        <v>1.49312648620869</v>
      </c>
    </row>
    <row r="4090" customFormat="false" ht="15" hidden="false" customHeight="false" outlineLevel="0" collapsed="false">
      <c r="A4090" s="0" t="n">
        <v>0.776831369448289</v>
      </c>
      <c r="B4090" s="0" t="n">
        <v>0.371416911993232</v>
      </c>
      <c r="C4090" s="0" t="n">
        <v>0.0393901628896867</v>
      </c>
      <c r="D4090" s="0" t="n">
        <f aca="false">A4090/SUM($A4090:$C4090)</f>
        <v>0.654097527034622</v>
      </c>
      <c r="E4090" s="0" t="n">
        <f aca="false">B4090/SUM($A4090:$C4090)</f>
        <v>0.312735676220373</v>
      </c>
      <c r="F4090" s="0" t="n">
        <f aca="false">C4090/SUM($A4090:$C4090)</f>
        <v>0.0331667967450046</v>
      </c>
      <c r="G4090" s="0" t="n">
        <f aca="false">SUMPRODUCT(D4090:F4090,Stats!$B$6:$D$6)</f>
        <v>0.373563548836559</v>
      </c>
      <c r="H4090" s="0" t="n">
        <f aca="false">SQRT(SUMPRODUCT(MMULT(D4090:F4090,Stats!$B$12:$D$14),D4090:F4090))</f>
        <v>0.226403341318448</v>
      </c>
      <c r="I4090" s="0" t="n">
        <f aca="false">(G4090-Stats!$B$2)/H4090</f>
        <v>1.46448169406739</v>
      </c>
    </row>
    <row r="4091" customFormat="false" ht="15" hidden="false" customHeight="false" outlineLevel="0" collapsed="false">
      <c r="A4091" s="0" t="n">
        <v>0.363246178562177</v>
      </c>
      <c r="B4091" s="0" t="n">
        <v>0.610642750921645</v>
      </c>
      <c r="C4091" s="0" t="n">
        <v>0.119250167681467</v>
      </c>
      <c r="D4091" s="0" t="n">
        <f aca="false">A4091/SUM($A4091:$C4091)</f>
        <v>0.332296392567187</v>
      </c>
      <c r="E4091" s="0" t="n">
        <f aca="false">B4091/SUM($A4091:$C4091)</f>
        <v>0.558613951788161</v>
      </c>
      <c r="F4091" s="0" t="n">
        <f aca="false">C4091/SUM($A4091:$C4091)</f>
        <v>0.109089655644652</v>
      </c>
      <c r="G4091" s="0" t="n">
        <f aca="false">SUMPRODUCT(D4091:F4091,Stats!$B$6:$D$6)</f>
        <v>0.385617522946014</v>
      </c>
      <c r="H4091" s="0" t="n">
        <f aca="false">SQRT(SUMPRODUCT(MMULT(D4091:F4091,Stats!$B$12:$D$14),D4091:F4091))</f>
        <v>0.230789961838596</v>
      </c>
      <c r="I4091" s="0" t="n">
        <f aca="false">(G4091-Stats!$B$2)/H4091</f>
        <v>1.48887551351269</v>
      </c>
    </row>
    <row r="4092" customFormat="false" ht="15" hidden="false" customHeight="false" outlineLevel="0" collapsed="false">
      <c r="A4092" s="0" t="n">
        <v>0.924034492430255</v>
      </c>
      <c r="B4092" s="0" t="n">
        <v>0.0776724132728386</v>
      </c>
      <c r="C4092" s="0" t="n">
        <v>0.930006719833166</v>
      </c>
      <c r="D4092" s="0" t="n">
        <f aca="false">A4092/SUM($A4092:$C4092)</f>
        <v>0.478349627095339</v>
      </c>
      <c r="E4092" s="0" t="n">
        <f aca="false">B4092/SUM($A4092:$C4092)</f>
        <v>0.0402090725281684</v>
      </c>
      <c r="F4092" s="0" t="n">
        <f aca="false">C4092/SUM($A4092:$C4092)</f>
        <v>0.481441300376493</v>
      </c>
      <c r="G4092" s="0" t="n">
        <f aca="false">SUMPRODUCT(D4092:F4092,Stats!$B$6:$D$6)</f>
        <v>0.345521723762192</v>
      </c>
      <c r="H4092" s="0" t="n">
        <f aca="false">SQRT(SUMPRODUCT(MMULT(D4092:F4092,Stats!$B$12:$D$14),D4092:F4092))</f>
        <v>0.223493061246146</v>
      </c>
      <c r="I4092" s="0" t="n">
        <f aca="false">(G4092-Stats!$B$2)/H4092</f>
        <v>1.35808119531687</v>
      </c>
    </row>
    <row r="4093" customFormat="false" ht="15" hidden="false" customHeight="false" outlineLevel="0" collapsed="false">
      <c r="A4093" s="0" t="n">
        <v>0.707137517935687</v>
      </c>
      <c r="B4093" s="0" t="n">
        <v>0.329712175414204</v>
      </c>
      <c r="C4093" s="0" t="n">
        <v>0.390750347709093</v>
      </c>
      <c r="D4093" s="0" t="n">
        <f aca="false">A4093/SUM($A4093:$C4093)</f>
        <v>0.49533307480934</v>
      </c>
      <c r="E4093" s="0" t="n">
        <f aca="false">B4093/SUM($A4093:$C4093)</f>
        <v>0.230955565936819</v>
      </c>
      <c r="F4093" s="0" t="n">
        <f aca="false">C4093/SUM($A4093:$C4093)</f>
        <v>0.273711359253841</v>
      </c>
      <c r="G4093" s="0" t="n">
        <f aca="false">SUMPRODUCT(D4093:F4093,Stats!$B$6:$D$6)</f>
        <v>0.362225103343891</v>
      </c>
      <c r="H4093" s="0" t="n">
        <f aca="false">SQRT(SUMPRODUCT(MMULT(D4093:F4093,Stats!$B$12:$D$14),D4093:F4093))</f>
        <v>0.222583403880042</v>
      </c>
      <c r="I4093" s="0" t="n">
        <f aca="false">(G4093-Stats!$B$2)/H4093</f>
        <v>1.43867466199983</v>
      </c>
    </row>
    <row r="4094" customFormat="false" ht="15" hidden="false" customHeight="false" outlineLevel="0" collapsed="false">
      <c r="A4094" s="0" t="n">
        <v>0.740809364732744</v>
      </c>
      <c r="B4094" s="0" t="n">
        <v>0.601471100881207</v>
      </c>
      <c r="C4094" s="0" t="n">
        <v>0.671642921454945</v>
      </c>
      <c r="D4094" s="0" t="n">
        <f aca="false">A4094/SUM($A4094:$C4094)</f>
        <v>0.367843866102043</v>
      </c>
      <c r="E4094" s="0" t="n">
        <f aca="false">B4094/SUM($A4094:$C4094)</f>
        <v>0.298656396138584</v>
      </c>
      <c r="F4094" s="0" t="n">
        <f aca="false">C4094/SUM($A4094:$C4094)</f>
        <v>0.333499737759373</v>
      </c>
      <c r="G4094" s="0" t="n">
        <f aca="false">SUMPRODUCT(D4094:F4094,Stats!$B$6:$D$6)</f>
        <v>0.36447187994876</v>
      </c>
      <c r="H4094" s="0" t="n">
        <f aca="false">SQRT(SUMPRODUCT(MMULT(D4094:F4094,Stats!$B$12:$D$14),D4094:F4094))</f>
        <v>0.225177569631338</v>
      </c>
      <c r="I4094" s="0" t="n">
        <f aca="false">(G4094-Stats!$B$2)/H4094</f>
        <v>1.43207816158916</v>
      </c>
    </row>
    <row r="4095" customFormat="false" ht="15" hidden="false" customHeight="false" outlineLevel="0" collapsed="false">
      <c r="A4095" s="0" t="n">
        <v>0.38916461651348</v>
      </c>
      <c r="B4095" s="0" t="n">
        <v>0.487813481807599</v>
      </c>
      <c r="C4095" s="0" t="n">
        <v>0.989867484037893</v>
      </c>
      <c r="D4095" s="0" t="n">
        <f aca="false">A4095/SUM($A4095:$C4095)</f>
        <v>0.208461064048868</v>
      </c>
      <c r="E4095" s="0" t="n">
        <f aca="false">B4095/SUM($A4095:$C4095)</f>
        <v>0.261303605620767</v>
      </c>
      <c r="F4095" s="0" t="n">
        <f aca="false">C4095/SUM($A4095:$C4095)</f>
        <v>0.530235330330366</v>
      </c>
      <c r="G4095" s="0" t="n">
        <f aca="false">SUMPRODUCT(D4095:F4095,Stats!$B$6:$D$6)</f>
        <v>0.356897740430478</v>
      </c>
      <c r="H4095" s="0" t="n">
        <f aca="false">SQRT(SUMPRODUCT(MMULT(D4095:F4095,Stats!$B$12:$D$14),D4095:F4095))</f>
        <v>0.232090498745089</v>
      </c>
      <c r="I4095" s="0" t="n">
        <f aca="false">(G4095-Stats!$B$2)/H4095</f>
        <v>1.35678858950765</v>
      </c>
    </row>
    <row r="4096" customFormat="false" ht="15" hidden="false" customHeight="false" outlineLevel="0" collapsed="false">
      <c r="A4096" s="0" t="n">
        <v>0.213922870499718</v>
      </c>
      <c r="B4096" s="0" t="n">
        <v>0.417856186522131</v>
      </c>
      <c r="C4096" s="0" t="n">
        <v>0.291823187573967</v>
      </c>
      <c r="D4096" s="0" t="n">
        <f aca="false">A4096/SUM($A4096:$C4096)</f>
        <v>0.231617962982901</v>
      </c>
      <c r="E4096" s="0" t="n">
        <f aca="false">B4096/SUM($A4096:$C4096)</f>
        <v>0.452420063904232</v>
      </c>
      <c r="F4096" s="0" t="n">
        <f aca="false">C4096/SUM($A4096:$C4096)</f>
        <v>0.315961973112867</v>
      </c>
      <c r="G4096" s="0" t="n">
        <f aca="false">SUMPRODUCT(D4096:F4096,Stats!$B$6:$D$6)</f>
        <v>0.373802839494323</v>
      </c>
      <c r="H4096" s="0" t="n">
        <f aca="false">SQRT(SUMPRODUCT(MMULT(D4096:F4096,Stats!$B$12:$D$14),D4096:F4096))</f>
        <v>0.230618991939541</v>
      </c>
      <c r="I4096" s="0" t="n">
        <f aca="false">(G4096-Stats!$B$2)/H4096</f>
        <v>1.43874898031515</v>
      </c>
    </row>
    <row r="4097" customFormat="false" ht="15" hidden="false" customHeight="false" outlineLevel="0" collapsed="false">
      <c r="A4097" s="0" t="n">
        <v>0.76511151043985</v>
      </c>
      <c r="B4097" s="0" t="n">
        <v>0.764012625665721</v>
      </c>
      <c r="C4097" s="0" t="n">
        <v>0.292445460997396</v>
      </c>
      <c r="D4097" s="0" t="n">
        <f aca="false">A4097/SUM($A4097:$C4097)</f>
        <v>0.420028700334419</v>
      </c>
      <c r="E4097" s="0" t="n">
        <f aca="false">B4097/SUM($A4097:$C4097)</f>
        <v>0.419425437754786</v>
      </c>
      <c r="F4097" s="0" t="n">
        <f aca="false">C4097/SUM($A4097:$C4097)</f>
        <v>0.160545861910795</v>
      </c>
      <c r="G4097" s="0" t="n">
        <f aca="false">SUMPRODUCT(D4097:F4097,Stats!$B$6:$D$6)</f>
        <v>0.376189910900011</v>
      </c>
      <c r="H4097" s="0" t="n">
        <f aca="false">SQRT(SUMPRODUCT(MMULT(D4097:F4097,Stats!$B$12:$D$14),D4097:F4097))</f>
        <v>0.226279262816097</v>
      </c>
      <c r="I4097" s="0" t="n">
        <f aca="false">(G4097-Stats!$B$2)/H4097</f>
        <v>1.4768914603174</v>
      </c>
    </row>
    <row r="4098" customFormat="false" ht="15" hidden="false" customHeight="false" outlineLevel="0" collapsed="false">
      <c r="A4098" s="0" t="n">
        <v>0.0813903166329829</v>
      </c>
      <c r="B4098" s="0" t="n">
        <v>0.0114326766722041</v>
      </c>
      <c r="C4098" s="0" t="n">
        <v>0.427450533242486</v>
      </c>
      <c r="D4098" s="0" t="n">
        <f aca="false">A4098/SUM($A4098:$C4098)</f>
        <v>0.156437551556883</v>
      </c>
      <c r="E4098" s="0" t="n">
        <f aca="false">B4098/SUM($A4098:$C4098)</f>
        <v>0.0219743578883722</v>
      </c>
      <c r="F4098" s="0" t="n">
        <f aca="false">C4098/SUM($A4098:$C4098)</f>
        <v>0.821588090554745</v>
      </c>
      <c r="G4098" s="0" t="n">
        <f aca="false">SUMPRODUCT(D4098:F4098,Stats!$B$6:$D$6)</f>
        <v>0.335093104970716</v>
      </c>
      <c r="H4098" s="0" t="n">
        <f aca="false">SQRT(SUMPRODUCT(MMULT(D4098:F4098,Stats!$B$12:$D$14),D4098:F4098))</f>
        <v>0.243222624070559</v>
      </c>
      <c r="I4098" s="0" t="n">
        <f aca="false">(G4098-Stats!$B$2)/H4098</f>
        <v>1.20504046895608</v>
      </c>
    </row>
    <row r="4099" customFormat="false" ht="15" hidden="false" customHeight="false" outlineLevel="0" collapsed="false">
      <c r="A4099" s="0" t="n">
        <v>0.410337594335771</v>
      </c>
      <c r="B4099" s="0" t="n">
        <v>0.988389878639863</v>
      </c>
      <c r="C4099" s="0" t="n">
        <v>0.46980207569768</v>
      </c>
      <c r="D4099" s="0" t="n">
        <f aca="false">A4099/SUM($A4099:$C4099)</f>
        <v>0.219604551946806</v>
      </c>
      <c r="E4099" s="0" t="n">
        <f aca="false">B4099/SUM($A4099:$C4099)</f>
        <v>0.528966683637214</v>
      </c>
      <c r="F4099" s="0" t="n">
        <f aca="false">C4099/SUM($A4099:$C4099)</f>
        <v>0.25142876441598</v>
      </c>
      <c r="G4099" s="0" t="n">
        <f aca="false">SUMPRODUCT(D4099:F4099,Stats!$B$6:$D$6)</f>
        <v>0.379986711330447</v>
      </c>
      <c r="H4099" s="0" t="n">
        <f aca="false">SQRT(SUMPRODUCT(MMULT(D4099:F4099,Stats!$B$12:$D$14),D4099:F4099))</f>
        <v>0.23214467089064</v>
      </c>
      <c r="I4099" s="0" t="n">
        <f aca="false">(G4099-Stats!$B$2)/H4099</f>
        <v>1.45593138121042</v>
      </c>
    </row>
    <row r="4100" customFormat="false" ht="15" hidden="false" customHeight="false" outlineLevel="0" collapsed="false">
      <c r="A4100" s="0" t="n">
        <v>0.256418369575421</v>
      </c>
      <c r="B4100" s="0" t="n">
        <v>0.891229441031467</v>
      </c>
      <c r="C4100" s="0" t="n">
        <v>0.491067949653579</v>
      </c>
      <c r="D4100" s="0" t="n">
        <f aca="false">A4100/SUM($A4100:$C4100)</f>
        <v>0.156475195878182</v>
      </c>
      <c r="E4100" s="0" t="n">
        <f aca="false">B4100/SUM($A4100:$C4100)</f>
        <v>0.543858466882512</v>
      </c>
      <c r="F4100" s="0" t="n">
        <f aca="false">C4100/SUM($A4100:$C4100)</f>
        <v>0.299666337239306</v>
      </c>
      <c r="G4100" s="0" t="n">
        <f aca="false">SUMPRODUCT(D4100:F4100,Stats!$B$6:$D$6)</f>
        <v>0.379513432746866</v>
      </c>
      <c r="H4100" s="0" t="n">
        <f aca="false">SQRT(SUMPRODUCT(MMULT(D4100:F4100,Stats!$B$12:$D$14),D4100:F4100))</f>
        <v>0.234661687687297</v>
      </c>
      <c r="I4100" s="0" t="n">
        <f aca="false">(G4100-Stats!$B$2)/H4100</f>
        <v>1.43829798580766</v>
      </c>
    </row>
    <row r="4101" customFormat="false" ht="15" hidden="false" customHeight="false" outlineLevel="0" collapsed="false">
      <c r="A4101" s="0" t="n">
        <v>0.599175635210578</v>
      </c>
      <c r="B4101" s="0" t="n">
        <v>0.0956687104282127</v>
      </c>
      <c r="C4101" s="0" t="n">
        <v>0.382916407329774</v>
      </c>
      <c r="D4101" s="0" t="n">
        <f aca="false">A4101/SUM($A4101:$C4101)</f>
        <v>0.555944938206573</v>
      </c>
      <c r="E4101" s="0" t="n">
        <f aca="false">B4101/SUM($A4101:$C4101)</f>
        <v>0.0887661850412576</v>
      </c>
      <c r="F4101" s="0" t="n">
        <f aca="false">C4101/SUM($A4101:$C4101)</f>
        <v>0.35528887675217</v>
      </c>
      <c r="G4101" s="0" t="n">
        <f aca="false">SUMPRODUCT(D4101:F4101,Stats!$B$6:$D$6)</f>
        <v>0.351794241730621</v>
      </c>
      <c r="H4101" s="0" t="n">
        <f aca="false">SQRT(SUMPRODUCT(MMULT(D4101:F4101,Stats!$B$12:$D$14),D4101:F4101))</f>
        <v>0.221545952119522</v>
      </c>
      <c r="I4101" s="0" t="n">
        <f aca="false">(G4101-Stats!$B$2)/H4101</f>
        <v>1.39832950576091</v>
      </c>
    </row>
    <row r="4102" customFormat="false" ht="15" hidden="false" customHeight="false" outlineLevel="0" collapsed="false">
      <c r="A4102" s="0" t="n">
        <v>0.944223674473787</v>
      </c>
      <c r="B4102" s="0" t="n">
        <v>0.589505384175425</v>
      </c>
      <c r="C4102" s="0" t="n">
        <v>0.344501855142462</v>
      </c>
      <c r="D4102" s="0" t="n">
        <f aca="false">A4102/SUM($A4102:$C4102)</f>
        <v>0.502719696252703</v>
      </c>
      <c r="E4102" s="0" t="n">
        <f aca="false">B4102/SUM($A4102:$C4102)</f>
        <v>0.313862038925428</v>
      </c>
      <c r="F4102" s="0" t="n">
        <f aca="false">C4102/SUM($A4102:$C4102)</f>
        <v>0.183418264821869</v>
      </c>
      <c r="G4102" s="0" t="n">
        <f aca="false">SUMPRODUCT(D4102:F4102,Stats!$B$6:$D$6)</f>
        <v>0.369485231846319</v>
      </c>
      <c r="H4102" s="0" t="n">
        <f aca="false">SQRT(SUMPRODUCT(MMULT(D4102:F4102,Stats!$B$12:$D$14),D4102:F4102))</f>
        <v>0.223820678970477</v>
      </c>
      <c r="I4102" s="0" t="n">
        <f aca="false">(G4102-Stats!$B$2)/H4102</f>
        <v>1.46315895989895</v>
      </c>
    </row>
    <row r="4103" customFormat="false" ht="15" hidden="false" customHeight="false" outlineLevel="0" collapsed="false">
      <c r="A4103" s="0" t="n">
        <v>0.625667180631593</v>
      </c>
      <c r="B4103" s="0" t="n">
        <v>0.910411089578116</v>
      </c>
      <c r="C4103" s="0" t="n">
        <v>0.27399060047259</v>
      </c>
      <c r="D4103" s="0" t="n">
        <f aca="false">A4103/SUM($A4103:$C4103)</f>
        <v>0.345659323115009</v>
      </c>
      <c r="E4103" s="0" t="n">
        <f aca="false">B4103/SUM($A4103:$C4103)</f>
        <v>0.502970414178185</v>
      </c>
      <c r="F4103" s="0" t="n">
        <f aca="false">C4103/SUM($A4103:$C4103)</f>
        <v>0.151370262706805</v>
      </c>
      <c r="G4103" s="0" t="n">
        <f aca="false">SUMPRODUCT(D4103:F4103,Stats!$B$6:$D$6)</f>
        <v>0.381249994332195</v>
      </c>
      <c r="H4103" s="0" t="n">
        <f aca="false">SQRT(SUMPRODUCT(MMULT(D4103:F4103,Stats!$B$12:$D$14),D4103:F4103))</f>
        <v>0.22898210485786</v>
      </c>
      <c r="I4103" s="0" t="n">
        <f aca="false">(G4103-Stats!$B$2)/H4103</f>
        <v>1.48155679913408</v>
      </c>
    </row>
    <row r="4104" customFormat="false" ht="15" hidden="false" customHeight="false" outlineLevel="0" collapsed="false">
      <c r="A4104" s="0" t="n">
        <v>0.505116718470674</v>
      </c>
      <c r="B4104" s="0" t="n">
        <v>0.958690653911755</v>
      </c>
      <c r="C4104" s="0" t="n">
        <v>0.172396143298453</v>
      </c>
      <c r="D4104" s="0" t="n">
        <f aca="false">A4104/SUM($A4104:$C4104)</f>
        <v>0.308712647069749</v>
      </c>
      <c r="E4104" s="0" t="n">
        <f aca="false">B4104/SUM($A4104:$C4104)</f>
        <v>0.585923844267509</v>
      </c>
      <c r="F4104" s="0" t="n">
        <f aca="false">C4104/SUM($A4104:$C4104)</f>
        <v>0.105363508662743</v>
      </c>
      <c r="G4104" s="0" t="n">
        <f aca="false">SUMPRODUCT(D4104:F4104,Stats!$B$6:$D$6)</f>
        <v>0.387291645882648</v>
      </c>
      <c r="H4104" s="0" t="n">
        <f aca="false">SQRT(SUMPRODUCT(MMULT(D4104:F4104,Stats!$B$12:$D$14),D4104:F4104))</f>
        <v>0.231886225988949</v>
      </c>
      <c r="I4104" s="0" t="n">
        <f aca="false">(G4104-Stats!$B$2)/H4104</f>
        <v>1.48905630082187</v>
      </c>
    </row>
    <row r="4105" customFormat="false" ht="15" hidden="false" customHeight="false" outlineLevel="0" collapsed="false">
      <c r="A4105" s="0" t="n">
        <v>0.719663925596712</v>
      </c>
      <c r="B4105" s="0" t="n">
        <v>0.614481008202982</v>
      </c>
      <c r="C4105" s="0" t="n">
        <v>0.679675131140635</v>
      </c>
      <c r="D4105" s="0" t="n">
        <f aca="false">A4105/SUM($A4105:$C4105)</f>
        <v>0.357362575795984</v>
      </c>
      <c r="E4105" s="0" t="n">
        <f aca="false">B4105/SUM($A4105:$C4105)</f>
        <v>0.305132031853695</v>
      </c>
      <c r="F4105" s="0" t="n">
        <f aca="false">C4105/SUM($A4105:$C4105)</f>
        <v>0.337505392350321</v>
      </c>
      <c r="G4105" s="0" t="n">
        <f aca="false">SUMPRODUCT(D4105:F4105,Stats!$B$6:$D$6)</f>
        <v>0.364734025261866</v>
      </c>
      <c r="H4105" s="0" t="n">
        <f aca="false">SQRT(SUMPRODUCT(MMULT(D4105:F4105,Stats!$B$12:$D$14),D4105:F4105))</f>
        <v>0.22548538802586</v>
      </c>
      <c r="I4105" s="0" t="n">
        <f aca="false">(G4105-Stats!$B$2)/H4105</f>
        <v>1.43128576129666</v>
      </c>
    </row>
    <row r="4106" customFormat="false" ht="15" hidden="false" customHeight="false" outlineLevel="0" collapsed="false">
      <c r="A4106" s="0" t="n">
        <v>0.35121963066757</v>
      </c>
      <c r="B4106" s="0" t="n">
        <v>0.313879373483765</v>
      </c>
      <c r="C4106" s="0" t="n">
        <v>0.684209670588371</v>
      </c>
      <c r="D4106" s="0" t="n">
        <f aca="false">A4106/SUM($A4106:$C4106)</f>
        <v>0.260295985079414</v>
      </c>
      <c r="E4106" s="0" t="n">
        <f aca="false">B4106/SUM($A4106:$C4106)</f>
        <v>0.232622363851856</v>
      </c>
      <c r="F4106" s="0" t="n">
        <f aca="false">C4106/SUM($A4106:$C4106)</f>
        <v>0.507081651068731</v>
      </c>
      <c r="G4106" s="0" t="n">
        <f aca="false">SUMPRODUCT(D4106:F4106,Stats!$B$6:$D$6)</f>
        <v>0.355885912700766</v>
      </c>
      <c r="H4106" s="0" t="n">
        <f aca="false">SQRT(SUMPRODUCT(MMULT(D4106:F4106,Stats!$B$12:$D$14),D4106:F4106))</f>
        <v>0.22962036613608</v>
      </c>
      <c r="I4106" s="0" t="n">
        <f aca="false">(G4106-Stats!$B$2)/H4106</f>
        <v>1.36697766832558</v>
      </c>
    </row>
    <row r="4107" customFormat="false" ht="15" hidden="false" customHeight="false" outlineLevel="0" collapsed="false">
      <c r="A4107" s="0" t="n">
        <v>0.215543285104545</v>
      </c>
      <c r="B4107" s="0" t="n">
        <v>0.419654744859005</v>
      </c>
      <c r="C4107" s="0" t="n">
        <v>0.188174646052918</v>
      </c>
      <c r="D4107" s="0" t="n">
        <f aca="false">A4107/SUM($A4107:$C4107)</f>
        <v>0.261780954582265</v>
      </c>
      <c r="E4107" s="0" t="n">
        <f aca="false">B4107/SUM($A4107:$C4107)</f>
        <v>0.509677764495808</v>
      </c>
      <c r="F4107" s="0" t="n">
        <f aca="false">C4107/SUM($A4107:$C4107)</f>
        <v>0.228541280921926</v>
      </c>
      <c r="G4107" s="0" t="n">
        <f aca="false">SUMPRODUCT(D4107:F4107,Stats!$B$6:$D$6)</f>
        <v>0.37950796544257</v>
      </c>
      <c r="H4107" s="0" t="n">
        <f aca="false">SQRT(SUMPRODUCT(MMULT(D4107:F4107,Stats!$B$12:$D$14),D4107:F4107))</f>
        <v>0.230590549919143</v>
      </c>
      <c r="I4107" s="0" t="n">
        <f aca="false">(G4107-Stats!$B$2)/H4107</f>
        <v>1.46366781102225</v>
      </c>
    </row>
    <row r="4108" customFormat="false" ht="15" hidden="false" customHeight="false" outlineLevel="0" collapsed="false">
      <c r="A4108" s="0" t="n">
        <v>0.00830484112332974</v>
      </c>
      <c r="B4108" s="0" t="n">
        <v>0.970057360038069</v>
      </c>
      <c r="C4108" s="0" t="n">
        <v>0.431702978656419</v>
      </c>
      <c r="D4108" s="0" t="n">
        <f aca="false">A4108/SUM($A4108:$C4108)</f>
        <v>0.00588968598203577</v>
      </c>
      <c r="E4108" s="0" t="n">
        <f aca="false">B4108/SUM($A4108:$C4108)</f>
        <v>0.68795214144881</v>
      </c>
      <c r="F4108" s="0" t="n">
        <f aca="false">C4108/SUM($A4108:$C4108)</f>
        <v>0.306158172569154</v>
      </c>
      <c r="G4108" s="0" t="n">
        <f aca="false">SUMPRODUCT(D4108:F4108,Stats!$B$6:$D$6)</f>
        <v>0.387625386422288</v>
      </c>
      <c r="H4108" s="0" t="n">
        <f aca="false">SQRT(SUMPRODUCT(MMULT(D4108:F4108,Stats!$B$12:$D$14),D4108:F4108))</f>
        <v>0.244022300563103</v>
      </c>
      <c r="I4108" s="0" t="n">
        <f aca="false">(G4108-Stats!$B$2)/H4108</f>
        <v>1.41636803531778</v>
      </c>
    </row>
    <row r="4109" customFormat="false" ht="15" hidden="false" customHeight="false" outlineLevel="0" collapsed="false">
      <c r="A4109" s="0" t="n">
        <v>0.969349614419825</v>
      </c>
      <c r="B4109" s="0" t="n">
        <v>0.140323519767826</v>
      </c>
      <c r="C4109" s="0" t="n">
        <v>0.587366779457486</v>
      </c>
      <c r="D4109" s="0" t="n">
        <f aca="false">A4109/SUM($A4109:$C4109)</f>
        <v>0.571200244982878</v>
      </c>
      <c r="E4109" s="0" t="n">
        <f aca="false">B4109/SUM($A4109:$C4109)</f>
        <v>0.0826872241716577</v>
      </c>
      <c r="F4109" s="0" t="n">
        <f aca="false">C4109/SUM($A4109:$C4109)</f>
        <v>0.346112530845464</v>
      </c>
      <c r="G4109" s="0" t="n">
        <f aca="false">SUMPRODUCT(D4109:F4109,Stats!$B$6:$D$6)</f>
        <v>0.351697500398999</v>
      </c>
      <c r="H4109" s="0" t="n">
        <f aca="false">SQRT(SUMPRODUCT(MMULT(D4109:F4109,Stats!$B$12:$D$14),D4109:F4109))</f>
        <v>0.221432002194303</v>
      </c>
      <c r="I4109" s="0" t="n">
        <f aca="false">(G4109-Stats!$B$2)/H4109</f>
        <v>1.39861220297888</v>
      </c>
    </row>
    <row r="4110" customFormat="false" ht="15" hidden="false" customHeight="false" outlineLevel="0" collapsed="false">
      <c r="A4110" s="0" t="n">
        <v>0.20097403279124</v>
      </c>
      <c r="B4110" s="0" t="n">
        <v>0.790074126963275</v>
      </c>
      <c r="C4110" s="0" t="n">
        <v>0.783702988760975</v>
      </c>
      <c r="D4110" s="0" t="n">
        <f aca="false">A4110/SUM($A4110:$C4110)</f>
        <v>0.113240683325855</v>
      </c>
      <c r="E4110" s="0" t="n">
        <f aca="false">B4110/SUM($A4110:$C4110)</f>
        <v>0.44517459680144</v>
      </c>
      <c r="F4110" s="0" t="n">
        <f aca="false">C4110/SUM($A4110:$C4110)</f>
        <v>0.441584719872706</v>
      </c>
      <c r="G4110" s="0" t="n">
        <f aca="false">SUMPRODUCT(D4110:F4110,Stats!$B$6:$D$6)</f>
        <v>0.369921945769999</v>
      </c>
      <c r="H4110" s="0" t="n">
        <f aca="false">SQRT(SUMPRODUCT(MMULT(D4110:F4110,Stats!$B$12:$D$14),D4110:F4110))</f>
        <v>0.236181302595942</v>
      </c>
      <c r="I4110" s="0" t="n">
        <f aca="false">(G4110-Stats!$B$2)/H4110</f>
        <v>1.38843313236783</v>
      </c>
    </row>
    <row r="4111" customFormat="false" ht="15" hidden="false" customHeight="false" outlineLevel="0" collapsed="false">
      <c r="A4111" s="0" t="n">
        <v>0.112607149039312</v>
      </c>
      <c r="B4111" s="0" t="n">
        <v>0.912064452876389</v>
      </c>
      <c r="C4111" s="0" t="n">
        <v>0.194629647203225</v>
      </c>
      <c r="D4111" s="0" t="n">
        <f aca="false">A4111/SUM($A4111:$C4111)</f>
        <v>0.0923538371839465</v>
      </c>
      <c r="E4111" s="0" t="n">
        <f aca="false">B4111/SUM($A4111:$C4111)</f>
        <v>0.748022241046216</v>
      </c>
      <c r="F4111" s="0" t="n">
        <f aca="false">C4111/SUM($A4111:$C4111)</f>
        <v>0.159623921769838</v>
      </c>
      <c r="G4111" s="0" t="n">
        <f aca="false">SUMPRODUCT(D4111:F4111,Stats!$B$6:$D$6)</f>
        <v>0.395122367811669</v>
      </c>
      <c r="H4111" s="0" t="n">
        <f aca="false">SQRT(SUMPRODUCT(MMULT(D4111:F4111,Stats!$B$12:$D$14),D4111:F4111))</f>
        <v>0.241717010161265</v>
      </c>
      <c r="I4111" s="0" t="n">
        <f aca="false">(G4111-Stats!$B$2)/H4111</f>
        <v>1.46089167483943</v>
      </c>
    </row>
    <row r="4112" customFormat="false" ht="15" hidden="false" customHeight="false" outlineLevel="0" collapsed="false">
      <c r="A4112" s="0" t="n">
        <v>0.61297734158936</v>
      </c>
      <c r="B4112" s="0" t="n">
        <v>0.985633620087704</v>
      </c>
      <c r="C4112" s="0" t="n">
        <v>0.882396534766364</v>
      </c>
      <c r="D4112" s="0" t="n">
        <f aca="false">A4112/SUM($A4112:$C4112)</f>
        <v>0.247067911914041</v>
      </c>
      <c r="E4112" s="0" t="n">
        <f aca="false">B4112/SUM($A4112:$C4112)</f>
        <v>0.397271520340277</v>
      </c>
      <c r="F4112" s="0" t="n">
        <f aca="false">C4112/SUM($A4112:$C4112)</f>
        <v>0.355660567745682</v>
      </c>
      <c r="G4112" s="0" t="n">
        <f aca="false">SUMPRODUCT(D4112:F4112,Stats!$B$6:$D$6)</f>
        <v>0.369534990196898</v>
      </c>
      <c r="H4112" s="0" t="n">
        <f aca="false">SQRT(SUMPRODUCT(MMULT(D4112:F4112,Stats!$B$12:$D$14),D4112:F4112))</f>
        <v>0.229593651904014</v>
      </c>
      <c r="I4112" s="0" t="n">
        <f aca="false">(G4112-Stats!$B$2)/H4112</f>
        <v>1.42658556750441</v>
      </c>
    </row>
    <row r="4113" customFormat="false" ht="15" hidden="false" customHeight="false" outlineLevel="0" collapsed="false">
      <c r="A4113" s="0" t="n">
        <v>0.956563928561169</v>
      </c>
      <c r="B4113" s="0" t="n">
        <v>0.342598771218119</v>
      </c>
      <c r="C4113" s="0" t="n">
        <v>0.105575642219463</v>
      </c>
      <c r="D4113" s="0" t="n">
        <f aca="false">A4113/SUM($A4113:$C4113)</f>
        <v>0.680955235549496</v>
      </c>
      <c r="E4113" s="0" t="n">
        <f aca="false">B4113/SUM($A4113:$C4113)</f>
        <v>0.243887961889506</v>
      </c>
      <c r="F4113" s="0" t="n">
        <f aca="false">C4113/SUM($A4113:$C4113)</f>
        <v>0.0751568025609977</v>
      </c>
      <c r="G4113" s="0" t="n">
        <f aca="false">SUMPRODUCT(D4113:F4113,Stats!$B$6:$D$6)</f>
        <v>0.368444282201643</v>
      </c>
      <c r="H4113" s="0" t="n">
        <f aca="false">SQRT(SUMPRODUCT(MMULT(D4113:F4113,Stats!$B$12:$D$14),D4113:F4113))</f>
        <v>0.225022919680151</v>
      </c>
      <c r="I4113" s="0" t="n">
        <f aca="false">(G4113-Stats!$B$2)/H4113</f>
        <v>1.45071569894148</v>
      </c>
    </row>
    <row r="4114" customFormat="false" ht="15" hidden="false" customHeight="false" outlineLevel="0" collapsed="false">
      <c r="A4114" s="0" t="n">
        <v>0.18834687328945</v>
      </c>
      <c r="B4114" s="0" t="n">
        <v>0.500494895076614</v>
      </c>
      <c r="C4114" s="0" t="n">
        <v>0.793229678273322</v>
      </c>
      <c r="D4114" s="0" t="n">
        <f aca="false">A4114/SUM($A4114:$C4114)</f>
        <v>0.127083531442785</v>
      </c>
      <c r="E4114" s="0" t="n">
        <f aca="false">B4114/SUM($A4114:$C4114)</f>
        <v>0.337699573263821</v>
      </c>
      <c r="F4114" s="0" t="n">
        <f aca="false">C4114/SUM($A4114:$C4114)</f>
        <v>0.535216895293395</v>
      </c>
      <c r="G4114" s="0" t="n">
        <f aca="false">SUMPRODUCT(D4114:F4114,Stats!$B$6:$D$6)</f>
        <v>0.361156100793448</v>
      </c>
      <c r="H4114" s="0" t="n">
        <f aca="false">SQRT(SUMPRODUCT(MMULT(D4114:F4114,Stats!$B$12:$D$14),D4114:F4114))</f>
        <v>0.236099985023063</v>
      </c>
      <c r="I4114" s="0" t="n">
        <f aca="false">(G4114-Stats!$B$2)/H4114</f>
        <v>1.35178365539613</v>
      </c>
    </row>
    <row r="4115" customFormat="false" ht="15" hidden="false" customHeight="false" outlineLevel="0" collapsed="false">
      <c r="A4115" s="0" t="n">
        <v>0.150153644183875</v>
      </c>
      <c r="B4115" s="0" t="n">
        <v>0.659731532260757</v>
      </c>
      <c r="C4115" s="0" t="n">
        <v>0.323577604039512</v>
      </c>
      <c r="D4115" s="0" t="n">
        <f aca="false">A4115/SUM($A4115:$C4115)</f>
        <v>0.132473378719801</v>
      </c>
      <c r="E4115" s="0" t="n">
        <f aca="false">B4115/SUM($A4115:$C4115)</f>
        <v>0.582049577295305</v>
      </c>
      <c r="F4115" s="0" t="n">
        <f aca="false">C4115/SUM($A4115:$C4115)</f>
        <v>0.285477043984894</v>
      </c>
      <c r="G4115" s="0" t="n">
        <f aca="false">SUMPRODUCT(D4115:F4115,Stats!$B$6:$D$6)</f>
        <v>0.382102164114233</v>
      </c>
      <c r="H4115" s="0" t="n">
        <f aca="false">SQRT(SUMPRODUCT(MMULT(D4115:F4115,Stats!$B$12:$D$14),D4115:F4115))</f>
        <v>0.236239433815205</v>
      </c>
      <c r="I4115" s="0" t="n">
        <f aca="false">(G4115-Stats!$B$2)/H4115</f>
        <v>1.43965026761905</v>
      </c>
    </row>
    <row r="4116" customFormat="false" ht="15" hidden="false" customHeight="false" outlineLevel="0" collapsed="false">
      <c r="A4116" s="0" t="n">
        <v>0.341202072392154</v>
      </c>
      <c r="B4116" s="0" t="n">
        <v>0.661917730157926</v>
      </c>
      <c r="C4116" s="0" t="n">
        <v>0.46699941953322</v>
      </c>
      <c r="D4116" s="0" t="n">
        <f aca="false">A4116/SUM($A4116:$C4116)</f>
        <v>0.232091429910451</v>
      </c>
      <c r="E4116" s="0" t="n">
        <f aca="false">B4116/SUM($A4116:$C4116)</f>
        <v>0.45024765353379</v>
      </c>
      <c r="F4116" s="0" t="n">
        <f aca="false">C4116/SUM($A4116:$C4116)</f>
        <v>0.317660916555759</v>
      </c>
      <c r="G4116" s="0" t="n">
        <f aca="false">SUMPRODUCT(D4116:F4116,Stats!$B$6:$D$6)</f>
        <v>0.373630994101314</v>
      </c>
      <c r="H4116" s="0" t="n">
        <f aca="false">SQRT(SUMPRODUCT(MMULT(D4116:F4116,Stats!$B$12:$D$14),D4116:F4116))</f>
        <v>0.23057887838333</v>
      </c>
      <c r="I4116" s="0" t="n">
        <f aca="false">(G4116-Stats!$B$2)/H4116</f>
        <v>1.43825399978739</v>
      </c>
    </row>
    <row r="4117" customFormat="false" ht="15" hidden="false" customHeight="false" outlineLevel="0" collapsed="false">
      <c r="A4117" s="0" t="n">
        <v>0.812033293025994</v>
      </c>
      <c r="B4117" s="0" t="n">
        <v>0.155918509662827</v>
      </c>
      <c r="C4117" s="0" t="n">
        <v>0.789948269767039</v>
      </c>
      <c r="D4117" s="0" t="n">
        <f aca="false">A4117/SUM($A4117:$C4117)</f>
        <v>0.461933704736441</v>
      </c>
      <c r="E4117" s="0" t="n">
        <f aca="false">B4117/SUM($A4117:$C4117)</f>
        <v>0.0886958889790604</v>
      </c>
      <c r="F4117" s="0" t="n">
        <f aca="false">C4117/SUM($A4117:$C4117)</f>
        <v>0.449370406284498</v>
      </c>
      <c r="G4117" s="0" t="n">
        <f aca="false">SUMPRODUCT(D4117:F4117,Stats!$B$6:$D$6)</f>
        <v>0.34919593499499</v>
      </c>
      <c r="H4117" s="0" t="n">
        <f aca="false">SQRT(SUMPRODUCT(MMULT(D4117:F4117,Stats!$B$12:$D$14),D4117:F4117))</f>
        <v>0.223302004046984</v>
      </c>
      <c r="I4117" s="0" t="n">
        <f aca="false">(G4117-Stats!$B$2)/H4117</f>
        <v>1.37569716987562</v>
      </c>
    </row>
    <row r="4118" customFormat="false" ht="15" hidden="false" customHeight="false" outlineLevel="0" collapsed="false">
      <c r="A4118" s="0" t="n">
        <v>0.0642352480574209</v>
      </c>
      <c r="B4118" s="0" t="n">
        <v>0.194053880245605</v>
      </c>
      <c r="C4118" s="0" t="n">
        <v>0.656149714503165</v>
      </c>
      <c r="D4118" s="0" t="n">
        <f aca="false">A4118/SUM($A4118:$C4118)</f>
        <v>0.0702455375367679</v>
      </c>
      <c r="E4118" s="0" t="n">
        <f aca="false">B4118/SUM($A4118:$C4118)</f>
        <v>0.212210889522257</v>
      </c>
      <c r="F4118" s="0" t="n">
        <f aca="false">C4118/SUM($A4118:$C4118)</f>
        <v>0.717543572940975</v>
      </c>
      <c r="G4118" s="0" t="n">
        <f aca="false">SUMPRODUCT(D4118:F4118,Stats!$B$6:$D$6)</f>
        <v>0.348908056338179</v>
      </c>
      <c r="H4118" s="0" t="n">
        <f aca="false">SQRT(SUMPRODUCT(MMULT(D4118:F4118,Stats!$B$12:$D$14),D4118:F4118))</f>
        <v>0.243239413492312</v>
      </c>
      <c r="I4118" s="0" t="n">
        <f aca="false">(G4118-Stats!$B$2)/H4118</f>
        <v>1.26175298621117</v>
      </c>
    </row>
    <row r="4119" customFormat="false" ht="15" hidden="false" customHeight="false" outlineLevel="0" collapsed="false">
      <c r="A4119" s="0" t="n">
        <v>0.854925656511071</v>
      </c>
      <c r="B4119" s="0" t="n">
        <v>0.252679627739349</v>
      </c>
      <c r="C4119" s="0" t="n">
        <v>0.327191605828913</v>
      </c>
      <c r="D4119" s="0" t="n">
        <f aca="false">A4119/SUM($A4119:$C4119)</f>
        <v>0.595851344829581</v>
      </c>
      <c r="E4119" s="0" t="n">
        <f aca="false">B4119/SUM($A4119:$C4119)</f>
        <v>0.176108290648287</v>
      </c>
      <c r="F4119" s="0" t="n">
        <f aca="false">C4119/SUM($A4119:$C4119)</f>
        <v>0.228040364522132</v>
      </c>
      <c r="G4119" s="0" t="n">
        <f aca="false">SUMPRODUCT(D4119:F4119,Stats!$B$6:$D$6)</f>
        <v>0.360328622224967</v>
      </c>
      <c r="H4119" s="0" t="n">
        <f aca="false">SQRT(SUMPRODUCT(MMULT(D4119:F4119,Stats!$B$12:$D$14),D4119:F4119))</f>
        <v>0.221971647103124</v>
      </c>
      <c r="I4119" s="0" t="n">
        <f aca="false">(G4119-Stats!$B$2)/H4119</f>
        <v>1.43409586935703</v>
      </c>
    </row>
    <row r="4120" customFormat="false" ht="15" hidden="false" customHeight="false" outlineLevel="0" collapsed="false">
      <c r="A4120" s="0" t="n">
        <v>0.53712074828674</v>
      </c>
      <c r="B4120" s="0" t="n">
        <v>0.211572806489302</v>
      </c>
      <c r="C4120" s="0" t="n">
        <v>0.811156261587506</v>
      </c>
      <c r="D4120" s="0" t="n">
        <f aca="false">A4120/SUM($A4120:$C4120)</f>
        <v>0.344341322255575</v>
      </c>
      <c r="E4120" s="0" t="n">
        <f aca="false">B4120/SUM($A4120:$C4120)</f>
        <v>0.135636651855714</v>
      </c>
      <c r="F4120" s="0" t="n">
        <f aca="false">C4120/SUM($A4120:$C4120)</f>
        <v>0.520022025888711</v>
      </c>
      <c r="G4120" s="0" t="n">
        <f aca="false">SUMPRODUCT(D4120:F4120,Stats!$B$6:$D$6)</f>
        <v>0.349948654500127</v>
      </c>
      <c r="H4120" s="0" t="n">
        <f aca="false">SQRT(SUMPRODUCT(MMULT(D4120:F4120,Stats!$B$12:$D$14),D4120:F4120))</f>
        <v>0.226971363752157</v>
      </c>
      <c r="I4120" s="0" t="n">
        <f aca="false">(G4120-Stats!$B$2)/H4120</f>
        <v>1.35677316031988</v>
      </c>
    </row>
    <row r="4121" customFormat="false" ht="15" hidden="false" customHeight="false" outlineLevel="0" collapsed="false">
      <c r="A4121" s="0" t="n">
        <v>0.773636645005761</v>
      </c>
      <c r="B4121" s="0" t="n">
        <v>0.145291711965782</v>
      </c>
      <c r="C4121" s="0" t="n">
        <v>0.463829731816632</v>
      </c>
      <c r="D4121" s="0" t="n">
        <f aca="false">A4121/SUM($A4121:$C4121)</f>
        <v>0.559488063225696</v>
      </c>
      <c r="E4121" s="0" t="n">
        <f aca="false">B4121/SUM($A4121:$C4121)</f>
        <v>0.105073847076977</v>
      </c>
      <c r="F4121" s="0" t="n">
        <f aca="false">C4121/SUM($A4121:$C4121)</f>
        <v>0.335438089697327</v>
      </c>
      <c r="G4121" s="0" t="n">
        <f aca="false">SUMPRODUCT(D4121:F4121,Stats!$B$6:$D$6)</f>
        <v>0.353279941315586</v>
      </c>
      <c r="H4121" s="0" t="n">
        <f aca="false">SQRT(SUMPRODUCT(MMULT(D4121:F4121,Stats!$B$12:$D$14),D4121:F4121))</f>
        <v>0.221501754810818</v>
      </c>
      <c r="I4121" s="0" t="n">
        <f aca="false">(G4121-Stats!$B$2)/H4121</f>
        <v>1.40531591535898</v>
      </c>
    </row>
    <row r="4122" customFormat="false" ht="15" hidden="false" customHeight="false" outlineLevel="0" collapsed="false">
      <c r="A4122" s="0" t="n">
        <v>0.774827766654621</v>
      </c>
      <c r="B4122" s="0" t="n">
        <v>0.337329531103415</v>
      </c>
      <c r="C4122" s="0" t="n">
        <v>0.633106822717732</v>
      </c>
      <c r="D4122" s="0" t="n">
        <f aca="false">A4122/SUM($A4122:$C4122)</f>
        <v>0.443960176321851</v>
      </c>
      <c r="E4122" s="0" t="n">
        <f aca="false">B4122/SUM($A4122:$C4122)</f>
        <v>0.193282797225819</v>
      </c>
      <c r="F4122" s="0" t="n">
        <f aca="false">C4122/SUM($A4122:$C4122)</f>
        <v>0.362757026452331</v>
      </c>
      <c r="G4122" s="0" t="n">
        <f aca="false">SUMPRODUCT(D4122:F4122,Stats!$B$6:$D$6)</f>
        <v>0.357602060966936</v>
      </c>
      <c r="H4122" s="0" t="n">
        <f aca="false">SQRT(SUMPRODUCT(MMULT(D4122:F4122,Stats!$B$12:$D$14),D4122:F4122))</f>
        <v>0.223133258571311</v>
      </c>
      <c r="I4122" s="0" t="n">
        <f aca="false">(G4122-Stats!$B$2)/H4122</f>
        <v>1.4144106664676</v>
      </c>
    </row>
    <row r="4123" customFormat="false" ht="15" hidden="false" customHeight="false" outlineLevel="0" collapsed="false">
      <c r="A4123" s="0" t="n">
        <v>0.0502131214575727</v>
      </c>
      <c r="B4123" s="0" t="n">
        <v>0.608688760529318</v>
      </c>
      <c r="C4123" s="0" t="n">
        <v>0.152652980000607</v>
      </c>
      <c r="D4123" s="0" t="n">
        <f aca="false">A4123/SUM($A4123:$C4123)</f>
        <v>0.0618727381345493</v>
      </c>
      <c r="E4123" s="0" t="n">
        <f aca="false">B4123/SUM($A4123:$C4123)</f>
        <v>0.75002786507697</v>
      </c>
      <c r="F4123" s="0" t="n">
        <f aca="false">C4123/SUM($A4123:$C4123)</f>
        <v>0.188099396788481</v>
      </c>
      <c r="G4123" s="0" t="n">
        <f aca="false">SUMPRODUCT(D4123:F4123,Stats!$B$6:$D$6)</f>
        <v>0.394452568551175</v>
      </c>
      <c r="H4123" s="0" t="n">
        <f aca="false">SQRT(SUMPRODUCT(MMULT(D4123:F4123,Stats!$B$12:$D$14),D4123:F4123))</f>
        <v>0.242857818288358</v>
      </c>
      <c r="I4123" s="0" t="n">
        <f aca="false">(G4123-Stats!$B$2)/H4123</f>
        <v>1.4512712460123</v>
      </c>
    </row>
    <row r="4124" customFormat="false" ht="15" hidden="false" customHeight="false" outlineLevel="0" collapsed="false">
      <c r="A4124" s="0" t="n">
        <v>0.830583325114451</v>
      </c>
      <c r="B4124" s="0" t="n">
        <v>0.355449463580479</v>
      </c>
      <c r="C4124" s="0" t="n">
        <v>0.281553862728196</v>
      </c>
      <c r="D4124" s="0" t="n">
        <f aca="false">A4124/SUM($A4124:$C4124)</f>
        <v>0.565951812323334</v>
      </c>
      <c r="E4124" s="0" t="n">
        <f aca="false">B4124/SUM($A4124:$C4124)</f>
        <v>0.242199984059406</v>
      </c>
      <c r="F4124" s="0" t="n">
        <f aca="false">C4124/SUM($A4124:$C4124)</f>
        <v>0.191848203617259</v>
      </c>
      <c r="G4124" s="0" t="n">
        <f aca="false">SUMPRODUCT(D4124:F4124,Stats!$B$6:$D$6)</f>
        <v>0.365129437639753</v>
      </c>
      <c r="H4124" s="0" t="n">
        <f aca="false">SQRT(SUMPRODUCT(MMULT(D4124:F4124,Stats!$B$12:$D$14),D4124:F4124))</f>
        <v>0.22276417251038</v>
      </c>
      <c r="I4124" s="0" t="n">
        <f aca="false">(G4124-Stats!$B$2)/H4124</f>
        <v>1.4505449148233</v>
      </c>
    </row>
    <row r="4125" customFormat="false" ht="15" hidden="false" customHeight="false" outlineLevel="0" collapsed="false">
      <c r="A4125" s="0" t="n">
        <v>0.840888976711485</v>
      </c>
      <c r="B4125" s="0" t="n">
        <v>0.0501440230718102</v>
      </c>
      <c r="C4125" s="0" t="n">
        <v>0.396608799334345</v>
      </c>
      <c r="D4125" s="0" t="n">
        <f aca="false">A4125/SUM($A4125:$C4125)</f>
        <v>0.653045728468668</v>
      </c>
      <c r="E4125" s="0" t="n">
        <f aca="false">B4125/SUM($A4125:$C4125)</f>
        <v>0.038942525092127</v>
      </c>
      <c r="F4125" s="0" t="n">
        <f aca="false">C4125/SUM($A4125:$C4125)</f>
        <v>0.308011746439205</v>
      </c>
      <c r="G4125" s="0" t="n">
        <f aca="false">SUMPRODUCT(D4125:F4125,Stats!$B$6:$D$6)</f>
        <v>0.350231101507289</v>
      </c>
      <c r="H4125" s="0" t="n">
        <f aca="false">SQRT(SUMPRODUCT(MMULT(D4125:F4125,Stats!$B$12:$D$14),D4125:F4125))</f>
        <v>0.22135254257941</v>
      </c>
      <c r="I4125" s="0" t="n">
        <f aca="false">(G4125-Stats!$B$2)/H4125</f>
        <v>1.39248954593197</v>
      </c>
    </row>
    <row r="4126" customFormat="false" ht="15" hidden="false" customHeight="false" outlineLevel="0" collapsed="false">
      <c r="A4126" s="0" t="n">
        <v>0.370003540575031</v>
      </c>
      <c r="B4126" s="0" t="n">
        <v>0.284800374249551</v>
      </c>
      <c r="C4126" s="0" t="n">
        <v>0.911754332001477</v>
      </c>
      <c r="D4126" s="0" t="n">
        <f aca="false">A4126/SUM($A4126:$C4126)</f>
        <v>0.236188817954698</v>
      </c>
      <c r="E4126" s="0" t="n">
        <f aca="false">B4126/SUM($A4126:$C4126)</f>
        <v>0.18180005424412</v>
      </c>
      <c r="F4126" s="0" t="n">
        <f aca="false">C4126/SUM($A4126:$C4126)</f>
        <v>0.582011127801182</v>
      </c>
      <c r="G4126" s="0" t="n">
        <f aca="false">SUMPRODUCT(D4126:F4126,Stats!$B$6:$D$6)</f>
        <v>0.350895511282459</v>
      </c>
      <c r="H4126" s="0" t="n">
        <f aca="false">SQRT(SUMPRODUCT(MMULT(D4126:F4126,Stats!$B$12:$D$14),D4126:F4126))</f>
        <v>0.231861566025159</v>
      </c>
      <c r="I4126" s="0" t="n">
        <f aca="false">(G4126-Stats!$B$2)/H4126</f>
        <v>1.33224111515292</v>
      </c>
    </row>
    <row r="4127" customFormat="false" ht="15" hidden="false" customHeight="false" outlineLevel="0" collapsed="false">
      <c r="A4127" s="0" t="n">
        <v>0.750928393516722</v>
      </c>
      <c r="B4127" s="0" t="n">
        <v>0.0639231641919388</v>
      </c>
      <c r="C4127" s="0" t="n">
        <v>0.714687449434954</v>
      </c>
      <c r="D4127" s="0" t="n">
        <f aca="false">A4127/SUM($A4127:$C4127)</f>
        <v>0.490950796291928</v>
      </c>
      <c r="E4127" s="0" t="n">
        <f aca="false">B4127/SUM($A4127:$C4127)</f>
        <v>0.0417924380440052</v>
      </c>
      <c r="F4127" s="0" t="n">
        <f aca="false">C4127/SUM($A4127:$C4127)</f>
        <v>0.467256765664067</v>
      </c>
      <c r="G4127" s="0" t="n">
        <f aca="false">SUMPRODUCT(D4127:F4127,Stats!$B$6:$D$6)</f>
        <v>0.346003961653699</v>
      </c>
      <c r="H4127" s="0" t="n">
        <f aca="false">SQRT(SUMPRODUCT(MMULT(D4127:F4127,Stats!$B$12:$D$14),D4127:F4127))</f>
        <v>0.223114545354578</v>
      </c>
      <c r="I4127" s="0" t="n">
        <f aca="false">(G4127-Stats!$B$2)/H4127</f>
        <v>1.36254658417976</v>
      </c>
    </row>
    <row r="4128" customFormat="false" ht="15" hidden="false" customHeight="false" outlineLevel="0" collapsed="false">
      <c r="A4128" s="0" t="n">
        <v>0.527299133128794</v>
      </c>
      <c r="B4128" s="0" t="n">
        <v>0.900867894401579</v>
      </c>
      <c r="C4128" s="0" t="n">
        <v>0.312945617348359</v>
      </c>
      <c r="D4128" s="0" t="n">
        <f aca="false">A4128/SUM($A4128:$C4128)</f>
        <v>0.302851819886427</v>
      </c>
      <c r="E4128" s="0" t="n">
        <f aca="false">B4128/SUM($A4128:$C4128)</f>
        <v>0.517409311253566</v>
      </c>
      <c r="F4128" s="0" t="n">
        <f aca="false">C4128/SUM($A4128:$C4128)</f>
        <v>0.179738868860007</v>
      </c>
      <c r="G4128" s="0" t="n">
        <f aca="false">SUMPRODUCT(D4128:F4128,Stats!$B$6:$D$6)</f>
        <v>0.381298536378479</v>
      </c>
      <c r="H4128" s="0" t="n">
        <f aca="false">SQRT(SUMPRODUCT(MMULT(D4128:F4128,Stats!$B$12:$D$14),D4128:F4128))</f>
        <v>0.229921397858091</v>
      </c>
      <c r="I4128" s="0" t="n">
        <f aca="false">(G4128-Stats!$B$2)/H4128</f>
        <v>1.47571535115621</v>
      </c>
    </row>
    <row r="4129" customFormat="false" ht="15" hidden="false" customHeight="false" outlineLevel="0" collapsed="false">
      <c r="A4129" s="0" t="n">
        <v>0.574161999609583</v>
      </c>
      <c r="B4129" s="0" t="n">
        <v>0.500755274740986</v>
      </c>
      <c r="C4129" s="0" t="n">
        <v>0.489560906227606</v>
      </c>
      <c r="D4129" s="0" t="n">
        <f aca="false">A4129/SUM($A4129:$C4129)</f>
        <v>0.366999045903851</v>
      </c>
      <c r="E4129" s="0" t="n">
        <f aca="false">B4129/SUM($A4129:$C4129)</f>
        <v>0.320078145516817</v>
      </c>
      <c r="F4129" s="0" t="n">
        <f aca="false">C4129/SUM($A4129:$C4129)</f>
        <v>0.312922808579332</v>
      </c>
      <c r="G4129" s="0" t="n">
        <f aca="false">SUMPRODUCT(D4129:F4129,Stats!$B$6:$D$6)</f>
        <v>0.366271860590192</v>
      </c>
      <c r="H4129" s="0" t="n">
        <f aca="false">SQRT(SUMPRODUCT(MMULT(D4129:F4129,Stats!$B$12:$D$14),D4129:F4129))</f>
        <v>0.225340003906913</v>
      </c>
      <c r="I4129" s="0" t="n">
        <f aca="false">(G4129-Stats!$B$2)/H4129</f>
        <v>1.43903370448217</v>
      </c>
    </row>
    <row r="4130" customFormat="false" ht="15" hidden="false" customHeight="false" outlineLevel="0" collapsed="false">
      <c r="A4130" s="0" t="n">
        <v>0.456105399517213</v>
      </c>
      <c r="B4130" s="0" t="n">
        <v>0.205629475532281</v>
      </c>
      <c r="C4130" s="0" t="n">
        <v>0.755709922492393</v>
      </c>
      <c r="D4130" s="0" t="n">
        <f aca="false">A4130/SUM($A4130:$C4130)</f>
        <v>0.321780008863967</v>
      </c>
      <c r="E4130" s="0" t="n">
        <f aca="false">B4130/SUM($A4130:$C4130)</f>
        <v>0.145070535296247</v>
      </c>
      <c r="F4130" s="0" t="n">
        <f aca="false">C4130/SUM($A4130:$C4130)</f>
        <v>0.533149455839786</v>
      </c>
      <c r="G4130" s="0" t="n">
        <f aca="false">SUMPRODUCT(D4130:F4130,Stats!$B$6:$D$6)</f>
        <v>0.350129484111433</v>
      </c>
      <c r="H4130" s="0" t="n">
        <f aca="false">SQRT(SUMPRODUCT(MMULT(D4130:F4130,Stats!$B$12:$D$14),D4130:F4130))</f>
        <v>0.227875320699915</v>
      </c>
      <c r="I4130" s="0" t="n">
        <f aca="false">(G4130-Stats!$B$2)/H4130</f>
        <v>1.35218453303771</v>
      </c>
    </row>
    <row r="4131" customFormat="false" ht="15" hidden="false" customHeight="false" outlineLevel="0" collapsed="false">
      <c r="A4131" s="0" t="n">
        <v>0.451336032739289</v>
      </c>
      <c r="B4131" s="0" t="n">
        <v>0.958516275002606</v>
      </c>
      <c r="C4131" s="0" t="n">
        <v>0.260808427192776</v>
      </c>
      <c r="D4131" s="0" t="n">
        <f aca="false">A4131/SUM($A4131:$C4131)</f>
        <v>0.270154211026536</v>
      </c>
      <c r="E4131" s="0" t="n">
        <f aca="false">B4131/SUM($A4131:$C4131)</f>
        <v>0.573734843322386</v>
      </c>
      <c r="F4131" s="0" t="n">
        <f aca="false">C4131/SUM($A4131:$C4131)</f>
        <v>0.156110945651078</v>
      </c>
      <c r="G4131" s="0" t="n">
        <f aca="false">SUMPRODUCT(D4131:F4131,Stats!$B$6:$D$6)</f>
        <v>0.385190965487718</v>
      </c>
      <c r="H4131" s="0" t="n">
        <f aca="false">SQRT(SUMPRODUCT(MMULT(D4131:F4131,Stats!$B$12:$D$14),D4131:F4131))</f>
        <v>0.231995975344125</v>
      </c>
      <c r="I4131" s="0" t="n">
        <f aca="false">(G4131-Stats!$B$2)/H4131</f>
        <v>1.47929706529889</v>
      </c>
    </row>
    <row r="4132" customFormat="false" ht="15" hidden="false" customHeight="false" outlineLevel="0" collapsed="false">
      <c r="A4132" s="0" t="n">
        <v>0.682743839627041</v>
      </c>
      <c r="B4132" s="0" t="n">
        <v>0.940717079639108</v>
      </c>
      <c r="C4132" s="0" t="n">
        <v>0.663458323016093</v>
      </c>
      <c r="D4132" s="0" t="n">
        <f aca="false">A4132/SUM($A4132:$C4132)</f>
        <v>0.298543047346829</v>
      </c>
      <c r="E4132" s="0" t="n">
        <f aca="false">B4132/SUM($A4132:$C4132)</f>
        <v>0.411346873228595</v>
      </c>
      <c r="F4132" s="0" t="n">
        <f aca="false">C4132/SUM($A4132:$C4132)</f>
        <v>0.290110079424576</v>
      </c>
      <c r="G4132" s="0" t="n">
        <f aca="false">SUMPRODUCT(D4132:F4132,Stats!$B$6:$D$6)</f>
        <v>0.372152397288131</v>
      </c>
      <c r="H4132" s="0" t="n">
        <f aca="false">SQRT(SUMPRODUCT(MMULT(D4132:F4132,Stats!$B$12:$D$14),D4132:F4132))</f>
        <v>0.228012229030872</v>
      </c>
      <c r="I4132" s="0" t="n">
        <f aca="false">(G4132-Stats!$B$2)/H4132</f>
        <v>1.44795916732795</v>
      </c>
    </row>
    <row r="4133" customFormat="false" ht="15" hidden="false" customHeight="false" outlineLevel="0" collapsed="false">
      <c r="A4133" s="0" t="n">
        <v>0.871272907617395</v>
      </c>
      <c r="B4133" s="0" t="n">
        <v>0.827480959757006</v>
      </c>
      <c r="C4133" s="0" t="n">
        <v>0.360117715489004</v>
      </c>
      <c r="D4133" s="0" t="n">
        <f aca="false">A4133/SUM($A4133:$C4133)</f>
        <v>0.42317982086365</v>
      </c>
      <c r="E4133" s="0" t="n">
        <f aca="false">B4133/SUM($A4133:$C4133)</f>
        <v>0.401909942632835</v>
      </c>
      <c r="F4133" s="0" t="n">
        <f aca="false">C4133/SUM($A4133:$C4133)</f>
        <v>0.174910236503515</v>
      </c>
      <c r="G4133" s="0" t="n">
        <f aca="false">SUMPRODUCT(D4133:F4133,Stats!$B$6:$D$6)</f>
        <v>0.37478599987599</v>
      </c>
      <c r="H4133" s="0" t="n">
        <f aca="false">SQRT(SUMPRODUCT(MMULT(D4133:F4133,Stats!$B$12:$D$14),D4133:F4133))</f>
        <v>0.225840154000251</v>
      </c>
      <c r="I4133" s="0" t="n">
        <f aca="false">(G4133-Stats!$B$2)/H4133</f>
        <v>1.47354663898972</v>
      </c>
    </row>
    <row r="4134" customFormat="false" ht="15" hidden="false" customHeight="false" outlineLevel="0" collapsed="false">
      <c r="A4134" s="0" t="n">
        <v>0.600123939939497</v>
      </c>
      <c r="B4134" s="0" t="n">
        <v>0.156261339811356</v>
      </c>
      <c r="C4134" s="0" t="n">
        <v>0.5355258826956</v>
      </c>
      <c r="D4134" s="0" t="n">
        <f aca="false">A4134/SUM($A4134:$C4134)</f>
        <v>0.464524154124546</v>
      </c>
      <c r="E4134" s="0" t="n">
        <f aca="false">B4134/SUM($A4134:$C4134)</f>
        <v>0.120953626188544</v>
      </c>
      <c r="F4134" s="0" t="n">
        <f aca="false">C4134/SUM($A4134:$C4134)</f>
        <v>0.41452221968691</v>
      </c>
      <c r="G4134" s="0" t="n">
        <f aca="false">SUMPRODUCT(D4134:F4134,Stats!$B$6:$D$6)</f>
        <v>0.352012928785762</v>
      </c>
      <c r="H4134" s="0" t="n">
        <f aca="false">SQRT(SUMPRODUCT(MMULT(D4134:F4134,Stats!$B$12:$D$14),D4134:F4134))</f>
        <v>0.22293402928421</v>
      </c>
      <c r="I4134" s="0" t="n">
        <f aca="false">(G4134-Stats!$B$2)/H4134</f>
        <v>1.39060389201749</v>
      </c>
    </row>
    <row r="4135" customFormat="false" ht="15" hidden="false" customHeight="false" outlineLevel="0" collapsed="false">
      <c r="A4135" s="0" t="n">
        <v>0.230421971814337</v>
      </c>
      <c r="B4135" s="0" t="n">
        <v>0.743736814952446</v>
      </c>
      <c r="C4135" s="0" t="n">
        <v>0.528058421892125</v>
      </c>
      <c r="D4135" s="0" t="n">
        <f aca="false">A4135/SUM($A4135:$C4135)</f>
        <v>0.153387919194485</v>
      </c>
      <c r="E4135" s="0" t="n">
        <f aca="false">B4135/SUM($A4135:$C4135)</f>
        <v>0.495092727380224</v>
      </c>
      <c r="F4135" s="0" t="n">
        <f aca="false">C4135/SUM($A4135:$C4135)</f>
        <v>0.351519353425291</v>
      </c>
      <c r="G4135" s="0" t="n">
        <f aca="false">SUMPRODUCT(D4135:F4135,Stats!$B$6:$D$6)</f>
        <v>0.375277688234556</v>
      </c>
      <c r="H4135" s="0" t="n">
        <f aca="false">SQRT(SUMPRODUCT(MMULT(D4135:F4135,Stats!$B$12:$D$14),D4135:F4135))</f>
        <v>0.234249529863132</v>
      </c>
      <c r="I4135" s="0" t="n">
        <f aca="false">(G4135-Stats!$B$2)/H4135</f>
        <v>1.42274645515526</v>
      </c>
    </row>
    <row r="4136" customFormat="false" ht="15" hidden="false" customHeight="false" outlineLevel="0" collapsed="false">
      <c r="A4136" s="0" t="n">
        <v>0.411227362631661</v>
      </c>
      <c r="B4136" s="0" t="n">
        <v>0.268797096166978</v>
      </c>
      <c r="C4136" s="0" t="n">
        <v>0.998698481841287</v>
      </c>
      <c r="D4136" s="0" t="n">
        <f aca="false">A4136/SUM($A4136:$C4136)</f>
        <v>0.244964402806637</v>
      </c>
      <c r="E4136" s="0" t="n">
        <f aca="false">B4136/SUM($A4136:$C4136)</f>
        <v>0.160119987437899</v>
      </c>
      <c r="F4136" s="0" t="n">
        <f aca="false">C4136/SUM($A4136:$C4136)</f>
        <v>0.594915609755464</v>
      </c>
      <c r="G4136" s="0" t="n">
        <f aca="false">SUMPRODUCT(D4136:F4136,Stats!$B$6:$D$6)</f>
        <v>0.349292232171826</v>
      </c>
      <c r="H4136" s="0" t="n">
        <f aca="false">SQRT(SUMPRODUCT(MMULT(D4136:F4136,Stats!$B$12:$D$14),D4136:F4136))</f>
        <v>0.231808386723877</v>
      </c>
      <c r="I4136" s="0" t="n">
        <f aca="false">(G4136-Stats!$B$2)/H4136</f>
        <v>1.32563034717921</v>
      </c>
    </row>
    <row r="4137" customFormat="false" ht="15" hidden="false" customHeight="false" outlineLevel="0" collapsed="false">
      <c r="A4137" s="0" t="n">
        <v>0.0717105208849327</v>
      </c>
      <c r="B4137" s="0" t="n">
        <v>0.04356068057242</v>
      </c>
      <c r="C4137" s="0" t="n">
        <v>0.217257400493865</v>
      </c>
      <c r="D4137" s="0" t="n">
        <f aca="false">A4137/SUM($A4137:$C4137)</f>
        <v>0.215652188906904</v>
      </c>
      <c r="E4137" s="0" t="n">
        <f aca="false">B4137/SUM($A4137:$C4137)</f>
        <v>0.130998297039154</v>
      </c>
      <c r="F4137" s="0" t="n">
        <f aca="false">C4137/SUM($A4137:$C4137)</f>
        <v>0.653349514053942</v>
      </c>
      <c r="G4137" s="0" t="n">
        <f aca="false">SUMPRODUCT(D4137:F4137,Stats!$B$6:$D$6)</f>
        <v>0.346005315361579</v>
      </c>
      <c r="H4137" s="0" t="n">
        <f aca="false">SQRT(SUMPRODUCT(MMULT(D4137:F4137,Stats!$B$12:$D$14),D4137:F4137))</f>
        <v>0.234481097982477</v>
      </c>
      <c r="I4137" s="0" t="n">
        <f aca="false">(G4137-Stats!$B$2)/H4137</f>
        <v>1.29650243869251</v>
      </c>
    </row>
    <row r="4138" customFormat="false" ht="15" hidden="false" customHeight="false" outlineLevel="0" collapsed="false">
      <c r="A4138" s="0" t="n">
        <v>0.97107245862782</v>
      </c>
      <c r="B4138" s="0" t="n">
        <v>0.979238168319984</v>
      </c>
      <c r="C4138" s="0" t="n">
        <v>0.654927734772136</v>
      </c>
      <c r="D4138" s="0" t="n">
        <f aca="false">A4138/SUM($A4138:$C4138)</f>
        <v>0.372738430731049</v>
      </c>
      <c r="E4138" s="0" t="n">
        <f aca="false">B4138/SUM($A4138:$C4138)</f>
        <v>0.37587277337399</v>
      </c>
      <c r="F4138" s="0" t="n">
        <f aca="false">C4138/SUM($A4138:$C4138)</f>
        <v>0.251388795894961</v>
      </c>
      <c r="G4138" s="0" t="n">
        <f aca="false">SUMPRODUCT(D4138:F4138,Stats!$B$6:$D$6)</f>
        <v>0.371178987996066</v>
      </c>
      <c r="H4138" s="0" t="n">
        <f aca="false">SQRT(SUMPRODUCT(MMULT(D4138:F4138,Stats!$B$12:$D$14),D4138:F4138))</f>
        <v>0.225871990098779</v>
      </c>
      <c r="I4138" s="0" t="n">
        <f aca="false">(G4138-Stats!$B$2)/H4138</f>
        <v>1.45736967143252</v>
      </c>
    </row>
    <row r="4139" customFormat="false" ht="15" hidden="false" customHeight="false" outlineLevel="0" collapsed="false">
      <c r="A4139" s="0" t="n">
        <v>0.880106667206405</v>
      </c>
      <c r="B4139" s="0" t="n">
        <v>0.213961730840795</v>
      </c>
      <c r="C4139" s="0" t="n">
        <v>0.972042094176624</v>
      </c>
      <c r="D4139" s="0" t="n">
        <f aca="false">A4139/SUM($A4139:$C4139)</f>
        <v>0.425972701130382</v>
      </c>
      <c r="E4139" s="0" t="n">
        <f aca="false">B4139/SUM($A4139:$C4139)</f>
        <v>0.103557738875089</v>
      </c>
      <c r="F4139" s="0" t="n">
        <f aca="false">C4139/SUM($A4139:$C4139)</f>
        <v>0.47046955999453</v>
      </c>
      <c r="G4139" s="0" t="n">
        <f aca="false">SUMPRODUCT(D4139:F4139,Stats!$B$6:$D$6)</f>
        <v>0.349469265554298</v>
      </c>
      <c r="H4139" s="0" t="n">
        <f aca="false">SQRT(SUMPRODUCT(MMULT(D4139:F4139,Stats!$B$12:$D$14),D4139:F4139))</f>
        <v>0.224221735959558</v>
      </c>
      <c r="I4139" s="0" t="n">
        <f aca="false">(G4139-Stats!$B$2)/H4139</f>
        <v>1.37127323646159</v>
      </c>
    </row>
    <row r="4140" customFormat="false" ht="15" hidden="false" customHeight="false" outlineLevel="0" collapsed="false">
      <c r="A4140" s="0" t="n">
        <v>0.142784850139565</v>
      </c>
      <c r="B4140" s="0" t="n">
        <v>0.101125188181658</v>
      </c>
      <c r="C4140" s="0" t="n">
        <v>0.112211539247273</v>
      </c>
      <c r="D4140" s="0" t="n">
        <f aca="false">A4140/SUM($A4140:$C4140)</f>
        <v>0.400944113284182</v>
      </c>
      <c r="E4140" s="0" t="n">
        <f aca="false">B4140/SUM($A4140:$C4140)</f>
        <v>0.283962541309949</v>
      </c>
      <c r="F4140" s="0" t="n">
        <f aca="false">C4140/SUM($A4140:$C4140)</f>
        <v>0.315093345405869</v>
      </c>
      <c r="G4140" s="0" t="n">
        <f aca="false">SUMPRODUCT(D4140:F4140,Stats!$B$6:$D$6)</f>
        <v>0.364133963749482</v>
      </c>
      <c r="H4140" s="0" t="n">
        <f aca="false">SQRT(SUMPRODUCT(MMULT(D4140:F4140,Stats!$B$12:$D$14),D4140:F4140))</f>
        <v>0.224327908138418</v>
      </c>
      <c r="I4140" s="0" t="n">
        <f aca="false">(G4140-Stats!$B$2)/H4140</f>
        <v>1.43599593301924</v>
      </c>
    </row>
    <row r="4141" customFormat="false" ht="15" hidden="false" customHeight="false" outlineLevel="0" collapsed="false">
      <c r="A4141" s="0" t="n">
        <v>0.573127923272565</v>
      </c>
      <c r="B4141" s="0" t="n">
        <v>0.780974400718052</v>
      </c>
      <c r="C4141" s="0" t="n">
        <v>0.366667177874633</v>
      </c>
      <c r="D4141" s="0" t="n">
        <f aca="false">A4141/SUM($A4141:$C4141)</f>
        <v>0.333064900703619</v>
      </c>
      <c r="E4141" s="0" t="n">
        <f aca="false">B4141/SUM($A4141:$C4141)</f>
        <v>0.453851837722313</v>
      </c>
      <c r="F4141" s="0" t="n">
        <f aca="false">C4141/SUM($A4141:$C4141)</f>
        <v>0.213083261574069</v>
      </c>
      <c r="G4141" s="0" t="n">
        <f aca="false">SUMPRODUCT(D4141:F4141,Stats!$B$6:$D$6)</f>
        <v>0.376722062808156</v>
      </c>
      <c r="H4141" s="0" t="n">
        <f aca="false">SQRT(SUMPRODUCT(MMULT(D4141:F4141,Stats!$B$12:$D$14),D4141:F4141))</f>
        <v>0.227949802862268</v>
      </c>
      <c r="I4141" s="0" t="n">
        <f aca="false">(G4141-Stats!$B$2)/H4141</f>
        <v>1.46840251057555</v>
      </c>
    </row>
    <row r="4142" customFormat="false" ht="15" hidden="false" customHeight="false" outlineLevel="0" collapsed="false">
      <c r="A4142" s="0" t="n">
        <v>0.977895987786127</v>
      </c>
      <c r="B4142" s="0" t="n">
        <v>0.43442013811833</v>
      </c>
      <c r="C4142" s="0" t="n">
        <v>0.150448550773216</v>
      </c>
      <c r="D4142" s="0" t="n">
        <f aca="false">A4142/SUM($A4142:$C4142)</f>
        <v>0.625747434901757</v>
      </c>
      <c r="E4142" s="0" t="n">
        <f aca="false">B4142/SUM($A4142:$C4142)</f>
        <v>0.277981800204159</v>
      </c>
      <c r="F4142" s="0" t="n">
        <f aca="false">C4142/SUM($A4142:$C4142)</f>
        <v>0.0962707648940846</v>
      </c>
      <c r="G4142" s="0" t="n">
        <f aca="false">SUMPRODUCT(D4142:F4142,Stats!$B$6:$D$6)</f>
        <v>0.369823788140999</v>
      </c>
      <c r="H4142" s="0" t="n">
        <f aca="false">SQRT(SUMPRODUCT(MMULT(D4142:F4142,Stats!$B$12:$D$14),D4142:F4142))</f>
        <v>0.22452294104252</v>
      </c>
      <c r="I4142" s="0" t="n">
        <f aca="false">(G4142-Stats!$B$2)/H4142</f>
        <v>1.46009038817515</v>
      </c>
    </row>
    <row r="4143" customFormat="false" ht="15" hidden="false" customHeight="false" outlineLevel="0" collapsed="false">
      <c r="A4143" s="0" t="n">
        <v>0.465966748186137</v>
      </c>
      <c r="B4143" s="0" t="n">
        <v>0.67903716542244</v>
      </c>
      <c r="C4143" s="0" t="n">
        <v>0.832225780504379</v>
      </c>
      <c r="D4143" s="0" t="n">
        <f aca="false">A4143/SUM($A4143:$C4143)</f>
        <v>0.235666472931049</v>
      </c>
      <c r="E4143" s="0" t="n">
        <f aca="false">B4143/SUM($A4143:$C4143)</f>
        <v>0.343428569500154</v>
      </c>
      <c r="F4143" s="0" t="n">
        <f aca="false">C4143/SUM($A4143:$C4143)</f>
        <v>0.420904957568797</v>
      </c>
      <c r="G4143" s="0" t="n">
        <f aca="false">SUMPRODUCT(D4143:F4143,Stats!$B$6:$D$6)</f>
        <v>0.364637847538065</v>
      </c>
      <c r="H4143" s="0" t="n">
        <f aca="false">SQRT(SUMPRODUCT(MMULT(D4143:F4143,Stats!$B$12:$D$14),D4143:F4143))</f>
        <v>0.229983641473727</v>
      </c>
      <c r="I4143" s="0" t="n">
        <f aca="false">(G4143-Stats!$B$2)/H4143</f>
        <v>1.40287302814502</v>
      </c>
    </row>
    <row r="4144" customFormat="false" ht="15" hidden="false" customHeight="false" outlineLevel="0" collapsed="false">
      <c r="A4144" s="0" t="n">
        <v>0.458768289956593</v>
      </c>
      <c r="B4144" s="0" t="n">
        <v>0.593606826049168</v>
      </c>
      <c r="C4144" s="0" t="n">
        <v>0.267344712158853</v>
      </c>
      <c r="D4144" s="0" t="n">
        <f aca="false">A4144/SUM($A4144:$C4144)</f>
        <v>0.347625518815323</v>
      </c>
      <c r="E4144" s="0" t="n">
        <f aca="false">B4144/SUM($A4144:$C4144)</f>
        <v>0.449797611114717</v>
      </c>
      <c r="F4144" s="0" t="n">
        <f aca="false">C4144/SUM($A4144:$C4144)</f>
        <v>0.20257687006996</v>
      </c>
      <c r="G4144" s="0" t="n">
        <f aca="false">SUMPRODUCT(D4144:F4144,Stats!$B$6:$D$6)</f>
        <v>0.376778497561193</v>
      </c>
      <c r="H4144" s="0" t="n">
        <f aca="false">SQRT(SUMPRODUCT(MMULT(D4144:F4144,Stats!$B$12:$D$14),D4144:F4144))</f>
        <v>0.227636332803459</v>
      </c>
      <c r="I4144" s="0" t="n">
        <f aca="false">(G4144-Stats!$B$2)/H4144</f>
        <v>1.47067251276728</v>
      </c>
    </row>
    <row r="4145" customFormat="false" ht="15" hidden="false" customHeight="false" outlineLevel="0" collapsed="false">
      <c r="A4145" s="0" t="n">
        <v>0.645916526405514</v>
      </c>
      <c r="B4145" s="0" t="n">
        <v>0.985971943950344</v>
      </c>
      <c r="C4145" s="0" t="n">
        <v>0.0490535725877939</v>
      </c>
      <c r="D4145" s="0" t="n">
        <f aca="false">A4145/SUM($A4145:$C4145)</f>
        <v>0.384258653721571</v>
      </c>
      <c r="E4145" s="0" t="n">
        <f aca="false">B4145/SUM($A4145:$C4145)</f>
        <v>0.586559154784253</v>
      </c>
      <c r="F4145" s="0" t="n">
        <f aca="false">C4145/SUM($A4145:$C4145)</f>
        <v>0.0291821914941765</v>
      </c>
      <c r="G4145" s="0" t="n">
        <f aca="false">SUMPRODUCT(D4145:F4145,Stats!$B$6:$D$6)</f>
        <v>0.389428871347563</v>
      </c>
      <c r="H4145" s="0" t="n">
        <f aca="false">SQRT(SUMPRODUCT(MMULT(D4145:F4145,Stats!$B$12:$D$14),D4145:F4145))</f>
        <v>0.231811153508936</v>
      </c>
      <c r="I4145" s="0" t="n">
        <f aca="false">(G4145-Stats!$B$2)/H4145</f>
        <v>1.49875821800857</v>
      </c>
    </row>
    <row r="4146" customFormat="false" ht="15" hidden="false" customHeight="false" outlineLevel="0" collapsed="false">
      <c r="A4146" s="0" t="n">
        <v>0.886530670705168</v>
      </c>
      <c r="B4146" s="0" t="n">
        <v>0.562282502767523</v>
      </c>
      <c r="C4146" s="0" t="n">
        <v>0.2520986595623</v>
      </c>
      <c r="D4146" s="0" t="n">
        <f aca="false">A4146/SUM($A4146:$C4146)</f>
        <v>0.521209067681835</v>
      </c>
      <c r="E4146" s="0" t="n">
        <f aca="false">B4146/SUM($A4146:$C4146)</f>
        <v>0.330577100968381</v>
      </c>
      <c r="F4146" s="0" t="n">
        <f aca="false">C4146/SUM($A4146:$C4146)</f>
        <v>0.148213831349784</v>
      </c>
      <c r="G4146" s="0" t="n">
        <f aca="false">SUMPRODUCT(D4146:F4146,Stats!$B$6:$D$6)</f>
        <v>0.371417743595045</v>
      </c>
      <c r="H4146" s="0" t="n">
        <f aca="false">SQRT(SUMPRODUCT(MMULT(D4146:F4146,Stats!$B$12:$D$14),D4146:F4146))</f>
        <v>0.224292492776083</v>
      </c>
      <c r="I4146" s="0" t="n">
        <f aca="false">(G4146-Stats!$B$2)/H4146</f>
        <v>1.46869714415235</v>
      </c>
    </row>
    <row r="4147" customFormat="false" ht="15" hidden="false" customHeight="false" outlineLevel="0" collapsed="false">
      <c r="A4147" s="0" t="n">
        <v>0.954889710009258</v>
      </c>
      <c r="B4147" s="0" t="n">
        <v>0.483354303058899</v>
      </c>
      <c r="C4147" s="0" t="n">
        <v>0.331690251673386</v>
      </c>
      <c r="D4147" s="0" t="n">
        <f aca="false">A4147/SUM($A4147:$C4147)</f>
        <v>0.539505748338454</v>
      </c>
      <c r="E4147" s="0" t="n">
        <f aca="false">B4147/SUM($A4147:$C4147)</f>
        <v>0.273091669384389</v>
      </c>
      <c r="F4147" s="0" t="n">
        <f aca="false">C4147/SUM($A4147:$C4147)</f>
        <v>0.187402582277157</v>
      </c>
      <c r="G4147" s="0" t="n">
        <f aca="false">SUMPRODUCT(D4147:F4147,Stats!$B$6:$D$6)</f>
        <v>0.367029491529604</v>
      </c>
      <c r="H4147" s="0" t="n">
        <f aca="false">SQRT(SUMPRODUCT(MMULT(D4147:F4147,Stats!$B$12:$D$14),D4147:F4147))</f>
        <v>0.223159632667991</v>
      </c>
      <c r="I4147" s="0" t="n">
        <f aca="false">(G4147-Stats!$B$2)/H4147</f>
        <v>1.45648873698036</v>
      </c>
    </row>
    <row r="4148" customFormat="false" ht="15" hidden="false" customHeight="false" outlineLevel="0" collapsed="false">
      <c r="A4148" s="0" t="n">
        <v>0.181497628270841</v>
      </c>
      <c r="B4148" s="0" t="n">
        <v>0.244452210256662</v>
      </c>
      <c r="C4148" s="0" t="n">
        <v>0.832849041591443</v>
      </c>
      <c r="D4148" s="0" t="n">
        <f aca="false">A4148/SUM($A4148:$C4148)</f>
        <v>0.144183182188477</v>
      </c>
      <c r="E4148" s="0" t="n">
        <f aca="false">B4148/SUM($A4148:$C4148)</f>
        <v>0.194194810717947</v>
      </c>
      <c r="F4148" s="0" t="n">
        <f aca="false">C4148/SUM($A4148:$C4148)</f>
        <v>0.661622007093576</v>
      </c>
      <c r="G4148" s="0" t="n">
        <f aca="false">SUMPRODUCT(D4148:F4148,Stats!$B$6:$D$6)</f>
        <v>0.34941345015121</v>
      </c>
      <c r="H4148" s="0" t="n">
        <f aca="false">SQRT(SUMPRODUCT(MMULT(D4148:F4148,Stats!$B$12:$D$14),D4148:F4148))</f>
        <v>0.237832732236567</v>
      </c>
      <c r="I4148" s="0" t="n">
        <f aca="false">(G4148-Stats!$B$2)/H4148</f>
        <v>1.29256157157305</v>
      </c>
    </row>
    <row r="4149" customFormat="false" ht="15" hidden="false" customHeight="false" outlineLevel="0" collapsed="false">
      <c r="A4149" s="0" t="n">
        <v>0.614410009317166</v>
      </c>
      <c r="B4149" s="0" t="n">
        <v>0.913245619488316</v>
      </c>
      <c r="C4149" s="0" t="n">
        <v>0.231968452157786</v>
      </c>
      <c r="D4149" s="0" t="n">
        <f aca="false">A4149/SUM($A4149:$C4149)</f>
        <v>0.349171175800697</v>
      </c>
      <c r="E4149" s="0" t="n">
        <f aca="false">B4149/SUM($A4149:$C4149)</f>
        <v>0.519000410012791</v>
      </c>
      <c r="F4149" s="0" t="n">
        <f aca="false">C4149/SUM($A4149:$C4149)</f>
        <v>0.131828414186512</v>
      </c>
      <c r="G4149" s="0" t="n">
        <f aca="false">SUMPRODUCT(D4149:F4149,Stats!$B$6:$D$6)</f>
        <v>0.382711198502058</v>
      </c>
      <c r="H4149" s="0" t="n">
        <f aca="false">SQRT(SUMPRODUCT(MMULT(D4149:F4149,Stats!$B$12:$D$14),D4149:F4149))</f>
        <v>0.229418137774432</v>
      </c>
      <c r="I4149" s="0" t="n">
        <f aca="false">(G4149-Stats!$B$2)/H4149</f>
        <v>1.48511012166375</v>
      </c>
    </row>
    <row r="4150" customFormat="false" ht="15" hidden="false" customHeight="false" outlineLevel="0" collapsed="false">
      <c r="A4150" s="0" t="n">
        <v>0.121138573848902</v>
      </c>
      <c r="B4150" s="0" t="n">
        <v>0.00608753097559001</v>
      </c>
      <c r="C4150" s="0" t="n">
        <v>0.507862037615994</v>
      </c>
      <c r="D4150" s="0" t="n">
        <f aca="false">A4150/SUM($A4150:$C4150)</f>
        <v>0.190742931183373</v>
      </c>
      <c r="E4150" s="0" t="n">
        <f aca="false">B4150/SUM($A4150:$C4150)</f>
        <v>0.00958533244251285</v>
      </c>
      <c r="F4150" s="0" t="n">
        <f aca="false">C4150/SUM($A4150:$C4150)</f>
        <v>0.799671736374115</v>
      </c>
      <c r="G4150" s="0" t="n">
        <f aca="false">SUMPRODUCT(D4150:F4150,Stats!$B$6:$D$6)</f>
        <v>0.334984591518421</v>
      </c>
      <c r="H4150" s="0" t="n">
        <f aca="false">SQRT(SUMPRODUCT(MMULT(D4150:F4150,Stats!$B$12:$D$14),D4150:F4150))</f>
        <v>0.240868514715664</v>
      </c>
      <c r="I4150" s="0" t="n">
        <f aca="false">(G4150-Stats!$B$2)/H4150</f>
        <v>1.21636732747855</v>
      </c>
    </row>
    <row r="4151" customFormat="false" ht="15" hidden="false" customHeight="false" outlineLevel="0" collapsed="false">
      <c r="A4151" s="0" t="n">
        <v>0.998306930381988</v>
      </c>
      <c r="B4151" s="0" t="n">
        <v>0.694965268818639</v>
      </c>
      <c r="C4151" s="0" t="n">
        <v>0.308394591965146</v>
      </c>
      <c r="D4151" s="0" t="n">
        <f aca="false">A4151/SUM($A4151:$C4151)</f>
        <v>0.498737819295375</v>
      </c>
      <c r="E4151" s="0" t="n">
        <f aca="false">B4151/SUM($A4151:$C4151)</f>
        <v>0.347193285059143</v>
      </c>
      <c r="F4151" s="0" t="n">
        <f aca="false">C4151/SUM($A4151:$C4151)</f>
        <v>0.154068895645482</v>
      </c>
      <c r="G4151" s="0" t="n">
        <f aca="false">SUMPRODUCT(D4151:F4151,Stats!$B$6:$D$6)</f>
        <v>0.372212366175743</v>
      </c>
      <c r="H4151" s="0" t="n">
        <f aca="false">SQRT(SUMPRODUCT(MMULT(D4151:F4151,Stats!$B$12:$D$14),D4151:F4151))</f>
        <v>0.22455394630887</v>
      </c>
      <c r="I4151" s="0" t="n">
        <f aca="false">(G4151-Stats!$B$2)/H4151</f>
        <v>1.47052577611592</v>
      </c>
    </row>
    <row r="4152" customFormat="false" ht="15" hidden="false" customHeight="false" outlineLevel="0" collapsed="false">
      <c r="A4152" s="0" t="n">
        <v>0.876858583026172</v>
      </c>
      <c r="B4152" s="0" t="n">
        <v>0.78172226598796</v>
      </c>
      <c r="C4152" s="0" t="n">
        <v>0.0154151660765393</v>
      </c>
      <c r="D4152" s="0" t="n">
        <f aca="false">A4152/SUM($A4152:$C4152)</f>
        <v>0.523811631044222</v>
      </c>
      <c r="E4152" s="0" t="n">
        <f aca="false">B4152/SUM($A4152:$C4152)</f>
        <v>0.466979765149332</v>
      </c>
      <c r="F4152" s="0" t="n">
        <f aca="false">C4152/SUM($A4152:$C4152)</f>
        <v>0.00920860380644593</v>
      </c>
      <c r="G4152" s="0" t="n">
        <f aca="false">SUMPRODUCT(D4152:F4152,Stats!$B$6:$D$6)</f>
        <v>0.383099192034789</v>
      </c>
      <c r="H4152" s="0" t="n">
        <f aca="false">SQRT(SUMPRODUCT(MMULT(D4152:F4152,Stats!$B$12:$D$14),D4152:F4152))</f>
        <v>0.22879445791814</v>
      </c>
      <c r="I4152" s="0" t="n">
        <f aca="false">(G4152-Stats!$B$2)/H4152</f>
        <v>1.49085425905216</v>
      </c>
    </row>
    <row r="4153" customFormat="false" ht="15" hidden="false" customHeight="false" outlineLevel="0" collapsed="false">
      <c r="A4153" s="0" t="n">
        <v>0.816860480541022</v>
      </c>
      <c r="B4153" s="0" t="n">
        <v>0.300526757238496</v>
      </c>
      <c r="C4153" s="0" t="n">
        <v>0.149673464583601</v>
      </c>
      <c r="D4153" s="0" t="n">
        <f aca="false">A4153/SUM($A4153:$C4153)</f>
        <v>0.644689302586328</v>
      </c>
      <c r="E4153" s="0" t="n">
        <f aca="false">B4153/SUM($A4153:$C4153)</f>
        <v>0.237184182792507</v>
      </c>
      <c r="F4153" s="0" t="n">
        <f aca="false">C4153/SUM($A4153:$C4153)</f>
        <v>0.118126514621165</v>
      </c>
      <c r="G4153" s="0" t="n">
        <f aca="false">SUMPRODUCT(D4153:F4153,Stats!$B$6:$D$6)</f>
        <v>0.366873682145895</v>
      </c>
      <c r="H4153" s="0" t="n">
        <f aca="false">SQRT(SUMPRODUCT(MMULT(D4153:F4153,Stats!$B$12:$D$14),D4153:F4153))</f>
        <v>0.223870423637976</v>
      </c>
      <c r="I4153" s="0" t="n">
        <f aca="false">(G4153-Stats!$B$2)/H4153</f>
        <v>1.45116838958259</v>
      </c>
    </row>
    <row r="4154" customFormat="false" ht="15" hidden="false" customHeight="false" outlineLevel="0" collapsed="false">
      <c r="A4154" s="0" t="n">
        <v>0.226330839737075</v>
      </c>
      <c r="B4154" s="0" t="n">
        <v>0.468579804375139</v>
      </c>
      <c r="C4154" s="0" t="n">
        <v>0.424867927068011</v>
      </c>
      <c r="D4154" s="0" t="n">
        <f aca="false">A4154/SUM($A4154:$C4154)</f>
        <v>0.202121067112872</v>
      </c>
      <c r="E4154" s="0" t="n">
        <f aca="false">B4154/SUM($A4154:$C4154)</f>
        <v>0.418457556194583</v>
      </c>
      <c r="F4154" s="0" t="n">
        <f aca="false">C4154/SUM($A4154:$C4154)</f>
        <v>0.379421376692544</v>
      </c>
      <c r="G4154" s="0" t="n">
        <f aca="false">SUMPRODUCT(D4154:F4154,Stats!$B$6:$D$6)</f>
        <v>0.370098812111583</v>
      </c>
      <c r="H4154" s="0" t="n">
        <f aca="false">SQRT(SUMPRODUCT(MMULT(D4154:F4154,Stats!$B$12:$D$14),D4154:F4154))</f>
        <v>0.231569943364532</v>
      </c>
      <c r="I4154" s="0" t="n">
        <f aca="false">(G4154-Stats!$B$2)/H4154</f>
        <v>1.4168454132888</v>
      </c>
    </row>
    <row r="4155" customFormat="false" ht="15" hidden="false" customHeight="false" outlineLevel="0" collapsed="false">
      <c r="A4155" s="0" t="n">
        <v>0.288887299374227</v>
      </c>
      <c r="B4155" s="0" t="n">
        <v>0.172218322207033</v>
      </c>
      <c r="C4155" s="0" t="n">
        <v>0.762230789642169</v>
      </c>
      <c r="D4155" s="0" t="n">
        <f aca="false">A4155/SUM($A4155:$C4155)</f>
        <v>0.236147062021409</v>
      </c>
      <c r="E4155" s="0" t="n">
        <f aca="false">B4155/SUM($A4155:$C4155)</f>
        <v>0.140777565865796</v>
      </c>
      <c r="F4155" s="0" t="n">
        <f aca="false">C4155/SUM($A4155:$C4155)</f>
        <v>0.623075372112795</v>
      </c>
      <c r="G4155" s="0" t="n">
        <f aca="false">SUMPRODUCT(D4155:F4155,Stats!$B$6:$D$6)</f>
        <v>0.347402799652784</v>
      </c>
      <c r="H4155" s="0" t="n">
        <f aca="false">SQRT(SUMPRODUCT(MMULT(D4155:F4155,Stats!$B$12:$D$14),D4155:F4155))</f>
        <v>0.232841745202047</v>
      </c>
      <c r="I4155" s="0" t="n">
        <f aca="false">(G4155-Stats!$B$2)/H4155</f>
        <v>1.31163249694668</v>
      </c>
    </row>
    <row r="4156" customFormat="false" ht="15" hidden="false" customHeight="false" outlineLevel="0" collapsed="false">
      <c r="A4156" s="0" t="n">
        <v>0.990109783734917</v>
      </c>
      <c r="B4156" s="0" t="n">
        <v>0.77779158041969</v>
      </c>
      <c r="C4156" s="0" t="n">
        <v>0.295936967671541</v>
      </c>
      <c r="D4156" s="0" t="n">
        <f aca="false">A4156/SUM($A4156:$C4156)</f>
        <v>0.479741929620445</v>
      </c>
      <c r="E4156" s="0" t="n">
        <f aca="false">B4156/SUM($A4156:$C4156)</f>
        <v>0.376866525069081</v>
      </c>
      <c r="F4156" s="0" t="n">
        <f aca="false">C4156/SUM($A4156:$C4156)</f>
        <v>0.143391545310473</v>
      </c>
      <c r="G4156" s="0" t="n">
        <f aca="false">SUMPRODUCT(D4156:F4156,Stats!$B$6:$D$6)</f>
        <v>0.374214149829355</v>
      </c>
      <c r="H4156" s="0" t="n">
        <f aca="false">SQRT(SUMPRODUCT(MMULT(D4156:F4156,Stats!$B$12:$D$14),D4156:F4156))</f>
        <v>0.225212962690887</v>
      </c>
      <c r="I4156" s="0" t="n">
        <f aca="false">(G4156-Stats!$B$2)/H4156</f>
        <v>1.47511113863073</v>
      </c>
    </row>
    <row r="4157" customFormat="false" ht="15" hidden="false" customHeight="false" outlineLevel="0" collapsed="false">
      <c r="A4157" s="0" t="n">
        <v>0.244808961412133</v>
      </c>
      <c r="B4157" s="0" t="n">
        <v>0.217665876065938</v>
      </c>
      <c r="C4157" s="0" t="n">
        <v>0.136695074489036</v>
      </c>
      <c r="D4157" s="0" t="n">
        <f aca="false">A4157/SUM($A4157:$C4157)</f>
        <v>0.408580198241951</v>
      </c>
      <c r="E4157" s="0" t="n">
        <f aca="false">B4157/SUM($A4157:$C4157)</f>
        <v>0.363279049429116</v>
      </c>
      <c r="F4157" s="0" t="n">
        <f aca="false">C4157/SUM($A4157:$C4157)</f>
        <v>0.228140752328933</v>
      </c>
      <c r="G4157" s="0" t="n">
        <f aca="false">SUMPRODUCT(D4157:F4157,Stats!$B$6:$D$6)</f>
        <v>0.371095417279682</v>
      </c>
      <c r="H4157" s="0" t="n">
        <f aca="false">SQRT(SUMPRODUCT(MMULT(D4157:F4157,Stats!$B$12:$D$14),D4157:F4157))</f>
        <v>0.225165278948989</v>
      </c>
      <c r="I4157" s="0" t="n">
        <f aca="false">(G4157-Stats!$B$2)/H4157</f>
        <v>1.46157266704623</v>
      </c>
    </row>
    <row r="4158" customFormat="false" ht="15" hidden="false" customHeight="false" outlineLevel="0" collapsed="false">
      <c r="A4158" s="0" t="n">
        <v>0.551330549692301</v>
      </c>
      <c r="B4158" s="0" t="n">
        <v>0.605400371953344</v>
      </c>
      <c r="C4158" s="0" t="n">
        <v>0.705502660663137</v>
      </c>
      <c r="D4158" s="0" t="n">
        <f aca="false">A4158/SUM($A4158:$C4158)</f>
        <v>0.296058751667858</v>
      </c>
      <c r="E4158" s="0" t="n">
        <f aca="false">B4158/SUM($A4158:$C4158)</f>
        <v>0.325093681965918</v>
      </c>
      <c r="F4158" s="0" t="n">
        <f aca="false">C4158/SUM($A4158:$C4158)</f>
        <v>0.378847566366224</v>
      </c>
      <c r="G4158" s="0" t="n">
        <f aca="false">SUMPRODUCT(D4158:F4158,Stats!$B$6:$D$6)</f>
        <v>0.364742598226013</v>
      </c>
      <c r="H4158" s="0" t="n">
        <f aca="false">SQRT(SUMPRODUCT(MMULT(D4158:F4158,Stats!$B$12:$D$14),D4158:F4158))</f>
        <v>0.227495468612754</v>
      </c>
      <c r="I4158" s="0" t="n">
        <f aca="false">(G4158-Stats!$B$2)/H4158</f>
        <v>1.41867704088379</v>
      </c>
    </row>
    <row r="4159" customFormat="false" ht="15" hidden="false" customHeight="false" outlineLevel="0" collapsed="false">
      <c r="A4159" s="0" t="n">
        <v>0.680213370933668</v>
      </c>
      <c r="B4159" s="0" t="n">
        <v>0.292333311283383</v>
      </c>
      <c r="C4159" s="0" t="n">
        <v>0.330311005396847</v>
      </c>
      <c r="D4159" s="0" t="n">
        <f aca="false">A4159/SUM($A4159:$C4159)</f>
        <v>0.52209337781123</v>
      </c>
      <c r="E4159" s="0" t="n">
        <f aca="false">B4159/SUM($A4159:$C4159)</f>
        <v>0.224378544228244</v>
      </c>
      <c r="F4159" s="0" t="n">
        <f aca="false">C4159/SUM($A4159:$C4159)</f>
        <v>0.253528077960526</v>
      </c>
      <c r="G4159" s="0" t="n">
        <f aca="false">SUMPRODUCT(D4159:F4159,Stats!$B$6:$D$6)</f>
        <v>0.362403216246017</v>
      </c>
      <c r="H4159" s="0" t="n">
        <f aca="false">SQRT(SUMPRODUCT(MMULT(D4159:F4159,Stats!$B$12:$D$14),D4159:F4159))</f>
        <v>0.222383400087459</v>
      </c>
      <c r="I4159" s="0" t="n">
        <f aca="false">(G4159-Stats!$B$2)/H4159</f>
        <v>1.44076948243443</v>
      </c>
    </row>
    <row r="4160" customFormat="false" ht="15" hidden="false" customHeight="false" outlineLevel="0" collapsed="false">
      <c r="A4160" s="0" t="n">
        <v>0.681514535442338</v>
      </c>
      <c r="B4160" s="0" t="n">
        <v>0.349447640783628</v>
      </c>
      <c r="C4160" s="0" t="n">
        <v>0.212623189619313</v>
      </c>
      <c r="D4160" s="0" t="n">
        <f aca="false">A4160/SUM($A4160:$C4160)</f>
        <v>0.54802392675239</v>
      </c>
      <c r="E4160" s="0" t="n">
        <f aca="false">B4160/SUM($A4160:$C4160)</f>
        <v>0.281000123016167</v>
      </c>
      <c r="F4160" s="0" t="n">
        <f aca="false">C4160/SUM($A4160:$C4160)</f>
        <v>0.170975950231443</v>
      </c>
      <c r="G4160" s="0" t="n">
        <f aca="false">SUMPRODUCT(D4160:F4160,Stats!$B$6:$D$6)</f>
        <v>0.367937491776511</v>
      </c>
      <c r="H4160" s="0" t="n">
        <f aca="false">SQRT(SUMPRODUCT(MMULT(D4160:F4160,Stats!$B$12:$D$14),D4160:F4160))</f>
        <v>0.223378272393556</v>
      </c>
      <c r="I4160" s="0" t="n">
        <f aca="false">(G4160-Stats!$B$2)/H4160</f>
        <v>1.45912799971101</v>
      </c>
    </row>
    <row r="4161" customFormat="false" ht="15" hidden="false" customHeight="false" outlineLevel="0" collapsed="false">
      <c r="A4161" s="0" t="n">
        <v>0.37433615369674</v>
      </c>
      <c r="B4161" s="0" t="n">
        <v>0.272084157577978</v>
      </c>
      <c r="C4161" s="0" t="n">
        <v>0.0883127212185778</v>
      </c>
      <c r="D4161" s="0" t="n">
        <f aca="false">A4161/SUM($A4161:$C4161)</f>
        <v>0.509485945427608</v>
      </c>
      <c r="E4161" s="0" t="n">
        <f aca="false">B4161/SUM($A4161:$C4161)</f>
        <v>0.370317034276611</v>
      </c>
      <c r="F4161" s="0" t="n">
        <f aca="false">C4161/SUM($A4161:$C4161)</f>
        <v>0.120197020295782</v>
      </c>
      <c r="G4161" s="0" t="n">
        <f aca="false">SUMPRODUCT(D4161:F4161,Stats!$B$6:$D$6)</f>
        <v>0.374476880712193</v>
      </c>
      <c r="H4161" s="0" t="n">
        <f aca="false">SQRT(SUMPRODUCT(MMULT(D4161:F4161,Stats!$B$12:$D$14),D4161:F4161))</f>
        <v>0.22523700408008</v>
      </c>
      <c r="I4161" s="0" t="n">
        <f aca="false">(G4161-Stats!$B$2)/H4161</f>
        <v>1.47612015205985</v>
      </c>
    </row>
    <row r="4162" customFormat="false" ht="15" hidden="false" customHeight="false" outlineLevel="0" collapsed="false">
      <c r="A4162" s="0" t="n">
        <v>0.830138902276654</v>
      </c>
      <c r="B4162" s="0" t="n">
        <v>0.853111389157036</v>
      </c>
      <c r="C4162" s="0" t="n">
        <v>0.21975030016688</v>
      </c>
      <c r="D4162" s="0" t="n">
        <f aca="false">A4162/SUM($A4162:$C4162)</f>
        <v>0.436226297532805</v>
      </c>
      <c r="E4162" s="0" t="n">
        <f aca="false">B4162/SUM($A4162:$C4162)</f>
        <v>0.448298015734984</v>
      </c>
      <c r="F4162" s="0" t="n">
        <f aca="false">C4162/SUM($A4162:$C4162)</f>
        <v>0.115475686732211</v>
      </c>
      <c r="G4162" s="0" t="n">
        <f aca="false">SUMPRODUCT(D4162:F4162,Stats!$B$6:$D$6)</f>
        <v>0.379093994413594</v>
      </c>
      <c r="H4162" s="0" t="n">
        <f aca="false">SQRT(SUMPRODUCT(MMULT(D4162:F4162,Stats!$B$12:$D$14),D4162:F4162))</f>
        <v>0.227076223203319</v>
      </c>
      <c r="I4162" s="0" t="n">
        <f aca="false">(G4162-Stats!$B$2)/H4162</f>
        <v>1.48449709819142</v>
      </c>
    </row>
    <row r="4163" customFormat="false" ht="15" hidden="false" customHeight="false" outlineLevel="0" collapsed="false">
      <c r="A4163" s="0" t="n">
        <v>0.0647721995252018</v>
      </c>
      <c r="B4163" s="0" t="n">
        <v>0.73882743735118</v>
      </c>
      <c r="C4163" s="0" t="n">
        <v>0.211528625863414</v>
      </c>
      <c r="D4163" s="0" t="n">
        <f aca="false">A4163/SUM($A4163:$C4163)</f>
        <v>0.0638069117988932</v>
      </c>
      <c r="E4163" s="0" t="n">
        <f aca="false">B4163/SUM($A4163:$C4163)</f>
        <v>0.727816833073991</v>
      </c>
      <c r="F4163" s="0" t="n">
        <f aca="false">C4163/SUM($A4163:$C4163)</f>
        <v>0.208376255127116</v>
      </c>
      <c r="G4163" s="0" t="n">
        <f aca="false">SUMPRODUCT(D4163:F4163,Stats!$B$6:$D$6)</f>
        <v>0.392615447947101</v>
      </c>
      <c r="H4163" s="0" t="n">
        <f aca="false">SQRT(SUMPRODUCT(MMULT(D4163:F4163,Stats!$B$12:$D$14),D4163:F4163))</f>
        <v>0.242169284351694</v>
      </c>
      <c r="I4163" s="0" t="n">
        <f aca="false">(G4163-Stats!$B$2)/H4163</f>
        <v>1.44781138898654</v>
      </c>
    </row>
    <row r="4164" customFormat="false" ht="15" hidden="false" customHeight="false" outlineLevel="0" collapsed="false">
      <c r="A4164" s="0" t="n">
        <v>0.39343548943686</v>
      </c>
      <c r="B4164" s="0" t="n">
        <v>0.0641352522373833</v>
      </c>
      <c r="C4164" s="0" t="n">
        <v>0.226269584758435</v>
      </c>
      <c r="D4164" s="0" t="n">
        <f aca="false">A4164/SUM($A4164:$C4164)</f>
        <v>0.575332390075993</v>
      </c>
      <c r="E4164" s="0" t="n">
        <f aca="false">B4164/SUM($A4164:$C4164)</f>
        <v>0.0937868823442326</v>
      </c>
      <c r="F4164" s="0" t="n">
        <f aca="false">C4164/SUM($A4164:$C4164)</f>
        <v>0.330880727579775</v>
      </c>
      <c r="G4164" s="0" t="n">
        <f aca="false">SUMPRODUCT(D4164:F4164,Stats!$B$6:$D$6)</f>
        <v>0.352756171480834</v>
      </c>
      <c r="H4164" s="0" t="n">
        <f aca="false">SQRT(SUMPRODUCT(MMULT(D4164:F4164,Stats!$B$12:$D$14),D4164:F4164))</f>
        <v>0.221402145558095</v>
      </c>
      <c r="I4164" s="0" t="n">
        <f aca="false">(G4164-Stats!$B$2)/H4164</f>
        <v>1.40358247521722</v>
      </c>
    </row>
    <row r="4165" customFormat="false" ht="15" hidden="false" customHeight="false" outlineLevel="0" collapsed="false">
      <c r="A4165" s="0" t="n">
        <v>0.792902278329636</v>
      </c>
      <c r="B4165" s="0" t="n">
        <v>0.804396446915202</v>
      </c>
      <c r="C4165" s="0" t="n">
        <v>0.20708482488771</v>
      </c>
      <c r="D4165" s="0" t="n">
        <f aca="false">A4165/SUM($A4165:$C4165)</f>
        <v>0.439431116666626</v>
      </c>
      <c r="E4165" s="0" t="n">
        <f aca="false">B4165/SUM($A4165:$C4165)</f>
        <v>0.445801252652803</v>
      </c>
      <c r="F4165" s="0" t="n">
        <f aca="false">C4165/SUM($A4165:$C4165)</f>
        <v>0.114767630680571</v>
      </c>
      <c r="G4165" s="0" t="n">
        <f aca="false">SUMPRODUCT(D4165:F4165,Stats!$B$6:$D$6)</f>
        <v>0.378969858270633</v>
      </c>
      <c r="H4165" s="0" t="n">
        <f aca="false">SQRT(SUMPRODUCT(MMULT(D4165:F4165,Stats!$B$12:$D$14),D4165:F4165))</f>
        <v>0.227009654410461</v>
      </c>
      <c r="I4165" s="0" t="n">
        <f aca="false">(G4165-Stats!$B$2)/H4165</f>
        <v>1.48438558327282</v>
      </c>
    </row>
    <row r="4166" customFormat="false" ht="15" hidden="false" customHeight="false" outlineLevel="0" collapsed="false">
      <c r="A4166" s="0" t="n">
        <v>0.33591384510669</v>
      </c>
      <c r="B4166" s="0" t="n">
        <v>0.134238419093744</v>
      </c>
      <c r="C4166" s="0" t="n">
        <v>0.0741726302849224</v>
      </c>
      <c r="D4166" s="0" t="n">
        <f aca="false">A4166/SUM($A4166:$C4166)</f>
        <v>0.617120121658751</v>
      </c>
      <c r="E4166" s="0" t="n">
        <f aca="false">B4166/SUM($A4166:$C4166)</f>
        <v>0.246614513599754</v>
      </c>
      <c r="F4166" s="0" t="n">
        <f aca="false">C4166/SUM($A4166:$C4166)</f>
        <v>0.136265364741494</v>
      </c>
      <c r="G4166" s="0" t="n">
        <f aca="false">SUMPRODUCT(D4166:F4166,Stats!$B$6:$D$6)</f>
        <v>0.366916119359606</v>
      </c>
      <c r="H4166" s="0" t="n">
        <f aca="false">SQRT(SUMPRODUCT(MMULT(D4166:F4166,Stats!$B$12:$D$14),D4166:F4166))</f>
        <v>0.223530434988607</v>
      </c>
      <c r="I4166" s="0" t="n">
        <f aca="false">(G4166-Stats!$B$2)/H4166</f>
        <v>1.45356545911149</v>
      </c>
    </row>
    <row r="4167" customFormat="false" ht="15" hidden="false" customHeight="false" outlineLevel="0" collapsed="false">
      <c r="A4167" s="0" t="n">
        <v>0.99217171444841</v>
      </c>
      <c r="B4167" s="0" t="n">
        <v>0.655593951244839</v>
      </c>
      <c r="C4167" s="0" t="n">
        <v>0.542096509198319</v>
      </c>
      <c r="D4167" s="0" t="n">
        <f aca="false">A4167/SUM($A4167:$C4167)</f>
        <v>0.453074958700329</v>
      </c>
      <c r="E4167" s="0" t="n">
        <f aca="false">B4167/SUM($A4167:$C4167)</f>
        <v>0.299376809537021</v>
      </c>
      <c r="F4167" s="0" t="n">
        <f aca="false">C4167/SUM($A4167:$C4167)</f>
        <v>0.24754823176265</v>
      </c>
      <c r="G4167" s="0" t="n">
        <f aca="false">SUMPRODUCT(D4167:F4167,Stats!$B$6:$D$6)</f>
        <v>0.366883411322465</v>
      </c>
      <c r="H4167" s="0" t="n">
        <f aca="false">SQRT(SUMPRODUCT(MMULT(D4167:F4167,Stats!$B$12:$D$14),D4167:F4167))</f>
        <v>0.223725411434401</v>
      </c>
      <c r="I4167" s="0" t="n">
        <f aca="false">(G4167-Stats!$B$2)/H4167</f>
        <v>1.45215248120227</v>
      </c>
    </row>
    <row r="4168" customFormat="false" ht="15" hidden="false" customHeight="false" outlineLevel="0" collapsed="false">
      <c r="A4168" s="0" t="n">
        <v>0.7654985004053</v>
      </c>
      <c r="B4168" s="0" t="n">
        <v>0.840077159687724</v>
      </c>
      <c r="C4168" s="0" t="n">
        <v>0.806714768044728</v>
      </c>
      <c r="D4168" s="0" t="n">
        <f aca="false">A4168/SUM($A4168:$C4168)</f>
        <v>0.317332644310267</v>
      </c>
      <c r="E4168" s="0" t="n">
        <f aca="false">B4168/SUM($A4168:$C4168)</f>
        <v>0.34824876386723</v>
      </c>
      <c r="F4168" s="0" t="n">
        <f aca="false">C4168/SUM($A4168:$C4168)</f>
        <v>0.334418591822502</v>
      </c>
      <c r="G4168" s="0" t="n">
        <f aca="false">SUMPRODUCT(D4168:F4168,Stats!$B$6:$D$6)</f>
        <v>0.36730002355434</v>
      </c>
      <c r="H4168" s="0" t="n">
        <f aca="false">SQRT(SUMPRODUCT(MMULT(D4168:F4168,Stats!$B$12:$D$14),D4168:F4168))</f>
        <v>0.226877135937136</v>
      </c>
      <c r="I4168" s="0" t="n">
        <f aca="false">(G4168-Stats!$B$2)/H4168</f>
        <v>1.43381580612193</v>
      </c>
    </row>
    <row r="4169" customFormat="false" ht="15" hidden="false" customHeight="false" outlineLevel="0" collapsed="false">
      <c r="A4169" s="0" t="n">
        <v>0.0165394492898766</v>
      </c>
      <c r="B4169" s="0" t="n">
        <v>0.186807898190499</v>
      </c>
      <c r="C4169" s="0" t="n">
        <v>0.654905302117831</v>
      </c>
      <c r="D4169" s="0" t="n">
        <f aca="false">A4169/SUM($A4169:$C4169)</f>
        <v>0.0192710727984581</v>
      </c>
      <c r="E4169" s="0" t="n">
        <f aca="false">B4169/SUM($A4169:$C4169)</f>
        <v>0.217660729947007</v>
      </c>
      <c r="F4169" s="0" t="n">
        <f aca="false">C4169/SUM($A4169:$C4169)</f>
        <v>0.763068197254535</v>
      </c>
      <c r="G4169" s="0" t="n">
        <f aca="false">SUMPRODUCT(D4169:F4169,Stats!$B$6:$D$6)</f>
        <v>0.347966309096873</v>
      </c>
      <c r="H4169" s="0" t="n">
        <f aca="false">SQRT(SUMPRODUCT(MMULT(D4169:F4169,Stats!$B$12:$D$14),D4169:F4169))</f>
        <v>0.247593231461599</v>
      </c>
      <c r="I4169" s="0" t="n">
        <f aca="false">(G4169-Stats!$B$2)/H4169</f>
        <v>1.23576200888322</v>
      </c>
    </row>
    <row r="4170" customFormat="false" ht="15" hidden="false" customHeight="false" outlineLevel="0" collapsed="false">
      <c r="A4170" s="0" t="n">
        <v>0.375759347803963</v>
      </c>
      <c r="B4170" s="0" t="n">
        <v>0.982482651061107</v>
      </c>
      <c r="C4170" s="0" t="n">
        <v>0.665404792638254</v>
      </c>
      <c r="D4170" s="0" t="n">
        <f aca="false">A4170/SUM($A4170:$C4170)</f>
        <v>0.185684255464769</v>
      </c>
      <c r="E4170" s="0" t="n">
        <f aca="false">B4170/SUM($A4170:$C4170)</f>
        <v>0.485501054426223</v>
      </c>
      <c r="F4170" s="0" t="n">
        <f aca="false">C4170/SUM($A4170:$C4170)</f>
        <v>0.328814690109008</v>
      </c>
      <c r="G4170" s="0" t="n">
        <f aca="false">SUMPRODUCT(D4170:F4170,Stats!$B$6:$D$6)</f>
        <v>0.375351868145316</v>
      </c>
      <c r="H4170" s="0" t="n">
        <f aca="false">SQRT(SUMPRODUCT(MMULT(D4170:F4170,Stats!$B$12:$D$14),D4170:F4170))</f>
        <v>0.232745247679415</v>
      </c>
      <c r="I4170" s="0" t="n">
        <f aca="false">(G4170-Stats!$B$2)/H4170</f>
        <v>1.43226068617512</v>
      </c>
    </row>
    <row r="4171" customFormat="false" ht="15" hidden="false" customHeight="false" outlineLevel="0" collapsed="false">
      <c r="A4171" s="0" t="n">
        <v>0.956548908729207</v>
      </c>
      <c r="B4171" s="0" t="n">
        <v>0.201446481645794</v>
      </c>
      <c r="C4171" s="0" t="n">
        <v>0.863957028115023</v>
      </c>
      <c r="D4171" s="0" t="n">
        <f aca="false">A4171/SUM($A4171:$C4171)</f>
        <v>0.473081809434244</v>
      </c>
      <c r="E4171" s="0" t="n">
        <f aca="false">B4171/SUM($A4171:$C4171)</f>
        <v>0.0996296845581719</v>
      </c>
      <c r="F4171" s="0" t="n">
        <f aca="false">C4171/SUM($A4171:$C4171)</f>
        <v>0.427288506007584</v>
      </c>
      <c r="G4171" s="0" t="n">
        <f aca="false">SUMPRODUCT(D4171:F4171,Stats!$B$6:$D$6)</f>
        <v>0.350433951348268</v>
      </c>
      <c r="H4171" s="0" t="n">
        <f aca="false">SQRT(SUMPRODUCT(MMULT(D4171:F4171,Stats!$B$12:$D$14),D4171:F4171))</f>
        <v>0.222897337517702</v>
      </c>
      <c r="I4171" s="0" t="n">
        <f aca="false">(G4171-Stats!$B$2)/H4171</f>
        <v>1.38374892577518</v>
      </c>
    </row>
    <row r="4172" customFormat="false" ht="15" hidden="false" customHeight="false" outlineLevel="0" collapsed="false">
      <c r="A4172" s="0" t="n">
        <v>0.321352305815225</v>
      </c>
      <c r="B4172" s="0" t="n">
        <v>0.989564808237807</v>
      </c>
      <c r="C4172" s="0" t="n">
        <v>0.157688672073147</v>
      </c>
      <c r="D4172" s="0" t="n">
        <f aca="false">A4172/SUM($A4172:$C4172)</f>
        <v>0.218814544277994</v>
      </c>
      <c r="E4172" s="0" t="n">
        <f aca="false">B4172/SUM($A4172:$C4172)</f>
        <v>0.673812412824571</v>
      </c>
      <c r="F4172" s="0" t="n">
        <f aca="false">C4172/SUM($A4172:$C4172)</f>
        <v>0.107373042897435</v>
      </c>
      <c r="G4172" s="0" t="n">
        <f aca="false">SUMPRODUCT(D4172:F4172,Stats!$B$6:$D$6)</f>
        <v>0.392293228231859</v>
      </c>
      <c r="H4172" s="0" t="n">
        <f aca="false">SQRT(SUMPRODUCT(MMULT(D4172:F4172,Stats!$B$12:$D$14),D4172:F4172))</f>
        <v>0.236081577036866</v>
      </c>
      <c r="I4172" s="0" t="n">
        <f aca="false">(G4172-Stats!$B$2)/H4172</f>
        <v>1.4837804483878</v>
      </c>
    </row>
    <row r="4173" customFormat="false" ht="15" hidden="false" customHeight="false" outlineLevel="0" collapsed="false">
      <c r="A4173" s="0" t="n">
        <v>0.516339818838327</v>
      </c>
      <c r="B4173" s="0" t="n">
        <v>0.792844533837122</v>
      </c>
      <c r="C4173" s="0" t="n">
        <v>0.432642480604036</v>
      </c>
      <c r="D4173" s="0" t="n">
        <f aca="false">A4173/SUM($A4173:$C4173)</f>
        <v>0.296435793141486</v>
      </c>
      <c r="E4173" s="0" t="n">
        <f aca="false">B4173/SUM($A4173:$C4173)</f>
        <v>0.45517988280406</v>
      </c>
      <c r="F4173" s="0" t="n">
        <f aca="false">C4173/SUM($A4173:$C4173)</f>
        <v>0.248384324054455</v>
      </c>
      <c r="G4173" s="0" t="n">
        <f aca="false">SUMPRODUCT(D4173:F4173,Stats!$B$6:$D$6)</f>
        <v>0.37582506358291</v>
      </c>
      <c r="H4173" s="0" t="n">
        <f aca="false">SQRT(SUMPRODUCT(MMULT(D4173:F4173,Stats!$B$12:$D$14),D4173:F4173))</f>
        <v>0.228716720006374</v>
      </c>
      <c r="I4173" s="0" t="n">
        <f aca="false">(G4173-Stats!$B$2)/H4173</f>
        <v>1.45955688580007</v>
      </c>
    </row>
    <row r="4174" customFormat="false" ht="15" hidden="false" customHeight="false" outlineLevel="0" collapsed="false">
      <c r="A4174" s="0" t="n">
        <v>0.468084060187647</v>
      </c>
      <c r="B4174" s="0" t="n">
        <v>0.986355795505741</v>
      </c>
      <c r="C4174" s="0" t="n">
        <v>0.425308150301153</v>
      </c>
      <c r="D4174" s="0" t="n">
        <f aca="false">A4174/SUM($A4174:$C4174)</f>
        <v>0.24901426079183</v>
      </c>
      <c r="E4174" s="0" t="n">
        <f aca="false">B4174/SUM($A4174:$C4174)</f>
        <v>0.524727672198741</v>
      </c>
      <c r="F4174" s="0" t="n">
        <f aca="false">C4174/SUM($A4174:$C4174)</f>
        <v>0.226258067009429</v>
      </c>
      <c r="G4174" s="0" t="n">
        <f aca="false">SUMPRODUCT(D4174:F4174,Stats!$B$6:$D$6)</f>
        <v>0.380436876398549</v>
      </c>
      <c r="H4174" s="0" t="n">
        <f aca="false">SQRT(SUMPRODUCT(MMULT(D4174:F4174,Stats!$B$12:$D$14),D4174:F4174))</f>
        <v>0.231226523873829</v>
      </c>
      <c r="I4174" s="0" t="n">
        <f aca="false">(G4174-Stats!$B$2)/H4174</f>
        <v>1.46365940519531</v>
      </c>
    </row>
    <row r="4175" customFormat="false" ht="15" hidden="false" customHeight="false" outlineLevel="0" collapsed="false">
      <c r="A4175" s="0" t="n">
        <v>0.604072100599064</v>
      </c>
      <c r="B4175" s="0" t="n">
        <v>0.0545396606751507</v>
      </c>
      <c r="C4175" s="0" t="n">
        <v>0.84221008021026</v>
      </c>
      <c r="D4175" s="0" t="n">
        <f aca="false">A4175/SUM($A4175:$C4175)</f>
        <v>0.402494209440323</v>
      </c>
      <c r="E4175" s="0" t="n">
        <f aca="false">B4175/SUM($A4175:$C4175)</f>
        <v>0.0363398633785907</v>
      </c>
      <c r="F4175" s="0" t="n">
        <f aca="false">C4175/SUM($A4175:$C4175)</f>
        <v>0.561165927181086</v>
      </c>
      <c r="G4175" s="0" t="n">
        <f aca="false">SUMPRODUCT(D4175:F4175,Stats!$B$6:$D$6)</f>
        <v>0.343100718555111</v>
      </c>
      <c r="H4175" s="0" t="n">
        <f aca="false">SQRT(SUMPRODUCT(MMULT(D4175:F4175,Stats!$B$12:$D$14),D4175:F4175))</f>
        <v>0.226366974319826</v>
      </c>
      <c r="I4175" s="0" t="n">
        <f aca="false">(G4175-Stats!$B$2)/H4175</f>
        <v>1.33014420261543</v>
      </c>
    </row>
    <row r="4176" customFormat="false" ht="15" hidden="false" customHeight="false" outlineLevel="0" collapsed="false">
      <c r="A4176" s="0" t="n">
        <v>0.648168048979544</v>
      </c>
      <c r="B4176" s="0" t="n">
        <v>0.404020102862814</v>
      </c>
      <c r="C4176" s="0" t="n">
        <v>0.0161695399545198</v>
      </c>
      <c r="D4176" s="0" t="n">
        <f aca="false">A4176/SUM($A4176:$C4176)</f>
        <v>0.606695729301472</v>
      </c>
      <c r="E4176" s="0" t="n">
        <f aca="false">B4176/SUM($A4176:$C4176)</f>
        <v>0.378169320972726</v>
      </c>
      <c r="F4176" s="0" t="n">
        <f aca="false">C4176/SUM($A4176:$C4176)</f>
        <v>0.0151349497258021</v>
      </c>
      <c r="G4176" s="0" t="n">
        <f aca="false">SUMPRODUCT(D4176:F4176,Stats!$B$6:$D$6)</f>
        <v>0.377825737312642</v>
      </c>
      <c r="H4176" s="0" t="n">
        <f aca="false">SQRT(SUMPRODUCT(MMULT(D4176:F4176,Stats!$B$12:$D$14),D4176:F4176))</f>
        <v>0.227362423491039</v>
      </c>
      <c r="I4176" s="0" t="n">
        <f aca="false">(G4176-Stats!$B$2)/H4176</f>
        <v>1.47705030653791</v>
      </c>
    </row>
    <row r="4177" customFormat="false" ht="15" hidden="false" customHeight="false" outlineLevel="0" collapsed="false">
      <c r="A4177" s="0" t="n">
        <v>0.591668820593504</v>
      </c>
      <c r="B4177" s="0" t="n">
        <v>0.0126578284841622</v>
      </c>
      <c r="C4177" s="0" t="n">
        <v>0.00120361390901791</v>
      </c>
      <c r="D4177" s="0" t="n">
        <f aca="false">A4177/SUM($A4177:$C4177)</f>
        <v>0.977108588553757</v>
      </c>
      <c r="E4177" s="0" t="n">
        <f aca="false">B4177/SUM($A4177:$C4177)</f>
        <v>0.0209037091255017</v>
      </c>
      <c r="F4177" s="0" t="n">
        <f aca="false">C4177/SUM($A4177:$C4177)</f>
        <v>0.00198770232074161</v>
      </c>
      <c r="G4177" s="0" t="n">
        <f aca="false">SUMPRODUCT(D4177:F4177,Stats!$B$6:$D$6)</f>
        <v>0.357631666697283</v>
      </c>
      <c r="H4177" s="0" t="n">
        <f aca="false">SQRT(SUMPRODUCT(MMULT(D4177:F4177,Stats!$B$12:$D$14),D4177:F4177))</f>
        <v>0.232567767095173</v>
      </c>
      <c r="I4177" s="0" t="n">
        <f aca="false">(G4177-Stats!$B$2)/H4177</f>
        <v>1.35715998239824</v>
      </c>
    </row>
    <row r="4178" customFormat="false" ht="15" hidden="false" customHeight="false" outlineLevel="0" collapsed="false">
      <c r="A4178" s="0" t="n">
        <v>0.616098562149355</v>
      </c>
      <c r="B4178" s="0" t="n">
        <v>0.189017067334554</v>
      </c>
      <c r="C4178" s="0" t="n">
        <v>0.191887549718095</v>
      </c>
      <c r="D4178" s="0" t="n">
        <f aca="false">A4178/SUM($A4178:$C4178)</f>
        <v>0.617950448906769</v>
      </c>
      <c r="E4178" s="0" t="n">
        <f aca="false">B4178/SUM($A4178:$C4178)</f>
        <v>0.189585220265639</v>
      </c>
      <c r="F4178" s="0" t="n">
        <f aca="false">C4178/SUM($A4178:$C4178)</f>
        <v>0.192464330827592</v>
      </c>
      <c r="G4178" s="0" t="n">
        <f aca="false">SUMPRODUCT(D4178:F4178,Stats!$B$6:$D$6)</f>
        <v>0.362085062758166</v>
      </c>
      <c r="H4178" s="0" t="n">
        <f aca="false">SQRT(SUMPRODUCT(MMULT(D4178:F4178,Stats!$B$12:$D$14),D4178:F4178))</f>
        <v>0.222394628022479</v>
      </c>
      <c r="I4178" s="0" t="n">
        <f aca="false">(G4178-Stats!$B$2)/H4178</f>
        <v>1.43926616215663</v>
      </c>
    </row>
    <row r="4179" customFormat="false" ht="15" hidden="false" customHeight="false" outlineLevel="0" collapsed="false">
      <c r="A4179" s="0" t="n">
        <v>0.653271565832744</v>
      </c>
      <c r="B4179" s="0" t="n">
        <v>0.0536971879393743</v>
      </c>
      <c r="C4179" s="0" t="n">
        <v>0.313405561474556</v>
      </c>
      <c r="D4179" s="0" t="n">
        <f aca="false">A4179/SUM($A4179:$C4179)</f>
        <v>0.640227371535529</v>
      </c>
      <c r="E4179" s="0" t="n">
        <f aca="false">B4179/SUM($A4179:$C4179)</f>
        <v>0.0526249898071896</v>
      </c>
      <c r="F4179" s="0" t="n">
        <f aca="false">C4179/SUM($A4179:$C4179)</f>
        <v>0.307147638657281</v>
      </c>
      <c r="G4179" s="0" t="n">
        <f aca="false">SUMPRODUCT(D4179:F4179,Stats!$B$6:$D$6)</f>
        <v>0.35104220025786</v>
      </c>
      <c r="H4179" s="0" t="n">
        <f aca="false">SQRT(SUMPRODUCT(MMULT(D4179:F4179,Stats!$B$12:$D$14),D4179:F4179))</f>
        <v>0.221317312077646</v>
      </c>
      <c r="I4179" s="0" t="n">
        <f aca="false">(G4179-Stats!$B$2)/H4179</f>
        <v>1.39637607811465</v>
      </c>
    </row>
    <row r="4180" customFormat="false" ht="15" hidden="false" customHeight="false" outlineLevel="0" collapsed="false">
      <c r="A4180" s="0" t="n">
        <v>0.149431902142019</v>
      </c>
      <c r="B4180" s="0" t="n">
        <v>0.580176369796534</v>
      </c>
      <c r="C4180" s="0" t="n">
        <v>0.661765154727396</v>
      </c>
      <c r="D4180" s="0" t="n">
        <f aca="false">A4180/SUM($A4180:$C4180)</f>
        <v>0.107398847267115</v>
      </c>
      <c r="E4180" s="0" t="n">
        <f aca="false">B4180/SUM($A4180:$C4180)</f>
        <v>0.416981062507978</v>
      </c>
      <c r="F4180" s="0" t="n">
        <f aca="false">C4180/SUM($A4180:$C4180)</f>
        <v>0.475620090224907</v>
      </c>
      <c r="G4180" s="0" t="n">
        <f aca="false">SUMPRODUCT(D4180:F4180,Stats!$B$6:$D$6)</f>
        <v>0.36736121405016</v>
      </c>
      <c r="H4180" s="0" t="n">
        <f aca="false">SQRT(SUMPRODUCT(MMULT(D4180:F4180,Stats!$B$12:$D$14),D4180:F4180))</f>
        <v>0.236628904943105</v>
      </c>
      <c r="I4180" s="0" t="n">
        <f aca="false">(G4180-Stats!$B$2)/H4180</f>
        <v>1.37498508108462</v>
      </c>
    </row>
    <row r="4181" customFormat="false" ht="15" hidden="false" customHeight="false" outlineLevel="0" collapsed="false">
      <c r="A4181" s="0" t="n">
        <v>0.721135853599044</v>
      </c>
      <c r="B4181" s="0" t="n">
        <v>0.255231216918565</v>
      </c>
      <c r="C4181" s="0" t="n">
        <v>0.089249751636584</v>
      </c>
      <c r="D4181" s="0" t="n">
        <f aca="false">A4181/SUM($A4181:$C4181)</f>
        <v>0.676730921102798</v>
      </c>
      <c r="E4181" s="0" t="n">
        <f aca="false">B4181/SUM($A4181:$C4181)</f>
        <v>0.239515003528758</v>
      </c>
      <c r="F4181" s="0" t="n">
        <f aca="false">C4181/SUM($A4181:$C4181)</f>
        <v>0.0837540753684439</v>
      </c>
      <c r="G4181" s="0" t="n">
        <f aca="false">SUMPRODUCT(D4181:F4181,Stats!$B$6:$D$6)</f>
        <v>0.367955601346395</v>
      </c>
      <c r="H4181" s="0" t="n">
        <f aca="false">SQRT(SUMPRODUCT(MMULT(D4181:F4181,Stats!$B$12:$D$14),D4181:F4181))</f>
        <v>0.224769910229726</v>
      </c>
      <c r="I4181" s="0" t="n">
        <f aca="false">(G4181-Stats!$B$2)/H4181</f>
        <v>1.45017454077039</v>
      </c>
    </row>
    <row r="4182" customFormat="false" ht="15" hidden="false" customHeight="false" outlineLevel="0" collapsed="false">
      <c r="A4182" s="0" t="n">
        <v>0.0786836569418978</v>
      </c>
      <c r="B4182" s="0" t="n">
        <v>0.426151548450724</v>
      </c>
      <c r="C4182" s="0" t="n">
        <v>0.945844409062715</v>
      </c>
      <c r="D4182" s="0" t="n">
        <f aca="false">A4182/SUM($A4182:$C4182)</f>
        <v>0.0542391691162214</v>
      </c>
      <c r="E4182" s="0" t="n">
        <f aca="false">B4182/SUM($A4182:$C4182)</f>
        <v>0.293759934450257</v>
      </c>
      <c r="F4182" s="0" t="n">
        <f aca="false">C4182/SUM($A4182:$C4182)</f>
        <v>0.652000896433522</v>
      </c>
      <c r="G4182" s="0" t="n">
        <f aca="false">SUMPRODUCT(D4182:F4182,Stats!$B$6:$D$6)</f>
        <v>0.355407596932127</v>
      </c>
      <c r="H4182" s="0" t="n">
        <f aca="false">SQRT(SUMPRODUCT(MMULT(D4182:F4182,Stats!$B$12:$D$14),D4182:F4182))</f>
        <v>0.242276304598145</v>
      </c>
      <c r="I4182" s="0" t="n">
        <f aca="false">(G4182-Stats!$B$2)/H4182</f>
        <v>1.29359574578275</v>
      </c>
    </row>
    <row r="4183" customFormat="false" ht="15" hidden="false" customHeight="false" outlineLevel="0" collapsed="false">
      <c r="A4183" s="0" t="n">
        <v>0.217729034247025</v>
      </c>
      <c r="B4183" s="0" t="n">
        <v>0.256741601341549</v>
      </c>
      <c r="C4183" s="0" t="n">
        <v>0.100888802105859</v>
      </c>
      <c r="D4183" s="0" t="n">
        <f aca="false">A4183/SUM($A4183:$C4183)</f>
        <v>0.378422634587352</v>
      </c>
      <c r="E4183" s="0" t="n">
        <f aca="false">B4183/SUM($A4183:$C4183)</f>
        <v>0.446228191494274</v>
      </c>
      <c r="F4183" s="0" t="n">
        <f aca="false">C4183/SUM($A4183:$C4183)</f>
        <v>0.175349173918374</v>
      </c>
      <c r="G4183" s="0" t="n">
        <f aca="false">SUMPRODUCT(D4183:F4183,Stats!$B$6:$D$6)</f>
        <v>0.3773239110251</v>
      </c>
      <c r="H4183" s="0" t="n">
        <f aca="false">SQRT(SUMPRODUCT(MMULT(D4183:F4183,Stats!$B$12:$D$14),D4183:F4183))</f>
        <v>0.227196979702379</v>
      </c>
      <c r="I4183" s="0" t="n">
        <f aca="false">(G4183-Stats!$B$2)/H4183</f>
        <v>1.47591711590693</v>
      </c>
    </row>
    <row r="4184" customFormat="false" ht="15" hidden="false" customHeight="false" outlineLevel="0" collapsed="false">
      <c r="A4184" s="0" t="n">
        <v>0.60557027389393</v>
      </c>
      <c r="B4184" s="0" t="n">
        <v>0.679872873947175</v>
      </c>
      <c r="C4184" s="0" t="n">
        <v>0.64293120816076</v>
      </c>
      <c r="D4184" s="0" t="n">
        <f aca="false">A4184/SUM($A4184:$C4184)</f>
        <v>0.314031490830168</v>
      </c>
      <c r="E4184" s="0" t="n">
        <f aca="false">B4184/SUM($A4184:$C4184)</f>
        <v>0.352562702273623</v>
      </c>
      <c r="F4184" s="0" t="n">
        <f aca="false">C4184/SUM($A4184:$C4184)</f>
        <v>0.333405806896209</v>
      </c>
      <c r="G4184" s="0" t="n">
        <f aca="false">SUMPRODUCT(D4184:F4184,Stats!$B$6:$D$6)</f>
        <v>0.367576169141627</v>
      </c>
      <c r="H4184" s="0" t="n">
        <f aca="false">SQRT(SUMPRODUCT(MMULT(D4184:F4184,Stats!$B$12:$D$14),D4184:F4184))</f>
        <v>0.227005579725359</v>
      </c>
      <c r="I4184" s="0" t="n">
        <f aca="false">(G4184-Stats!$B$2)/H4184</f>
        <v>1.43422099816014</v>
      </c>
    </row>
    <row r="4185" customFormat="false" ht="15" hidden="false" customHeight="false" outlineLevel="0" collapsed="false">
      <c r="A4185" s="0" t="n">
        <v>0.861130243044781</v>
      </c>
      <c r="B4185" s="0" t="n">
        <v>0.486425835026072</v>
      </c>
      <c r="C4185" s="0" t="n">
        <v>0.134457040767064</v>
      </c>
      <c r="D4185" s="0" t="n">
        <f aca="false">A4185/SUM($A4185:$C4185)</f>
        <v>0.581054399653368</v>
      </c>
      <c r="E4185" s="0" t="n">
        <f aca="false">B4185/SUM($A4185:$C4185)</f>
        <v>0.328219655307431</v>
      </c>
      <c r="F4185" s="0" t="n">
        <f aca="false">C4185/SUM($A4185:$C4185)</f>
        <v>0.0907259450392015</v>
      </c>
      <c r="G4185" s="0" t="n">
        <f aca="false">SUMPRODUCT(D4185:F4185,Stats!$B$6:$D$6)</f>
        <v>0.372867305576906</v>
      </c>
      <c r="H4185" s="0" t="n">
        <f aca="false">SQRT(SUMPRODUCT(MMULT(D4185:F4185,Stats!$B$12:$D$14),D4185:F4185))</f>
        <v>0.225038066408525</v>
      </c>
      <c r="I4185" s="0" t="n">
        <f aca="false">(G4185-Stats!$B$2)/H4185</f>
        <v>1.47027261146238</v>
      </c>
    </row>
    <row r="4186" customFormat="false" ht="15" hidden="false" customHeight="false" outlineLevel="0" collapsed="false">
      <c r="A4186" s="0" t="n">
        <v>0.289405130704413</v>
      </c>
      <c r="B4186" s="0" t="n">
        <v>0.662429973421352</v>
      </c>
      <c r="C4186" s="0" t="n">
        <v>0.61312197374156</v>
      </c>
      <c r="D4186" s="0" t="n">
        <f aca="false">A4186/SUM($A4186:$C4186)</f>
        <v>0.184928478101652</v>
      </c>
      <c r="E4186" s="0" t="n">
        <f aca="false">B4186/SUM($A4186:$C4186)</f>
        <v>0.423289547547266</v>
      </c>
      <c r="F4186" s="0" t="n">
        <f aca="false">C4186/SUM($A4186:$C4186)</f>
        <v>0.391781974351082</v>
      </c>
      <c r="G4186" s="0" t="n">
        <f aca="false">SUMPRODUCT(D4186:F4186,Stats!$B$6:$D$6)</f>
        <v>0.370035999913794</v>
      </c>
      <c r="H4186" s="0" t="n">
        <f aca="false">SQRT(SUMPRODUCT(MMULT(D4186:F4186,Stats!$B$12:$D$14),D4186:F4186))</f>
        <v>0.232379787349031</v>
      </c>
      <c r="I4186" s="0" t="n">
        <f aca="false">(G4186-Stats!$B$2)/H4186</f>
        <v>1.41163740468137</v>
      </c>
    </row>
    <row r="4187" customFormat="false" ht="15" hidden="false" customHeight="false" outlineLevel="0" collapsed="false">
      <c r="A4187" s="0" t="n">
        <v>0.531003129742963</v>
      </c>
      <c r="B4187" s="0" t="n">
        <v>0.682964418688687</v>
      </c>
      <c r="C4187" s="0" t="n">
        <v>0.637390850373299</v>
      </c>
      <c r="D4187" s="0" t="n">
        <f aca="false">A4187/SUM($A4187:$C4187)</f>
        <v>0.286818116949006</v>
      </c>
      <c r="E4187" s="0" t="n">
        <f aca="false">B4187/SUM($A4187:$C4187)</f>
        <v>0.368899084655646</v>
      </c>
      <c r="F4187" s="0" t="n">
        <f aca="false">C4187/SUM($A4187:$C4187)</f>
        <v>0.344282798395349</v>
      </c>
      <c r="G4187" s="0" t="n">
        <f aca="false">SUMPRODUCT(D4187:F4187,Stats!$B$6:$D$6)</f>
        <v>0.368216214583045</v>
      </c>
      <c r="H4187" s="0" t="n">
        <f aca="false">SQRT(SUMPRODUCT(MMULT(D4187:F4187,Stats!$B$12:$D$14),D4187:F4187))</f>
        <v>0.227985782178267</v>
      </c>
      <c r="I4187" s="0" t="n">
        <f aca="false">(G4187-Stats!$B$2)/H4187</f>
        <v>1.43086209791789</v>
      </c>
    </row>
    <row r="4188" customFormat="false" ht="15" hidden="false" customHeight="false" outlineLevel="0" collapsed="false">
      <c r="A4188" s="0" t="n">
        <v>0.881324889464952</v>
      </c>
      <c r="B4188" s="0" t="n">
        <v>0.586016377478297</v>
      </c>
      <c r="C4188" s="0" t="n">
        <v>0.778601358700557</v>
      </c>
      <c r="D4188" s="0" t="n">
        <f aca="false">A4188/SUM($A4188:$C4188)</f>
        <v>0.392407570612948</v>
      </c>
      <c r="E4188" s="0" t="n">
        <f aca="false">B4188/SUM($A4188:$C4188)</f>
        <v>0.260922238523486</v>
      </c>
      <c r="F4188" s="0" t="n">
        <f aca="false">C4188/SUM($A4188:$C4188)</f>
        <v>0.346670190863566</v>
      </c>
      <c r="G4188" s="0" t="n">
        <f aca="false">SUMPRODUCT(D4188:F4188,Stats!$B$6:$D$6)</f>
        <v>0.361937535179226</v>
      </c>
      <c r="H4188" s="0" t="n">
        <f aca="false">SQRT(SUMPRODUCT(MMULT(D4188:F4188,Stats!$B$12:$D$14),D4188:F4188))</f>
        <v>0.224405527859596</v>
      </c>
      <c r="I4188" s="0" t="n">
        <f aca="false">(G4188-Stats!$B$2)/H4188</f>
        <v>1.42571147079497</v>
      </c>
    </row>
    <row r="4189" customFormat="false" ht="15" hidden="false" customHeight="false" outlineLevel="0" collapsed="false">
      <c r="A4189" s="0" t="n">
        <v>0.248707155966468</v>
      </c>
      <c r="B4189" s="0" t="n">
        <v>0.678182584589068</v>
      </c>
      <c r="C4189" s="0" t="n">
        <v>0.902194118382676</v>
      </c>
      <c r="D4189" s="0" t="n">
        <f aca="false">A4189/SUM($A4189:$C4189)</f>
        <v>0.135973621302876</v>
      </c>
      <c r="E4189" s="0" t="n">
        <f aca="false">B4189/SUM($A4189:$C4189)</f>
        <v>0.370777196067301</v>
      </c>
      <c r="F4189" s="0" t="n">
        <f aca="false">C4189/SUM($A4189:$C4189)</f>
        <v>0.493249182629823</v>
      </c>
      <c r="G4189" s="0" t="n">
        <f aca="false">SUMPRODUCT(D4189:F4189,Stats!$B$6:$D$6)</f>
        <v>0.364216587933098</v>
      </c>
      <c r="H4189" s="0" t="n">
        <f aca="false">SQRT(SUMPRODUCT(MMULT(D4189:F4189,Stats!$B$12:$D$14),D4189:F4189))</f>
        <v>0.235187682157831</v>
      </c>
      <c r="I4189" s="0" t="n">
        <f aca="false">(G4189-Stats!$B$2)/H4189</f>
        <v>1.37004023755319</v>
      </c>
    </row>
    <row r="4190" customFormat="false" ht="15" hidden="false" customHeight="false" outlineLevel="0" collapsed="false">
      <c r="A4190" s="0" t="n">
        <v>0.385732327899833</v>
      </c>
      <c r="B4190" s="0" t="n">
        <v>0.779104187338647</v>
      </c>
      <c r="C4190" s="0" t="n">
        <v>0.724789301195435</v>
      </c>
      <c r="D4190" s="0" t="n">
        <f aca="false">A4190/SUM($A4190:$C4190)</f>
        <v>0.204131592903289</v>
      </c>
      <c r="E4190" s="0" t="n">
        <f aca="false">B4190/SUM($A4190:$C4190)</f>
        <v>0.412306066398354</v>
      </c>
      <c r="F4190" s="0" t="n">
        <f aca="false">C4190/SUM($A4190:$C4190)</f>
        <v>0.383562340698357</v>
      </c>
      <c r="G4190" s="0" t="n">
        <f aca="false">SUMPRODUCT(D4190:F4190,Stats!$B$6:$D$6)</f>
        <v>0.369630677860664</v>
      </c>
      <c r="H4190" s="0" t="n">
        <f aca="false">SQRT(SUMPRODUCT(MMULT(D4190:F4190,Stats!$B$12:$D$14),D4190:F4190))</f>
        <v>0.231458199907201</v>
      </c>
      <c r="I4190" s="0" t="n">
        <f aca="false">(G4190-Stats!$B$2)/H4190</f>
        <v>1.415506894947</v>
      </c>
    </row>
    <row r="4191" customFormat="false" ht="15" hidden="false" customHeight="false" outlineLevel="0" collapsed="false">
      <c r="A4191" s="0" t="n">
        <v>0.0595261968718225</v>
      </c>
      <c r="B4191" s="0" t="n">
        <v>0.581508309624072</v>
      </c>
      <c r="C4191" s="0" t="n">
        <v>0.130189349200802</v>
      </c>
      <c r="D4191" s="0" t="n">
        <f aca="false">A4191/SUM($A4191:$C4191)</f>
        <v>0.0771840710477616</v>
      </c>
      <c r="E4191" s="0" t="n">
        <f aca="false">B4191/SUM($A4191:$C4191)</f>
        <v>0.754007160604177</v>
      </c>
      <c r="F4191" s="0" t="n">
        <f aca="false">C4191/SUM($A4191:$C4191)</f>
        <v>0.168808768348061</v>
      </c>
      <c r="G4191" s="0" t="n">
        <f aca="false">SUMPRODUCT(D4191:F4191,Stats!$B$6:$D$6)</f>
        <v>0.395213463725188</v>
      </c>
      <c r="H4191" s="0" t="n">
        <f aca="false">SQRT(SUMPRODUCT(MMULT(D4191:F4191,Stats!$B$12:$D$14),D4191:F4191))</f>
        <v>0.242417143296275</v>
      </c>
      <c r="I4191" s="0" t="n">
        <f aca="false">(G4191-Stats!$B$2)/H4191</f>
        <v>1.45704820592453</v>
      </c>
    </row>
    <row r="4192" customFormat="false" ht="15" hidden="false" customHeight="false" outlineLevel="0" collapsed="false">
      <c r="A4192" s="0" t="n">
        <v>0.967319172230591</v>
      </c>
      <c r="B4192" s="0" t="n">
        <v>0.811407502700656</v>
      </c>
      <c r="C4192" s="0" t="n">
        <v>0.10972380124712</v>
      </c>
      <c r="D4192" s="0" t="n">
        <f aca="false">A4192/SUM($A4192:$C4192)</f>
        <v>0.512229038798064</v>
      </c>
      <c r="E4192" s="0" t="n">
        <f aca="false">B4192/SUM($A4192:$C4192)</f>
        <v>0.429668404300806</v>
      </c>
      <c r="F4192" s="0" t="n">
        <f aca="false">C4192/SUM($A4192:$C4192)</f>
        <v>0.0581025569011302</v>
      </c>
      <c r="G4192" s="0" t="n">
        <f aca="false">SUMPRODUCT(D4192:F4192,Stats!$B$6:$D$6)</f>
        <v>0.379604112671731</v>
      </c>
      <c r="H4192" s="0" t="n">
        <f aca="false">SQRT(SUMPRODUCT(MMULT(D4192:F4192,Stats!$B$12:$D$14),D4192:F4192))</f>
        <v>0.227157709525764</v>
      </c>
      <c r="I4192" s="0" t="n">
        <f aca="false">(G4192-Stats!$B$2)/H4192</f>
        <v>1.48621023418728</v>
      </c>
    </row>
    <row r="4193" customFormat="false" ht="15" hidden="false" customHeight="false" outlineLevel="0" collapsed="false">
      <c r="A4193" s="0" t="n">
        <v>0.121751997647678</v>
      </c>
      <c r="B4193" s="0" t="n">
        <v>0.594473854912619</v>
      </c>
      <c r="C4193" s="0" t="n">
        <v>0.344889174173183</v>
      </c>
      <c r="D4193" s="0" t="n">
        <f aca="false">A4193/SUM($A4193:$C4193)</f>
        <v>0.114739679092546</v>
      </c>
      <c r="E4193" s="0" t="n">
        <f aca="false">B4193/SUM($A4193:$C4193)</f>
        <v>0.560235073423319</v>
      </c>
      <c r="F4193" s="0" t="n">
        <f aca="false">C4193/SUM($A4193:$C4193)</f>
        <v>0.325025247484134</v>
      </c>
      <c r="G4193" s="0" t="n">
        <f aca="false">SUMPRODUCT(D4193:F4193,Stats!$B$6:$D$6)</f>
        <v>0.379756459294946</v>
      </c>
      <c r="H4193" s="0" t="n">
        <f aca="false">SQRT(SUMPRODUCT(MMULT(D4193:F4193,Stats!$B$12:$D$14),D4193:F4193))</f>
        <v>0.236713874368254</v>
      </c>
      <c r="I4193" s="0" t="n">
        <f aca="false">(G4193-Stats!$B$2)/H4193</f>
        <v>1.4268553552104</v>
      </c>
    </row>
    <row r="4194" customFormat="false" ht="15" hidden="false" customHeight="false" outlineLevel="0" collapsed="false">
      <c r="A4194" s="0" t="n">
        <v>0.0349058590731093</v>
      </c>
      <c r="B4194" s="0" t="n">
        <v>0.541641507833053</v>
      </c>
      <c r="C4194" s="0" t="n">
        <v>0.387845099685847</v>
      </c>
      <c r="D4194" s="0" t="n">
        <f aca="false">A4194/SUM($A4194:$C4194)</f>
        <v>0.036194661698738</v>
      </c>
      <c r="E4194" s="0" t="n">
        <f aca="false">B4194/SUM($A4194:$C4194)</f>
        <v>0.561640127433925</v>
      </c>
      <c r="F4194" s="0" t="n">
        <f aca="false">C4194/SUM($A4194:$C4194)</f>
        <v>0.402165210867337</v>
      </c>
      <c r="G4194" s="0" t="n">
        <f aca="false">SUMPRODUCT(D4194:F4194,Stats!$B$6:$D$6)</f>
        <v>0.377710199463488</v>
      </c>
      <c r="H4194" s="0" t="n">
        <f aca="false">SQRT(SUMPRODUCT(MMULT(D4194:F4194,Stats!$B$12:$D$14),D4194:F4194))</f>
        <v>0.240944332311353</v>
      </c>
      <c r="I4194" s="0" t="n">
        <f aca="false">(G4194-Stats!$B$2)/H4194</f>
        <v>1.39331021503206</v>
      </c>
    </row>
    <row r="4195" customFormat="false" ht="15" hidden="false" customHeight="false" outlineLevel="0" collapsed="false">
      <c r="A4195" s="0" t="n">
        <v>0.101076492371743</v>
      </c>
      <c r="B4195" s="0" t="n">
        <v>0.801920392255983</v>
      </c>
      <c r="C4195" s="0" t="n">
        <v>0.915076765278806</v>
      </c>
      <c r="D4195" s="0" t="n">
        <f aca="false">A4195/SUM($A4195:$C4195)</f>
        <v>0.055595378315361</v>
      </c>
      <c r="E4195" s="0" t="n">
        <f aca="false">B4195/SUM($A4195:$C4195)</f>
        <v>0.44108245686153</v>
      </c>
      <c r="F4195" s="0" t="n">
        <f aca="false">C4195/SUM($A4195:$C4195)</f>
        <v>0.503322164823109</v>
      </c>
      <c r="G4195" s="0" t="n">
        <f aca="false">SUMPRODUCT(D4195:F4195,Stats!$B$6:$D$6)</f>
        <v>0.367984103035172</v>
      </c>
      <c r="H4195" s="0" t="n">
        <f aca="false">SQRT(SUMPRODUCT(MMULT(D4195:F4195,Stats!$B$12:$D$14),D4195:F4195))</f>
        <v>0.239842504855651</v>
      </c>
      <c r="I4195" s="0" t="n">
        <f aca="false">(G4195-Stats!$B$2)/H4195</f>
        <v>1.35915901658618</v>
      </c>
    </row>
    <row r="4196" customFormat="false" ht="15" hidden="false" customHeight="false" outlineLevel="0" collapsed="false">
      <c r="A4196" s="0" t="n">
        <v>0.75659393401413</v>
      </c>
      <c r="B4196" s="0" t="n">
        <v>0.822422310016277</v>
      </c>
      <c r="C4196" s="0" t="n">
        <v>0.216490567266117</v>
      </c>
      <c r="D4196" s="0" t="n">
        <f aca="false">A4196/SUM($A4196:$C4196)</f>
        <v>0.421381823368188</v>
      </c>
      <c r="E4196" s="0" t="n">
        <f aca="false">B4196/SUM($A4196:$C4196)</f>
        <v>0.458044661731142</v>
      </c>
      <c r="F4196" s="0" t="n">
        <f aca="false">C4196/SUM($A4196:$C4196)</f>
        <v>0.120573514900671</v>
      </c>
      <c r="G4196" s="0" t="n">
        <f aca="false">SUMPRODUCT(D4196:F4196,Stats!$B$6:$D$6)</f>
        <v>0.379514233158358</v>
      </c>
      <c r="H4196" s="0" t="n">
        <f aca="false">SQRT(SUMPRODUCT(MMULT(D4196:F4196,Stats!$B$12:$D$14),D4196:F4196))</f>
        <v>0.227345170944605</v>
      </c>
      <c r="I4196" s="0" t="n">
        <f aca="false">(G4196-Stats!$B$2)/H4196</f>
        <v>1.48458940982123</v>
      </c>
    </row>
    <row r="4197" customFormat="false" ht="15" hidden="false" customHeight="false" outlineLevel="0" collapsed="false">
      <c r="A4197" s="0" t="n">
        <v>0.263572950918601</v>
      </c>
      <c r="B4197" s="0" t="n">
        <v>0.208527540299188</v>
      </c>
      <c r="C4197" s="0" t="n">
        <v>0.765063431365564</v>
      </c>
      <c r="D4197" s="0" t="n">
        <f aca="false">A4197/SUM($A4197:$C4197)</f>
        <v>0.213046101739071</v>
      </c>
      <c r="E4197" s="0" t="n">
        <f aca="false">B4197/SUM($A4197:$C4197)</f>
        <v>0.168552878476893</v>
      </c>
      <c r="F4197" s="0" t="n">
        <f aca="false">C4197/SUM($A4197:$C4197)</f>
        <v>0.618401019784037</v>
      </c>
      <c r="G4197" s="0" t="n">
        <f aca="false">SUMPRODUCT(D4197:F4197,Stats!$B$6:$D$6)</f>
        <v>0.349129848659158</v>
      </c>
      <c r="H4197" s="0" t="n">
        <f aca="false">SQRT(SUMPRODUCT(MMULT(D4197:F4197,Stats!$B$12:$D$14),D4197:F4197))</f>
        <v>0.233639741091643</v>
      </c>
      <c r="I4197" s="0" t="n">
        <f aca="false">(G4197-Stats!$B$2)/H4197</f>
        <v>1.31454455147119</v>
      </c>
    </row>
    <row r="4198" customFormat="false" ht="15" hidden="false" customHeight="false" outlineLevel="0" collapsed="false">
      <c r="A4198" s="0" t="n">
        <v>0.947917078934497</v>
      </c>
      <c r="B4198" s="0" t="n">
        <v>0.716837206733903</v>
      </c>
      <c r="C4198" s="0" t="n">
        <v>0.881466764879556</v>
      </c>
      <c r="D4198" s="0" t="n">
        <f aca="false">A4198/SUM($A4198:$C4198)</f>
        <v>0.372283890564216</v>
      </c>
      <c r="E4198" s="0" t="n">
        <f aca="false">B4198/SUM($A4198:$C4198)</f>
        <v>0.281529840694561</v>
      </c>
      <c r="F4198" s="0" t="n">
        <f aca="false">C4198/SUM($A4198:$C4198)</f>
        <v>0.346186268741224</v>
      </c>
      <c r="G4198" s="0" t="n">
        <f aca="false">SUMPRODUCT(D4198:F4198,Stats!$B$6:$D$6)</f>
        <v>0.36313661390265</v>
      </c>
      <c r="H4198" s="0" t="n">
        <f aca="false">SQRT(SUMPRODUCT(MMULT(D4198:F4198,Stats!$B$12:$D$14),D4198:F4198))</f>
        <v>0.224985628055566</v>
      </c>
      <c r="I4198" s="0" t="n">
        <f aca="false">(G4198-Stats!$B$2)/H4198</f>
        <v>1.42736501294801</v>
      </c>
    </row>
    <row r="4199" customFormat="false" ht="15" hidden="false" customHeight="false" outlineLevel="0" collapsed="false">
      <c r="A4199" s="0" t="n">
        <v>0.638699094883173</v>
      </c>
      <c r="B4199" s="0" t="n">
        <v>0.387659900558799</v>
      </c>
      <c r="C4199" s="0" t="n">
        <v>0.425761614930305</v>
      </c>
      <c r="D4199" s="0" t="n">
        <f aca="false">A4199/SUM($A4199:$C4199)</f>
        <v>0.439838874485385</v>
      </c>
      <c r="E4199" s="0" t="n">
        <f aca="false">B4199/SUM($A4199:$C4199)</f>
        <v>0.266961227455766</v>
      </c>
      <c r="F4199" s="0" t="n">
        <f aca="false">C4199/SUM($A4199:$C4199)</f>
        <v>0.293199898058849</v>
      </c>
      <c r="G4199" s="0" t="n">
        <f aca="false">SUMPRODUCT(D4199:F4199,Stats!$B$6:$D$6)</f>
        <v>0.363759433544613</v>
      </c>
      <c r="H4199" s="0" t="n">
        <f aca="false">SQRT(SUMPRODUCT(MMULT(D4199:F4199,Stats!$B$12:$D$14),D4199:F4199))</f>
        <v>0.223515370411502</v>
      </c>
      <c r="I4199" s="0" t="n">
        <f aca="false">(G4199-Stats!$B$2)/H4199</f>
        <v>1.43954052444912</v>
      </c>
    </row>
    <row r="4200" customFormat="false" ht="15" hidden="false" customHeight="false" outlineLevel="0" collapsed="false">
      <c r="A4200" s="0" t="n">
        <v>0.0753214321674048</v>
      </c>
      <c r="B4200" s="0" t="n">
        <v>0.0314571952460261</v>
      </c>
      <c r="C4200" s="0" t="n">
        <v>0.695475604189077</v>
      </c>
      <c r="D4200" s="0" t="n">
        <f aca="false">A4200/SUM($A4200:$C4200)</f>
        <v>0.0938872357419041</v>
      </c>
      <c r="E4200" s="0" t="n">
        <f aca="false">B4200/SUM($A4200:$C4200)</f>
        <v>0.0392110056972715</v>
      </c>
      <c r="F4200" s="0" t="n">
        <f aca="false">C4200/SUM($A4200:$C4200)</f>
        <v>0.866901758560824</v>
      </c>
      <c r="G4200" s="0" t="n">
        <f aca="false">SUMPRODUCT(D4200:F4200,Stats!$B$6:$D$6)</f>
        <v>0.334835372409968</v>
      </c>
      <c r="H4200" s="0" t="n">
        <f aca="false">SQRT(SUMPRODUCT(MMULT(D4200:F4200,Stats!$B$12:$D$14),D4200:F4200))</f>
        <v>0.248105183343209</v>
      </c>
      <c r="I4200" s="0" t="n">
        <f aca="false">(G4200-Stats!$B$2)/H4200</f>
        <v>1.18028720103313</v>
      </c>
    </row>
    <row r="4201" customFormat="false" ht="15" hidden="false" customHeight="false" outlineLevel="0" collapsed="false">
      <c r="A4201" s="0" t="n">
        <v>0.438428892011181</v>
      </c>
      <c r="B4201" s="0" t="n">
        <v>0.55221506805463</v>
      </c>
      <c r="C4201" s="0" t="n">
        <v>0.557661247622416</v>
      </c>
      <c r="D4201" s="0" t="n">
        <f aca="false">A4201/SUM($A4201:$C4201)</f>
        <v>0.283166968524118</v>
      </c>
      <c r="E4201" s="0" t="n">
        <f aca="false">B4201/SUM($A4201:$C4201)</f>
        <v>0.356657760571084</v>
      </c>
      <c r="F4201" s="0" t="n">
        <f aca="false">C4201/SUM($A4201:$C4201)</f>
        <v>0.360175270904798</v>
      </c>
      <c r="G4201" s="0" t="n">
        <f aca="false">SUMPRODUCT(D4201:F4201,Stats!$B$6:$D$6)</f>
        <v>0.367073635821973</v>
      </c>
      <c r="H4201" s="0" t="n">
        <f aca="false">SQRT(SUMPRODUCT(MMULT(D4201:F4201,Stats!$B$12:$D$14),D4201:F4201))</f>
        <v>0.228051588683466</v>
      </c>
      <c r="I4201" s="0" t="n">
        <f aca="false">(G4201-Stats!$B$2)/H4201</f>
        <v>1.42543903201294</v>
      </c>
    </row>
    <row r="4202" customFormat="false" ht="15" hidden="false" customHeight="false" outlineLevel="0" collapsed="false">
      <c r="A4202" s="0" t="n">
        <v>0.277375813333301</v>
      </c>
      <c r="B4202" s="0" t="n">
        <v>0.475892510829491</v>
      </c>
      <c r="C4202" s="0" t="n">
        <v>0.470760221667702</v>
      </c>
      <c r="D4202" s="0" t="n">
        <f aca="false">A4202/SUM($A4202:$C4202)</f>
        <v>0.226608941660837</v>
      </c>
      <c r="E4202" s="0" t="n">
        <f aca="false">B4202/SUM($A4202:$C4202)</f>
        <v>0.388792003626518</v>
      </c>
      <c r="F4202" s="0" t="n">
        <f aca="false">C4202/SUM($A4202:$C4202)</f>
        <v>0.384599054712646</v>
      </c>
      <c r="G4202" s="0" t="n">
        <f aca="false">SUMPRODUCT(D4202:F4202,Stats!$B$6:$D$6)</f>
        <v>0.368249122132226</v>
      </c>
      <c r="H4202" s="0" t="n">
        <f aca="false">SQRT(SUMPRODUCT(MMULT(D4202:F4202,Stats!$B$12:$D$14),D4202:F4202))</f>
        <v>0.230397774738354</v>
      </c>
      <c r="I4202" s="0" t="n">
        <f aca="false">(G4202-Stats!$B$2)/H4202</f>
        <v>1.4160254911434</v>
      </c>
    </row>
    <row r="4203" customFormat="false" ht="15" hidden="false" customHeight="false" outlineLevel="0" collapsed="false">
      <c r="A4203" s="0" t="n">
        <v>0.388427221227857</v>
      </c>
      <c r="B4203" s="0" t="n">
        <v>0.820675383401071</v>
      </c>
      <c r="C4203" s="0" t="n">
        <v>0.451164003687596</v>
      </c>
      <c r="D4203" s="0" t="n">
        <f aca="false">A4203/SUM($A4203:$C4203)</f>
        <v>0.233954727079474</v>
      </c>
      <c r="E4203" s="0" t="n">
        <f aca="false">B4203/SUM($A4203:$C4203)</f>
        <v>0.494303372295862</v>
      </c>
      <c r="F4203" s="0" t="n">
        <f aca="false">C4203/SUM($A4203:$C4203)</f>
        <v>0.271741900624664</v>
      </c>
      <c r="G4203" s="0" t="n">
        <f aca="false">SUMPRODUCT(D4203:F4203,Stats!$B$6:$D$6)</f>
        <v>0.3774321023416</v>
      </c>
      <c r="H4203" s="0" t="n">
        <f aca="false">SQRT(SUMPRODUCT(MMULT(D4203:F4203,Stats!$B$12:$D$14),D4203:F4203))</f>
        <v>0.231097007050704</v>
      </c>
      <c r="I4203" s="0" t="n">
        <f aca="false">(G4203-Stats!$B$2)/H4203</f>
        <v>1.45147748394684</v>
      </c>
    </row>
    <row r="4204" customFormat="false" ht="15" hidden="false" customHeight="false" outlineLevel="0" collapsed="false">
      <c r="A4204" s="0" t="n">
        <v>0.603644524505988</v>
      </c>
      <c r="B4204" s="0" t="n">
        <v>0.895520120380826</v>
      </c>
      <c r="C4204" s="0" t="n">
        <v>0.866233622858923</v>
      </c>
      <c r="D4204" s="0" t="n">
        <f aca="false">A4204/SUM($A4204:$C4204)</f>
        <v>0.255197838240269</v>
      </c>
      <c r="E4204" s="0" t="n">
        <f aca="false">B4204/SUM($A4204:$C4204)</f>
        <v>0.378591686901957</v>
      </c>
      <c r="F4204" s="0" t="n">
        <f aca="false">C4204/SUM($A4204:$C4204)</f>
        <v>0.366210474857774</v>
      </c>
      <c r="G4204" s="0" t="n">
        <f aca="false">SUMPRODUCT(D4204:F4204,Stats!$B$6:$D$6)</f>
        <v>0.368169267126785</v>
      </c>
      <c r="H4204" s="0" t="n">
        <f aca="false">SQRT(SUMPRODUCT(MMULT(D4204:F4204,Stats!$B$12:$D$14),D4204:F4204))</f>
        <v>0.229188397373298</v>
      </c>
      <c r="I4204" s="0" t="n">
        <f aca="false">(G4204-Stats!$B$2)/H4204</f>
        <v>1.42314912475925</v>
      </c>
    </row>
    <row r="4205" customFormat="false" ht="15" hidden="false" customHeight="false" outlineLevel="0" collapsed="false">
      <c r="A4205" s="0" t="n">
        <v>0.890422203779165</v>
      </c>
      <c r="B4205" s="0" t="n">
        <v>0.270004996465014</v>
      </c>
      <c r="C4205" s="0" t="n">
        <v>0.0349824883080628</v>
      </c>
      <c r="D4205" s="0" t="n">
        <f aca="false">A4205/SUM($A4205:$C4205)</f>
        <v>0.744867815867842</v>
      </c>
      <c r="E4205" s="0" t="n">
        <f aca="false">B4205/SUM($A4205:$C4205)</f>
        <v>0.225868168085551</v>
      </c>
      <c r="F4205" s="0" t="n">
        <f aca="false">C4205/SUM($A4205:$C4205)</f>
        <v>0.0292640160466075</v>
      </c>
      <c r="G4205" s="0" t="n">
        <f aca="false">SUMPRODUCT(D4205:F4205,Stats!$B$6:$D$6)</f>
        <v>0.368672922525567</v>
      </c>
      <c r="H4205" s="0" t="n">
        <f aca="false">SQRT(SUMPRODUCT(MMULT(D4205:F4205,Stats!$B$12:$D$14),D4205:F4205))</f>
        <v>0.226747046679378</v>
      </c>
      <c r="I4205" s="0" t="n">
        <f aca="false">(G4205-Stats!$B$2)/H4205</f>
        <v>1.44069317466121</v>
      </c>
    </row>
    <row r="4206" customFormat="false" ht="15" hidden="false" customHeight="false" outlineLevel="0" collapsed="false">
      <c r="A4206" s="0" t="n">
        <v>0.261066799895329</v>
      </c>
      <c r="B4206" s="0" t="n">
        <v>0.278707345620709</v>
      </c>
      <c r="C4206" s="0" t="n">
        <v>0.909360326724968</v>
      </c>
      <c r="D4206" s="0" t="n">
        <f aca="false">A4206/SUM($A4206:$C4206)</f>
        <v>0.180153605408064</v>
      </c>
      <c r="E4206" s="0" t="n">
        <f aca="false">B4206/SUM($A4206:$C4206)</f>
        <v>0.192326765362019</v>
      </c>
      <c r="F4206" s="0" t="n">
        <f aca="false">C4206/SUM($A4206:$C4206)</f>
        <v>0.627519629229917</v>
      </c>
      <c r="G4206" s="0" t="n">
        <f aca="false">SUMPRODUCT(D4206:F4206,Stats!$B$6:$D$6)</f>
        <v>0.35024632519232</v>
      </c>
      <c r="H4206" s="0" t="n">
        <f aca="false">SQRT(SUMPRODUCT(MMULT(D4206:F4206,Stats!$B$12:$D$14),D4206:F4206))</f>
        <v>0.235275348637268</v>
      </c>
      <c r="I4206" s="0" t="n">
        <f aca="false">(G4206-Stats!$B$2)/H4206</f>
        <v>1.31015139060554</v>
      </c>
    </row>
    <row r="4207" customFormat="false" ht="15" hidden="false" customHeight="false" outlineLevel="0" collapsed="false">
      <c r="A4207" s="0" t="n">
        <v>0.649242732837971</v>
      </c>
      <c r="B4207" s="0" t="n">
        <v>0.0817039596022288</v>
      </c>
      <c r="C4207" s="0" t="n">
        <v>0.135378596011101</v>
      </c>
      <c r="D4207" s="0" t="n">
        <f aca="false">A4207/SUM($A4207:$C4207)</f>
        <v>0.74942142575406</v>
      </c>
      <c r="E4207" s="0" t="n">
        <f aca="false">B4207/SUM($A4207:$C4207)</f>
        <v>0.0943109484294151</v>
      </c>
      <c r="F4207" s="0" t="n">
        <f aca="false">C4207/SUM($A4207:$C4207)</f>
        <v>0.156267625816525</v>
      </c>
      <c r="G4207" s="0" t="n">
        <f aca="false">SUMPRODUCT(D4207:F4207,Stats!$B$6:$D$6)</f>
        <v>0.357601214686482</v>
      </c>
      <c r="H4207" s="0" t="n">
        <f aca="false">SQRT(SUMPRODUCT(MMULT(D4207:F4207,Stats!$B$12:$D$14),D4207:F4207))</f>
        <v>0.223548695658932</v>
      </c>
      <c r="I4207" s="0" t="n">
        <f aca="false">(G4207-Stats!$B$2)/H4207</f>
        <v>1.41177837677028</v>
      </c>
    </row>
    <row r="4208" customFormat="false" ht="15" hidden="false" customHeight="false" outlineLevel="0" collapsed="false">
      <c r="A4208" s="0" t="n">
        <v>0.155676125541975</v>
      </c>
      <c r="B4208" s="0" t="n">
        <v>0.630421748168923</v>
      </c>
      <c r="C4208" s="0" t="n">
        <v>0.735414025507003</v>
      </c>
      <c r="D4208" s="0" t="n">
        <f aca="false">A4208/SUM($A4208:$C4208)</f>
        <v>0.102316732206956</v>
      </c>
      <c r="E4208" s="0" t="n">
        <f aca="false">B4208/SUM($A4208:$C4208)</f>
        <v>0.414339019295858</v>
      </c>
      <c r="F4208" s="0" t="n">
        <f aca="false">C4208/SUM($A4208:$C4208)</f>
        <v>0.483344248497186</v>
      </c>
      <c r="G4208" s="0" t="n">
        <f aca="false">SUMPRODUCT(D4208:F4208,Stats!$B$6:$D$6)</f>
        <v>0.366996203609774</v>
      </c>
      <c r="H4208" s="0" t="n">
        <f aca="false">SQRT(SUMPRODUCT(MMULT(D4208:F4208,Stats!$B$12:$D$14),D4208:F4208))</f>
        <v>0.236960691678638</v>
      </c>
      <c r="I4208" s="0" t="n">
        <f aca="false">(G4208-Stats!$B$2)/H4208</f>
        <v>1.37151947568809</v>
      </c>
    </row>
    <row r="4209" customFormat="false" ht="15" hidden="false" customHeight="false" outlineLevel="0" collapsed="false">
      <c r="A4209" s="0" t="n">
        <v>0.859643910565396</v>
      </c>
      <c r="B4209" s="0" t="n">
        <v>0.940636550806243</v>
      </c>
      <c r="C4209" s="0" t="n">
        <v>0.201704557386442</v>
      </c>
      <c r="D4209" s="0" t="n">
        <f aca="false">A4209/SUM($A4209:$C4209)</f>
        <v>0.42939577594775</v>
      </c>
      <c r="E4209" s="0" t="n">
        <f aca="false">B4209/SUM($A4209:$C4209)</f>
        <v>0.46985194294299</v>
      </c>
      <c r="F4209" s="0" t="n">
        <f aca="false">C4209/SUM($A4209:$C4209)</f>
        <v>0.10075228110926</v>
      </c>
      <c r="G4209" s="0" t="n">
        <f aca="false">SUMPRODUCT(D4209:F4209,Stats!$B$6:$D$6)</f>
        <v>0.380740171735573</v>
      </c>
      <c r="H4209" s="0" t="n">
        <f aca="false">SQRT(SUMPRODUCT(MMULT(D4209:F4209,Stats!$B$12:$D$14),D4209:F4209))</f>
        <v>0.227728898194107</v>
      </c>
      <c r="I4209" s="0" t="n">
        <f aca="false">(G4209-Stats!$B$2)/H4209</f>
        <v>1.48747117481263</v>
      </c>
    </row>
    <row r="4210" customFormat="false" ht="15" hidden="false" customHeight="false" outlineLevel="0" collapsed="false">
      <c r="A4210" s="0" t="n">
        <v>0.309772484724049</v>
      </c>
      <c r="B4210" s="0" t="n">
        <v>0.240322880744831</v>
      </c>
      <c r="C4210" s="0" t="n">
        <v>0.358761567466138</v>
      </c>
      <c r="D4210" s="0" t="n">
        <f aca="false">A4210/SUM($A4210:$C4210)</f>
        <v>0.34083745581792</v>
      </c>
      <c r="E4210" s="0" t="n">
        <f aca="false">B4210/SUM($A4210:$C4210)</f>
        <v>0.26442322442185</v>
      </c>
      <c r="F4210" s="0" t="n">
        <f aca="false">C4210/SUM($A4210:$C4210)</f>
        <v>0.39473931976023</v>
      </c>
      <c r="G4210" s="0" t="n">
        <f aca="false">SUMPRODUCT(D4210:F4210,Stats!$B$6:$D$6)</f>
        <v>0.360813489635614</v>
      </c>
      <c r="H4210" s="0" t="n">
        <f aca="false">SQRT(SUMPRODUCT(MMULT(D4210:F4210,Stats!$B$12:$D$14),D4210:F4210))</f>
        <v>0.22591585375823</v>
      </c>
      <c r="I4210" s="0" t="n">
        <f aca="false">(G4210-Stats!$B$2)/H4210</f>
        <v>1.41120458937247</v>
      </c>
    </row>
    <row r="4211" customFormat="false" ht="15" hidden="false" customHeight="false" outlineLevel="0" collapsed="false">
      <c r="A4211" s="0" t="n">
        <v>0.914665107423749</v>
      </c>
      <c r="B4211" s="0" t="n">
        <v>0.575112566939362</v>
      </c>
      <c r="C4211" s="0" t="n">
        <v>0.738191897324499</v>
      </c>
      <c r="D4211" s="0" t="n">
        <f aca="false">A4211/SUM($A4211:$C4211)</f>
        <v>0.410537522166841</v>
      </c>
      <c r="E4211" s="0" t="n">
        <f aca="false">B4211/SUM($A4211:$C4211)</f>
        <v>0.258133043757745</v>
      </c>
      <c r="F4211" s="0" t="n">
        <f aca="false">C4211/SUM($A4211:$C4211)</f>
        <v>0.331329434075414</v>
      </c>
      <c r="G4211" s="0" t="n">
        <f aca="false">SUMPRODUCT(D4211:F4211,Stats!$B$6:$D$6)</f>
        <v>0.362200063990457</v>
      </c>
      <c r="H4211" s="0" t="n">
        <f aca="false">SQRT(SUMPRODUCT(MMULT(D4211:F4211,Stats!$B$12:$D$14),D4211:F4211))</f>
        <v>0.223981309124032</v>
      </c>
      <c r="I4211" s="0" t="n">
        <f aca="false">(G4211-Stats!$B$2)/H4211</f>
        <v>1.4295838578796</v>
      </c>
    </row>
    <row r="4212" customFormat="false" ht="15" hidden="false" customHeight="false" outlineLevel="0" collapsed="false">
      <c r="A4212" s="0" t="n">
        <v>0.490119236126782</v>
      </c>
      <c r="B4212" s="0" t="n">
        <v>0.0288579133361245</v>
      </c>
      <c r="C4212" s="0" t="n">
        <v>0.0641954859978143</v>
      </c>
      <c r="D4212" s="0" t="n">
        <f aca="false">A4212/SUM($A4212:$C4212)</f>
        <v>0.840435929816178</v>
      </c>
      <c r="E4212" s="0" t="n">
        <f aca="false">B4212/SUM($A4212:$C4212)</f>
        <v>0.0494843406246695</v>
      </c>
      <c r="F4212" s="0" t="n">
        <f aca="false">C4212/SUM($A4212:$C4212)</f>
        <v>0.110079729559152</v>
      </c>
      <c r="G4212" s="0" t="n">
        <f aca="false">SUMPRODUCT(D4212:F4212,Stats!$B$6:$D$6)</f>
        <v>0.356295563165838</v>
      </c>
      <c r="H4212" s="0" t="n">
        <f aca="false">SQRT(SUMPRODUCT(MMULT(D4212:F4212,Stats!$B$12:$D$14),D4212:F4212))</f>
        <v>0.225959456706519</v>
      </c>
      <c r="I4212" s="0" t="n">
        <f aca="false">(G4212-Stats!$B$2)/H4212</f>
        <v>1.39093786003412</v>
      </c>
    </row>
    <row r="4213" customFormat="false" ht="15" hidden="false" customHeight="false" outlineLevel="0" collapsed="false">
      <c r="A4213" s="0" t="n">
        <v>0.537923031267886</v>
      </c>
      <c r="B4213" s="0" t="n">
        <v>0.718789034820026</v>
      </c>
      <c r="C4213" s="0" t="n">
        <v>0.215330527528732</v>
      </c>
      <c r="D4213" s="0" t="n">
        <f aca="false">A4213/SUM($A4213:$C4213)</f>
        <v>0.365426267962987</v>
      </c>
      <c r="E4213" s="0" t="n">
        <f aca="false">B4213/SUM($A4213:$C4213)</f>
        <v>0.488293639013557</v>
      </c>
      <c r="F4213" s="0" t="n">
        <f aca="false">C4213/SUM($A4213:$C4213)</f>
        <v>0.146280093023456</v>
      </c>
      <c r="G4213" s="0" t="n">
        <f aca="false">SUMPRODUCT(D4213:F4213,Stats!$B$6:$D$6)</f>
        <v>0.380545871156237</v>
      </c>
      <c r="H4213" s="0" t="n">
        <f aca="false">SQRT(SUMPRODUCT(MMULT(D4213:F4213,Stats!$B$12:$D$14),D4213:F4213))</f>
        <v>0.228405537194968</v>
      </c>
      <c r="I4213" s="0" t="n">
        <f aca="false">(G4213-Stats!$B$2)/H4213</f>
        <v>1.48221393979277</v>
      </c>
    </row>
    <row r="4214" customFormat="false" ht="15" hidden="false" customHeight="false" outlineLevel="0" collapsed="false">
      <c r="A4214" s="0" t="n">
        <v>0.721909573992304</v>
      </c>
      <c r="B4214" s="0" t="n">
        <v>0.810665773483512</v>
      </c>
      <c r="C4214" s="0" t="n">
        <v>0.411897478362111</v>
      </c>
      <c r="D4214" s="0" t="n">
        <f aca="false">A4214/SUM($A4214:$C4214)</f>
        <v>0.371262361910979</v>
      </c>
      <c r="E4214" s="0" t="n">
        <f aca="false">B4214/SUM($A4214:$C4214)</f>
        <v>0.416907741117017</v>
      </c>
      <c r="F4214" s="0" t="n">
        <f aca="false">C4214/SUM($A4214:$C4214)</f>
        <v>0.211829896972005</v>
      </c>
      <c r="G4214" s="0" t="n">
        <f aca="false">SUMPRODUCT(D4214:F4214,Stats!$B$6:$D$6)</f>
        <v>0.374630908352128</v>
      </c>
      <c r="H4214" s="0" t="n">
        <f aca="false">SQRT(SUMPRODUCT(MMULT(D4214:F4214,Stats!$B$12:$D$14),D4214:F4214))</f>
        <v>0.226621980255191</v>
      </c>
      <c r="I4214" s="0" t="n">
        <f aca="false">(G4214-Stats!$B$2)/H4214</f>
        <v>1.46777866814845</v>
      </c>
    </row>
    <row r="4215" customFormat="false" ht="15" hidden="false" customHeight="false" outlineLevel="0" collapsed="false">
      <c r="A4215" s="0" t="n">
        <v>0.746419232844105</v>
      </c>
      <c r="B4215" s="0" t="n">
        <v>0.40402995032846</v>
      </c>
      <c r="C4215" s="0" t="n">
        <v>0.67835062945502</v>
      </c>
      <c r="D4215" s="0" t="n">
        <f aca="false">A4215/SUM($A4215:$C4215)</f>
        <v>0.408147041403982</v>
      </c>
      <c r="E4215" s="0" t="n">
        <f aca="false">B4215/SUM($A4215:$C4215)</f>
        <v>0.220926285938294</v>
      </c>
      <c r="F4215" s="0" t="n">
        <f aca="false">C4215/SUM($A4215:$C4215)</f>
        <v>0.370926672657724</v>
      </c>
      <c r="G4215" s="0" t="n">
        <f aca="false">SUMPRODUCT(D4215:F4215,Stats!$B$6:$D$6)</f>
        <v>0.358967356677282</v>
      </c>
      <c r="H4215" s="0" t="n">
        <f aca="false">SQRT(SUMPRODUCT(MMULT(D4215:F4215,Stats!$B$12:$D$14),D4215:F4215))</f>
        <v>0.223957817428779</v>
      </c>
      <c r="I4215" s="0" t="n">
        <f aca="false">(G4215-Stats!$B$2)/H4215</f>
        <v>1.41529936448001</v>
      </c>
    </row>
    <row r="4216" customFormat="false" ht="15" hidden="false" customHeight="false" outlineLevel="0" collapsed="false">
      <c r="A4216" s="0" t="n">
        <v>0.763997049319543</v>
      </c>
      <c r="B4216" s="0" t="n">
        <v>0.991926618308111</v>
      </c>
      <c r="C4216" s="0" t="n">
        <v>0.345396662063596</v>
      </c>
      <c r="D4216" s="0" t="n">
        <f aca="false">A4216/SUM($A4216:$C4216)</f>
        <v>0.363579525941101</v>
      </c>
      <c r="E4216" s="0" t="n">
        <f aca="false">B4216/SUM($A4216:$C4216)</f>
        <v>0.4720492179571</v>
      </c>
      <c r="F4216" s="0" t="n">
        <f aca="false">C4216/SUM($A4216:$C4216)</f>
        <v>0.164371256101799</v>
      </c>
      <c r="G4216" s="0" t="n">
        <f aca="false">SUMPRODUCT(D4216:F4216,Stats!$B$6:$D$6)</f>
        <v>0.379112331329733</v>
      </c>
      <c r="H4216" s="0" t="n">
        <f aca="false">SQRT(SUMPRODUCT(MMULT(D4216:F4216,Stats!$B$12:$D$14),D4216:F4216))</f>
        <v>0.227980750489618</v>
      </c>
      <c r="I4216" s="0" t="n">
        <f aca="false">(G4216-Stats!$B$2)/H4216</f>
        <v>1.47868769887695</v>
      </c>
    </row>
    <row r="4217" customFormat="false" ht="15" hidden="false" customHeight="false" outlineLevel="0" collapsed="false">
      <c r="A4217" s="0" t="n">
        <v>0.411040780574612</v>
      </c>
      <c r="B4217" s="0" t="n">
        <v>0.165620059410171</v>
      </c>
      <c r="C4217" s="0" t="n">
        <v>0.204073058401807</v>
      </c>
      <c r="D4217" s="0" t="n">
        <f aca="false">A4217/SUM($A4217:$C4217)</f>
        <v>0.526479997120709</v>
      </c>
      <c r="E4217" s="0" t="n">
        <f aca="false">B4217/SUM($A4217:$C4217)</f>
        <v>0.212133813777563</v>
      </c>
      <c r="F4217" s="0" t="n">
        <f aca="false">C4217/SUM($A4217:$C4217)</f>
        <v>0.261386189101729</v>
      </c>
      <c r="G4217" s="0" t="n">
        <f aca="false">SUMPRODUCT(D4217:F4217,Stats!$B$6:$D$6)</f>
        <v>0.361481985911599</v>
      </c>
      <c r="H4217" s="0" t="n">
        <f aca="false">SQRT(SUMPRODUCT(MMULT(D4217:F4217,Stats!$B$12:$D$14),D4217:F4217))</f>
        <v>0.222237559879306</v>
      </c>
      <c r="I4217" s="0" t="n">
        <f aca="false">(G4217-Stats!$B$2)/H4217</f>
        <v>1.43756971632115</v>
      </c>
    </row>
    <row r="4218" customFormat="false" ht="15" hidden="false" customHeight="false" outlineLevel="0" collapsed="false">
      <c r="A4218" s="0" t="n">
        <v>0.693395002598378</v>
      </c>
      <c r="B4218" s="0" t="n">
        <v>0.917045590154476</v>
      </c>
      <c r="C4218" s="0" t="n">
        <v>0.394604951661241</v>
      </c>
      <c r="D4218" s="0" t="n">
        <f aca="false">A4218/SUM($A4218:$C4218)</f>
        <v>0.345825063440641</v>
      </c>
      <c r="E4218" s="0" t="n">
        <f aca="false">B4218/SUM($A4218:$C4218)</f>
        <v>0.457368957383186</v>
      </c>
      <c r="F4218" s="0" t="n">
        <f aca="false">C4218/SUM($A4218:$C4218)</f>
        <v>0.196805979176174</v>
      </c>
      <c r="G4218" s="0" t="n">
        <f aca="false">SUMPRODUCT(D4218:F4218,Stats!$B$6:$D$6)</f>
        <v>0.377373273122874</v>
      </c>
      <c r="H4218" s="0" t="n">
        <f aca="false">SQRT(SUMPRODUCT(MMULT(D4218:F4218,Stats!$B$12:$D$14),D4218:F4218))</f>
        <v>0.227829607161089</v>
      </c>
      <c r="I4218" s="0" t="n">
        <f aca="false">(G4218-Stats!$B$2)/H4218</f>
        <v>1.47203551505817</v>
      </c>
    </row>
    <row r="4219" customFormat="false" ht="15" hidden="false" customHeight="false" outlineLevel="0" collapsed="false">
      <c r="A4219" s="0" t="n">
        <v>0.179844446835541</v>
      </c>
      <c r="B4219" s="0" t="n">
        <v>0.285099499382994</v>
      </c>
      <c r="C4219" s="0" t="n">
        <v>0.455051704808139</v>
      </c>
      <c r="D4219" s="0" t="n">
        <f aca="false">A4219/SUM($A4219:$C4219)</f>
        <v>0.195484018467743</v>
      </c>
      <c r="E4219" s="0" t="n">
        <f aca="false">B4219/SUM($A4219:$C4219)</f>
        <v>0.309892225104364</v>
      </c>
      <c r="F4219" s="0" t="n">
        <f aca="false">C4219/SUM($A4219:$C4219)</f>
        <v>0.494623756427893</v>
      </c>
      <c r="G4219" s="0" t="n">
        <f aca="false">SUMPRODUCT(D4219:F4219,Stats!$B$6:$D$6)</f>
        <v>0.360675442161973</v>
      </c>
      <c r="H4219" s="0" t="n">
        <f aca="false">SQRT(SUMPRODUCT(MMULT(D4219:F4219,Stats!$B$12:$D$14),D4219:F4219))</f>
        <v>0.232242827186045</v>
      </c>
      <c r="I4219" s="0" t="n">
        <f aca="false">(G4219-Stats!$B$2)/H4219</f>
        <v>1.37216484152894</v>
      </c>
    </row>
    <row r="4220" customFormat="false" ht="15" hidden="false" customHeight="false" outlineLevel="0" collapsed="false">
      <c r="A4220" s="0" t="n">
        <v>0.290650329365368</v>
      </c>
      <c r="B4220" s="0" t="n">
        <v>0.233579083121866</v>
      </c>
      <c r="C4220" s="0" t="n">
        <v>0.73598448875708</v>
      </c>
      <c r="D4220" s="0" t="n">
        <f aca="false">A4220/SUM($A4220:$C4220)</f>
        <v>0.230635711190287</v>
      </c>
      <c r="E4220" s="0" t="n">
        <f aca="false">B4220/SUM($A4220:$C4220)</f>
        <v>0.185348759358419</v>
      </c>
      <c r="F4220" s="0" t="n">
        <f aca="false">C4220/SUM($A4220:$C4220)</f>
        <v>0.584015529451295</v>
      </c>
      <c r="G4220" s="0" t="n">
        <f aca="false">SUMPRODUCT(D4220:F4220,Stats!$B$6:$D$6)</f>
        <v>0.351044428577168</v>
      </c>
      <c r="H4220" s="0" t="n">
        <f aca="false">SQRT(SUMPRODUCT(MMULT(D4220:F4220,Stats!$B$12:$D$14),D4220:F4220))</f>
        <v>0.232125667831509</v>
      </c>
      <c r="I4220" s="0" t="n">
        <f aca="false">(G4220-Stats!$B$2)/H4220</f>
        <v>1.33136689046164</v>
      </c>
    </row>
    <row r="4221" customFormat="false" ht="15" hidden="false" customHeight="false" outlineLevel="0" collapsed="false">
      <c r="A4221" s="0" t="n">
        <v>0.00784492124062319</v>
      </c>
      <c r="B4221" s="0" t="n">
        <v>0.539230527336483</v>
      </c>
      <c r="C4221" s="0" t="n">
        <v>0.793766807029754</v>
      </c>
      <c r="D4221" s="0" t="n">
        <f aca="false">A4221/SUM($A4221:$C4221)</f>
        <v>0.0058507413588876</v>
      </c>
      <c r="E4221" s="0" t="n">
        <f aca="false">B4221/SUM($A4221:$C4221)</f>
        <v>0.402158065262069</v>
      </c>
      <c r="F4221" s="0" t="n">
        <f aca="false">C4221/SUM($A4221:$C4221)</f>
        <v>0.591991193379044</v>
      </c>
      <c r="G4221" s="0" t="n">
        <f aca="false">SUMPRODUCT(D4221:F4221,Stats!$B$6:$D$6)</f>
        <v>0.363299429562865</v>
      </c>
      <c r="H4221" s="0" t="n">
        <f aca="false">SQRT(SUMPRODUCT(MMULT(D4221:F4221,Stats!$B$12:$D$14),D4221:F4221))</f>
        <v>0.243978590703525</v>
      </c>
      <c r="I4221" s="0" t="n">
        <f aca="false">(G4221-Stats!$B$2)/H4221</f>
        <v>1.31691649105924</v>
      </c>
    </row>
    <row r="4222" customFormat="false" ht="15" hidden="false" customHeight="false" outlineLevel="0" collapsed="false">
      <c r="A4222" s="0" t="n">
        <v>0.266228286317468</v>
      </c>
      <c r="B4222" s="0" t="n">
        <v>0.603291510612017</v>
      </c>
      <c r="C4222" s="0" t="n">
        <v>0.668900105618618</v>
      </c>
      <c r="D4222" s="0" t="n">
        <f aca="false">A4222/SUM($A4222:$C4222)</f>
        <v>0.173053069501058</v>
      </c>
      <c r="E4222" s="0" t="n">
        <f aca="false">B4222/SUM($A4222:$C4222)</f>
        <v>0.392150094790621</v>
      </c>
      <c r="F4222" s="0" t="n">
        <f aca="false">C4222/SUM($A4222:$C4222)</f>
        <v>0.43479683570832</v>
      </c>
      <c r="G4222" s="0" t="n">
        <f aca="false">SUMPRODUCT(D4222:F4222,Stats!$B$6:$D$6)</f>
        <v>0.367058157847642</v>
      </c>
      <c r="H4222" s="0" t="n">
        <f aca="false">SQRT(SUMPRODUCT(MMULT(D4222:F4222,Stats!$B$12:$D$14),D4222:F4222))</f>
        <v>0.232967353507498</v>
      </c>
      <c r="I4222" s="0" t="n">
        <f aca="false">(G4222-Stats!$B$2)/H4222</f>
        <v>1.39529488983606</v>
      </c>
    </row>
    <row r="4223" customFormat="false" ht="15" hidden="false" customHeight="false" outlineLevel="0" collapsed="false">
      <c r="A4223" s="0" t="n">
        <v>0.65502469640509</v>
      </c>
      <c r="B4223" s="0" t="n">
        <v>0.445849634198718</v>
      </c>
      <c r="C4223" s="0" t="n">
        <v>0.346577987875779</v>
      </c>
      <c r="D4223" s="0" t="n">
        <f aca="false">A4223/SUM($A4223:$C4223)</f>
        <v>0.452536286026425</v>
      </c>
      <c r="E4223" s="0" t="n">
        <f aca="false">B4223/SUM($A4223:$C4223)</f>
        <v>0.308023710699528</v>
      </c>
      <c r="F4223" s="0" t="n">
        <f aca="false">C4223/SUM($A4223:$C4223)</f>
        <v>0.239440003274047</v>
      </c>
      <c r="G4223" s="0" t="n">
        <f aca="false">SUMPRODUCT(D4223:F4223,Stats!$B$6:$D$6)</f>
        <v>0.367604524105876</v>
      </c>
      <c r="H4223" s="0" t="n">
        <f aca="false">SQRT(SUMPRODUCT(MMULT(D4223:F4223,Stats!$B$12:$D$14),D4223:F4223))</f>
        <v>0.223854495284468</v>
      </c>
      <c r="I4223" s="0" t="n">
        <f aca="false">(G4223-Stats!$B$2)/H4223</f>
        <v>1.45453645544221</v>
      </c>
    </row>
    <row r="4224" customFormat="false" ht="15" hidden="false" customHeight="false" outlineLevel="0" collapsed="false">
      <c r="A4224" s="0" t="n">
        <v>0.835924073027814</v>
      </c>
      <c r="B4224" s="0" t="n">
        <v>0.758445956999864</v>
      </c>
      <c r="C4224" s="0" t="n">
        <v>0.321255173413913</v>
      </c>
      <c r="D4224" s="0" t="n">
        <f aca="false">A4224/SUM($A4224:$C4224)</f>
        <v>0.43637141102863</v>
      </c>
      <c r="E4224" s="0" t="n">
        <f aca="false">B4224/SUM($A4224:$C4224)</f>
        <v>0.395926069273493</v>
      </c>
      <c r="F4224" s="0" t="n">
        <f aca="false">C4224/SUM($A4224:$C4224)</f>
        <v>0.167702519697877</v>
      </c>
      <c r="G4224" s="0" t="n">
        <f aca="false">SUMPRODUCT(D4224:F4224,Stats!$B$6:$D$6)</f>
        <v>0.374640445566351</v>
      </c>
      <c r="H4224" s="0" t="n">
        <f aca="false">SQRT(SUMPRODUCT(MMULT(D4224:F4224,Stats!$B$12:$D$14),D4224:F4224))</f>
        <v>0.225652588571518</v>
      </c>
      <c r="I4224" s="0" t="n">
        <f aca="false">(G4224-Stats!$B$2)/H4224</f>
        <v>1.47412643334656</v>
      </c>
    </row>
    <row r="4225" customFormat="false" ht="15" hidden="false" customHeight="false" outlineLevel="0" collapsed="false">
      <c r="A4225" s="0" t="n">
        <v>0.103019194442206</v>
      </c>
      <c r="B4225" s="0" t="n">
        <v>0.0718075454454692</v>
      </c>
      <c r="C4225" s="0" t="n">
        <v>0.0942759778989361</v>
      </c>
      <c r="D4225" s="0" t="n">
        <f aca="false">A4225/SUM($A4225:$C4225)</f>
        <v>0.382824801211768</v>
      </c>
      <c r="E4225" s="0" t="n">
        <f aca="false">B4225/SUM($A4225:$C4225)</f>
        <v>0.266840654884838</v>
      </c>
      <c r="F4225" s="0" t="n">
        <f aca="false">C4225/SUM($A4225:$C4225)</f>
        <v>0.350334543903393</v>
      </c>
      <c r="G4225" s="0" t="n">
        <f aca="false">SUMPRODUCT(D4225:F4225,Stats!$B$6:$D$6)</f>
        <v>0.362177030070913</v>
      </c>
      <c r="H4225" s="0" t="n">
        <f aca="false">SQRT(SUMPRODUCT(MMULT(D4225:F4225,Stats!$B$12:$D$14),D4225:F4225))</f>
        <v>0.22466348839517</v>
      </c>
      <c r="I4225" s="0" t="n">
        <f aca="false">(G4225-Stats!$B$2)/H4225</f>
        <v>1.42514047279342</v>
      </c>
    </row>
    <row r="4226" customFormat="false" ht="15" hidden="false" customHeight="false" outlineLevel="0" collapsed="false">
      <c r="A4226" s="0" t="n">
        <v>0.582869361192043</v>
      </c>
      <c r="B4226" s="0" t="n">
        <v>0.0516621758289897</v>
      </c>
      <c r="C4226" s="0" t="n">
        <v>0.336926874964038</v>
      </c>
      <c r="D4226" s="0" t="n">
        <f aca="false">A4226/SUM($A4226:$C4226)</f>
        <v>0.599994146945531</v>
      </c>
      <c r="E4226" s="0" t="n">
        <f aca="false">B4226/SUM($A4226:$C4226)</f>
        <v>0.0531800179931775</v>
      </c>
      <c r="F4226" s="0" t="n">
        <f aca="false">C4226/SUM($A4226:$C4226)</f>
        <v>0.346825835061292</v>
      </c>
      <c r="G4226" s="0" t="n">
        <f aca="false">SUMPRODUCT(D4226:F4226,Stats!$B$6:$D$6)</f>
        <v>0.349980024856518</v>
      </c>
      <c r="H4226" s="0" t="n">
        <f aca="false">SQRT(SUMPRODUCT(MMULT(D4226:F4226,Stats!$B$12:$D$14),D4226:F4226))</f>
        <v>0.221324473666172</v>
      </c>
      <c r="I4226" s="0" t="n">
        <f aca="false">(G4226-Stats!$B$2)/H4226</f>
        <v>1.39153171700772</v>
      </c>
    </row>
    <row r="4227" customFormat="false" ht="15" hidden="false" customHeight="false" outlineLevel="0" collapsed="false">
      <c r="A4227" s="0" t="n">
        <v>0.753199701914229</v>
      </c>
      <c r="B4227" s="0" t="n">
        <v>0.294348166515378</v>
      </c>
      <c r="C4227" s="0" t="n">
        <v>0.76330807718013</v>
      </c>
      <c r="D4227" s="0" t="n">
        <f aca="false">A4227/SUM($A4227:$C4227)</f>
        <v>0.415935736765973</v>
      </c>
      <c r="E4227" s="0" t="n">
        <f aca="false">B4227/SUM($A4227:$C4227)</f>
        <v>0.162546428515752</v>
      </c>
      <c r="F4227" s="0" t="n">
        <f aca="false">C4227/SUM($A4227:$C4227)</f>
        <v>0.421517834718275</v>
      </c>
      <c r="G4227" s="0" t="n">
        <f aca="false">SUMPRODUCT(D4227:F4227,Stats!$B$6:$D$6)</f>
        <v>0.354213223405324</v>
      </c>
      <c r="H4227" s="0" t="n">
        <f aca="false">SQRT(SUMPRODUCT(MMULT(D4227:F4227,Stats!$B$12:$D$14),D4227:F4227))</f>
        <v>0.223950918072764</v>
      </c>
      <c r="I4227" s="0" t="n">
        <f aca="false">(G4227-Stats!$B$2)/H4227</f>
        <v>1.39411450550019</v>
      </c>
    </row>
    <row r="4228" customFormat="false" ht="15" hidden="false" customHeight="false" outlineLevel="0" collapsed="false">
      <c r="A4228" s="0" t="n">
        <v>0.745467038207055</v>
      </c>
      <c r="B4228" s="0" t="n">
        <v>0.245827132633216</v>
      </c>
      <c r="C4228" s="0" t="n">
        <v>0.728822180092746</v>
      </c>
      <c r="D4228" s="0" t="n">
        <f aca="false">A4228/SUM($A4228:$C4228)</f>
        <v>0.433381752230134</v>
      </c>
      <c r="E4228" s="0" t="n">
        <f aca="false">B4228/SUM($A4228:$C4228)</f>
        <v>0.142913084047992</v>
      </c>
      <c r="F4228" s="0" t="n">
        <f aca="false">C4228/SUM($A4228:$C4228)</f>
        <v>0.423705163721873</v>
      </c>
      <c r="G4228" s="0" t="n">
        <f aca="false">SUMPRODUCT(D4228:F4228,Stats!$B$6:$D$6)</f>
        <v>0.353023231419607</v>
      </c>
      <c r="H4228" s="0" t="n">
        <f aca="false">SQRT(SUMPRODUCT(MMULT(D4228:F4228,Stats!$B$12:$D$14),D4228:F4228))</f>
        <v>0.223587931343242</v>
      </c>
      <c r="I4228" s="0" t="n">
        <f aca="false">(G4228-Stats!$B$2)/H4228</f>
        <v>1.39105554379023</v>
      </c>
    </row>
    <row r="4229" customFormat="false" ht="15" hidden="false" customHeight="false" outlineLevel="0" collapsed="false">
      <c r="A4229" s="0" t="n">
        <v>0.747776638272101</v>
      </c>
      <c r="B4229" s="0" t="n">
        <v>0.397453925667027</v>
      </c>
      <c r="C4229" s="0" t="n">
        <v>0.210420483741518</v>
      </c>
      <c r="D4229" s="0" t="n">
        <f aca="false">A4229/SUM($A4229:$C4229)</f>
        <v>0.551599646200588</v>
      </c>
      <c r="E4229" s="0" t="n">
        <f aca="false">B4229/SUM($A4229:$C4229)</f>
        <v>0.293183062372151</v>
      </c>
      <c r="F4229" s="0" t="n">
        <f aca="false">C4229/SUM($A4229:$C4229)</f>
        <v>0.155217291427261</v>
      </c>
      <c r="G4229" s="0" t="n">
        <f aca="false">SUMPRODUCT(D4229:F4229,Stats!$B$6:$D$6)</f>
        <v>0.36907302129441</v>
      </c>
      <c r="H4229" s="0" t="n">
        <f aca="false">SQRT(SUMPRODUCT(MMULT(D4229:F4229,Stats!$B$12:$D$14),D4229:F4229))</f>
        <v>0.223678644334176</v>
      </c>
      <c r="I4229" s="0" t="n">
        <f aca="false">(G4229-Stats!$B$2)/H4229</f>
        <v>1.46224518781401</v>
      </c>
    </row>
    <row r="4230" customFormat="false" ht="15" hidden="false" customHeight="false" outlineLevel="0" collapsed="false">
      <c r="A4230" s="0" t="n">
        <v>0.521270806891869</v>
      </c>
      <c r="B4230" s="0" t="n">
        <v>0.921397588000196</v>
      </c>
      <c r="C4230" s="0" t="n">
        <v>0.639616732432062</v>
      </c>
      <c r="D4230" s="0" t="n">
        <f aca="false">A4230/SUM($A4230:$C4230)</f>
        <v>0.250335941054209</v>
      </c>
      <c r="E4230" s="0" t="n">
        <f aca="false">B4230/SUM($A4230:$C4230)</f>
        <v>0.442493477914935</v>
      </c>
      <c r="F4230" s="0" t="n">
        <f aca="false">C4230/SUM($A4230:$C4230)</f>
        <v>0.307170581030856</v>
      </c>
      <c r="G4230" s="0" t="n">
        <f aca="false">SUMPRODUCT(D4230:F4230,Stats!$B$6:$D$6)</f>
        <v>0.373474095839542</v>
      </c>
      <c r="H4230" s="0" t="n">
        <f aca="false">SQRT(SUMPRODUCT(MMULT(D4230:F4230,Stats!$B$12:$D$14),D4230:F4230))</f>
        <v>0.229856573248811</v>
      </c>
      <c r="I4230" s="0" t="n">
        <f aca="false">(G4230-Stats!$B$2)/H4230</f>
        <v>1.44209100115981</v>
      </c>
    </row>
    <row r="4231" customFormat="false" ht="15" hidden="false" customHeight="false" outlineLevel="0" collapsed="false">
      <c r="A4231" s="0" t="n">
        <v>0.172922497627261</v>
      </c>
      <c r="B4231" s="0" t="n">
        <v>0.68275692473352</v>
      </c>
      <c r="C4231" s="0" t="n">
        <v>0.427203027281835</v>
      </c>
      <c r="D4231" s="0" t="n">
        <f aca="false">A4231/SUM($A4231:$C4231)</f>
        <v>0.134792160946183</v>
      </c>
      <c r="E4231" s="0" t="n">
        <f aca="false">B4231/SUM($A4231:$C4231)</f>
        <v>0.532205366846917</v>
      </c>
      <c r="F4231" s="0" t="n">
        <f aca="false">C4231/SUM($A4231:$C4231)</f>
        <v>0.3330024722069</v>
      </c>
      <c r="G4231" s="0" t="n">
        <f aca="false">SUMPRODUCT(D4231:F4231,Stats!$B$6:$D$6)</f>
        <v>0.377923697353151</v>
      </c>
      <c r="H4231" s="0" t="n">
        <f aca="false">SQRT(SUMPRODUCT(MMULT(D4231:F4231,Stats!$B$12:$D$14),D4231:F4231))</f>
        <v>0.235460278342832</v>
      </c>
      <c r="I4231" s="0" t="n">
        <f aca="false">(G4231-Stats!$B$2)/H4231</f>
        <v>1.42666822496507</v>
      </c>
    </row>
    <row r="4232" customFormat="false" ht="15" hidden="false" customHeight="false" outlineLevel="0" collapsed="false">
      <c r="A4232" s="0" t="n">
        <v>0.591528797355373</v>
      </c>
      <c r="B4232" s="0" t="n">
        <v>0.734064035023108</v>
      </c>
      <c r="C4232" s="0" t="n">
        <v>0.514947351514445</v>
      </c>
      <c r="D4232" s="0" t="n">
        <f aca="false">A4232/SUM($A4232:$C4232)</f>
        <v>0.32138868932719</v>
      </c>
      <c r="E4232" s="0" t="n">
        <f aca="false">B4232/SUM($A4232:$C4232)</f>
        <v>0.398830757104411</v>
      </c>
      <c r="F4232" s="0" t="n">
        <f aca="false">C4232/SUM($A4232:$C4232)</f>
        <v>0.279780553568399</v>
      </c>
      <c r="G4232" s="0" t="n">
        <f aca="false">SUMPRODUCT(D4232:F4232,Stats!$B$6:$D$6)</f>
        <v>0.371717068868177</v>
      </c>
      <c r="H4232" s="0" t="n">
        <f aca="false">SQRT(SUMPRODUCT(MMULT(D4232:F4232,Stats!$B$12:$D$14),D4232:F4232))</f>
        <v>0.227258810420164</v>
      </c>
      <c r="I4232" s="0" t="n">
        <f aca="false">(G4232-Stats!$B$2)/H4232</f>
        <v>1.45084394421754</v>
      </c>
    </row>
    <row r="4233" customFormat="false" ht="15" hidden="false" customHeight="false" outlineLevel="0" collapsed="false">
      <c r="A4233" s="0" t="n">
        <v>0.813983974573309</v>
      </c>
      <c r="B4233" s="0" t="n">
        <v>0.722155579316628</v>
      </c>
      <c r="C4233" s="0" t="n">
        <v>0.615073340018511</v>
      </c>
      <c r="D4233" s="0" t="n">
        <f aca="false">A4233/SUM($A4233:$C4233)</f>
        <v>0.378383737322444</v>
      </c>
      <c r="E4233" s="0" t="n">
        <f aca="false">B4233/SUM($A4233:$C4233)</f>
        <v>0.335696936998446</v>
      </c>
      <c r="F4233" s="0" t="n">
        <f aca="false">C4233/SUM($A4233:$C4233)</f>
        <v>0.28591932567911</v>
      </c>
      <c r="G4233" s="0" t="n">
        <f aca="false">SUMPRODUCT(D4233:F4233,Stats!$B$6:$D$6)</f>
        <v>0.367915156291927</v>
      </c>
      <c r="H4233" s="0" t="n">
        <f aca="false">SQRT(SUMPRODUCT(MMULT(D4233:F4233,Stats!$B$12:$D$14),D4233:F4233))</f>
        <v>0.225241068429032</v>
      </c>
      <c r="I4233" s="0" t="n">
        <f aca="false">(G4233-Stats!$B$2)/H4233</f>
        <v>1.44696150912912</v>
      </c>
    </row>
    <row r="4234" customFormat="false" ht="15" hidden="false" customHeight="false" outlineLevel="0" collapsed="false">
      <c r="A4234" s="0" t="n">
        <v>0.150792815832352</v>
      </c>
      <c r="B4234" s="0" t="n">
        <v>0.835949110911568</v>
      </c>
      <c r="C4234" s="0" t="n">
        <v>0.935905585319816</v>
      </c>
      <c r="D4234" s="0" t="n">
        <f aca="false">A4234/SUM($A4234:$C4234)</f>
        <v>0.0784297771100503</v>
      </c>
      <c r="E4234" s="0" t="n">
        <f aca="false">B4234/SUM($A4234:$C4234)</f>
        <v>0.434790623692783</v>
      </c>
      <c r="F4234" s="0" t="n">
        <f aca="false">C4234/SUM($A4234:$C4234)</f>
        <v>0.486779599197167</v>
      </c>
      <c r="G4234" s="0" t="n">
        <f aca="false">SUMPRODUCT(D4234:F4234,Stats!$B$6:$D$6)</f>
        <v>0.368078233982533</v>
      </c>
      <c r="H4234" s="0" t="n">
        <f aca="false">SQRT(SUMPRODUCT(MMULT(D4234:F4234,Stats!$B$12:$D$14),D4234:F4234))</f>
        <v>0.238363406935591</v>
      </c>
      <c r="I4234" s="0" t="n">
        <f aca="false">(G4234-Stats!$B$2)/H4234</f>
        <v>1.3679878055722</v>
      </c>
    </row>
    <row r="4235" customFormat="false" ht="15" hidden="false" customHeight="false" outlineLevel="0" collapsed="false">
      <c r="A4235" s="0" t="n">
        <v>0.136965123809295</v>
      </c>
      <c r="B4235" s="0" t="n">
        <v>0.488241129433431</v>
      </c>
      <c r="C4235" s="0" t="n">
        <v>0.258888741970505</v>
      </c>
      <c r="D4235" s="0" t="n">
        <f aca="false">A4235/SUM($A4235:$C4235)</f>
        <v>0.154921274920532</v>
      </c>
      <c r="E4235" s="0" t="n">
        <f aca="false">B4235/SUM($A4235:$C4235)</f>
        <v>0.552249624844528</v>
      </c>
      <c r="F4235" s="0" t="n">
        <f aca="false">C4235/SUM($A4235:$C4235)</f>
        <v>0.292829100234941</v>
      </c>
      <c r="G4235" s="0" t="n">
        <f aca="false">SUMPRODUCT(D4235:F4235,Stats!$B$6:$D$6)</f>
        <v>0.380184783296193</v>
      </c>
      <c r="H4235" s="0" t="n">
        <f aca="false">SQRT(SUMPRODUCT(MMULT(D4235:F4235,Stats!$B$12:$D$14),D4235:F4235))</f>
        <v>0.234848069724566</v>
      </c>
      <c r="I4235" s="0" t="n">
        <f aca="false">(G4235-Stats!$B$2)/H4235</f>
        <v>1.4400151710543</v>
      </c>
    </row>
    <row r="4236" customFormat="false" ht="15" hidden="false" customHeight="false" outlineLevel="0" collapsed="false">
      <c r="A4236" s="0" t="n">
        <v>0.754523307425565</v>
      </c>
      <c r="B4236" s="0" t="n">
        <v>0.7216296360047</v>
      </c>
      <c r="C4236" s="0" t="n">
        <v>0.140885120570399</v>
      </c>
      <c r="D4236" s="0" t="n">
        <f aca="false">A4236/SUM($A4236:$C4236)</f>
        <v>0.466608253833445</v>
      </c>
      <c r="E4236" s="0" t="n">
        <f aca="false">B4236/SUM($A4236:$C4236)</f>
        <v>0.446266326111915</v>
      </c>
      <c r="F4236" s="0" t="n">
        <f aca="false">C4236/SUM($A4236:$C4236)</f>
        <v>0.0871254200546394</v>
      </c>
      <c r="G4236" s="0" t="n">
        <f aca="false">SUMPRODUCT(D4236:F4236,Stats!$B$6:$D$6)</f>
        <v>0.379758841321795</v>
      </c>
      <c r="H4236" s="0" t="n">
        <f aca="false">SQRT(SUMPRODUCT(MMULT(D4236:F4236,Stats!$B$12:$D$14),D4236:F4236))</f>
        <v>0.227179098097062</v>
      </c>
      <c r="I4236" s="0" t="n">
        <f aca="false">(G4236-Stats!$B$2)/H4236</f>
        <v>1.48675139636961</v>
      </c>
    </row>
    <row r="4237" customFormat="false" ht="15" hidden="false" customHeight="false" outlineLevel="0" collapsed="false">
      <c r="A4237" s="0" t="n">
        <v>0.877027271261637</v>
      </c>
      <c r="B4237" s="0" t="n">
        <v>0.180973063978002</v>
      </c>
      <c r="C4237" s="0" t="n">
        <v>0.797259025648108</v>
      </c>
      <c r="D4237" s="0" t="n">
        <f aca="false">A4237/SUM($A4237:$C4237)</f>
        <v>0.47272488674682</v>
      </c>
      <c r="E4237" s="0" t="n">
        <f aca="false">B4237/SUM($A4237:$C4237)</f>
        <v>0.0975459646199581</v>
      </c>
      <c r="F4237" s="0" t="n">
        <f aca="false">C4237/SUM($A4237:$C4237)</f>
        <v>0.429729148633222</v>
      </c>
      <c r="G4237" s="0" t="n">
        <f aca="false">SUMPRODUCT(D4237:F4237,Stats!$B$6:$D$6)</f>
        <v>0.350246757018247</v>
      </c>
      <c r="H4237" s="0" t="n">
        <f aca="false">SQRT(SUMPRODUCT(MMULT(D4237:F4237,Stats!$B$12:$D$14),D4237:F4237))</f>
        <v>0.222925231176029</v>
      </c>
      <c r="I4237" s="0" t="n">
        <f aca="false">(G4237-Stats!$B$2)/H4237</f>
        <v>1.38273606532607</v>
      </c>
    </row>
    <row r="4238" customFormat="false" ht="15" hidden="false" customHeight="false" outlineLevel="0" collapsed="false">
      <c r="A4238" s="0" t="n">
        <v>0.456980359628005</v>
      </c>
      <c r="B4238" s="0" t="n">
        <v>0.328272293558151</v>
      </c>
      <c r="C4238" s="0" t="n">
        <v>0.158239262674214</v>
      </c>
      <c r="D4238" s="0" t="n">
        <f aca="false">A4238/SUM($A4238:$C4238)</f>
        <v>0.484350053186502</v>
      </c>
      <c r="E4238" s="0" t="n">
        <f aca="false">B4238/SUM($A4238:$C4238)</f>
        <v>0.347933340010444</v>
      </c>
      <c r="F4238" s="0" t="n">
        <f aca="false">C4238/SUM($A4238:$C4238)</f>
        <v>0.167716606803054</v>
      </c>
      <c r="G4238" s="0" t="n">
        <f aca="false">SUMPRODUCT(D4238:F4238,Stats!$B$6:$D$6)</f>
        <v>0.371878617593822</v>
      </c>
      <c r="H4238" s="0" t="n">
        <f aca="false">SQRT(SUMPRODUCT(MMULT(D4238:F4238,Stats!$B$12:$D$14),D4238:F4238))</f>
        <v>0.224519388054363</v>
      </c>
      <c r="I4238" s="0" t="n">
        <f aca="false">(G4238-Stats!$B$2)/H4238</f>
        <v>1.4692656186732</v>
      </c>
    </row>
    <row r="4239" customFormat="false" ht="15" hidden="false" customHeight="false" outlineLevel="0" collapsed="false">
      <c r="A4239" s="0" t="n">
        <v>0.167614256146629</v>
      </c>
      <c r="B4239" s="0" t="n">
        <v>0.6618905547009</v>
      </c>
      <c r="C4239" s="0" t="n">
        <v>0.550430387947121</v>
      </c>
      <c r="D4239" s="0" t="n">
        <f aca="false">A4239/SUM($A4239:$C4239)</f>
        <v>0.121465309597898</v>
      </c>
      <c r="E4239" s="0" t="n">
        <f aca="false">B4239/SUM($A4239:$C4239)</f>
        <v>0.479653360012159</v>
      </c>
      <c r="F4239" s="0" t="n">
        <f aca="false">C4239/SUM($A4239:$C4239)</f>
        <v>0.398881330389943</v>
      </c>
      <c r="G4239" s="0" t="n">
        <f aca="false">SUMPRODUCT(D4239:F4239,Stats!$B$6:$D$6)</f>
        <v>0.373083338720554</v>
      </c>
      <c r="H4239" s="0" t="n">
        <f aca="false">SQRT(SUMPRODUCT(MMULT(D4239:F4239,Stats!$B$12:$D$14),D4239:F4239))</f>
        <v>0.235753215606263</v>
      </c>
      <c r="I4239" s="0" t="n">
        <f aca="false">(G4239-Stats!$B$2)/H4239</f>
        <v>1.40436404173381</v>
      </c>
    </row>
    <row r="4240" customFormat="false" ht="15" hidden="false" customHeight="false" outlineLevel="0" collapsed="false">
      <c r="A4240" s="0" t="n">
        <v>0.122085421651233</v>
      </c>
      <c r="B4240" s="0" t="n">
        <v>0.112697860438325</v>
      </c>
      <c r="C4240" s="0" t="n">
        <v>0.0723105747727915</v>
      </c>
      <c r="D4240" s="0" t="n">
        <f aca="false">A4240/SUM($A4240:$C4240)</f>
        <v>0.397550842920169</v>
      </c>
      <c r="E4240" s="0" t="n">
        <f aca="false">B4240/SUM($A4240:$C4240)</f>
        <v>0.366981813279451</v>
      </c>
      <c r="F4240" s="0" t="n">
        <f aca="false">C4240/SUM($A4240:$C4240)</f>
        <v>0.23546734380038</v>
      </c>
      <c r="G4240" s="0" t="n">
        <f aca="false">SUMPRODUCT(D4240:F4240,Stats!$B$6:$D$6)</f>
        <v>0.371106441577367</v>
      </c>
      <c r="H4240" s="0" t="n">
        <f aca="false">SQRT(SUMPRODUCT(MMULT(D4240:F4240,Stats!$B$12:$D$14),D4240:F4240))</f>
        <v>0.225360670044017</v>
      </c>
      <c r="I4240" s="0" t="n">
        <f aca="false">(G4240-Stats!$B$2)/H4240</f>
        <v>1.4603543799949</v>
      </c>
    </row>
    <row r="4241" customFormat="false" ht="15" hidden="false" customHeight="false" outlineLevel="0" collapsed="false">
      <c r="A4241" s="0" t="n">
        <v>0.743767347373544</v>
      </c>
      <c r="B4241" s="0" t="n">
        <v>0.711882085229289</v>
      </c>
      <c r="C4241" s="0" t="n">
        <v>0.0584309908545752</v>
      </c>
      <c r="D4241" s="0" t="n">
        <f aca="false">A4241/SUM($A4241:$C4241)</f>
        <v>0.491233712457063</v>
      </c>
      <c r="E4241" s="0" t="n">
        <f aca="false">B4241/SUM($A4241:$C4241)</f>
        <v>0.470174552289438</v>
      </c>
      <c r="F4241" s="0" t="n">
        <f aca="false">C4241/SUM($A4241:$C4241)</f>
        <v>0.0385917352534998</v>
      </c>
      <c r="G4241" s="0" t="n">
        <f aca="false">SUMPRODUCT(D4241:F4241,Stats!$B$6:$D$6)</f>
        <v>0.382472787403593</v>
      </c>
      <c r="H4241" s="0" t="n">
        <f aca="false">SQRT(SUMPRODUCT(MMULT(D4241:F4241,Stats!$B$12:$D$14),D4241:F4241))</f>
        <v>0.228322224137131</v>
      </c>
      <c r="I4241" s="0" t="n">
        <f aca="false">(G4241-Stats!$B$2)/H4241</f>
        <v>1.49119424834922</v>
      </c>
    </row>
    <row r="4242" customFormat="false" ht="15" hidden="false" customHeight="false" outlineLevel="0" collapsed="false">
      <c r="A4242" s="0" t="n">
        <v>0.560270075596973</v>
      </c>
      <c r="B4242" s="0" t="n">
        <v>0.0846761552426899</v>
      </c>
      <c r="C4242" s="0" t="n">
        <v>0.903745770608942</v>
      </c>
      <c r="D4242" s="0" t="n">
        <f aca="false">A4242/SUM($A4242:$C4242)</f>
        <v>0.36176985163797</v>
      </c>
      <c r="E4242" s="0" t="n">
        <f aca="false">B4242/SUM($A4242:$C4242)</f>
        <v>0.0546759169437733</v>
      </c>
      <c r="F4242" s="0" t="n">
        <f aca="false">C4242/SUM($A4242:$C4242)</f>
        <v>0.583554231418257</v>
      </c>
      <c r="G4242" s="0" t="n">
        <f aca="false">SUMPRODUCT(D4242:F4242,Stats!$B$6:$D$6)</f>
        <v>0.343538402467017</v>
      </c>
      <c r="H4242" s="0" t="n">
        <f aca="false">SQRT(SUMPRODUCT(MMULT(D4242:F4242,Stats!$B$12:$D$14),D4242:F4242))</f>
        <v>0.22784111325319</v>
      </c>
      <c r="I4242" s="0" t="n">
        <f aca="false">(G4242-Stats!$B$2)/H4242</f>
        <v>1.32345913413761</v>
      </c>
    </row>
    <row r="4243" customFormat="false" ht="15" hidden="false" customHeight="false" outlineLevel="0" collapsed="false">
      <c r="A4243" s="0" t="n">
        <v>0.907117419180132</v>
      </c>
      <c r="B4243" s="0" t="n">
        <v>0.69823298981313</v>
      </c>
      <c r="C4243" s="0" t="n">
        <v>0.92618892143945</v>
      </c>
      <c r="D4243" s="0" t="n">
        <f aca="false">A4243/SUM($A4243:$C4243)</f>
        <v>0.358326417557605</v>
      </c>
      <c r="E4243" s="0" t="n">
        <f aca="false">B4243/SUM($A4243:$C4243)</f>
        <v>0.275813605350458</v>
      </c>
      <c r="F4243" s="0" t="n">
        <f aca="false">C4243/SUM($A4243:$C4243)</f>
        <v>0.365859977091937</v>
      </c>
      <c r="G4243" s="0" t="n">
        <f aca="false">SUMPRODUCT(D4243:F4243,Stats!$B$6:$D$6)</f>
        <v>0.362265214178464</v>
      </c>
      <c r="H4243" s="0" t="n">
        <f aca="false">SQRT(SUMPRODUCT(MMULT(D4243:F4243,Stats!$B$12:$D$14),D4243:F4243))</f>
        <v>0.225360311456969</v>
      </c>
      <c r="I4243" s="0" t="n">
        <f aca="false">(G4243-Stats!$B$2)/H4243</f>
        <v>1.42112518441215</v>
      </c>
    </row>
    <row r="4244" customFormat="false" ht="15" hidden="false" customHeight="false" outlineLevel="0" collapsed="false">
      <c r="A4244" s="0" t="n">
        <v>0.811453030413691</v>
      </c>
      <c r="B4244" s="0" t="n">
        <v>0.828538575927049</v>
      </c>
      <c r="C4244" s="0" t="n">
        <v>0.569707850569933</v>
      </c>
      <c r="D4244" s="0" t="n">
        <f aca="false">A4244/SUM($A4244:$C4244)</f>
        <v>0.367223256482202</v>
      </c>
      <c r="E4244" s="0" t="n">
        <f aca="false">B4244/SUM($A4244:$C4244)</f>
        <v>0.37495532405362</v>
      </c>
      <c r="F4244" s="0" t="n">
        <f aca="false">C4244/SUM($A4244:$C4244)</f>
        <v>0.257821419464178</v>
      </c>
      <c r="G4244" s="0" t="n">
        <f aca="false">SUMPRODUCT(D4244:F4244,Stats!$B$6:$D$6)</f>
        <v>0.370948822028799</v>
      </c>
      <c r="H4244" s="0" t="n">
        <f aca="false">SQRT(SUMPRODUCT(MMULT(D4244:F4244,Stats!$B$12:$D$14),D4244:F4244))</f>
        <v>0.225954352618053</v>
      </c>
      <c r="I4244" s="0" t="n">
        <f aca="false">(G4244-Stats!$B$2)/H4244</f>
        <v>1.45581980704238</v>
      </c>
    </row>
    <row r="4245" customFormat="false" ht="15" hidden="false" customHeight="false" outlineLevel="0" collapsed="false">
      <c r="A4245" s="0" t="n">
        <v>0.306059198216176</v>
      </c>
      <c r="B4245" s="0" t="n">
        <v>0.217799115116422</v>
      </c>
      <c r="C4245" s="0" t="n">
        <v>0.327200022038929</v>
      </c>
      <c r="D4245" s="0" t="n">
        <f aca="false">A4245/SUM($A4245:$C4245)</f>
        <v>0.359621879600729</v>
      </c>
      <c r="E4245" s="0" t="n">
        <f aca="false">B4245/SUM($A4245:$C4245)</f>
        <v>0.255915612437239</v>
      </c>
      <c r="F4245" s="0" t="n">
        <f aca="false">C4245/SUM($A4245:$C4245)</f>
        <v>0.384462507962032</v>
      </c>
      <c r="G4245" s="0" t="n">
        <f aca="false">SUMPRODUCT(D4245:F4245,Stats!$B$6:$D$6)</f>
        <v>0.360607351785872</v>
      </c>
      <c r="H4245" s="0" t="n">
        <f aca="false">SQRT(SUMPRODUCT(MMULT(D4245:F4245,Stats!$B$12:$D$14),D4245:F4245))</f>
        <v>0.225312711251929</v>
      </c>
      <c r="I4245" s="0" t="n">
        <f aca="false">(G4245-Stats!$B$2)/H4245</f>
        <v>1.41406736448894</v>
      </c>
    </row>
    <row r="4246" customFormat="false" ht="15" hidden="false" customHeight="false" outlineLevel="0" collapsed="false">
      <c r="A4246" s="0" t="n">
        <v>0.628495430089062</v>
      </c>
      <c r="B4246" s="0" t="n">
        <v>0.172656535832399</v>
      </c>
      <c r="C4246" s="0" t="n">
        <v>0.258640236637322</v>
      </c>
      <c r="D4246" s="0" t="n">
        <f aca="false">A4246/SUM($A4246:$C4246)</f>
        <v>0.593036473161069</v>
      </c>
      <c r="E4246" s="0" t="n">
        <f aca="false">B4246/SUM($A4246:$C4246)</f>
        <v>0.162915461555137</v>
      </c>
      <c r="F4246" s="0" t="n">
        <f aca="false">C4246/SUM($A4246:$C4246)</f>
        <v>0.244048065283794</v>
      </c>
      <c r="G4246" s="0" t="n">
        <f aca="false">SUMPRODUCT(D4246:F4246,Stats!$B$6:$D$6)</f>
        <v>0.359128117722474</v>
      </c>
      <c r="H4246" s="0" t="n">
        <f aca="false">SQRT(SUMPRODUCT(MMULT(D4246:F4246,Stats!$B$12:$D$14),D4246:F4246))</f>
        <v>0.221797491159171</v>
      </c>
      <c r="I4246" s="0" t="n">
        <f aca="false">(G4246-Stats!$B$2)/H4246</f>
        <v>1.4298093096774</v>
      </c>
    </row>
    <row r="4247" customFormat="false" ht="15" hidden="false" customHeight="false" outlineLevel="0" collapsed="false">
      <c r="A4247" s="0" t="n">
        <v>0.468060862795464</v>
      </c>
      <c r="B4247" s="0" t="n">
        <v>0.233050098524616</v>
      </c>
      <c r="C4247" s="0" t="n">
        <v>0.588643669716062</v>
      </c>
      <c r="D4247" s="0" t="n">
        <f aca="false">A4247/SUM($A4247:$C4247)</f>
        <v>0.362906906113949</v>
      </c>
      <c r="E4247" s="0" t="n">
        <f aca="false">B4247/SUM($A4247:$C4247)</f>
        <v>0.180693360517257</v>
      </c>
      <c r="F4247" s="0" t="n">
        <f aca="false">C4247/SUM($A4247:$C4247)</f>
        <v>0.456399733368793</v>
      </c>
      <c r="G4247" s="0" t="n">
        <f aca="false">SUMPRODUCT(D4247:F4247,Stats!$B$6:$D$6)</f>
        <v>0.354295519446572</v>
      </c>
      <c r="H4247" s="0" t="n">
        <f aca="false">SQRT(SUMPRODUCT(MMULT(D4247:F4247,Stats!$B$12:$D$14),D4247:F4247))</f>
        <v>0.225592555216496</v>
      </c>
      <c r="I4247" s="0" t="n">
        <f aca="false">(G4247-Stats!$B$2)/H4247</f>
        <v>1.38433433296089</v>
      </c>
    </row>
    <row r="4248" customFormat="false" ht="15" hidden="false" customHeight="false" outlineLevel="0" collapsed="false">
      <c r="A4248" s="0" t="n">
        <v>0.92317602845633</v>
      </c>
      <c r="B4248" s="0" t="n">
        <v>0.748089365703127</v>
      </c>
      <c r="C4248" s="0" t="n">
        <v>0.666426614148913</v>
      </c>
      <c r="D4248" s="0" t="n">
        <f aca="false">A4248/SUM($A4248:$C4248)</f>
        <v>0.394909177588527</v>
      </c>
      <c r="E4248" s="0" t="n">
        <f aca="false">B4248/SUM($A4248:$C4248)</f>
        <v>0.320011944706295</v>
      </c>
      <c r="F4248" s="0" t="n">
        <f aca="false">C4248/SUM($A4248:$C4248)</f>
        <v>0.285078877705178</v>
      </c>
      <c r="G4248" s="0" t="n">
        <f aca="false">SUMPRODUCT(D4248:F4248,Stats!$B$6:$D$6)</f>
        <v>0.367035837165753</v>
      </c>
      <c r="H4248" s="0" t="n">
        <f aca="false">SQRT(SUMPRODUCT(MMULT(D4248:F4248,Stats!$B$12:$D$14),D4248:F4248))</f>
        <v>0.224759114249729</v>
      </c>
      <c r="I4248" s="0" t="n">
        <f aca="false">(G4248-Stats!$B$2)/H4248</f>
        <v>1.44615197586429</v>
      </c>
    </row>
    <row r="4249" customFormat="false" ht="15" hidden="false" customHeight="false" outlineLevel="0" collapsed="false">
      <c r="A4249" s="0" t="n">
        <v>0.582721475983779</v>
      </c>
      <c r="B4249" s="0" t="n">
        <v>0.487947909257065</v>
      </c>
      <c r="C4249" s="0" t="n">
        <v>0.18656385963466</v>
      </c>
      <c r="D4249" s="0" t="n">
        <f aca="false">A4249/SUM($A4249:$C4249)</f>
        <v>0.46349512181527</v>
      </c>
      <c r="E4249" s="0" t="n">
        <f aca="false">B4249/SUM($A4249:$C4249)</f>
        <v>0.388112477335408</v>
      </c>
      <c r="F4249" s="0" t="n">
        <f aca="false">C4249/SUM($A4249:$C4249)</f>
        <v>0.148392400849322</v>
      </c>
      <c r="G4249" s="0" t="n">
        <f aca="false">SUMPRODUCT(D4249:F4249,Stats!$B$6:$D$6)</f>
        <v>0.374723330699354</v>
      </c>
      <c r="H4249" s="0" t="n">
        <f aca="false">SQRT(SUMPRODUCT(MMULT(D4249:F4249,Stats!$B$12:$D$14),D4249:F4249))</f>
        <v>0.225453171804649</v>
      </c>
      <c r="I4249" s="0" t="n">
        <f aca="false">(G4249-Stats!$B$2)/H4249</f>
        <v>1.47579795855635</v>
      </c>
    </row>
    <row r="4250" customFormat="false" ht="15" hidden="false" customHeight="false" outlineLevel="0" collapsed="false">
      <c r="A4250" s="0" t="n">
        <v>0.894710455426866</v>
      </c>
      <c r="B4250" s="0" t="n">
        <v>0.248536002012836</v>
      </c>
      <c r="C4250" s="0" t="n">
        <v>0.0913088775781608</v>
      </c>
      <c r="D4250" s="0" t="n">
        <f aca="false">A4250/SUM($A4250:$C4250)</f>
        <v>0.724722845585468</v>
      </c>
      <c r="E4250" s="0" t="n">
        <f aca="false">B4250/SUM($A4250:$C4250)</f>
        <v>0.201316210754733</v>
      </c>
      <c r="F4250" s="0" t="n">
        <f aca="false">C4250/SUM($A4250:$C4250)</f>
        <v>0.0739609436597993</v>
      </c>
      <c r="G4250" s="0" t="n">
        <f aca="false">SUMPRODUCT(D4250:F4250,Stats!$B$6:$D$6)</f>
        <v>0.366027734090137</v>
      </c>
      <c r="H4250" s="0" t="n">
        <f aca="false">SQRT(SUMPRODUCT(MMULT(D4250:F4250,Stats!$B$12:$D$14),D4250:F4250))</f>
        <v>0.225225499048894</v>
      </c>
      <c r="I4250" s="0" t="n">
        <f aca="false">(G4250-Stats!$B$2)/H4250</f>
        <v>1.43868139024433</v>
      </c>
    </row>
    <row r="4251" customFormat="false" ht="15" hidden="false" customHeight="false" outlineLevel="0" collapsed="false">
      <c r="A4251" s="0" t="n">
        <v>0.750015179228695</v>
      </c>
      <c r="B4251" s="0" t="n">
        <v>0.175615534331166</v>
      </c>
      <c r="C4251" s="0" t="n">
        <v>0.371895999541176</v>
      </c>
      <c r="D4251" s="0" t="n">
        <f aca="false">A4251/SUM($A4251:$C4251)</f>
        <v>0.578034480258359</v>
      </c>
      <c r="E4251" s="0" t="n">
        <f aca="false">B4251/SUM($A4251:$C4251)</f>
        <v>0.135346372878484</v>
      </c>
      <c r="F4251" s="0" t="n">
        <f aca="false">C4251/SUM($A4251:$C4251)</f>
        <v>0.286619146863157</v>
      </c>
      <c r="G4251" s="0" t="n">
        <f aca="false">SUMPRODUCT(D4251:F4251,Stats!$B$6:$D$6)</f>
        <v>0.356367946841141</v>
      </c>
      <c r="H4251" s="0" t="n">
        <f aca="false">SQRT(SUMPRODUCT(MMULT(D4251:F4251,Stats!$B$12:$D$14),D4251:F4251))</f>
        <v>0.221527420039514</v>
      </c>
      <c r="I4251" s="0" t="n">
        <f aca="false">(G4251-Stats!$B$2)/H4251</f>
        <v>1.41909270999078</v>
      </c>
    </row>
    <row r="4252" customFormat="false" ht="15" hidden="false" customHeight="false" outlineLevel="0" collapsed="false">
      <c r="A4252" s="0" t="n">
        <v>0.0282849282909797</v>
      </c>
      <c r="B4252" s="0" t="n">
        <v>0.137067942540448</v>
      </c>
      <c r="C4252" s="0" t="n">
        <v>0.173203630759912</v>
      </c>
      <c r="D4252" s="0" t="n">
        <f aca="false">A4252/SUM($A4252:$C4252)</f>
        <v>0.0835456656659381</v>
      </c>
      <c r="E4252" s="0" t="n">
        <f aca="false">B4252/SUM($A4252:$C4252)</f>
        <v>0.404859873894545</v>
      </c>
      <c r="F4252" s="0" t="n">
        <f aca="false">C4252/SUM($A4252:$C4252)</f>
        <v>0.511594460439517</v>
      </c>
      <c r="G4252" s="0" t="n">
        <f aca="false">SUMPRODUCT(D4252:F4252,Stats!$B$6:$D$6)</f>
        <v>0.365671797123293</v>
      </c>
      <c r="H4252" s="0" t="n">
        <f aca="false">SQRT(SUMPRODUCT(MMULT(D4252:F4252,Stats!$B$12:$D$14),D4252:F4252))</f>
        <v>0.238249838044489</v>
      </c>
      <c r="I4252" s="0" t="n">
        <f aca="false">(G4252-Stats!$B$2)/H4252</f>
        <v>1.3585394213903</v>
      </c>
    </row>
    <row r="4253" customFormat="false" ht="15" hidden="false" customHeight="false" outlineLevel="0" collapsed="false">
      <c r="A4253" s="0" t="n">
        <v>0.054410127750178</v>
      </c>
      <c r="B4253" s="0" t="n">
        <v>0.656656956622845</v>
      </c>
      <c r="C4253" s="0" t="n">
        <v>0.837007795803117</v>
      </c>
      <c r="D4253" s="0" t="n">
        <f aca="false">A4253/SUM($A4253:$C4253)</f>
        <v>0.0351469612012483</v>
      </c>
      <c r="E4253" s="0" t="n">
        <f aca="false">B4253/SUM($A4253:$C4253)</f>
        <v>0.424176482049842</v>
      </c>
      <c r="F4253" s="0" t="n">
        <f aca="false">C4253/SUM($A4253:$C4253)</f>
        <v>0.54067655674891</v>
      </c>
      <c r="G4253" s="0" t="n">
        <f aca="false">SUMPRODUCT(D4253:F4253,Stats!$B$6:$D$6)</f>
        <v>0.365981322135383</v>
      </c>
      <c r="H4253" s="0" t="n">
        <f aca="false">SQRT(SUMPRODUCT(MMULT(D4253:F4253,Stats!$B$12:$D$14),D4253:F4253))</f>
        <v>0.241442397590658</v>
      </c>
      <c r="I4253" s="0" t="n">
        <f aca="false">(G4253-Stats!$B$2)/H4253</f>
        <v>1.3418576247104</v>
      </c>
    </row>
    <row r="4254" customFormat="false" ht="15" hidden="false" customHeight="false" outlineLevel="0" collapsed="false">
      <c r="A4254" s="0" t="n">
        <v>0.373315406365941</v>
      </c>
      <c r="B4254" s="0" t="n">
        <v>0.874576476718201</v>
      </c>
      <c r="C4254" s="0" t="n">
        <v>0.213346574560127</v>
      </c>
      <c r="D4254" s="0" t="n">
        <f aca="false">A4254/SUM($A4254:$C4254)</f>
        <v>0.255478771731604</v>
      </c>
      <c r="E4254" s="0" t="n">
        <f aca="false">B4254/SUM($A4254:$C4254)</f>
        <v>0.598517286581786</v>
      </c>
      <c r="F4254" s="0" t="n">
        <f aca="false">C4254/SUM($A4254:$C4254)</f>
        <v>0.146003941686611</v>
      </c>
      <c r="G4254" s="0" t="n">
        <f aca="false">SUMPRODUCT(D4254:F4254,Stats!$B$6:$D$6)</f>
        <v>0.386895611944537</v>
      </c>
      <c r="H4254" s="0" t="n">
        <f aca="false">SQRT(SUMPRODUCT(MMULT(D4254:F4254,Stats!$B$12:$D$14),D4254:F4254))</f>
        <v>0.232981183754515</v>
      </c>
      <c r="I4254" s="0" t="n">
        <f aca="false">(G4254-Stats!$B$2)/H4254</f>
        <v>1.48035822630184</v>
      </c>
    </row>
    <row r="4255" customFormat="false" ht="15" hidden="false" customHeight="false" outlineLevel="0" collapsed="false">
      <c r="A4255" s="0" t="n">
        <v>0.32539042356124</v>
      </c>
      <c r="B4255" s="0" t="n">
        <v>0.150736993031168</v>
      </c>
      <c r="C4255" s="0" t="n">
        <v>0.620559195418999</v>
      </c>
      <c r="D4255" s="0" t="n">
        <f aca="false">A4255/SUM($A4255:$C4255)</f>
        <v>0.296703196699419</v>
      </c>
      <c r="E4255" s="0" t="n">
        <f aca="false">B4255/SUM($A4255:$C4255)</f>
        <v>0.137447645827193</v>
      </c>
      <c r="F4255" s="0" t="n">
        <f aca="false">C4255/SUM($A4255:$C4255)</f>
        <v>0.565849157473388</v>
      </c>
      <c r="G4255" s="0" t="n">
        <f aca="false">SUMPRODUCT(D4255:F4255,Stats!$B$6:$D$6)</f>
        <v>0.348789191221917</v>
      </c>
      <c r="H4255" s="0" t="n">
        <f aca="false">SQRT(SUMPRODUCT(MMULT(D4255:F4255,Stats!$B$12:$D$14),D4255:F4255))</f>
        <v>0.229319526943097</v>
      </c>
      <c r="I4255" s="0" t="n">
        <f aca="false">(G4255-Stats!$B$2)/H4255</f>
        <v>1.33782410644011</v>
      </c>
    </row>
    <row r="4256" customFormat="false" ht="15" hidden="false" customHeight="false" outlineLevel="0" collapsed="false">
      <c r="A4256" s="0" t="n">
        <v>0.419869590870307</v>
      </c>
      <c r="B4256" s="0" t="n">
        <v>0.613283346841899</v>
      </c>
      <c r="C4256" s="0" t="n">
        <v>0.761674905394184</v>
      </c>
      <c r="D4256" s="0" t="n">
        <f aca="false">A4256/SUM($A4256:$C4256)</f>
        <v>0.233933071900433</v>
      </c>
      <c r="E4256" s="0" t="n">
        <f aca="false">B4256/SUM($A4256:$C4256)</f>
        <v>0.341694803319109</v>
      </c>
      <c r="F4256" s="0" t="n">
        <f aca="false">C4256/SUM($A4256:$C4256)</f>
        <v>0.424372124780457</v>
      </c>
      <c r="G4256" s="0" t="n">
        <f aca="false">SUMPRODUCT(D4256:F4256,Stats!$B$6:$D$6)</f>
        <v>0.364442483073658</v>
      </c>
      <c r="H4256" s="0" t="n">
        <f aca="false">SQRT(SUMPRODUCT(MMULT(D4256:F4256,Stats!$B$12:$D$14),D4256:F4256))</f>
        <v>0.230067703051132</v>
      </c>
      <c r="I4256" s="0" t="n">
        <f aca="false">(G4256-Stats!$B$2)/H4256</f>
        <v>1.40151128905736</v>
      </c>
    </row>
    <row r="4257" customFormat="false" ht="15" hidden="false" customHeight="false" outlineLevel="0" collapsed="false">
      <c r="A4257" s="0" t="n">
        <v>0.545703016032949</v>
      </c>
      <c r="B4257" s="0" t="n">
        <v>0.627630354901788</v>
      </c>
      <c r="C4257" s="0" t="n">
        <v>0.935250314394333</v>
      </c>
      <c r="D4257" s="0" t="n">
        <f aca="false">A4257/SUM($A4257:$C4257)</f>
        <v>0.25880073901254</v>
      </c>
      <c r="E4257" s="0" t="n">
        <f aca="false">B4257/SUM($A4257:$C4257)</f>
        <v>0.297654942162677</v>
      </c>
      <c r="F4257" s="0" t="n">
        <f aca="false">C4257/SUM($A4257:$C4257)</f>
        <v>0.443544318824783</v>
      </c>
      <c r="G4257" s="0" t="n">
        <f aca="false">SUMPRODUCT(D4257:F4257,Stats!$B$6:$D$6)</f>
        <v>0.361379820585635</v>
      </c>
      <c r="H4257" s="0" t="n">
        <f aca="false">SQRT(SUMPRODUCT(MMULT(D4257:F4257,Stats!$B$12:$D$14),D4257:F4257))</f>
        <v>0.229089928823236</v>
      </c>
      <c r="I4257" s="0" t="n">
        <f aca="false">(G4257-Stats!$B$2)/H4257</f>
        <v>1.39412422984367</v>
      </c>
    </row>
    <row r="4258" customFormat="false" ht="15" hidden="false" customHeight="false" outlineLevel="0" collapsed="false">
      <c r="A4258" s="0" t="n">
        <v>0.299064309608843</v>
      </c>
      <c r="B4258" s="0" t="n">
        <v>0.359163938633953</v>
      </c>
      <c r="C4258" s="0" t="n">
        <v>0.717703361709337</v>
      </c>
      <c r="D4258" s="0" t="n">
        <f aca="false">A4258/SUM($A4258:$C4258)</f>
        <v>0.217354051208437</v>
      </c>
      <c r="E4258" s="0" t="n">
        <f aca="false">B4258/SUM($A4258:$C4258)</f>
        <v>0.261033278133968</v>
      </c>
      <c r="F4258" s="0" t="n">
        <f aca="false">C4258/SUM($A4258:$C4258)</f>
        <v>0.521612670657595</v>
      </c>
      <c r="G4258" s="0" t="n">
        <f aca="false">SUMPRODUCT(D4258:F4258,Stats!$B$6:$D$6)</f>
        <v>0.357119952660792</v>
      </c>
      <c r="H4258" s="0" t="n">
        <f aca="false">SQRT(SUMPRODUCT(MMULT(D4258:F4258,Stats!$B$12:$D$14),D4258:F4258))</f>
        <v>0.231580272285692</v>
      </c>
      <c r="I4258" s="0" t="n">
        <f aca="false">(G4258-Stats!$B$2)/H4258</f>
        <v>1.36073746502915</v>
      </c>
    </row>
    <row r="4259" customFormat="false" ht="15" hidden="false" customHeight="false" outlineLevel="0" collapsed="false">
      <c r="A4259" s="0" t="n">
        <v>0.611305517055387</v>
      </c>
      <c r="B4259" s="0" t="n">
        <v>0.178532904539715</v>
      </c>
      <c r="C4259" s="0" t="n">
        <v>0.37614731001049</v>
      </c>
      <c r="D4259" s="0" t="n">
        <f aca="false">A4259/SUM($A4259:$C4259)</f>
        <v>0.524282159279603</v>
      </c>
      <c r="E4259" s="0" t="n">
        <f aca="false">B4259/SUM($A4259:$C4259)</f>
        <v>0.153117572282699</v>
      </c>
      <c r="F4259" s="0" t="n">
        <f aca="false">C4259/SUM($A4259:$C4259)</f>
        <v>0.322600268437699</v>
      </c>
      <c r="G4259" s="0" t="n">
        <f aca="false">SUMPRODUCT(D4259:F4259,Stats!$B$6:$D$6)</f>
        <v>0.356398313065695</v>
      </c>
      <c r="H4259" s="0" t="n">
        <f aca="false">SQRT(SUMPRODUCT(MMULT(D4259:F4259,Stats!$B$12:$D$14),D4259:F4259))</f>
        <v>0.221862002325526</v>
      </c>
      <c r="I4259" s="0" t="n">
        <f aca="false">(G4259-Stats!$B$2)/H4259</f>
        <v>1.41708949603905</v>
      </c>
    </row>
    <row r="4260" customFormat="false" ht="15" hidden="false" customHeight="false" outlineLevel="0" collapsed="false">
      <c r="A4260" s="0" t="n">
        <v>0.467838013124715</v>
      </c>
      <c r="B4260" s="0" t="n">
        <v>0.419389837968389</v>
      </c>
      <c r="C4260" s="0" t="n">
        <v>0.178274808322041</v>
      </c>
      <c r="D4260" s="0" t="n">
        <f aca="false">A4260/SUM($A4260:$C4260)</f>
        <v>0.439077283374883</v>
      </c>
      <c r="E4260" s="0" t="n">
        <f aca="false">B4260/SUM($A4260:$C4260)</f>
        <v>0.393607499955554</v>
      </c>
      <c r="F4260" s="0" t="n">
        <f aca="false">C4260/SUM($A4260:$C4260)</f>
        <v>0.167315216669563</v>
      </c>
      <c r="G4260" s="0" t="n">
        <f aca="false">SUMPRODUCT(D4260:F4260,Stats!$B$6:$D$6)</f>
        <v>0.374517717820704</v>
      </c>
      <c r="H4260" s="0" t="n">
        <f aca="false">SQRT(SUMPRODUCT(MMULT(D4260:F4260,Stats!$B$12:$D$14),D4260:F4260))</f>
        <v>0.225590637202133</v>
      </c>
      <c r="I4260" s="0" t="n">
        <f aca="false">(G4260-Stats!$B$2)/H4260</f>
        <v>1.47398722723923</v>
      </c>
    </row>
    <row r="4261" customFormat="false" ht="15" hidden="false" customHeight="false" outlineLevel="0" collapsed="false">
      <c r="A4261" s="0" t="n">
        <v>0.924430091784262</v>
      </c>
      <c r="B4261" s="0" t="n">
        <v>0.762318761693976</v>
      </c>
      <c r="C4261" s="0" t="n">
        <v>0.481355832107852</v>
      </c>
      <c r="D4261" s="0" t="n">
        <f aca="false">A4261/SUM($A4261:$C4261)</f>
        <v>0.426377055466935</v>
      </c>
      <c r="E4261" s="0" t="n">
        <f aca="false">B4261/SUM($A4261:$C4261)</f>
        <v>0.351606067161791</v>
      </c>
      <c r="F4261" s="0" t="n">
        <f aca="false">C4261/SUM($A4261:$C4261)</f>
        <v>0.222016877371274</v>
      </c>
      <c r="G4261" s="0" t="n">
        <f aca="false">SUMPRODUCT(D4261:F4261,Stats!$B$6:$D$6)</f>
        <v>0.370592632484656</v>
      </c>
      <c r="H4261" s="0" t="n">
        <f aca="false">SQRT(SUMPRODUCT(MMULT(D4261:F4261,Stats!$B$12:$D$14),D4261:F4261))</f>
        <v>0.224783930480284</v>
      </c>
      <c r="I4261" s="0" t="n">
        <f aca="false">(G4261-Stats!$B$2)/H4261</f>
        <v>1.46181549447316</v>
      </c>
    </row>
    <row r="4262" customFormat="false" ht="15" hidden="false" customHeight="false" outlineLevel="0" collapsed="false">
      <c r="A4262" s="0" t="n">
        <v>0.680061028306837</v>
      </c>
      <c r="B4262" s="0" t="n">
        <v>0.897282672135522</v>
      </c>
      <c r="C4262" s="0" t="n">
        <v>0.136174142361571</v>
      </c>
      <c r="D4262" s="0" t="n">
        <f aca="false">A4262/SUM($A4262:$C4262)</f>
        <v>0.396880039016117</v>
      </c>
      <c r="E4262" s="0" t="n">
        <f aca="false">B4262/SUM($A4262:$C4262)</f>
        <v>0.523649447774203</v>
      </c>
      <c r="F4262" s="0" t="n">
        <f aca="false">C4262/SUM($A4262:$C4262)</f>
        <v>0.0794705132096795</v>
      </c>
      <c r="G4262" s="0" t="n">
        <f aca="false">SUMPRODUCT(D4262:F4262,Stats!$B$6:$D$6)</f>
        <v>0.384422447099246</v>
      </c>
      <c r="H4262" s="0" t="n">
        <f aca="false">SQRT(SUMPRODUCT(MMULT(D4262:F4262,Stats!$B$12:$D$14),D4262:F4262))</f>
        <v>0.229451765903238</v>
      </c>
      <c r="I4262" s="0" t="n">
        <f aca="false">(G4262-Stats!$B$2)/H4262</f>
        <v>1.49235045435932</v>
      </c>
    </row>
    <row r="4263" customFormat="false" ht="15" hidden="false" customHeight="false" outlineLevel="0" collapsed="false">
      <c r="A4263" s="0" t="n">
        <v>0.250373050706978</v>
      </c>
      <c r="B4263" s="0" t="n">
        <v>0.542701247256645</v>
      </c>
      <c r="C4263" s="0" t="n">
        <v>0.799010371352359</v>
      </c>
      <c r="D4263" s="0" t="n">
        <f aca="false">A4263/SUM($A4263:$C4263)</f>
        <v>0.157261140398109</v>
      </c>
      <c r="E4263" s="0" t="n">
        <f aca="false">B4263/SUM($A4263:$C4263)</f>
        <v>0.340874614093112</v>
      </c>
      <c r="F4263" s="0" t="n">
        <f aca="false">C4263/SUM($A4263:$C4263)</f>
        <v>0.501864245508779</v>
      </c>
      <c r="G4263" s="0" t="n">
        <f aca="false">SUMPRODUCT(D4263:F4263,Stats!$B$6:$D$6)</f>
        <v>0.362258475023098</v>
      </c>
      <c r="H4263" s="0" t="n">
        <f aca="false">SQRT(SUMPRODUCT(MMULT(D4263:F4263,Stats!$B$12:$D$14),D4263:F4263))</f>
        <v>0.234165444921837</v>
      </c>
      <c r="I4263" s="0" t="n">
        <f aca="false">(G4263-Stats!$B$2)/H4263</f>
        <v>1.36765898627783</v>
      </c>
    </row>
    <row r="4264" customFormat="false" ht="15" hidden="false" customHeight="false" outlineLevel="0" collapsed="false">
      <c r="A4264" s="0" t="n">
        <v>0.0362548954415274</v>
      </c>
      <c r="B4264" s="0" t="n">
        <v>0.984018150196361</v>
      </c>
      <c r="C4264" s="0" t="n">
        <v>0.454906602882397</v>
      </c>
      <c r="D4264" s="0" t="n">
        <f aca="false">A4264/SUM($A4264:$C4264)</f>
        <v>0.0245765968083235</v>
      </c>
      <c r="E4264" s="0" t="n">
        <f aca="false">B4264/SUM($A4264:$C4264)</f>
        <v>0.667049705561898</v>
      </c>
      <c r="F4264" s="0" t="n">
        <f aca="false">C4264/SUM($A4264:$C4264)</f>
        <v>0.308373697629778</v>
      </c>
      <c r="G4264" s="0" t="n">
        <f aca="false">SUMPRODUCT(D4264:F4264,Stats!$B$6:$D$6)</f>
        <v>0.386361595063437</v>
      </c>
      <c r="H4264" s="0" t="n">
        <f aca="false">SQRT(SUMPRODUCT(MMULT(D4264:F4264,Stats!$B$12:$D$14),D4264:F4264))</f>
        <v>0.242693703271475</v>
      </c>
      <c r="I4264" s="0" t="n">
        <f aca="false">(G4264-Stats!$B$2)/H4264</f>
        <v>1.4189144193751</v>
      </c>
    </row>
    <row r="4265" customFormat="false" ht="15" hidden="false" customHeight="false" outlineLevel="0" collapsed="false">
      <c r="A4265" s="0" t="n">
        <v>0.359231140621723</v>
      </c>
      <c r="B4265" s="0" t="n">
        <v>0.292724437839772</v>
      </c>
      <c r="C4265" s="0" t="n">
        <v>0.174356707650872</v>
      </c>
      <c r="D4265" s="0" t="n">
        <f aca="false">A4265/SUM($A4265:$C4265)</f>
        <v>0.434740166229203</v>
      </c>
      <c r="E4265" s="0" t="n">
        <f aca="false">B4265/SUM($A4265:$C4265)</f>
        <v>0.354254006335766</v>
      </c>
      <c r="F4265" s="0" t="n">
        <f aca="false">C4265/SUM($A4265:$C4265)</f>
        <v>0.211005827435031</v>
      </c>
      <c r="G4265" s="0" t="n">
        <f aca="false">SUMPRODUCT(D4265:F4265,Stats!$B$6:$D$6)</f>
        <v>0.371048616944486</v>
      </c>
      <c r="H4265" s="0" t="n">
        <f aca="false">SQRT(SUMPRODUCT(MMULT(D4265:F4265,Stats!$B$12:$D$14),D4265:F4265))</f>
        <v>0.224766726219701</v>
      </c>
      <c r="I4265" s="0" t="n">
        <f aca="false">(G4265-Stats!$B$2)/H4265</f>
        <v>1.46395608673346</v>
      </c>
    </row>
    <row r="4266" customFormat="false" ht="15" hidden="false" customHeight="false" outlineLevel="0" collapsed="false">
      <c r="A4266" s="0" t="n">
        <v>0.791573908930028</v>
      </c>
      <c r="B4266" s="0" t="n">
        <v>0.955414164746097</v>
      </c>
      <c r="C4266" s="0" t="n">
        <v>0.413644754845398</v>
      </c>
      <c r="D4266" s="0" t="n">
        <f aca="false">A4266/SUM($A4266:$C4266)</f>
        <v>0.366362066928181</v>
      </c>
      <c r="E4266" s="0" t="n">
        <f aca="false">B4266/SUM($A4266:$C4266)</f>
        <v>0.442191820902706</v>
      </c>
      <c r="F4266" s="0" t="n">
        <f aca="false">C4266/SUM($A4266:$C4266)</f>
        <v>0.191446112169112</v>
      </c>
      <c r="G4266" s="0" t="n">
        <f aca="false">SUMPRODUCT(D4266:F4266,Stats!$B$6:$D$6)</f>
        <v>0.376647796604377</v>
      </c>
      <c r="H4266" s="0" t="n">
        <f aca="false">SQRT(SUMPRODUCT(MMULT(D4266:F4266,Stats!$B$12:$D$14),D4266:F4266))</f>
        <v>0.22722432119509</v>
      </c>
      <c r="I4266" s="0" t="n">
        <f aca="false">(G4266-Stats!$B$2)/H4266</f>
        <v>1.47276398426142</v>
      </c>
    </row>
    <row r="4267" customFormat="false" ht="15" hidden="false" customHeight="false" outlineLevel="0" collapsed="false">
      <c r="A4267" s="0" t="n">
        <v>0.952420694753456</v>
      </c>
      <c r="B4267" s="0" t="n">
        <v>0.823797615435034</v>
      </c>
      <c r="C4267" s="0" t="n">
        <v>0.481051127476318</v>
      </c>
      <c r="D4267" s="0" t="n">
        <f aca="false">A4267/SUM($A4267:$C4267)</f>
        <v>0.421934873551806</v>
      </c>
      <c r="E4267" s="0" t="n">
        <f aca="false">B4267/SUM($A4267:$C4267)</f>
        <v>0.364953160526228</v>
      </c>
      <c r="F4267" s="0" t="n">
        <f aca="false">C4267/SUM($A4267:$C4267)</f>
        <v>0.213111965921966</v>
      </c>
      <c r="G4267" s="0" t="n">
        <f aca="false">SUMPRODUCT(D4267:F4267,Stats!$B$6:$D$6)</f>
        <v>0.371606156470247</v>
      </c>
      <c r="H4267" s="0" t="n">
        <f aca="false">SQRT(SUMPRODUCT(MMULT(D4267:F4267,Stats!$B$12:$D$14),D4267:F4267))</f>
        <v>0.225065739038738</v>
      </c>
      <c r="I4267" s="0" t="n">
        <f aca="false">(G4267-Stats!$B$2)/H4267</f>
        <v>1.46448836627913</v>
      </c>
    </row>
    <row r="4268" customFormat="false" ht="15" hidden="false" customHeight="false" outlineLevel="0" collapsed="false">
      <c r="A4268" s="0" t="n">
        <v>0.674026179126133</v>
      </c>
      <c r="B4268" s="0" t="n">
        <v>0.434984179170463</v>
      </c>
      <c r="C4268" s="0" t="n">
        <v>0.558723408212552</v>
      </c>
      <c r="D4268" s="0" t="n">
        <f aca="false">A4268/SUM($A4268:$C4268)</f>
        <v>0.404156941990198</v>
      </c>
      <c r="E4268" s="0" t="n">
        <f aca="false">B4268/SUM($A4268:$C4268)</f>
        <v>0.26082351266471</v>
      </c>
      <c r="F4268" s="0" t="n">
        <f aca="false">C4268/SUM($A4268:$C4268)</f>
        <v>0.335019545345092</v>
      </c>
      <c r="G4268" s="0" t="n">
        <f aca="false">SUMPRODUCT(D4268:F4268,Stats!$B$6:$D$6)</f>
        <v>0.362253116690189</v>
      </c>
      <c r="H4268" s="0" t="n">
        <f aca="false">SQRT(SUMPRODUCT(MMULT(D4268:F4268,Stats!$B$12:$D$14),D4268:F4268))</f>
        <v>0.22413143635987</v>
      </c>
      <c r="I4268" s="0" t="n">
        <f aca="false">(G4268-Stats!$B$2)/H4268</f>
        <v>1.4288630006189</v>
      </c>
    </row>
    <row r="4269" customFormat="false" ht="15" hidden="false" customHeight="false" outlineLevel="0" collapsed="false">
      <c r="A4269" s="0" t="n">
        <v>0.0580463370185038</v>
      </c>
      <c r="B4269" s="0" t="n">
        <v>0.696263475300533</v>
      </c>
      <c r="C4269" s="0" t="n">
        <v>0.0528246444841367</v>
      </c>
      <c r="D4269" s="0" t="n">
        <f aca="false">A4269/SUM($A4269:$C4269)</f>
        <v>0.0719165642468153</v>
      </c>
      <c r="E4269" s="0" t="n">
        <f aca="false">B4269/SUM($A4269:$C4269)</f>
        <v>0.862636292419272</v>
      </c>
      <c r="F4269" s="0" t="n">
        <f aca="false">C4269/SUM($A4269:$C4269)</f>
        <v>0.0654471433339122</v>
      </c>
      <c r="G4269" s="0" t="n">
        <f aca="false">SUMPRODUCT(D4269:F4269,Stats!$B$6:$D$6)</f>
        <v>0.404314000428688</v>
      </c>
      <c r="H4269" s="0" t="n">
        <f aca="false">SQRT(SUMPRODUCT(MMULT(D4269:F4269,Stats!$B$12:$D$14),D4269:F4269))</f>
        <v>0.246524747582977</v>
      </c>
      <c r="I4269" s="0" t="n">
        <f aca="false">(G4269-Stats!$B$2)/H4269</f>
        <v>1.46968612271568</v>
      </c>
    </row>
    <row r="4270" customFormat="false" ht="15" hidden="false" customHeight="false" outlineLevel="0" collapsed="false">
      <c r="A4270" s="0" t="n">
        <v>0.81708494691965</v>
      </c>
      <c r="B4270" s="0" t="n">
        <v>0.824946929460558</v>
      </c>
      <c r="C4270" s="0" t="n">
        <v>0.237077287556215</v>
      </c>
      <c r="D4270" s="0" t="n">
        <f aca="false">A4270/SUM($A4270:$C4270)</f>
        <v>0.434825694324215</v>
      </c>
      <c r="E4270" s="0" t="n">
        <f aca="false">B4270/SUM($A4270:$C4270)</f>
        <v>0.439009582462166</v>
      </c>
      <c r="F4270" s="0" t="n">
        <f aca="false">C4270/SUM($A4270:$C4270)</f>
        <v>0.12616472321362</v>
      </c>
      <c r="G4270" s="0" t="n">
        <f aca="false">SUMPRODUCT(D4270:F4270,Stats!$B$6:$D$6)</f>
        <v>0.378264803915104</v>
      </c>
      <c r="H4270" s="0" t="n">
        <f aca="false">SQRT(SUMPRODUCT(MMULT(D4270:F4270,Stats!$B$12:$D$14),D4270:F4270))</f>
        <v>0.226797648961769</v>
      </c>
      <c r="I4270" s="0" t="n">
        <f aca="false">(G4270-Stats!$B$2)/H4270</f>
        <v>1.48266441673647</v>
      </c>
    </row>
    <row r="4271" customFormat="false" ht="15" hidden="false" customHeight="false" outlineLevel="0" collapsed="false">
      <c r="A4271" s="0" t="n">
        <v>0.3236627810358</v>
      </c>
      <c r="B4271" s="0" t="n">
        <v>0.481310378558293</v>
      </c>
      <c r="C4271" s="0" t="n">
        <v>0.596662906932482</v>
      </c>
      <c r="D4271" s="0" t="n">
        <f aca="false">A4271/SUM($A4271:$C4271)</f>
        <v>0.230917845769962</v>
      </c>
      <c r="E4271" s="0" t="n">
        <f aca="false">B4271/SUM($A4271:$C4271)</f>
        <v>0.343391833338763</v>
      </c>
      <c r="F4271" s="0" t="n">
        <f aca="false">C4271/SUM($A4271:$C4271)</f>
        <v>0.425690320891274</v>
      </c>
      <c r="G4271" s="0" t="n">
        <f aca="false">SUMPRODUCT(D4271:F4271,Stats!$B$6:$D$6)</f>
        <v>0.364503779233815</v>
      </c>
      <c r="H4271" s="0" t="n">
        <f aca="false">SQRT(SUMPRODUCT(MMULT(D4271:F4271,Stats!$B$12:$D$14),D4271:F4271))</f>
        <v>0.230204123100103</v>
      </c>
      <c r="I4271" s="0" t="n">
        <f aca="false">(G4271-Stats!$B$2)/H4271</f>
        <v>1.40094701559093</v>
      </c>
    </row>
    <row r="4272" customFormat="false" ht="15" hidden="false" customHeight="false" outlineLevel="0" collapsed="false">
      <c r="A4272" s="0" t="n">
        <v>0.287353661741997</v>
      </c>
      <c r="B4272" s="0" t="n">
        <v>0.592486404631925</v>
      </c>
      <c r="C4272" s="0" t="n">
        <v>0.297787073229299</v>
      </c>
      <c r="D4272" s="0" t="n">
        <f aca="false">A4272/SUM($A4272:$C4272)</f>
        <v>0.244010733175541</v>
      </c>
      <c r="E4272" s="0" t="n">
        <f aca="false">B4272/SUM($A4272:$C4272)</f>
        <v>0.503118843568391</v>
      </c>
      <c r="F4272" s="0" t="n">
        <f aca="false">C4272/SUM($A4272:$C4272)</f>
        <v>0.252870423256068</v>
      </c>
      <c r="G4272" s="0" t="n">
        <f aca="false">SUMPRODUCT(D4272:F4272,Stats!$B$6:$D$6)</f>
        <v>0.378459706879067</v>
      </c>
      <c r="H4272" s="0" t="n">
        <f aca="false">SQRT(SUMPRODUCT(MMULT(D4272:F4272,Stats!$B$12:$D$14),D4272:F4272))</f>
        <v>0.230942176947383</v>
      </c>
      <c r="I4272" s="0" t="n">
        <f aca="false">(G4272-Stats!$B$2)/H4272</f>
        <v>1.45690021340591</v>
      </c>
    </row>
    <row r="4273" customFormat="false" ht="15" hidden="false" customHeight="false" outlineLevel="0" collapsed="false">
      <c r="A4273" s="0" t="n">
        <v>0.0554907210710607</v>
      </c>
      <c r="B4273" s="0" t="n">
        <v>0.00252754983190895</v>
      </c>
      <c r="C4273" s="0" t="n">
        <v>0.101151057918429</v>
      </c>
      <c r="D4273" s="0" t="n">
        <f aca="false">A4273/SUM($A4273:$C4273)</f>
        <v>0.348626971552579</v>
      </c>
      <c r="E4273" s="0" t="n">
        <f aca="false">B4273/SUM($A4273:$C4273)</f>
        <v>0.0158796286358981</v>
      </c>
      <c r="F4273" s="0" t="n">
        <f aca="false">C4273/SUM($A4273:$C4273)</f>
        <v>0.635493399811523</v>
      </c>
      <c r="G4273" s="0" t="n">
        <f aca="false">SUMPRODUCT(D4273:F4273,Stats!$B$6:$D$6)</f>
        <v>0.339873911659245</v>
      </c>
      <c r="H4273" s="0" t="n">
        <f aca="false">SQRT(SUMPRODUCT(MMULT(D4273:F4273,Stats!$B$12:$D$14),D4273:F4273))</f>
        <v>0.229624343455614</v>
      </c>
      <c r="I4273" s="0" t="n">
        <f aca="false">(G4273-Stats!$B$2)/H4273</f>
        <v>1.29722270372794</v>
      </c>
    </row>
    <row r="4274" customFormat="false" ht="15" hidden="false" customHeight="false" outlineLevel="0" collapsed="false">
      <c r="A4274" s="0" t="n">
        <v>0.792250700164018</v>
      </c>
      <c r="B4274" s="0" t="n">
        <v>0.961431312383337</v>
      </c>
      <c r="C4274" s="0" t="n">
        <v>0.426966199281219</v>
      </c>
      <c r="D4274" s="0" t="n">
        <f aca="false">A4274/SUM($A4274:$C4274)</f>
        <v>0.363309724084142</v>
      </c>
      <c r="E4274" s="0" t="n">
        <f aca="false">B4274/SUM($A4274:$C4274)</f>
        <v>0.440892440682641</v>
      </c>
      <c r="F4274" s="0" t="n">
        <f aca="false">C4274/SUM($A4274:$C4274)</f>
        <v>0.195797835233216</v>
      </c>
      <c r="G4274" s="0" t="n">
        <f aca="false">SUMPRODUCT(D4274:F4274,Stats!$B$6:$D$6)</f>
        <v>0.376453034858537</v>
      </c>
      <c r="H4274" s="0" t="n">
        <f aca="false">SQRT(SUMPRODUCT(MMULT(D4274:F4274,Stats!$B$12:$D$14),D4274:F4274))</f>
        <v>0.227231351627379</v>
      </c>
      <c r="I4274" s="0" t="n">
        <f aca="false">(G4274-Stats!$B$2)/H4274</f>
        <v>1.47186130990843</v>
      </c>
    </row>
    <row r="4275" customFormat="false" ht="15" hidden="false" customHeight="false" outlineLevel="0" collapsed="false">
      <c r="A4275" s="0" t="n">
        <v>0.512683953449943</v>
      </c>
      <c r="B4275" s="0" t="n">
        <v>0.146848169073426</v>
      </c>
      <c r="C4275" s="0" t="n">
        <v>0.551031352680157</v>
      </c>
      <c r="D4275" s="0" t="n">
        <f aca="false">A4275/SUM($A4275:$C4275)</f>
        <v>0.423508526361039</v>
      </c>
      <c r="E4275" s="0" t="n">
        <f aca="false">B4275/SUM($A4275:$C4275)</f>
        <v>0.121305633352879</v>
      </c>
      <c r="F4275" s="0" t="n">
        <f aca="false">C4275/SUM($A4275:$C4275)</f>
        <v>0.455185840286082</v>
      </c>
      <c r="G4275" s="0" t="n">
        <f aca="false">SUMPRODUCT(D4275:F4275,Stats!$B$6:$D$6)</f>
        <v>0.350911899124433</v>
      </c>
      <c r="H4275" s="0" t="n">
        <f aca="false">SQRT(SUMPRODUCT(MMULT(D4275:F4275,Stats!$B$12:$D$14),D4275:F4275))</f>
        <v>0.224087188555487</v>
      </c>
      <c r="I4275" s="0" t="n">
        <f aca="false">(G4275-Stats!$B$2)/H4275</f>
        <v>1.37853440491509</v>
      </c>
    </row>
    <row r="4276" customFormat="false" ht="15" hidden="false" customHeight="false" outlineLevel="0" collapsed="false">
      <c r="A4276" s="0" t="n">
        <v>0.144654902006977</v>
      </c>
      <c r="B4276" s="0" t="n">
        <v>0.61121433119883</v>
      </c>
      <c r="C4276" s="0" t="n">
        <v>0.933258667580854</v>
      </c>
      <c r="D4276" s="0" t="n">
        <f aca="false">A4276/SUM($A4276:$C4276)</f>
        <v>0.0856388091982899</v>
      </c>
      <c r="E4276" s="0" t="n">
        <f aca="false">B4276/SUM($A4276:$C4276)</f>
        <v>0.361852013050152</v>
      </c>
      <c r="F4276" s="0" t="n">
        <f aca="false">C4276/SUM($A4276:$C4276)</f>
        <v>0.552509177751558</v>
      </c>
      <c r="G4276" s="0" t="n">
        <f aca="false">SUMPRODUCT(D4276:F4276,Stats!$B$6:$D$6)</f>
        <v>0.36206897288104</v>
      </c>
      <c r="H4276" s="0" t="n">
        <f aca="false">SQRT(SUMPRODUCT(MMULT(D4276:F4276,Stats!$B$12:$D$14),D4276:F4276))</f>
        <v>0.238596108422733</v>
      </c>
      <c r="I4276" s="0" t="n">
        <f aca="false">(G4276-Stats!$B$2)/H4276</f>
        <v>1.34146770036147</v>
      </c>
    </row>
    <row r="4277" customFormat="false" ht="15" hidden="false" customHeight="false" outlineLevel="0" collapsed="false">
      <c r="A4277" s="0" t="n">
        <v>0.19569853930304</v>
      </c>
      <c r="B4277" s="0" t="n">
        <v>0.764563718057102</v>
      </c>
      <c r="C4277" s="0" t="n">
        <v>0.023502422818324</v>
      </c>
      <c r="D4277" s="0" t="n">
        <f aca="false">A4277/SUM($A4277:$C4277)</f>
        <v>0.19892820228872</v>
      </c>
      <c r="E4277" s="0" t="n">
        <f aca="false">B4277/SUM($A4277:$C4277)</f>
        <v>0.777181508405447</v>
      </c>
      <c r="F4277" s="0" t="n">
        <f aca="false">C4277/SUM($A4277:$C4277)</f>
        <v>0.0238902893058332</v>
      </c>
      <c r="G4277" s="0" t="n">
        <f aca="false">SUMPRODUCT(D4277:F4277,Stats!$B$6:$D$6)</f>
        <v>0.400542957024713</v>
      </c>
      <c r="H4277" s="0" t="n">
        <f aca="false">SQRT(SUMPRODUCT(MMULT(D4277:F4277,Stats!$B$12:$D$14),D4277:F4277))</f>
        <v>0.240502119055247</v>
      </c>
      <c r="I4277" s="0" t="n">
        <f aca="false">(G4277-Stats!$B$2)/H4277</f>
        <v>1.49080997054479</v>
      </c>
    </row>
    <row r="4278" customFormat="false" ht="15" hidden="false" customHeight="false" outlineLevel="0" collapsed="false">
      <c r="A4278" s="0" t="n">
        <v>0.375497241321621</v>
      </c>
      <c r="B4278" s="0" t="n">
        <v>0.110748507830509</v>
      </c>
      <c r="C4278" s="0" t="n">
        <v>0.352475441595699</v>
      </c>
      <c r="D4278" s="0" t="n">
        <f aca="false">A4278/SUM($A4278:$C4278)</f>
        <v>0.447702103468754</v>
      </c>
      <c r="E4278" s="0" t="n">
        <f aca="false">B4278/SUM($A4278:$C4278)</f>
        <v>0.132044485166474</v>
      </c>
      <c r="F4278" s="0" t="n">
        <f aca="false">C4278/SUM($A4278:$C4278)</f>
        <v>0.420253411364773</v>
      </c>
      <c r="G4278" s="0" t="n">
        <f aca="false">SUMPRODUCT(D4278:F4278,Stats!$B$6:$D$6)</f>
        <v>0.35249304705055</v>
      </c>
      <c r="H4278" s="0" t="n">
        <f aca="false">SQRT(SUMPRODUCT(MMULT(D4278:F4278,Stats!$B$12:$D$14),D4278:F4278))</f>
        <v>0.22327877082913</v>
      </c>
      <c r="I4278" s="0" t="n">
        <f aca="false">(G4278-Stats!$B$2)/H4278</f>
        <v>1.39060711368822</v>
      </c>
    </row>
    <row r="4279" customFormat="false" ht="15" hidden="false" customHeight="false" outlineLevel="0" collapsed="false">
      <c r="A4279" s="0" t="n">
        <v>0.173536919638884</v>
      </c>
      <c r="B4279" s="0" t="n">
        <v>0.373304990122887</v>
      </c>
      <c r="C4279" s="0" t="n">
        <v>0.41752280610753</v>
      </c>
      <c r="D4279" s="0" t="n">
        <f aca="false">A4279/SUM($A4279:$C4279)</f>
        <v>0.179949470136361</v>
      </c>
      <c r="E4279" s="0" t="n">
        <f aca="false">B4279/SUM($A4279:$C4279)</f>
        <v>0.387099386756785</v>
      </c>
      <c r="F4279" s="0" t="n">
        <f aca="false">C4279/SUM($A4279:$C4279)</f>
        <v>0.432951143106854</v>
      </c>
      <c r="G4279" s="0" t="n">
        <f aca="false">SUMPRODUCT(D4279:F4279,Stats!$B$6:$D$6)</f>
        <v>0.366818440907973</v>
      </c>
      <c r="H4279" s="0" t="n">
        <f aca="false">SQRT(SUMPRODUCT(MMULT(D4279:F4279,Stats!$B$12:$D$14),D4279:F4279))</f>
        <v>0.232618014353865</v>
      </c>
      <c r="I4279" s="0" t="n">
        <f aca="false">(G4279-Stats!$B$2)/H4279</f>
        <v>1.3963597867096</v>
      </c>
    </row>
    <row r="4280" customFormat="false" ht="15" hidden="false" customHeight="false" outlineLevel="0" collapsed="false">
      <c r="A4280" s="0" t="n">
        <v>0.300591122780918</v>
      </c>
      <c r="B4280" s="0" t="n">
        <v>0.656621949473129</v>
      </c>
      <c r="C4280" s="0" t="n">
        <v>0.91885205125891</v>
      </c>
      <c r="D4280" s="0" t="n">
        <f aca="false">A4280/SUM($A4280:$C4280)</f>
        <v>0.160224247556</v>
      </c>
      <c r="E4280" s="0" t="n">
        <f aca="false">B4280/SUM($A4280:$C4280)</f>
        <v>0.34999955025207</v>
      </c>
      <c r="F4280" s="0" t="n">
        <f aca="false">C4280/SUM($A4280:$C4280)</f>
        <v>0.48977620219193</v>
      </c>
      <c r="G4280" s="0" t="n">
        <f aca="false">SUMPRODUCT(D4280:F4280,Stats!$B$6:$D$6)</f>
        <v>0.363116835184666</v>
      </c>
      <c r="H4280" s="0" t="n">
        <f aca="false">SQRT(SUMPRODUCT(MMULT(D4280:F4280,Stats!$B$12:$D$14),D4280:F4280))</f>
        <v>0.233906161431717</v>
      </c>
      <c r="I4280" s="0" t="n">
        <f aca="false">(G4280-Stats!$B$2)/H4280</f>
        <v>1.372844704984</v>
      </c>
    </row>
    <row r="4281" customFormat="false" ht="15" hidden="false" customHeight="false" outlineLevel="0" collapsed="false">
      <c r="A4281" s="0" t="n">
        <v>0.400595374105272</v>
      </c>
      <c r="B4281" s="0" t="n">
        <v>0.192343156475021</v>
      </c>
      <c r="C4281" s="0" t="n">
        <v>0.270722758195983</v>
      </c>
      <c r="D4281" s="0" t="n">
        <f aca="false">A4281/SUM($A4281:$C4281)</f>
        <v>0.463833888714494</v>
      </c>
      <c r="E4281" s="0" t="n">
        <f aca="false">B4281/SUM($A4281:$C4281)</f>
        <v>0.222706701081338</v>
      </c>
      <c r="F4281" s="0" t="n">
        <f aca="false">C4281/SUM($A4281:$C4281)</f>
        <v>0.313459410204168</v>
      </c>
      <c r="G4281" s="0" t="n">
        <f aca="false">SUMPRODUCT(D4281:F4281,Stats!$B$6:$D$6)</f>
        <v>0.360654437119352</v>
      </c>
      <c r="H4281" s="0" t="n">
        <f aca="false">SQRT(SUMPRODUCT(MMULT(D4281:F4281,Stats!$B$12:$D$14),D4281:F4281))</f>
        <v>0.222859278004228</v>
      </c>
      <c r="I4281" s="0" t="n">
        <f aca="false">(G4281-Stats!$B$2)/H4281</f>
        <v>1.42984595468943</v>
      </c>
    </row>
    <row r="4282" customFormat="false" ht="15" hidden="false" customHeight="false" outlineLevel="0" collapsed="false">
      <c r="A4282" s="0" t="n">
        <v>0.854000823496369</v>
      </c>
      <c r="B4282" s="0" t="n">
        <v>0.571639723270148</v>
      </c>
      <c r="C4282" s="0" t="n">
        <v>0.455011032306957</v>
      </c>
      <c r="D4282" s="0" t="n">
        <f aca="false">A4282/SUM($A4282:$C4282)</f>
        <v>0.454098373669568</v>
      </c>
      <c r="E4282" s="0" t="n">
        <f aca="false">B4282/SUM($A4282:$C4282)</f>
        <v>0.303958335308326</v>
      </c>
      <c r="F4282" s="0" t="n">
        <f aca="false">C4282/SUM($A4282:$C4282)</f>
        <v>0.241943291022106</v>
      </c>
      <c r="G4282" s="0" t="n">
        <f aca="false">SUMPRODUCT(D4282:F4282,Stats!$B$6:$D$6)</f>
        <v>0.36730158047074</v>
      </c>
      <c r="H4282" s="0" t="n">
        <f aca="false">SQRT(SUMPRODUCT(MMULT(D4282:F4282,Stats!$B$12:$D$14),D4282:F4282))</f>
        <v>0.223782029691005</v>
      </c>
      <c r="I4282" s="0" t="n">
        <f aca="false">(G4282-Stats!$B$2)/H4282</f>
        <v>1.45365372241869</v>
      </c>
    </row>
    <row r="4283" customFormat="false" ht="15" hidden="false" customHeight="false" outlineLevel="0" collapsed="false">
      <c r="A4283" s="0" t="n">
        <v>0.149636721508927</v>
      </c>
      <c r="B4283" s="0" t="n">
        <v>0.449727308323782</v>
      </c>
      <c r="C4283" s="0" t="n">
        <v>0.278492003357387</v>
      </c>
      <c r="D4283" s="0" t="n">
        <f aca="false">A4283/SUM($A4283:$C4283)</f>
        <v>0.170457017838281</v>
      </c>
      <c r="E4283" s="0" t="n">
        <f aca="false">B4283/SUM($A4283:$C4283)</f>
        <v>0.512301893841852</v>
      </c>
      <c r="F4283" s="0" t="n">
        <f aca="false">C4283/SUM($A4283:$C4283)</f>
        <v>0.317241088319867</v>
      </c>
      <c r="G4283" s="0" t="n">
        <f aca="false">SUMPRODUCT(D4283:F4283,Stats!$B$6:$D$6)</f>
        <v>0.377213091375538</v>
      </c>
      <c r="H4283" s="0" t="n">
        <f aca="false">SQRT(SUMPRODUCT(MMULT(D4283:F4283,Stats!$B$12:$D$14),D4283:F4283))</f>
        <v>0.233672135153052</v>
      </c>
      <c r="I4283" s="0" t="n">
        <f aca="false">(G4283-Stats!$B$2)/H4283</f>
        <v>1.43454456457112</v>
      </c>
    </row>
    <row r="4284" customFormat="false" ht="15" hidden="false" customHeight="false" outlineLevel="0" collapsed="false">
      <c r="A4284" s="0" t="n">
        <v>0.943163127853349</v>
      </c>
      <c r="B4284" s="0" t="n">
        <v>0.884070109415731</v>
      </c>
      <c r="C4284" s="0" t="n">
        <v>0.083902541828198</v>
      </c>
      <c r="D4284" s="0" t="n">
        <f aca="false">A4284/SUM($A4284:$C4284)</f>
        <v>0.493509220103059</v>
      </c>
      <c r="E4284" s="0" t="n">
        <f aca="false">B4284/SUM($A4284:$C4284)</f>
        <v>0.462588853751312</v>
      </c>
      <c r="F4284" s="0" t="n">
        <f aca="false">C4284/SUM($A4284:$C4284)</f>
        <v>0.0439019261456291</v>
      </c>
      <c r="G4284" s="0" t="n">
        <f aca="false">SUMPRODUCT(D4284:F4284,Stats!$B$6:$D$6)</f>
        <v>0.381889889656243</v>
      </c>
      <c r="H4284" s="0" t="n">
        <f aca="false">SQRT(SUMPRODUCT(MMULT(D4284:F4284,Stats!$B$12:$D$14),D4284:F4284))</f>
        <v>0.228070146198353</v>
      </c>
      <c r="I4284" s="0" t="n">
        <f aca="false">(G4284-Stats!$B$2)/H4284</f>
        <v>1.49028663032749</v>
      </c>
    </row>
    <row r="4285" customFormat="false" ht="15" hidden="false" customHeight="false" outlineLevel="0" collapsed="false">
      <c r="A4285" s="0" t="n">
        <v>0.516653489261243</v>
      </c>
      <c r="B4285" s="0" t="n">
        <v>0.225058345514672</v>
      </c>
      <c r="C4285" s="0" t="n">
        <v>0.410777089524291</v>
      </c>
      <c r="D4285" s="0" t="n">
        <f aca="false">A4285/SUM($A4285:$C4285)</f>
        <v>0.448293669785119</v>
      </c>
      <c r="E4285" s="0" t="n">
        <f aca="false">B4285/SUM($A4285:$C4285)</f>
        <v>0.19528026757509</v>
      </c>
      <c r="F4285" s="0" t="n">
        <f aca="false">C4285/SUM($A4285:$C4285)</f>
        <v>0.356426062639791</v>
      </c>
      <c r="G4285" s="0" t="n">
        <f aca="false">SUMPRODUCT(D4285:F4285,Stats!$B$6:$D$6)</f>
        <v>0.357891566717672</v>
      </c>
      <c r="H4285" s="0" t="n">
        <f aca="false">SQRT(SUMPRODUCT(MMULT(D4285:F4285,Stats!$B$12:$D$14),D4285:F4285))</f>
        <v>0.223044422109881</v>
      </c>
      <c r="I4285" s="0" t="n">
        <f aca="false">(G4285-Stats!$B$2)/H4285</f>
        <v>1.41627198622367</v>
      </c>
    </row>
    <row r="4286" customFormat="false" ht="15" hidden="false" customHeight="false" outlineLevel="0" collapsed="false">
      <c r="A4286" s="0" t="n">
        <v>0.876847998251456</v>
      </c>
      <c r="B4286" s="0" t="n">
        <v>0.527514519888545</v>
      </c>
      <c r="C4286" s="0" t="n">
        <v>0.33421529337076</v>
      </c>
      <c r="D4286" s="0" t="n">
        <f aca="false">A4286/SUM($A4286:$C4286)</f>
        <v>0.504347859754121</v>
      </c>
      <c r="E4286" s="0" t="n">
        <f aca="false">B4286/SUM($A4286:$C4286)</f>
        <v>0.303417262314048</v>
      </c>
      <c r="F4286" s="0" t="n">
        <f aca="false">C4286/SUM($A4286:$C4286)</f>
        <v>0.19223487793183</v>
      </c>
      <c r="G4286" s="0" t="n">
        <f aca="false">SUMPRODUCT(D4286:F4286,Stats!$B$6:$D$6)</f>
        <v>0.36864113820305</v>
      </c>
      <c r="H4286" s="0" t="n">
        <f aca="false">SQRT(SUMPRODUCT(MMULT(D4286:F4286,Stats!$B$12:$D$14),D4286:F4286))</f>
        <v>0.223614750840257</v>
      </c>
      <c r="I4286" s="0" t="n">
        <f aca="false">(G4286-Stats!$B$2)/H4286</f>
        <v>1.46073162425851</v>
      </c>
    </row>
    <row r="4287" customFormat="false" ht="15" hidden="false" customHeight="false" outlineLevel="0" collapsed="false">
      <c r="A4287" s="0" t="n">
        <v>0.207888354104997</v>
      </c>
      <c r="B4287" s="0" t="n">
        <v>0.800324859406489</v>
      </c>
      <c r="C4287" s="0" t="n">
        <v>0.624518015364347</v>
      </c>
      <c r="D4287" s="0" t="n">
        <f aca="false">A4287/SUM($A4287:$C4287)</f>
        <v>0.127325520837947</v>
      </c>
      <c r="E4287" s="0" t="n">
        <f aca="false">B4287/SUM($A4287:$C4287)</f>
        <v>0.490175507917202</v>
      </c>
      <c r="F4287" s="0" t="n">
        <f aca="false">C4287/SUM($A4287:$C4287)</f>
        <v>0.382498971244851</v>
      </c>
      <c r="G4287" s="0" t="n">
        <f aca="false">SUMPRODUCT(D4287:F4287,Stats!$B$6:$D$6)</f>
        <v>0.3741405067449</v>
      </c>
      <c r="H4287" s="0" t="n">
        <f aca="false">SQRT(SUMPRODUCT(MMULT(D4287:F4287,Stats!$B$12:$D$14),D4287:F4287))</f>
        <v>0.235490303381893</v>
      </c>
      <c r="I4287" s="0" t="n">
        <f aca="false">(G4287-Stats!$B$2)/H4287</f>
        <v>1.41042115949152</v>
      </c>
    </row>
    <row r="4288" customFormat="false" ht="15" hidden="false" customHeight="false" outlineLevel="0" collapsed="false">
      <c r="A4288" s="0" t="n">
        <v>0.468065460426231</v>
      </c>
      <c r="B4288" s="0" t="n">
        <v>0.217484353862978</v>
      </c>
      <c r="C4288" s="0" t="n">
        <v>0.334246374157131</v>
      </c>
      <c r="D4288" s="0" t="n">
        <f aca="false">A4288/SUM($A4288:$C4288)</f>
        <v>0.458979417386653</v>
      </c>
      <c r="E4288" s="0" t="n">
        <f aca="false">B4288/SUM($A4288:$C4288)</f>
        <v>0.213262567880662</v>
      </c>
      <c r="F4288" s="0" t="n">
        <f aca="false">C4288/SUM($A4288:$C4288)</f>
        <v>0.327758014732685</v>
      </c>
      <c r="G4288" s="0" t="n">
        <f aca="false">SUMPRODUCT(D4288:F4288,Stats!$B$6:$D$6)</f>
        <v>0.359716755397946</v>
      </c>
      <c r="H4288" s="0" t="n">
        <f aca="false">SQRT(SUMPRODUCT(MMULT(D4288:F4288,Stats!$B$12:$D$14),D4288:F4288))</f>
        <v>0.222889441431913</v>
      </c>
      <c r="I4288" s="0" t="n">
        <f aca="false">(G4288-Stats!$B$2)/H4288</f>
        <v>1.42544551844552</v>
      </c>
    </row>
    <row r="4289" customFormat="false" ht="15" hidden="false" customHeight="false" outlineLevel="0" collapsed="false">
      <c r="A4289" s="0" t="n">
        <v>0.959843426738519</v>
      </c>
      <c r="B4289" s="0" t="n">
        <v>0.520089937605834</v>
      </c>
      <c r="C4289" s="0" t="n">
        <v>0.400699281243253</v>
      </c>
      <c r="D4289" s="0" t="n">
        <f aca="false">A4289/SUM($A4289:$C4289)</f>
        <v>0.510383263307978</v>
      </c>
      <c r="E4289" s="0" t="n">
        <f aca="false">B4289/SUM($A4289:$C4289)</f>
        <v>0.276550520818664</v>
      </c>
      <c r="F4289" s="0" t="n">
        <f aca="false">C4289/SUM($A4289:$C4289)</f>
        <v>0.213066215873358</v>
      </c>
      <c r="G4289" s="0" t="n">
        <f aca="false">SUMPRODUCT(D4289:F4289,Stats!$B$6:$D$6)</f>
        <v>0.366520844538765</v>
      </c>
      <c r="H4289" s="0" t="n">
        <f aca="false">SQRT(SUMPRODUCT(MMULT(D4289:F4289,Stats!$B$12:$D$14),D4289:F4289))</f>
        <v>0.223133824620942</v>
      </c>
      <c r="I4289" s="0" t="n">
        <f aca="false">(G4289-Stats!$B$2)/H4289</f>
        <v>1.45437763678393</v>
      </c>
    </row>
    <row r="4290" customFormat="false" ht="15" hidden="false" customHeight="false" outlineLevel="0" collapsed="false">
      <c r="A4290" s="0" t="n">
        <v>0.521422042348324</v>
      </c>
      <c r="B4290" s="0" t="n">
        <v>0.778988505899609</v>
      </c>
      <c r="C4290" s="0" t="n">
        <v>0.340108936502869</v>
      </c>
      <c r="D4290" s="0" t="n">
        <f aca="false">A4290/SUM($A4290:$C4290)</f>
        <v>0.317839591175309</v>
      </c>
      <c r="E4290" s="0" t="n">
        <f aca="false">B4290/SUM($A4290:$C4290)</f>
        <v>0.47484258074383</v>
      </c>
      <c r="F4290" s="0" t="n">
        <f aca="false">C4290/SUM($A4290:$C4290)</f>
        <v>0.207317828080861</v>
      </c>
      <c r="G4290" s="0" t="n">
        <f aca="false">SUMPRODUCT(D4290:F4290,Stats!$B$6:$D$6)</f>
        <v>0.3780888226049</v>
      </c>
      <c r="H4290" s="0" t="n">
        <f aca="false">SQRT(SUMPRODUCT(MMULT(D4290:F4290,Stats!$B$12:$D$14),D4290:F4290))</f>
        <v>0.228660087965362</v>
      </c>
      <c r="I4290" s="0" t="n">
        <f aca="false">(G4290-Stats!$B$2)/H4290</f>
        <v>1.46981847857861</v>
      </c>
    </row>
    <row r="4291" customFormat="false" ht="15" hidden="false" customHeight="false" outlineLevel="0" collapsed="false">
      <c r="A4291" s="0" t="n">
        <v>0.178706120932609</v>
      </c>
      <c r="B4291" s="0" t="n">
        <v>0.584936118339048</v>
      </c>
      <c r="C4291" s="0" t="n">
        <v>0.665204103481067</v>
      </c>
      <c r="D4291" s="0" t="n">
        <f aca="false">A4291/SUM($A4291:$C4291)</f>
        <v>0.125070216149572</v>
      </c>
      <c r="E4291" s="0" t="n">
        <f aca="false">B4291/SUM($A4291:$C4291)</f>
        <v>0.409376502453124</v>
      </c>
      <c r="F4291" s="0" t="n">
        <f aca="false">C4291/SUM($A4291:$C4291)</f>
        <v>0.465553281397304</v>
      </c>
      <c r="G4291" s="0" t="n">
        <f aca="false">SUMPRODUCT(D4291:F4291,Stats!$B$6:$D$6)</f>
        <v>0.367201245888516</v>
      </c>
      <c r="H4291" s="0" t="n">
        <f aca="false">SQRT(SUMPRODUCT(MMULT(D4291:F4291,Stats!$B$12:$D$14),D4291:F4291))</f>
        <v>0.235596760088549</v>
      </c>
      <c r="I4291" s="0" t="n">
        <f aca="false">(G4291-Stats!$B$2)/H4291</f>
        <v>1.38032987281442</v>
      </c>
    </row>
    <row r="4292" customFormat="false" ht="15" hidden="false" customHeight="false" outlineLevel="0" collapsed="false">
      <c r="A4292" s="0" t="n">
        <v>0.71271800295855</v>
      </c>
      <c r="B4292" s="0" t="n">
        <v>0.88198759076613</v>
      </c>
      <c r="C4292" s="0" t="n">
        <v>0.371174120689113</v>
      </c>
      <c r="D4292" s="0" t="n">
        <f aca="false">A4292/SUM($A4292:$C4292)</f>
        <v>0.362544054823352</v>
      </c>
      <c r="E4292" s="0" t="n">
        <f aca="false">B4292/SUM($A4292:$C4292)</f>
        <v>0.448647790757193</v>
      </c>
      <c r="F4292" s="0" t="n">
        <f aca="false">C4292/SUM($A4292:$C4292)</f>
        <v>0.188808154419455</v>
      </c>
      <c r="G4292" s="0" t="n">
        <f aca="false">SUMPRODUCT(D4292:F4292,Stats!$B$6:$D$6)</f>
        <v>0.377092005424341</v>
      </c>
      <c r="H4292" s="0" t="n">
        <f aca="false">SQRT(SUMPRODUCT(MMULT(D4292:F4292,Stats!$B$12:$D$14),D4292:F4292))</f>
        <v>0.227416472797542</v>
      </c>
      <c r="I4292" s="0" t="n">
        <f aca="false">(G4292-Stats!$B$2)/H4292</f>
        <v>1.47347288128357</v>
      </c>
    </row>
    <row r="4293" customFormat="false" ht="15" hidden="false" customHeight="false" outlineLevel="0" collapsed="false">
      <c r="A4293" s="0" t="n">
        <v>0.0753548962288918</v>
      </c>
      <c r="B4293" s="0" t="n">
        <v>0.958348583630942</v>
      </c>
      <c r="C4293" s="0" t="n">
        <v>0.435011927437475</v>
      </c>
      <c r="D4293" s="0" t="n">
        <f aca="false">A4293/SUM($A4293:$C4293)</f>
        <v>0.0513066696614546</v>
      </c>
      <c r="E4293" s="0" t="n">
        <f aca="false">B4293/SUM($A4293:$C4293)</f>
        <v>0.652508020865982</v>
      </c>
      <c r="F4293" s="0" t="n">
        <f aca="false">C4293/SUM($A4293:$C4293)</f>
        <v>0.296185309472563</v>
      </c>
      <c r="G4293" s="0" t="n">
        <f aca="false">SUMPRODUCT(D4293:F4293,Stats!$B$6:$D$6)</f>
        <v>0.385860975462503</v>
      </c>
      <c r="H4293" s="0" t="n">
        <f aca="false">SQRT(SUMPRODUCT(MMULT(D4293:F4293,Stats!$B$12:$D$14),D4293:F4293))</f>
        <v>0.241098195883517</v>
      </c>
      <c r="I4293" s="0" t="n">
        <f aca="false">(G4293-Stats!$B$2)/H4293</f>
        <v>1.42622790768884</v>
      </c>
    </row>
    <row r="4294" customFormat="false" ht="15" hidden="false" customHeight="false" outlineLevel="0" collapsed="false">
      <c r="A4294" s="0" t="n">
        <v>0.623257509673131</v>
      </c>
      <c r="B4294" s="0" t="n">
        <v>0.666305323128292</v>
      </c>
      <c r="C4294" s="0" t="n">
        <v>0.546513708701204</v>
      </c>
      <c r="D4294" s="0" t="n">
        <f aca="false">A4294/SUM($A4294:$C4294)</f>
        <v>0.339450723096251</v>
      </c>
      <c r="E4294" s="0" t="n">
        <f aca="false">B4294/SUM($A4294:$C4294)</f>
        <v>0.362896267158337</v>
      </c>
      <c r="F4294" s="0" t="n">
        <f aca="false">C4294/SUM($A4294:$C4294)</f>
        <v>0.297653009745412</v>
      </c>
      <c r="G4294" s="0" t="n">
        <f aca="false">SUMPRODUCT(D4294:F4294,Stats!$B$6:$D$6)</f>
        <v>0.369156618720807</v>
      </c>
      <c r="H4294" s="0" t="n">
        <f aca="false">SQRT(SUMPRODUCT(MMULT(D4294:F4294,Stats!$B$12:$D$14),D4294:F4294))</f>
        <v>0.226394429078415</v>
      </c>
      <c r="I4294" s="0" t="n">
        <f aca="false">(G4294-Stats!$B$2)/H4294</f>
        <v>1.44507362682273</v>
      </c>
    </row>
    <row r="4295" customFormat="false" ht="15" hidden="false" customHeight="false" outlineLevel="0" collapsed="false">
      <c r="A4295" s="0" t="n">
        <v>0.20525752973627</v>
      </c>
      <c r="B4295" s="0" t="n">
        <v>0.755143050116142</v>
      </c>
      <c r="C4295" s="0" t="n">
        <v>0.803751974304082</v>
      </c>
      <c r="D4295" s="0" t="n">
        <f aca="false">A4295/SUM($A4295:$C4295)</f>
        <v>0.116349081746171</v>
      </c>
      <c r="E4295" s="0" t="n">
        <f aca="false">B4295/SUM($A4295:$C4295)</f>
        <v>0.428048610839783</v>
      </c>
      <c r="F4295" s="0" t="n">
        <f aca="false">C4295/SUM($A4295:$C4295)</f>
        <v>0.455602307414046</v>
      </c>
      <c r="G4295" s="0" t="n">
        <f aca="false">SUMPRODUCT(D4295:F4295,Stats!$B$6:$D$6)</f>
        <v>0.36855000911849</v>
      </c>
      <c r="H4295" s="0" t="n">
        <f aca="false">SQRT(SUMPRODUCT(MMULT(D4295:F4295,Stats!$B$12:$D$14),D4295:F4295))</f>
        <v>0.23604000742206</v>
      </c>
      <c r="I4295" s="0" t="n">
        <f aca="false">(G4295-Stats!$B$2)/H4295</f>
        <v>1.38345195242513</v>
      </c>
    </row>
    <row r="4296" customFormat="false" ht="15" hidden="false" customHeight="false" outlineLevel="0" collapsed="false">
      <c r="A4296" s="0" t="n">
        <v>0.55297558601744</v>
      </c>
      <c r="B4296" s="0" t="n">
        <v>0.488561160584842</v>
      </c>
      <c r="C4296" s="0" t="n">
        <v>0.113938183127985</v>
      </c>
      <c r="D4296" s="0" t="n">
        <f aca="false">A4296/SUM($A4296:$C4296)</f>
        <v>0.478569955772668</v>
      </c>
      <c r="E4296" s="0" t="n">
        <f aca="false">B4296/SUM($A4296:$C4296)</f>
        <v>0.422822813385394</v>
      </c>
      <c r="F4296" s="0" t="n">
        <f aca="false">C4296/SUM($A4296:$C4296)</f>
        <v>0.0986072308419387</v>
      </c>
      <c r="G4296" s="0" t="n">
        <f aca="false">SUMPRODUCT(D4296:F4296,Stats!$B$6:$D$6)</f>
        <v>0.378093325425532</v>
      </c>
      <c r="H4296" s="0" t="n">
        <f aca="false">SQRT(SUMPRODUCT(MMULT(D4296:F4296,Stats!$B$12:$D$14),D4296:F4296))</f>
        <v>0.226524667536651</v>
      </c>
      <c r="I4296" s="0" t="n">
        <f aca="false">(G4296-Stats!$B$2)/H4296</f>
        <v>1.48369415605103</v>
      </c>
    </row>
    <row r="4297" customFormat="false" ht="15" hidden="false" customHeight="false" outlineLevel="0" collapsed="false">
      <c r="A4297" s="0" t="n">
        <v>0.0839516614997838</v>
      </c>
      <c r="B4297" s="0" t="n">
        <v>0.339564845563529</v>
      </c>
      <c r="C4297" s="0" t="n">
        <v>0.310846155517393</v>
      </c>
      <c r="D4297" s="0" t="n">
        <f aca="false">A4297/SUM($A4297:$C4297)</f>
        <v>0.114319076632736</v>
      </c>
      <c r="E4297" s="0" t="n">
        <f aca="false">B4297/SUM($A4297:$C4297)</f>
        <v>0.462393940849642</v>
      </c>
      <c r="F4297" s="0" t="n">
        <f aca="false">C4297/SUM($A4297:$C4297)</f>
        <v>0.423286982517622</v>
      </c>
      <c r="G4297" s="0" t="n">
        <f aca="false">SUMPRODUCT(D4297:F4297,Stats!$B$6:$D$6)</f>
        <v>0.371417277609858</v>
      </c>
      <c r="H4297" s="0" t="n">
        <f aca="false">SQRT(SUMPRODUCT(MMULT(D4297:F4297,Stats!$B$12:$D$14),D4297:F4297))</f>
        <v>0.236111615458924</v>
      </c>
      <c r="I4297" s="0" t="n">
        <f aca="false">(G4297-Stats!$B$2)/H4297</f>
        <v>1.39517607793068</v>
      </c>
    </row>
    <row r="4298" customFormat="false" ht="15" hidden="false" customHeight="false" outlineLevel="0" collapsed="false">
      <c r="A4298" s="0" t="n">
        <v>0.953656450963271</v>
      </c>
      <c r="B4298" s="0" t="n">
        <v>0.78362274244343</v>
      </c>
      <c r="C4298" s="0" t="n">
        <v>0.65992429525906</v>
      </c>
      <c r="D4298" s="0" t="n">
        <f aca="false">A4298/SUM($A4298:$C4298)</f>
        <v>0.397820400092134</v>
      </c>
      <c r="E4298" s="0" t="n">
        <f aca="false">B4298/SUM($A4298:$C4298)</f>
        <v>0.326890372948514</v>
      </c>
      <c r="F4298" s="0" t="n">
        <f aca="false">C4298/SUM($A4298:$C4298)</f>
        <v>0.275289226959352</v>
      </c>
      <c r="G4298" s="0" t="n">
        <f aca="false">SUMPRODUCT(D4298:F4298,Stats!$B$6:$D$6)</f>
        <v>0.367701558878253</v>
      </c>
      <c r="H4298" s="0" t="n">
        <f aca="false">SQRT(SUMPRODUCT(MMULT(D4298:F4298,Stats!$B$12:$D$14),D4298:F4298))</f>
        <v>0.224785528559053</v>
      </c>
      <c r="I4298" s="0" t="n">
        <f aca="false">(G4298-Stats!$B$2)/H4298</f>
        <v>1.44894362624722</v>
      </c>
    </row>
    <row r="4299" customFormat="false" ht="15" hidden="false" customHeight="false" outlineLevel="0" collapsed="false">
      <c r="A4299" s="0" t="n">
        <v>0.517648089017605</v>
      </c>
      <c r="B4299" s="0" t="n">
        <v>0.167367530726651</v>
      </c>
      <c r="C4299" s="0" t="n">
        <v>0.978456672184284</v>
      </c>
      <c r="D4299" s="0" t="n">
        <f aca="false">A4299/SUM($A4299:$C4299)</f>
        <v>0.311185278846738</v>
      </c>
      <c r="E4299" s="0" t="n">
        <f aca="false">B4299/SUM($A4299:$C4299)</f>
        <v>0.100613356494573</v>
      </c>
      <c r="F4299" s="0" t="n">
        <f aca="false">C4299/SUM($A4299:$C4299)</f>
        <v>0.588201364658689</v>
      </c>
      <c r="G4299" s="0" t="n">
        <f aca="false">SUMPRODUCT(D4299:F4299,Stats!$B$6:$D$6)</f>
        <v>0.346053440371382</v>
      </c>
      <c r="H4299" s="0" t="n">
        <f aca="false">SQRT(SUMPRODUCT(MMULT(D4299:F4299,Stats!$B$12:$D$14),D4299:F4299))</f>
        <v>0.229365229834764</v>
      </c>
      <c r="I4299" s="0" t="n">
        <f aca="false">(G4299-Stats!$B$2)/H4299</f>
        <v>1.32563004684896</v>
      </c>
    </row>
    <row r="4300" customFormat="false" ht="15" hidden="false" customHeight="false" outlineLevel="0" collapsed="false">
      <c r="A4300" s="0" t="n">
        <v>0.37504069824021</v>
      </c>
      <c r="B4300" s="0" t="n">
        <v>0.106925602447245</v>
      </c>
      <c r="C4300" s="0" t="n">
        <v>0.493798895715746</v>
      </c>
      <c r="D4300" s="0" t="n">
        <f aca="false">A4300/SUM($A4300:$C4300)</f>
        <v>0.384355477754955</v>
      </c>
      <c r="E4300" s="0" t="n">
        <f aca="false">B4300/SUM($A4300:$C4300)</f>
        <v>0.109581283326549</v>
      </c>
      <c r="F4300" s="0" t="n">
        <f aca="false">C4300/SUM($A4300:$C4300)</f>
        <v>0.506063238918496</v>
      </c>
      <c r="G4300" s="0" t="n">
        <f aca="false">SUMPRODUCT(D4300:F4300,Stats!$B$6:$D$6)</f>
        <v>0.348834370499635</v>
      </c>
      <c r="H4300" s="0" t="n">
        <f aca="false">SQRT(SUMPRODUCT(MMULT(D4300:F4300,Stats!$B$12:$D$14),D4300:F4300))</f>
        <v>0.225675742558009</v>
      </c>
      <c r="I4300" s="0" t="n">
        <f aca="false">(G4300-Stats!$B$2)/H4300</f>
        <v>1.35962495136474</v>
      </c>
    </row>
    <row r="4301" customFormat="false" ht="15" hidden="false" customHeight="false" outlineLevel="0" collapsed="false">
      <c r="A4301" s="0" t="n">
        <v>0.873998011613083</v>
      </c>
      <c r="B4301" s="0" t="n">
        <v>0.887291001777329</v>
      </c>
      <c r="C4301" s="0" t="n">
        <v>0.0109659160564473</v>
      </c>
      <c r="D4301" s="0" t="n">
        <f aca="false">A4301/SUM($A4301:$C4301)</f>
        <v>0.493155920794007</v>
      </c>
      <c r="E4301" s="0" t="n">
        <f aca="false">B4301/SUM($A4301:$C4301)</f>
        <v>0.500656529167766</v>
      </c>
      <c r="F4301" s="0" t="n">
        <f aca="false">C4301/SUM($A4301:$C4301)</f>
        <v>0.0061875500382272</v>
      </c>
      <c r="G4301" s="0" t="n">
        <f aca="false">SUMPRODUCT(D4301:F4301,Stats!$B$6:$D$6)</f>
        <v>0.385120213845127</v>
      </c>
      <c r="H4301" s="0" t="n">
        <f aca="false">SQRT(SUMPRODUCT(MMULT(D4301:F4301,Stats!$B$12:$D$14),D4301:F4301))</f>
        <v>0.229573530009411</v>
      </c>
      <c r="I4301" s="0" t="n">
        <f aca="false">(G4301-Stats!$B$2)/H4301</f>
        <v>1.49459832686748</v>
      </c>
    </row>
    <row r="4302" customFormat="false" ht="15" hidden="false" customHeight="false" outlineLevel="0" collapsed="false">
      <c r="A4302" s="0" t="n">
        <v>0.8862957447514</v>
      </c>
      <c r="B4302" s="0" t="n">
        <v>0.271484217499859</v>
      </c>
      <c r="C4302" s="0" t="n">
        <v>0.0389723639684231</v>
      </c>
      <c r="D4302" s="0" t="n">
        <f aca="false">A4302/SUM($A4302:$C4302)</f>
        <v>0.740584100263288</v>
      </c>
      <c r="E4302" s="0" t="n">
        <f aca="false">B4302/SUM($A4302:$C4302)</f>
        <v>0.226850795734341</v>
      </c>
      <c r="F4302" s="0" t="n">
        <f aca="false">C4302/SUM($A4302:$C4302)</f>
        <v>0.0325651040023708</v>
      </c>
      <c r="G4302" s="0" t="n">
        <f aca="false">SUMPRODUCT(D4302:F4302,Stats!$B$6:$D$6)</f>
        <v>0.368638435417974</v>
      </c>
      <c r="H4302" s="0" t="n">
        <f aca="false">SQRT(SUMPRODUCT(MMULT(D4302:F4302,Stats!$B$12:$D$14),D4302:F4302))</f>
        <v>0.226605399153251</v>
      </c>
      <c r="I4302" s="0" t="n">
        <f aca="false">(G4302-Stats!$B$2)/H4302</f>
        <v>1.44144153951544</v>
      </c>
    </row>
    <row r="4303" customFormat="false" ht="15" hidden="false" customHeight="false" outlineLevel="0" collapsed="false">
      <c r="A4303" s="0" t="n">
        <v>0.847790270362874</v>
      </c>
      <c r="B4303" s="0" t="n">
        <v>0.863866755988208</v>
      </c>
      <c r="C4303" s="0" t="n">
        <v>0.59623107984235</v>
      </c>
      <c r="D4303" s="0" t="n">
        <f aca="false">A4303/SUM($A4303:$C4303)</f>
        <v>0.367344616096313</v>
      </c>
      <c r="E4303" s="0" t="n">
        <f aca="false">B4303/SUM($A4303:$C4303)</f>
        <v>0.374310502172935</v>
      </c>
      <c r="F4303" s="0" t="n">
        <f aca="false">C4303/SUM($A4303:$C4303)</f>
        <v>0.258344881730751</v>
      </c>
      <c r="G4303" s="0" t="n">
        <f aca="false">SUMPRODUCT(D4303:F4303,Stats!$B$6:$D$6)</f>
        <v>0.370897285541695</v>
      </c>
      <c r="H4303" s="0" t="n">
        <f aca="false">SQRT(SUMPRODUCT(MMULT(D4303:F4303,Stats!$B$12:$D$14),D4303:F4303))</f>
        <v>0.225942737062667</v>
      </c>
      <c r="I4303" s="0" t="n">
        <f aca="false">(G4303-Stats!$B$2)/H4303</f>
        <v>1.45566655435564</v>
      </c>
    </row>
    <row r="4304" customFormat="false" ht="15" hidden="false" customHeight="false" outlineLevel="0" collapsed="false">
      <c r="A4304" s="0" t="n">
        <v>0.574433757296358</v>
      </c>
      <c r="B4304" s="0" t="n">
        <v>0.813120272621419</v>
      </c>
      <c r="C4304" s="0" t="n">
        <v>0.78630955271028</v>
      </c>
      <c r="D4304" s="0" t="n">
        <f aca="false">A4304/SUM($A4304:$C4304)</f>
        <v>0.264245540468508</v>
      </c>
      <c r="E4304" s="0" t="n">
        <f aca="false">B4304/SUM($A4304:$C4304)</f>
        <v>0.37404383564787</v>
      </c>
      <c r="F4304" s="0" t="n">
        <f aca="false">C4304/SUM($A4304:$C4304)</f>
        <v>0.361710623883622</v>
      </c>
      <c r="G4304" s="0" t="n">
        <f aca="false">SUMPRODUCT(D4304:F4304,Stats!$B$6:$D$6)</f>
        <v>0.368031671311672</v>
      </c>
      <c r="H4304" s="0" t="n">
        <f aca="false">SQRT(SUMPRODUCT(MMULT(D4304:F4304,Stats!$B$12:$D$14),D4304:F4304))</f>
        <v>0.228822145048447</v>
      </c>
      <c r="I4304" s="0" t="n">
        <f aca="false">(G4304-Stats!$B$2)/H4304</f>
        <v>1.4248256926472</v>
      </c>
    </row>
    <row r="4305" customFormat="false" ht="15" hidden="false" customHeight="false" outlineLevel="0" collapsed="false">
      <c r="A4305" s="0" t="n">
        <v>0.890105473442704</v>
      </c>
      <c r="B4305" s="0" t="n">
        <v>0.552747447596704</v>
      </c>
      <c r="C4305" s="0" t="n">
        <v>0.967647092732809</v>
      </c>
      <c r="D4305" s="0" t="n">
        <f aca="false">A4305/SUM($A4305:$C4305)</f>
        <v>0.369261758289629</v>
      </c>
      <c r="E4305" s="0" t="n">
        <f aca="false">B4305/SUM($A4305:$C4305)</f>
        <v>0.229308211756325</v>
      </c>
      <c r="F4305" s="0" t="n">
        <f aca="false">C4305/SUM($A4305:$C4305)</f>
        <v>0.401430029954046</v>
      </c>
      <c r="G4305" s="0" t="n">
        <f aca="false">SUMPRODUCT(D4305:F4305,Stats!$B$6:$D$6)</f>
        <v>0.358608523495099</v>
      </c>
      <c r="H4305" s="0" t="n">
        <f aca="false">SQRT(SUMPRODUCT(MMULT(D4305:F4305,Stats!$B$12:$D$14),D4305:F4305))</f>
        <v>0.225058913569147</v>
      </c>
      <c r="I4305" s="0" t="n">
        <f aca="false">(G4305-Stats!$B$2)/H4305</f>
        <v>1.40678064456143</v>
      </c>
    </row>
    <row r="4306" customFormat="false" ht="15" hidden="false" customHeight="false" outlineLevel="0" collapsed="false">
      <c r="A4306" s="0" t="n">
        <v>0.996146830933338</v>
      </c>
      <c r="B4306" s="0" t="n">
        <v>0.116544609998633</v>
      </c>
      <c r="C4306" s="0" t="n">
        <v>0.849543759554122</v>
      </c>
      <c r="D4306" s="0" t="n">
        <f aca="false">A4306/SUM($A4306:$C4306)</f>
        <v>0.50765924018006</v>
      </c>
      <c r="E4306" s="0" t="n">
        <f aca="false">B4306/SUM($A4306:$C4306)</f>
        <v>0.059393802521615</v>
      </c>
      <c r="F4306" s="0" t="n">
        <f aca="false">C4306/SUM($A4306:$C4306)</f>
        <v>0.432946957298325</v>
      </c>
      <c r="G4306" s="0" t="n">
        <f aca="false">SUMPRODUCT(D4306:F4306,Stats!$B$6:$D$6)</f>
        <v>0.34796280115418</v>
      </c>
      <c r="H4306" s="0" t="n">
        <f aca="false">SQRT(SUMPRODUCT(MMULT(D4306:F4306,Stats!$B$12:$D$14),D4306:F4306))</f>
        <v>0.222487557639062</v>
      </c>
      <c r="I4306" s="0" t="n">
        <f aca="false">(G4306-Stats!$B$2)/H4306</f>
        <v>1.37519061470637</v>
      </c>
    </row>
    <row r="4307" customFormat="false" ht="15" hidden="false" customHeight="false" outlineLevel="0" collapsed="false">
      <c r="A4307" s="0" t="n">
        <v>0.499822257748589</v>
      </c>
      <c r="B4307" s="0" t="n">
        <v>0.387566338299832</v>
      </c>
      <c r="C4307" s="0" t="n">
        <v>0.613072309882715</v>
      </c>
      <c r="D4307" s="0" t="n">
        <f aca="false">A4307/SUM($A4307:$C4307)</f>
        <v>0.333112482819681</v>
      </c>
      <c r="E4307" s="0" t="n">
        <f aca="false">B4307/SUM($A4307:$C4307)</f>
        <v>0.258298191420936</v>
      </c>
      <c r="F4307" s="0" t="n">
        <f aca="false">C4307/SUM($A4307:$C4307)</f>
        <v>0.408589325759382</v>
      </c>
      <c r="G4307" s="0" t="n">
        <f aca="false">SUMPRODUCT(D4307:F4307,Stats!$B$6:$D$6)</f>
        <v>0.360079154575782</v>
      </c>
      <c r="H4307" s="0" t="n">
        <f aca="false">SQRT(SUMPRODUCT(MMULT(D4307:F4307,Stats!$B$12:$D$14),D4307:F4307))</f>
        <v>0.226200581647066</v>
      </c>
      <c r="I4307" s="0" t="n">
        <f aca="false">(G4307-Stats!$B$2)/H4307</f>
        <v>1.4061818597446</v>
      </c>
    </row>
    <row r="4308" customFormat="false" ht="15" hidden="false" customHeight="false" outlineLevel="0" collapsed="false">
      <c r="A4308" s="0" t="n">
        <v>0.055965557262007</v>
      </c>
      <c r="B4308" s="0" t="n">
        <v>0.50646111876708</v>
      </c>
      <c r="C4308" s="0" t="n">
        <v>0.870890570026667</v>
      </c>
      <c r="D4308" s="0" t="n">
        <f aca="false">A4308/SUM($A4308:$C4308)</f>
        <v>0.0390461758665186</v>
      </c>
      <c r="E4308" s="0" t="n">
        <f aca="false">B4308/SUM($A4308:$C4308)</f>
        <v>0.353348932457748</v>
      </c>
      <c r="F4308" s="0" t="n">
        <f aca="false">C4308/SUM($A4308:$C4308)</f>
        <v>0.607604891675733</v>
      </c>
      <c r="G4308" s="0" t="n">
        <f aca="false">SUMPRODUCT(D4308:F4308,Stats!$B$6:$D$6)</f>
        <v>0.360060473508541</v>
      </c>
      <c r="H4308" s="0" t="n">
        <f aca="false">SQRT(SUMPRODUCT(MMULT(D4308:F4308,Stats!$B$12:$D$14),D4308:F4308))</f>
        <v>0.242206261099494</v>
      </c>
      <c r="I4308" s="0" t="n">
        <f aca="false">(G4308-Stats!$B$2)/H4308</f>
        <v>1.31318022938263</v>
      </c>
    </row>
    <row r="4309" customFormat="false" ht="15" hidden="false" customHeight="false" outlineLevel="0" collapsed="false">
      <c r="A4309" s="0" t="n">
        <v>0.213461516138969</v>
      </c>
      <c r="B4309" s="0" t="n">
        <v>0.426389894769425</v>
      </c>
      <c r="C4309" s="0" t="n">
        <v>0.939480887714876</v>
      </c>
      <c r="D4309" s="0" t="n">
        <f aca="false">A4309/SUM($A4309:$C4309)</f>
        <v>0.135159343176257</v>
      </c>
      <c r="E4309" s="0" t="n">
        <f aca="false">B4309/SUM($A4309:$C4309)</f>
        <v>0.269981114893374</v>
      </c>
      <c r="F4309" s="0" t="n">
        <f aca="false">C4309/SUM($A4309:$C4309)</f>
        <v>0.59485954193037</v>
      </c>
      <c r="G4309" s="0" t="n">
        <f aca="false">SUMPRODUCT(D4309:F4309,Stats!$B$6:$D$6)</f>
        <v>0.355615045303851</v>
      </c>
      <c r="H4309" s="0" t="n">
        <f aca="false">SQRT(SUMPRODUCT(MMULT(D4309:F4309,Stats!$B$12:$D$14),D4309:F4309))</f>
        <v>0.236667658870102</v>
      </c>
      <c r="I4309" s="0" t="n">
        <f aca="false">(G4309-Stats!$B$2)/H4309</f>
        <v>1.32512843876139</v>
      </c>
    </row>
    <row r="4310" customFormat="false" ht="15" hidden="false" customHeight="false" outlineLevel="0" collapsed="false">
      <c r="A4310" s="0" t="n">
        <v>0.428563837805697</v>
      </c>
      <c r="B4310" s="0" t="n">
        <v>0.358367632332398</v>
      </c>
      <c r="C4310" s="0" t="n">
        <v>0.440536648123378</v>
      </c>
      <c r="D4310" s="0" t="n">
        <f aca="false">A4310/SUM($A4310:$C4310)</f>
        <v>0.349144577712287</v>
      </c>
      <c r="E4310" s="0" t="n">
        <f aca="false">B4310/SUM($A4310:$C4310)</f>
        <v>0.29195677427449</v>
      </c>
      <c r="F4310" s="0" t="n">
        <f aca="false">C4310/SUM($A4310:$C4310)</f>
        <v>0.358898648013223</v>
      </c>
      <c r="G4310" s="0" t="n">
        <f aca="false">SUMPRODUCT(D4310:F4310,Stats!$B$6:$D$6)</f>
        <v>0.363386027196535</v>
      </c>
      <c r="H4310" s="0" t="n">
        <f aca="false">SQRT(SUMPRODUCT(MMULT(D4310:F4310,Stats!$B$12:$D$14),D4310:F4310))</f>
        <v>0.2256665983559</v>
      </c>
      <c r="I4310" s="0" t="n">
        <f aca="false">(G4310-Stats!$B$2)/H4310</f>
        <v>1.424163033156</v>
      </c>
    </row>
    <row r="4311" customFormat="false" ht="15" hidden="false" customHeight="false" outlineLevel="0" collapsed="false">
      <c r="A4311" s="0" t="n">
        <v>0.519452766517556</v>
      </c>
      <c r="B4311" s="0" t="n">
        <v>0.631991344131469</v>
      </c>
      <c r="C4311" s="0" t="n">
        <v>0.800692800916731</v>
      </c>
      <c r="D4311" s="0" t="n">
        <f aca="false">A4311/SUM($A4311:$C4311)</f>
        <v>0.266094433971292</v>
      </c>
      <c r="E4311" s="0" t="n">
        <f aca="false">B4311/SUM($A4311:$C4311)</f>
        <v>0.323743350370116</v>
      </c>
      <c r="F4311" s="0" t="n">
        <f aca="false">C4311/SUM($A4311:$C4311)</f>
        <v>0.410162215658592</v>
      </c>
      <c r="G4311" s="0" t="n">
        <f aca="false">SUMPRODUCT(D4311:F4311,Stats!$B$6:$D$6)</f>
        <v>0.363801412483701</v>
      </c>
      <c r="H4311" s="0" t="n">
        <f aca="false">SQRT(SUMPRODUCT(MMULT(D4311:F4311,Stats!$B$12:$D$14),D4311:F4311))</f>
        <v>0.228676626461422</v>
      </c>
      <c r="I4311" s="0" t="n">
        <f aca="false">(G4311-Stats!$B$2)/H4311</f>
        <v>1.40723351338222</v>
      </c>
    </row>
    <row r="4312" customFormat="false" ht="15" hidden="false" customHeight="false" outlineLevel="0" collapsed="false">
      <c r="A4312" s="0" t="n">
        <v>0.452102205764314</v>
      </c>
      <c r="B4312" s="0" t="n">
        <v>0.81748093509014</v>
      </c>
      <c r="C4312" s="0" t="n">
        <v>0.533720661352081</v>
      </c>
      <c r="D4312" s="0" t="n">
        <f aca="false">A4312/SUM($A4312:$C4312)</f>
        <v>0.250707731670681</v>
      </c>
      <c r="E4312" s="0" t="n">
        <f aca="false">B4312/SUM($A4312:$C4312)</f>
        <v>0.453324023434024</v>
      </c>
      <c r="F4312" s="0" t="n">
        <f aca="false">C4312/SUM($A4312:$C4312)</f>
        <v>0.295968244895295</v>
      </c>
      <c r="G4312" s="0" t="n">
        <f aca="false">SUMPRODUCT(D4312:F4312,Stats!$B$6:$D$6)</f>
        <v>0.374406171521302</v>
      </c>
      <c r="H4312" s="0" t="n">
        <f aca="false">SQRT(SUMPRODUCT(MMULT(D4312:F4312,Stats!$B$12:$D$14),D4312:F4312))</f>
        <v>0.229974099136937</v>
      </c>
      <c r="I4312" s="0" t="n">
        <f aca="false">(G4312-Stats!$B$2)/H4312</f>
        <v>1.44540699482585</v>
      </c>
    </row>
    <row r="4313" customFormat="false" ht="15" hidden="false" customHeight="false" outlineLevel="0" collapsed="false">
      <c r="A4313" s="0" t="n">
        <v>0.338480510367978</v>
      </c>
      <c r="B4313" s="0" t="n">
        <v>0.657950828119414</v>
      </c>
      <c r="C4313" s="0" t="n">
        <v>0.717722254743491</v>
      </c>
      <c r="D4313" s="0" t="n">
        <f aca="false">A4313/SUM($A4313:$C4313)</f>
        <v>0.19746218291326</v>
      </c>
      <c r="E4313" s="0" t="n">
        <f aca="false">B4313/SUM($A4313:$C4313)</f>
        <v>0.383834232076771</v>
      </c>
      <c r="F4313" s="0" t="n">
        <f aca="false">C4313/SUM($A4313:$C4313)</f>
        <v>0.418703585009969</v>
      </c>
      <c r="G4313" s="0" t="n">
        <f aca="false">SUMPRODUCT(D4313:F4313,Stats!$B$6:$D$6)</f>
        <v>0.367023439068315</v>
      </c>
      <c r="H4313" s="0" t="n">
        <f aca="false">SQRT(SUMPRODUCT(MMULT(D4313:F4313,Stats!$B$12:$D$14),D4313:F4313))</f>
        <v>0.231739256478675</v>
      </c>
      <c r="I4313" s="0" t="n">
        <f aca="false">(G4313-Stats!$B$2)/H4313</f>
        <v>1.40253940574037</v>
      </c>
    </row>
    <row r="4314" customFormat="false" ht="15" hidden="false" customHeight="false" outlineLevel="0" collapsed="false">
      <c r="A4314" s="0" t="n">
        <v>0.558048975629488</v>
      </c>
      <c r="B4314" s="0" t="n">
        <v>0.0566149731347234</v>
      </c>
      <c r="C4314" s="0" t="n">
        <v>0.169882875160825</v>
      </c>
      <c r="D4314" s="0" t="n">
        <f aca="false">A4314/SUM($A4314:$C4314)</f>
        <v>0.711301044898258</v>
      </c>
      <c r="E4314" s="0" t="n">
        <f aca="false">B4314/SUM($A4314:$C4314)</f>
        <v>0.0721626439725834</v>
      </c>
      <c r="F4314" s="0" t="n">
        <f aca="false">C4314/SUM($A4314:$C4314)</f>
        <v>0.216536311129159</v>
      </c>
      <c r="G4314" s="0" t="n">
        <f aca="false">SUMPRODUCT(D4314:F4314,Stats!$B$6:$D$6)</f>
        <v>0.354664944097084</v>
      </c>
      <c r="H4314" s="0" t="n">
        <f aca="false">SQRT(SUMPRODUCT(MMULT(D4314:F4314,Stats!$B$12:$D$14),D4314:F4314))</f>
        <v>0.222286672271922</v>
      </c>
      <c r="I4314" s="0" t="n">
        <f aca="false">(G4314-Stats!$B$2)/H4314</f>
        <v>1.40658430350967</v>
      </c>
    </row>
    <row r="4315" customFormat="false" ht="15" hidden="false" customHeight="false" outlineLevel="0" collapsed="false">
      <c r="A4315" s="0" t="n">
        <v>0.285297720890228</v>
      </c>
      <c r="B4315" s="0" t="n">
        <v>0.282625605951493</v>
      </c>
      <c r="C4315" s="0" t="n">
        <v>0.673420800246871</v>
      </c>
      <c r="D4315" s="0" t="n">
        <f aca="false">A4315/SUM($A4315:$C4315)</f>
        <v>0.229829677898711</v>
      </c>
      <c r="E4315" s="0" t="n">
        <f aca="false">B4315/SUM($A4315:$C4315)</f>
        <v>0.227677079855651</v>
      </c>
      <c r="F4315" s="0" t="n">
        <f aca="false">C4315/SUM($A4315:$C4315)</f>
        <v>0.542493242245637</v>
      </c>
      <c r="G4315" s="0" t="n">
        <f aca="false">SUMPRODUCT(D4315:F4315,Stats!$B$6:$D$6)</f>
        <v>0.354624906453491</v>
      </c>
      <c r="H4315" s="0" t="n">
        <f aca="false">SQRT(SUMPRODUCT(MMULT(D4315:F4315,Stats!$B$12:$D$14),D4315:F4315))</f>
        <v>0.231368335294085</v>
      </c>
      <c r="I4315" s="0" t="n">
        <f aca="false">(G4315-Stats!$B$2)/H4315</f>
        <v>1.35120005101875</v>
      </c>
    </row>
    <row r="4316" customFormat="false" ht="15" hidden="false" customHeight="false" outlineLevel="0" collapsed="false">
      <c r="A4316" s="0" t="n">
        <v>0.0183486616736326</v>
      </c>
      <c r="B4316" s="0" t="n">
        <v>0.75568177704952</v>
      </c>
      <c r="C4316" s="0" t="n">
        <v>0.265342474806933</v>
      </c>
      <c r="D4316" s="0" t="n">
        <f aca="false">A4316/SUM($A4316:$C4316)</f>
        <v>0.0176535884616368</v>
      </c>
      <c r="E4316" s="0" t="n">
        <f aca="false">B4316/SUM($A4316:$C4316)</f>
        <v>0.727055484333291</v>
      </c>
      <c r="F4316" s="0" t="n">
        <f aca="false">C4316/SUM($A4316:$C4316)</f>
        <v>0.255290927205073</v>
      </c>
      <c r="G4316" s="0" t="n">
        <f aca="false">SUMPRODUCT(D4316:F4316,Stats!$B$6:$D$6)</f>
        <v>0.391277986887738</v>
      </c>
      <c r="H4316" s="0" t="n">
        <f aca="false">SQRT(SUMPRODUCT(MMULT(D4316:F4316,Stats!$B$12:$D$14),D4316:F4316))</f>
        <v>0.244176428603889</v>
      </c>
      <c r="I4316" s="0" t="n">
        <f aca="false">(G4316-Stats!$B$2)/H4316</f>
        <v>1.43043285907973</v>
      </c>
    </row>
    <row r="4317" customFormat="false" ht="15" hidden="false" customHeight="false" outlineLevel="0" collapsed="false">
      <c r="A4317" s="0" t="n">
        <v>0.310021846216102</v>
      </c>
      <c r="B4317" s="0" t="n">
        <v>0.527909827943924</v>
      </c>
      <c r="C4317" s="0" t="n">
        <v>0.215925600938958</v>
      </c>
      <c r="D4317" s="0" t="n">
        <f aca="false">A4317/SUM($A4317:$C4317)</f>
        <v>0.294178209461033</v>
      </c>
      <c r="E4317" s="0" t="n">
        <f aca="false">B4317/SUM($A4317:$C4317)</f>
        <v>0.500931046753309</v>
      </c>
      <c r="F4317" s="0" t="n">
        <f aca="false">C4317/SUM($A4317:$C4317)</f>
        <v>0.204890743785658</v>
      </c>
      <c r="G4317" s="0" t="n">
        <f aca="false">SUMPRODUCT(D4317:F4317,Stats!$B$6:$D$6)</f>
        <v>0.379656845089379</v>
      </c>
      <c r="H4317" s="0" t="n">
        <f aca="false">SQRT(SUMPRODUCT(MMULT(D4317:F4317,Stats!$B$12:$D$14),D4317:F4317))</f>
        <v>0.229681148335754</v>
      </c>
      <c r="I4317" s="0" t="n">
        <f aca="false">(G4317-Stats!$B$2)/H4317</f>
        <v>1.47011127180444</v>
      </c>
    </row>
    <row r="4318" customFormat="false" ht="15" hidden="false" customHeight="false" outlineLevel="0" collapsed="false">
      <c r="A4318" s="0" t="n">
        <v>0.884471313575528</v>
      </c>
      <c r="B4318" s="0" t="n">
        <v>0.0853687793265653</v>
      </c>
      <c r="C4318" s="0" t="n">
        <v>0.444382362301065</v>
      </c>
      <c r="D4318" s="0" t="n">
        <f aca="false">A4318/SUM($A4318:$C4318)</f>
        <v>0.625411730892415</v>
      </c>
      <c r="E4318" s="0" t="n">
        <f aca="false">B4318/SUM($A4318:$C4318)</f>
        <v>0.0603644631807955</v>
      </c>
      <c r="F4318" s="0" t="n">
        <f aca="false">C4318/SUM($A4318:$C4318)</f>
        <v>0.31422380592679</v>
      </c>
      <c r="G4318" s="0" t="n">
        <f aca="false">SUMPRODUCT(D4318:F4318,Stats!$B$6:$D$6)</f>
        <v>0.351292396947953</v>
      </c>
      <c r="H4318" s="0" t="n">
        <f aca="false">SQRT(SUMPRODUCT(MMULT(D4318:F4318,Stats!$B$12:$D$14),D4318:F4318))</f>
        <v>0.221288781373881</v>
      </c>
      <c r="I4318" s="0" t="n">
        <f aca="false">(G4318-Stats!$B$2)/H4318</f>
        <v>1.39768674682782</v>
      </c>
    </row>
    <row r="4319" customFormat="false" ht="15" hidden="false" customHeight="false" outlineLevel="0" collapsed="false">
      <c r="A4319" s="0" t="n">
        <v>0.84942226945489</v>
      </c>
      <c r="B4319" s="0" t="n">
        <v>0.615843894421236</v>
      </c>
      <c r="C4319" s="0" t="n">
        <v>0.292329515842633</v>
      </c>
      <c r="D4319" s="0" t="n">
        <f aca="false">A4319/SUM($A4319:$C4319)</f>
        <v>0.483286502838247</v>
      </c>
      <c r="E4319" s="0" t="n">
        <f aca="false">B4319/SUM($A4319:$C4319)</f>
        <v>0.35038996825469</v>
      </c>
      <c r="F4319" s="0" t="n">
        <f aca="false">C4319/SUM($A4319:$C4319)</f>
        <v>0.166323528907064</v>
      </c>
      <c r="G4319" s="0" t="n">
        <f aca="false">SUMPRODUCT(D4319:F4319,Stats!$B$6:$D$6)</f>
        <v>0.37205838239062</v>
      </c>
      <c r="H4319" s="0" t="n">
        <f aca="false">SQRT(SUMPRODUCT(MMULT(D4319:F4319,Stats!$B$12:$D$14),D4319:F4319))</f>
        <v>0.224573619206559</v>
      </c>
      <c r="I4319" s="0" t="n">
        <f aca="false">(G4319-Stats!$B$2)/H4319</f>
        <v>1.46971128468584</v>
      </c>
    </row>
    <row r="4320" customFormat="false" ht="15" hidden="false" customHeight="false" outlineLevel="0" collapsed="false">
      <c r="A4320" s="0" t="n">
        <v>0.420760207776461</v>
      </c>
      <c r="B4320" s="0" t="n">
        <v>0.706694380342515</v>
      </c>
      <c r="C4320" s="0" t="n">
        <v>0.973260743363899</v>
      </c>
      <c r="D4320" s="0" t="n">
        <f aca="false">A4320/SUM($A4320:$C4320)</f>
        <v>0.200293776824797</v>
      </c>
      <c r="E4320" s="0" t="n">
        <f aca="false">B4320/SUM($A4320:$C4320)</f>
        <v>0.33640654197714</v>
      </c>
      <c r="F4320" s="0" t="n">
        <f aca="false">C4320/SUM($A4320:$C4320)</f>
        <v>0.463299681198063</v>
      </c>
      <c r="G4320" s="0" t="n">
        <f aca="false">SUMPRODUCT(D4320:F4320,Stats!$B$6:$D$6)</f>
        <v>0.363064790964614</v>
      </c>
      <c r="H4320" s="0" t="n">
        <f aca="false">SQRT(SUMPRODUCT(MMULT(D4320:F4320,Stats!$B$12:$D$14),D4320:F4320))</f>
        <v>0.231764732534621</v>
      </c>
      <c r="I4320" s="0" t="n">
        <f aca="false">(G4320-Stats!$B$2)/H4320</f>
        <v>1.38530477632809</v>
      </c>
    </row>
    <row r="4321" customFormat="false" ht="15" hidden="false" customHeight="false" outlineLevel="0" collapsed="false">
      <c r="A4321" s="0" t="n">
        <v>0.893138718379434</v>
      </c>
      <c r="B4321" s="0" t="n">
        <v>0.342432808382377</v>
      </c>
      <c r="C4321" s="0" t="n">
        <v>0.998197879287858</v>
      </c>
      <c r="D4321" s="0" t="n">
        <f aca="false">A4321/SUM($A4321:$C4321)</f>
        <v>0.399834788658384</v>
      </c>
      <c r="E4321" s="0" t="n">
        <f aca="false">B4321/SUM($A4321:$C4321)</f>
        <v>0.153298190697291</v>
      </c>
      <c r="F4321" s="0" t="n">
        <f aca="false">C4321/SUM($A4321:$C4321)</f>
        <v>0.446867020644325</v>
      </c>
      <c r="G4321" s="0" t="n">
        <f aca="false">SUMPRODUCT(D4321:F4321,Stats!$B$6:$D$6)</f>
        <v>0.352982097718909</v>
      </c>
      <c r="H4321" s="0" t="n">
        <f aca="false">SQRT(SUMPRODUCT(MMULT(D4321:F4321,Stats!$B$12:$D$14),D4321:F4321))</f>
        <v>0.224534717323518</v>
      </c>
      <c r="I4321" s="0" t="n">
        <f aca="false">(G4321-Stats!$B$2)/H4321</f>
        <v>1.38500674383834</v>
      </c>
    </row>
    <row r="4322" customFormat="false" ht="15" hidden="false" customHeight="false" outlineLevel="0" collapsed="false">
      <c r="A4322" s="0" t="n">
        <v>0.00350466353105827</v>
      </c>
      <c r="B4322" s="0" t="n">
        <v>0.0276297558084151</v>
      </c>
      <c r="C4322" s="0" t="n">
        <v>0.823840515171194</v>
      </c>
      <c r="D4322" s="0" t="n">
        <f aca="false">A4322/SUM($A4322:$C4322)</f>
        <v>0.00409914184567775</v>
      </c>
      <c r="E4322" s="0" t="n">
        <f aca="false">B4322/SUM($A4322:$C4322)</f>
        <v>0.0323164512702686</v>
      </c>
      <c r="F4322" s="0" t="n">
        <f aca="false">C4322/SUM($A4322:$C4322)</f>
        <v>0.963584406884054</v>
      </c>
      <c r="G4322" s="0" t="n">
        <f aca="false">SUMPRODUCT(D4322:F4322,Stats!$B$6:$D$6)</f>
        <v>0.331772681830274</v>
      </c>
      <c r="H4322" s="0" t="n">
        <f aca="false">SQRT(SUMPRODUCT(MMULT(D4322:F4322,Stats!$B$12:$D$14),D4322:F4322))</f>
        <v>0.25756598944029</v>
      </c>
      <c r="I4322" s="0" t="n">
        <f aca="false">(G4322-Stats!$B$2)/H4322</f>
        <v>1.12504248895583</v>
      </c>
    </row>
    <row r="4323" customFormat="false" ht="15" hidden="false" customHeight="false" outlineLevel="0" collapsed="false">
      <c r="A4323" s="0" t="n">
        <v>0.199462686833052</v>
      </c>
      <c r="B4323" s="0" t="n">
        <v>0.0607692683962409</v>
      </c>
      <c r="C4323" s="0" t="n">
        <v>0.237148073236502</v>
      </c>
      <c r="D4323" s="0" t="n">
        <f aca="false">A4323/SUM($A4323:$C4323)</f>
        <v>0.401026730904956</v>
      </c>
      <c r="E4323" s="0" t="n">
        <f aca="false">B4323/SUM($A4323:$C4323)</f>
        <v>0.122178746468144</v>
      </c>
      <c r="F4323" s="0" t="n">
        <f aca="false">C4323/SUM($A4323:$C4323)</f>
        <v>0.476794522626899</v>
      </c>
      <c r="G4323" s="0" t="n">
        <f aca="false">SUMPRODUCT(D4323:F4323,Stats!$B$6:$D$6)</f>
        <v>0.350366285818625</v>
      </c>
      <c r="H4323" s="0" t="n">
        <f aca="false">SQRT(SUMPRODUCT(MMULT(D4323:F4323,Stats!$B$12:$D$14),D4323:F4323))</f>
        <v>0.224846692897871</v>
      </c>
      <c r="I4323" s="0" t="n">
        <f aca="false">(G4323-Stats!$B$2)/H4323</f>
        <v>1.3714512846257</v>
      </c>
    </row>
    <row r="4324" customFormat="false" ht="15" hidden="false" customHeight="false" outlineLevel="0" collapsed="false">
      <c r="A4324" s="0" t="n">
        <v>0.42610015398086</v>
      </c>
      <c r="B4324" s="0" t="n">
        <v>0.730566270433405</v>
      </c>
      <c r="C4324" s="0" t="n">
        <v>0.624335526551206</v>
      </c>
      <c r="D4324" s="0" t="n">
        <f aca="false">A4324/SUM($A4324:$C4324)</f>
        <v>0.239247438078254</v>
      </c>
      <c r="E4324" s="0" t="n">
        <f aca="false">B4324/SUM($A4324:$C4324)</f>
        <v>0.410199590201105</v>
      </c>
      <c r="F4324" s="0" t="n">
        <f aca="false">C4324/SUM($A4324:$C4324)</f>
        <v>0.350552971720641</v>
      </c>
      <c r="G4324" s="0" t="n">
        <f aca="false">SUMPRODUCT(D4324:F4324,Stats!$B$6:$D$6)</f>
        <v>0.370419694600123</v>
      </c>
      <c r="H4324" s="0" t="n">
        <f aca="false">SQRT(SUMPRODUCT(MMULT(D4324:F4324,Stats!$B$12:$D$14),D4324:F4324))</f>
        <v>0.229973536845945</v>
      </c>
      <c r="I4324" s="0" t="n">
        <f aca="false">(G4324-Stats!$B$2)/H4324</f>
        <v>1.42807602606958</v>
      </c>
    </row>
    <row r="4325" customFormat="false" ht="15" hidden="false" customHeight="false" outlineLevel="0" collapsed="false">
      <c r="A4325" s="0" t="n">
        <v>0.23762121756042</v>
      </c>
      <c r="B4325" s="0" t="n">
        <v>0.503270448100584</v>
      </c>
      <c r="C4325" s="0" t="n">
        <v>0.926214105398569</v>
      </c>
      <c r="D4325" s="0" t="n">
        <f aca="false">A4325/SUM($A4325:$C4325)</f>
        <v>0.142535177842612</v>
      </c>
      <c r="E4325" s="0" t="n">
        <f aca="false">B4325/SUM($A4325:$C4325)</f>
        <v>0.301882734039555</v>
      </c>
      <c r="F4325" s="0" t="n">
        <f aca="false">C4325/SUM($A4325:$C4325)</f>
        <v>0.555582088117834</v>
      </c>
      <c r="G4325" s="0" t="n">
        <f aca="false">SUMPRODUCT(D4325:F4325,Stats!$B$6:$D$6)</f>
        <v>0.358533683862043</v>
      </c>
      <c r="H4325" s="0" t="n">
        <f aca="false">SQRT(SUMPRODUCT(MMULT(D4325:F4325,Stats!$B$12:$D$14),D4325:F4325))</f>
        <v>0.235593333374517</v>
      </c>
      <c r="I4325" s="0" t="n">
        <f aca="false">(G4325-Stats!$B$2)/H4325</f>
        <v>1.34355959622532</v>
      </c>
    </row>
    <row r="4326" customFormat="false" ht="15" hidden="false" customHeight="false" outlineLevel="0" collapsed="false">
      <c r="A4326" s="0" t="n">
        <v>0.815007776983758</v>
      </c>
      <c r="B4326" s="0" t="n">
        <v>0.323189784831793</v>
      </c>
      <c r="C4326" s="0" t="n">
        <v>0.982264561355696</v>
      </c>
      <c r="D4326" s="0" t="n">
        <f aca="false">A4326/SUM($A4326:$C4326)</f>
        <v>0.384353848190826</v>
      </c>
      <c r="E4326" s="0" t="n">
        <f aca="false">B4326/SUM($A4326:$C4326)</f>
        <v>0.152414787937098</v>
      </c>
      <c r="F4326" s="0" t="n">
        <f aca="false">C4326/SUM($A4326:$C4326)</f>
        <v>0.463231363872077</v>
      </c>
      <c r="G4326" s="0" t="n">
        <f aca="false">SUMPRODUCT(D4326:F4326,Stats!$B$6:$D$6)</f>
        <v>0.352480027397005</v>
      </c>
      <c r="H4326" s="0" t="n">
        <f aca="false">SQRT(SUMPRODUCT(MMULT(D4326:F4326,Stats!$B$12:$D$14),D4326:F4326))</f>
        <v>0.225087193297332</v>
      </c>
      <c r="I4326" s="0" t="n">
        <f aca="false">(G4326-Stats!$B$2)/H4326</f>
        <v>1.37937668886773</v>
      </c>
    </row>
    <row r="4327" customFormat="false" ht="15" hidden="false" customHeight="false" outlineLevel="0" collapsed="false">
      <c r="A4327" s="0" t="n">
        <v>0.708620400435131</v>
      </c>
      <c r="B4327" s="0" t="n">
        <v>0.0624493556667818</v>
      </c>
      <c r="C4327" s="0" t="n">
        <v>0.0351607132886387</v>
      </c>
      <c r="D4327" s="0" t="n">
        <f aca="false">A4327/SUM($A4327:$C4327)</f>
        <v>0.878930315013763</v>
      </c>
      <c r="E4327" s="0" t="n">
        <f aca="false">B4327/SUM($A4327:$C4327)</f>
        <v>0.0774584415222966</v>
      </c>
      <c r="F4327" s="0" t="n">
        <f aca="false">C4327/SUM($A4327:$C4327)</f>
        <v>0.0436112434639409</v>
      </c>
      <c r="G4327" s="0" t="n">
        <f aca="false">SUMPRODUCT(D4327:F4327,Stats!$B$6:$D$6)</f>
        <v>0.359737999664269</v>
      </c>
      <c r="H4327" s="0" t="n">
        <f aca="false">SQRT(SUMPRODUCT(MMULT(D4327:F4327,Stats!$B$12:$D$14),D4327:F4327))</f>
        <v>0.228467611740404</v>
      </c>
      <c r="I4327" s="0" t="n">
        <f aca="false">(G4327-Stats!$B$2)/H4327</f>
        <v>1.39073541866099</v>
      </c>
    </row>
    <row r="4328" customFormat="false" ht="15" hidden="false" customHeight="false" outlineLevel="0" collapsed="false">
      <c r="A4328" s="0" t="n">
        <v>0.16840794901003</v>
      </c>
      <c r="B4328" s="0" t="n">
        <v>0.727855868050147</v>
      </c>
      <c r="C4328" s="0" t="n">
        <v>0.183738925842428</v>
      </c>
      <c r="D4328" s="0" t="n">
        <f aca="false">A4328/SUM($A4328:$C4328)</f>
        <v>0.155932890093796</v>
      </c>
      <c r="E4328" s="0" t="n">
        <f aca="false">B4328/SUM($A4328:$C4328)</f>
        <v>0.673938906945707</v>
      </c>
      <c r="F4328" s="0" t="n">
        <f aca="false">C4328/SUM($A4328:$C4328)</f>
        <v>0.170128202960497</v>
      </c>
      <c r="G4328" s="0" t="n">
        <f aca="false">SUMPRODUCT(D4328:F4328,Stats!$B$6:$D$6)</f>
        <v>0.390570057138036</v>
      </c>
      <c r="H4328" s="0" t="n">
        <f aca="false">SQRT(SUMPRODUCT(MMULT(D4328:F4328,Stats!$B$12:$D$14),D4328:F4328))</f>
        <v>0.237515874548393</v>
      </c>
      <c r="I4328" s="0" t="n">
        <f aca="false">(G4328-Stats!$B$2)/H4328</f>
        <v>1.46756530611185</v>
      </c>
    </row>
    <row r="4329" customFormat="false" ht="15" hidden="false" customHeight="false" outlineLevel="0" collapsed="false">
      <c r="A4329" s="0" t="n">
        <v>0.511486769208834</v>
      </c>
      <c r="B4329" s="0" t="n">
        <v>0.0932601201808317</v>
      </c>
      <c r="C4329" s="0" t="n">
        <v>0.920886157830195</v>
      </c>
      <c r="D4329" s="0" t="n">
        <f aca="false">A4329/SUM($A4329:$C4329)</f>
        <v>0.335261988550201</v>
      </c>
      <c r="E4329" s="0" t="n">
        <f aca="false">B4329/SUM($A4329:$C4329)</f>
        <v>0.0611288018116665</v>
      </c>
      <c r="F4329" s="0" t="n">
        <f aca="false">C4329/SUM($A4329:$C4329)</f>
        <v>0.603609209638132</v>
      </c>
      <c r="G4329" s="0" t="n">
        <f aca="false">SUMPRODUCT(D4329:F4329,Stats!$B$6:$D$6)</f>
        <v>0.343356684799647</v>
      </c>
      <c r="H4329" s="0" t="n">
        <f aca="false">SQRT(SUMPRODUCT(MMULT(D4329:F4329,Stats!$B$12:$D$14),D4329:F4329))</f>
        <v>0.229056608484172</v>
      </c>
      <c r="I4329" s="0" t="n">
        <f aca="false">(G4329-Stats!$B$2)/H4329</f>
        <v>1.31564283080036</v>
      </c>
    </row>
    <row r="4330" customFormat="false" ht="15" hidden="false" customHeight="false" outlineLevel="0" collapsed="false">
      <c r="A4330" s="0" t="n">
        <v>0.343960613583568</v>
      </c>
      <c r="B4330" s="0" t="n">
        <v>0.908132056560631</v>
      </c>
      <c r="C4330" s="0" t="n">
        <v>0.944875641910544</v>
      </c>
      <c r="D4330" s="0" t="n">
        <f aca="false">A4330/SUM($A4330:$C4330)</f>
        <v>0.156561481427046</v>
      </c>
      <c r="E4330" s="0" t="n">
        <f aca="false">B4330/SUM($A4330:$C4330)</f>
        <v>0.413356920797501</v>
      </c>
      <c r="F4330" s="0" t="n">
        <f aca="false">C4330/SUM($A4330:$C4330)</f>
        <v>0.430081597775453</v>
      </c>
      <c r="G4330" s="0" t="n">
        <f aca="false">SUMPRODUCT(D4330:F4330,Stats!$B$6:$D$6)</f>
        <v>0.368408392041043</v>
      </c>
      <c r="H4330" s="0" t="n">
        <f aca="false">SQRT(SUMPRODUCT(MMULT(D4330:F4330,Stats!$B$12:$D$14),D4330:F4330))</f>
        <v>0.23380642240102</v>
      </c>
      <c r="I4330" s="0" t="n">
        <f aca="false">(G4330-Stats!$B$2)/H4330</f>
        <v>1.39606255760243</v>
      </c>
    </row>
    <row r="4331" customFormat="false" ht="15" hidden="false" customHeight="false" outlineLevel="0" collapsed="false">
      <c r="A4331" s="0" t="n">
        <v>0.00612864731368079</v>
      </c>
      <c r="B4331" s="0" t="n">
        <v>0.464135187198732</v>
      </c>
      <c r="C4331" s="0" t="n">
        <v>0.0246560557068929</v>
      </c>
      <c r="D4331" s="0" t="n">
        <f aca="false">A4331/SUM($A4331:$C4331)</f>
        <v>0.0123831097411848</v>
      </c>
      <c r="E4331" s="0" t="n">
        <f aca="false">B4331/SUM($A4331:$C4331)</f>
        <v>0.937798614222329</v>
      </c>
      <c r="F4331" s="0" t="n">
        <f aca="false">C4331/SUM($A4331:$C4331)</f>
        <v>0.0498182760364864</v>
      </c>
      <c r="G4331" s="0" t="n">
        <f aca="false">SUMPRODUCT(D4331:F4331,Stats!$B$6:$D$6)</f>
        <v>0.409069703149095</v>
      </c>
      <c r="H4331" s="0" t="n">
        <f aca="false">SQRT(SUMPRODUCT(MMULT(D4331:F4331,Stats!$B$12:$D$14),D4331:F4331))</f>
        <v>0.25138467985177</v>
      </c>
      <c r="I4331" s="0" t="n">
        <f aca="false">(G4331-Stats!$B$2)/H4331</f>
        <v>1.46019122313078</v>
      </c>
    </row>
    <row r="4332" customFormat="false" ht="15" hidden="false" customHeight="false" outlineLevel="0" collapsed="false">
      <c r="A4332" s="0" t="n">
        <v>0.908692766302906</v>
      </c>
      <c r="B4332" s="0" t="n">
        <v>0.518407544734576</v>
      </c>
      <c r="C4332" s="0" t="n">
        <v>0.0749440126984968</v>
      </c>
      <c r="D4332" s="0" t="n">
        <f aca="false">A4332/SUM($A4332:$C4332)</f>
        <v>0.604970673596867</v>
      </c>
      <c r="E4332" s="0" t="n">
        <f aca="false">B4332/SUM($A4332:$C4332)</f>
        <v>0.345134651849128</v>
      </c>
      <c r="F4332" s="0" t="n">
        <f aca="false">C4332/SUM($A4332:$C4332)</f>
        <v>0.0498946745540048</v>
      </c>
      <c r="G4332" s="0" t="n">
        <f aca="false">SUMPRODUCT(D4332:F4332,Stats!$B$6:$D$6)</f>
        <v>0.374966479164361</v>
      </c>
      <c r="H4332" s="0" t="n">
        <f aca="false">SQRT(SUMPRODUCT(MMULT(D4332:F4332,Stats!$B$12:$D$14),D4332:F4332))</f>
        <v>0.226116927829723</v>
      </c>
      <c r="I4332" s="0" t="n">
        <f aca="false">(G4332-Stats!$B$2)/H4332</f>
        <v>1.47254114214351</v>
      </c>
    </row>
    <row r="4333" customFormat="false" ht="15" hidden="false" customHeight="false" outlineLevel="0" collapsed="false">
      <c r="A4333" s="0" t="n">
        <v>0.110276728276567</v>
      </c>
      <c r="B4333" s="0" t="n">
        <v>0.383509024492739</v>
      </c>
      <c r="C4333" s="0" t="n">
        <v>0.94023419287289</v>
      </c>
      <c r="D4333" s="0" t="n">
        <f aca="false">A4333/SUM($A4333:$C4333)</f>
        <v>0.0769004145386428</v>
      </c>
      <c r="E4333" s="0" t="n">
        <f aca="false">B4333/SUM($A4333:$C4333)</f>
        <v>0.267436325176769</v>
      </c>
      <c r="F4333" s="0" t="n">
        <f aca="false">C4333/SUM($A4333:$C4333)</f>
        <v>0.655663260284588</v>
      </c>
      <c r="G4333" s="0" t="n">
        <f aca="false">SUMPRODUCT(D4333:F4333,Stats!$B$6:$D$6)</f>
        <v>0.353791982249937</v>
      </c>
      <c r="H4333" s="0" t="n">
        <f aca="false">SQRT(SUMPRODUCT(MMULT(D4333:F4333,Stats!$B$12:$D$14),D4333:F4333))</f>
        <v>0.241103469976053</v>
      </c>
      <c r="I4333" s="0" t="n">
        <f aca="false">(G4333-Stats!$B$2)/H4333</f>
        <v>1.29318745300889</v>
      </c>
    </row>
    <row r="4334" customFormat="false" ht="15" hidden="false" customHeight="false" outlineLevel="0" collapsed="false">
      <c r="A4334" s="0" t="n">
        <v>0.692909151568081</v>
      </c>
      <c r="B4334" s="0" t="n">
        <v>0.867618866189132</v>
      </c>
      <c r="C4334" s="0" t="n">
        <v>0.36645664633998</v>
      </c>
      <c r="D4334" s="0" t="n">
        <f aca="false">A4334/SUM($A4334:$C4334)</f>
        <v>0.359582078922623</v>
      </c>
      <c r="E4334" s="0" t="n">
        <f aca="false">B4334/SUM($A4334:$C4334)</f>
        <v>0.450246897318002</v>
      </c>
      <c r="F4334" s="0" t="n">
        <f aca="false">C4334/SUM($A4334:$C4334)</f>
        <v>0.190171023759376</v>
      </c>
      <c r="G4334" s="0" t="n">
        <f aca="false">SUMPRODUCT(D4334:F4334,Stats!$B$6:$D$6)</f>
        <v>0.377146435348305</v>
      </c>
      <c r="H4334" s="0" t="n">
        <f aca="false">SQRT(SUMPRODUCT(MMULT(D4334:F4334,Stats!$B$12:$D$14),D4334:F4334))</f>
        <v>0.227488401692646</v>
      </c>
      <c r="I4334" s="0" t="n">
        <f aca="false">(G4334-Stats!$B$2)/H4334</f>
        <v>1.47324625279628</v>
      </c>
    </row>
    <row r="4335" customFormat="false" ht="15" hidden="false" customHeight="false" outlineLevel="0" collapsed="false">
      <c r="A4335" s="0" t="n">
        <v>0.0432136995499983</v>
      </c>
      <c r="B4335" s="0" t="n">
        <v>0.974317637204414</v>
      </c>
      <c r="C4335" s="0" t="n">
        <v>0.0171729906623696</v>
      </c>
      <c r="D4335" s="0" t="n">
        <f aca="false">A4335/SUM($A4335:$C4335)</f>
        <v>0.0417642976886785</v>
      </c>
      <c r="E4335" s="0" t="n">
        <f aca="false">B4335/SUM($A4335:$C4335)</f>
        <v>0.941638699469705</v>
      </c>
      <c r="F4335" s="0" t="n">
        <f aca="false">C4335/SUM($A4335:$C4335)</f>
        <v>0.0165970028416168</v>
      </c>
      <c r="G4335" s="0" t="n">
        <f aca="false">SUMPRODUCT(D4335:F4335,Stats!$B$6:$D$6)</f>
        <v>0.410206720514879</v>
      </c>
      <c r="H4335" s="0" t="n">
        <f aca="false">SQRT(SUMPRODUCT(MMULT(D4335:F4335,Stats!$B$12:$D$14),D4335:F4335))</f>
        <v>0.250791288195491</v>
      </c>
      <c r="I4335" s="0" t="n">
        <f aca="false">(G4335-Stats!$B$2)/H4335</f>
        <v>1.46817986846442</v>
      </c>
    </row>
    <row r="4336" customFormat="false" ht="15" hidden="false" customHeight="false" outlineLevel="0" collapsed="false">
      <c r="A4336" s="0" t="n">
        <v>0.947651653081089</v>
      </c>
      <c r="B4336" s="0" t="n">
        <v>0.368677423849145</v>
      </c>
      <c r="C4336" s="0" t="n">
        <v>0.0100904050218815</v>
      </c>
      <c r="D4336" s="0" t="n">
        <f aca="false">A4336/SUM($A4336:$C4336)</f>
        <v>0.714443406460235</v>
      </c>
      <c r="E4336" s="0" t="n">
        <f aca="false">B4336/SUM($A4336:$C4336)</f>
        <v>0.277949343224781</v>
      </c>
      <c r="F4336" s="0" t="n">
        <f aca="false">C4336/SUM($A4336:$C4336)</f>
        <v>0.00760725031498428</v>
      </c>
      <c r="G4336" s="0" t="n">
        <f aca="false">SUMPRODUCT(D4336:F4336,Stats!$B$6:$D$6)</f>
        <v>0.372266782921152</v>
      </c>
      <c r="H4336" s="0" t="n">
        <f aca="false">SQRT(SUMPRODUCT(MMULT(D4336:F4336,Stats!$B$12:$D$14),D4336:F4336))</f>
        <v>0.227329579040807</v>
      </c>
      <c r="I4336" s="0" t="n">
        <f aca="false">(G4336-Stats!$B$2)/H4336</f>
        <v>1.45281042755051</v>
      </c>
    </row>
    <row r="4337" customFormat="false" ht="15" hidden="false" customHeight="false" outlineLevel="0" collapsed="false">
      <c r="A4337" s="0" t="n">
        <v>0.689157231724508</v>
      </c>
      <c r="B4337" s="0" t="n">
        <v>0.980540304031354</v>
      </c>
      <c r="C4337" s="0" t="n">
        <v>0.965625722837593</v>
      </c>
      <c r="D4337" s="0" t="n">
        <f aca="false">A4337/SUM($A4337:$C4337)</f>
        <v>0.261507664942907</v>
      </c>
      <c r="E4337" s="0" t="n">
        <f aca="false">B4337/SUM($A4337:$C4337)</f>
        <v>0.372075911687091</v>
      </c>
      <c r="F4337" s="0" t="n">
        <f aca="false">C4337/SUM($A4337:$C4337)</f>
        <v>0.366416423370002</v>
      </c>
      <c r="G4337" s="0" t="n">
        <f aca="false">SUMPRODUCT(D4337:F4337,Stats!$B$6:$D$6)</f>
        <v>0.367788678903111</v>
      </c>
      <c r="H4337" s="0" t="n">
        <f aca="false">SQRT(SUMPRODUCT(MMULT(D4337:F4337,Stats!$B$12:$D$14),D4337:F4337))</f>
        <v>0.228918275399166</v>
      </c>
      <c r="I4337" s="0" t="n">
        <f aca="false">(G4337-Stats!$B$2)/H4337</f>
        <v>1.42316588020346</v>
      </c>
    </row>
    <row r="4338" customFormat="false" ht="15" hidden="false" customHeight="false" outlineLevel="0" collapsed="false">
      <c r="A4338" s="0" t="n">
        <v>0.160937011202418</v>
      </c>
      <c r="B4338" s="0" t="n">
        <v>0.181247806066155</v>
      </c>
      <c r="C4338" s="0" t="n">
        <v>0.56553891461966</v>
      </c>
      <c r="D4338" s="0" t="n">
        <f aca="false">A4338/SUM($A4338:$C4338)</f>
        <v>0.177297348905531</v>
      </c>
      <c r="E4338" s="0" t="n">
        <f aca="false">B4338/SUM($A4338:$C4338)</f>
        <v>0.199672873693768</v>
      </c>
      <c r="F4338" s="0" t="n">
        <f aca="false">C4338/SUM($A4338:$C4338)</f>
        <v>0.623029777400701</v>
      </c>
      <c r="G4338" s="0" t="n">
        <f aca="false">SUMPRODUCT(D4338:F4338,Stats!$B$6:$D$6)</f>
        <v>0.35079281669515</v>
      </c>
      <c r="H4338" s="0" t="n">
        <f aca="false">SQRT(SUMPRODUCT(MMULT(D4338:F4338,Stats!$B$12:$D$14),D4338:F4338))</f>
        <v>0.235291421832853</v>
      </c>
      <c r="I4338" s="0" t="n">
        <f aca="false">(G4338-Stats!$B$2)/H4338</f>
        <v>1.31238450721978</v>
      </c>
    </row>
    <row r="4339" customFormat="false" ht="15" hidden="false" customHeight="false" outlineLevel="0" collapsed="false">
      <c r="A4339" s="0" t="n">
        <v>0.637304826428324</v>
      </c>
      <c r="B4339" s="0" t="n">
        <v>0.739417913665866</v>
      </c>
      <c r="C4339" s="0" t="n">
        <v>0.181050360472148</v>
      </c>
      <c r="D4339" s="0" t="n">
        <f aca="false">A4339/SUM($A4339:$C4339)</f>
        <v>0.409112743182321</v>
      </c>
      <c r="E4339" s="0" t="n">
        <f aca="false">B4339/SUM($A4339:$C4339)</f>
        <v>0.474663423958885</v>
      </c>
      <c r="F4339" s="0" t="n">
        <f aca="false">C4339/SUM($A4339:$C4339)</f>
        <v>0.116223832858794</v>
      </c>
      <c r="G4339" s="0" t="n">
        <f aca="false">SUMPRODUCT(D4339:F4339,Stats!$B$6:$D$6)</f>
        <v>0.380590396037028</v>
      </c>
      <c r="H4339" s="0" t="n">
        <f aca="false">SQRT(SUMPRODUCT(MMULT(D4339:F4339,Stats!$B$12:$D$14),D4339:F4339))</f>
        <v>0.227846236842751</v>
      </c>
      <c r="I4339" s="0" t="n">
        <f aca="false">(G4339-Stats!$B$2)/H4339</f>
        <v>1.48604778700254</v>
      </c>
    </row>
    <row r="4340" customFormat="false" ht="15" hidden="false" customHeight="false" outlineLevel="0" collapsed="false">
      <c r="A4340" s="0" t="n">
        <v>0.959007086764435</v>
      </c>
      <c r="B4340" s="0" t="n">
        <v>0.638739256289238</v>
      </c>
      <c r="C4340" s="0" t="n">
        <v>0.847046918870555</v>
      </c>
      <c r="D4340" s="0" t="n">
        <f aca="false">A4340/SUM($A4340:$C4340)</f>
        <v>0.392265105479564</v>
      </c>
      <c r="E4340" s="0" t="n">
        <f aca="false">B4340/SUM($A4340:$C4340)</f>
        <v>0.261265140998673</v>
      </c>
      <c r="F4340" s="0" t="n">
        <f aca="false">C4340/SUM($A4340:$C4340)</f>
        <v>0.346469753521763</v>
      </c>
      <c r="G4340" s="0" t="n">
        <f aca="false">SUMPRODUCT(D4340:F4340,Stats!$B$6:$D$6)</f>
        <v>0.361962792326446</v>
      </c>
      <c r="H4340" s="0" t="n">
        <f aca="false">SQRT(SUMPRODUCT(MMULT(D4340:F4340,Stats!$B$12:$D$14),D4340:F4340))</f>
        <v>0.224410077064739</v>
      </c>
      <c r="I4340" s="0" t="n">
        <f aca="false">(G4340-Stats!$B$2)/H4340</f>
        <v>1.42579511807815</v>
      </c>
    </row>
    <row r="4341" customFormat="false" ht="15" hidden="false" customHeight="false" outlineLevel="0" collapsed="false">
      <c r="A4341" s="0" t="n">
        <v>0.540065715284172</v>
      </c>
      <c r="B4341" s="0" t="n">
        <v>0.414276847589883</v>
      </c>
      <c r="C4341" s="0" t="n">
        <v>0.977182906594996</v>
      </c>
      <c r="D4341" s="0" t="n">
        <f aca="false">A4341/SUM($A4341:$C4341)</f>
        <v>0.279605795429986</v>
      </c>
      <c r="E4341" s="0" t="n">
        <f aca="false">B4341/SUM($A4341:$C4341)</f>
        <v>0.214481690321051</v>
      </c>
      <c r="F4341" s="0" t="n">
        <f aca="false">C4341/SUM($A4341:$C4341)</f>
        <v>0.505912514248963</v>
      </c>
      <c r="G4341" s="0" t="n">
        <f aca="false">SUMPRODUCT(D4341:F4341,Stats!$B$6:$D$6)</f>
        <v>0.354874360322949</v>
      </c>
      <c r="H4341" s="0" t="n">
        <f aca="false">SQRT(SUMPRODUCT(MMULT(D4341:F4341,Stats!$B$12:$D$14),D4341:F4341))</f>
        <v>0.228875338182243</v>
      </c>
      <c r="I4341" s="0" t="n">
        <f aca="false">(G4341-Stats!$B$2)/H4341</f>
        <v>1.36700774669668</v>
      </c>
    </row>
    <row r="4342" customFormat="false" ht="15" hidden="false" customHeight="false" outlineLevel="0" collapsed="false">
      <c r="A4342" s="0" t="n">
        <v>0.582121370819836</v>
      </c>
      <c r="B4342" s="0" t="n">
        <v>0.866873582799179</v>
      </c>
      <c r="C4342" s="0" t="n">
        <v>0.95329239636629</v>
      </c>
      <c r="D4342" s="0" t="n">
        <f aca="false">A4342/SUM($A4342:$C4342)</f>
        <v>0.242319625428406</v>
      </c>
      <c r="E4342" s="0" t="n">
        <f aca="false">B4342/SUM($A4342:$C4342)</f>
        <v>0.360853410315166</v>
      </c>
      <c r="F4342" s="0" t="n">
        <f aca="false">C4342/SUM($A4342:$C4342)</f>
        <v>0.396826964256429</v>
      </c>
      <c r="G4342" s="0" t="n">
        <f aca="false">SUMPRODUCT(D4342:F4342,Stats!$B$6:$D$6)</f>
        <v>0.366304391730736</v>
      </c>
      <c r="H4342" s="0" t="n">
        <f aca="false">SQRT(SUMPRODUCT(MMULT(D4342:F4342,Stats!$B$12:$D$14),D4342:F4342))</f>
        <v>0.22967493826147</v>
      </c>
      <c r="I4342" s="0" t="n">
        <f aca="false">(G4342-Stats!$B$2)/H4342</f>
        <v>1.41201471168586</v>
      </c>
    </row>
    <row r="4343" customFormat="false" ht="15" hidden="false" customHeight="false" outlineLevel="0" collapsed="false">
      <c r="A4343" s="0" t="n">
        <v>0.675354627008659</v>
      </c>
      <c r="B4343" s="0" t="n">
        <v>0.548938678518675</v>
      </c>
      <c r="C4343" s="0" t="n">
        <v>0.00351085091065062</v>
      </c>
      <c r="D4343" s="0" t="n">
        <f aca="false">A4343/SUM($A4343:$C4343)</f>
        <v>0.550050774357979</v>
      </c>
      <c r="E4343" s="0" t="n">
        <f aca="false">B4343/SUM($A4343:$C4343)</f>
        <v>0.447089770498265</v>
      </c>
      <c r="F4343" s="0" t="n">
        <f aca="false">C4343/SUM($A4343:$C4343)</f>
        <v>0.00285945514375521</v>
      </c>
      <c r="G4343" s="0" t="n">
        <f aca="false">SUMPRODUCT(D4343:F4343,Stats!$B$6:$D$6)</f>
        <v>0.382129822818046</v>
      </c>
      <c r="H4343" s="0" t="n">
        <f aca="false">SQRT(SUMPRODUCT(MMULT(D4343:F4343,Stats!$B$12:$D$14),D4343:F4343))</f>
        <v>0.228582159085436</v>
      </c>
      <c r="I4343" s="0" t="n">
        <f aca="false">(G4343-Stats!$B$2)/H4343</f>
        <v>1.48799811927105</v>
      </c>
    </row>
    <row r="4344" customFormat="false" ht="15" hidden="false" customHeight="false" outlineLevel="0" collapsed="false">
      <c r="A4344" s="0" t="n">
        <v>0.040019640739006</v>
      </c>
      <c r="B4344" s="0" t="n">
        <v>0.200851216051116</v>
      </c>
      <c r="C4344" s="0" t="n">
        <v>0.186008431855995</v>
      </c>
      <c r="D4344" s="0" t="n">
        <f aca="false">A4344/SUM($A4344:$C4344)</f>
        <v>0.0937493146269325</v>
      </c>
      <c r="E4344" s="0" t="n">
        <f aca="false">B4344/SUM($A4344:$C4344)</f>
        <v>0.470510566788406</v>
      </c>
      <c r="F4344" s="0" t="n">
        <f aca="false">C4344/SUM($A4344:$C4344)</f>
        <v>0.435740118584662</v>
      </c>
      <c r="G4344" s="0" t="n">
        <f aca="false">SUMPRODUCT(D4344:F4344,Stats!$B$6:$D$6)</f>
        <v>0.371540907323911</v>
      </c>
      <c r="H4344" s="0" t="n">
        <f aca="false">SQRT(SUMPRODUCT(MMULT(D4344:F4344,Stats!$B$12:$D$14),D4344:F4344))</f>
        <v>0.237299530226017</v>
      </c>
      <c r="I4344" s="0" t="n">
        <f aca="false">(G4344-Stats!$B$2)/H4344</f>
        <v>1.38871285168596</v>
      </c>
    </row>
    <row r="4345" customFormat="false" ht="15" hidden="false" customHeight="false" outlineLevel="0" collapsed="false">
      <c r="A4345" s="0" t="n">
        <v>0.254758795199845</v>
      </c>
      <c r="B4345" s="0" t="n">
        <v>0.304934637697661</v>
      </c>
      <c r="C4345" s="0" t="n">
        <v>0.360065493550728</v>
      </c>
      <c r="D4345" s="0" t="n">
        <f aca="false">A4345/SUM($A4345:$C4345)</f>
        <v>0.276984313904545</v>
      </c>
      <c r="E4345" s="0" t="n">
        <f aca="false">B4345/SUM($A4345:$C4345)</f>
        <v>0.331537568083416</v>
      </c>
      <c r="F4345" s="0" t="n">
        <f aca="false">C4345/SUM($A4345:$C4345)</f>
        <v>0.391478118012039</v>
      </c>
      <c r="G4345" s="0" t="n">
        <f aca="false">SUMPRODUCT(D4345:F4345,Stats!$B$6:$D$6)</f>
        <v>0.364765088489388</v>
      </c>
      <c r="H4345" s="0" t="n">
        <f aca="false">SQRT(SUMPRODUCT(MMULT(D4345:F4345,Stats!$B$12:$D$14),D4345:F4345))</f>
        <v>0.228227130430064</v>
      </c>
      <c r="I4345" s="0" t="n">
        <f aca="false">(G4345-Stats!$B$2)/H4345</f>
        <v>1.4142275192313</v>
      </c>
    </row>
    <row r="4346" customFormat="false" ht="15" hidden="false" customHeight="false" outlineLevel="0" collapsed="false">
      <c r="A4346" s="0" t="n">
        <v>0.420537690068877</v>
      </c>
      <c r="B4346" s="0" t="n">
        <v>0.0988663384560147</v>
      </c>
      <c r="C4346" s="0" t="n">
        <v>0.042361931952782</v>
      </c>
      <c r="D4346" s="0" t="n">
        <f aca="false">A4346/SUM($A4346:$C4346)</f>
        <v>0.748599451827396</v>
      </c>
      <c r="E4346" s="0" t="n">
        <f aca="false">B4346/SUM($A4346:$C4346)</f>
        <v>0.175992041902909</v>
      </c>
      <c r="F4346" s="0" t="n">
        <f aca="false">C4346/SUM($A4346:$C4346)</f>
        <v>0.0754085062696953</v>
      </c>
      <c r="G4346" s="0" t="n">
        <f aca="false">SUMPRODUCT(D4346:F4346,Stats!$B$6:$D$6)</f>
        <v>0.364530698208627</v>
      </c>
      <c r="H4346" s="0" t="n">
        <f aca="false">SQRT(SUMPRODUCT(MMULT(D4346:F4346,Stats!$B$12:$D$14),D4346:F4346))</f>
        <v>0.225375761228393</v>
      </c>
      <c r="I4346" s="0" t="n">
        <f aca="false">(G4346-Stats!$B$2)/H4346</f>
        <v>1.43107979514167</v>
      </c>
    </row>
    <row r="4347" customFormat="false" ht="15" hidden="false" customHeight="false" outlineLevel="0" collapsed="false">
      <c r="A4347" s="0" t="n">
        <v>0.673944449073023</v>
      </c>
      <c r="B4347" s="0" t="n">
        <v>0.537334824843078</v>
      </c>
      <c r="C4347" s="0" t="n">
        <v>0.44414420222012</v>
      </c>
      <c r="D4347" s="0" t="n">
        <f aca="false">A4347/SUM($A4347:$C4347)</f>
        <v>0.407113018987757</v>
      </c>
      <c r="E4347" s="0" t="n">
        <f aca="false">B4347/SUM($A4347:$C4347)</f>
        <v>0.324590554978249</v>
      </c>
      <c r="F4347" s="0" t="n">
        <f aca="false">C4347/SUM($A4347:$C4347)</f>
        <v>0.268296426033995</v>
      </c>
      <c r="G4347" s="0" t="n">
        <f aca="false">SUMPRODUCT(D4347:F4347,Stats!$B$6:$D$6)</f>
        <v>0.367762054124784</v>
      </c>
      <c r="H4347" s="0" t="n">
        <f aca="false">SQRT(SUMPRODUCT(MMULT(D4347:F4347,Stats!$B$12:$D$14),D4347:F4347))</f>
        <v>0.224608646907682</v>
      </c>
      <c r="I4347" s="0" t="n">
        <f aca="false">(G4347-Stats!$B$2)/H4347</f>
        <v>1.45035402069217</v>
      </c>
    </row>
    <row r="4348" customFormat="false" ht="15" hidden="false" customHeight="false" outlineLevel="0" collapsed="false">
      <c r="A4348" s="0" t="n">
        <v>0.634439941168352</v>
      </c>
      <c r="B4348" s="0" t="n">
        <v>0.827679407203541</v>
      </c>
      <c r="C4348" s="0" t="n">
        <v>0.427692909116205</v>
      </c>
      <c r="D4348" s="0" t="n">
        <f aca="false">A4348/SUM($A4348:$C4348)</f>
        <v>0.335715856775973</v>
      </c>
      <c r="E4348" s="0" t="n">
        <f aca="false">B4348/SUM($A4348:$C4348)</f>
        <v>0.437969117791455</v>
      </c>
      <c r="F4348" s="0" t="n">
        <f aca="false">C4348/SUM($A4348:$C4348)</f>
        <v>0.226315025432572</v>
      </c>
      <c r="G4348" s="0" t="n">
        <f aca="false">SUMPRODUCT(D4348:F4348,Stats!$B$6:$D$6)</f>
        <v>0.375443330860742</v>
      </c>
      <c r="H4348" s="0" t="n">
        <f aca="false">SQRT(SUMPRODUCT(MMULT(D4348:F4348,Stats!$B$12:$D$14),D4348:F4348))</f>
        <v>0.22758602637443</v>
      </c>
      <c r="I4348" s="0" t="n">
        <f aca="false">(G4348-Stats!$B$2)/H4348</f>
        <v>1.46513094926203</v>
      </c>
    </row>
    <row r="4349" customFormat="false" ht="15" hidden="false" customHeight="false" outlineLevel="0" collapsed="false">
      <c r="A4349" s="0" t="n">
        <v>0.641119465051979</v>
      </c>
      <c r="B4349" s="0" t="n">
        <v>0.953572223835159</v>
      </c>
      <c r="C4349" s="0" t="n">
        <v>0.839624495861561</v>
      </c>
      <c r="D4349" s="0" t="n">
        <f aca="false">A4349/SUM($A4349:$C4349)</f>
        <v>0.26336737563866</v>
      </c>
      <c r="E4349" s="0" t="n">
        <f aca="false">B4349/SUM($A4349:$C4349)</f>
        <v>0.391720775554716</v>
      </c>
      <c r="F4349" s="0" t="n">
        <f aca="false">C4349/SUM($A4349:$C4349)</f>
        <v>0.344911848806624</v>
      </c>
      <c r="G4349" s="0" t="n">
        <f aca="false">SUMPRODUCT(D4349:F4349,Stats!$B$6:$D$6)</f>
        <v>0.369511999316696</v>
      </c>
      <c r="H4349" s="0" t="n">
        <f aca="false">SQRT(SUMPRODUCT(MMULT(D4349:F4349,Stats!$B$12:$D$14),D4349:F4349))</f>
        <v>0.228950431275756</v>
      </c>
      <c r="I4349" s="0" t="n">
        <f aca="false">(G4349-Stats!$B$2)/H4349</f>
        <v>1.4304930438075</v>
      </c>
    </row>
    <row r="4350" customFormat="false" ht="15" hidden="false" customHeight="false" outlineLevel="0" collapsed="false">
      <c r="A4350" s="0" t="n">
        <v>0.42600081050241</v>
      </c>
      <c r="B4350" s="0" t="n">
        <v>0.644716837814743</v>
      </c>
      <c r="C4350" s="0" t="n">
        <v>0.17707092191594</v>
      </c>
      <c r="D4350" s="0" t="n">
        <f aca="false">A4350/SUM($A4350:$C4350)</f>
        <v>0.341404642312784</v>
      </c>
      <c r="E4350" s="0" t="n">
        <f aca="false">B4350/SUM($A4350:$C4350)</f>
        <v>0.516687564860694</v>
      </c>
      <c r="F4350" s="0" t="n">
        <f aca="false">C4350/SUM($A4350:$C4350)</f>
        <v>0.141907792826522</v>
      </c>
      <c r="G4350" s="0" t="n">
        <f aca="false">SUMPRODUCT(D4350:F4350,Stats!$B$6:$D$6)</f>
        <v>0.382300185396197</v>
      </c>
      <c r="H4350" s="0" t="n">
        <f aca="false">SQRT(SUMPRODUCT(MMULT(D4350:F4350,Stats!$B$12:$D$14),D4350:F4350))</f>
        <v>0.229412940451137</v>
      </c>
      <c r="I4350" s="0" t="n">
        <f aca="false">(G4350-Stats!$B$2)/H4350</f>
        <v>1.48335218025192</v>
      </c>
    </row>
    <row r="4351" customFormat="false" ht="15" hidden="false" customHeight="false" outlineLevel="0" collapsed="false">
      <c r="A4351" s="0" t="n">
        <v>0.56052218489509</v>
      </c>
      <c r="B4351" s="0" t="n">
        <v>0.981328291138443</v>
      </c>
      <c r="C4351" s="0" t="n">
        <v>0.518315115202522</v>
      </c>
      <c r="D4351" s="0" t="n">
        <f aca="false">A4351/SUM($A4351:$C4351)</f>
        <v>0.272076277401948</v>
      </c>
      <c r="E4351" s="0" t="n">
        <f aca="false">B4351/SUM($A4351:$C4351)</f>
        <v>0.476334667132105</v>
      </c>
      <c r="F4351" s="0" t="n">
        <f aca="false">C4351/SUM($A4351:$C4351)</f>
        <v>0.251589055465946</v>
      </c>
      <c r="G4351" s="0" t="n">
        <f aca="false">SUMPRODUCT(D4351:F4351,Stats!$B$6:$D$6)</f>
        <v>0.376953913256977</v>
      </c>
      <c r="H4351" s="0" t="n">
        <f aca="false">SQRT(SUMPRODUCT(MMULT(D4351:F4351,Stats!$B$12:$D$14),D4351:F4351))</f>
        <v>0.229693748845479</v>
      </c>
      <c r="I4351" s="0" t="n">
        <f aca="false">(G4351-Stats!$B$2)/H4351</f>
        <v>1.45826307829696</v>
      </c>
    </row>
    <row r="4352" customFormat="false" ht="15" hidden="false" customHeight="false" outlineLevel="0" collapsed="false">
      <c r="A4352" s="0" t="n">
        <v>0.927638299190147</v>
      </c>
      <c r="B4352" s="0" t="n">
        <v>0.407334920503261</v>
      </c>
      <c r="C4352" s="0" t="n">
        <v>0.998844827184631</v>
      </c>
      <c r="D4352" s="0" t="n">
        <f aca="false">A4352/SUM($A4352:$C4352)</f>
        <v>0.397476701506809</v>
      </c>
      <c r="E4352" s="0" t="n">
        <f aca="false">B4352/SUM($A4352:$C4352)</f>
        <v>0.174535851690818</v>
      </c>
      <c r="F4352" s="0" t="n">
        <f aca="false">C4352/SUM($A4352:$C4352)</f>
        <v>0.427987446802372</v>
      </c>
      <c r="G4352" s="0" t="n">
        <f aca="false">SUMPRODUCT(D4352:F4352,Stats!$B$6:$D$6)</f>
        <v>0.354724682232335</v>
      </c>
      <c r="H4352" s="0" t="n">
        <f aca="false">SQRT(SUMPRODUCT(MMULT(D4352:F4352,Stats!$B$12:$D$14),D4352:F4352))</f>
        <v>0.224435600899311</v>
      </c>
      <c r="I4352" s="0" t="n">
        <f aca="false">(G4352-Stats!$B$2)/H4352</f>
        <v>1.39338269409689</v>
      </c>
    </row>
    <row r="4353" customFormat="false" ht="15" hidden="false" customHeight="false" outlineLevel="0" collapsed="false">
      <c r="A4353" s="0" t="n">
        <v>0.579220035227558</v>
      </c>
      <c r="B4353" s="0" t="n">
        <v>0.0422689942359346</v>
      </c>
      <c r="C4353" s="0" t="n">
        <v>0.586754796691388</v>
      </c>
      <c r="D4353" s="0" t="n">
        <f aca="false">A4353/SUM($A4353:$C4353)</f>
        <v>0.479390022683476</v>
      </c>
      <c r="E4353" s="0" t="n">
        <f aca="false">B4353/SUM($A4353:$C4353)</f>
        <v>0.034983828032833</v>
      </c>
      <c r="F4353" s="0" t="n">
        <f aca="false">C4353/SUM($A4353:$C4353)</f>
        <v>0.485626149283691</v>
      </c>
      <c r="G4353" s="0" t="n">
        <f aca="false">SUMPRODUCT(D4353:F4353,Stats!$B$6:$D$6)</f>
        <v>0.345105674357793</v>
      </c>
      <c r="H4353" s="0" t="n">
        <f aca="false">SQRT(SUMPRODUCT(MMULT(D4353:F4353,Stats!$B$12:$D$14),D4353:F4353))</f>
        <v>0.22354648937313</v>
      </c>
      <c r="I4353" s="0" t="n">
        <f aca="false">(G4353-Stats!$B$2)/H4353</f>
        <v>1.35589547931512</v>
      </c>
    </row>
    <row r="4354" customFormat="false" ht="15" hidden="false" customHeight="false" outlineLevel="0" collapsed="false">
      <c r="A4354" s="0" t="n">
        <v>0.274572695679597</v>
      </c>
      <c r="B4354" s="0" t="n">
        <v>0.0324813220358947</v>
      </c>
      <c r="C4354" s="0" t="n">
        <v>0.820853304694663</v>
      </c>
      <c r="D4354" s="0" t="n">
        <f aca="false">A4354/SUM($A4354:$C4354)</f>
        <v>0.243435511255375</v>
      </c>
      <c r="E4354" s="0" t="n">
        <f aca="false">B4354/SUM($A4354:$C4354)</f>
        <v>0.0287978643196388</v>
      </c>
      <c r="F4354" s="0" t="n">
        <f aca="false">C4354/SUM($A4354:$C4354)</f>
        <v>0.727766624424987</v>
      </c>
      <c r="G4354" s="0" t="n">
        <f aca="false">SUMPRODUCT(D4354:F4354,Stats!$B$6:$D$6)</f>
        <v>0.338072811542174</v>
      </c>
      <c r="H4354" s="0" t="n">
        <f aca="false">SQRT(SUMPRODUCT(MMULT(D4354:F4354,Stats!$B$12:$D$14),D4354:F4354))</f>
        <v>0.235964094008598</v>
      </c>
      <c r="I4354" s="0" t="n">
        <f aca="false">(G4354-Stats!$B$2)/H4354</f>
        <v>1.25473671232109</v>
      </c>
    </row>
    <row r="4355" customFormat="false" ht="15" hidden="false" customHeight="false" outlineLevel="0" collapsed="false">
      <c r="A4355" s="0" t="n">
        <v>0.275729636980756</v>
      </c>
      <c r="B4355" s="0" t="n">
        <v>0.796548554046499</v>
      </c>
      <c r="C4355" s="0" t="n">
        <v>0.288217582955867</v>
      </c>
      <c r="D4355" s="0" t="n">
        <f aca="false">A4355/SUM($A4355:$C4355)</f>
        <v>0.202668499420254</v>
      </c>
      <c r="E4355" s="0" t="n">
        <f aca="false">B4355/SUM($A4355:$C4355)</f>
        <v>0.585484034040359</v>
      </c>
      <c r="F4355" s="0" t="n">
        <f aca="false">C4355/SUM($A4355:$C4355)</f>
        <v>0.211847466539387</v>
      </c>
      <c r="G4355" s="0" t="n">
        <f aca="false">SUMPRODUCT(D4355:F4355,Stats!$B$6:$D$6)</f>
        <v>0.384330085588848</v>
      </c>
      <c r="H4355" s="0" t="n">
        <f aca="false">SQRT(SUMPRODUCT(MMULT(D4355:F4355,Stats!$B$12:$D$14),D4355:F4355))</f>
        <v>0.233842425712067</v>
      </c>
      <c r="I4355" s="0" t="n">
        <f aca="false">(G4355-Stats!$B$2)/H4355</f>
        <v>1.46393488925899</v>
      </c>
    </row>
    <row r="4356" customFormat="false" ht="15" hidden="false" customHeight="false" outlineLevel="0" collapsed="false">
      <c r="A4356" s="0" t="n">
        <v>0.194326353873774</v>
      </c>
      <c r="B4356" s="0" t="n">
        <v>0.973935574104427</v>
      </c>
      <c r="C4356" s="0" t="n">
        <v>0.36164532775502</v>
      </c>
      <c r="D4356" s="0" t="n">
        <f aca="false">A4356/SUM($A4356:$C4356)</f>
        <v>0.127018388301349</v>
      </c>
      <c r="E4356" s="0" t="n">
        <f aca="false">B4356/SUM($A4356:$C4356)</f>
        <v>0.636597787515989</v>
      </c>
      <c r="F4356" s="0" t="n">
        <f aca="false">C4356/SUM($A4356:$C4356)</f>
        <v>0.236383824182661</v>
      </c>
      <c r="G4356" s="0" t="n">
        <f aca="false">SUMPRODUCT(D4356:F4356,Stats!$B$6:$D$6)</f>
        <v>0.386594524183765</v>
      </c>
      <c r="H4356" s="0" t="n">
        <f aca="false">SQRT(SUMPRODUCT(MMULT(D4356:F4356,Stats!$B$12:$D$14),D4356:F4356))</f>
        <v>0.23750777420433</v>
      </c>
      <c r="I4356" s="0" t="n">
        <f aca="false">(G4356-Stats!$B$2)/H4356</f>
        <v>1.45087682008804</v>
      </c>
    </row>
    <row r="4357" customFormat="false" ht="15" hidden="false" customHeight="false" outlineLevel="0" collapsed="false">
      <c r="A4357" s="0" t="n">
        <v>0.60137621144316</v>
      </c>
      <c r="B4357" s="0" t="n">
        <v>0.609981492814472</v>
      </c>
      <c r="C4357" s="0" t="n">
        <v>0.560473482173502</v>
      </c>
      <c r="D4357" s="0" t="n">
        <f aca="false">A4357/SUM($A4357:$C4357)</f>
        <v>0.339409429097175</v>
      </c>
      <c r="E4357" s="0" t="n">
        <f aca="false">B4357/SUM($A4357:$C4357)</f>
        <v>0.344266145378732</v>
      </c>
      <c r="F4357" s="0" t="n">
        <f aca="false">C4357/SUM($A4357:$C4357)</f>
        <v>0.316324425524094</v>
      </c>
      <c r="G4357" s="0" t="n">
        <f aca="false">SUMPRODUCT(D4357:F4357,Stats!$B$6:$D$6)</f>
        <v>0.36756980851741</v>
      </c>
      <c r="H4357" s="0" t="n">
        <f aca="false">SQRT(SUMPRODUCT(MMULT(D4357:F4357,Stats!$B$12:$D$14),D4357:F4357))</f>
        <v>0.226222539674802</v>
      </c>
      <c r="I4357" s="0" t="n">
        <f aca="false">(G4357-Stats!$B$2)/H4357</f>
        <v>1.43915725190523</v>
      </c>
    </row>
    <row r="4358" customFormat="false" ht="15" hidden="false" customHeight="false" outlineLevel="0" collapsed="false">
      <c r="A4358" s="0" t="n">
        <v>0.914695743521215</v>
      </c>
      <c r="B4358" s="0" t="n">
        <v>0.674441071366869</v>
      </c>
      <c r="C4358" s="0" t="n">
        <v>0.40373300410493</v>
      </c>
      <c r="D4358" s="0" t="n">
        <f aca="false">A4358/SUM($A4358:$C4358)</f>
        <v>0.458984191944562</v>
      </c>
      <c r="E4358" s="0" t="n">
        <f aca="false">B4358/SUM($A4358:$C4358)</f>
        <v>0.338427058776805</v>
      </c>
      <c r="F4358" s="0" t="n">
        <f aca="false">C4358/SUM($A4358:$C4358)</f>
        <v>0.202588749278633</v>
      </c>
      <c r="G4358" s="0" t="n">
        <f aca="false">SUMPRODUCT(D4358:F4358,Stats!$B$6:$D$6)</f>
        <v>0.370370052559145</v>
      </c>
      <c r="H4358" s="0" t="n">
        <f aca="false">SQRT(SUMPRODUCT(MMULT(D4358:F4358,Stats!$B$12:$D$14),D4358:F4358))</f>
        <v>0.224336938313715</v>
      </c>
      <c r="I4358" s="0" t="n">
        <f aca="false">(G4358-Stats!$B$2)/H4358</f>
        <v>1.46373599919576</v>
      </c>
    </row>
    <row r="4359" customFormat="false" ht="15" hidden="false" customHeight="false" outlineLevel="0" collapsed="false">
      <c r="A4359" s="0" t="n">
        <v>0.862380384524274</v>
      </c>
      <c r="B4359" s="0" t="n">
        <v>0.181062899115964</v>
      </c>
      <c r="C4359" s="0" t="n">
        <v>0.544236757610418</v>
      </c>
      <c r="D4359" s="0" t="n">
        <f aca="false">A4359/SUM($A4359:$C4359)</f>
        <v>0.543170136373923</v>
      </c>
      <c r="E4359" s="0" t="n">
        <f aca="false">B4359/SUM($A4359:$C4359)</f>
        <v>0.114042435762647</v>
      </c>
      <c r="F4359" s="0" t="n">
        <f aca="false">C4359/SUM($A4359:$C4359)</f>
        <v>0.34278742786343</v>
      </c>
      <c r="G4359" s="0" t="n">
        <f aca="false">SUMPRODUCT(D4359:F4359,Stats!$B$6:$D$6)</f>
        <v>0.353593327127516</v>
      </c>
      <c r="H4359" s="0" t="n">
        <f aca="false">SQRT(SUMPRODUCT(MMULT(D4359:F4359,Stats!$B$12:$D$14),D4359:F4359))</f>
        <v>0.221636077204314</v>
      </c>
      <c r="I4359" s="0" t="n">
        <f aca="false">(G4359-Stats!$B$2)/H4359</f>
        <v>1.40587819031049</v>
      </c>
    </row>
    <row r="4360" customFormat="false" ht="15" hidden="false" customHeight="false" outlineLevel="0" collapsed="false">
      <c r="A4360" s="0" t="n">
        <v>0.950550371943756</v>
      </c>
      <c r="B4360" s="0" t="n">
        <v>0.625397629880413</v>
      </c>
      <c r="C4360" s="0" t="n">
        <v>0.816968450474876</v>
      </c>
      <c r="D4360" s="0" t="n">
        <f aca="false">A4360/SUM($A4360:$C4360)</f>
        <v>0.39723508567568</v>
      </c>
      <c r="E4360" s="0" t="n">
        <f aca="false">B4360/SUM($A4360:$C4360)</f>
        <v>0.261353725609412</v>
      </c>
      <c r="F4360" s="0" t="n">
        <f aca="false">C4360/SUM($A4360:$C4360)</f>
        <v>0.341411188714907</v>
      </c>
      <c r="G4360" s="0" t="n">
        <f aca="false">SUMPRODUCT(D4360:F4360,Stats!$B$6:$D$6)</f>
        <v>0.362107377349218</v>
      </c>
      <c r="H4360" s="0" t="n">
        <f aca="false">SQRT(SUMPRODUCT(MMULT(D4360:F4360,Stats!$B$12:$D$14),D4360:F4360))</f>
        <v>0.224291392521499</v>
      </c>
      <c r="I4360" s="0" t="n">
        <f aca="false">(G4360-Stats!$B$2)/H4360</f>
        <v>1.42719421262916</v>
      </c>
    </row>
    <row r="4361" customFormat="false" ht="15" hidden="false" customHeight="false" outlineLevel="0" collapsed="false">
      <c r="A4361" s="0" t="n">
        <v>0.653560725545193</v>
      </c>
      <c r="B4361" s="0" t="n">
        <v>0.83937086353789</v>
      </c>
      <c r="C4361" s="0" t="n">
        <v>0.944487879845244</v>
      </c>
      <c r="D4361" s="0" t="n">
        <f aca="false">A4361/SUM($A4361:$C4361)</f>
        <v>0.268136335939151</v>
      </c>
      <c r="E4361" s="0" t="n">
        <f aca="false">B4361/SUM($A4361:$C4361)</f>
        <v>0.344368654734239</v>
      </c>
      <c r="F4361" s="0" t="n">
        <f aca="false">C4361/SUM($A4361:$C4361)</f>
        <v>0.38749500932661</v>
      </c>
      <c r="G4361" s="0" t="n">
        <f aca="false">SUMPRODUCT(D4361:F4361,Stats!$B$6:$D$6)</f>
        <v>0.365613205298342</v>
      </c>
      <c r="H4361" s="0" t="n">
        <f aca="false">SQRT(SUMPRODUCT(MMULT(D4361:F4361,Stats!$B$12:$D$14),D4361:F4361))</f>
        <v>0.228588734801509</v>
      </c>
      <c r="I4361" s="0" t="n">
        <f aca="false">(G4361-Stats!$B$2)/H4361</f>
        <v>1.41570058375512</v>
      </c>
    </row>
    <row r="4362" customFormat="false" ht="15" hidden="false" customHeight="false" outlineLevel="0" collapsed="false">
      <c r="A4362" s="0" t="n">
        <v>0.272921727532737</v>
      </c>
      <c r="B4362" s="0" t="n">
        <v>0.169661081256719</v>
      </c>
      <c r="C4362" s="0" t="n">
        <v>0.48399075033254</v>
      </c>
      <c r="D4362" s="0" t="n">
        <f aca="false">A4362/SUM($A4362:$C4362)</f>
        <v>0.294549444937057</v>
      </c>
      <c r="E4362" s="0" t="n">
        <f aca="false">B4362/SUM($A4362:$C4362)</f>
        <v>0.183105895464454</v>
      </c>
      <c r="F4362" s="0" t="n">
        <f aca="false">C4362/SUM($A4362:$C4362)</f>
        <v>0.52234465959849</v>
      </c>
      <c r="G4362" s="0" t="n">
        <f aca="false">SUMPRODUCT(D4362:F4362,Stats!$B$6:$D$6)</f>
        <v>0.352615927607919</v>
      </c>
      <c r="H4362" s="0" t="n">
        <f aca="false">SQRT(SUMPRODUCT(MMULT(D4362:F4362,Stats!$B$12:$D$14),D4362:F4362))</f>
        <v>0.228585123909334</v>
      </c>
      <c r="I4362" s="0" t="n">
        <f aca="false">(G4362-Stats!$B$2)/H4362</f>
        <v>1.35886326413403</v>
      </c>
    </row>
    <row r="4363" customFormat="false" ht="15" hidden="false" customHeight="false" outlineLevel="0" collapsed="false">
      <c r="A4363" s="0" t="n">
        <v>0.701862426824216</v>
      </c>
      <c r="B4363" s="0" t="n">
        <v>0.227191253182216</v>
      </c>
      <c r="C4363" s="0" t="n">
        <v>0.00410145043016708</v>
      </c>
      <c r="D4363" s="0" t="n">
        <f aca="false">A4363/SUM($A4363:$C4363)</f>
        <v>0.752139064483129</v>
      </c>
      <c r="E4363" s="0" t="n">
        <f aca="false">B4363/SUM($A4363:$C4363)</f>
        <v>0.243465685149177</v>
      </c>
      <c r="F4363" s="0" t="n">
        <f aca="false">C4363/SUM($A4363:$C4363)</f>
        <v>0.00439525036769408</v>
      </c>
      <c r="G4363" s="0" t="n">
        <f aca="false">SUMPRODUCT(D4363:F4363,Stats!$B$6:$D$6)</f>
        <v>0.370371207529953</v>
      </c>
      <c r="H4363" s="0" t="n">
        <f aca="false">SQRT(SUMPRODUCT(MMULT(D4363:F4363,Stats!$B$12:$D$14),D4363:F4363))</f>
        <v>0.227664273111598</v>
      </c>
      <c r="I4363" s="0" t="n">
        <f aca="false">(G4363-Stats!$B$2)/H4363</f>
        <v>1.44234843281269</v>
      </c>
    </row>
    <row r="4364" customFormat="false" ht="15" hidden="false" customHeight="false" outlineLevel="0" collapsed="false">
      <c r="A4364" s="0" t="n">
        <v>0.342935115836705</v>
      </c>
      <c r="B4364" s="0" t="n">
        <v>0.968859335467789</v>
      </c>
      <c r="C4364" s="0" t="n">
        <v>0.694967460605847</v>
      </c>
      <c r="D4364" s="0" t="n">
        <f aca="false">A4364/SUM($A4364:$C4364)</f>
        <v>0.170889787075063</v>
      </c>
      <c r="E4364" s="0" t="n">
        <f aca="false">B4364/SUM($A4364:$C4364)</f>
        <v>0.482797351154369</v>
      </c>
      <c r="F4364" s="0" t="n">
        <f aca="false">C4364/SUM($A4364:$C4364)</f>
        <v>0.346312861770568</v>
      </c>
      <c r="G4364" s="0" t="n">
        <f aca="false">SUMPRODUCT(D4364:F4364,Stats!$B$6:$D$6)</f>
        <v>0.374713795204972</v>
      </c>
      <c r="H4364" s="0" t="n">
        <f aca="false">SQRT(SUMPRODUCT(MMULT(D4364:F4364,Stats!$B$12:$D$14),D4364:F4364))</f>
        <v>0.233354304414439</v>
      </c>
      <c r="I4364" s="0" t="n">
        <f aca="false">(G4364-Stats!$B$2)/H4364</f>
        <v>1.42578812094277</v>
      </c>
    </row>
    <row r="4365" customFormat="false" ht="15" hidden="false" customHeight="false" outlineLevel="0" collapsed="false">
      <c r="A4365" s="0" t="n">
        <v>0.401325443941224</v>
      </c>
      <c r="B4365" s="0" t="n">
        <v>0.19257609734684</v>
      </c>
      <c r="C4365" s="0" t="n">
        <v>0.356089673754747</v>
      </c>
      <c r="D4365" s="0" t="n">
        <f aca="false">A4365/SUM($A4365:$C4365)</f>
        <v>0.422451742275468</v>
      </c>
      <c r="E4365" s="0" t="n">
        <f aca="false">B4365/SUM($A4365:$C4365)</f>
        <v>0.202713555975528</v>
      </c>
      <c r="F4365" s="0" t="n">
        <f aca="false">C4365/SUM($A4365:$C4365)</f>
        <v>0.374834701749005</v>
      </c>
      <c r="G4365" s="0" t="n">
        <f aca="false">SUMPRODUCT(D4365:F4365,Stats!$B$6:$D$6)</f>
        <v>0.357811657368415</v>
      </c>
      <c r="H4365" s="0" t="n">
        <f aca="false">SQRT(SUMPRODUCT(MMULT(D4365:F4365,Stats!$B$12:$D$14),D4365:F4365))</f>
        <v>0.2236156568373</v>
      </c>
      <c r="I4365" s="0" t="n">
        <f aca="false">(G4365-Stats!$B$2)/H4365</f>
        <v>1.41229671408114</v>
      </c>
    </row>
    <row r="4366" customFormat="false" ht="15" hidden="false" customHeight="false" outlineLevel="0" collapsed="false">
      <c r="A4366" s="0" t="n">
        <v>0.169839433301248</v>
      </c>
      <c r="B4366" s="0" t="n">
        <v>0.106305821312951</v>
      </c>
      <c r="C4366" s="0" t="n">
        <v>0.906742372572554</v>
      </c>
      <c r="D4366" s="0" t="n">
        <f aca="false">A4366/SUM($A4366:$C4366)</f>
        <v>0.143580361648701</v>
      </c>
      <c r="E4366" s="0" t="n">
        <f aca="false">B4366/SUM($A4366:$C4366)</f>
        <v>0.0898697550550742</v>
      </c>
      <c r="F4366" s="0" t="n">
        <f aca="false">C4366/SUM($A4366:$C4366)</f>
        <v>0.766549883296225</v>
      </c>
      <c r="G4366" s="0" t="n">
        <f aca="false">SUMPRODUCT(D4366:F4366,Stats!$B$6:$D$6)</f>
        <v>0.340517375644741</v>
      </c>
      <c r="H4366" s="0" t="n">
        <f aca="false">SQRT(SUMPRODUCT(MMULT(D4366:F4366,Stats!$B$12:$D$14),D4366:F4366))</f>
        <v>0.24141462707737</v>
      </c>
      <c r="I4366" s="0" t="n">
        <f aca="false">(G4366-Stats!$B$2)/H4366</f>
        <v>1.23653392198589</v>
      </c>
    </row>
    <row r="4367" customFormat="false" ht="15" hidden="false" customHeight="false" outlineLevel="0" collapsed="false">
      <c r="A4367" s="0" t="n">
        <v>0.997650338375474</v>
      </c>
      <c r="B4367" s="0" t="n">
        <v>0.16411443959579</v>
      </c>
      <c r="C4367" s="0" t="n">
        <v>0.0545225588782797</v>
      </c>
      <c r="D4367" s="0" t="n">
        <f aca="false">A4367/SUM($A4367:$C4367)</f>
        <v>0.820242312938661</v>
      </c>
      <c r="E4367" s="0" t="n">
        <f aca="false">B4367/SUM($A4367:$C4367)</f>
        <v>0.134930648888349</v>
      </c>
      <c r="F4367" s="0" t="n">
        <f aca="false">C4367/SUM($A4367:$C4367)</f>
        <v>0.0448270381729907</v>
      </c>
      <c r="G4367" s="0" t="n">
        <f aca="false">SUMPRODUCT(D4367:F4367,Stats!$B$6:$D$6)</f>
        <v>0.363011351019806</v>
      </c>
      <c r="H4367" s="0" t="n">
        <f aca="false">SQRT(SUMPRODUCT(MMULT(D4367:F4367,Stats!$B$12:$D$14),D4367:F4367))</f>
        <v>0.227208940387527</v>
      </c>
      <c r="I4367" s="0" t="n">
        <f aca="false">(G4367-Stats!$B$2)/H4367</f>
        <v>1.41284647722176</v>
      </c>
    </row>
    <row r="4368" customFormat="false" ht="15" hidden="false" customHeight="false" outlineLevel="0" collapsed="false">
      <c r="A4368" s="0" t="n">
        <v>0.329731107146212</v>
      </c>
      <c r="B4368" s="0" t="n">
        <v>0.461659180761415</v>
      </c>
      <c r="C4368" s="0" t="n">
        <v>0.204821247075855</v>
      </c>
      <c r="D4368" s="0" t="n">
        <f aca="false">A4368/SUM($A4368:$C4368)</f>
        <v>0.330985032362308</v>
      </c>
      <c r="E4368" s="0" t="n">
        <f aca="false">B4368/SUM($A4368:$C4368)</f>
        <v>0.463414811563159</v>
      </c>
      <c r="F4368" s="0" t="n">
        <f aca="false">C4368/SUM($A4368:$C4368)</f>
        <v>0.205600156074534</v>
      </c>
      <c r="G4368" s="0" t="n">
        <f aca="false">SUMPRODUCT(D4368:F4368,Stats!$B$6:$D$6)</f>
        <v>0.37747864770184</v>
      </c>
      <c r="H4368" s="0" t="n">
        <f aca="false">SQRT(SUMPRODUCT(MMULT(D4368:F4368,Stats!$B$12:$D$14),D4368:F4368))</f>
        <v>0.228187941483156</v>
      </c>
      <c r="I4368" s="0" t="n">
        <f aca="false">(G4368-Stats!$B$2)/H4368</f>
        <v>1.47018569658556</v>
      </c>
    </row>
    <row r="4369" customFormat="false" ht="15" hidden="false" customHeight="false" outlineLevel="0" collapsed="false">
      <c r="A4369" s="0" t="n">
        <v>0.301424911798559</v>
      </c>
      <c r="B4369" s="0" t="n">
        <v>0.200870735691658</v>
      </c>
      <c r="C4369" s="0" t="n">
        <v>0.774260568432451</v>
      </c>
      <c r="D4369" s="0" t="n">
        <f aca="false">A4369/SUM($A4369:$C4369)</f>
        <v>0.236123492282473</v>
      </c>
      <c r="E4369" s="0" t="n">
        <f aca="false">B4369/SUM($A4369:$C4369)</f>
        <v>0.157353615286321</v>
      </c>
      <c r="F4369" s="0" t="n">
        <f aca="false">C4369/SUM($A4369:$C4369)</f>
        <v>0.606522892431206</v>
      </c>
      <c r="G4369" s="0" t="n">
        <f aca="false">SUMPRODUCT(D4369:F4369,Stats!$B$6:$D$6)</f>
        <v>0.348812992343282</v>
      </c>
      <c r="H4369" s="0" t="n">
        <f aca="false">SQRT(SUMPRODUCT(MMULT(D4369:F4369,Stats!$B$12:$D$14),D4369:F4369))</f>
        <v>0.232424439736191</v>
      </c>
      <c r="I4369" s="0" t="n">
        <f aca="false">(G4369-Stats!$B$2)/H4369</f>
        <v>1.32005477862623</v>
      </c>
    </row>
    <row r="4370" customFormat="false" ht="15" hidden="false" customHeight="false" outlineLevel="0" collapsed="false">
      <c r="A4370" s="0" t="n">
        <v>0.712577943247261</v>
      </c>
      <c r="B4370" s="0" t="n">
        <v>0.634951515760982</v>
      </c>
      <c r="C4370" s="0" t="n">
        <v>0.387217857079205</v>
      </c>
      <c r="D4370" s="0" t="n">
        <f aca="false">A4370/SUM($A4370:$C4370)</f>
        <v>0.410767572106358</v>
      </c>
      <c r="E4370" s="0" t="n">
        <f aca="false">B4370/SUM($A4370:$C4370)</f>
        <v>0.366019598285388</v>
      </c>
      <c r="F4370" s="0" t="n">
        <f aca="false">C4370/SUM($A4370:$C4370)</f>
        <v>0.223212829608255</v>
      </c>
      <c r="G4370" s="0" t="n">
        <f aca="false">SUMPRODUCT(D4370:F4370,Stats!$B$6:$D$6)</f>
        <v>0.371388990487492</v>
      </c>
      <c r="H4370" s="0" t="n">
        <f aca="false">SQRT(SUMPRODUCT(MMULT(D4370:F4370,Stats!$B$12:$D$14),D4370:F4370))</f>
        <v>0.225189993281595</v>
      </c>
      <c r="I4370" s="0" t="n">
        <f aca="false">(G4370-Stats!$B$2)/H4370</f>
        <v>1.46271593016835</v>
      </c>
    </row>
    <row r="4371" customFormat="false" ht="15" hidden="false" customHeight="false" outlineLevel="0" collapsed="false">
      <c r="A4371" s="0" t="n">
        <v>0.909040941314236</v>
      </c>
      <c r="B4371" s="0" t="n">
        <v>0.96953254153502</v>
      </c>
      <c r="C4371" s="0" t="n">
        <v>0.173639312625412</v>
      </c>
      <c r="D4371" s="0" t="n">
        <f aca="false">A4371/SUM($A4371:$C4371)</f>
        <v>0.442956472797929</v>
      </c>
      <c r="E4371" s="0" t="n">
        <f aca="false">B4371/SUM($A4371:$C4371)</f>
        <v>0.472432753403027</v>
      </c>
      <c r="F4371" s="0" t="n">
        <f aca="false">C4371/SUM($A4371:$C4371)</f>
        <v>0.0846107737990446</v>
      </c>
      <c r="G4371" s="0" t="n">
        <f aca="false">SUMPRODUCT(D4371:F4371,Stats!$B$6:$D$6)</f>
        <v>0.381333764084895</v>
      </c>
      <c r="H4371" s="0" t="n">
        <f aca="false">SQRT(SUMPRODUCT(MMULT(D4371:F4371,Stats!$B$12:$D$14),D4371:F4371))</f>
        <v>0.227879846196807</v>
      </c>
      <c r="I4371" s="0" t="n">
        <f aca="false">(G4371-Stats!$B$2)/H4371</f>
        <v>1.48909071928999</v>
      </c>
    </row>
    <row r="4372" customFormat="false" ht="15" hidden="false" customHeight="false" outlineLevel="0" collapsed="false">
      <c r="A4372" s="0" t="n">
        <v>0.223012641411878</v>
      </c>
      <c r="B4372" s="0" t="n">
        <v>0.52563102800037</v>
      </c>
      <c r="C4372" s="0" t="n">
        <v>0.0912505692822453</v>
      </c>
      <c r="D4372" s="0" t="n">
        <f aca="false">A4372/SUM($A4372:$C4372)</f>
        <v>0.2655246710092</v>
      </c>
      <c r="E4372" s="0" t="n">
        <f aca="false">B4372/SUM($A4372:$C4372)</f>
        <v>0.625830019762244</v>
      </c>
      <c r="F4372" s="0" t="n">
        <f aca="false">C4372/SUM($A4372:$C4372)</f>
        <v>0.108645309228555</v>
      </c>
      <c r="G4372" s="0" t="n">
        <f aca="false">SUMPRODUCT(D4372:F4372,Stats!$B$6:$D$6)</f>
        <v>0.389497301182708</v>
      </c>
      <c r="H4372" s="0" t="n">
        <f aca="false">SQRT(SUMPRODUCT(MMULT(D4372:F4372,Stats!$B$12:$D$14),D4372:F4372))</f>
        <v>0.233712850920739</v>
      </c>
      <c r="I4372" s="0" t="n">
        <f aca="false">(G4372-Stats!$B$2)/H4372</f>
        <v>1.48685577114695</v>
      </c>
    </row>
    <row r="4373" customFormat="false" ht="15" hidden="false" customHeight="false" outlineLevel="0" collapsed="false">
      <c r="A4373" s="0" t="n">
        <v>0.436448398823113</v>
      </c>
      <c r="B4373" s="0" t="n">
        <v>0.58179126477771</v>
      </c>
      <c r="C4373" s="0" t="n">
        <v>0.522073571137333</v>
      </c>
      <c r="D4373" s="0" t="n">
        <f aca="false">A4373/SUM($A4373:$C4373)</f>
        <v>0.283350417941002</v>
      </c>
      <c r="E4373" s="0" t="n">
        <f aca="false">B4373/SUM($A4373:$C4373)</f>
        <v>0.377709709724471</v>
      </c>
      <c r="F4373" s="0" t="n">
        <f aca="false">C4373/SUM($A4373:$C4373)</f>
        <v>0.338939872334527</v>
      </c>
      <c r="G4373" s="0" t="n">
        <f aca="false">SUMPRODUCT(D4373:F4373,Stats!$B$6:$D$6)</f>
        <v>0.368870495677266</v>
      </c>
      <c r="H4373" s="0" t="n">
        <f aca="false">SQRT(SUMPRODUCT(MMULT(D4373:F4373,Stats!$B$12:$D$14),D4373:F4373))</f>
        <v>0.228159176717308</v>
      </c>
      <c r="I4373" s="0" t="n">
        <f aca="false">(G4373-Stats!$B$2)/H4373</f>
        <v>1.43264233497065</v>
      </c>
    </row>
    <row r="4374" customFormat="false" ht="15" hidden="false" customHeight="false" outlineLevel="0" collapsed="false">
      <c r="A4374" s="0" t="n">
        <v>0.330908583078026</v>
      </c>
      <c r="B4374" s="0" t="n">
        <v>0.542445806077207</v>
      </c>
      <c r="C4374" s="0" t="n">
        <v>0.958800954258848</v>
      </c>
      <c r="D4374" s="0" t="n">
        <f aca="false">A4374/SUM($A4374:$C4374)</f>
        <v>0.180611640965664</v>
      </c>
      <c r="E4374" s="0" t="n">
        <f aca="false">B4374/SUM($A4374:$C4374)</f>
        <v>0.296069767242771</v>
      </c>
      <c r="F4374" s="0" t="n">
        <f aca="false">C4374/SUM($A4374:$C4374)</f>
        <v>0.523318591791565</v>
      </c>
      <c r="G4374" s="0" t="n">
        <f aca="false">SUMPRODUCT(D4374:F4374,Stats!$B$6:$D$6)</f>
        <v>0.359088866778135</v>
      </c>
      <c r="H4374" s="0" t="n">
        <f aca="false">SQRT(SUMPRODUCT(MMULT(D4374:F4374,Stats!$B$12:$D$14),D4374:F4374))</f>
        <v>0.233268025056311</v>
      </c>
      <c r="I4374" s="0" t="n">
        <f aca="false">(G4374-Stats!$B$2)/H4374</f>
        <v>1.35933275339211</v>
      </c>
    </row>
    <row r="4375" customFormat="false" ht="15" hidden="false" customHeight="false" outlineLevel="0" collapsed="false">
      <c r="A4375" s="0" t="n">
        <v>0.206017404291376</v>
      </c>
      <c r="B4375" s="0" t="n">
        <v>0.654831358394004</v>
      </c>
      <c r="C4375" s="0" t="n">
        <v>0.0433966941560519</v>
      </c>
      <c r="D4375" s="0" t="n">
        <f aca="false">A4375/SUM($A4375:$C4375)</f>
        <v>0.22783349668242</v>
      </c>
      <c r="E4375" s="0" t="n">
        <f aca="false">B4375/SUM($A4375:$C4375)</f>
        <v>0.724174341645418</v>
      </c>
      <c r="F4375" s="0" t="n">
        <f aca="false">C4375/SUM($A4375:$C4375)</f>
        <v>0.0479921616721619</v>
      </c>
      <c r="G4375" s="0" t="n">
        <f aca="false">SUMPRODUCT(D4375:F4375,Stats!$B$6:$D$6)</f>
        <v>0.396828393394741</v>
      </c>
      <c r="H4375" s="0" t="n">
        <f aca="false">SQRT(SUMPRODUCT(MMULT(D4375:F4375,Stats!$B$12:$D$14),D4375:F4375))</f>
        <v>0.237900386978639</v>
      </c>
      <c r="I4375" s="0" t="n">
        <f aca="false">(G4375-Stats!$B$2)/H4375</f>
        <v>1.4914998579914</v>
      </c>
    </row>
    <row r="4376" customFormat="false" ht="15" hidden="false" customHeight="false" outlineLevel="0" collapsed="false">
      <c r="A4376" s="0" t="n">
        <v>0.0664164044814349</v>
      </c>
      <c r="B4376" s="0" t="n">
        <v>0.551828224223585</v>
      </c>
      <c r="C4376" s="0" t="n">
        <v>0.10493918032795</v>
      </c>
      <c r="D4376" s="0" t="n">
        <f aca="false">A4376/SUM($A4376:$C4376)</f>
        <v>0.0918388985647314</v>
      </c>
      <c r="E4376" s="0" t="n">
        <f aca="false">B4376/SUM($A4376:$C4376)</f>
        <v>0.76305389768264</v>
      </c>
      <c r="F4376" s="0" t="n">
        <f aca="false">C4376/SUM($A4376:$C4376)</f>
        <v>0.145107203752629</v>
      </c>
      <c r="G4376" s="0" t="n">
        <f aca="false">SUMPRODUCT(D4376:F4376,Stats!$B$6:$D$6)</f>
        <v>0.396387562795338</v>
      </c>
      <c r="H4376" s="0" t="n">
        <f aca="false">SQRT(SUMPRODUCT(MMULT(D4376:F4376,Stats!$B$12:$D$14),D4376:F4376))</f>
        <v>0.242218500622852</v>
      </c>
      <c r="I4376" s="0" t="n">
        <f aca="false">(G4376-Stats!$B$2)/H4376</f>
        <v>1.46309039930496</v>
      </c>
    </row>
    <row r="4377" customFormat="false" ht="15" hidden="false" customHeight="false" outlineLevel="0" collapsed="false">
      <c r="A4377" s="0" t="n">
        <v>0.0223467884268573</v>
      </c>
      <c r="B4377" s="0" t="n">
        <v>0.171512997648022</v>
      </c>
      <c r="C4377" s="0" t="n">
        <v>0.564849170999574</v>
      </c>
      <c r="D4377" s="0" t="n">
        <f aca="false">A4377/SUM($A4377:$C4377)</f>
        <v>0.0294537031868261</v>
      </c>
      <c r="E4377" s="0" t="n">
        <f aca="false">B4377/SUM($A4377:$C4377)</f>
        <v>0.226059012548591</v>
      </c>
      <c r="F4377" s="0" t="n">
        <f aca="false">C4377/SUM($A4377:$C4377)</f>
        <v>0.744487284264583</v>
      </c>
      <c r="G4377" s="0" t="n">
        <f aca="false">SUMPRODUCT(D4377:F4377,Stats!$B$6:$D$6)</f>
        <v>0.348961896937187</v>
      </c>
      <c r="H4377" s="0" t="n">
        <f aca="false">SQRT(SUMPRODUCT(MMULT(D4377:F4377,Stats!$B$12:$D$14),D4377:F4377))</f>
        <v>0.246371215399217</v>
      </c>
      <c r="I4377" s="0" t="n">
        <f aca="false">(G4377-Stats!$B$2)/H4377</f>
        <v>1.24593246999163</v>
      </c>
    </row>
    <row r="4378" customFormat="false" ht="15" hidden="false" customHeight="false" outlineLevel="0" collapsed="false">
      <c r="A4378" s="0" t="n">
        <v>0.703340954518932</v>
      </c>
      <c r="B4378" s="0" t="n">
        <v>0.20247856414138</v>
      </c>
      <c r="C4378" s="0" t="n">
        <v>0.668259437208175</v>
      </c>
      <c r="D4378" s="0" t="n">
        <f aca="false">A4378/SUM($A4378:$C4378)</f>
        <v>0.446826985327981</v>
      </c>
      <c r="E4378" s="0" t="n">
        <f aca="false">B4378/SUM($A4378:$C4378)</f>
        <v>0.128633041809306</v>
      </c>
      <c r="F4378" s="0" t="n">
        <f aca="false">C4378/SUM($A4378:$C4378)</f>
        <v>0.424539972862713</v>
      </c>
      <c r="G4378" s="0" t="n">
        <f aca="false">SUMPRODUCT(D4378:F4378,Stats!$B$6:$D$6)</f>
        <v>0.352178556730515</v>
      </c>
      <c r="H4378" s="0" t="n">
        <f aca="false">SQRT(SUMPRODUCT(MMULT(D4378:F4378,Stats!$B$12:$D$14),D4378:F4378))</f>
        <v>0.223328412051918</v>
      </c>
      <c r="I4378" s="0" t="n">
        <f aca="false">(G4378-Stats!$B$2)/H4378</f>
        <v>1.38888981424543</v>
      </c>
    </row>
    <row r="4379" customFormat="false" ht="15" hidden="false" customHeight="false" outlineLevel="0" collapsed="false">
      <c r="A4379" s="0" t="n">
        <v>0.182476331099229</v>
      </c>
      <c r="B4379" s="0" t="n">
        <v>0.613457426631257</v>
      </c>
      <c r="C4379" s="0" t="n">
        <v>0.411959679895799</v>
      </c>
      <c r="D4379" s="0" t="n">
        <f aca="false">A4379/SUM($A4379:$C4379)</f>
        <v>0.151069891941649</v>
      </c>
      <c r="E4379" s="0" t="n">
        <f aca="false">B4379/SUM($A4379:$C4379)</f>
        <v>0.507873797076673</v>
      </c>
      <c r="F4379" s="0" t="n">
        <f aca="false">C4379/SUM($A4379:$C4379)</f>
        <v>0.341056310981678</v>
      </c>
      <c r="G4379" s="0" t="n">
        <f aca="false">SUMPRODUCT(D4379:F4379,Stats!$B$6:$D$6)</f>
        <v>0.37630160881376</v>
      </c>
      <c r="H4379" s="0" t="n">
        <f aca="false">SQRT(SUMPRODUCT(MMULT(D4379:F4379,Stats!$B$12:$D$14),D4379:F4379))</f>
        <v>0.234468764385952</v>
      </c>
      <c r="I4379" s="0" t="n">
        <f aca="false">(G4379-Stats!$B$2)/H4379</f>
        <v>1.42578313017198</v>
      </c>
    </row>
    <row r="4380" customFormat="false" ht="15" hidden="false" customHeight="false" outlineLevel="0" collapsed="false">
      <c r="A4380" s="0" t="n">
        <v>0.653799509333617</v>
      </c>
      <c r="B4380" s="0" t="n">
        <v>0.995052752479247</v>
      </c>
      <c r="C4380" s="0" t="n">
        <v>0.937816965232562</v>
      </c>
      <c r="D4380" s="0" t="n">
        <f aca="false">A4380/SUM($A4380:$C4380)</f>
        <v>0.252757292079593</v>
      </c>
      <c r="E4380" s="0" t="n">
        <f aca="false">B4380/SUM($A4380:$C4380)</f>
        <v>0.384684961677851</v>
      </c>
      <c r="F4380" s="0" t="n">
        <f aca="false">C4380/SUM($A4380:$C4380)</f>
        <v>0.362557746242555</v>
      </c>
      <c r="G4380" s="0" t="n">
        <f aca="false">SUMPRODUCT(D4380:F4380,Stats!$B$6:$D$6)</f>
        <v>0.36862058885767</v>
      </c>
      <c r="H4380" s="0" t="n">
        <f aca="false">SQRT(SUMPRODUCT(MMULT(D4380:F4380,Stats!$B$12:$D$14),D4380:F4380))</f>
        <v>0.229309627367521</v>
      </c>
      <c r="I4380" s="0" t="n">
        <f aca="false">(G4380-Stats!$B$2)/H4380</f>
        <v>1.42436491920239</v>
      </c>
    </row>
    <row r="4381" customFormat="false" ht="15" hidden="false" customHeight="false" outlineLevel="0" collapsed="false">
      <c r="A4381" s="0" t="n">
        <v>0.00428175783610363</v>
      </c>
      <c r="B4381" s="0" t="n">
        <v>0.885438764362306</v>
      </c>
      <c r="C4381" s="0" t="n">
        <v>0.0664907951747665</v>
      </c>
      <c r="D4381" s="0" t="n">
        <f aca="false">A4381/SUM($A4381:$C4381)</f>
        <v>0.00447783639276109</v>
      </c>
      <c r="E4381" s="0" t="n">
        <f aca="false">B4381/SUM($A4381:$C4381)</f>
        <v>0.925986493021971</v>
      </c>
      <c r="F4381" s="0" t="n">
        <f aca="false">C4381/SUM($A4381:$C4381)</f>
        <v>0.0695356705852682</v>
      </c>
      <c r="G4381" s="0" t="n">
        <f aca="false">SUMPRODUCT(D4381:F4381,Stats!$B$6:$D$6)</f>
        <v>0.407846349412381</v>
      </c>
      <c r="H4381" s="0" t="n">
        <f aca="false">SQRT(SUMPRODUCT(MMULT(D4381:F4381,Stats!$B$12:$D$14),D4381:F4381))</f>
        <v>0.251112286851337</v>
      </c>
      <c r="I4381" s="0" t="n">
        <f aca="false">(G4381-Stats!$B$2)/H4381</f>
        <v>1.45690341958046</v>
      </c>
    </row>
    <row r="4382" customFormat="false" ht="15" hidden="false" customHeight="false" outlineLevel="0" collapsed="false">
      <c r="A4382" s="0" t="n">
        <v>0.953046586159845</v>
      </c>
      <c r="B4382" s="0" t="n">
        <v>0.281825679099685</v>
      </c>
      <c r="C4382" s="0" t="n">
        <v>0.382034830411271</v>
      </c>
      <c r="D4382" s="0" t="n">
        <f aca="false">A4382/SUM($A4382:$C4382)</f>
        <v>0.589425693480835</v>
      </c>
      <c r="E4382" s="0" t="n">
        <f aca="false">B4382/SUM($A4382:$C4382)</f>
        <v>0.174299240725865</v>
      </c>
      <c r="F4382" s="0" t="n">
        <f aca="false">C4382/SUM($A4382:$C4382)</f>
        <v>0.236275065793299</v>
      </c>
      <c r="G4382" s="0" t="n">
        <f aca="false">SUMPRODUCT(D4382:F4382,Stats!$B$6:$D$6)</f>
        <v>0.359997463113518</v>
      </c>
      <c r="H4382" s="0" t="n">
        <f aca="false">SQRT(SUMPRODUCT(MMULT(D4382:F4382,Stats!$B$12:$D$14),D4382:F4382))</f>
        <v>0.221907092023673</v>
      </c>
      <c r="I4382" s="0" t="n">
        <f aca="false">(G4382-Stats!$B$2)/H4382</f>
        <v>1.4330207304938</v>
      </c>
    </row>
    <row r="4383" customFormat="false" ht="15" hidden="false" customHeight="false" outlineLevel="0" collapsed="false">
      <c r="A4383" s="0" t="n">
        <v>0.0916382051757279</v>
      </c>
      <c r="B4383" s="0" t="n">
        <v>0.11227275832891</v>
      </c>
      <c r="C4383" s="0" t="n">
        <v>0.72674056522932</v>
      </c>
      <c r="D4383" s="0" t="n">
        <f aca="false">A4383/SUM($A4383:$C4383)</f>
        <v>0.0984667218033703</v>
      </c>
      <c r="E4383" s="0" t="n">
        <f aca="false">B4383/SUM($A4383:$C4383)</f>
        <v>0.120638880249457</v>
      </c>
      <c r="F4383" s="0" t="n">
        <f aca="false">C4383/SUM($A4383:$C4383)</f>
        <v>0.780894397947173</v>
      </c>
      <c r="G4383" s="0" t="n">
        <f aca="false">SUMPRODUCT(D4383:F4383,Stats!$B$6:$D$6)</f>
        <v>0.341892246810417</v>
      </c>
      <c r="H4383" s="0" t="n">
        <f aca="false">SQRT(SUMPRODUCT(MMULT(D4383:F4383,Stats!$B$12:$D$14),D4383:F4383))</f>
        <v>0.24407800132556</v>
      </c>
      <c r="I4383" s="0" t="n">
        <f aca="false">(G4383-Stats!$B$2)/H4383</f>
        <v>1.22867380583967</v>
      </c>
    </row>
    <row r="4384" customFormat="false" ht="15" hidden="false" customHeight="false" outlineLevel="0" collapsed="false">
      <c r="A4384" s="0" t="n">
        <v>0.944332235748292</v>
      </c>
      <c r="B4384" s="0" t="n">
        <v>0.61074849495431</v>
      </c>
      <c r="C4384" s="0" t="n">
        <v>0.715850015526811</v>
      </c>
      <c r="D4384" s="0" t="n">
        <f aca="false">A4384/SUM($A4384:$C4384)</f>
        <v>0.415834889424186</v>
      </c>
      <c r="E4384" s="0" t="n">
        <f aca="false">B4384/SUM($A4384:$C4384)</f>
        <v>0.268941928752508</v>
      </c>
      <c r="F4384" s="0" t="n">
        <f aca="false">C4384/SUM($A4384:$C4384)</f>
        <v>0.315223181823306</v>
      </c>
      <c r="G4384" s="0" t="n">
        <f aca="false">SUMPRODUCT(D4384:F4384,Stats!$B$6:$D$6)</f>
        <v>0.363266116954452</v>
      </c>
      <c r="H4384" s="0" t="n">
        <f aca="false">SQRT(SUMPRODUCT(MMULT(D4384:F4384,Stats!$B$12:$D$14),D4384:F4384))</f>
        <v>0.2239340077488</v>
      </c>
      <c r="I4384" s="0" t="n">
        <f aca="false">(G4384-Stats!$B$2)/H4384</f>
        <v>1.43464639508812</v>
      </c>
    </row>
    <row r="4385" customFormat="false" ht="15" hidden="false" customHeight="false" outlineLevel="0" collapsed="false">
      <c r="A4385" s="0" t="n">
        <v>0.761969744597154</v>
      </c>
      <c r="B4385" s="0" t="n">
        <v>0.262814274552942</v>
      </c>
      <c r="C4385" s="0" t="n">
        <v>0.0452296309202149</v>
      </c>
      <c r="D4385" s="0" t="n">
        <f aca="false">A4385/SUM($A4385:$C4385)</f>
        <v>0.712112172164425</v>
      </c>
      <c r="E4385" s="0" t="n">
        <f aca="false">B4385/SUM($A4385:$C4385)</f>
        <v>0.245617683975968</v>
      </c>
      <c r="F4385" s="0" t="n">
        <f aca="false">C4385/SUM($A4385:$C4385)</f>
        <v>0.0422701438596067</v>
      </c>
      <c r="G4385" s="0" t="n">
        <f aca="false">SUMPRODUCT(D4385:F4385,Stats!$B$6:$D$6)</f>
        <v>0.36945064513658</v>
      </c>
      <c r="H4385" s="0" t="n">
        <f aca="false">SQRT(SUMPRODUCT(MMULT(D4385:F4385,Stats!$B$12:$D$14),D4385:F4385))</f>
        <v>0.226123860637606</v>
      </c>
      <c r="I4385" s="0" t="n">
        <f aca="false">(G4385-Stats!$B$2)/H4385</f>
        <v>1.44810301846634</v>
      </c>
    </row>
    <row r="4386" customFormat="false" ht="15" hidden="false" customHeight="false" outlineLevel="0" collapsed="false">
      <c r="A4386" s="0" t="n">
        <v>0.00187274391916859</v>
      </c>
      <c r="B4386" s="0" t="n">
        <v>0.350649282954019</v>
      </c>
      <c r="C4386" s="0" t="n">
        <v>0.241464228199216</v>
      </c>
      <c r="D4386" s="0" t="n">
        <f aca="false">A4386/SUM($A4386:$C4386)</f>
        <v>0.00315284049618338</v>
      </c>
      <c r="E4386" s="0" t="n">
        <f aca="false">B4386/SUM($A4386:$C4386)</f>
        <v>0.590332318230624</v>
      </c>
      <c r="F4386" s="0" t="n">
        <f aca="false">C4386/SUM($A4386:$C4386)</f>
        <v>0.406514841273193</v>
      </c>
      <c r="G4386" s="0" t="n">
        <f aca="false">SUMPRODUCT(D4386:F4386,Stats!$B$6:$D$6)</f>
        <v>0.379241171600869</v>
      </c>
      <c r="H4386" s="0" t="n">
        <f aca="false">SQRT(SUMPRODUCT(MMULT(D4386:F4386,Stats!$B$12:$D$14),D4386:F4386))</f>
        <v>0.243129101444665</v>
      </c>
      <c r="I4386" s="0" t="n">
        <f aca="false">(G4386-Stats!$B$2)/H4386</f>
        <v>1.38708681764952</v>
      </c>
    </row>
    <row r="4387" customFormat="false" ht="15" hidden="false" customHeight="false" outlineLevel="0" collapsed="false">
      <c r="A4387" s="0" t="n">
        <v>0.0623177250491857</v>
      </c>
      <c r="B4387" s="0" t="n">
        <v>0.179528292493667</v>
      </c>
      <c r="C4387" s="0" t="n">
        <v>0.124498898267948</v>
      </c>
      <c r="D4387" s="0" t="n">
        <f aca="false">A4387/SUM($A4387:$C4387)</f>
        <v>0.170106700979494</v>
      </c>
      <c r="E4387" s="0" t="n">
        <f aca="false">B4387/SUM($A4387:$C4387)</f>
        <v>0.490052638225733</v>
      </c>
      <c r="F4387" s="0" t="n">
        <f aca="false">C4387/SUM($A4387:$C4387)</f>
        <v>0.339840660794773</v>
      </c>
      <c r="G4387" s="0" t="n">
        <f aca="false">SUMPRODUCT(D4387:F4387,Stats!$B$6:$D$6)</f>
        <v>0.375309723485292</v>
      </c>
      <c r="H4387" s="0" t="n">
        <f aca="false">SQRT(SUMPRODUCT(MMULT(D4387:F4387,Stats!$B$12:$D$14),D4387:F4387))</f>
        <v>0.233452682544231</v>
      </c>
      <c r="I4387" s="0" t="n">
        <f aca="false">(G4387-Stats!$B$2)/H4387</f>
        <v>1.42773995934762</v>
      </c>
    </row>
    <row r="4388" customFormat="false" ht="15" hidden="false" customHeight="false" outlineLevel="0" collapsed="false">
      <c r="A4388" s="0" t="n">
        <v>0.91487838061737</v>
      </c>
      <c r="B4388" s="0" t="n">
        <v>0.140267213459169</v>
      </c>
      <c r="C4388" s="0" t="n">
        <v>0.537648463987679</v>
      </c>
      <c r="D4388" s="0" t="n">
        <f aca="false">A4388/SUM($A4388:$C4388)</f>
        <v>0.574385857346339</v>
      </c>
      <c r="E4388" s="0" t="n">
        <f aca="false">B4388/SUM($A4388:$C4388)</f>
        <v>0.088063621752608</v>
      </c>
      <c r="F4388" s="0" t="n">
        <f aca="false">C4388/SUM($A4388:$C4388)</f>
        <v>0.337550520901053</v>
      </c>
      <c r="G4388" s="0" t="n">
        <f aca="false">SUMPRODUCT(D4388:F4388,Stats!$B$6:$D$6)</f>
        <v>0.352242945488366</v>
      </c>
      <c r="H4388" s="0" t="n">
        <f aca="false">SQRT(SUMPRODUCT(MMULT(D4388:F4388,Stats!$B$12:$D$14),D4388:F4388))</f>
        <v>0.221407053863069</v>
      </c>
      <c r="I4388" s="0" t="n">
        <f aca="false">(G4388-Stats!$B$2)/H4388</f>
        <v>1.40123333956758</v>
      </c>
    </row>
    <row r="4389" customFormat="false" ht="15" hidden="false" customHeight="false" outlineLevel="0" collapsed="false">
      <c r="A4389" s="0" t="n">
        <v>0.593105955112165</v>
      </c>
      <c r="B4389" s="0" t="n">
        <v>0.543489457708634</v>
      </c>
      <c r="C4389" s="0" t="n">
        <v>0.099056434215988</v>
      </c>
      <c r="D4389" s="0" t="n">
        <f aca="false">A4389/SUM($A4389:$C4389)</f>
        <v>0.479994390438124</v>
      </c>
      <c r="E4389" s="0" t="n">
        <f aca="false">B4389/SUM($A4389:$C4389)</f>
        <v>0.439840282691257</v>
      </c>
      <c r="F4389" s="0" t="n">
        <f aca="false">C4389/SUM($A4389:$C4389)</f>
        <v>0.0801653268706189</v>
      </c>
      <c r="G4389" s="0" t="n">
        <f aca="false">SUMPRODUCT(D4389:F4389,Stats!$B$6:$D$6)</f>
        <v>0.379581016992992</v>
      </c>
      <c r="H4389" s="0" t="n">
        <f aca="false">SQRT(SUMPRODUCT(MMULT(D4389:F4389,Stats!$B$12:$D$14),D4389:F4389))</f>
        <v>0.227090398411358</v>
      </c>
      <c r="I4389" s="0" t="n">
        <f aca="false">(G4389-Stats!$B$2)/H4389</f>
        <v>1.48654905427348</v>
      </c>
    </row>
    <row r="4390" customFormat="false" ht="15" hidden="false" customHeight="false" outlineLevel="0" collapsed="false">
      <c r="A4390" s="0" t="n">
        <v>0.318798361750551</v>
      </c>
      <c r="B4390" s="0" t="n">
        <v>0.0512703324631533</v>
      </c>
      <c r="C4390" s="0" t="n">
        <v>0.395669914096316</v>
      </c>
      <c r="D4390" s="0" t="n">
        <f aca="false">A4390/SUM($A4390:$C4390)</f>
        <v>0.416327919594046</v>
      </c>
      <c r="E4390" s="0" t="n">
        <f aca="false">B4390/SUM($A4390:$C4390)</f>
        <v>0.0669553969288639</v>
      </c>
      <c r="F4390" s="0" t="n">
        <f aca="false">C4390/SUM($A4390:$C4390)</f>
        <v>0.51671668347709</v>
      </c>
      <c r="G4390" s="0" t="n">
        <f aca="false">SUMPRODUCT(D4390:F4390,Stats!$B$6:$D$6)</f>
        <v>0.346087967529744</v>
      </c>
      <c r="H4390" s="0" t="n">
        <f aca="false">SQRT(SUMPRODUCT(MMULT(D4390:F4390,Stats!$B$12:$D$14),D4390:F4390))</f>
        <v>0.225148766720921</v>
      </c>
      <c r="I4390" s="0" t="n">
        <f aca="false">(G4390-Stats!$B$2)/H4390</f>
        <v>1.35060907487302</v>
      </c>
    </row>
    <row r="4391" customFormat="false" ht="15" hidden="false" customHeight="false" outlineLevel="0" collapsed="false">
      <c r="A4391" s="0" t="n">
        <v>0.188598931271592</v>
      </c>
      <c r="B4391" s="0" t="n">
        <v>0.56163253328438</v>
      </c>
      <c r="C4391" s="0" t="n">
        <v>0.692808393849101</v>
      </c>
      <c r="D4391" s="0" t="n">
        <f aca="false">A4391/SUM($A4391:$C4391)</f>
        <v>0.130695580009856</v>
      </c>
      <c r="E4391" s="0" t="n">
        <f aca="false">B4391/SUM($A4391:$C4391)</f>
        <v>0.389200984306232</v>
      </c>
      <c r="F4391" s="0" t="n">
        <f aca="false">C4391/SUM($A4391:$C4391)</f>
        <v>0.480103435683912</v>
      </c>
      <c r="G4391" s="0" t="n">
        <f aca="false">SUMPRODUCT(D4391:F4391,Stats!$B$6:$D$6)</f>
        <v>0.365639157778837</v>
      </c>
      <c r="H4391" s="0" t="n">
        <f aca="false">SQRT(SUMPRODUCT(MMULT(D4391:F4391,Stats!$B$12:$D$14),D4391:F4391))</f>
        <v>0.235372604745726</v>
      </c>
      <c r="I4391" s="0" t="n">
        <f aca="false">(G4391-Stats!$B$2)/H4391</f>
        <v>1.37500775898905</v>
      </c>
    </row>
    <row r="4392" customFormat="false" ht="15" hidden="false" customHeight="false" outlineLevel="0" collapsed="false">
      <c r="A4392" s="0" t="n">
        <v>0.532119860204707</v>
      </c>
      <c r="B4392" s="0" t="n">
        <v>0.434236696611396</v>
      </c>
      <c r="C4392" s="0" t="n">
        <v>0.387333420856692</v>
      </c>
      <c r="D4392" s="0" t="n">
        <f aca="false">A4392/SUM($A4392:$C4392)</f>
        <v>0.393088424219188</v>
      </c>
      <c r="E4392" s="0" t="n">
        <f aca="false">B4392/SUM($A4392:$C4392)</f>
        <v>0.320780018891709</v>
      </c>
      <c r="F4392" s="0" t="n">
        <f aca="false">C4392/SUM($A4392:$C4392)</f>
        <v>0.286131556889104</v>
      </c>
      <c r="G4392" s="0" t="n">
        <f aca="false">SUMPRODUCT(D4392:F4392,Stats!$B$6:$D$6)</f>
        <v>0.367051003936667</v>
      </c>
      <c r="H4392" s="0" t="n">
        <f aca="false">SQRT(SUMPRODUCT(MMULT(D4392:F4392,Stats!$B$12:$D$14),D4392:F4392))</f>
        <v>0.224800441466328</v>
      </c>
      <c r="I4392" s="0" t="n">
        <f aca="false">(G4392-Stats!$B$2)/H4392</f>
        <v>1.44595358361587</v>
      </c>
    </row>
    <row r="4393" customFormat="false" ht="15" hidden="false" customHeight="false" outlineLevel="0" collapsed="false">
      <c r="A4393" s="0" t="n">
        <v>0.841691768097004</v>
      </c>
      <c r="B4393" s="0" t="n">
        <v>0.21936806506527</v>
      </c>
      <c r="C4393" s="0" t="n">
        <v>0.734218339528869</v>
      </c>
      <c r="D4393" s="0" t="n">
        <f aca="false">A4393/SUM($A4393:$C4393)</f>
        <v>0.468836407026159</v>
      </c>
      <c r="E4393" s="0" t="n">
        <f aca="false">B4393/SUM($A4393:$C4393)</f>
        <v>0.122191685055935</v>
      </c>
      <c r="F4393" s="0" t="n">
        <f aca="false">C4393/SUM($A4393:$C4393)</f>
        <v>0.408971907917906</v>
      </c>
      <c r="G4393" s="0" t="n">
        <f aca="false">SUMPRODUCT(D4393:F4393,Stats!$B$6:$D$6)</f>
        <v>0.352237212802872</v>
      </c>
      <c r="H4393" s="0" t="n">
        <f aca="false">SQRT(SUMPRODUCT(MMULT(D4393:F4393,Stats!$B$12:$D$14),D4393:F4393))</f>
        <v>0.222823120008272</v>
      </c>
      <c r="I4393" s="0" t="n">
        <f aca="false">(G4393-Stats!$B$2)/H4393</f>
        <v>1.39230261559642</v>
      </c>
    </row>
    <row r="4394" customFormat="false" ht="15" hidden="false" customHeight="false" outlineLevel="0" collapsed="false">
      <c r="A4394" s="0" t="n">
        <v>0.757482324740119</v>
      </c>
      <c r="B4394" s="0" t="n">
        <v>0.419200007270735</v>
      </c>
      <c r="C4394" s="0" t="n">
        <v>0.297300599225639</v>
      </c>
      <c r="D4394" s="0" t="n">
        <f aca="false">A4394/SUM($A4394:$C4394)</f>
        <v>0.513901693627268</v>
      </c>
      <c r="E4394" s="0" t="n">
        <f aca="false">B4394/SUM($A4394:$C4394)</f>
        <v>0.284399499062772</v>
      </c>
      <c r="F4394" s="0" t="n">
        <f aca="false">C4394/SUM($A4394:$C4394)</f>
        <v>0.20169880730996</v>
      </c>
      <c r="G4394" s="0" t="n">
        <f aca="false">SUMPRODUCT(D4394:F4394,Stats!$B$6:$D$6)</f>
        <v>0.367285916507198</v>
      </c>
      <c r="H4394" s="0" t="n">
        <f aca="false">SQRT(SUMPRODUCT(MMULT(D4394:F4394,Stats!$B$12:$D$14),D4394:F4394))</f>
        <v>0.223274413165767</v>
      </c>
      <c r="I4394" s="0" t="n">
        <f aca="false">(G4394-Stats!$B$2)/H4394</f>
        <v>1.45688846247552</v>
      </c>
    </row>
    <row r="4395" customFormat="false" ht="15" hidden="false" customHeight="false" outlineLevel="0" collapsed="false">
      <c r="A4395" s="0" t="n">
        <v>0.470541486045975</v>
      </c>
      <c r="B4395" s="0" t="n">
        <v>0.0932139258926985</v>
      </c>
      <c r="C4395" s="0" t="n">
        <v>0.04593003222909</v>
      </c>
      <c r="D4395" s="0" t="n">
        <f aca="false">A4395/SUM($A4395:$C4395)</f>
        <v>0.771777464177903</v>
      </c>
      <c r="E4395" s="0" t="n">
        <f aca="false">B4395/SUM($A4395:$C4395)</f>
        <v>0.152888553900016</v>
      </c>
      <c r="F4395" s="0" t="n">
        <f aca="false">C4395/SUM($A4395:$C4395)</f>
        <v>0.0753339819220806</v>
      </c>
      <c r="G4395" s="0" t="n">
        <f aca="false">SUMPRODUCT(D4395:F4395,Stats!$B$6:$D$6)</f>
        <v>0.363203408391422</v>
      </c>
      <c r="H4395" s="0" t="n">
        <f aca="false">SQRT(SUMPRODUCT(MMULT(D4395:F4395,Stats!$B$12:$D$14),D4395:F4395))</f>
        <v>0.225630150786771</v>
      </c>
      <c r="I4395" s="0" t="n">
        <f aca="false">(G4395-Stats!$B$2)/H4395</f>
        <v>1.42358371552466</v>
      </c>
    </row>
    <row r="4396" customFormat="false" ht="15" hidden="false" customHeight="false" outlineLevel="0" collapsed="false">
      <c r="A4396" s="0" t="n">
        <v>0.111603199451892</v>
      </c>
      <c r="B4396" s="0" t="n">
        <v>0.187145031462226</v>
      </c>
      <c r="C4396" s="0" t="n">
        <v>0.504176820338043</v>
      </c>
      <c r="D4396" s="0" t="n">
        <f aca="false">A4396/SUM($A4396:$C4396)</f>
        <v>0.13899578706362</v>
      </c>
      <c r="E4396" s="0" t="n">
        <f aca="false">B4396/SUM($A4396:$C4396)</f>
        <v>0.233079079012884</v>
      </c>
      <c r="F4396" s="0" t="n">
        <f aca="false">C4396/SUM($A4396:$C4396)</f>
        <v>0.627925133923496</v>
      </c>
      <c r="G4396" s="0" t="n">
        <f aca="false">SUMPRODUCT(D4396:F4396,Stats!$B$6:$D$6)</f>
        <v>0.352579978939143</v>
      </c>
      <c r="H4396" s="0" t="n">
        <f aca="false">SQRT(SUMPRODUCT(MMULT(D4396:F4396,Stats!$B$12:$D$14),D4396:F4396))</f>
        <v>0.237206176177588</v>
      </c>
      <c r="I4396" s="0" t="n">
        <f aca="false">(G4396-Stats!$B$2)/H4396</f>
        <v>1.30932500976122</v>
      </c>
    </row>
    <row r="4397" customFormat="false" ht="15" hidden="false" customHeight="false" outlineLevel="0" collapsed="false">
      <c r="A4397" s="0" t="n">
        <v>0.849136636161122</v>
      </c>
      <c r="B4397" s="0" t="n">
        <v>0.235642331999687</v>
      </c>
      <c r="C4397" s="0" t="n">
        <v>0.935162010746778</v>
      </c>
      <c r="D4397" s="0" t="n">
        <f aca="false">A4397/SUM($A4397:$C4397)</f>
        <v>0.420376954093157</v>
      </c>
      <c r="E4397" s="0" t="n">
        <f aca="false">B4397/SUM($A4397:$C4397)</f>
        <v>0.116658028358396</v>
      </c>
      <c r="F4397" s="0" t="n">
        <f aca="false">C4397/SUM($A4397:$C4397)</f>
        <v>0.462965017548447</v>
      </c>
      <c r="G4397" s="0" t="n">
        <f aca="false">SUMPRODUCT(D4397:F4397,Stats!$B$6:$D$6)</f>
        <v>0.350429974127347</v>
      </c>
      <c r="H4397" s="0" t="n">
        <f aca="false">SQRT(SUMPRODUCT(MMULT(D4397:F4397,Stats!$B$12:$D$14),D4397:F4397))</f>
        <v>0.224243380080252</v>
      </c>
      <c r="I4397" s="0" t="n">
        <f aca="false">(G4397-Stats!$B$2)/H4397</f>
        <v>1.37542510292596</v>
      </c>
    </row>
    <row r="4398" customFormat="false" ht="15" hidden="false" customHeight="false" outlineLevel="0" collapsed="false">
      <c r="A4398" s="0" t="n">
        <v>0.954907908935003</v>
      </c>
      <c r="B4398" s="0" t="n">
        <v>0.958904604845205</v>
      </c>
      <c r="C4398" s="0" t="n">
        <v>0.837562734676324</v>
      </c>
      <c r="D4398" s="0" t="n">
        <f aca="false">A4398/SUM($A4398:$C4398)</f>
        <v>0.347065675418389</v>
      </c>
      <c r="E4398" s="0" t="n">
        <f aca="false">B4398/SUM($A4398:$C4398)</f>
        <v>0.34851829294573</v>
      </c>
      <c r="F4398" s="0" t="n">
        <f aca="false">C4398/SUM($A4398:$C4398)</f>
        <v>0.304416031635881</v>
      </c>
      <c r="G4398" s="0" t="n">
        <f aca="false">SUMPRODUCT(D4398:F4398,Stats!$B$6:$D$6)</f>
        <v>0.368142840966227</v>
      </c>
      <c r="H4398" s="0" t="n">
        <f aca="false">SQRT(SUMPRODUCT(MMULT(D4398:F4398,Stats!$B$12:$D$14),D4398:F4398))</f>
        <v>0.226064851045581</v>
      </c>
      <c r="I4398" s="0" t="n">
        <f aca="false">(G4398-Stats!$B$2)/H4398</f>
        <v>1.44269593197603</v>
      </c>
    </row>
    <row r="4399" customFormat="false" ht="15" hidden="false" customHeight="false" outlineLevel="0" collapsed="false">
      <c r="A4399" s="0" t="n">
        <v>0.363825040797721</v>
      </c>
      <c r="B4399" s="0" t="n">
        <v>0.0726839110026231</v>
      </c>
      <c r="C4399" s="0" t="n">
        <v>0.568818731766495</v>
      </c>
      <c r="D4399" s="0" t="n">
        <f aca="false">A4399/SUM($A4399:$C4399)</f>
        <v>0.361896968266996</v>
      </c>
      <c r="E4399" s="0" t="n">
        <f aca="false">B4399/SUM($A4399:$C4399)</f>
        <v>0.0722987262667881</v>
      </c>
      <c r="F4399" s="0" t="n">
        <f aca="false">C4399/SUM($A4399:$C4399)</f>
        <v>0.565804305466216</v>
      </c>
      <c r="G4399" s="0" t="n">
        <f aca="false">SUMPRODUCT(D4399:F4399,Stats!$B$6:$D$6)</f>
        <v>0.345041843487854</v>
      </c>
      <c r="H4399" s="0" t="n">
        <f aca="false">SQRT(SUMPRODUCT(MMULT(D4399:F4399,Stats!$B$12:$D$14),D4399:F4399))</f>
        <v>0.227411023992392</v>
      </c>
      <c r="I4399" s="0" t="n">
        <f aca="false">(G4399-Stats!$B$2)/H4399</f>
        <v>1.3325732331164</v>
      </c>
    </row>
    <row r="4400" customFormat="false" ht="15" hidden="false" customHeight="false" outlineLevel="0" collapsed="false">
      <c r="A4400" s="0" t="n">
        <v>0.558681443937234</v>
      </c>
      <c r="B4400" s="0" t="n">
        <v>0.849975767109596</v>
      </c>
      <c r="C4400" s="0" t="n">
        <v>0.995991050946105</v>
      </c>
      <c r="D4400" s="0" t="n">
        <f aca="false">A4400/SUM($A4400:$C4400)</f>
        <v>0.232333956182934</v>
      </c>
      <c r="E4400" s="0" t="n">
        <f aca="false">B4400/SUM($A4400:$C4400)</f>
        <v>0.353471973653706</v>
      </c>
      <c r="F4400" s="0" t="n">
        <f aca="false">C4400/SUM($A4400:$C4400)</f>
        <v>0.414194070163361</v>
      </c>
      <c r="G4400" s="0" t="n">
        <f aca="false">SUMPRODUCT(D4400:F4400,Stats!$B$6:$D$6)</f>
        <v>0.365400782153198</v>
      </c>
      <c r="H4400" s="0" t="n">
        <f aca="false">SQRT(SUMPRODUCT(MMULT(D4400:F4400,Stats!$B$12:$D$14),D4400:F4400))</f>
        <v>0.230119795871188</v>
      </c>
      <c r="I4400" s="0" t="n">
        <f aca="false">(G4400-Stats!$B$2)/H4400</f>
        <v>1.40535837401066</v>
      </c>
    </row>
    <row r="4401" customFormat="false" ht="15" hidden="false" customHeight="false" outlineLevel="0" collapsed="false">
      <c r="A4401" s="0" t="n">
        <v>0.508157306560148</v>
      </c>
      <c r="B4401" s="0" t="n">
        <v>0.345204031039784</v>
      </c>
      <c r="C4401" s="0" t="n">
        <v>0.185901711556267</v>
      </c>
      <c r="D4401" s="0" t="n">
        <f aca="false">A4401/SUM($A4401:$C4401)</f>
        <v>0.488959274528939</v>
      </c>
      <c r="E4401" s="0" t="n">
        <f aca="false">B4401/SUM($A4401:$C4401)</f>
        <v>0.33216232533242</v>
      </c>
      <c r="F4401" s="0" t="n">
        <f aca="false">C4401/SUM($A4401:$C4401)</f>
        <v>0.178878400138641</v>
      </c>
      <c r="G4401" s="0" t="n">
        <f aca="false">SUMPRODUCT(D4401:F4401,Stats!$B$6:$D$6)</f>
        <v>0.370663391663096</v>
      </c>
      <c r="H4401" s="0" t="n">
        <f aca="false">SQRT(SUMPRODUCT(MMULT(D4401:F4401,Stats!$B$12:$D$14),D4401:F4401))</f>
        <v>0.224177754149599</v>
      </c>
      <c r="I4401" s="0" t="n">
        <f aca="false">(G4401-Stats!$B$2)/H4401</f>
        <v>1.46608388022199</v>
      </c>
    </row>
    <row r="4402" customFormat="false" ht="15" hidden="false" customHeight="false" outlineLevel="0" collapsed="false">
      <c r="A4402" s="0" t="n">
        <v>0.00479982481737074</v>
      </c>
      <c r="B4402" s="0" t="n">
        <v>0.509113692488879</v>
      </c>
      <c r="C4402" s="0" t="n">
        <v>0.555518666702596</v>
      </c>
      <c r="D4402" s="0" t="n">
        <f aca="false">A4402/SUM($A4402:$C4402)</f>
        <v>0.00448819933525681</v>
      </c>
      <c r="E4402" s="0" t="n">
        <f aca="false">B4402/SUM($A4402:$C4402)</f>
        <v>0.476059819501999</v>
      </c>
      <c r="F4402" s="0" t="n">
        <f aca="false">C4402/SUM($A4402:$C4402)</f>
        <v>0.519451981162745</v>
      </c>
      <c r="G4402" s="0" t="n">
        <f aca="false">SUMPRODUCT(D4402:F4402,Stats!$B$6:$D$6)</f>
        <v>0.369551881729478</v>
      </c>
      <c r="H4402" s="0" t="n">
        <f aca="false">SQRT(SUMPRODUCT(MMULT(D4402:F4402,Stats!$B$12:$D$14),D4402:F4402))</f>
        <v>0.243195740075972</v>
      </c>
      <c r="I4402" s="0" t="n">
        <f aca="false">(G4402-Stats!$B$2)/H4402</f>
        <v>1.34686521082628</v>
      </c>
    </row>
    <row r="4403" customFormat="false" ht="15" hidden="false" customHeight="false" outlineLevel="0" collapsed="false">
      <c r="A4403" s="0" t="n">
        <v>0.824938479817397</v>
      </c>
      <c r="B4403" s="0" t="n">
        <v>0.504576967892801</v>
      </c>
      <c r="C4403" s="0" t="n">
        <v>0.916468348666057</v>
      </c>
      <c r="D4403" s="0" t="n">
        <f aca="false">A4403/SUM($A4403:$C4403)</f>
        <v>0.367294938257516</v>
      </c>
      <c r="E4403" s="0" t="n">
        <f aca="false">B4403/SUM($A4403:$C4403)</f>
        <v>0.224657439072758</v>
      </c>
      <c r="F4403" s="0" t="n">
        <f aca="false">C4403/SUM($A4403:$C4403)</f>
        <v>0.408047622669726</v>
      </c>
      <c r="G4403" s="0" t="n">
        <f aca="false">SUMPRODUCT(D4403:F4403,Stats!$B$6:$D$6)</f>
        <v>0.358158446480389</v>
      </c>
      <c r="H4403" s="0" t="n">
        <f aca="false">SQRT(SUMPRODUCT(MMULT(D4403:F4403,Stats!$B$12:$D$14),D4403:F4403))</f>
        <v>0.225138867001104</v>
      </c>
      <c r="I4403" s="0" t="n">
        <f aca="false">(G4403-Stats!$B$2)/H4403</f>
        <v>1.40428194692318</v>
      </c>
    </row>
    <row r="4404" customFormat="false" ht="15" hidden="false" customHeight="false" outlineLevel="0" collapsed="false">
      <c r="A4404" s="0" t="n">
        <v>0.628083476571436</v>
      </c>
      <c r="B4404" s="0" t="n">
        <v>0.840336238221083</v>
      </c>
      <c r="C4404" s="0" t="n">
        <v>0.148301734807747</v>
      </c>
      <c r="D4404" s="0" t="n">
        <f aca="false">A4404/SUM($A4404:$C4404)</f>
        <v>0.388492078661249</v>
      </c>
      <c r="E4404" s="0" t="n">
        <f aca="false">B4404/SUM($A4404:$C4404)</f>
        <v>0.519777997891261</v>
      </c>
      <c r="F4404" s="0" t="n">
        <f aca="false">C4404/SUM($A4404:$C4404)</f>
        <v>0.0917299234474898</v>
      </c>
      <c r="G4404" s="0" t="n">
        <f aca="false">SUMPRODUCT(D4404:F4404,Stats!$B$6:$D$6)</f>
        <v>0.38386164036161</v>
      </c>
      <c r="H4404" s="0" t="n">
        <f aca="false">SQRT(SUMPRODUCT(MMULT(D4404:F4404,Stats!$B$12:$D$14),D4404:F4404))</f>
        <v>0.229306247256861</v>
      </c>
      <c r="I4404" s="0" t="n">
        <f aca="false">(G4404-Stats!$B$2)/H4404</f>
        <v>1.4908518387581</v>
      </c>
    </row>
    <row r="4405" customFormat="false" ht="15" hidden="false" customHeight="false" outlineLevel="0" collapsed="false">
      <c r="A4405" s="0" t="n">
        <v>0.855336130302315</v>
      </c>
      <c r="B4405" s="0" t="n">
        <v>0.675143854443848</v>
      </c>
      <c r="C4405" s="0" t="n">
        <v>0.170233032438331</v>
      </c>
      <c r="D4405" s="0" t="n">
        <f aca="false">A4405/SUM($A4405:$C4405)</f>
        <v>0.502927961190249</v>
      </c>
      <c r="E4405" s="0" t="n">
        <f aca="false">B4405/SUM($A4405:$C4405)</f>
        <v>0.396976942977446</v>
      </c>
      <c r="F4405" s="0" t="n">
        <f aca="false">C4405/SUM($A4405:$C4405)</f>
        <v>0.100095095832305</v>
      </c>
      <c r="G4405" s="0" t="n">
        <f aca="false">SUMPRODUCT(D4405:F4405,Stats!$B$6:$D$6)</f>
        <v>0.376565160189068</v>
      </c>
      <c r="H4405" s="0" t="n">
        <f aca="false">SQRT(SUMPRODUCT(MMULT(D4405:F4405,Stats!$B$12:$D$14),D4405:F4405))</f>
        <v>0.225955049036396</v>
      </c>
      <c r="I4405" s="0" t="n">
        <f aca="false">(G4405-Stats!$B$2)/H4405</f>
        <v>1.48067131766185</v>
      </c>
    </row>
    <row r="4406" customFormat="false" ht="15" hidden="false" customHeight="false" outlineLevel="0" collapsed="false">
      <c r="A4406" s="0" t="n">
        <v>0.189763558146011</v>
      </c>
      <c r="B4406" s="0" t="n">
        <v>0.926500619044221</v>
      </c>
      <c r="C4406" s="0" t="n">
        <v>0.0322153604503729</v>
      </c>
      <c r="D4406" s="0" t="n">
        <f aca="false">A4406/SUM($A4406:$C4406)</f>
        <v>0.165230247406806</v>
      </c>
      <c r="E4406" s="0" t="n">
        <f aca="false">B4406/SUM($A4406:$C4406)</f>
        <v>0.80671930903322</v>
      </c>
      <c r="F4406" s="0" t="n">
        <f aca="false">C4406/SUM($A4406:$C4406)</f>
        <v>0.028050443559974</v>
      </c>
      <c r="G4406" s="0" t="n">
        <f aca="false">SUMPRODUCT(D4406:F4406,Stats!$B$6:$D$6)</f>
        <v>0.40212780918933</v>
      </c>
      <c r="H4406" s="0" t="n">
        <f aca="false">SQRT(SUMPRODUCT(MMULT(D4406:F4406,Stats!$B$12:$D$14),D4406:F4406))</f>
        <v>0.242244664972021</v>
      </c>
      <c r="I4406" s="0" t="n">
        <f aca="false">(G4406-Stats!$B$2)/H4406</f>
        <v>1.48662844331752</v>
      </c>
    </row>
    <row r="4407" customFormat="false" ht="15" hidden="false" customHeight="false" outlineLevel="0" collapsed="false">
      <c r="A4407" s="0" t="n">
        <v>0.462534943295706</v>
      </c>
      <c r="B4407" s="0" t="n">
        <v>0.313475289934102</v>
      </c>
      <c r="C4407" s="0" t="n">
        <v>0.665077439998428</v>
      </c>
      <c r="D4407" s="0" t="n">
        <f aca="false">A4407/SUM($A4407:$C4407)</f>
        <v>0.320962389650842</v>
      </c>
      <c r="E4407" s="0" t="n">
        <f aca="false">B4407/SUM($A4407:$C4407)</f>
        <v>0.217526869293021</v>
      </c>
      <c r="F4407" s="0" t="n">
        <f aca="false">C4407/SUM($A4407:$C4407)</f>
        <v>0.461510741056138</v>
      </c>
      <c r="G4407" s="0" t="n">
        <f aca="false">SUMPRODUCT(D4407:F4407,Stats!$B$6:$D$6)</f>
        <v>0.35627393779767</v>
      </c>
      <c r="H4407" s="0" t="n">
        <f aca="false">SQRT(SUMPRODUCT(MMULT(D4407:F4407,Stats!$B$12:$D$14),D4407:F4407))</f>
        <v>0.226927206663456</v>
      </c>
      <c r="I4407" s="0" t="n">
        <f aca="false">(G4407-Stats!$B$2)/H4407</f>
        <v>1.38491079328251</v>
      </c>
    </row>
    <row r="4408" customFormat="false" ht="15" hidden="false" customHeight="false" outlineLevel="0" collapsed="false">
      <c r="A4408" s="0" t="n">
        <v>0.839629387568992</v>
      </c>
      <c r="B4408" s="0" t="n">
        <v>0.36037812155657</v>
      </c>
      <c r="C4408" s="0" t="n">
        <v>0.426902087322837</v>
      </c>
      <c r="D4408" s="0" t="n">
        <f aca="false">A4408/SUM($A4408:$C4408)</f>
        <v>0.516088533377597</v>
      </c>
      <c r="E4408" s="0" t="n">
        <f aca="false">B4408/SUM($A4408:$C4408)</f>
        <v>0.221510846296124</v>
      </c>
      <c r="F4408" s="0" t="n">
        <f aca="false">C4408/SUM($A4408:$C4408)</f>
        <v>0.26240062032628</v>
      </c>
      <c r="G4408" s="0" t="n">
        <f aca="false">SUMPRODUCT(D4408:F4408,Stats!$B$6:$D$6)</f>
        <v>0.361993555675415</v>
      </c>
      <c r="H4408" s="0" t="n">
        <f aca="false">SQRT(SUMPRODUCT(MMULT(D4408:F4408,Stats!$B$12:$D$14),D4408:F4408))</f>
        <v>0.222371639156409</v>
      </c>
      <c r="I4408" s="0" t="n">
        <f aca="false">(G4408-Stats!$B$2)/H4408</f>
        <v>1.43900344886311</v>
      </c>
    </row>
    <row r="4409" customFormat="false" ht="15" hidden="false" customHeight="false" outlineLevel="0" collapsed="false">
      <c r="A4409" s="0" t="n">
        <v>0.981917784501414</v>
      </c>
      <c r="B4409" s="0" t="n">
        <v>0.783916509679203</v>
      </c>
      <c r="C4409" s="0" t="n">
        <v>0.897204130931791</v>
      </c>
      <c r="D4409" s="0" t="n">
        <f aca="false">A4409/SUM($A4409:$C4409)</f>
        <v>0.368720847300567</v>
      </c>
      <c r="E4409" s="0" t="n">
        <f aca="false">B4409/SUM($A4409:$C4409)</f>
        <v>0.294369207100762</v>
      </c>
      <c r="F4409" s="0" t="n">
        <f aca="false">C4409/SUM($A4409:$C4409)</f>
        <v>0.336909945598671</v>
      </c>
      <c r="G4409" s="0" t="n">
        <f aca="false">SUMPRODUCT(D4409:F4409,Stats!$B$6:$D$6)</f>
        <v>0.36413116547079</v>
      </c>
      <c r="H4409" s="0" t="n">
        <f aca="false">SQRT(SUMPRODUCT(MMULT(D4409:F4409,Stats!$B$12:$D$14),D4409:F4409))</f>
        <v>0.225133199579067</v>
      </c>
      <c r="I4409" s="0" t="n">
        <f aca="false">(G4409-Stats!$B$2)/H4409</f>
        <v>1.43084701000599</v>
      </c>
    </row>
    <row r="4410" customFormat="false" ht="15" hidden="false" customHeight="false" outlineLevel="0" collapsed="false">
      <c r="A4410" s="0" t="n">
        <v>0.43876222065163</v>
      </c>
      <c r="B4410" s="0" t="n">
        <v>0.234076203984115</v>
      </c>
      <c r="C4410" s="0" t="n">
        <v>0.411863465386452</v>
      </c>
      <c r="D4410" s="0" t="n">
        <f aca="false">A4410/SUM($A4410:$C4410)</f>
        <v>0.404500282232062</v>
      </c>
      <c r="E4410" s="0" t="n">
        <f aca="false">B4410/SUM($A4410:$C4410)</f>
        <v>0.215797728516289</v>
      </c>
      <c r="F4410" s="0" t="n">
        <f aca="false">C4410/SUM($A4410:$C4410)</f>
        <v>0.379701989251649</v>
      </c>
      <c r="G4410" s="0" t="n">
        <f aca="false">SUMPRODUCT(D4410:F4410,Stats!$B$6:$D$6)</f>
        <v>0.358430290141069</v>
      </c>
      <c r="H4410" s="0" t="n">
        <f aca="false">SQRT(SUMPRODUCT(MMULT(D4410:F4410,Stats!$B$12:$D$14),D4410:F4410))</f>
        <v>0.224056542380364</v>
      </c>
      <c r="I4410" s="0" t="n">
        <f aca="false">(G4410-Stats!$B$2)/H4410</f>
        <v>1.41227873455214</v>
      </c>
    </row>
    <row r="4411" customFormat="false" ht="15" hidden="false" customHeight="false" outlineLevel="0" collapsed="false">
      <c r="A4411" s="0" t="n">
        <v>0.716091917831514</v>
      </c>
      <c r="B4411" s="0" t="n">
        <v>0.109430404835979</v>
      </c>
      <c r="C4411" s="0" t="n">
        <v>0.270469105616509</v>
      </c>
      <c r="D4411" s="0" t="n">
        <f aca="false">A4411/SUM($A4411:$C4411)</f>
        <v>0.653373648143126</v>
      </c>
      <c r="E4411" s="0" t="n">
        <f aca="false">B4411/SUM($A4411:$C4411)</f>
        <v>0.0998460407736171</v>
      </c>
      <c r="F4411" s="0" t="n">
        <f aca="false">C4411/SUM($A4411:$C4411)</f>
        <v>0.246780311083257</v>
      </c>
      <c r="G4411" s="0" t="n">
        <f aca="false">SUMPRODUCT(D4411:F4411,Stats!$B$6:$D$6)</f>
        <v>0.355423844252816</v>
      </c>
      <c r="H4411" s="0" t="n">
        <f aca="false">SQRT(SUMPRODUCT(MMULT(D4411:F4411,Stats!$B$12:$D$14),D4411:F4411))</f>
        <v>0.221669804594925</v>
      </c>
      <c r="I4411" s="0" t="n">
        <f aca="false">(G4411-Stats!$B$2)/H4411</f>
        <v>1.41392213894699</v>
      </c>
    </row>
    <row r="4412" customFormat="false" ht="15" hidden="false" customHeight="false" outlineLevel="0" collapsed="false">
      <c r="A4412" s="0" t="n">
        <v>0.0466359004615904</v>
      </c>
      <c r="B4412" s="0" t="n">
        <v>0.432347738338132</v>
      </c>
      <c r="C4412" s="0" t="n">
        <v>0.827445735979613</v>
      </c>
      <c r="D4412" s="0" t="n">
        <f aca="false">A4412/SUM($A4412:$C4412)</f>
        <v>0.0356972227981842</v>
      </c>
      <c r="E4412" s="0" t="n">
        <f aca="false">B4412/SUM($A4412:$C4412)</f>
        <v>0.330938469912435</v>
      </c>
      <c r="F4412" s="0" t="n">
        <f aca="false">C4412/SUM($A4412:$C4412)</f>
        <v>0.633364307289381</v>
      </c>
      <c r="G4412" s="0" t="n">
        <f aca="false">SUMPRODUCT(D4412:F4412,Stats!$B$6:$D$6)</f>
        <v>0.358060698521024</v>
      </c>
      <c r="H4412" s="0" t="n">
        <f aca="false">SQRT(SUMPRODUCT(MMULT(D4412:F4412,Stats!$B$12:$D$14),D4412:F4412))</f>
        <v>0.242926971870702</v>
      </c>
      <c r="I4412" s="0" t="n">
        <f aca="false">(G4412-Stats!$B$2)/H4412</f>
        <v>1.3010523125001</v>
      </c>
    </row>
    <row r="4413" customFormat="false" ht="15" hidden="false" customHeight="false" outlineLevel="0" collapsed="false">
      <c r="A4413" s="0" t="n">
        <v>0.0246636882980108</v>
      </c>
      <c r="B4413" s="0" t="n">
        <v>0.675323526807166</v>
      </c>
      <c r="C4413" s="0" t="n">
        <v>0.93249587451374</v>
      </c>
      <c r="D4413" s="0" t="n">
        <f aca="false">A4413/SUM($A4413:$C4413)</f>
        <v>0.015108081948811</v>
      </c>
      <c r="E4413" s="0" t="n">
        <f aca="false">B4413/SUM($A4413:$C4413)</f>
        <v>0.413678727272337</v>
      </c>
      <c r="F4413" s="0" t="n">
        <f aca="false">C4413/SUM($A4413:$C4413)</f>
        <v>0.571213190778852</v>
      </c>
      <c r="G4413" s="0" t="n">
        <f aca="false">SUMPRODUCT(D4413:F4413,Stats!$B$6:$D$6)</f>
        <v>0.364535258974095</v>
      </c>
      <c r="H4413" s="0" t="n">
        <f aca="false">SQRT(SUMPRODUCT(MMULT(D4413:F4413,Stats!$B$12:$D$14),D4413:F4413))</f>
        <v>0.243079283983214</v>
      </c>
      <c r="I4413" s="0" t="n">
        <f aca="false">(G4413-Stats!$B$2)/H4413</f>
        <v>1.3268726717015</v>
      </c>
    </row>
    <row r="4414" customFormat="false" ht="15" hidden="false" customHeight="false" outlineLevel="0" collapsed="false">
      <c r="A4414" s="0" t="n">
        <v>0.236927861511182</v>
      </c>
      <c r="B4414" s="0" t="n">
        <v>0.693634840727648</v>
      </c>
      <c r="C4414" s="0" t="n">
        <v>0.9751019011002</v>
      </c>
      <c r="D4414" s="0" t="n">
        <f aca="false">A4414/SUM($A4414:$C4414)</f>
        <v>0.124328206073643</v>
      </c>
      <c r="E4414" s="0" t="n">
        <f aca="false">B4414/SUM($A4414:$C4414)</f>
        <v>0.363985792417138</v>
      </c>
      <c r="F4414" s="0" t="n">
        <f aca="false">C4414/SUM($A4414:$C4414)</f>
        <v>0.511686001509219</v>
      </c>
      <c r="G4414" s="0" t="n">
        <f aca="false">SUMPRODUCT(D4414:F4414,Stats!$B$6:$D$6)</f>
        <v>0.363317431167583</v>
      </c>
      <c r="H4414" s="0" t="n">
        <f aca="false">SQRT(SUMPRODUCT(MMULT(D4414:F4414,Stats!$B$12:$D$14),D4414:F4414))</f>
        <v>0.235976399136939</v>
      </c>
      <c r="I4414" s="0" t="n">
        <f aca="false">(G4414-Stats!$B$2)/H4414</f>
        <v>1.36165070889619</v>
      </c>
    </row>
    <row r="4415" customFormat="false" ht="15" hidden="false" customHeight="false" outlineLevel="0" collapsed="false">
      <c r="A4415" s="0" t="n">
        <v>0.962278060152463</v>
      </c>
      <c r="B4415" s="0" t="n">
        <v>0.234929193029143</v>
      </c>
      <c r="C4415" s="0" t="n">
        <v>0.100331053212069</v>
      </c>
      <c r="D4415" s="0" t="n">
        <f aca="false">A4415/SUM($A4415:$C4415)</f>
        <v>0.741618228464468</v>
      </c>
      <c r="E4415" s="0" t="n">
        <f aca="false">B4415/SUM($A4415:$C4415)</f>
        <v>0.181057616466134</v>
      </c>
      <c r="F4415" s="0" t="n">
        <f aca="false">C4415/SUM($A4415:$C4415)</f>
        <v>0.0773241550693981</v>
      </c>
      <c r="G4415" s="0" t="n">
        <f aca="false">SUMPRODUCT(D4415:F4415,Stats!$B$6:$D$6)</f>
        <v>0.364769341533896</v>
      </c>
      <c r="H4415" s="0" t="n">
        <f aca="false">SQRT(SUMPRODUCT(MMULT(D4415:F4415,Stats!$B$12:$D$14),D4415:F4415))</f>
        <v>0.225259587015057</v>
      </c>
      <c r="I4415" s="0" t="n">
        <f aca="false">(G4415-Stats!$B$2)/H4415</f>
        <v>1.4328772675603</v>
      </c>
    </row>
    <row r="4416" customFormat="false" ht="15" hidden="false" customHeight="false" outlineLevel="0" collapsed="false">
      <c r="A4416" s="0" t="n">
        <v>0.148282537895916</v>
      </c>
      <c r="B4416" s="0" t="n">
        <v>0.702035668482142</v>
      </c>
      <c r="C4416" s="0" t="n">
        <v>0.725758875453276</v>
      </c>
      <c r="D4416" s="0" t="n">
        <f aca="false">A4416/SUM($A4416:$C4416)</f>
        <v>0.0940833031615548</v>
      </c>
      <c r="E4416" s="0" t="n">
        <f aca="false">B4416/SUM($A4416:$C4416)</f>
        <v>0.445432318365043</v>
      </c>
      <c r="F4416" s="0" t="n">
        <f aca="false">C4416/SUM($A4416:$C4416)</f>
        <v>0.460484378473402</v>
      </c>
      <c r="G4416" s="0" t="n">
        <f aca="false">SUMPRODUCT(D4416:F4416,Stats!$B$6:$D$6)</f>
        <v>0.369415623918483</v>
      </c>
      <c r="H4416" s="0" t="n">
        <f aca="false">SQRT(SUMPRODUCT(MMULT(D4416:F4416,Stats!$B$12:$D$14),D4416:F4416))</f>
        <v>0.237325184531282</v>
      </c>
      <c r="I4416" s="0" t="n">
        <f aca="false">(G4416-Stats!$B$2)/H4416</f>
        <v>1.3796075817454</v>
      </c>
    </row>
    <row r="4417" customFormat="false" ht="15" hidden="false" customHeight="false" outlineLevel="0" collapsed="false">
      <c r="A4417" s="0" t="n">
        <v>0.674236561628199</v>
      </c>
      <c r="B4417" s="0" t="n">
        <v>0.336078387742238</v>
      </c>
      <c r="C4417" s="0" t="n">
        <v>0.169776939758122</v>
      </c>
      <c r="D4417" s="0" t="n">
        <f aca="false">A4417/SUM($A4417:$C4417)</f>
        <v>0.571342424975135</v>
      </c>
      <c r="E4417" s="0" t="n">
        <f aca="false">B4417/SUM($A4417:$C4417)</f>
        <v>0.284790015793106</v>
      </c>
      <c r="F4417" s="0" t="n">
        <f aca="false">C4417/SUM($A4417:$C4417)</f>
        <v>0.14386755923176</v>
      </c>
      <c r="G4417" s="0" t="n">
        <f aca="false">SUMPRODUCT(D4417:F4417,Stats!$B$6:$D$6)</f>
        <v>0.368903060757114</v>
      </c>
      <c r="H4417" s="0" t="n">
        <f aca="false">SQRT(SUMPRODUCT(MMULT(D4417:F4417,Stats!$B$12:$D$14),D4417:F4417))</f>
        <v>0.223712283346414</v>
      </c>
      <c r="I4417" s="0" t="n">
        <f aca="false">(G4417-Stats!$B$2)/H4417</f>
        <v>1.46126558572071</v>
      </c>
    </row>
    <row r="4418" customFormat="false" ht="15" hidden="false" customHeight="false" outlineLevel="0" collapsed="false">
      <c r="A4418" s="0" t="n">
        <v>0.580761091952253</v>
      </c>
      <c r="B4418" s="0" t="n">
        <v>0.483680445757867</v>
      </c>
      <c r="C4418" s="0" t="n">
        <v>0.728834147122303</v>
      </c>
      <c r="D4418" s="0" t="n">
        <f aca="false">A4418/SUM($A4418:$C4418)</f>
        <v>0.323854885706836</v>
      </c>
      <c r="E4418" s="0" t="n">
        <f aca="false">B4418/SUM($A4418:$C4418)</f>
        <v>0.26971895612529</v>
      </c>
      <c r="F4418" s="0" t="n">
        <f aca="false">C4418/SUM($A4418:$C4418)</f>
        <v>0.406426158167873</v>
      </c>
      <c r="G4418" s="0" t="n">
        <f aca="false">SUMPRODUCT(D4418:F4418,Stats!$B$6:$D$6)</f>
        <v>0.360795939109602</v>
      </c>
      <c r="H4418" s="0" t="n">
        <f aca="false">SQRT(SUMPRODUCT(MMULT(D4418:F4418,Stats!$B$12:$D$14),D4418:F4418))</f>
        <v>0.226505453728408</v>
      </c>
      <c r="I4418" s="0" t="n">
        <f aca="false">(G4418-Stats!$B$2)/H4418</f>
        <v>1.40745370083608</v>
      </c>
    </row>
    <row r="4419" customFormat="false" ht="15" hidden="false" customHeight="false" outlineLevel="0" collapsed="false">
      <c r="A4419" s="0" t="n">
        <v>0.441360078685621</v>
      </c>
      <c r="B4419" s="0" t="n">
        <v>0.338639694686468</v>
      </c>
      <c r="C4419" s="0" t="n">
        <v>0.293478577359014</v>
      </c>
      <c r="D4419" s="0" t="n">
        <f aca="false">A4419/SUM($A4419:$C4419)</f>
        <v>0.411149492102033</v>
      </c>
      <c r="E4419" s="0" t="n">
        <f aca="false">B4419/SUM($A4419:$C4419)</f>
        <v>0.315460199505499</v>
      </c>
      <c r="F4419" s="0" t="n">
        <f aca="false">C4419/SUM($A4419:$C4419)</f>
        <v>0.273390308392468</v>
      </c>
      <c r="G4419" s="0" t="n">
        <f aca="false">SUMPRODUCT(D4419:F4419,Stats!$B$6:$D$6)</f>
        <v>0.367096243441245</v>
      </c>
      <c r="H4419" s="0" t="n">
        <f aca="false">SQRT(SUMPRODUCT(MMULT(D4419:F4419,Stats!$B$12:$D$14),D4419:F4419))</f>
        <v>0.224436630765044</v>
      </c>
      <c r="I4419" s="0" t="n">
        <f aca="false">(G4419-Stats!$B$2)/H4419</f>
        <v>1.44849903660147</v>
      </c>
    </row>
    <row r="4420" customFormat="false" ht="15" hidden="false" customHeight="false" outlineLevel="0" collapsed="false">
      <c r="A4420" s="0" t="n">
        <v>0.211470320049747</v>
      </c>
      <c r="B4420" s="0" t="n">
        <v>0.265746376186661</v>
      </c>
      <c r="C4420" s="0" t="n">
        <v>0.0948304388441014</v>
      </c>
      <c r="D4420" s="0" t="n">
        <f aca="false">A4420/SUM($A4420:$C4420)</f>
        <v>0.369672894209993</v>
      </c>
      <c r="E4420" s="0" t="n">
        <f aca="false">B4420/SUM($A4420:$C4420)</f>
        <v>0.464553285717025</v>
      </c>
      <c r="F4420" s="0" t="n">
        <f aca="false">C4420/SUM($A4420:$C4420)</f>
        <v>0.165773820072982</v>
      </c>
      <c r="G4420" s="0" t="n">
        <f aca="false">SUMPRODUCT(D4420:F4420,Stats!$B$6:$D$6)</f>
        <v>0.378642349928383</v>
      </c>
      <c r="H4420" s="0" t="n">
        <f aca="false">SQRT(SUMPRODUCT(MMULT(D4420:F4420,Stats!$B$12:$D$14),D4420:F4420))</f>
        <v>0.227732597963624</v>
      </c>
      <c r="I4420" s="0" t="n">
        <f aca="false">(G4420-Stats!$B$2)/H4420</f>
        <v>1.47823523263084</v>
      </c>
    </row>
    <row r="4421" customFormat="false" ht="15" hidden="false" customHeight="false" outlineLevel="0" collapsed="false">
      <c r="A4421" s="0" t="n">
        <v>0.34685701092889</v>
      </c>
      <c r="B4421" s="0" t="n">
        <v>0.0365698123629582</v>
      </c>
      <c r="C4421" s="0" t="n">
        <v>0.186413847166327</v>
      </c>
      <c r="D4421" s="0" t="n">
        <f aca="false">A4421/SUM($A4421:$C4421)</f>
        <v>0.608691216529004</v>
      </c>
      <c r="E4421" s="0" t="n">
        <f aca="false">B4421/SUM($A4421:$C4421)</f>
        <v>0.0641755042397283</v>
      </c>
      <c r="F4421" s="0" t="n">
        <f aca="false">C4421/SUM($A4421:$C4421)</f>
        <v>0.327133279231268</v>
      </c>
      <c r="G4421" s="0" t="n">
        <f aca="false">SUMPRODUCT(D4421:F4421,Stats!$B$6:$D$6)</f>
        <v>0.351155705556823</v>
      </c>
      <c r="H4421" s="0" t="n">
        <f aca="false">SQRT(SUMPRODUCT(MMULT(D4421:F4421,Stats!$B$12:$D$14),D4421:F4421))</f>
        <v>0.221288831638721</v>
      </c>
      <c r="I4421" s="0" t="n">
        <f aca="false">(G4421-Stats!$B$2)/H4421</f>
        <v>1.39706872356557</v>
      </c>
    </row>
    <row r="4422" customFormat="false" ht="15" hidden="false" customHeight="false" outlineLevel="0" collapsed="false">
      <c r="A4422" s="0" t="n">
        <v>0.746770444619429</v>
      </c>
      <c r="B4422" s="0" t="n">
        <v>0.325468988676623</v>
      </c>
      <c r="C4422" s="0" t="n">
        <v>0.668237016977344</v>
      </c>
      <c r="D4422" s="0" t="n">
        <f aca="false">A4422/SUM($A4422:$C4422)</f>
        <v>0.429060930127567</v>
      </c>
      <c r="E4422" s="0" t="n">
        <f aca="false">B4422/SUM($A4422:$C4422)</f>
        <v>0.186999938221225</v>
      </c>
      <c r="F4422" s="0" t="n">
        <f aca="false">C4422/SUM($A4422:$C4422)</f>
        <v>0.383939131651208</v>
      </c>
      <c r="G4422" s="0" t="n">
        <f aca="false">SUMPRODUCT(D4422:F4422,Stats!$B$6:$D$6)</f>
        <v>0.356656464987764</v>
      </c>
      <c r="H4422" s="0" t="n">
        <f aca="false">SQRT(SUMPRODUCT(MMULT(D4422:F4422,Stats!$B$12:$D$14),D4422:F4422))</f>
        <v>0.223482151264233</v>
      </c>
      <c r="I4422" s="0" t="n">
        <f aca="false">(G4422-Stats!$B$2)/H4422</f>
        <v>1.40797134450228</v>
      </c>
    </row>
    <row r="4423" customFormat="false" ht="15" hidden="false" customHeight="false" outlineLevel="0" collapsed="false">
      <c r="A4423" s="0" t="n">
        <v>0.716884175597277</v>
      </c>
      <c r="B4423" s="0" t="n">
        <v>0.581185342732114</v>
      </c>
      <c r="C4423" s="0" t="n">
        <v>0.958697741365398</v>
      </c>
      <c r="D4423" s="0" t="n">
        <f aca="false">A4423/SUM($A4423:$C4423)</f>
        <v>0.317659773074797</v>
      </c>
      <c r="E4423" s="0" t="n">
        <f aca="false">B4423/SUM($A4423:$C4423)</f>
        <v>0.257530031169769</v>
      </c>
      <c r="F4423" s="0" t="n">
        <f aca="false">C4423/SUM($A4423:$C4423)</f>
        <v>0.424810195755434</v>
      </c>
      <c r="G4423" s="0" t="n">
        <f aca="false">SUMPRODUCT(D4423:F4423,Stats!$B$6:$D$6)</f>
        <v>0.359587671377874</v>
      </c>
      <c r="H4423" s="0" t="n">
        <f aca="false">SQRT(SUMPRODUCT(MMULT(D4423:F4423,Stats!$B$12:$D$14),D4423:F4423))</f>
        <v>0.226784011741021</v>
      </c>
      <c r="I4423" s="0" t="n">
        <f aca="false">(G4423-Stats!$B$2)/H4423</f>
        <v>1.40039709563189</v>
      </c>
    </row>
    <row r="4424" customFormat="false" ht="15" hidden="false" customHeight="false" outlineLevel="0" collapsed="false">
      <c r="A4424" s="0" t="n">
        <v>0.0214398666231133</v>
      </c>
      <c r="B4424" s="0" t="n">
        <v>0.738652650588142</v>
      </c>
      <c r="C4424" s="0" t="n">
        <v>0.958786643940408</v>
      </c>
      <c r="D4424" s="0" t="n">
        <f aca="false">A4424/SUM($A4424:$C4424)</f>
        <v>0.0124731668797173</v>
      </c>
      <c r="E4424" s="0" t="n">
        <f aca="false">B4424/SUM($A4424:$C4424)</f>
        <v>0.429729248735111</v>
      </c>
      <c r="F4424" s="0" t="n">
        <f aca="false">C4424/SUM($A4424:$C4424)</f>
        <v>0.557797584385172</v>
      </c>
      <c r="G4424" s="0" t="n">
        <f aca="false">SUMPRODUCT(D4424:F4424,Stats!$B$6:$D$6)</f>
        <v>0.365828715391672</v>
      </c>
      <c r="H4424" s="0" t="n">
        <f aca="false">SQRT(SUMPRODUCT(MMULT(D4424:F4424,Stats!$B$12:$D$14),D4424:F4424))</f>
        <v>0.243068843796355</v>
      </c>
      <c r="I4424" s="0" t="n">
        <f aca="false">(G4424-Stats!$B$2)/H4424</f>
        <v>1.33225102129082</v>
      </c>
    </row>
    <row r="4425" customFormat="false" ht="15" hidden="false" customHeight="false" outlineLevel="0" collapsed="false">
      <c r="A4425" s="0" t="n">
        <v>0.862271729352939</v>
      </c>
      <c r="B4425" s="0" t="n">
        <v>0.167892691805013</v>
      </c>
      <c r="C4425" s="0" t="n">
        <v>0.326820306251732</v>
      </c>
      <c r="D4425" s="0" t="n">
        <f aca="false">A4425/SUM($A4425:$C4425)</f>
        <v>0.63543215478844</v>
      </c>
      <c r="E4425" s="0" t="n">
        <f aca="false">B4425/SUM($A4425:$C4425)</f>
        <v>0.123724820488952</v>
      </c>
      <c r="F4425" s="0" t="n">
        <f aca="false">C4425/SUM($A4425:$C4425)</f>
        <v>0.240843024722608</v>
      </c>
      <c r="G4425" s="0" t="n">
        <f aca="false">SUMPRODUCT(D4425:F4425,Stats!$B$6:$D$6)</f>
        <v>0.356961516719731</v>
      </c>
      <c r="H4425" s="0" t="n">
        <f aca="false">SQRT(SUMPRODUCT(MMULT(D4425:F4425,Stats!$B$12:$D$14),D4425:F4425))</f>
        <v>0.221709993014809</v>
      </c>
      <c r="I4425" s="0" t="n">
        <f aca="false">(G4425-Stats!$B$2)/H4425</f>
        <v>1.42060135601869</v>
      </c>
    </row>
    <row r="4426" customFormat="false" ht="15" hidden="false" customHeight="false" outlineLevel="0" collapsed="false">
      <c r="A4426" s="0" t="n">
        <v>0.172451839876465</v>
      </c>
      <c r="B4426" s="0" t="n">
        <v>0.601308363814704</v>
      </c>
      <c r="C4426" s="0" t="n">
        <v>0.712187981979492</v>
      </c>
      <c r="D4426" s="0" t="n">
        <f aca="false">A4426/SUM($A4426:$C4426)</f>
        <v>0.116055082902256</v>
      </c>
      <c r="E4426" s="0" t="n">
        <f aca="false">B4426/SUM($A4426:$C4426)</f>
        <v>0.404663076151146</v>
      </c>
      <c r="F4426" s="0" t="n">
        <f aca="false">C4426/SUM($A4426:$C4426)</f>
        <v>0.479281840946598</v>
      </c>
      <c r="G4426" s="0" t="n">
        <f aca="false">SUMPRODUCT(D4426:F4426,Stats!$B$6:$D$6)</f>
        <v>0.366551481690279</v>
      </c>
      <c r="H4426" s="0" t="n">
        <f aca="false">SQRT(SUMPRODUCT(MMULT(D4426:F4426,Stats!$B$12:$D$14),D4426:F4426))</f>
        <v>0.236166421190517</v>
      </c>
      <c r="I4426" s="0" t="n">
        <f aca="false">(G4426-Stats!$B$2)/H4426</f>
        <v>1.37424905731396</v>
      </c>
    </row>
    <row r="4427" customFormat="false" ht="15" hidden="false" customHeight="false" outlineLevel="0" collapsed="false">
      <c r="A4427" s="0" t="n">
        <v>0.317073769363058</v>
      </c>
      <c r="B4427" s="0" t="n">
        <v>0.539506573984296</v>
      </c>
      <c r="C4427" s="0" t="n">
        <v>0.690920570071195</v>
      </c>
      <c r="D4427" s="0" t="n">
        <f aca="false">A4427/SUM($A4427:$C4427)</f>
        <v>0.204894075740878</v>
      </c>
      <c r="E4427" s="0" t="n">
        <f aca="false">B4427/SUM($A4427:$C4427)</f>
        <v>0.348630859798644</v>
      </c>
      <c r="F4427" s="0" t="n">
        <f aca="false">C4427/SUM($A4427:$C4427)</f>
        <v>0.446475064460478</v>
      </c>
      <c r="G4427" s="0" t="n">
        <f aca="false">SUMPRODUCT(D4427:F4427,Stats!$B$6:$D$6)</f>
        <v>0.364232094725889</v>
      </c>
      <c r="H4427" s="0" t="n">
        <f aca="false">SQRT(SUMPRODUCT(MMULT(D4427:F4427,Stats!$B$12:$D$14),D4427:F4427))</f>
        <v>0.231459968119728</v>
      </c>
      <c r="I4427" s="0" t="n">
        <f aca="false">(G4427-Stats!$B$2)/H4427</f>
        <v>1.39217203451444</v>
      </c>
    </row>
    <row r="4428" customFormat="false" ht="15" hidden="false" customHeight="false" outlineLevel="0" collapsed="false">
      <c r="A4428" s="0" t="n">
        <v>0.421339816611048</v>
      </c>
      <c r="B4428" s="0" t="n">
        <v>0.854015530455459</v>
      </c>
      <c r="C4428" s="0" t="n">
        <v>0.771549935287817</v>
      </c>
      <c r="D4428" s="0" t="n">
        <f aca="false">A4428/SUM($A4428:$C4428)</f>
        <v>0.205842361267654</v>
      </c>
      <c r="E4428" s="0" t="n">
        <f aca="false">B4428/SUM($A4428:$C4428)</f>
        <v>0.41722278886944</v>
      </c>
      <c r="F4428" s="0" t="n">
        <f aca="false">C4428/SUM($A4428:$C4428)</f>
        <v>0.376934849862906</v>
      </c>
      <c r="G4428" s="0" t="n">
        <f aca="false">SUMPRODUCT(D4428:F4428,Stats!$B$6:$D$6)</f>
        <v>0.370096330218782</v>
      </c>
      <c r="H4428" s="0" t="n">
        <f aca="false">SQRT(SUMPRODUCT(MMULT(D4428:F4428,Stats!$B$12:$D$14),D4428:F4428))</f>
        <v>0.231399233176711</v>
      </c>
      <c r="I4428" s="0" t="n">
        <f aca="false">(G4428-Stats!$B$2)/H4428</f>
        <v>1.41787993726075</v>
      </c>
    </row>
    <row r="4429" customFormat="false" ht="15" hidden="false" customHeight="false" outlineLevel="0" collapsed="false">
      <c r="A4429" s="0" t="n">
        <v>0.0646655438505707</v>
      </c>
      <c r="B4429" s="0" t="n">
        <v>0.621125299090829</v>
      </c>
      <c r="C4429" s="0" t="n">
        <v>0.23532555095975</v>
      </c>
      <c r="D4429" s="0" t="n">
        <f aca="false">A4429/SUM($A4429:$C4429)</f>
        <v>0.0702034447315573</v>
      </c>
      <c r="E4429" s="0" t="n">
        <f aca="false">B4429/SUM($A4429:$C4429)</f>
        <v>0.674317928986384</v>
      </c>
      <c r="F4429" s="0" t="n">
        <f aca="false">C4429/SUM($A4429:$C4429)</f>
        <v>0.255478626282059</v>
      </c>
      <c r="G4429" s="0" t="n">
        <f aca="false">SUMPRODUCT(D4429:F4429,Stats!$B$6:$D$6)</f>
        <v>0.388238360480104</v>
      </c>
      <c r="H4429" s="0" t="n">
        <f aca="false">SQRT(SUMPRODUCT(MMULT(D4429:F4429,Stats!$B$12:$D$14),D4429:F4429))</f>
        <v>0.240630846976803</v>
      </c>
      <c r="I4429" s="0" t="n">
        <f aca="false">(G4429-Stats!$B$2)/H4429</f>
        <v>1.43887770346203</v>
      </c>
    </row>
    <row r="4430" customFormat="false" ht="15" hidden="false" customHeight="false" outlineLevel="0" collapsed="false">
      <c r="A4430" s="0" t="n">
        <v>0.557518264667275</v>
      </c>
      <c r="B4430" s="0" t="n">
        <v>0.956888442632966</v>
      </c>
      <c r="C4430" s="0" t="n">
        <v>0.87906200455225</v>
      </c>
      <c r="D4430" s="0" t="n">
        <f aca="false">A4430/SUM($A4430:$C4430)</f>
        <v>0.232933174311591</v>
      </c>
      <c r="E4430" s="0" t="n">
        <f aca="false">B4430/SUM($A4430:$C4430)</f>
        <v>0.399791498378249</v>
      </c>
      <c r="F4430" s="0" t="n">
        <f aca="false">C4430/SUM($A4430:$C4430)</f>
        <v>0.36727532731016</v>
      </c>
      <c r="G4430" s="0" t="n">
        <f aca="false">SUMPRODUCT(D4430:F4430,Stats!$B$6:$D$6)</f>
        <v>0.36935971394394</v>
      </c>
      <c r="H4430" s="0" t="n">
        <f aca="false">SQRT(SUMPRODUCT(MMULT(D4430:F4430,Stats!$B$12:$D$14),D4430:F4430))</f>
        <v>0.230169600582993</v>
      </c>
      <c r="I4430" s="0" t="n">
        <f aca="false">(G4430-Stats!$B$2)/H4430</f>
        <v>1.42225434251429</v>
      </c>
    </row>
    <row r="4431" customFormat="false" ht="15" hidden="false" customHeight="false" outlineLevel="0" collapsed="false">
      <c r="A4431" s="0" t="n">
        <v>0.404516403115132</v>
      </c>
      <c r="B4431" s="0" t="n">
        <v>0.291513858344353</v>
      </c>
      <c r="C4431" s="0" t="n">
        <v>0.234405744408259</v>
      </c>
      <c r="D4431" s="0" t="n">
        <f aca="false">A4431/SUM($A4431:$C4431)</f>
        <v>0.434760048583751</v>
      </c>
      <c r="E4431" s="0" t="n">
        <f aca="false">B4431/SUM($A4431:$C4431)</f>
        <v>0.3133088750929</v>
      </c>
      <c r="F4431" s="0" t="n">
        <f aca="false">C4431/SUM($A4431:$C4431)</f>
        <v>0.251931076323349</v>
      </c>
      <c r="G4431" s="0" t="n">
        <f aca="false">SUMPRODUCT(D4431:F4431,Stats!$B$6:$D$6)</f>
        <v>0.3675641890896</v>
      </c>
      <c r="H4431" s="0" t="n">
        <f aca="false">SQRT(SUMPRODUCT(MMULT(D4431:F4431,Stats!$B$12:$D$14),D4431:F4431))</f>
        <v>0.224098574902086</v>
      </c>
      <c r="I4431" s="0" t="n">
        <f aca="false">(G4431-Stats!$B$2)/H4431</f>
        <v>1.45277224200041</v>
      </c>
    </row>
    <row r="4432" customFormat="false" ht="15" hidden="false" customHeight="false" outlineLevel="0" collapsed="false">
      <c r="A4432" s="0" t="n">
        <v>0.53251486975652</v>
      </c>
      <c r="B4432" s="0" t="n">
        <v>0.114248453258056</v>
      </c>
      <c r="C4432" s="0" t="n">
        <v>0.549275008128249</v>
      </c>
      <c r="D4432" s="0" t="n">
        <f aca="false">A4432/SUM($A4432:$C4432)</f>
        <v>0.445232277169326</v>
      </c>
      <c r="E4432" s="0" t="n">
        <f aca="false">B4432/SUM($A4432:$C4432)</f>
        <v>0.0955224011498786</v>
      </c>
      <c r="F4432" s="0" t="n">
        <f aca="false">C4432/SUM($A4432:$C4432)</f>
        <v>0.459245321680796</v>
      </c>
      <c r="G4432" s="0" t="n">
        <f aca="false">SUMPRODUCT(D4432:F4432,Stats!$B$6:$D$6)</f>
        <v>0.349316426675956</v>
      </c>
      <c r="H4432" s="0" t="n">
        <f aca="false">SQRT(SUMPRODUCT(MMULT(D4432:F4432,Stats!$B$12:$D$14),D4432:F4432))</f>
        <v>0.223708567058295</v>
      </c>
      <c r="I4432" s="0" t="n">
        <f aca="false">(G4432-Stats!$B$2)/H4432</f>
        <v>1.37373561825137</v>
      </c>
    </row>
    <row r="4433" customFormat="false" ht="15" hidden="false" customHeight="false" outlineLevel="0" collapsed="false">
      <c r="A4433" s="0" t="n">
        <v>0.00133363949079202</v>
      </c>
      <c r="B4433" s="0" t="n">
        <v>0.323849630745845</v>
      </c>
      <c r="C4433" s="0" t="n">
        <v>0.219934313830581</v>
      </c>
      <c r="D4433" s="0" t="n">
        <f aca="false">A4433/SUM($A4433:$C4433)</f>
        <v>0.00244651709974479</v>
      </c>
      <c r="E4433" s="0" t="n">
        <f aca="false">B4433/SUM($A4433:$C4433)</f>
        <v>0.594091330405352</v>
      </c>
      <c r="F4433" s="0" t="n">
        <f aca="false">C4433/SUM($A4433:$C4433)</f>
        <v>0.403462152494903</v>
      </c>
      <c r="G4433" s="0" t="n">
        <f aca="false">SUMPRODUCT(D4433:F4433,Stats!$B$6:$D$6)</f>
        <v>0.379541637015144</v>
      </c>
      <c r="H4433" s="0" t="n">
        <f aca="false">SQRT(SUMPRODUCT(MMULT(D4433:F4433,Stats!$B$12:$D$14),D4433:F4433))</f>
        <v>0.243193509226659</v>
      </c>
      <c r="I4433" s="0" t="n">
        <f aca="false">(G4433-Stats!$B$2)/H4433</f>
        <v>1.38795495853695</v>
      </c>
    </row>
    <row r="4434" customFormat="false" ht="15" hidden="false" customHeight="false" outlineLevel="0" collapsed="false">
      <c r="A4434" s="0" t="n">
        <v>0.971218789960782</v>
      </c>
      <c r="B4434" s="0" t="n">
        <v>0.727242319569979</v>
      </c>
      <c r="C4434" s="0" t="n">
        <v>0.349653380462238</v>
      </c>
      <c r="D4434" s="0" t="n">
        <f aca="false">A4434/SUM($A4434:$C4434)</f>
        <v>0.474201415353544</v>
      </c>
      <c r="E4434" s="0" t="n">
        <f aca="false">B4434/SUM($A4434:$C4434)</f>
        <v>0.355078938762093</v>
      </c>
      <c r="F4434" s="0" t="n">
        <f aca="false">C4434/SUM($A4434:$C4434)</f>
        <v>0.170719645884363</v>
      </c>
      <c r="G4434" s="0" t="n">
        <f aca="false">SUMPRODUCT(D4434:F4434,Stats!$B$6:$D$6)</f>
        <v>0.372206958449987</v>
      </c>
      <c r="H4434" s="0" t="n">
        <f aca="false">SQRT(SUMPRODUCT(MMULT(D4434:F4434,Stats!$B$12:$D$14),D4434:F4434))</f>
        <v>0.224666775609818</v>
      </c>
      <c r="I4434" s="0" t="n">
        <f aca="false">(G4434-Stats!$B$2)/H4434</f>
        <v>1.46976319731166</v>
      </c>
    </row>
    <row r="4435" customFormat="false" ht="15" hidden="false" customHeight="false" outlineLevel="0" collapsed="false">
      <c r="A4435" s="0" t="n">
        <v>0.0928450865306205</v>
      </c>
      <c r="B4435" s="0" t="n">
        <v>0.516800594690624</v>
      </c>
      <c r="C4435" s="0" t="n">
        <v>0.213447881326042</v>
      </c>
      <c r="D4435" s="0" t="n">
        <f aca="false">A4435/SUM($A4435:$C4435)</f>
        <v>0.112800161191015</v>
      </c>
      <c r="E4435" s="0" t="n">
        <f aca="false">B4435/SUM($A4435:$C4435)</f>
        <v>0.627875879737468</v>
      </c>
      <c r="F4435" s="0" t="n">
        <f aca="false">C4435/SUM($A4435:$C4435)</f>
        <v>0.259323959071518</v>
      </c>
      <c r="G4435" s="0" t="n">
        <f aca="false">SUMPRODUCT(D4435:F4435,Stats!$B$6:$D$6)</f>
        <v>0.385460111502413</v>
      </c>
      <c r="H4435" s="0" t="n">
        <f aca="false">SQRT(SUMPRODUCT(MMULT(D4435:F4435,Stats!$B$12:$D$14),D4435:F4435))</f>
        <v>0.237880094146389</v>
      </c>
      <c r="I4435" s="0" t="n">
        <f aca="false">(G4435-Stats!$B$2)/H4435</f>
        <v>1.44383712615757</v>
      </c>
    </row>
    <row r="4436" customFormat="false" ht="15" hidden="false" customHeight="false" outlineLevel="0" collapsed="false">
      <c r="A4436" s="0" t="n">
        <v>0.536429545898358</v>
      </c>
      <c r="B4436" s="0" t="n">
        <v>0.835362354178893</v>
      </c>
      <c r="C4436" s="0" t="n">
        <v>0.615792552101385</v>
      </c>
      <c r="D4436" s="0" t="n">
        <f aca="false">A4436/SUM($A4436:$C4436)</f>
        <v>0.269890190230843</v>
      </c>
      <c r="E4436" s="0" t="n">
        <f aca="false">B4436/SUM($A4436:$C4436)</f>
        <v>0.420290243900446</v>
      </c>
      <c r="F4436" s="0" t="n">
        <f aca="false">C4436/SUM($A4436:$C4436)</f>
        <v>0.309819565868711</v>
      </c>
      <c r="G4436" s="0" t="n">
        <f aca="false">SUMPRODUCT(D4436:F4436,Stats!$B$6:$D$6)</f>
        <v>0.372123505753381</v>
      </c>
      <c r="H4436" s="0" t="n">
        <f aca="false">SQRT(SUMPRODUCT(MMULT(D4436:F4436,Stats!$B$12:$D$14),D4436:F4436))</f>
        <v>0.228970534219074</v>
      </c>
      <c r="I4436" s="0" t="n">
        <f aca="false">(G4436-Stats!$B$2)/H4436</f>
        <v>1.44177287649391</v>
      </c>
    </row>
    <row r="4437" customFormat="false" ht="15" hidden="false" customHeight="false" outlineLevel="0" collapsed="false">
      <c r="A4437" s="0" t="n">
        <v>0.633788419545002</v>
      </c>
      <c r="B4437" s="0" t="n">
        <v>0.541030289062812</v>
      </c>
      <c r="C4437" s="0" t="n">
        <v>0.927265632631409</v>
      </c>
      <c r="D4437" s="0" t="n">
        <f aca="false">A4437/SUM($A4437:$C4437)</f>
        <v>0.301504752740497</v>
      </c>
      <c r="E4437" s="0" t="n">
        <f aca="false">B4437/SUM($A4437:$C4437)</f>
        <v>0.257378012122893</v>
      </c>
      <c r="F4437" s="0" t="n">
        <f aca="false">C4437/SUM($A4437:$C4437)</f>
        <v>0.441117235136611</v>
      </c>
      <c r="G4437" s="0" t="n">
        <f aca="false">SUMPRODUCT(D4437:F4437,Stats!$B$6:$D$6)</f>
        <v>0.359129264059752</v>
      </c>
      <c r="H4437" s="0" t="n">
        <f aca="false">SQRT(SUMPRODUCT(MMULT(D4437:F4437,Stats!$B$12:$D$14),D4437:F4437))</f>
        <v>0.227440382342216</v>
      </c>
      <c r="I4437" s="0" t="n">
        <f aca="false">(G4437-Stats!$B$2)/H4437</f>
        <v>1.39434018178261</v>
      </c>
    </row>
    <row r="4438" customFormat="false" ht="15" hidden="false" customHeight="false" outlineLevel="0" collapsed="false">
      <c r="A4438" s="0" t="n">
        <v>0.931902684420603</v>
      </c>
      <c r="B4438" s="0" t="n">
        <v>0.512723201073552</v>
      </c>
      <c r="C4438" s="0" t="n">
        <v>0.305759487143504</v>
      </c>
      <c r="D4438" s="0" t="n">
        <f aca="false">A4438/SUM($A4438:$C4438)</f>
        <v>0.532398578614901</v>
      </c>
      <c r="E4438" s="0" t="n">
        <f aca="false">B4438/SUM($A4438:$C4438)</f>
        <v>0.292920181514616</v>
      </c>
      <c r="F4438" s="0" t="n">
        <f aca="false">C4438/SUM($A4438:$C4438)</f>
        <v>0.174681239870483</v>
      </c>
      <c r="G4438" s="0" t="n">
        <f aca="false">SUMPRODUCT(D4438:F4438,Stats!$B$6:$D$6)</f>
        <v>0.368521184578014</v>
      </c>
      <c r="H4438" s="0" t="n">
        <f aca="false">SQRT(SUMPRODUCT(MMULT(D4438:F4438,Stats!$B$12:$D$14),D4438:F4438))</f>
        <v>0.22351558546257</v>
      </c>
      <c r="I4438" s="0" t="n">
        <f aca="false">(G4438-Stats!$B$2)/H4438</f>
        <v>1.46084302757802</v>
      </c>
    </row>
    <row r="4439" customFormat="false" ht="15" hidden="false" customHeight="false" outlineLevel="0" collapsed="false">
      <c r="A4439" s="0" t="n">
        <v>0.459587005879444</v>
      </c>
      <c r="B4439" s="0" t="n">
        <v>0.186557912195616</v>
      </c>
      <c r="C4439" s="0" t="n">
        <v>0.636344315318089</v>
      </c>
      <c r="D4439" s="0" t="n">
        <f aca="false">A4439/SUM($A4439:$C4439)</f>
        <v>0.358355449630942</v>
      </c>
      <c r="E4439" s="0" t="n">
        <f aca="false">B4439/SUM($A4439:$C4439)</f>
        <v>0.145465480206824</v>
      </c>
      <c r="F4439" s="0" t="n">
        <f aca="false">C4439/SUM($A4439:$C4439)</f>
        <v>0.496179070162234</v>
      </c>
      <c r="G4439" s="0" t="n">
        <f aca="false">SUMPRODUCT(D4439:F4439,Stats!$B$6:$D$6)</f>
        <v>0.351171652895921</v>
      </c>
      <c r="H4439" s="0" t="n">
        <f aca="false">SQRT(SUMPRODUCT(MMULT(D4439:F4439,Stats!$B$12:$D$14),D4439:F4439))</f>
        <v>0.226200701330853</v>
      </c>
      <c r="I4439" s="0" t="n">
        <f aca="false">(G4439-Stats!$B$2)/H4439</f>
        <v>1.3668023621364</v>
      </c>
    </row>
    <row r="4440" customFormat="false" ht="15" hidden="false" customHeight="false" outlineLevel="0" collapsed="false">
      <c r="A4440" s="0" t="n">
        <v>0.500092335782233</v>
      </c>
      <c r="B4440" s="0" t="n">
        <v>0.10330047781328</v>
      </c>
      <c r="C4440" s="0" t="n">
        <v>0.197647781119615</v>
      </c>
      <c r="D4440" s="0" t="n">
        <f aca="false">A4440/SUM($A4440:$C4440)</f>
        <v>0.624303361254843</v>
      </c>
      <c r="E4440" s="0" t="n">
        <f aca="false">B4440/SUM($A4440:$C4440)</f>
        <v>0.128957856187072</v>
      </c>
      <c r="F4440" s="0" t="n">
        <f aca="false">C4440/SUM($A4440:$C4440)</f>
        <v>0.246738782558085</v>
      </c>
      <c r="G4440" s="0" t="n">
        <f aca="false">SUMPRODUCT(D4440:F4440,Stats!$B$6:$D$6)</f>
        <v>0.35710004556613</v>
      </c>
      <c r="H4440" s="0" t="n">
        <f aca="false">SQRT(SUMPRODUCT(MMULT(D4440:F4440,Stats!$B$12:$D$14),D4440:F4440))</f>
        <v>0.22166092729254</v>
      </c>
      <c r="I4440" s="0" t="n">
        <f aca="false">(G4440-Stats!$B$2)/H4440</f>
        <v>1.42154077137046</v>
      </c>
    </row>
    <row r="4441" customFormat="false" ht="15" hidden="false" customHeight="false" outlineLevel="0" collapsed="false">
      <c r="A4441" s="0" t="n">
        <v>0.479631956199527</v>
      </c>
      <c r="B4441" s="0" t="n">
        <v>0.887588990718858</v>
      </c>
      <c r="C4441" s="0" t="n">
        <v>0.566390720631097</v>
      </c>
      <c r="D4441" s="0" t="n">
        <f aca="false">A4441/SUM($A4441:$C4441)</f>
        <v>0.248049783857261</v>
      </c>
      <c r="E4441" s="0" t="n">
        <f aca="false">B4441/SUM($A4441:$C4441)</f>
        <v>0.459031668878852</v>
      </c>
      <c r="F4441" s="0" t="n">
        <f aca="false">C4441/SUM($A4441:$C4441)</f>
        <v>0.292918547263888</v>
      </c>
      <c r="G4441" s="0" t="n">
        <f aca="false">SUMPRODUCT(D4441:F4441,Stats!$B$6:$D$6)</f>
        <v>0.374818676292148</v>
      </c>
      <c r="H4441" s="0" t="n">
        <f aca="false">SQRT(SUMPRODUCT(MMULT(D4441:F4441,Stats!$B$12:$D$14),D4441:F4441))</f>
        <v>0.230133873199189</v>
      </c>
      <c r="I4441" s="0" t="n">
        <f aca="false">(G4441-Stats!$B$2)/H4441</f>
        <v>1.44619595397016</v>
      </c>
    </row>
    <row r="4442" customFormat="false" ht="15" hidden="false" customHeight="false" outlineLevel="0" collapsed="false">
      <c r="A4442" s="0" t="n">
        <v>0.681535000208471</v>
      </c>
      <c r="B4442" s="0" t="n">
        <v>0.33902854974391</v>
      </c>
      <c r="C4442" s="0" t="n">
        <v>0.571411393044234</v>
      </c>
      <c r="D4442" s="0" t="n">
        <f aca="false">A4442/SUM($A4442:$C4442)</f>
        <v>0.428106612611377</v>
      </c>
      <c r="E4442" s="0" t="n">
        <f aca="false">B4442/SUM($A4442:$C4442)</f>
        <v>0.212960983610551</v>
      </c>
      <c r="F4442" s="0" t="n">
        <f aca="false">C4442/SUM($A4442:$C4442)</f>
        <v>0.358932403778072</v>
      </c>
      <c r="G4442" s="0" t="n">
        <f aca="false">SUMPRODUCT(D4442:F4442,Stats!$B$6:$D$6)</f>
        <v>0.358839780841751</v>
      </c>
      <c r="H4442" s="0" t="n">
        <f aca="false">SQRT(SUMPRODUCT(MMULT(D4442:F4442,Stats!$B$12:$D$14),D4442:F4442))</f>
        <v>0.223481501279179</v>
      </c>
      <c r="I4442" s="0" t="n">
        <f aca="false">(G4442-Stats!$B$2)/H4442</f>
        <v>1.41774499915296</v>
      </c>
    </row>
    <row r="4443" customFormat="false" ht="15" hidden="false" customHeight="false" outlineLevel="0" collapsed="false">
      <c r="A4443" s="0" t="n">
        <v>0.447379822638067</v>
      </c>
      <c r="B4443" s="0" t="n">
        <v>0.659129912623161</v>
      </c>
      <c r="C4443" s="0" t="n">
        <v>0.0505755660790104</v>
      </c>
      <c r="D4443" s="0" t="n">
        <f aca="false">A4443/SUM($A4443:$C4443)</f>
        <v>0.38664376958196</v>
      </c>
      <c r="E4443" s="0" t="n">
        <f aca="false">B4443/SUM($A4443:$C4443)</f>
        <v>0.569646777000536</v>
      </c>
      <c r="F4443" s="0" t="n">
        <f aca="false">C4443/SUM($A4443:$C4443)</f>
        <v>0.0437094534175046</v>
      </c>
      <c r="G4443" s="0" t="n">
        <f aca="false">SUMPRODUCT(D4443:F4443,Stats!$B$6:$D$6)</f>
        <v>0.388055171359093</v>
      </c>
      <c r="H4443" s="0" t="n">
        <f aca="false">SQRT(SUMPRODUCT(MMULT(D4443:F4443,Stats!$B$12:$D$14),D4443:F4443))</f>
        <v>0.23113948218071</v>
      </c>
      <c r="I4443" s="0" t="n">
        <f aca="false">(G4443-Stats!$B$2)/H4443</f>
        <v>1.49717031505911</v>
      </c>
    </row>
    <row r="4444" customFormat="false" ht="15" hidden="false" customHeight="false" outlineLevel="0" collapsed="false">
      <c r="A4444" s="0" t="n">
        <v>0.493300216238959</v>
      </c>
      <c r="B4444" s="0" t="n">
        <v>0.295992625143967</v>
      </c>
      <c r="C4444" s="0" t="n">
        <v>0.326185061277909</v>
      </c>
      <c r="D4444" s="0" t="n">
        <f aca="false">A4444/SUM($A4444:$C4444)</f>
        <v>0.44223217247267</v>
      </c>
      <c r="E4444" s="0" t="n">
        <f aca="false">B4444/SUM($A4444:$C4444)</f>
        <v>0.26535050531966</v>
      </c>
      <c r="F4444" s="0" t="n">
        <f aca="false">C4444/SUM($A4444:$C4444)</f>
        <v>0.29241732220767</v>
      </c>
      <c r="G4444" s="0" t="n">
        <f aca="false">SUMPRODUCT(D4444:F4444,Stats!$B$6:$D$6)</f>
        <v>0.36368833390572</v>
      </c>
      <c r="H4444" s="0" t="n">
        <f aca="false">SQRT(SUMPRODUCT(MMULT(D4444:F4444,Stats!$B$12:$D$14),D4444:F4444))</f>
        <v>0.223467050854131</v>
      </c>
      <c r="I4444" s="0" t="n">
        <f aca="false">(G4444-Stats!$B$2)/H4444</f>
        <v>1.43953362554421</v>
      </c>
    </row>
    <row r="4445" customFormat="false" ht="15" hidden="false" customHeight="false" outlineLevel="0" collapsed="false">
      <c r="A4445" s="0" t="n">
        <v>0.960917431558061</v>
      </c>
      <c r="B4445" s="0" t="n">
        <v>0.182694812711383</v>
      </c>
      <c r="C4445" s="0" t="n">
        <v>0.311245252578597</v>
      </c>
      <c r="D4445" s="0" t="n">
        <f aca="false">A4445/SUM($A4445:$C4445)</f>
        <v>0.660489040088047</v>
      </c>
      <c r="E4445" s="0" t="n">
        <f aca="false">B4445/SUM($A4445:$C4445)</f>
        <v>0.125575744089845</v>
      </c>
      <c r="F4445" s="0" t="n">
        <f aca="false">C4445/SUM($A4445:$C4445)</f>
        <v>0.213935215822108</v>
      </c>
      <c r="G4445" s="0" t="n">
        <f aca="false">SUMPRODUCT(D4445:F4445,Stats!$B$6:$D$6)</f>
        <v>0.357809988949267</v>
      </c>
      <c r="H4445" s="0" t="n">
        <f aca="false">SQRT(SUMPRODUCT(MMULT(D4445:F4445,Stats!$B$12:$D$14),D4445:F4445))</f>
        <v>0.222045180243879</v>
      </c>
      <c r="I4445" s="0" t="n">
        <f aca="false">(G4445-Stats!$B$2)/H4445</f>
        <v>1.42227806342116</v>
      </c>
    </row>
    <row r="4446" customFormat="false" ht="15" hidden="false" customHeight="false" outlineLevel="0" collapsed="false">
      <c r="A4446" s="0" t="n">
        <v>0.509892575730872</v>
      </c>
      <c r="B4446" s="0" t="n">
        <v>0.863026948149624</v>
      </c>
      <c r="C4446" s="0" t="n">
        <v>0.41667008320637</v>
      </c>
      <c r="D4446" s="0" t="n">
        <f aca="false">A4446/SUM($A4446:$C4446)</f>
        <v>0.284921511452498</v>
      </c>
      <c r="E4446" s="0" t="n">
        <f aca="false">B4446/SUM($A4446:$C4446)</f>
        <v>0.482248524875197</v>
      </c>
      <c r="F4446" s="0" t="n">
        <f aca="false">C4446/SUM($A4446:$C4446)</f>
        <v>0.232829963672306</v>
      </c>
      <c r="G4446" s="0" t="n">
        <f aca="false">SUMPRODUCT(D4446:F4446,Stats!$B$6:$D$6)</f>
        <v>0.377811463718442</v>
      </c>
      <c r="H4446" s="0" t="n">
        <f aca="false">SQRT(SUMPRODUCT(MMULT(D4446:F4446,Stats!$B$12:$D$14),D4446:F4446))</f>
        <v>0.229485746709686</v>
      </c>
      <c r="I4446" s="0" t="n">
        <f aca="false">(G4446-Stats!$B$2)/H4446</f>
        <v>1.46332165955067</v>
      </c>
    </row>
    <row r="4447" customFormat="false" ht="15" hidden="false" customHeight="false" outlineLevel="0" collapsed="false">
      <c r="A4447" s="0" t="n">
        <v>0.743865280888171</v>
      </c>
      <c r="B4447" s="0" t="n">
        <v>0.856374098214802</v>
      </c>
      <c r="C4447" s="0" t="n">
        <v>0.310016355821849</v>
      </c>
      <c r="D4447" s="0" t="n">
        <f aca="false">A4447/SUM($A4447:$C4447)</f>
        <v>0.389406123634774</v>
      </c>
      <c r="E4447" s="0" t="n">
        <f aca="false">B4447/SUM($A4447:$C4447)</f>
        <v>0.448303377688069</v>
      </c>
      <c r="F4447" s="0" t="n">
        <f aca="false">C4447/SUM($A4447:$C4447)</f>
        <v>0.162290498677157</v>
      </c>
      <c r="G4447" s="0" t="n">
        <f aca="false">SUMPRODUCT(D4447:F4447,Stats!$B$6:$D$6)</f>
        <v>0.377803402499976</v>
      </c>
      <c r="H4447" s="0" t="n">
        <f aca="false">SQRT(SUMPRODUCT(MMULT(D4447:F4447,Stats!$B$12:$D$14),D4447:F4447))</f>
        <v>0.227165331648617</v>
      </c>
      <c r="I4447" s="0" t="n">
        <f aca="false">(G4447-Stats!$B$2)/H4447</f>
        <v>1.47823349655924</v>
      </c>
    </row>
    <row r="4448" customFormat="false" ht="15" hidden="false" customHeight="false" outlineLevel="0" collapsed="false">
      <c r="A4448" s="0" t="n">
        <v>0.39275018353871</v>
      </c>
      <c r="B4448" s="0" t="n">
        <v>0.356556223688356</v>
      </c>
      <c r="C4448" s="0" t="n">
        <v>0.832855808617921</v>
      </c>
      <c r="D4448" s="0" t="n">
        <f aca="false">A4448/SUM($A4448:$C4448)</f>
        <v>0.248236356301148</v>
      </c>
      <c r="E4448" s="0" t="n">
        <f aca="false">B4448/SUM($A4448:$C4448)</f>
        <v>0.225360092737349</v>
      </c>
      <c r="F4448" s="0" t="n">
        <f aca="false">C4448/SUM($A4448:$C4448)</f>
        <v>0.526403550961503</v>
      </c>
      <c r="G4448" s="0" t="n">
        <f aca="false">SUMPRODUCT(D4448:F4448,Stats!$B$6:$D$6)</f>
        <v>0.354935257062261</v>
      </c>
      <c r="H4448" s="0" t="n">
        <f aca="false">SQRT(SUMPRODUCT(MMULT(D4448:F4448,Stats!$B$12:$D$14),D4448:F4448))</f>
        <v>0.230367375339919</v>
      </c>
      <c r="I4448" s="0" t="n">
        <f aca="false">(G4448-Stats!$B$2)/H4448</f>
        <v>1.35841829425937</v>
      </c>
    </row>
    <row r="4449" customFormat="false" ht="15" hidden="false" customHeight="false" outlineLevel="0" collapsed="false">
      <c r="A4449" s="0" t="n">
        <v>0.0443468619536012</v>
      </c>
      <c r="B4449" s="0" t="n">
        <v>0.30842108882868</v>
      </c>
      <c r="C4449" s="0" t="n">
        <v>0.67940855759513</v>
      </c>
      <c r="D4449" s="0" t="n">
        <f aca="false">A4449/SUM($A4449:$C4449)</f>
        <v>0.0429644170291327</v>
      </c>
      <c r="E4449" s="0" t="n">
        <f aca="false">B4449/SUM($A4449:$C4449)</f>
        <v>0.29880653776312</v>
      </c>
      <c r="F4449" s="0" t="n">
        <f aca="false">C4449/SUM($A4449:$C4449)</f>
        <v>0.658229045207748</v>
      </c>
      <c r="G4449" s="0" t="n">
        <f aca="false">SUMPRODUCT(D4449:F4449,Stats!$B$6:$D$6)</f>
        <v>0.35552623314808</v>
      </c>
      <c r="H4449" s="0" t="n">
        <f aca="false">SQRT(SUMPRODUCT(MMULT(D4449:F4449,Stats!$B$12:$D$14),D4449:F4449))</f>
        <v>0.243076285970063</v>
      </c>
      <c r="I4449" s="0" t="n">
        <f aca="false">(G4449-Stats!$B$2)/H4449</f>
        <v>1.28982649169938</v>
      </c>
    </row>
    <row r="4450" customFormat="false" ht="15" hidden="false" customHeight="false" outlineLevel="0" collapsed="false">
      <c r="A4450" s="0" t="n">
        <v>0.565443499565343</v>
      </c>
      <c r="B4450" s="0" t="n">
        <v>0.436289359293694</v>
      </c>
      <c r="C4450" s="0" t="n">
        <v>0.539948227221384</v>
      </c>
      <c r="D4450" s="0" t="n">
        <f aca="false">A4450/SUM($A4450:$C4450)</f>
        <v>0.366770731424701</v>
      </c>
      <c r="E4450" s="0" t="n">
        <f aca="false">B4450/SUM($A4450:$C4450)</f>
        <v>0.282995856427686</v>
      </c>
      <c r="F4450" s="0" t="n">
        <f aca="false">C4450/SUM($A4450:$C4450)</f>
        <v>0.350233412147613</v>
      </c>
      <c r="G4450" s="0" t="n">
        <f aca="false">SUMPRODUCT(D4450:F4450,Stats!$B$6:$D$6)</f>
        <v>0.363109368127689</v>
      </c>
      <c r="H4450" s="0" t="n">
        <f aca="false">SQRT(SUMPRODUCT(MMULT(D4450:F4450,Stats!$B$12:$D$14),D4450:F4450))</f>
        <v>0.225138203409305</v>
      </c>
      <c r="I4450" s="0" t="n">
        <f aca="false">(G4450-Stats!$B$2)/H4450</f>
        <v>1.42627667479387</v>
      </c>
    </row>
    <row r="4451" customFormat="false" ht="15" hidden="false" customHeight="false" outlineLevel="0" collapsed="false">
      <c r="A4451" s="0" t="n">
        <v>0.197584585828318</v>
      </c>
      <c r="B4451" s="0" t="n">
        <v>0.43071662160801</v>
      </c>
      <c r="C4451" s="0" t="n">
        <v>0.501702984176349</v>
      </c>
      <c r="D4451" s="0" t="n">
        <f aca="false">A4451/SUM($A4451:$C4451)</f>
        <v>0.174852967179119</v>
      </c>
      <c r="E4451" s="0" t="n">
        <f aca="false">B4451/SUM($A4451:$C4451)</f>
        <v>0.381163737979871</v>
      </c>
      <c r="F4451" s="0" t="n">
        <f aca="false">C4451/SUM($A4451:$C4451)</f>
        <v>0.44398329484101</v>
      </c>
      <c r="G4451" s="0" t="n">
        <f aca="false">SUMPRODUCT(D4451:F4451,Stats!$B$6:$D$6)</f>
        <v>0.366172704018829</v>
      </c>
      <c r="H4451" s="0" t="n">
        <f aca="false">SQRT(SUMPRODUCT(MMULT(D4451:F4451,Stats!$B$12:$D$14),D4451:F4451))</f>
        <v>0.232902392655138</v>
      </c>
      <c r="I4451" s="0" t="n">
        <f aca="false">(G4451-Stats!$B$2)/H4451</f>
        <v>1.39188224012295</v>
      </c>
    </row>
    <row r="4452" customFormat="false" ht="15" hidden="false" customHeight="false" outlineLevel="0" collapsed="false">
      <c r="A4452" s="0" t="n">
        <v>0.901189121954602</v>
      </c>
      <c r="B4452" s="0" t="n">
        <v>0.260835162803976</v>
      </c>
      <c r="C4452" s="0" t="n">
        <v>0.867828502164933</v>
      </c>
      <c r="D4452" s="0" t="n">
        <f aca="false">A4452/SUM($A4452:$C4452)</f>
        <v>0.443967724043902</v>
      </c>
      <c r="E4452" s="0" t="n">
        <f aca="false">B4452/SUM($A4452:$C4452)</f>
        <v>0.128499546609636</v>
      </c>
      <c r="F4452" s="0" t="n">
        <f aca="false">C4452/SUM($A4452:$C4452)</f>
        <v>0.427532729346463</v>
      </c>
      <c r="G4452" s="0" t="n">
        <f aca="false">SUMPRODUCT(D4452:F4452,Stats!$B$6:$D$6)</f>
        <v>0.352088351480541</v>
      </c>
      <c r="H4452" s="0" t="n">
        <f aca="false">SQRT(SUMPRODUCT(MMULT(D4452:F4452,Stats!$B$12:$D$14),D4452:F4452))</f>
        <v>0.223407271457568</v>
      </c>
      <c r="I4452" s="0" t="n">
        <f aca="false">(G4452-Stats!$B$2)/H4452</f>
        <v>1.38799578660731</v>
      </c>
    </row>
    <row r="4453" customFormat="false" ht="15" hidden="false" customHeight="false" outlineLevel="0" collapsed="false">
      <c r="A4453" s="0" t="n">
        <v>0.644241400825982</v>
      </c>
      <c r="B4453" s="0" t="n">
        <v>0.020340831067601</v>
      </c>
      <c r="C4453" s="0" t="n">
        <v>0.724631336899394</v>
      </c>
      <c r="D4453" s="0" t="n">
        <f aca="false">A4453/SUM($A4453:$C4453)</f>
        <v>0.463745399050294</v>
      </c>
      <c r="E4453" s="0" t="n">
        <f aca="false">B4453/SUM($A4453:$C4453)</f>
        <v>0.0146419755209231</v>
      </c>
      <c r="F4453" s="0" t="n">
        <f aca="false">C4453/SUM($A4453:$C4453)</f>
        <v>0.521612625428783</v>
      </c>
      <c r="G4453" s="0" t="n">
        <f aca="false">SUMPRODUCT(D4453:F4453,Stats!$B$6:$D$6)</f>
        <v>0.342942917253628</v>
      </c>
      <c r="H4453" s="0" t="n">
        <f aca="false">SQRT(SUMPRODUCT(MMULT(D4453:F4453,Stats!$B$12:$D$14),D4453:F4453))</f>
        <v>0.224424859967187</v>
      </c>
      <c r="I4453" s="0" t="n">
        <f aca="false">(G4453-Stats!$B$2)/H4453</f>
        <v>1.34095178804001</v>
      </c>
    </row>
    <row r="4454" customFormat="false" ht="15" hidden="false" customHeight="false" outlineLevel="0" collapsed="false">
      <c r="A4454" s="0" t="n">
        <v>0.0355518775490551</v>
      </c>
      <c r="B4454" s="0" t="n">
        <v>0.997381126813813</v>
      </c>
      <c r="C4454" s="0" t="n">
        <v>0.872636687691198</v>
      </c>
      <c r="D4454" s="0" t="n">
        <f aca="false">A4454/SUM($A4454:$C4454)</f>
        <v>0.0186568235721323</v>
      </c>
      <c r="E4454" s="0" t="n">
        <f aca="false">B4454/SUM($A4454:$C4454)</f>
        <v>0.523403122421993</v>
      </c>
      <c r="F4454" s="0" t="n">
        <f aca="false">C4454/SUM($A4454:$C4454)</f>
        <v>0.457940054005875</v>
      </c>
      <c r="G4454" s="0" t="n">
        <f aca="false">SUMPRODUCT(D4454:F4454,Stats!$B$6:$D$6)</f>
        <v>0.373972121836876</v>
      </c>
      <c r="H4454" s="0" t="n">
        <f aca="false">SQRT(SUMPRODUCT(MMULT(D4454:F4454,Stats!$B$12:$D$14),D4454:F4454))</f>
        <v>0.241988917416987</v>
      </c>
      <c r="I4454" s="0" t="n">
        <f aca="false">(G4454-Stats!$B$2)/H4454</f>
        <v>1.37184845231913</v>
      </c>
    </row>
    <row r="4455" customFormat="false" ht="15" hidden="false" customHeight="false" outlineLevel="0" collapsed="false">
      <c r="A4455" s="0" t="n">
        <v>0.297343747540046</v>
      </c>
      <c r="B4455" s="0" t="n">
        <v>0.257411230196705</v>
      </c>
      <c r="C4455" s="0" t="n">
        <v>0.381441082105609</v>
      </c>
      <c r="D4455" s="0" t="n">
        <f aca="false">A4455/SUM($A4455:$C4455)</f>
        <v>0.317608415901808</v>
      </c>
      <c r="E4455" s="0" t="n">
        <f aca="false">B4455/SUM($A4455:$C4455)</f>
        <v>0.274954404572103</v>
      </c>
      <c r="F4455" s="0" t="n">
        <f aca="false">C4455/SUM($A4455:$C4455)</f>
        <v>0.407437179526089</v>
      </c>
      <c r="G4455" s="0" t="n">
        <f aca="false">SUMPRODUCT(D4455:F4455,Stats!$B$6:$D$6)</f>
        <v>0.36106930151203</v>
      </c>
      <c r="H4455" s="0" t="n">
        <f aca="false">SQRT(SUMPRODUCT(MMULT(D4455:F4455,Stats!$B$12:$D$14),D4455:F4455))</f>
        <v>0.226723569937852</v>
      </c>
      <c r="I4455" s="0" t="n">
        <f aca="false">(G4455-Stats!$B$2)/H4455</f>
        <v>1.40730538778783</v>
      </c>
    </row>
    <row r="4456" customFormat="false" ht="15" hidden="false" customHeight="false" outlineLevel="0" collapsed="false">
      <c r="A4456" s="0" t="n">
        <v>0.356166965314443</v>
      </c>
      <c r="B4456" s="0" t="n">
        <v>0.372337818385381</v>
      </c>
      <c r="C4456" s="0" t="n">
        <v>0.31827654611948</v>
      </c>
      <c r="D4456" s="0" t="n">
        <f aca="false">A4456/SUM($A4456:$C4456)</f>
        <v>0.340249634922247</v>
      </c>
      <c r="E4456" s="0" t="n">
        <f aca="false">B4456/SUM($A4456:$C4456)</f>
        <v>0.355697802185347</v>
      </c>
      <c r="F4456" s="0" t="n">
        <f aca="false">C4456/SUM($A4456:$C4456)</f>
        <v>0.304052562892406</v>
      </c>
      <c r="G4456" s="0" t="n">
        <f aca="false">SUMPRODUCT(D4456:F4456,Stats!$B$6:$D$6)</f>
        <v>0.368565963146421</v>
      </c>
      <c r="H4456" s="0" t="n">
        <f aca="false">SQRT(SUMPRODUCT(MMULT(D4456:F4456,Stats!$B$12:$D$14),D4456:F4456))</f>
        <v>0.226302414635103</v>
      </c>
      <c r="I4456" s="0" t="n">
        <f aca="false">(G4456-Stats!$B$2)/H4456</f>
        <v>1.44305116528688</v>
      </c>
    </row>
    <row r="4457" customFormat="false" ht="15" hidden="false" customHeight="false" outlineLevel="0" collapsed="false">
      <c r="A4457" s="0" t="n">
        <v>0.621133406848331</v>
      </c>
      <c r="B4457" s="0" t="n">
        <v>0.164263663720624</v>
      </c>
      <c r="C4457" s="0" t="n">
        <v>0.845981292446013</v>
      </c>
      <c r="D4457" s="0" t="n">
        <f aca="false">A4457/SUM($A4457:$C4457)</f>
        <v>0.380741476612702</v>
      </c>
      <c r="E4457" s="0" t="n">
        <f aca="false">B4457/SUM($A4457:$C4457)</f>
        <v>0.100690108097944</v>
      </c>
      <c r="F4457" s="0" t="n">
        <f aca="false">C4457/SUM($A4457:$C4457)</f>
        <v>0.518568415289354</v>
      </c>
      <c r="G4457" s="0" t="n">
        <f aca="false">SUMPRODUCT(D4457:F4457,Stats!$B$6:$D$6)</f>
        <v>0.347977958355921</v>
      </c>
      <c r="H4457" s="0" t="n">
        <f aca="false">SQRT(SUMPRODUCT(MMULT(D4457:F4457,Stats!$B$12:$D$14),D4457:F4457))</f>
        <v>0.225977527925958</v>
      </c>
      <c r="I4457" s="0" t="n">
        <f aca="false">(G4457-Stats!$B$2)/H4457</f>
        <v>1.35401940699243</v>
      </c>
    </row>
    <row r="4458" customFormat="false" ht="15" hidden="false" customHeight="false" outlineLevel="0" collapsed="false">
      <c r="A4458" s="0" t="n">
        <v>0.812402484031315</v>
      </c>
      <c r="B4458" s="0" t="n">
        <v>0.47648320785527</v>
      </c>
      <c r="C4458" s="0" t="n">
        <v>0.852729965278548</v>
      </c>
      <c r="D4458" s="0" t="n">
        <f aca="false">A4458/SUM($A4458:$C4458)</f>
        <v>0.379340934174294</v>
      </c>
      <c r="E4458" s="0" t="n">
        <f aca="false">B4458/SUM($A4458:$C4458)</f>
        <v>0.222487730821876</v>
      </c>
      <c r="F4458" s="0" t="n">
        <f aca="false">C4458/SUM($A4458:$C4458)</f>
        <v>0.398171335003831</v>
      </c>
      <c r="G4458" s="0" t="n">
        <f aca="false">SUMPRODUCT(D4458:F4458,Stats!$B$6:$D$6)</f>
        <v>0.358305939109599</v>
      </c>
      <c r="H4458" s="0" t="n">
        <f aca="false">SQRT(SUMPRODUCT(MMULT(D4458:F4458,Stats!$B$12:$D$14),D4458:F4458))</f>
        <v>0.224763213229608</v>
      </c>
      <c r="I4458" s="0" t="n">
        <f aca="false">(G4458-Stats!$B$2)/H4458</f>
        <v>1.40728518054454</v>
      </c>
    </row>
    <row r="4459" customFormat="false" ht="15" hidden="false" customHeight="false" outlineLevel="0" collapsed="false">
      <c r="A4459" s="0" t="n">
        <v>0.247145070030293</v>
      </c>
      <c r="B4459" s="0" t="n">
        <v>0.017565455703967</v>
      </c>
      <c r="C4459" s="0" t="n">
        <v>0.619207925029823</v>
      </c>
      <c r="D4459" s="0" t="n">
        <f aca="false">A4459/SUM($A4459:$C4459)</f>
        <v>0.279601664403152</v>
      </c>
      <c r="E4459" s="0" t="n">
        <f aca="false">B4459/SUM($A4459:$C4459)</f>
        <v>0.0198722582256122</v>
      </c>
      <c r="F4459" s="0" t="n">
        <f aca="false">C4459/SUM($A4459:$C4459)</f>
        <v>0.700526077371236</v>
      </c>
      <c r="G4459" s="0" t="n">
        <f aca="false">SUMPRODUCT(D4459:F4459,Stats!$B$6:$D$6)</f>
        <v>0.338310391327452</v>
      </c>
      <c r="H4459" s="0" t="n">
        <f aca="false">SQRT(SUMPRODUCT(MMULT(D4459:F4459,Stats!$B$12:$D$14),D4459:F4459))</f>
        <v>0.233756960342132</v>
      </c>
      <c r="I4459" s="0" t="n">
        <f aca="false">(G4459-Stats!$B$2)/H4459</f>
        <v>1.26760029260205</v>
      </c>
    </row>
    <row r="4460" customFormat="false" ht="15" hidden="false" customHeight="false" outlineLevel="0" collapsed="false">
      <c r="A4460" s="0" t="n">
        <v>0.457909406964715</v>
      </c>
      <c r="B4460" s="0" t="n">
        <v>0.567164546295871</v>
      </c>
      <c r="C4460" s="0" t="n">
        <v>0.899339409018403</v>
      </c>
      <c r="D4460" s="0" t="n">
        <f aca="false">A4460/SUM($A4460:$C4460)</f>
        <v>0.237947530369689</v>
      </c>
      <c r="E4460" s="0" t="n">
        <f aca="false">B4460/SUM($A4460:$C4460)</f>
        <v>0.294720748365728</v>
      </c>
      <c r="F4460" s="0" t="n">
        <f aca="false">C4460/SUM($A4460:$C4460)</f>
        <v>0.467331721264583</v>
      </c>
      <c r="G4460" s="0" t="n">
        <f aca="false">SUMPRODUCT(D4460:F4460,Stats!$B$6:$D$6)</f>
        <v>0.36055506239905</v>
      </c>
      <c r="H4460" s="0" t="n">
        <f aca="false">SQRT(SUMPRODUCT(MMULT(D4460:F4460,Stats!$B$12:$D$14),D4460:F4460))</f>
        <v>0.23011373425689</v>
      </c>
      <c r="I4460" s="0" t="n">
        <f aca="false">(G4460-Stats!$B$2)/H4460</f>
        <v>1.38433746002934</v>
      </c>
    </row>
    <row r="4461" customFormat="false" ht="15" hidden="false" customHeight="false" outlineLevel="0" collapsed="false">
      <c r="A4461" s="0" t="n">
        <v>0.969925573565943</v>
      </c>
      <c r="B4461" s="0" t="n">
        <v>0.634453139755603</v>
      </c>
      <c r="C4461" s="0" t="n">
        <v>0.764055589852438</v>
      </c>
      <c r="D4461" s="0" t="n">
        <f aca="false">A4461/SUM($A4461:$C4461)</f>
        <v>0.409521839920207</v>
      </c>
      <c r="E4461" s="0" t="n">
        <f aca="false">B4461/SUM($A4461:$C4461)</f>
        <v>0.267878715869535</v>
      </c>
      <c r="F4461" s="0" t="n">
        <f aca="false">C4461/SUM($A4461:$C4461)</f>
        <v>0.322599444210259</v>
      </c>
      <c r="G4461" s="0" t="n">
        <f aca="false">SUMPRODUCT(D4461:F4461,Stats!$B$6:$D$6)</f>
        <v>0.363001543462994</v>
      </c>
      <c r="H4461" s="0" t="n">
        <f aca="false">SQRT(SUMPRODUCT(MMULT(D4461:F4461,Stats!$B$12:$D$14),D4461:F4461))</f>
        <v>0.224052225095782</v>
      </c>
      <c r="I4461" s="0" t="n">
        <f aca="false">(G4461-Stats!$B$2)/H4461</f>
        <v>1.43270857196694</v>
      </c>
    </row>
    <row r="4462" customFormat="false" ht="15" hidden="false" customHeight="false" outlineLevel="0" collapsed="false">
      <c r="A4462" s="0" t="n">
        <v>0.0838084334871643</v>
      </c>
      <c r="B4462" s="0" t="n">
        <v>0.160715584891506</v>
      </c>
      <c r="C4462" s="0" t="n">
        <v>0.733204804952977</v>
      </c>
      <c r="D4462" s="0" t="n">
        <f aca="false">A4462/SUM($A4462:$C4462)</f>
        <v>0.0857174622320983</v>
      </c>
      <c r="E4462" s="0" t="n">
        <f aca="false">B4462/SUM($A4462:$C4462)</f>
        <v>0.164376441663918</v>
      </c>
      <c r="F4462" s="0" t="n">
        <f aca="false">C4462/SUM($A4462:$C4462)</f>
        <v>0.749906096103984</v>
      </c>
      <c r="G4462" s="0" t="n">
        <f aca="false">SUMPRODUCT(D4462:F4462,Stats!$B$6:$D$6)</f>
        <v>0.345263339990385</v>
      </c>
      <c r="H4462" s="0" t="n">
        <f aca="false">SQRT(SUMPRODUCT(MMULT(D4462:F4462,Stats!$B$12:$D$14),D4462:F4462))</f>
        <v>0.243535517138393</v>
      </c>
      <c r="I4462" s="0" t="n">
        <f aca="false">(G4462-Stats!$B$2)/H4462</f>
        <v>1.24525302737691</v>
      </c>
    </row>
    <row r="4463" customFormat="false" ht="15" hidden="false" customHeight="false" outlineLevel="0" collapsed="false">
      <c r="A4463" s="0" t="n">
        <v>0.431365456388002</v>
      </c>
      <c r="B4463" s="0" t="n">
        <v>0.445965270404406</v>
      </c>
      <c r="C4463" s="0" t="n">
        <v>0.308607681635437</v>
      </c>
      <c r="D4463" s="0" t="n">
        <f aca="false">A4463/SUM($A4463:$C4463)</f>
        <v>0.363733439546703</v>
      </c>
      <c r="E4463" s="0" t="n">
        <f aca="false">B4463/SUM($A4463:$C4463)</f>
        <v>0.376044208733914</v>
      </c>
      <c r="F4463" s="0" t="n">
        <f aca="false">C4463/SUM($A4463:$C4463)</f>
        <v>0.260222351719384</v>
      </c>
      <c r="G4463" s="0" t="n">
        <f aca="false">SUMPRODUCT(D4463:F4463,Stats!$B$6:$D$6)</f>
        <v>0.370945270260497</v>
      </c>
      <c r="H4463" s="0" t="n">
        <f aca="false">SQRT(SUMPRODUCT(MMULT(D4463:F4463,Stats!$B$12:$D$14),D4463:F4463))</f>
        <v>0.226034025862964</v>
      </c>
      <c r="I4463" s="0" t="n">
        <f aca="false">(G4463-Stats!$B$2)/H4463</f>
        <v>1.45529094128476</v>
      </c>
    </row>
    <row r="4464" customFormat="false" ht="15" hidden="false" customHeight="false" outlineLevel="0" collapsed="false">
      <c r="A4464" s="0" t="n">
        <v>0.607356383477744</v>
      </c>
      <c r="B4464" s="0" t="n">
        <v>0.185165045416203</v>
      </c>
      <c r="C4464" s="0" t="n">
        <v>0.626916279313896</v>
      </c>
      <c r="D4464" s="0" t="n">
        <f aca="false">A4464/SUM($A4464:$C4464)</f>
        <v>0.427885197050726</v>
      </c>
      <c r="E4464" s="0" t="n">
        <f aca="false">B4464/SUM($A4464:$C4464)</f>
        <v>0.130449574747446</v>
      </c>
      <c r="F4464" s="0" t="n">
        <f aca="false">C4464/SUM($A4464:$C4464)</f>
        <v>0.441665228201828</v>
      </c>
      <c r="G4464" s="0" t="n">
        <f aca="false">SUMPRODUCT(D4464:F4464,Stats!$B$6:$D$6)</f>
        <v>0.351810855355427</v>
      </c>
      <c r="H4464" s="0" t="n">
        <f aca="false">SQRT(SUMPRODUCT(MMULT(D4464:F4464,Stats!$B$12:$D$14),D4464:F4464))</f>
        <v>0.223855426565825</v>
      </c>
      <c r="I4464" s="0" t="n">
        <f aca="false">(G4464-Stats!$B$2)/H4464</f>
        <v>1.38397741840905</v>
      </c>
    </row>
    <row r="4465" customFormat="false" ht="15" hidden="false" customHeight="false" outlineLevel="0" collapsed="false">
      <c r="A4465" s="0" t="n">
        <v>0.17379885713524</v>
      </c>
      <c r="B4465" s="0" t="n">
        <v>0.0638260347097136</v>
      </c>
      <c r="C4465" s="0" t="n">
        <v>0.330357688699061</v>
      </c>
      <c r="D4465" s="0" t="n">
        <f aca="false">A4465/SUM($A4465:$C4465)</f>
        <v>0.305993287626489</v>
      </c>
      <c r="E4465" s="0" t="n">
        <f aca="false">B4465/SUM($A4465:$C4465)</f>
        <v>0.112373225686923</v>
      </c>
      <c r="F4465" s="0" t="n">
        <f aca="false">C4465/SUM($A4465:$C4465)</f>
        <v>0.581633486686588</v>
      </c>
      <c r="G4465" s="0" t="n">
        <f aca="false">SUMPRODUCT(D4465:F4465,Stats!$B$6:$D$6)</f>
        <v>0.346911194733151</v>
      </c>
      <c r="H4465" s="0" t="n">
        <f aca="false">SQRT(SUMPRODUCT(MMULT(D4465:F4465,Stats!$B$12:$D$14),D4465:F4465))</f>
        <v>0.229370728075611</v>
      </c>
      <c r="I4465" s="0" t="n">
        <f aca="false">(G4465-Stats!$B$2)/H4465</f>
        <v>1.32933786839896</v>
      </c>
    </row>
    <row r="4466" customFormat="false" ht="15" hidden="false" customHeight="false" outlineLevel="0" collapsed="false">
      <c r="A4466" s="0" t="n">
        <v>0.231140342009848</v>
      </c>
      <c r="B4466" s="0" t="n">
        <v>0.888991638556332</v>
      </c>
      <c r="C4466" s="0" t="n">
        <v>0.0549534538686266</v>
      </c>
      <c r="D4466" s="0" t="n">
        <f aca="false">A4466/SUM($A4466:$C4466)</f>
        <v>0.196700882537125</v>
      </c>
      <c r="E4466" s="0" t="n">
        <f aca="false">B4466/SUM($A4466:$C4466)</f>
        <v>0.756533620880017</v>
      </c>
      <c r="F4466" s="0" t="n">
        <f aca="false">C4466/SUM($A4466:$C4466)</f>
        <v>0.0467654965828575</v>
      </c>
      <c r="G4466" s="0" t="n">
        <f aca="false">SUMPRODUCT(D4466:F4466,Stats!$B$6:$D$6)</f>
        <v>0.398724129258141</v>
      </c>
      <c r="H4466" s="0" t="n">
        <f aca="false">SQRT(SUMPRODUCT(MMULT(D4466:F4466,Stats!$B$12:$D$14),D4466:F4466))</f>
        <v>0.239628809191378</v>
      </c>
      <c r="I4466" s="0" t="n">
        <f aca="false">(G4466-Stats!$B$2)/H4466</f>
        <v>1.48865293143132</v>
      </c>
    </row>
    <row r="4467" customFormat="false" ht="15" hidden="false" customHeight="false" outlineLevel="0" collapsed="false">
      <c r="A4467" s="0" t="n">
        <v>0.176613692574123</v>
      </c>
      <c r="B4467" s="0" t="n">
        <v>0.548719605583049</v>
      </c>
      <c r="C4467" s="0" t="n">
        <v>0.481067190847474</v>
      </c>
      <c r="D4467" s="0" t="n">
        <f aca="false">A4467/SUM($A4467:$C4467)</f>
        <v>0.146397232249002</v>
      </c>
      <c r="E4467" s="0" t="n">
        <f aca="false">B4467/SUM($A4467:$C4467)</f>
        <v>0.454840337503325</v>
      </c>
      <c r="F4467" s="0" t="n">
        <f aca="false">C4467/SUM($A4467:$C4467)</f>
        <v>0.398762430247673</v>
      </c>
      <c r="G4467" s="0" t="n">
        <f aca="false">SUMPRODUCT(D4467:F4467,Stats!$B$6:$D$6)</f>
        <v>0.371658908145954</v>
      </c>
      <c r="H4467" s="0" t="n">
        <f aca="false">SQRT(SUMPRODUCT(MMULT(D4467:F4467,Stats!$B$12:$D$14),D4467:F4467))</f>
        <v>0.234371195986077</v>
      </c>
      <c r="I4467" s="0" t="n">
        <f aca="false">(G4467-Stats!$B$2)/H4467</f>
        <v>1.40656750399285</v>
      </c>
    </row>
    <row r="4468" customFormat="false" ht="15" hidden="false" customHeight="false" outlineLevel="0" collapsed="false">
      <c r="A4468" s="0" t="n">
        <v>0.0458520183747015</v>
      </c>
      <c r="B4468" s="0" t="n">
        <v>0.00725242801514447</v>
      </c>
      <c r="C4468" s="0" t="n">
        <v>0.98806794196115</v>
      </c>
      <c r="D4468" s="0" t="n">
        <f aca="false">A4468/SUM($A4468:$C4468)</f>
        <v>0.0440388343829611</v>
      </c>
      <c r="E4468" s="0" t="n">
        <f aca="false">B4468/SUM($A4468:$C4468)</f>
        <v>0.00696563613892109</v>
      </c>
      <c r="F4468" s="0" t="n">
        <f aca="false">C4468/SUM($A4468:$C4468)</f>
        <v>0.948995529478118</v>
      </c>
      <c r="G4468" s="0" t="n">
        <f aca="false">SUMPRODUCT(D4468:F4468,Stats!$B$6:$D$6)</f>
        <v>0.330716311421826</v>
      </c>
      <c r="H4468" s="0" t="n">
        <f aca="false">SQRT(SUMPRODUCT(MMULT(D4468:F4468,Stats!$B$12:$D$14),D4468:F4468))</f>
        <v>0.254745672104118</v>
      </c>
      <c r="I4468" s="0" t="n">
        <f aca="false">(G4468-Stats!$B$2)/H4468</f>
        <v>1.13335119312183</v>
      </c>
    </row>
    <row r="4469" customFormat="false" ht="15" hidden="false" customHeight="false" outlineLevel="0" collapsed="false">
      <c r="A4469" s="0" t="n">
        <v>0.658834700358838</v>
      </c>
      <c r="B4469" s="0" t="n">
        <v>0.365406130901557</v>
      </c>
      <c r="C4469" s="0" t="n">
        <v>0.470432247663241</v>
      </c>
      <c r="D4469" s="0" t="n">
        <f aca="false">A4469/SUM($A4469:$C4469)</f>
        <v>0.44078849726342</v>
      </c>
      <c r="E4469" s="0" t="n">
        <f aca="false">B4469/SUM($A4469:$C4469)</f>
        <v>0.244472276950822</v>
      </c>
      <c r="F4469" s="0" t="n">
        <f aca="false">C4469/SUM($A4469:$C4469)</f>
        <v>0.314739225785759</v>
      </c>
      <c r="G4469" s="0" t="n">
        <f aca="false">SUMPRODUCT(D4469:F4469,Stats!$B$6:$D$6)</f>
        <v>0.361871509761829</v>
      </c>
      <c r="H4469" s="0" t="n">
        <f aca="false">SQRT(SUMPRODUCT(MMULT(D4469:F4469,Stats!$B$12:$D$14),D4469:F4469))</f>
        <v>0.223338252427425</v>
      </c>
      <c r="I4469" s="0" t="n">
        <f aca="false">(G4469-Stats!$B$2)/H4469</f>
        <v>1.43222894549054</v>
      </c>
    </row>
    <row r="4470" customFormat="false" ht="15" hidden="false" customHeight="false" outlineLevel="0" collapsed="false">
      <c r="A4470" s="0" t="n">
        <v>0.266550120454287</v>
      </c>
      <c r="B4470" s="0" t="n">
        <v>0.34487378369321</v>
      </c>
      <c r="C4470" s="0" t="n">
        <v>0.649044467268214</v>
      </c>
      <c r="D4470" s="0" t="n">
        <f aca="false">A4470/SUM($A4470:$C4470)</f>
        <v>0.211469106642405</v>
      </c>
      <c r="E4470" s="0" t="n">
        <f aca="false">B4470/SUM($A4470:$C4470)</f>
        <v>0.273607645787939</v>
      </c>
      <c r="F4470" s="0" t="n">
        <f aca="false">C4470/SUM($A4470:$C4470)</f>
        <v>0.514923247569657</v>
      </c>
      <c r="G4470" s="0" t="n">
        <f aca="false">SUMPRODUCT(D4470:F4470,Stats!$B$6:$D$6)</f>
        <v>0.358027923769679</v>
      </c>
      <c r="H4470" s="0" t="n">
        <f aca="false">SQRT(SUMPRODUCT(MMULT(D4470:F4470,Stats!$B$12:$D$14),D4470:F4470))</f>
        <v>0.231748983541205</v>
      </c>
      <c r="I4470" s="0" t="n">
        <f aca="false">(G4470-Stats!$B$2)/H4470</f>
        <v>1.36366476754574</v>
      </c>
    </row>
    <row r="4471" customFormat="false" ht="15" hidden="false" customHeight="false" outlineLevel="0" collapsed="false">
      <c r="A4471" s="0" t="n">
        <v>0.882811798867371</v>
      </c>
      <c r="B4471" s="0" t="n">
        <v>0.184130023081185</v>
      </c>
      <c r="C4471" s="0" t="n">
        <v>0.840361505385319</v>
      </c>
      <c r="D4471" s="0" t="n">
        <f aca="false">A4471/SUM($A4471:$C4471)</f>
        <v>0.462858626740514</v>
      </c>
      <c r="E4471" s="0" t="n">
        <f aca="false">B4471/SUM($A4471:$C4471)</f>
        <v>0.0965394546543214</v>
      </c>
      <c r="F4471" s="0" t="n">
        <f aca="false">C4471/SUM($A4471:$C4471)</f>
        <v>0.440601918605164</v>
      </c>
      <c r="G4471" s="0" t="n">
        <f aca="false">SUMPRODUCT(D4471:F4471,Stats!$B$6:$D$6)</f>
        <v>0.349889031287436</v>
      </c>
      <c r="H4471" s="0" t="n">
        <f aca="false">SQRT(SUMPRODUCT(MMULT(D4471:F4471,Stats!$B$12:$D$14),D4471:F4471))</f>
        <v>0.223191042608199</v>
      </c>
      <c r="I4471" s="0" t="n">
        <f aca="false">(G4471-Stats!$B$2)/H4471</f>
        <v>1.37948650487699</v>
      </c>
    </row>
    <row r="4472" customFormat="false" ht="15" hidden="false" customHeight="false" outlineLevel="0" collapsed="false">
      <c r="A4472" s="0" t="n">
        <v>0.121556629518269</v>
      </c>
      <c r="B4472" s="0" t="n">
        <v>0.214992223588391</v>
      </c>
      <c r="C4472" s="0" t="n">
        <v>0.037175288049646</v>
      </c>
      <c r="D4472" s="0" t="n">
        <f aca="false">A4472/SUM($A4472:$C4472)</f>
        <v>0.325257632921897</v>
      </c>
      <c r="E4472" s="0" t="n">
        <f aca="false">B4472/SUM($A4472:$C4472)</f>
        <v>0.575269831173344</v>
      </c>
      <c r="F4472" s="0" t="n">
        <f aca="false">C4472/SUM($A4472:$C4472)</f>
        <v>0.0994725359047592</v>
      </c>
      <c r="G4472" s="0" t="n">
        <f aca="false">SUMPRODUCT(D4472:F4472,Stats!$B$6:$D$6)</f>
        <v>0.386841069066443</v>
      </c>
      <c r="H4472" s="0" t="n">
        <f aca="false">SQRT(SUMPRODUCT(MMULT(D4472:F4472,Stats!$B$12:$D$14),D4472:F4472))</f>
        <v>0.231398318240374</v>
      </c>
      <c r="I4472" s="0" t="n">
        <f aca="false">(G4472-Stats!$B$2)/H4472</f>
        <v>1.49024881290722</v>
      </c>
    </row>
    <row r="4473" customFormat="false" ht="15" hidden="false" customHeight="false" outlineLevel="0" collapsed="false">
      <c r="A4473" s="0" t="n">
        <v>0.140811862093</v>
      </c>
      <c r="B4473" s="0" t="n">
        <v>0.917303145464051</v>
      </c>
      <c r="C4473" s="0" t="n">
        <v>0.459438746618379</v>
      </c>
      <c r="D4473" s="0" t="n">
        <f aca="false">A4473/SUM($A4473:$C4473)</f>
        <v>0.0927887145384912</v>
      </c>
      <c r="E4473" s="0" t="n">
        <f aca="false">B4473/SUM($A4473:$C4473)</f>
        <v>0.604461715402281</v>
      </c>
      <c r="F4473" s="0" t="n">
        <f aca="false">C4473/SUM($A4473:$C4473)</f>
        <v>0.302749570059228</v>
      </c>
      <c r="G4473" s="0" t="n">
        <f aca="false">SUMPRODUCT(D4473:F4473,Stats!$B$6:$D$6)</f>
        <v>0.382915446270308</v>
      </c>
      <c r="H4473" s="0" t="n">
        <f aca="false">SQRT(SUMPRODUCT(MMULT(D4473:F4473,Stats!$B$12:$D$14),D4473:F4473))</f>
        <v>0.238344351131271</v>
      </c>
      <c r="I4473" s="0" t="n">
        <f aca="false">(G4473-Stats!$B$2)/H4473</f>
        <v>1.43034833698469</v>
      </c>
    </row>
    <row r="4474" customFormat="false" ht="15" hidden="false" customHeight="false" outlineLevel="0" collapsed="false">
      <c r="A4474" s="0" t="n">
        <v>0.0776658617783536</v>
      </c>
      <c r="B4474" s="0" t="n">
        <v>0.959726838038961</v>
      </c>
      <c r="C4474" s="0" t="n">
        <v>0.87899230775865</v>
      </c>
      <c r="D4474" s="0" t="n">
        <f aca="false">A4474/SUM($A4474:$C4474)</f>
        <v>0.0405272747758516</v>
      </c>
      <c r="E4474" s="0" t="n">
        <f aca="false">B4474/SUM($A4474:$C4474)</f>
        <v>0.500800639873988</v>
      </c>
      <c r="F4474" s="0" t="n">
        <f aca="false">C4474/SUM($A4474:$C4474)</f>
        <v>0.45867208535016</v>
      </c>
      <c r="G4474" s="0" t="n">
        <f aca="false">SUMPRODUCT(D4474:F4474,Stats!$B$6:$D$6)</f>
        <v>0.37265141876212</v>
      </c>
      <c r="H4474" s="0" t="n">
        <f aca="false">SQRT(SUMPRODUCT(MMULT(D4474:F4474,Stats!$B$12:$D$14),D4474:F4474))</f>
        <v>0.240577592177088</v>
      </c>
      <c r="I4474" s="0" t="n">
        <f aca="false">(G4474-Stats!$B$2)/H4474</f>
        <v>1.37440655120835</v>
      </c>
    </row>
    <row r="4475" customFormat="false" ht="15" hidden="false" customHeight="false" outlineLevel="0" collapsed="false">
      <c r="A4475" s="0" t="n">
        <v>0.754682520868141</v>
      </c>
      <c r="B4475" s="0" t="n">
        <v>0.933472791947558</v>
      </c>
      <c r="C4475" s="0" t="n">
        <v>0.220129420835764</v>
      </c>
      <c r="D4475" s="0" t="n">
        <f aca="false">A4475/SUM($A4475:$C4475)</f>
        <v>0.395476894804934</v>
      </c>
      <c r="E4475" s="0" t="n">
        <f aca="false">B4475/SUM($A4475:$C4475)</f>
        <v>0.489168505876677</v>
      </c>
      <c r="F4475" s="0" t="n">
        <f aca="false">C4475/SUM($A4475:$C4475)</f>
        <v>0.115354599318389</v>
      </c>
      <c r="G4475" s="0" t="n">
        <f aca="false">SUMPRODUCT(D4475:F4475,Stats!$B$6:$D$6)</f>
        <v>0.38144896845757</v>
      </c>
      <c r="H4475" s="0" t="n">
        <f aca="false">SQRT(SUMPRODUCT(MMULT(D4475:F4475,Stats!$B$12:$D$14),D4475:F4475))</f>
        <v>0.228304545129985</v>
      </c>
      <c r="I4475" s="0" t="n">
        <f aca="false">(G4475-Stats!$B$2)/H4475</f>
        <v>1.48682527658091</v>
      </c>
    </row>
    <row r="4476" customFormat="false" ht="15" hidden="false" customHeight="false" outlineLevel="0" collapsed="false">
      <c r="A4476" s="0" t="n">
        <v>0.836369293010086</v>
      </c>
      <c r="B4476" s="0" t="n">
        <v>0.689991196354306</v>
      </c>
      <c r="C4476" s="0" t="n">
        <v>0.869759249567688</v>
      </c>
      <c r="D4476" s="0" t="n">
        <f aca="false">A4476/SUM($A4476:$C4476)</f>
        <v>0.349051543385242</v>
      </c>
      <c r="E4476" s="0" t="n">
        <f aca="false">B4476/SUM($A4476:$C4476)</f>
        <v>0.287961901545799</v>
      </c>
      <c r="F4476" s="0" t="n">
        <f aca="false">C4476/SUM($A4476:$C4476)</f>
        <v>0.362986555068959</v>
      </c>
      <c r="G4476" s="0" t="n">
        <f aca="false">SUMPRODUCT(D4476:F4476,Stats!$B$6:$D$6)</f>
        <v>0.363043444925419</v>
      </c>
      <c r="H4476" s="0" t="n">
        <f aca="false">SQRT(SUMPRODUCT(MMULT(D4476:F4476,Stats!$B$12:$D$14),D4476:F4476))</f>
        <v>0.225659737995186</v>
      </c>
      <c r="I4476" s="0" t="n">
        <f aca="false">(G4476-Stats!$B$2)/H4476</f>
        <v>1.42268819319584</v>
      </c>
    </row>
    <row r="4477" customFormat="false" ht="15" hidden="false" customHeight="false" outlineLevel="0" collapsed="false">
      <c r="A4477" s="0" t="n">
        <v>0.79691156574263</v>
      </c>
      <c r="B4477" s="0" t="n">
        <v>0.346495063176825</v>
      </c>
      <c r="C4477" s="0" t="n">
        <v>0.774398537017256</v>
      </c>
      <c r="D4477" s="0" t="n">
        <f aca="false">A4477/SUM($A4477:$C4477)</f>
        <v>0.415533120828463</v>
      </c>
      <c r="E4477" s="0" t="n">
        <f aca="false">B4477/SUM($A4477:$C4477)</f>
        <v>0.180672713438848</v>
      </c>
      <c r="F4477" s="0" t="n">
        <f aca="false">C4477/SUM($A4477:$C4477)</f>
        <v>0.403794165732689</v>
      </c>
      <c r="G4477" s="0" t="n">
        <f aca="false">SUMPRODUCT(D4477:F4477,Stats!$B$6:$D$6)</f>
        <v>0.355744909734804</v>
      </c>
      <c r="H4477" s="0" t="n">
        <f aca="false">SQRT(SUMPRODUCT(MMULT(D4477:F4477,Stats!$B$12:$D$14),D4477:F4477))</f>
        <v>0.223859501104223</v>
      </c>
      <c r="I4477" s="0" t="n">
        <f aca="false">(G4477-Stats!$B$2)/H4477</f>
        <v>1.40152599370233</v>
      </c>
    </row>
    <row r="4478" customFormat="false" ht="15" hidden="false" customHeight="false" outlineLevel="0" collapsed="false">
      <c r="A4478" s="0" t="n">
        <v>0.26245630298489</v>
      </c>
      <c r="B4478" s="0" t="n">
        <v>0.328592163028055</v>
      </c>
      <c r="C4478" s="0" t="n">
        <v>0.107905717222976</v>
      </c>
      <c r="D4478" s="0" t="n">
        <f aca="false">A4478/SUM($A4478:$C4478)</f>
        <v>0.375498579563265</v>
      </c>
      <c r="E4478" s="0" t="n">
        <f aca="false">B4478/SUM($A4478:$C4478)</f>
        <v>0.470119745913508</v>
      </c>
      <c r="F4478" s="0" t="n">
        <f aca="false">C4478/SUM($A4478:$C4478)</f>
        <v>0.154381674523227</v>
      </c>
      <c r="G4478" s="0" t="n">
        <f aca="false">SUMPRODUCT(D4478:F4478,Stats!$B$6:$D$6)</f>
        <v>0.379276770875445</v>
      </c>
      <c r="H4478" s="0" t="n">
        <f aca="false">SQRT(SUMPRODUCT(MMULT(D4478:F4478,Stats!$B$12:$D$14),D4478:F4478))</f>
        <v>0.227833562756881</v>
      </c>
      <c r="I4478" s="0" t="n">
        <f aca="false">(G4478-Stats!$B$2)/H4478</f>
        <v>1.48036473114082</v>
      </c>
    </row>
    <row r="4479" customFormat="false" ht="15" hidden="false" customHeight="false" outlineLevel="0" collapsed="false">
      <c r="A4479" s="0" t="n">
        <v>0.935076615980469</v>
      </c>
      <c r="B4479" s="0" t="n">
        <v>0.291003363400282</v>
      </c>
      <c r="C4479" s="0" t="n">
        <v>0.520622465171452</v>
      </c>
      <c r="D4479" s="0" t="n">
        <f aca="false">A4479/SUM($A4479:$C4479)</f>
        <v>0.535338242009613</v>
      </c>
      <c r="E4479" s="0" t="n">
        <f aca="false">B4479/SUM($A4479:$C4479)</f>
        <v>0.166601566459069</v>
      </c>
      <c r="F4479" s="0" t="n">
        <f aca="false">C4479/SUM($A4479:$C4479)</f>
        <v>0.298060191531319</v>
      </c>
      <c r="G4479" s="0" t="n">
        <f aca="false">SUMPRODUCT(D4479:F4479,Stats!$B$6:$D$6)</f>
        <v>0.357850847820695</v>
      </c>
      <c r="H4479" s="0" t="n">
        <f aca="false">SQRT(SUMPRODUCT(MMULT(D4479:F4479,Stats!$B$12:$D$14),D4479:F4479))</f>
        <v>0.221835836450886</v>
      </c>
      <c r="I4479" s="0" t="n">
        <f aca="false">(G4479-Stats!$B$2)/H4479</f>
        <v>1.42380443518026</v>
      </c>
    </row>
    <row r="4480" customFormat="false" ht="15" hidden="false" customHeight="false" outlineLevel="0" collapsed="false">
      <c r="A4480" s="0" t="n">
        <v>0.391332836466193</v>
      </c>
      <c r="B4480" s="0" t="n">
        <v>0.959928120583502</v>
      </c>
      <c r="C4480" s="0" t="n">
        <v>0.335049170938482</v>
      </c>
      <c r="D4480" s="0" t="n">
        <f aca="false">A4480/SUM($A4480:$C4480)</f>
        <v>0.232064571024706</v>
      </c>
      <c r="E4480" s="0" t="n">
        <f aca="false">B4480/SUM($A4480:$C4480)</f>
        <v>0.569247675532096</v>
      </c>
      <c r="F4480" s="0" t="n">
        <f aca="false">C4480/SUM($A4480:$C4480)</f>
        <v>0.198687753443198</v>
      </c>
      <c r="G4480" s="0" t="n">
        <f aca="false">SUMPRODUCT(D4480:F4480,Stats!$B$6:$D$6)</f>
        <v>0.383758740561726</v>
      </c>
      <c r="H4480" s="0" t="n">
        <f aca="false">SQRT(SUMPRODUCT(MMULT(D4480:F4480,Stats!$B$12:$D$14),D4480:F4480))</f>
        <v>0.232669660770326</v>
      </c>
      <c r="I4480" s="0" t="n">
        <f aca="false">(G4480-Stats!$B$2)/H4480</f>
        <v>1.46885820622348</v>
      </c>
    </row>
    <row r="4481" customFormat="false" ht="15" hidden="false" customHeight="false" outlineLevel="0" collapsed="false">
      <c r="A4481" s="0" t="n">
        <v>0.778545821422689</v>
      </c>
      <c r="B4481" s="0" t="n">
        <v>0.85541615463118</v>
      </c>
      <c r="C4481" s="0" t="n">
        <v>0.435606497480966</v>
      </c>
      <c r="D4481" s="0" t="n">
        <f aca="false">A4481/SUM($A4481:$C4481)</f>
        <v>0.376187515116583</v>
      </c>
      <c r="E4481" s="0" t="n">
        <f aca="false">B4481/SUM($A4481:$C4481)</f>
        <v>0.413330684908494</v>
      </c>
      <c r="F4481" s="0" t="n">
        <f aca="false">C4481/SUM($A4481:$C4481)</f>
        <v>0.210481799974923</v>
      </c>
      <c r="G4481" s="0" t="n">
        <f aca="false">SUMPRODUCT(D4481:F4481,Stats!$B$6:$D$6)</f>
        <v>0.374462262423773</v>
      </c>
      <c r="H4481" s="0" t="n">
        <f aca="false">SQRT(SUMPRODUCT(MMULT(D4481:F4481,Stats!$B$12:$D$14),D4481:F4481))</f>
        <v>0.22648691068405</v>
      </c>
      <c r="I4481" s="0" t="n">
        <f aca="false">(G4481-Stats!$B$2)/H4481</f>
        <v>1.46790938787433</v>
      </c>
    </row>
    <row r="4482" customFormat="false" ht="15" hidden="false" customHeight="false" outlineLevel="0" collapsed="false">
      <c r="A4482" s="0" t="n">
        <v>0.378171814452931</v>
      </c>
      <c r="B4482" s="0" t="n">
        <v>0.747745820932628</v>
      </c>
      <c r="C4482" s="0" t="n">
        <v>0.912895980306234</v>
      </c>
      <c r="D4482" s="0" t="n">
        <f aca="false">A4482/SUM($A4482:$C4482)</f>
        <v>0.18548621195303</v>
      </c>
      <c r="E4482" s="0" t="n">
        <f aca="false">B4482/SUM($A4482:$C4482)</f>
        <v>0.366755359674655</v>
      </c>
      <c r="F4482" s="0" t="n">
        <f aca="false">C4482/SUM($A4482:$C4482)</f>
        <v>0.447758428372315</v>
      </c>
      <c r="G4482" s="0" t="n">
        <f aca="false">SUMPRODUCT(D4482:F4482,Stats!$B$6:$D$6)</f>
        <v>0.365239566724413</v>
      </c>
      <c r="H4482" s="0" t="n">
        <f aca="false">SQRT(SUMPRODUCT(MMULT(D4482:F4482,Stats!$B$12:$D$14),D4482:F4482))</f>
        <v>0.232391311074309</v>
      </c>
      <c r="I4482" s="0" t="n">
        <f aca="false">(G4482-Stats!$B$2)/H4482</f>
        <v>1.39092793629042</v>
      </c>
    </row>
    <row r="4483" customFormat="false" ht="15" hidden="false" customHeight="false" outlineLevel="0" collapsed="false">
      <c r="A4483" s="0" t="n">
        <v>0.754931733072238</v>
      </c>
      <c r="B4483" s="0" t="n">
        <v>0.227126365591866</v>
      </c>
      <c r="C4483" s="0" t="n">
        <v>0.888307747437705</v>
      </c>
      <c r="D4483" s="0" t="n">
        <f aca="false">A4483/SUM($A4483:$C4483)</f>
        <v>0.403627843528931</v>
      </c>
      <c r="E4483" s="0" t="n">
        <f aca="false">B4483/SUM($A4483:$C4483)</f>
        <v>0.121434192174349</v>
      </c>
      <c r="F4483" s="0" t="n">
        <f aca="false">C4483/SUM($A4483:$C4483)</f>
        <v>0.47493796429672</v>
      </c>
      <c r="G4483" s="0" t="n">
        <f aca="false">SUMPRODUCT(D4483:F4483,Stats!$B$6:$D$6)</f>
        <v>0.350374639010103</v>
      </c>
      <c r="H4483" s="0" t="n">
        <f aca="false">SQRT(SUMPRODUCT(MMULT(D4483:F4483,Stats!$B$12:$D$14),D4483:F4483))</f>
        <v>0.224762447580309</v>
      </c>
      <c r="I4483" s="0" t="n">
        <f aca="false">(G4483-Stats!$B$2)/H4483</f>
        <v>1.37200249565675</v>
      </c>
    </row>
    <row r="4484" customFormat="false" ht="15" hidden="false" customHeight="false" outlineLevel="0" collapsed="false">
      <c r="A4484" s="0" t="n">
        <v>0.387581667436833</v>
      </c>
      <c r="B4484" s="0" t="n">
        <v>0.576229411777934</v>
      </c>
      <c r="C4484" s="0" t="n">
        <v>0.831435619292711</v>
      </c>
      <c r="D4484" s="0" t="n">
        <f aca="false">A4484/SUM($A4484:$C4484)</f>
        <v>0.215893262891979</v>
      </c>
      <c r="E4484" s="0" t="n">
        <f aca="false">B4484/SUM($A4484:$C4484)</f>
        <v>0.320975057220268</v>
      </c>
      <c r="F4484" s="0" t="n">
        <f aca="false">C4484/SUM($A4484:$C4484)</f>
        <v>0.463131679887753</v>
      </c>
      <c r="G4484" s="0" t="n">
        <f aca="false">SUMPRODUCT(D4484:F4484,Stats!$B$6:$D$6)</f>
        <v>0.362181515875798</v>
      </c>
      <c r="H4484" s="0" t="n">
        <f aca="false">SQRT(SUMPRODUCT(MMULT(D4484:F4484,Stats!$B$12:$D$14),D4484:F4484))</f>
        <v>0.23104796123015</v>
      </c>
      <c r="I4484" s="0" t="n">
        <f aca="false">(G4484-Stats!$B$2)/H4484</f>
        <v>1.38577944670484</v>
      </c>
    </row>
    <row r="4485" customFormat="false" ht="15" hidden="false" customHeight="false" outlineLevel="0" collapsed="false">
      <c r="A4485" s="0" t="n">
        <v>0.188394767400492</v>
      </c>
      <c r="B4485" s="0" t="n">
        <v>0.784510135677553</v>
      </c>
      <c r="C4485" s="0" t="n">
        <v>0.596162797910678</v>
      </c>
      <c r="D4485" s="0" t="n">
        <f aca="false">A4485/SUM($A4485:$C4485)</f>
        <v>0.120067966016876</v>
      </c>
      <c r="E4485" s="0" t="n">
        <f aca="false">B4485/SUM($A4485:$C4485)</f>
        <v>0.499984886046158</v>
      </c>
      <c r="F4485" s="0" t="n">
        <f aca="false">C4485/SUM($A4485:$C4485)</f>
        <v>0.379947147936966</v>
      </c>
      <c r="G4485" s="0" t="n">
        <f aca="false">SUMPRODUCT(D4485:F4485,Stats!$B$6:$D$6)</f>
        <v>0.374775291212642</v>
      </c>
      <c r="H4485" s="0" t="n">
        <f aca="false">SQRT(SUMPRODUCT(MMULT(D4485:F4485,Stats!$B$12:$D$14),D4485:F4485))</f>
        <v>0.235917033723914</v>
      </c>
      <c r="I4485" s="0" t="n">
        <f aca="false">(G4485-Stats!$B$2)/H4485</f>
        <v>1.41056067872606</v>
      </c>
    </row>
    <row r="4486" customFormat="false" ht="15" hidden="false" customHeight="false" outlineLevel="0" collapsed="false">
      <c r="A4486" s="0" t="n">
        <v>0.893341641827608</v>
      </c>
      <c r="B4486" s="0" t="n">
        <v>0.171970401843543</v>
      </c>
      <c r="C4486" s="0" t="n">
        <v>0.420682237040928</v>
      </c>
      <c r="D4486" s="0" t="n">
        <f aca="false">A4486/SUM($A4486:$C4486)</f>
        <v>0.601174347319509</v>
      </c>
      <c r="E4486" s="0" t="n">
        <f aca="false">B4486/SUM($A4486:$C4486)</f>
        <v>0.115727499140263</v>
      </c>
      <c r="F4486" s="0" t="n">
        <f aca="false">C4486/SUM($A4486:$C4486)</f>
        <v>0.283098153540228</v>
      </c>
      <c r="G4486" s="0" t="n">
        <f aca="false">SUMPRODUCT(D4486:F4486,Stats!$B$6:$D$6)</f>
        <v>0.355336192275089</v>
      </c>
      <c r="H4486" s="0" t="n">
        <f aca="false">SQRT(SUMPRODUCT(MMULT(D4486:F4486,Stats!$B$12:$D$14),D4486:F4486))</f>
        <v>0.221435720490354</v>
      </c>
      <c r="I4486" s="0" t="n">
        <f aca="false">(G4486-Stats!$B$2)/H4486</f>
        <v>1.41502098930212</v>
      </c>
    </row>
    <row r="4487" customFormat="false" ht="15" hidden="false" customHeight="false" outlineLevel="0" collapsed="false">
      <c r="A4487" s="0" t="n">
        <v>0.832843092866837</v>
      </c>
      <c r="B4487" s="0" t="n">
        <v>0.0192317034567602</v>
      </c>
      <c r="C4487" s="0" t="n">
        <v>0.112201366765643</v>
      </c>
      <c r="D4487" s="0" t="n">
        <f aca="false">A4487/SUM($A4487:$C4487)</f>
        <v>0.863697688221046</v>
      </c>
      <c r="E4487" s="0" t="n">
        <f aca="false">B4487/SUM($A4487:$C4487)</f>
        <v>0.0199441863160319</v>
      </c>
      <c r="F4487" s="0" t="n">
        <f aca="false">C4487/SUM($A4487:$C4487)</f>
        <v>0.116358125462922</v>
      </c>
      <c r="G4487" s="0" t="n">
        <f aca="false">SUMPRODUCT(D4487:F4487,Stats!$B$6:$D$6)</f>
        <v>0.354422736567744</v>
      </c>
      <c r="H4487" s="0" t="n">
        <f aca="false">SQRT(SUMPRODUCT(MMULT(D4487:F4487,Stats!$B$12:$D$14),D4487:F4487))</f>
        <v>0.22636820401204</v>
      </c>
      <c r="I4487" s="0" t="n">
        <f aca="false">(G4487-Stats!$B$2)/H4487</f>
        <v>1.38015291472263</v>
      </c>
    </row>
    <row r="4488" customFormat="false" ht="15" hidden="false" customHeight="false" outlineLevel="0" collapsed="false">
      <c r="A4488" s="0" t="n">
        <v>0.990565212756735</v>
      </c>
      <c r="B4488" s="0" t="n">
        <v>0.280394178590351</v>
      </c>
      <c r="C4488" s="0" t="n">
        <v>0.975543193723953</v>
      </c>
      <c r="D4488" s="0" t="n">
        <f aca="false">A4488/SUM($A4488:$C4488)</f>
        <v>0.440936600447051</v>
      </c>
      <c r="E4488" s="0" t="n">
        <f aca="false">B4488/SUM($A4488:$C4488)</f>
        <v>0.124813646088675</v>
      </c>
      <c r="F4488" s="0" t="n">
        <f aca="false">C4488/SUM($A4488:$C4488)</f>
        <v>0.434249753464274</v>
      </c>
      <c r="G4488" s="0" t="n">
        <f aca="false">SUMPRODUCT(D4488:F4488,Stats!$B$6:$D$6)</f>
        <v>0.351691050178587</v>
      </c>
      <c r="H4488" s="0" t="n">
        <f aca="false">SQRT(SUMPRODUCT(MMULT(D4488:F4488,Stats!$B$12:$D$14),D4488:F4488))</f>
        <v>0.223523874296155</v>
      </c>
      <c r="I4488" s="0" t="n">
        <f aca="false">(G4488-Stats!$B$2)/H4488</f>
        <v>1.38549428401669</v>
      </c>
    </row>
    <row r="4489" customFormat="false" ht="15" hidden="false" customHeight="false" outlineLevel="0" collapsed="false">
      <c r="A4489" s="0" t="n">
        <v>0.182531551008674</v>
      </c>
      <c r="B4489" s="0" t="n">
        <v>0.361094443007336</v>
      </c>
      <c r="C4489" s="0" t="n">
        <v>0.752869444503571</v>
      </c>
      <c r="D4489" s="0" t="n">
        <f aca="false">A4489/SUM($A4489:$C4489)</f>
        <v>0.140788425154122</v>
      </c>
      <c r="E4489" s="0" t="n">
        <f aca="false">B4489/SUM($A4489:$C4489)</f>
        <v>0.278515783610975</v>
      </c>
      <c r="F4489" s="0" t="n">
        <f aca="false">C4489/SUM($A4489:$C4489)</f>
        <v>0.580695791234903</v>
      </c>
      <c r="G4489" s="0" t="n">
        <f aca="false">SUMPRODUCT(D4489:F4489,Stats!$B$6:$D$6)</f>
        <v>0.356496679073419</v>
      </c>
      <c r="H4489" s="0" t="n">
        <f aca="false">SQRT(SUMPRODUCT(MMULT(D4489:F4489,Stats!$B$12:$D$14),D4489:F4489))</f>
        <v>0.236111722693946</v>
      </c>
      <c r="I4489" s="0" t="n">
        <f aca="false">(G4489-Stats!$B$2)/H4489</f>
        <v>1.33198248475395</v>
      </c>
    </row>
    <row r="4490" customFormat="false" ht="15" hidden="false" customHeight="false" outlineLevel="0" collapsed="false">
      <c r="A4490" s="0" t="n">
        <v>0.657778407238179</v>
      </c>
      <c r="B4490" s="0" t="n">
        <v>0.581122399929056</v>
      </c>
      <c r="C4490" s="0" t="n">
        <v>0.529899175805008</v>
      </c>
      <c r="D4490" s="0" t="n">
        <f aca="false">A4490/SUM($A4490:$C4490)</f>
        <v>0.371878343266866</v>
      </c>
      <c r="E4490" s="0" t="n">
        <f aca="false">B4490/SUM($A4490:$C4490)</f>
        <v>0.328540482543738</v>
      </c>
      <c r="F4490" s="0" t="n">
        <f aca="false">C4490/SUM($A4490:$C4490)</f>
        <v>0.299581174189396</v>
      </c>
      <c r="G4490" s="0" t="n">
        <f aca="false">SUMPRODUCT(D4490:F4490,Stats!$B$6:$D$6)</f>
        <v>0.367126662946973</v>
      </c>
      <c r="H4490" s="0" t="n">
        <f aca="false">SQRT(SUMPRODUCT(MMULT(D4490:F4490,Stats!$B$12:$D$14),D4490:F4490))</f>
        <v>0.225302996232612</v>
      </c>
      <c r="I4490" s="0" t="n">
        <f aca="false">(G4490-Stats!$B$2)/H4490</f>
        <v>1.44306408873186</v>
      </c>
    </row>
    <row r="4491" customFormat="false" ht="15" hidden="false" customHeight="false" outlineLevel="0" collapsed="false">
      <c r="A4491" s="0" t="n">
        <v>0.84344044366474</v>
      </c>
      <c r="B4491" s="0" t="n">
        <v>0.234948562833393</v>
      </c>
      <c r="C4491" s="0" t="n">
        <v>0.442470926993518</v>
      </c>
      <c r="D4491" s="0" t="n">
        <f aca="false">A4491/SUM($A4491:$C4491)</f>
        <v>0.554581276744096</v>
      </c>
      <c r="E4491" s="0" t="n">
        <f aca="false">B4491/SUM($A4491:$C4491)</f>
        <v>0.154484024241462</v>
      </c>
      <c r="F4491" s="0" t="n">
        <f aca="false">C4491/SUM($A4491:$C4491)</f>
        <v>0.290934699014442</v>
      </c>
      <c r="G4491" s="0" t="n">
        <f aca="false">SUMPRODUCT(D4491:F4491,Stats!$B$6:$D$6)</f>
        <v>0.357350102840466</v>
      </c>
      <c r="H4491" s="0" t="n">
        <f aca="false">SQRT(SUMPRODUCT(MMULT(D4491:F4491,Stats!$B$12:$D$14),D4491:F4491))</f>
        <v>0.221681335461398</v>
      </c>
      <c r="I4491" s="0" t="n">
        <f aca="false">(G4491-Stats!$B$2)/H4491</f>
        <v>1.4225379064237</v>
      </c>
    </row>
    <row r="4492" customFormat="false" ht="15" hidden="false" customHeight="false" outlineLevel="0" collapsed="false">
      <c r="A4492" s="0" t="n">
        <v>0.155452292156457</v>
      </c>
      <c r="B4492" s="0" t="n">
        <v>0.595941595730704</v>
      </c>
      <c r="C4492" s="0" t="n">
        <v>0.25054442427132</v>
      </c>
      <c r="D4492" s="0" t="n">
        <f aca="false">A4492/SUM($A4492:$C4492)</f>
        <v>0.155151560001299</v>
      </c>
      <c r="E4492" s="0" t="n">
        <f aca="false">B4492/SUM($A4492:$C4492)</f>
        <v>0.594788709543269</v>
      </c>
      <c r="F4492" s="0" t="n">
        <f aca="false">C4492/SUM($A4492:$C4492)</f>
        <v>0.250059730455432</v>
      </c>
      <c r="G4492" s="0" t="n">
        <f aca="false">SUMPRODUCT(D4492:F4492,Stats!$B$6:$D$6)</f>
        <v>0.383811776094204</v>
      </c>
      <c r="H4492" s="0" t="n">
        <f aca="false">SQRT(SUMPRODUCT(MMULT(D4492:F4492,Stats!$B$12:$D$14),D4492:F4492))</f>
        <v>0.235587171796539</v>
      </c>
      <c r="I4492" s="0" t="n">
        <f aca="false">(G4492-Stats!$B$2)/H4492</f>
        <v>1.45089299000289</v>
      </c>
    </row>
    <row r="4493" customFormat="false" ht="15" hidden="false" customHeight="false" outlineLevel="0" collapsed="false">
      <c r="A4493" s="0" t="n">
        <v>0.333842064343386</v>
      </c>
      <c r="B4493" s="0" t="n">
        <v>0.471250716623528</v>
      </c>
      <c r="C4493" s="0" t="n">
        <v>0.0267705857031279</v>
      </c>
      <c r="D4493" s="0" t="n">
        <f aca="false">A4493/SUM($A4493:$C4493)</f>
        <v>0.401318386792003</v>
      </c>
      <c r="E4493" s="0" t="n">
        <f aca="false">B4493/SUM($A4493:$C4493)</f>
        <v>0.566500143539137</v>
      </c>
      <c r="F4493" s="0" t="n">
        <f aca="false">C4493/SUM($A4493:$C4493)</f>
        <v>0.0321814696688602</v>
      </c>
      <c r="G4493" s="0" t="n">
        <f aca="false">SUMPRODUCT(D4493:F4493,Stats!$B$6:$D$6)</f>
        <v>0.388191997860306</v>
      </c>
      <c r="H4493" s="0" t="n">
        <f aca="false">SQRT(SUMPRODUCT(MMULT(D4493:F4493,Stats!$B$12:$D$14),D4493:F4493))</f>
        <v>0.231101445363847</v>
      </c>
      <c r="I4493" s="0" t="n">
        <f aca="false">(G4493-Stats!$B$2)/H4493</f>
        <v>1.49800879572717</v>
      </c>
    </row>
    <row r="4494" customFormat="false" ht="15" hidden="false" customHeight="false" outlineLevel="0" collapsed="false">
      <c r="A4494" s="0" t="n">
        <v>0.0919379359208377</v>
      </c>
      <c r="B4494" s="0" t="n">
        <v>0.68592922070822</v>
      </c>
      <c r="C4494" s="0" t="n">
        <v>0.428969980717507</v>
      </c>
      <c r="D4494" s="0" t="n">
        <f aca="false">A4494/SUM($A4494:$C4494)</f>
        <v>0.0761808972194697</v>
      </c>
      <c r="E4494" s="0" t="n">
        <f aca="false">B4494/SUM($A4494:$C4494)</f>
        <v>0.568369334586729</v>
      </c>
      <c r="F4494" s="0" t="n">
        <f aca="false">C4494/SUM($A4494:$C4494)</f>
        <v>0.355449768193801</v>
      </c>
      <c r="G4494" s="0" t="n">
        <f aca="false">SUMPRODUCT(D4494:F4494,Stats!$B$6:$D$6)</f>
        <v>0.379385549697637</v>
      </c>
      <c r="H4494" s="0" t="n">
        <f aca="false">SQRT(SUMPRODUCT(MMULT(D4494:F4494,Stats!$B$12:$D$14),D4494:F4494))</f>
        <v>0.238726828372502</v>
      </c>
      <c r="I4494" s="0" t="n">
        <f aca="false">(G4494-Stats!$B$2)/H4494</f>
        <v>1.41327035590315</v>
      </c>
    </row>
    <row r="4495" customFormat="false" ht="15" hidden="false" customHeight="false" outlineLevel="0" collapsed="false">
      <c r="A4495" s="0" t="n">
        <v>0.864790221999895</v>
      </c>
      <c r="B4495" s="0" t="n">
        <v>0.6946720036442</v>
      </c>
      <c r="C4495" s="0" t="n">
        <v>0.00810094164732245</v>
      </c>
      <c r="D4495" s="0" t="n">
        <f aca="false">A4495/SUM($A4495:$C4495)</f>
        <v>0.551678069531425</v>
      </c>
      <c r="E4495" s="0" t="n">
        <f aca="false">B4495/SUM($A4495:$C4495)</f>
        <v>0.443154073876665</v>
      </c>
      <c r="F4495" s="0" t="n">
        <f aca="false">C4495/SUM($A4495:$C4495)</f>
        <v>0.00516785659191011</v>
      </c>
      <c r="G4495" s="0" t="n">
        <f aca="false">SUMPRODUCT(D4495:F4495,Stats!$B$6:$D$6)</f>
        <v>0.381839714646236</v>
      </c>
      <c r="H4495" s="0" t="n">
        <f aca="false">SQRT(SUMPRODUCT(MMULT(D4495:F4495,Stats!$B$12:$D$14),D4495:F4495))</f>
        <v>0.228461267673629</v>
      </c>
      <c r="I4495" s="0" t="n">
        <f aca="false">(G4495-Stats!$B$2)/H4495</f>
        <v>1.48751566559509</v>
      </c>
    </row>
    <row r="4496" customFormat="false" ht="15" hidden="false" customHeight="false" outlineLevel="0" collapsed="false">
      <c r="A4496" s="0" t="n">
        <v>0.616712330767135</v>
      </c>
      <c r="B4496" s="0" t="n">
        <v>0.0937248660597164</v>
      </c>
      <c r="C4496" s="0" t="n">
        <v>0.780933179790494</v>
      </c>
      <c r="D4496" s="0" t="n">
        <f aca="false">A4496/SUM($A4496:$C4496)</f>
        <v>0.41352057170797</v>
      </c>
      <c r="E4496" s="0" t="n">
        <f aca="false">B4496/SUM($A4496:$C4496)</f>
        <v>0.0628447953165723</v>
      </c>
      <c r="F4496" s="0" t="n">
        <f aca="false">C4496/SUM($A4496:$C4496)</f>
        <v>0.523634632975458</v>
      </c>
      <c r="G4496" s="0" t="n">
        <f aca="false">SUMPRODUCT(D4496:F4496,Stats!$B$6:$D$6)</f>
        <v>0.345660689036586</v>
      </c>
      <c r="H4496" s="0" t="n">
        <f aca="false">SQRT(SUMPRODUCT(MMULT(D4496:F4496,Stats!$B$12:$D$14),D4496:F4496))</f>
        <v>0.225336564414905</v>
      </c>
      <c r="I4496" s="0" t="n">
        <f aca="false">(G4496-Stats!$B$2)/H4496</f>
        <v>1.34758728493555</v>
      </c>
    </row>
    <row r="4497" customFormat="false" ht="15" hidden="false" customHeight="false" outlineLevel="0" collapsed="false">
      <c r="A4497" s="0" t="n">
        <v>0.991507688278502</v>
      </c>
      <c r="B4497" s="0" t="n">
        <v>0.531198794241512</v>
      </c>
      <c r="C4497" s="0" t="n">
        <v>0.68277950019413</v>
      </c>
      <c r="D4497" s="0" t="n">
        <f aca="false">A4497/SUM($A4497:$C4497)</f>
        <v>0.449564266583241</v>
      </c>
      <c r="E4497" s="0" t="n">
        <f aca="false">B4497/SUM($A4497:$C4497)</f>
        <v>0.24085339848218</v>
      </c>
      <c r="F4497" s="0" t="n">
        <f aca="false">C4497/SUM($A4497:$C4497)</f>
        <v>0.30958233493458</v>
      </c>
      <c r="G4497" s="0" t="n">
        <f aca="false">SUMPRODUCT(D4497:F4497,Stats!$B$6:$D$6)</f>
        <v>0.361805483460343</v>
      </c>
      <c r="H4497" s="0" t="n">
        <f aca="false">SQRT(SUMPRODUCT(MMULT(D4497:F4497,Stats!$B$12:$D$14),D4497:F4497))</f>
        <v>0.223176386341721</v>
      </c>
      <c r="I4497" s="0" t="n">
        <f aca="false">(G4497-Stats!$B$2)/H4497</f>
        <v>1.43297186903397</v>
      </c>
    </row>
    <row r="4498" customFormat="false" ht="15" hidden="false" customHeight="false" outlineLevel="0" collapsed="false">
      <c r="A4498" s="0" t="n">
        <v>0.237314160894752</v>
      </c>
      <c r="B4498" s="0" t="n">
        <v>0.437597743753794</v>
      </c>
      <c r="C4498" s="0" t="n">
        <v>0.856095332236384</v>
      </c>
      <c r="D4498" s="0" t="n">
        <f aca="false">A4498/SUM($A4498:$C4498)</f>
        <v>0.155005250907634</v>
      </c>
      <c r="E4498" s="0" t="n">
        <f aca="false">B4498/SUM($A4498:$C4498)</f>
        <v>0.285823432581647</v>
      </c>
      <c r="F4498" s="0" t="n">
        <f aca="false">C4498/SUM($A4498:$C4498)</f>
        <v>0.559171316510719</v>
      </c>
      <c r="G4498" s="0" t="n">
        <f aca="false">SUMPRODUCT(D4498:F4498,Stats!$B$6:$D$6)</f>
        <v>0.357510680848858</v>
      </c>
      <c r="H4498" s="0" t="n">
        <f aca="false">SQRT(SUMPRODUCT(MMULT(D4498:F4498,Stats!$B$12:$D$14),D4498:F4498))</f>
        <v>0.235029787229594</v>
      </c>
      <c r="I4498" s="0" t="n">
        <f aca="false">(G4498-Stats!$B$2)/H4498</f>
        <v>1.34242848350385</v>
      </c>
    </row>
    <row r="4499" customFormat="false" ht="15" hidden="false" customHeight="false" outlineLevel="0" collapsed="false">
      <c r="A4499" s="0" t="n">
        <v>0.167422947746251</v>
      </c>
      <c r="B4499" s="0" t="n">
        <v>0.265535605613762</v>
      </c>
      <c r="C4499" s="0" t="n">
        <v>0.44543367528603</v>
      </c>
      <c r="D4499" s="0" t="n">
        <f aca="false">A4499/SUM($A4499:$C4499)</f>
        <v>0.190601581259795</v>
      </c>
      <c r="E4499" s="0" t="n">
        <f aca="false">B4499/SUM($A4499:$C4499)</f>
        <v>0.302297307460312</v>
      </c>
      <c r="F4499" s="0" t="n">
        <f aca="false">C4499/SUM($A4499:$C4499)</f>
        <v>0.507101111279893</v>
      </c>
      <c r="G4499" s="0" t="n">
        <f aca="false">SUMPRODUCT(D4499:F4499,Stats!$B$6:$D$6)</f>
        <v>0.359894382169643</v>
      </c>
      <c r="H4499" s="0" t="n">
        <f aca="false">SQRT(SUMPRODUCT(MMULT(D4499:F4499,Stats!$B$12:$D$14),D4499:F4499))</f>
        <v>0.232602336677654</v>
      </c>
      <c r="I4499" s="0" t="n">
        <f aca="false">(G4499-Stats!$B$2)/H4499</f>
        <v>1.36668610775905</v>
      </c>
    </row>
    <row r="4500" customFormat="false" ht="15" hidden="false" customHeight="false" outlineLevel="0" collapsed="false">
      <c r="A4500" s="0" t="n">
        <v>0.712248891844014</v>
      </c>
      <c r="B4500" s="0" t="n">
        <v>0.375883954795674</v>
      </c>
      <c r="C4500" s="0" t="n">
        <v>0.927732279783004</v>
      </c>
      <c r="D4500" s="0" t="n">
        <f aca="false">A4500/SUM($A4500:$C4500)</f>
        <v>0.353321699209091</v>
      </c>
      <c r="E4500" s="0" t="n">
        <f aca="false">B4500/SUM($A4500:$C4500)</f>
        <v>0.186462849061092</v>
      </c>
      <c r="F4500" s="0" t="n">
        <f aca="false">C4500/SUM($A4500:$C4500)</f>
        <v>0.460215451729817</v>
      </c>
      <c r="G4500" s="0" t="n">
        <f aca="false">SUMPRODUCT(D4500:F4500,Stats!$B$6:$D$6)</f>
        <v>0.354522271383879</v>
      </c>
      <c r="H4500" s="0" t="n">
        <f aca="false">SQRT(SUMPRODUCT(MMULT(D4500:F4500,Stats!$B$12:$D$14),D4500:F4500))</f>
        <v>0.225905760164818</v>
      </c>
      <c r="I4500" s="0" t="n">
        <f aca="false">(G4500-Stats!$B$2)/H4500</f>
        <v>1.38341878115842</v>
      </c>
    </row>
    <row r="4501" customFormat="false" ht="15" hidden="false" customHeight="false" outlineLevel="0" collapsed="false">
      <c r="A4501" s="0" t="n">
        <v>0.0944570512687192</v>
      </c>
      <c r="B4501" s="0" t="n">
        <v>0.370804197544848</v>
      </c>
      <c r="C4501" s="0" t="n">
        <v>0.708954123428422</v>
      </c>
      <c r="D4501" s="0" t="n">
        <f aca="false">A4501/SUM($A4501:$C4501)</f>
        <v>0.0804426968864899</v>
      </c>
      <c r="E4501" s="0" t="n">
        <f aca="false">B4501/SUM($A4501:$C4501)</f>
        <v>0.315788914291637</v>
      </c>
      <c r="F4501" s="0" t="n">
        <f aca="false">C4501/SUM($A4501:$C4501)</f>
        <v>0.603768388821874</v>
      </c>
      <c r="G4501" s="0" t="n">
        <f aca="false">SUMPRODUCT(D4501:F4501,Stats!$B$6:$D$6)</f>
        <v>0.358005108766842</v>
      </c>
      <c r="H4501" s="0" t="n">
        <f aca="false">SQRT(SUMPRODUCT(MMULT(D4501:F4501,Stats!$B$12:$D$14),D4501:F4501))</f>
        <v>0.239742736545078</v>
      </c>
      <c r="I4501" s="0" t="n">
        <f aca="false">(G4501-Stats!$B$2)/H4501</f>
        <v>1.31810086645701</v>
      </c>
    </row>
    <row r="4502" customFormat="false" ht="15" hidden="false" customHeight="false" outlineLevel="0" collapsed="false">
      <c r="A4502" s="0" t="n">
        <v>0.225986765661493</v>
      </c>
      <c r="B4502" s="0" t="n">
        <v>0.656413134229673</v>
      </c>
      <c r="C4502" s="0" t="n">
        <v>0.164216958227346</v>
      </c>
      <c r="D4502" s="0" t="n">
        <f aca="false">A4502/SUM($A4502:$C4502)</f>
        <v>0.21592119781803</v>
      </c>
      <c r="E4502" s="0" t="n">
        <f aca="false">B4502/SUM($A4502:$C4502)</f>
        <v>0.627176152512676</v>
      </c>
      <c r="F4502" s="0" t="n">
        <f aca="false">C4502/SUM($A4502:$C4502)</f>
        <v>0.156902649669294</v>
      </c>
      <c r="G4502" s="0" t="n">
        <f aca="false">SUMPRODUCT(D4502:F4502,Stats!$B$6:$D$6)</f>
        <v>0.388244078316997</v>
      </c>
      <c r="H4502" s="0" t="n">
        <f aca="false">SQRT(SUMPRODUCT(MMULT(D4502:F4502,Stats!$B$12:$D$14),D4502:F4502))</f>
        <v>0.234620358706728</v>
      </c>
      <c r="I4502" s="0" t="n">
        <f aca="false">(G4502-Stats!$B$2)/H4502</f>
        <v>1.47576314444987</v>
      </c>
    </row>
    <row r="4503" customFormat="false" ht="15" hidden="false" customHeight="false" outlineLevel="0" collapsed="false">
      <c r="A4503" s="0" t="n">
        <v>0.0559802848616864</v>
      </c>
      <c r="B4503" s="0" t="n">
        <v>0.121015716748649</v>
      </c>
      <c r="C4503" s="0" t="n">
        <v>0.929984783134135</v>
      </c>
      <c r="D4503" s="0" t="n">
        <f aca="false">A4503/SUM($A4503:$C4503)</f>
        <v>0.0505702408146214</v>
      </c>
      <c r="E4503" s="0" t="n">
        <f aca="false">B4503/SUM($A4503:$C4503)</f>
        <v>0.109320521563149</v>
      </c>
      <c r="F4503" s="0" t="n">
        <f aca="false">C4503/SUM($A4503:$C4503)</f>
        <v>0.84010923762223</v>
      </c>
      <c r="G4503" s="0" t="n">
        <f aca="false">SUMPRODUCT(D4503:F4503,Stats!$B$6:$D$6)</f>
        <v>0.339608176671857</v>
      </c>
      <c r="H4503" s="0" t="n">
        <f aca="false">SQRT(SUMPRODUCT(MMULT(D4503:F4503,Stats!$B$12:$D$14),D4503:F4503))</f>
        <v>0.248975295198261</v>
      </c>
      <c r="I4503" s="0" t="n">
        <f aca="false">(G4503-Stats!$B$2)/H4503</f>
        <v>1.1953321570916</v>
      </c>
    </row>
    <row r="4504" customFormat="false" ht="15" hidden="false" customHeight="false" outlineLevel="0" collapsed="false">
      <c r="A4504" s="0" t="n">
        <v>0.551750882939551</v>
      </c>
      <c r="B4504" s="0" t="n">
        <v>0.796345775479649</v>
      </c>
      <c r="C4504" s="0" t="n">
        <v>0.332654500905051</v>
      </c>
      <c r="D4504" s="0" t="n">
        <f aca="false">A4504/SUM($A4504:$C4504)</f>
        <v>0.328276366122742</v>
      </c>
      <c r="E4504" s="0" t="n">
        <f aca="false">B4504/SUM($A4504:$C4504)</f>
        <v>0.473803496170023</v>
      </c>
      <c r="F4504" s="0" t="n">
        <f aca="false">C4504/SUM($A4504:$C4504)</f>
        <v>0.197920137707235</v>
      </c>
      <c r="G4504" s="0" t="n">
        <f aca="false">SUMPRODUCT(D4504:F4504,Stats!$B$6:$D$6)</f>
        <v>0.378288172720895</v>
      </c>
      <c r="H4504" s="0" t="n">
        <f aca="false">SQRT(SUMPRODUCT(MMULT(D4504:F4504,Stats!$B$12:$D$14),D4504:F4504))</f>
        <v>0.228462614616773</v>
      </c>
      <c r="I4504" s="0" t="n">
        <f aca="false">(G4504-Stats!$B$2)/H4504</f>
        <v>1.47196149919316</v>
      </c>
    </row>
    <row r="4505" customFormat="false" ht="15" hidden="false" customHeight="false" outlineLevel="0" collapsed="false">
      <c r="A4505" s="0" t="n">
        <v>0.592658647885447</v>
      </c>
      <c r="B4505" s="0" t="n">
        <v>0.494952133704992</v>
      </c>
      <c r="C4505" s="0" t="n">
        <v>0.945737959402294</v>
      </c>
      <c r="D4505" s="0" t="n">
        <f aca="false">A4505/SUM($A4505:$C4505)</f>
        <v>0.291469257553968</v>
      </c>
      <c r="E4505" s="0" t="n">
        <f aca="false">B4505/SUM($A4505:$C4505)</f>
        <v>0.243417237646772</v>
      </c>
      <c r="F4505" s="0" t="n">
        <f aca="false">C4505/SUM($A4505:$C4505)</f>
        <v>0.465113504799261</v>
      </c>
      <c r="G4505" s="0" t="n">
        <f aca="false">SUMPRODUCT(D4505:F4505,Stats!$B$6:$D$6)</f>
        <v>0.357664291258976</v>
      </c>
      <c r="H4505" s="0" t="n">
        <f aca="false">SQRT(SUMPRODUCT(MMULT(D4505:F4505,Stats!$B$12:$D$14),D4505:F4505))</f>
        <v>0.227984432747149</v>
      </c>
      <c r="I4505" s="0" t="n">
        <f aca="false">(G4505-Stats!$B$2)/H4505</f>
        <v>1.38458704155942</v>
      </c>
    </row>
    <row r="4506" customFormat="false" ht="15" hidden="false" customHeight="false" outlineLevel="0" collapsed="false">
      <c r="A4506" s="0" t="n">
        <v>0.74757463605411</v>
      </c>
      <c r="B4506" s="0" t="n">
        <v>0.730542631496579</v>
      </c>
      <c r="C4506" s="0" t="n">
        <v>0.0463532694342795</v>
      </c>
      <c r="D4506" s="0" t="n">
        <f aca="false">A4506/SUM($A4506:$C4506)</f>
        <v>0.490383131662637</v>
      </c>
      <c r="E4506" s="0" t="n">
        <f aca="false">B4506/SUM($A4506:$C4506)</f>
        <v>0.479210725148821</v>
      </c>
      <c r="F4506" s="0" t="n">
        <f aca="false">C4506/SUM($A4506:$C4506)</f>
        <v>0.0304061431885427</v>
      </c>
      <c r="G4506" s="0" t="n">
        <f aca="false">SUMPRODUCT(D4506:F4506,Stats!$B$6:$D$6)</f>
        <v>0.383218431647479</v>
      </c>
      <c r="H4506" s="0" t="n">
        <f aca="false">SQRT(SUMPRODUCT(MMULT(D4506:F4506,Stats!$B$12:$D$14),D4506:F4506))</f>
        <v>0.228657797332139</v>
      </c>
      <c r="I4506" s="0" t="n">
        <f aca="false">(G4506-Stats!$B$2)/H4506</f>
        <v>1.49226676557125</v>
      </c>
    </row>
    <row r="4507" customFormat="false" ht="15" hidden="false" customHeight="false" outlineLevel="0" collapsed="false">
      <c r="A4507" s="0" t="n">
        <v>0.549669669003691</v>
      </c>
      <c r="B4507" s="0" t="n">
        <v>0.466991453901815</v>
      </c>
      <c r="C4507" s="0" t="n">
        <v>0.927842266606195</v>
      </c>
      <c r="D4507" s="0" t="n">
        <f aca="false">A4507/SUM($A4507:$C4507)</f>
        <v>0.282678689051667</v>
      </c>
      <c r="E4507" s="0" t="n">
        <f aca="false">B4507/SUM($A4507:$C4507)</f>
        <v>0.240159753086923</v>
      </c>
      <c r="F4507" s="0" t="n">
        <f aca="false">C4507/SUM($A4507:$C4507)</f>
        <v>0.47716155786141</v>
      </c>
      <c r="G4507" s="0" t="n">
        <f aca="false">SUMPRODUCT(D4507:F4507,Stats!$B$6:$D$6)</f>
        <v>0.357144639384218</v>
      </c>
      <c r="H4507" s="0" t="n">
        <f aca="false">SQRT(SUMPRODUCT(MMULT(D4507:F4507,Stats!$B$12:$D$14),D4507:F4507))</f>
        <v>0.22842204045595</v>
      </c>
      <c r="I4507" s="0" t="n">
        <f aca="false">(G4507-Stats!$B$2)/H4507</f>
        <v>1.37965950551515</v>
      </c>
    </row>
    <row r="4508" customFormat="false" ht="15" hidden="false" customHeight="false" outlineLevel="0" collapsed="false">
      <c r="A4508" s="0" t="n">
        <v>0.257341988189532</v>
      </c>
      <c r="B4508" s="0" t="n">
        <v>0.269833453291094</v>
      </c>
      <c r="C4508" s="0" t="n">
        <v>0.4113462488815</v>
      </c>
      <c r="D4508" s="0" t="n">
        <f aca="false">A4508/SUM($A4508:$C4508)</f>
        <v>0.274199297503969</v>
      </c>
      <c r="E4508" s="0" t="n">
        <f aca="false">B4508/SUM($A4508:$C4508)</f>
        <v>0.287509021967281</v>
      </c>
      <c r="F4508" s="0" t="n">
        <f aca="false">C4508/SUM($A4508:$C4508)</f>
        <v>0.438291680528751</v>
      </c>
      <c r="G4508" s="0" t="n">
        <f aca="false">SUMPRODUCT(D4508:F4508,Stats!$B$6:$D$6)</f>
        <v>0.360940876949942</v>
      </c>
      <c r="H4508" s="0" t="n">
        <f aca="false">SQRT(SUMPRODUCT(MMULT(D4508:F4508,Stats!$B$12:$D$14),D4508:F4508))</f>
        <v>0.22844772859483</v>
      </c>
      <c r="I4508" s="0" t="n">
        <f aca="false">(G4508-Stats!$B$2)/H4508</f>
        <v>1.39612190023394</v>
      </c>
    </row>
    <row r="4509" customFormat="false" ht="15" hidden="false" customHeight="false" outlineLevel="0" collapsed="false">
      <c r="A4509" s="0" t="n">
        <v>0.243369713406376</v>
      </c>
      <c r="B4509" s="0" t="n">
        <v>0.12918391780875</v>
      </c>
      <c r="C4509" s="0" t="n">
        <v>0.857414846650801</v>
      </c>
      <c r="D4509" s="0" t="n">
        <f aca="false">A4509/SUM($A4509:$C4509)</f>
        <v>0.19786662649163</v>
      </c>
      <c r="E4509" s="0" t="n">
        <f aca="false">B4509/SUM($A4509:$C4509)</f>
        <v>0.105030267143831</v>
      </c>
      <c r="F4509" s="0" t="n">
        <f aca="false">C4509/SUM($A4509:$C4509)</f>
        <v>0.697103106364539</v>
      </c>
      <c r="G4509" s="0" t="n">
        <f aca="false">SUMPRODUCT(D4509:F4509,Stats!$B$6:$D$6)</f>
        <v>0.343304660051718</v>
      </c>
      <c r="H4509" s="0" t="n">
        <f aca="false">SQRT(SUMPRODUCT(MMULT(D4509:F4509,Stats!$B$12:$D$14),D4509:F4509))</f>
        <v>0.236568068500819</v>
      </c>
      <c r="I4509" s="0" t="n">
        <f aca="false">(G4509-Stats!$B$2)/H4509</f>
        <v>1.27364889928361</v>
      </c>
    </row>
    <row r="4510" customFormat="false" ht="15" hidden="false" customHeight="false" outlineLevel="0" collapsed="false">
      <c r="A4510" s="0" t="n">
        <v>0.558276524403916</v>
      </c>
      <c r="B4510" s="0" t="n">
        <v>0.861362718956567</v>
      </c>
      <c r="C4510" s="0" t="n">
        <v>0.831134765403696</v>
      </c>
      <c r="D4510" s="0" t="n">
        <f aca="false">A4510/SUM($A4510:$C4510)</f>
        <v>0.248037573843518</v>
      </c>
      <c r="E4510" s="0" t="n">
        <f aca="false">B4510/SUM($A4510:$C4510)</f>
        <v>0.382696226099355</v>
      </c>
      <c r="F4510" s="0" t="n">
        <f aca="false">C4510/SUM($A4510:$C4510)</f>
        <v>0.369266200057127</v>
      </c>
      <c r="G4510" s="0" t="n">
        <f aca="false">SUMPRODUCT(D4510:F4510,Stats!$B$6:$D$6)</f>
        <v>0.368321176552723</v>
      </c>
      <c r="H4510" s="0" t="n">
        <f aca="false">SQRT(SUMPRODUCT(MMULT(D4510:F4510,Stats!$B$12:$D$14),D4510:F4510))</f>
        <v>0.229487076382812</v>
      </c>
      <c r="I4510" s="0" t="n">
        <f aca="false">(G4510-Stats!$B$2)/H4510</f>
        <v>1.42195883836343</v>
      </c>
    </row>
    <row r="4511" customFormat="false" ht="15" hidden="false" customHeight="false" outlineLevel="0" collapsed="false">
      <c r="A4511" s="0" t="n">
        <v>0.282042354789671</v>
      </c>
      <c r="B4511" s="0" t="n">
        <v>0.547737444324274</v>
      </c>
      <c r="C4511" s="0" t="n">
        <v>0.0832177027400705</v>
      </c>
      <c r="D4511" s="0" t="n">
        <f aca="false">A4511/SUM($A4511:$C4511)</f>
        <v>0.308919087091619</v>
      </c>
      <c r="E4511" s="0" t="n">
        <f aca="false">B4511/SUM($A4511:$C4511)</f>
        <v>0.599933124912159</v>
      </c>
      <c r="F4511" s="0" t="n">
        <f aca="false">C4511/SUM($A4511:$C4511)</f>
        <v>0.0911477879962224</v>
      </c>
      <c r="G4511" s="0" t="n">
        <f aca="false">SUMPRODUCT(D4511:F4511,Stats!$B$6:$D$6)</f>
        <v>0.38848971478881</v>
      </c>
      <c r="H4511" s="0" t="n">
        <f aca="false">SQRT(SUMPRODUCT(MMULT(D4511:F4511,Stats!$B$12:$D$14),D4511:F4511))</f>
        <v>0.232372379651608</v>
      </c>
      <c r="I4511" s="0" t="n">
        <f aca="false">(G4511-Stats!$B$2)/H4511</f>
        <v>1.49109681326282</v>
      </c>
    </row>
    <row r="4512" customFormat="false" ht="15" hidden="false" customHeight="false" outlineLevel="0" collapsed="false">
      <c r="A4512" s="0" t="n">
        <v>0.915251884030758</v>
      </c>
      <c r="B4512" s="0" t="n">
        <v>0.404262715065153</v>
      </c>
      <c r="C4512" s="0" t="n">
        <v>0.393676183889021</v>
      </c>
      <c r="D4512" s="0" t="n">
        <f aca="false">A4512/SUM($A4512:$C4512)</f>
        <v>0.534238155563792</v>
      </c>
      <c r="E4512" s="0" t="n">
        <f aca="false">B4512/SUM($A4512:$C4512)</f>
        <v>0.235970633907332</v>
      </c>
      <c r="F4512" s="0" t="n">
        <f aca="false">C4512/SUM($A4512:$C4512)</f>
        <v>0.229791210528876</v>
      </c>
      <c r="G4512" s="0" t="n">
        <f aca="false">SUMPRODUCT(D4512:F4512,Stats!$B$6:$D$6)</f>
        <v>0.363724745072552</v>
      </c>
      <c r="H4512" s="0" t="n">
        <f aca="false">SQRT(SUMPRODUCT(MMULT(D4512:F4512,Stats!$B$12:$D$14),D4512:F4512))</f>
        <v>0.222522430120257</v>
      </c>
      <c r="I4512" s="0" t="n">
        <f aca="false">(G4512-Stats!$B$2)/H4512</f>
        <v>1.44580815919853</v>
      </c>
    </row>
    <row r="4513" customFormat="false" ht="15" hidden="false" customHeight="false" outlineLevel="0" collapsed="false">
      <c r="A4513" s="0" t="n">
        <v>0.302755370617953</v>
      </c>
      <c r="B4513" s="0" t="n">
        <v>0.460663744710704</v>
      </c>
      <c r="C4513" s="0" t="n">
        <v>0.251759386545448</v>
      </c>
      <c r="D4513" s="0" t="n">
        <f aca="false">A4513/SUM($A4513:$C4513)</f>
        <v>0.298228705650328</v>
      </c>
      <c r="E4513" s="0" t="n">
        <f aca="false">B4513/SUM($A4513:$C4513)</f>
        <v>0.453776103276694</v>
      </c>
      <c r="F4513" s="0" t="n">
        <f aca="false">C4513/SUM($A4513:$C4513)</f>
        <v>0.247995191072978</v>
      </c>
      <c r="G4513" s="0" t="n">
        <f aca="false">SUMPRODUCT(D4513:F4513,Stats!$B$6:$D$6)</f>
        <v>0.375755022118078</v>
      </c>
      <c r="H4513" s="0" t="n">
        <f aca="false">SQRT(SUMPRODUCT(MMULT(D4513:F4513,Stats!$B$12:$D$14),D4513:F4513))</f>
        <v>0.228650039844641</v>
      </c>
      <c r="I4513" s="0" t="n">
        <f aca="false">(G4513-Stats!$B$2)/H4513</f>
        <v>1.45967620362039</v>
      </c>
    </row>
    <row r="4514" customFormat="false" ht="15" hidden="false" customHeight="false" outlineLevel="0" collapsed="false">
      <c r="A4514" s="0" t="n">
        <v>0.374852272796805</v>
      </c>
      <c r="B4514" s="0" t="n">
        <v>0.799947048584882</v>
      </c>
      <c r="C4514" s="0" t="n">
        <v>0.834255503585172</v>
      </c>
      <c r="D4514" s="0" t="n">
        <f aca="false">A4514/SUM($A4514:$C4514)</f>
        <v>0.186581405414354</v>
      </c>
      <c r="E4514" s="0" t="n">
        <f aca="false">B4514/SUM($A4514:$C4514)</f>
        <v>0.398170840657909</v>
      </c>
      <c r="F4514" s="0" t="n">
        <f aca="false">C4514/SUM($A4514:$C4514)</f>
        <v>0.415247753927738</v>
      </c>
      <c r="G4514" s="0" t="n">
        <f aca="false">SUMPRODUCT(D4514:F4514,Stats!$B$6:$D$6)</f>
        <v>0.367943642183474</v>
      </c>
      <c r="H4514" s="0" t="n">
        <f aca="false">SQRT(SUMPRODUCT(MMULT(D4514:F4514,Stats!$B$12:$D$14),D4514:F4514))</f>
        <v>0.232268479777703</v>
      </c>
      <c r="I4514" s="0" t="n">
        <f aca="false">(G4514-Stats!$B$2)/H4514</f>
        <v>1.4033055302873</v>
      </c>
    </row>
    <row r="4515" customFormat="false" ht="15" hidden="false" customHeight="false" outlineLevel="0" collapsed="false">
      <c r="A4515" s="0" t="n">
        <v>0.304182477628516</v>
      </c>
      <c r="B4515" s="0" t="n">
        <v>0.469014430552788</v>
      </c>
      <c r="C4515" s="0" t="n">
        <v>0.873819776280052</v>
      </c>
      <c r="D4515" s="0" t="n">
        <f aca="false">A4515/SUM($A4515:$C4515)</f>
        <v>0.184686943671124</v>
      </c>
      <c r="E4515" s="0" t="n">
        <f aca="false">B4515/SUM($A4515:$C4515)</f>
        <v>0.284766046985235</v>
      </c>
      <c r="F4515" s="0" t="n">
        <f aca="false">C4515/SUM($A4515:$C4515)</f>
        <v>0.530547009343641</v>
      </c>
      <c r="G4515" s="0" t="n">
        <f aca="false">SUMPRODUCT(D4515:F4515,Stats!$B$6:$D$6)</f>
        <v>0.358239144510832</v>
      </c>
      <c r="H4515" s="0" t="n">
        <f aca="false">SQRT(SUMPRODUCT(MMULT(D4515:F4515,Stats!$B$12:$D$14),D4515:F4515))</f>
        <v>0.233173524424776</v>
      </c>
      <c r="I4515" s="0" t="n">
        <f aca="false">(G4515-Stats!$B$2)/H4515</f>
        <v>1.3562395014227</v>
      </c>
    </row>
    <row r="4516" customFormat="false" ht="15" hidden="false" customHeight="false" outlineLevel="0" collapsed="false">
      <c r="A4516" s="0" t="n">
        <v>0.0526733318296971</v>
      </c>
      <c r="B4516" s="0" t="n">
        <v>0.889144961995785</v>
      </c>
      <c r="C4516" s="0" t="n">
        <v>0.219184345652332</v>
      </c>
      <c r="D4516" s="0" t="n">
        <f aca="false">A4516/SUM($A4516:$C4516)</f>
        <v>0.0453688303873177</v>
      </c>
      <c r="E4516" s="0" t="n">
        <f aca="false">B4516/SUM($A4516:$C4516)</f>
        <v>0.765842326074037</v>
      </c>
      <c r="F4516" s="0" t="n">
        <f aca="false">C4516/SUM($A4516:$C4516)</f>
        <v>0.188788843538646</v>
      </c>
      <c r="G4516" s="0" t="n">
        <f aca="false">SUMPRODUCT(D4516:F4516,Stats!$B$6:$D$6)</f>
        <v>0.395343500939729</v>
      </c>
      <c r="H4516" s="0" t="n">
        <f aca="false">SQRT(SUMPRODUCT(MMULT(D4516:F4516,Stats!$B$12:$D$14),D4516:F4516))</f>
        <v>0.243953187142553</v>
      </c>
      <c r="I4516" s="0" t="n">
        <f aca="false">(G4516-Stats!$B$2)/H4516</f>
        <v>1.44840698774415</v>
      </c>
    </row>
    <row r="4517" customFormat="false" ht="15" hidden="false" customHeight="false" outlineLevel="0" collapsed="false">
      <c r="A4517" s="0" t="n">
        <v>0.678539244214376</v>
      </c>
      <c r="B4517" s="0" t="n">
        <v>0.5825516963846</v>
      </c>
      <c r="C4517" s="0" t="n">
        <v>0.552940748189252</v>
      </c>
      <c r="D4517" s="0" t="n">
        <f aca="false">A4517/SUM($A4517:$C4517)</f>
        <v>0.374050380932231</v>
      </c>
      <c r="E4517" s="0" t="n">
        <f aca="false">B4517/SUM($A4517:$C4517)</f>
        <v>0.321136449812376</v>
      </c>
      <c r="F4517" s="0" t="n">
        <f aca="false">C4517/SUM($A4517:$C4517)</f>
        <v>0.304813169255393</v>
      </c>
      <c r="G4517" s="0" t="n">
        <f aca="false">SUMPRODUCT(D4517:F4517,Stats!$B$6:$D$6)</f>
        <v>0.366556374234849</v>
      </c>
      <c r="H4517" s="0" t="n">
        <f aca="false">SQRT(SUMPRODUCT(MMULT(D4517:F4517,Stats!$B$12:$D$14),D4517:F4517))</f>
        <v>0.225188315140209</v>
      </c>
      <c r="I4517" s="0" t="n">
        <f aca="false">(G4517-Stats!$B$2)/H4517</f>
        <v>1.44126649747688</v>
      </c>
    </row>
    <row r="4518" customFormat="false" ht="15" hidden="false" customHeight="false" outlineLevel="0" collapsed="false">
      <c r="A4518" s="0" t="n">
        <v>0.859360224752821</v>
      </c>
      <c r="B4518" s="0" t="n">
        <v>0.101572143644661</v>
      </c>
      <c r="C4518" s="0" t="n">
        <v>0.347028025325636</v>
      </c>
      <c r="D4518" s="0" t="n">
        <f aca="false">A4518/SUM($A4518:$C4518)</f>
        <v>0.657023124612089</v>
      </c>
      <c r="E4518" s="0" t="n">
        <f aca="false">B4518/SUM($A4518:$C4518)</f>
        <v>0.0776568955238281</v>
      </c>
      <c r="F4518" s="0" t="n">
        <f aca="false">C4518/SUM($A4518:$C4518)</f>
        <v>0.265319979864083</v>
      </c>
      <c r="G4518" s="0" t="n">
        <f aca="false">SUMPRODUCT(D4518:F4518,Stats!$B$6:$D$6)</f>
        <v>0.353635885318092</v>
      </c>
      <c r="H4518" s="0" t="n">
        <f aca="false">SQRT(SUMPRODUCT(MMULT(D4518:F4518,Stats!$B$12:$D$14),D4518:F4518))</f>
        <v>0.221534810332577</v>
      </c>
      <c r="I4518" s="0" t="n">
        <f aca="false">(G4518-Stats!$B$2)/H4518</f>
        <v>1.40671294434609</v>
      </c>
    </row>
    <row r="4519" customFormat="false" ht="15" hidden="false" customHeight="false" outlineLevel="0" collapsed="false">
      <c r="A4519" s="0" t="n">
        <v>0.538252746344766</v>
      </c>
      <c r="B4519" s="0" t="n">
        <v>0.81128885394604</v>
      </c>
      <c r="C4519" s="0" t="n">
        <v>0.216443083411672</v>
      </c>
      <c r="D4519" s="0" t="n">
        <f aca="false">A4519/SUM($A4519:$C4519)</f>
        <v>0.343715204846173</v>
      </c>
      <c r="E4519" s="0" t="n">
        <f aca="false">B4519/SUM($A4519:$C4519)</f>
        <v>0.518069469254258</v>
      </c>
      <c r="F4519" s="0" t="n">
        <f aca="false">C4519/SUM($A4519:$C4519)</f>
        <v>0.138215325899569</v>
      </c>
      <c r="G4519" s="0" t="n">
        <f aca="false">SUMPRODUCT(D4519:F4519,Stats!$B$6:$D$6)</f>
        <v>0.382481516741752</v>
      </c>
      <c r="H4519" s="0" t="n">
        <f aca="false">SQRT(SUMPRODUCT(MMULT(D4519:F4519,Stats!$B$12:$D$14),D4519:F4519))</f>
        <v>0.229433295754533</v>
      </c>
      <c r="I4519" s="0" t="n">
        <f aca="false">(G4519-Stats!$B$2)/H4519</f>
        <v>1.48401092187608</v>
      </c>
    </row>
    <row r="4520" customFormat="false" ht="15" hidden="false" customHeight="false" outlineLevel="0" collapsed="false">
      <c r="A4520" s="0" t="n">
        <v>0.802929841374276</v>
      </c>
      <c r="B4520" s="0" t="n">
        <v>0.399638482493936</v>
      </c>
      <c r="C4520" s="0" t="n">
        <v>0.188913856433695</v>
      </c>
      <c r="D4520" s="0" t="n">
        <f aca="false">A4520/SUM($A4520:$C4520)</f>
        <v>0.577032068926723</v>
      </c>
      <c r="E4520" s="0" t="n">
        <f aca="false">B4520/SUM($A4520:$C4520)</f>
        <v>0.287203449782754</v>
      </c>
      <c r="F4520" s="0" t="n">
        <f aca="false">C4520/SUM($A4520:$C4520)</f>
        <v>0.135764481290524</v>
      </c>
      <c r="G4520" s="0" t="n">
        <f aca="false">SUMPRODUCT(D4520:F4520,Stats!$B$6:$D$6)</f>
        <v>0.369265365882854</v>
      </c>
      <c r="H4520" s="0" t="n">
        <f aca="false">SQRT(SUMPRODUCT(MMULT(D4520:F4520,Stats!$B$12:$D$14),D4520:F4520))</f>
        <v>0.223849464228045</v>
      </c>
      <c r="I4520" s="0" t="n">
        <f aca="false">(G4520-Stats!$B$2)/H4520</f>
        <v>1.4619886047592</v>
      </c>
    </row>
    <row r="4521" customFormat="false" ht="15" hidden="false" customHeight="false" outlineLevel="0" collapsed="false">
      <c r="A4521" s="0" t="n">
        <v>0.758986440443483</v>
      </c>
      <c r="B4521" s="0" t="n">
        <v>0.0908989014745478</v>
      </c>
      <c r="C4521" s="0" t="n">
        <v>0.514767374075443</v>
      </c>
      <c r="D4521" s="0" t="n">
        <f aca="false">A4521/SUM($A4521:$C4521)</f>
        <v>0.556175524767807</v>
      </c>
      <c r="E4521" s="0" t="n">
        <f aca="false">B4521/SUM($A4521:$C4521)</f>
        <v>0.0666095486487</v>
      </c>
      <c r="F4521" s="0" t="n">
        <f aca="false">C4521/SUM($A4521:$C4521)</f>
        <v>0.377214926583493</v>
      </c>
      <c r="G4521" s="0" t="n">
        <f aca="false">SUMPRODUCT(D4521:F4521,Stats!$B$6:$D$6)</f>
        <v>0.34991477515847</v>
      </c>
      <c r="H4521" s="0" t="n">
        <f aca="false">SQRT(SUMPRODUCT(MMULT(D4521:F4521,Stats!$B$12:$D$14),D4521:F4521))</f>
        <v>0.221621227865066</v>
      </c>
      <c r="I4521" s="0" t="n">
        <f aca="false">(G4521-Stats!$B$2)/H4521</f>
        <v>1.38937401495648</v>
      </c>
    </row>
    <row r="4522" customFormat="false" ht="15" hidden="false" customHeight="false" outlineLevel="0" collapsed="false">
      <c r="A4522" s="0" t="n">
        <v>0.0638757838618884</v>
      </c>
      <c r="B4522" s="0" t="n">
        <v>0.356417855157788</v>
      </c>
      <c r="C4522" s="0" t="n">
        <v>0.601076799006393</v>
      </c>
      <c r="D4522" s="0" t="n">
        <f aca="false">A4522/SUM($A4522:$C4522)</f>
        <v>0.0625392918022345</v>
      </c>
      <c r="E4522" s="0" t="n">
        <f aca="false">B4522/SUM($A4522:$C4522)</f>
        <v>0.348960418167782</v>
      </c>
      <c r="F4522" s="0" t="n">
        <f aca="false">C4522/SUM($A4522:$C4522)</f>
        <v>0.588500290029984</v>
      </c>
      <c r="G4522" s="0" t="n">
        <f aca="false">SUMPRODUCT(D4522:F4522,Stats!$B$6:$D$6)</f>
        <v>0.360334766118605</v>
      </c>
      <c r="H4522" s="0" t="n">
        <f aca="false">SQRT(SUMPRODUCT(MMULT(D4522:F4522,Stats!$B$12:$D$14),D4522:F4522))</f>
        <v>0.240478529943046</v>
      </c>
      <c r="I4522" s="0" t="n">
        <f aca="false">(G4522-Stats!$B$2)/H4522</f>
        <v>1.32375545623137</v>
      </c>
    </row>
    <row r="4523" customFormat="false" ht="15" hidden="false" customHeight="false" outlineLevel="0" collapsed="false">
      <c r="A4523" s="0" t="n">
        <v>0.556115541487213</v>
      </c>
      <c r="B4523" s="0" t="n">
        <v>0.404655417904667</v>
      </c>
      <c r="C4523" s="0" t="n">
        <v>0.429047993972116</v>
      </c>
      <c r="D4523" s="0" t="n">
        <f aca="false">A4523/SUM($A4523:$C4523)</f>
        <v>0.400135240738486</v>
      </c>
      <c r="E4523" s="0" t="n">
        <f aca="false">B4523/SUM($A4523:$C4523)</f>
        <v>0.291156928695796</v>
      </c>
      <c r="F4523" s="0" t="n">
        <f aca="false">C4523/SUM($A4523:$C4523)</f>
        <v>0.308707830565718</v>
      </c>
      <c r="G4523" s="0" t="n">
        <f aca="false">SUMPRODUCT(D4523:F4523,Stats!$B$6:$D$6)</f>
        <v>0.364723997603869</v>
      </c>
      <c r="H4523" s="0" t="n">
        <f aca="false">SQRT(SUMPRODUCT(MMULT(D4523:F4523,Stats!$B$12:$D$14),D4523:F4523))</f>
        <v>0.224396121003318</v>
      </c>
      <c r="I4523" s="0" t="n">
        <f aca="false">(G4523-Stats!$B$2)/H4523</f>
        <v>1.43818884284144</v>
      </c>
    </row>
    <row r="4524" customFormat="false" ht="15" hidden="false" customHeight="false" outlineLevel="0" collapsed="false">
      <c r="A4524" s="0" t="n">
        <v>0.226769553350767</v>
      </c>
      <c r="B4524" s="0" t="n">
        <v>0.455882588424103</v>
      </c>
      <c r="C4524" s="0" t="n">
        <v>0.953254855720834</v>
      </c>
      <c r="D4524" s="0" t="n">
        <f aca="false">A4524/SUM($A4524:$C4524)</f>
        <v>0.138620076628997</v>
      </c>
      <c r="E4524" s="0" t="n">
        <f aca="false">B4524/SUM($A4524:$C4524)</f>
        <v>0.278672680734285</v>
      </c>
      <c r="F4524" s="0" t="n">
        <f aca="false">C4524/SUM($A4524:$C4524)</f>
        <v>0.582707242636718</v>
      </c>
      <c r="G4524" s="0" t="n">
        <f aca="false">SUMPRODUCT(D4524:F4524,Stats!$B$6:$D$6)</f>
        <v>0.356450241732066</v>
      </c>
      <c r="H4524" s="0" t="n">
        <f aca="false">SQRT(SUMPRODUCT(MMULT(D4524:F4524,Stats!$B$12:$D$14),D4524:F4524))</f>
        <v>0.236257943801441</v>
      </c>
      <c r="I4524" s="0" t="n">
        <f aca="false">(G4524-Stats!$B$2)/H4524</f>
        <v>1.33096156121777</v>
      </c>
    </row>
    <row r="4525" customFormat="false" ht="15" hidden="false" customHeight="false" outlineLevel="0" collapsed="false">
      <c r="A4525" s="0" t="n">
        <v>0.85045291778379</v>
      </c>
      <c r="B4525" s="0" t="n">
        <v>0.145232869076344</v>
      </c>
      <c r="C4525" s="0" t="n">
        <v>0.0297807873209209</v>
      </c>
      <c r="D4525" s="0" t="n">
        <f aca="false">A4525/SUM($A4525:$C4525)</f>
        <v>0.82933265617455</v>
      </c>
      <c r="E4525" s="0" t="n">
        <f aca="false">B4525/SUM($A4525:$C4525)</f>
        <v>0.141626136563571</v>
      </c>
      <c r="F4525" s="0" t="n">
        <f aca="false">C4525/SUM($A4525:$C4525)</f>
        <v>0.0290412072618789</v>
      </c>
      <c r="G4525" s="0" t="n">
        <f aca="false">SUMPRODUCT(D4525:F4525,Stats!$B$6:$D$6)</f>
        <v>0.363831888930662</v>
      </c>
      <c r="H4525" s="0" t="n">
        <f aca="false">SQRT(SUMPRODUCT(MMULT(D4525:F4525,Stats!$B$12:$D$14),D4525:F4525))</f>
        <v>0.227845769784891</v>
      </c>
      <c r="I4525" s="0" t="n">
        <f aca="false">(G4525-Stats!$B$2)/H4525</f>
        <v>1.41249885496889</v>
      </c>
    </row>
    <row r="4526" customFormat="false" ht="15" hidden="false" customHeight="false" outlineLevel="0" collapsed="false">
      <c r="A4526" s="0" t="n">
        <v>0.933524312716631</v>
      </c>
      <c r="B4526" s="0" t="n">
        <v>0.526749749880748</v>
      </c>
      <c r="C4526" s="0" t="n">
        <v>0.537837823149308</v>
      </c>
      <c r="D4526" s="0" t="n">
        <f aca="false">A4526/SUM($A4526:$C4526)</f>
        <v>0.467203222890482</v>
      </c>
      <c r="E4526" s="0" t="n">
        <f aca="false">B4526/SUM($A4526:$C4526)</f>
        <v>0.263623750821093</v>
      </c>
      <c r="F4526" s="0" t="n">
        <f aca="false">C4526/SUM($A4526:$C4526)</f>
        <v>0.269173026288425</v>
      </c>
      <c r="G4526" s="0" t="n">
        <f aca="false">SUMPRODUCT(D4526:F4526,Stats!$B$6:$D$6)</f>
        <v>0.364229931206514</v>
      </c>
      <c r="H4526" s="0" t="n">
        <f aca="false">SQRT(SUMPRODUCT(MMULT(D4526:F4526,Stats!$B$12:$D$14),D4526:F4526))</f>
        <v>0.223153485308851</v>
      </c>
      <c r="I4526" s="0" t="n">
        <f aca="false">(G4526-Stats!$B$2)/H4526</f>
        <v>1.44398341240576</v>
      </c>
    </row>
    <row r="4527" customFormat="false" ht="15" hidden="false" customHeight="false" outlineLevel="0" collapsed="false">
      <c r="A4527" s="0" t="n">
        <v>0.780717995706522</v>
      </c>
      <c r="B4527" s="0" t="n">
        <v>0.314688973871327</v>
      </c>
      <c r="C4527" s="0" t="n">
        <v>0.481907568836002</v>
      </c>
      <c r="D4527" s="0" t="n">
        <f aca="false">A4527/SUM($A4527:$C4527)</f>
        <v>0.49496658826946</v>
      </c>
      <c r="E4527" s="0" t="n">
        <f aca="false">B4527/SUM($A4527:$C4527)</f>
        <v>0.199509334509639</v>
      </c>
      <c r="F4527" s="0" t="n">
        <f aca="false">C4527/SUM($A4527:$C4527)</f>
        <v>0.3055240772209</v>
      </c>
      <c r="G4527" s="0" t="n">
        <f aca="false">SUMPRODUCT(D4527:F4527,Stats!$B$6:$D$6)</f>
        <v>0.359538504425505</v>
      </c>
      <c r="H4527" s="0" t="n">
        <f aca="false">SQRT(SUMPRODUCT(MMULT(D4527:F4527,Stats!$B$12:$D$14),D4527:F4527))</f>
        <v>0.222346215378164</v>
      </c>
      <c r="I4527" s="0" t="n">
        <f aca="false">(G4527-Stats!$B$2)/H4527</f>
        <v>1.42812641935658</v>
      </c>
    </row>
    <row r="4528" customFormat="false" ht="15" hidden="false" customHeight="false" outlineLevel="0" collapsed="false">
      <c r="A4528" s="0" t="n">
        <v>0.968662913146738</v>
      </c>
      <c r="B4528" s="0" t="n">
        <v>0.672148686932407</v>
      </c>
      <c r="C4528" s="0" t="n">
        <v>0.153745031995786</v>
      </c>
      <c r="D4528" s="0" t="n">
        <f aca="false">A4528/SUM($A4528:$C4528)</f>
        <v>0.539778403107142</v>
      </c>
      <c r="E4528" s="0" t="n">
        <f aca="false">B4528/SUM($A4528:$C4528)</f>
        <v>0.374548607114864</v>
      </c>
      <c r="F4528" s="0" t="n">
        <f aca="false">C4528/SUM($A4528:$C4528)</f>
        <v>0.0856729897779935</v>
      </c>
      <c r="G4528" s="0" t="n">
        <f aca="false">SUMPRODUCT(D4528:F4528,Stats!$B$6:$D$6)</f>
        <v>0.375672346799376</v>
      </c>
      <c r="H4528" s="0" t="n">
        <f aca="false">SQRT(SUMPRODUCT(MMULT(D4528:F4528,Stats!$B$12:$D$14),D4528:F4528))</f>
        <v>0.225742570608011</v>
      </c>
      <c r="I4528" s="0" t="n">
        <f aca="false">(G4528-Stats!$B$2)/H4528</f>
        <v>1.47810998120855</v>
      </c>
    </row>
    <row r="4529" customFormat="false" ht="15" hidden="false" customHeight="false" outlineLevel="0" collapsed="false">
      <c r="A4529" s="0" t="n">
        <v>0.133226747984353</v>
      </c>
      <c r="B4529" s="0" t="n">
        <v>0.204264758333005</v>
      </c>
      <c r="C4529" s="0" t="n">
        <v>0.766711674420718</v>
      </c>
      <c r="D4529" s="0" t="n">
        <f aca="false">A4529/SUM($A4529:$C4529)</f>
        <v>0.120654196898166</v>
      </c>
      <c r="E4529" s="0" t="n">
        <f aca="false">B4529/SUM($A4529:$C4529)</f>
        <v>0.184988380667831</v>
      </c>
      <c r="F4529" s="0" t="n">
        <f aca="false">C4529/SUM($A4529:$C4529)</f>
        <v>0.694357422434002</v>
      </c>
      <c r="G4529" s="0" t="n">
        <f aca="false">SUMPRODUCT(D4529:F4529,Stats!$B$6:$D$6)</f>
        <v>0.347981057594466</v>
      </c>
      <c r="H4529" s="0" t="n">
        <f aca="false">SQRT(SUMPRODUCT(MMULT(D4529:F4529,Stats!$B$12:$D$14),D4529:F4529))</f>
        <v>0.239930386369977</v>
      </c>
      <c r="I4529" s="0" t="n">
        <f aca="false">(G4529-Stats!$B$2)/H4529</f>
        <v>1.27529098012053</v>
      </c>
    </row>
    <row r="4530" customFormat="false" ht="15" hidden="false" customHeight="false" outlineLevel="0" collapsed="false">
      <c r="A4530" s="0" t="n">
        <v>0.295377003840616</v>
      </c>
      <c r="B4530" s="0" t="n">
        <v>0.0213888466750798</v>
      </c>
      <c r="C4530" s="0" t="n">
        <v>0.944174363505662</v>
      </c>
      <c r="D4530" s="0" t="n">
        <f aca="false">A4530/SUM($A4530:$C4530)</f>
        <v>0.234251394757732</v>
      </c>
      <c r="E4530" s="0" t="n">
        <f aca="false">B4530/SUM($A4530:$C4530)</f>
        <v>0.0169626176064819</v>
      </c>
      <c r="F4530" s="0" t="n">
        <f aca="false">C4530/SUM($A4530:$C4530)</f>
        <v>0.748785987635786</v>
      </c>
      <c r="G4530" s="0" t="n">
        <f aca="false">SUMPRODUCT(D4530:F4530,Stats!$B$6:$D$6)</f>
        <v>0.336812225908293</v>
      </c>
      <c r="H4530" s="0" t="n">
        <f aca="false">SQRT(SUMPRODUCT(MMULT(D4530:F4530,Stats!$B$12:$D$14),D4530:F4530))</f>
        <v>0.237111670284421</v>
      </c>
      <c r="I4530" s="0" t="n">
        <f aca="false">(G4530-Stats!$B$2)/H4530</f>
        <v>1.24334759885356</v>
      </c>
    </row>
    <row r="4531" customFormat="false" ht="15" hidden="false" customHeight="false" outlineLevel="0" collapsed="false">
      <c r="A4531" s="0" t="n">
        <v>0.169713416394911</v>
      </c>
      <c r="B4531" s="0" t="n">
        <v>0.00955818614806858</v>
      </c>
      <c r="C4531" s="0" t="n">
        <v>0.237131602383323</v>
      </c>
      <c r="D4531" s="0" t="n">
        <f aca="false">A4531/SUM($A4531:$C4531)</f>
        <v>0.407569909133979</v>
      </c>
      <c r="E4531" s="0" t="n">
        <f aca="false">B4531/SUM($A4531:$C4531)</f>
        <v>0.022954160858969</v>
      </c>
      <c r="F4531" s="0" t="n">
        <f aca="false">C4531/SUM($A4531:$C4531)</f>
        <v>0.569475930007052</v>
      </c>
      <c r="G4531" s="0" t="n">
        <f aca="false">SUMPRODUCT(D4531:F4531,Stats!$B$6:$D$6)</f>
        <v>0.342101377425177</v>
      </c>
      <c r="H4531" s="0" t="n">
        <f aca="false">SQRT(SUMPRODUCT(MMULT(D4531:F4531,Stats!$B$12:$D$14),D4531:F4531))</f>
        <v>0.226464444712406</v>
      </c>
      <c r="I4531" s="0" t="n">
        <f aca="false">(G4531-Stats!$B$2)/H4531</f>
        <v>1.3251589131631</v>
      </c>
    </row>
    <row r="4532" customFormat="false" ht="15" hidden="false" customHeight="false" outlineLevel="0" collapsed="false">
      <c r="A4532" s="0" t="n">
        <v>0.235028787118134</v>
      </c>
      <c r="B4532" s="0" t="n">
        <v>0.422005250845723</v>
      </c>
      <c r="C4532" s="0" t="n">
        <v>0.920389831500037</v>
      </c>
      <c r="D4532" s="0" t="n">
        <f aca="false">A4532/SUM($A4532:$C4532)</f>
        <v>0.148995328185322</v>
      </c>
      <c r="E4532" s="0" t="n">
        <f aca="false">B4532/SUM($A4532:$C4532)</f>
        <v>0.267528125455048</v>
      </c>
      <c r="F4532" s="0" t="n">
        <f aca="false">C4532/SUM($A4532:$C4532)</f>
        <v>0.58347654635963</v>
      </c>
      <c r="G4532" s="0" t="n">
        <f aca="false">SUMPRODUCT(D4532:F4532,Stats!$B$6:$D$6)</f>
        <v>0.355787785191145</v>
      </c>
      <c r="H4532" s="0" t="n">
        <f aca="false">SQRT(SUMPRODUCT(MMULT(D4532:F4532,Stats!$B$12:$D$14),D4532:F4532))</f>
        <v>0.235757518438254</v>
      </c>
      <c r="I4532" s="0" t="n">
        <f aca="false">(G4532-Stats!$B$2)/H4532</f>
        <v>1.3309767903471</v>
      </c>
    </row>
    <row r="4533" customFormat="false" ht="15" hidden="false" customHeight="false" outlineLevel="0" collapsed="false">
      <c r="A4533" s="0" t="n">
        <v>0.879184917779098</v>
      </c>
      <c r="B4533" s="0" t="n">
        <v>0.456894554982428</v>
      </c>
      <c r="C4533" s="0" t="n">
        <v>0.410899904991807</v>
      </c>
      <c r="D4533" s="0" t="n">
        <f aca="false">A4533/SUM($A4533:$C4533)</f>
        <v>0.503260043578623</v>
      </c>
      <c r="E4533" s="0" t="n">
        <f aca="false">B4533/SUM($A4533:$C4533)</f>
        <v>0.26153402885042</v>
      </c>
      <c r="F4533" s="0" t="n">
        <f aca="false">C4533/SUM($A4533:$C4533)</f>
        <v>0.235205927570957</v>
      </c>
      <c r="G4533" s="0" t="n">
        <f aca="false">SUMPRODUCT(D4533:F4533,Stats!$B$6:$D$6)</f>
        <v>0.365046320991697</v>
      </c>
      <c r="H4533" s="0" t="n">
        <f aca="false">SQRT(SUMPRODUCT(MMULT(D4533:F4533,Stats!$B$12:$D$14),D4533:F4533))</f>
        <v>0.222909164838297</v>
      </c>
      <c r="I4533" s="0" t="n">
        <f aca="false">(G4533-Stats!$B$2)/H4533</f>
        <v>1.44922852869707</v>
      </c>
    </row>
    <row r="4534" customFormat="false" ht="15" hidden="false" customHeight="false" outlineLevel="0" collapsed="false">
      <c r="A4534" s="0" t="n">
        <v>0.555009086474851</v>
      </c>
      <c r="B4534" s="0" t="n">
        <v>0.243454011971766</v>
      </c>
      <c r="C4534" s="0" t="n">
        <v>0.0521849919663628</v>
      </c>
      <c r="D4534" s="0" t="n">
        <f aca="false">A4534/SUM($A4534:$C4534)</f>
        <v>0.652454396512429</v>
      </c>
      <c r="E4534" s="0" t="n">
        <f aca="false">B4534/SUM($A4534:$C4534)</f>
        <v>0.286198270137269</v>
      </c>
      <c r="F4534" s="0" t="n">
        <f aca="false">C4534/SUM($A4534:$C4534)</f>
        <v>0.0613473333503019</v>
      </c>
      <c r="G4534" s="0" t="n">
        <f aca="false">SUMPRODUCT(D4534:F4534,Stats!$B$6:$D$6)</f>
        <v>0.371259553379143</v>
      </c>
      <c r="H4534" s="0" t="n">
        <f aca="false">SQRT(SUMPRODUCT(MMULT(D4534:F4534,Stats!$B$12:$D$14),D4534:F4534))</f>
        <v>0.225466795800046</v>
      </c>
      <c r="I4534" s="0" t="n">
        <f aca="false">(G4534-Stats!$B$2)/H4534</f>
        <v>1.46034608870366</v>
      </c>
    </row>
    <row r="4535" customFormat="false" ht="15" hidden="false" customHeight="false" outlineLevel="0" collapsed="false">
      <c r="A4535" s="0" t="n">
        <v>0.939224136171207</v>
      </c>
      <c r="B4535" s="0" t="n">
        <v>0.186698984877173</v>
      </c>
      <c r="C4535" s="0" t="n">
        <v>0.198400729245716</v>
      </c>
      <c r="D4535" s="0" t="n">
        <f aca="false">A4535/SUM($A4535:$C4535)</f>
        <v>0.709210315862416</v>
      </c>
      <c r="E4535" s="0" t="n">
        <f aca="false">B4535/SUM($A4535:$C4535)</f>
        <v>0.140976834960506</v>
      </c>
      <c r="F4535" s="0" t="n">
        <f aca="false">C4535/SUM($A4535:$C4535)</f>
        <v>0.149812849177078</v>
      </c>
      <c r="G4535" s="0" t="n">
        <f aca="false">SUMPRODUCT(D4535:F4535,Stats!$B$6:$D$6)</f>
        <v>0.360464297382201</v>
      </c>
      <c r="H4535" s="0" t="n">
        <f aca="false">SQRT(SUMPRODUCT(MMULT(D4535:F4535,Stats!$B$12:$D$14),D4535:F4535))</f>
        <v>0.223301771275671</v>
      </c>
      <c r="I4535" s="0" t="n">
        <f aca="false">(G4535-Stats!$B$2)/H4535</f>
        <v>1.42616108937645</v>
      </c>
    </row>
    <row r="4536" customFormat="false" ht="15" hidden="false" customHeight="false" outlineLevel="0" collapsed="false">
      <c r="A4536" s="0" t="n">
        <v>0.472460328853948</v>
      </c>
      <c r="B4536" s="0" t="n">
        <v>0.491613344840331</v>
      </c>
      <c r="C4536" s="0" t="n">
        <v>0.0184342097007419</v>
      </c>
      <c r="D4536" s="0" t="n">
        <f aca="false">A4536/SUM($A4536:$C4536)</f>
        <v>0.480871794352813</v>
      </c>
      <c r="E4536" s="0" t="n">
        <f aca="false">B4536/SUM($A4536:$C4536)</f>
        <v>0.500365801790393</v>
      </c>
      <c r="F4536" s="0" t="n">
        <f aca="false">C4536/SUM($A4536:$C4536)</f>
        <v>0.0187624038567947</v>
      </c>
      <c r="G4536" s="0" t="n">
        <f aca="false">SUMPRODUCT(D4536:F4536,Stats!$B$6:$D$6)</f>
        <v>0.38475673901061</v>
      </c>
      <c r="H4536" s="0" t="n">
        <f aca="false">SQRT(SUMPRODUCT(MMULT(D4536:F4536,Stats!$B$12:$D$14),D4536:F4536))</f>
        <v>0.229347400631314</v>
      </c>
      <c r="I4536" s="0" t="n">
        <f aca="false">(G4536-Stats!$B$2)/H4536</f>
        <v>1.49448713204126</v>
      </c>
    </row>
    <row r="4537" customFormat="false" ht="15" hidden="false" customHeight="false" outlineLevel="0" collapsed="false">
      <c r="A4537" s="0" t="n">
        <v>0.147954738773971</v>
      </c>
      <c r="B4537" s="0" t="n">
        <v>0.378154818560742</v>
      </c>
      <c r="C4537" s="0" t="n">
        <v>0.683730693510539</v>
      </c>
      <c r="D4537" s="0" t="n">
        <f aca="false">A4537/SUM($A4537:$C4537)</f>
        <v>0.122292789209652</v>
      </c>
      <c r="E4537" s="0" t="n">
        <f aca="false">B4537/SUM($A4537:$C4537)</f>
        <v>0.31256590966993</v>
      </c>
      <c r="F4537" s="0" t="n">
        <f aca="false">C4537/SUM($A4537:$C4537)</f>
        <v>0.565141301120419</v>
      </c>
      <c r="G4537" s="0" t="n">
        <f aca="false">SUMPRODUCT(D4537:F4537,Stats!$B$6:$D$6)</f>
        <v>0.358884788338971</v>
      </c>
      <c r="H4537" s="0" t="n">
        <f aca="false">SQRT(SUMPRODUCT(MMULT(D4537:F4537,Stats!$B$12:$D$14),D4537:F4537))</f>
        <v>0.236788169624374</v>
      </c>
      <c r="I4537" s="0" t="n">
        <f aca="false">(G4537-Stats!$B$2)/H4537</f>
        <v>1.33826275544786</v>
      </c>
    </row>
    <row r="4538" customFormat="false" ht="15" hidden="false" customHeight="false" outlineLevel="0" collapsed="false">
      <c r="A4538" s="0" t="n">
        <v>0.228418456831936</v>
      </c>
      <c r="B4538" s="0" t="n">
        <v>0.423014446241763</v>
      </c>
      <c r="C4538" s="0" t="n">
        <v>0.557345064716467</v>
      </c>
      <c r="D4538" s="0" t="n">
        <f aca="false">A4538/SUM($A4538:$C4538)</f>
        <v>0.188966429665756</v>
      </c>
      <c r="E4538" s="0" t="n">
        <f aca="false">B4538/SUM($A4538:$C4538)</f>
        <v>0.349952147965684</v>
      </c>
      <c r="F4538" s="0" t="n">
        <f aca="false">C4538/SUM($A4538:$C4538)</f>
        <v>0.46108142236856</v>
      </c>
      <c r="G4538" s="0" t="n">
        <f aca="false">SUMPRODUCT(D4538:F4538,Stats!$B$6:$D$6)</f>
        <v>0.363905355235496</v>
      </c>
      <c r="H4538" s="0" t="n">
        <f aca="false">SQRT(SUMPRODUCT(MMULT(D4538:F4538,Stats!$B$12:$D$14),D4538:F4538))</f>
        <v>0.232288143343511</v>
      </c>
      <c r="I4538" s="0" t="n">
        <f aca="false">(G4538-Stats!$B$2)/H4538</f>
        <v>1.38580192084732</v>
      </c>
    </row>
    <row r="4539" customFormat="false" ht="15" hidden="false" customHeight="false" outlineLevel="0" collapsed="false">
      <c r="A4539" s="0" t="n">
        <v>0.888592494623292</v>
      </c>
      <c r="B4539" s="0" t="n">
        <v>0.326070502327123</v>
      </c>
      <c r="C4539" s="0" t="n">
        <v>0.133558265863484</v>
      </c>
      <c r="D4539" s="0" t="n">
        <f aca="false">A4539/SUM($A4539:$C4539)</f>
        <v>0.659085062023643</v>
      </c>
      <c r="E4539" s="0" t="n">
        <f aca="false">B4539/SUM($A4539:$C4539)</f>
        <v>0.241852366017856</v>
      </c>
      <c r="F4539" s="0" t="n">
        <f aca="false">C4539/SUM($A4539:$C4539)</f>
        <v>0.0990625719585014</v>
      </c>
      <c r="G4539" s="0" t="n">
        <f aca="false">SUMPRODUCT(D4539:F4539,Stats!$B$6:$D$6)</f>
        <v>0.367667964253315</v>
      </c>
      <c r="H4539" s="0" t="n">
        <f aca="false">SQRT(SUMPRODUCT(MMULT(D4539:F4539,Stats!$B$12:$D$14),D4539:F4539))</f>
        <v>0.224345311709941</v>
      </c>
      <c r="I4539" s="0" t="n">
        <f aca="false">(G4539-Stats!$B$2)/H4539</f>
        <v>1.45163704011063</v>
      </c>
    </row>
    <row r="4540" customFormat="false" ht="15" hidden="false" customHeight="false" outlineLevel="0" collapsed="false">
      <c r="A4540" s="0" t="n">
        <v>0.489272225897608</v>
      </c>
      <c r="B4540" s="0" t="n">
        <v>0.746721601684062</v>
      </c>
      <c r="C4540" s="0" t="n">
        <v>0.109859757052733</v>
      </c>
      <c r="D4540" s="0" t="n">
        <f aca="false">A4540/SUM($A4540:$C4540)</f>
        <v>0.363540456022575</v>
      </c>
      <c r="E4540" s="0" t="n">
        <f aca="false">B4540/SUM($A4540:$C4540)</f>
        <v>0.554831231427679</v>
      </c>
      <c r="F4540" s="0" t="n">
        <f aca="false">C4540/SUM($A4540:$C4540)</f>
        <v>0.0816283125497462</v>
      </c>
      <c r="G4540" s="0" t="n">
        <f aca="false">SUMPRODUCT(D4540:F4540,Stats!$B$6:$D$6)</f>
        <v>0.386157106086005</v>
      </c>
      <c r="H4540" s="0" t="n">
        <f aca="false">SQRT(SUMPRODUCT(MMULT(D4540:F4540,Stats!$B$12:$D$14),D4540:F4540))</f>
        <v>0.230538579058305</v>
      </c>
      <c r="I4540" s="0" t="n">
        <f aca="false">(G4540-Stats!$B$2)/H4540</f>
        <v>1.49283953901254</v>
      </c>
    </row>
    <row r="4541" customFormat="false" ht="15" hidden="false" customHeight="false" outlineLevel="0" collapsed="false">
      <c r="A4541" s="0" t="n">
        <v>0.42468349169696</v>
      </c>
      <c r="B4541" s="0" t="n">
        <v>0.0177851412624834</v>
      </c>
      <c r="C4541" s="0" t="n">
        <v>0.0335591816472511</v>
      </c>
      <c r="D4541" s="0" t="n">
        <f aca="false">A4541/SUM($A4541:$C4541)</f>
        <v>0.892140078091537</v>
      </c>
      <c r="E4541" s="0" t="n">
        <f aca="false">B4541/SUM($A4541:$C4541)</f>
        <v>0.0373615589609568</v>
      </c>
      <c r="F4541" s="0" t="n">
        <f aca="false">C4541/SUM($A4541:$C4541)</f>
        <v>0.0704983629475066</v>
      </c>
      <c r="G4541" s="0" t="n">
        <f aca="false">SUMPRODUCT(D4541:F4541,Stats!$B$6:$D$6)</f>
        <v>0.356689474959639</v>
      </c>
      <c r="H4541" s="0" t="n">
        <f aca="false">SQRT(SUMPRODUCT(MMULT(D4541:F4541,Stats!$B$12:$D$14),D4541:F4541))</f>
        <v>0.228102678171337</v>
      </c>
      <c r="I4541" s="0" t="n">
        <f aca="false">(G4541-Stats!$B$2)/H4541</f>
        <v>1.37959570436636</v>
      </c>
    </row>
    <row r="4542" customFormat="false" ht="15" hidden="false" customHeight="false" outlineLevel="0" collapsed="false">
      <c r="A4542" s="0" t="n">
        <v>0.482953363216666</v>
      </c>
      <c r="B4542" s="0" t="n">
        <v>0.298197298150929</v>
      </c>
      <c r="C4542" s="0" t="n">
        <v>0.845107299005412</v>
      </c>
      <c r="D4542" s="0" t="n">
        <f aca="false">A4542/SUM($A4542:$C4542)</f>
        <v>0.296972174762418</v>
      </c>
      <c r="E4542" s="0" t="n">
        <f aca="false">B4542/SUM($A4542:$C4542)</f>
        <v>0.18336408209343</v>
      </c>
      <c r="F4542" s="0" t="n">
        <f aca="false">C4542/SUM($A4542:$C4542)</f>
        <v>0.519663743144153</v>
      </c>
      <c r="G4542" s="0" t="n">
        <f aca="false">SUMPRODUCT(D4542:F4542,Stats!$B$6:$D$6)</f>
        <v>0.35270470857248</v>
      </c>
      <c r="H4542" s="0" t="n">
        <f aca="false">SQRT(SUMPRODUCT(MMULT(D4542:F4542,Stats!$B$12:$D$14),D4542:F4542))</f>
        <v>0.228459448103527</v>
      </c>
      <c r="I4542" s="0" t="n">
        <f aca="false">(G4542-Stats!$B$2)/H4542</f>
        <v>1.35999938348657</v>
      </c>
    </row>
    <row r="4543" customFormat="false" ht="15" hidden="false" customHeight="false" outlineLevel="0" collapsed="false">
      <c r="A4543" s="0" t="n">
        <v>0.602154306126454</v>
      </c>
      <c r="B4543" s="0" t="n">
        <v>0.45393296174299</v>
      </c>
      <c r="C4543" s="0" t="n">
        <v>0.407935371054296</v>
      </c>
      <c r="D4543" s="0" t="n">
        <f aca="false">A4543/SUM($A4543:$C4543)</f>
        <v>0.411301225894376</v>
      </c>
      <c r="E4543" s="0" t="n">
        <f aca="false">B4543/SUM($A4543:$C4543)</f>
        <v>0.310058703789372</v>
      </c>
      <c r="F4543" s="0" t="n">
        <f aca="false">C4543/SUM($A4543:$C4543)</f>
        <v>0.278640070316252</v>
      </c>
      <c r="G4543" s="0" t="n">
        <f aca="false">SUMPRODUCT(D4543:F4543,Stats!$B$6:$D$6)</f>
        <v>0.366640688202875</v>
      </c>
      <c r="H4543" s="0" t="n">
        <f aca="false">SQRT(SUMPRODUCT(MMULT(D4543:F4543,Stats!$B$12:$D$14),D4543:F4543))</f>
        <v>0.224372753208731</v>
      </c>
      <c r="I4543" s="0" t="n">
        <f aca="false">(G4543-Stats!$B$2)/H4543</f>
        <v>1.44688106537101</v>
      </c>
    </row>
    <row r="4544" customFormat="false" ht="15" hidden="false" customHeight="false" outlineLevel="0" collapsed="false">
      <c r="A4544" s="0" t="n">
        <v>0.497245480189563</v>
      </c>
      <c r="B4544" s="0" t="n">
        <v>0.0404388312126613</v>
      </c>
      <c r="C4544" s="0" t="n">
        <v>0.89279335642066</v>
      </c>
      <c r="D4544" s="0" t="n">
        <f aca="false">A4544/SUM($A4544:$C4544)</f>
        <v>0.347607999323992</v>
      </c>
      <c r="E4544" s="0" t="n">
        <f aca="false">B4544/SUM($A4544:$C4544)</f>
        <v>0.0282694600008731</v>
      </c>
      <c r="F4544" s="0" t="n">
        <f aca="false">C4544/SUM($A4544:$C4544)</f>
        <v>0.624122540675135</v>
      </c>
      <c r="G4544" s="0" t="n">
        <f aca="false">SUMPRODUCT(D4544:F4544,Stats!$B$6:$D$6)</f>
        <v>0.340900353587364</v>
      </c>
      <c r="H4544" s="0" t="n">
        <f aca="false">SQRT(SUMPRODUCT(MMULT(D4544:F4544,Stats!$B$12:$D$14),D4544:F4544))</f>
        <v>0.229306658482936</v>
      </c>
      <c r="I4544" s="0" t="n">
        <f aca="false">(G4544-Stats!$B$2)/H4544</f>
        <v>1.30349618089963</v>
      </c>
    </row>
    <row r="4545" customFormat="false" ht="15" hidden="false" customHeight="false" outlineLevel="0" collapsed="false">
      <c r="A4545" s="0" t="n">
        <v>0.998303155733958</v>
      </c>
      <c r="B4545" s="0" t="n">
        <v>0.181487124858699</v>
      </c>
      <c r="C4545" s="0" t="n">
        <v>0.12038296477462</v>
      </c>
      <c r="D4545" s="0" t="n">
        <f aca="false">A4545/SUM($A4545:$C4545)</f>
        <v>0.76782317994242</v>
      </c>
      <c r="E4545" s="0" t="n">
        <f aca="false">B4545/SUM($A4545:$C4545)</f>
        <v>0.139586878522048</v>
      </c>
      <c r="F4545" s="0" t="n">
        <f aca="false">C4545/SUM($A4545:$C4545)</f>
        <v>0.0925899415355325</v>
      </c>
      <c r="G4545" s="0" t="n">
        <f aca="false">SUMPRODUCT(D4545:F4545,Stats!$B$6:$D$6)</f>
        <v>0.361962220756845</v>
      </c>
      <c r="H4545" s="0" t="n">
        <f aca="false">SQRT(SUMPRODUCT(MMULT(D4545:F4545,Stats!$B$12:$D$14),D4545:F4545))</f>
        <v>0.225132510065548</v>
      </c>
      <c r="I4545" s="0" t="n">
        <f aca="false">(G4545-Stats!$B$2)/H4545</f>
        <v>1.421217311812</v>
      </c>
    </row>
    <row r="4546" customFormat="false" ht="15" hidden="false" customHeight="false" outlineLevel="0" collapsed="false">
      <c r="A4546" s="0" t="n">
        <v>0.143577463448595</v>
      </c>
      <c r="B4546" s="0" t="n">
        <v>0.661027058234367</v>
      </c>
      <c r="C4546" s="0" t="n">
        <v>0.661440838450775</v>
      </c>
      <c r="D4546" s="0" t="n">
        <f aca="false">A4546/SUM($A4546:$C4546)</f>
        <v>0.0979352122061882</v>
      </c>
      <c r="E4546" s="0" t="n">
        <f aca="false">B4546/SUM($A4546:$C4546)</f>
        <v>0.450891272677993</v>
      </c>
      <c r="F4546" s="0" t="n">
        <f aca="false">C4546/SUM($A4546:$C4546)</f>
        <v>0.451173515115819</v>
      </c>
      <c r="G4546" s="0" t="n">
        <f aca="false">SUMPRODUCT(D4546:F4546,Stats!$B$6:$D$6)</f>
        <v>0.369986468560203</v>
      </c>
      <c r="H4546" s="0" t="n">
        <f aca="false">SQRT(SUMPRODUCT(MMULT(D4546:F4546,Stats!$B$12:$D$14),D4546:F4546))</f>
        <v>0.237075857536932</v>
      </c>
      <c r="I4546" s="0" t="n">
        <f aca="false">(G4546-Stats!$B$2)/H4546</f>
        <v>1.38346633844447</v>
      </c>
    </row>
    <row r="4547" customFormat="false" ht="15" hidden="false" customHeight="false" outlineLevel="0" collapsed="false">
      <c r="A4547" s="0" t="n">
        <v>0.847924162278411</v>
      </c>
      <c r="B4547" s="0" t="n">
        <v>0.751826388426253</v>
      </c>
      <c r="C4547" s="0" t="n">
        <v>0.44968967336934</v>
      </c>
      <c r="D4547" s="0" t="n">
        <f aca="false">A4547/SUM($A4547:$C4547)</f>
        <v>0.413734517512716</v>
      </c>
      <c r="E4547" s="0" t="n">
        <f aca="false">B4547/SUM($A4547:$C4547)</f>
        <v>0.3668447508714</v>
      </c>
      <c r="F4547" s="0" t="n">
        <f aca="false">C4547/SUM($A4547:$C4547)</f>
        <v>0.219420731615884</v>
      </c>
      <c r="G4547" s="0" t="n">
        <f aca="false">SUMPRODUCT(D4547:F4547,Stats!$B$6:$D$6)</f>
        <v>0.37154103434294</v>
      </c>
      <c r="H4547" s="0" t="n">
        <f aca="false">SQRT(SUMPRODUCT(MMULT(D4547:F4547,Stats!$B$12:$D$14),D4547:F4547))</f>
        <v>0.225175004009359</v>
      </c>
      <c r="I4547" s="0" t="n">
        <f aca="false">(G4547-Stats!$B$2)/H4547</f>
        <v>1.46348852437122</v>
      </c>
    </row>
    <row r="4548" customFormat="false" ht="15" hidden="false" customHeight="false" outlineLevel="0" collapsed="false">
      <c r="A4548" s="0" t="n">
        <v>0.612855361565319</v>
      </c>
      <c r="B4548" s="0" t="n">
        <v>0.688284670368008</v>
      </c>
      <c r="C4548" s="0" t="n">
        <v>0.512736470285225</v>
      </c>
      <c r="D4548" s="0" t="n">
        <f aca="false">A4548/SUM($A4548:$C4548)</f>
        <v>0.337870500453441</v>
      </c>
      <c r="E4548" s="0" t="n">
        <f aca="false">B4548/SUM($A4548:$C4548)</f>
        <v>0.379455089432035</v>
      </c>
      <c r="F4548" s="0" t="n">
        <f aca="false">C4548/SUM($A4548:$C4548)</f>
        <v>0.282674410114524</v>
      </c>
      <c r="G4548" s="0" t="n">
        <f aca="false">SUMPRODUCT(D4548:F4548,Stats!$B$6:$D$6)</f>
        <v>0.370522421046521</v>
      </c>
      <c r="H4548" s="0" t="n">
        <f aca="false">SQRT(SUMPRODUCT(MMULT(D4548:F4548,Stats!$B$12:$D$14),D4548:F4548))</f>
        <v>0.226620315731174</v>
      </c>
      <c r="I4548" s="0" t="n">
        <f aca="false">(G4548-Stats!$B$2)/H4548</f>
        <v>1.44966006241129</v>
      </c>
    </row>
    <row r="4549" customFormat="false" ht="15" hidden="false" customHeight="false" outlineLevel="0" collapsed="false">
      <c r="A4549" s="0" t="n">
        <v>0.475650984451637</v>
      </c>
      <c r="B4549" s="0" t="n">
        <v>0.645097445642653</v>
      </c>
      <c r="C4549" s="0" t="n">
        <v>0.557474548975654</v>
      </c>
      <c r="D4549" s="0" t="n">
        <f aca="false">A4549/SUM($A4549:$C4549)</f>
        <v>0.283425379335014</v>
      </c>
      <c r="E4549" s="0" t="n">
        <f aca="false">B4549/SUM($A4549:$C4549)</f>
        <v>0.384393166872355</v>
      </c>
      <c r="F4549" s="0" t="n">
        <f aca="false">C4549/SUM($A4549:$C4549)</f>
        <v>0.332181453792631</v>
      </c>
      <c r="G4549" s="0" t="n">
        <f aca="false">SUMPRODUCT(D4549:F4549,Stats!$B$6:$D$6)</f>
        <v>0.369441413943194</v>
      </c>
      <c r="H4549" s="0" t="n">
        <f aca="false">SQRT(SUMPRODUCT(MMULT(D4549:F4549,Stats!$B$12:$D$14),D4549:F4549))</f>
        <v>0.228204227649023</v>
      </c>
      <c r="I4549" s="0" t="n">
        <f aca="false">(G4549-Stats!$B$2)/H4549</f>
        <v>1.43486129646466</v>
      </c>
    </row>
    <row r="4550" customFormat="false" ht="15" hidden="false" customHeight="false" outlineLevel="0" collapsed="false">
      <c r="A4550" s="0" t="n">
        <v>0.64394230533591</v>
      </c>
      <c r="B4550" s="0" t="n">
        <v>0.612854773963364</v>
      </c>
      <c r="C4550" s="0" t="n">
        <v>0.719196560513655</v>
      </c>
      <c r="D4550" s="0" t="n">
        <f aca="false">A4550/SUM($A4550:$C4550)</f>
        <v>0.325882782394418</v>
      </c>
      <c r="E4550" s="0" t="n">
        <f aca="false">B4550/SUM($A4550:$C4550)</f>
        <v>0.310150175392965</v>
      </c>
      <c r="F4550" s="0" t="n">
        <f aca="false">C4550/SUM($A4550:$C4550)</f>
        <v>0.363967042212617</v>
      </c>
      <c r="G4550" s="0" t="n">
        <f aca="false">SUMPRODUCT(D4550:F4550,Stats!$B$6:$D$6)</f>
        <v>0.364293092928993</v>
      </c>
      <c r="H4550" s="0" t="n">
        <f aca="false">SQRT(SUMPRODUCT(MMULT(D4550:F4550,Stats!$B$12:$D$14),D4550:F4550))</f>
        <v>0.226436731136668</v>
      </c>
      <c r="I4550" s="0" t="n">
        <f aca="false">(G4550-Stats!$B$2)/H4550</f>
        <v>1.42332514389845</v>
      </c>
    </row>
    <row r="4551" customFormat="false" ht="15" hidden="false" customHeight="false" outlineLevel="0" collapsed="false">
      <c r="A4551" s="0" t="n">
        <v>0.642803508782876</v>
      </c>
      <c r="B4551" s="0" t="n">
        <v>0.519742486437267</v>
      </c>
      <c r="C4551" s="0" t="n">
        <v>0.681796811284387</v>
      </c>
      <c r="D4551" s="0" t="n">
        <f aca="false">A4551/SUM($A4551:$C4551)</f>
        <v>0.348527132003807</v>
      </c>
      <c r="E4551" s="0" t="n">
        <f aca="false">B4551/SUM($A4551:$C4551)</f>
        <v>0.281803623818884</v>
      </c>
      <c r="F4551" s="0" t="n">
        <f aca="false">C4551/SUM($A4551:$C4551)</f>
        <v>0.369669244177309</v>
      </c>
      <c r="G4551" s="0" t="n">
        <f aca="false">SUMPRODUCT(D4551:F4551,Stats!$B$6:$D$6)</f>
        <v>0.36250483301365</v>
      </c>
      <c r="H4551" s="0" t="n">
        <f aca="false">SQRT(SUMPRODUCT(MMULT(D4551:F4551,Stats!$B$12:$D$14),D4551:F4551))</f>
        <v>0.225664895607641</v>
      </c>
      <c r="I4551" s="0" t="n">
        <f aca="false">(G4551-Stats!$B$2)/H4551</f>
        <v>1.42026889982439</v>
      </c>
    </row>
    <row r="4552" customFormat="false" ht="15" hidden="false" customHeight="false" outlineLevel="0" collapsed="false">
      <c r="A4552" s="0" t="n">
        <v>0.449481965185428</v>
      </c>
      <c r="B4552" s="0" t="n">
        <v>0.241671225972601</v>
      </c>
      <c r="C4552" s="0" t="n">
        <v>0.00141822013391546</v>
      </c>
      <c r="D4552" s="0" t="n">
        <f aca="false">A4552/SUM($A4552:$C4552)</f>
        <v>0.649004503877731</v>
      </c>
      <c r="E4552" s="0" t="n">
        <f aca="false">B4552/SUM($A4552:$C4552)</f>
        <v>0.348947735976829</v>
      </c>
      <c r="F4552" s="0" t="n">
        <f aca="false">C4552/SUM($A4552:$C4552)</f>
        <v>0.00204776014544098</v>
      </c>
      <c r="G4552" s="0" t="n">
        <f aca="false">SUMPRODUCT(D4552:F4552,Stats!$B$6:$D$6)</f>
        <v>0.376505239351816</v>
      </c>
      <c r="H4552" s="0" t="n">
        <f aca="false">SQRT(SUMPRODUCT(MMULT(D4552:F4552,Stats!$B$12:$D$14),D4552:F4552))</f>
        <v>0.227572167989687</v>
      </c>
      <c r="I4552" s="0" t="n">
        <f aca="false">(G4552-Stats!$B$2)/H4552</f>
        <v>1.46988642023648</v>
      </c>
    </row>
    <row r="4553" customFormat="false" ht="15" hidden="false" customHeight="false" outlineLevel="0" collapsed="false">
      <c r="A4553" s="0" t="n">
        <v>0.559964147145843</v>
      </c>
      <c r="B4553" s="0" t="n">
        <v>0.590655226608641</v>
      </c>
      <c r="C4553" s="0" t="n">
        <v>0.972048964775714</v>
      </c>
      <c r="D4553" s="0" t="n">
        <f aca="false">A4553/SUM($A4553:$C4553)</f>
        <v>0.263801997222788</v>
      </c>
      <c r="E4553" s="0" t="n">
        <f aca="false">B4553/SUM($A4553:$C4553)</f>
        <v>0.278260723018853</v>
      </c>
      <c r="F4553" s="0" t="n">
        <f aca="false">C4553/SUM($A4553:$C4553)</f>
        <v>0.457937279758359</v>
      </c>
      <c r="G4553" s="0" t="n">
        <f aca="false">SUMPRODUCT(D4553:F4553,Stats!$B$6:$D$6)</f>
        <v>0.359867021955627</v>
      </c>
      <c r="H4553" s="0" t="n">
        <f aca="false">SQRT(SUMPRODUCT(MMULT(D4553:F4553,Stats!$B$12:$D$14),D4553:F4553))</f>
        <v>0.22898017782416</v>
      </c>
      <c r="I4553" s="0" t="n">
        <f aca="false">(G4553-Stats!$B$2)/H4553</f>
        <v>1.38818575902987</v>
      </c>
    </row>
    <row r="4554" customFormat="false" ht="15" hidden="false" customHeight="false" outlineLevel="0" collapsed="false">
      <c r="A4554" s="0" t="n">
        <v>0.361478334094276</v>
      </c>
      <c r="B4554" s="0" t="n">
        <v>0.394133242828312</v>
      </c>
      <c r="C4554" s="0" t="n">
        <v>0.20179958134219</v>
      </c>
      <c r="D4554" s="0" t="n">
        <f aca="false">A4554/SUM($A4554:$C4554)</f>
        <v>0.377558096094705</v>
      </c>
      <c r="E4554" s="0" t="n">
        <f aca="false">B4554/SUM($A4554:$C4554)</f>
        <v>0.411665604088679</v>
      </c>
      <c r="F4554" s="0" t="n">
        <f aca="false">C4554/SUM($A4554:$C4554)</f>
        <v>0.210776299816616</v>
      </c>
      <c r="G4554" s="0" t="n">
        <f aca="false">SUMPRODUCT(D4554:F4554,Stats!$B$6:$D$6)</f>
        <v>0.374358335108608</v>
      </c>
      <c r="H4554" s="0" t="n">
        <f aca="false">SQRT(SUMPRODUCT(MMULT(D4554:F4554,Stats!$B$12:$D$14),D4554:F4554))</f>
        <v>0.226436299361608</v>
      </c>
      <c r="I4554" s="0" t="n">
        <f aca="false">(G4554-Stats!$B$2)/H4554</f>
        <v>1.46777851451215</v>
      </c>
    </row>
    <row r="4555" customFormat="false" ht="15" hidden="false" customHeight="false" outlineLevel="0" collapsed="false">
      <c r="A4555" s="0" t="n">
        <v>0.0705342952373219</v>
      </c>
      <c r="B4555" s="0" t="n">
        <v>0.772804492861741</v>
      </c>
      <c r="C4555" s="0" t="n">
        <v>0.249681064339325</v>
      </c>
      <c r="D4555" s="0" t="n">
        <f aca="false">A4555/SUM($A4555:$C4555)</f>
        <v>0.0645315774274081</v>
      </c>
      <c r="E4555" s="0" t="n">
        <f aca="false">B4555/SUM($A4555:$C4555)</f>
        <v>0.707036099241668</v>
      </c>
      <c r="F4555" s="0" t="n">
        <f aca="false">C4555/SUM($A4555:$C4555)</f>
        <v>0.228432323330924</v>
      </c>
      <c r="G4555" s="0" t="n">
        <f aca="false">SUMPRODUCT(D4555:F4555,Stats!$B$6:$D$6)</f>
        <v>0.390866713051617</v>
      </c>
      <c r="H4555" s="0" t="n">
        <f aca="false">SQRT(SUMPRODUCT(MMULT(D4555:F4555,Stats!$B$12:$D$14),D4555:F4555))</f>
        <v>0.241613383769767</v>
      </c>
      <c r="I4555" s="0" t="n">
        <f aca="false">(G4555-Stats!$B$2)/H4555</f>
        <v>1.44390475232966</v>
      </c>
    </row>
    <row r="4556" customFormat="false" ht="15" hidden="false" customHeight="false" outlineLevel="0" collapsed="false">
      <c r="A4556" s="0" t="n">
        <v>0.608904861030038</v>
      </c>
      <c r="B4556" s="0" t="n">
        <v>0.687773035545482</v>
      </c>
      <c r="C4556" s="0" t="n">
        <v>0.471236687291648</v>
      </c>
      <c r="D4556" s="0" t="n">
        <f aca="false">A4556/SUM($A4556:$C4556)</f>
        <v>0.34441984165214</v>
      </c>
      <c r="E4556" s="0" t="n">
        <f aca="false">B4556/SUM($A4556:$C4556)</f>
        <v>0.389030692897524</v>
      </c>
      <c r="F4556" s="0" t="n">
        <f aca="false">C4556/SUM($A4556:$C4556)</f>
        <v>0.266549465450337</v>
      </c>
      <c r="G4556" s="0" t="n">
        <f aca="false">SUMPRODUCT(D4556:F4556,Stats!$B$6:$D$6)</f>
        <v>0.371518028023599</v>
      </c>
      <c r="H4556" s="0" t="n">
        <f aca="false">SQRT(SUMPRODUCT(MMULT(D4556:F4556,Stats!$B$12:$D$14),D4556:F4556))</f>
        <v>0.226601827952473</v>
      </c>
      <c r="I4556" s="0" t="n">
        <f aca="false">(G4556-Stats!$B$2)/H4556</f>
        <v>1.45417197646222</v>
      </c>
    </row>
    <row r="4557" customFormat="false" ht="15" hidden="false" customHeight="false" outlineLevel="0" collapsed="false">
      <c r="A4557" s="0" t="n">
        <v>0.876352113027192</v>
      </c>
      <c r="B4557" s="0" t="n">
        <v>0.443794840979729</v>
      </c>
      <c r="C4557" s="0" t="n">
        <v>0.284908623041765</v>
      </c>
      <c r="D4557" s="0" t="n">
        <f aca="false">A4557/SUM($A4557:$C4557)</f>
        <v>0.545994871179847</v>
      </c>
      <c r="E4557" s="0" t="n">
        <f aca="false">B4557/SUM($A4557:$C4557)</f>
        <v>0.276498114660778</v>
      </c>
      <c r="F4557" s="0" t="n">
        <f aca="false">C4557/SUM($A4557:$C4557)</f>
        <v>0.177507014159375</v>
      </c>
      <c r="G4557" s="0" t="n">
        <f aca="false">SUMPRODUCT(D4557:F4557,Stats!$B$6:$D$6)</f>
        <v>0.367498360466743</v>
      </c>
      <c r="H4557" s="0" t="n">
        <f aca="false">SQRT(SUMPRODUCT(MMULT(D4557:F4557,Stats!$B$12:$D$14),D4557:F4557))</f>
        <v>0.223269427708367</v>
      </c>
      <c r="I4557" s="0" t="n">
        <f aca="false">(G4557-Stats!$B$2)/H4557</f>
        <v>1.45787250770359</v>
      </c>
    </row>
    <row r="4558" customFormat="false" ht="15" hidden="false" customHeight="false" outlineLevel="0" collapsed="false">
      <c r="A4558" s="0" t="n">
        <v>0.896015522961622</v>
      </c>
      <c r="B4558" s="0" t="n">
        <v>0.861564284249957</v>
      </c>
      <c r="C4558" s="0" t="n">
        <v>0.164039947076413</v>
      </c>
      <c r="D4558" s="0" t="n">
        <f aca="false">A4558/SUM($A4558:$C4558)</f>
        <v>0.466281386295187</v>
      </c>
      <c r="E4558" s="0" t="n">
        <f aca="false">B4558/SUM($A4558:$C4558)</f>
        <v>0.448353157448253</v>
      </c>
      <c r="F4558" s="0" t="n">
        <f aca="false">C4558/SUM($A4558:$C4558)</f>
        <v>0.0853654562565599</v>
      </c>
      <c r="G4558" s="0" t="n">
        <f aca="false">SUMPRODUCT(D4558:F4558,Stats!$B$6:$D$6)</f>
        <v>0.379927445220769</v>
      </c>
      <c r="H4558" s="0" t="n">
        <f aca="false">SQRT(SUMPRODUCT(MMULT(D4558:F4558,Stats!$B$12:$D$14),D4558:F4558))</f>
        <v>0.227245433023074</v>
      </c>
      <c r="I4558" s="0" t="n">
        <f aca="false">(G4558-Stats!$B$2)/H4558</f>
        <v>1.48705934691526</v>
      </c>
    </row>
    <row r="4559" customFormat="false" ht="15" hidden="false" customHeight="false" outlineLevel="0" collapsed="false">
      <c r="A4559" s="0" t="n">
        <v>0.025961018353921</v>
      </c>
      <c r="B4559" s="0" t="n">
        <v>0.0899855563496207</v>
      </c>
      <c r="C4559" s="0" t="n">
        <v>0.286547398553817</v>
      </c>
      <c r="D4559" s="0" t="n">
        <f aca="false">A4559/SUM($A4559:$C4559)</f>
        <v>0.0645003902637847</v>
      </c>
      <c r="E4559" s="0" t="n">
        <f aca="false">B4559/SUM($A4559:$C4559)</f>
        <v>0.223569947200385</v>
      </c>
      <c r="F4559" s="0" t="n">
        <f aca="false">C4559/SUM($A4559:$C4559)</f>
        <v>0.711929662535831</v>
      </c>
      <c r="G4559" s="0" t="n">
        <f aca="false">SUMPRODUCT(D4559:F4559,Stats!$B$6:$D$6)</f>
        <v>0.349716443235436</v>
      </c>
      <c r="H4559" s="0" t="n">
        <f aca="false">SQRT(SUMPRODUCT(MMULT(D4559:F4559,Stats!$B$12:$D$14),D4559:F4559))</f>
        <v>0.243370636584095</v>
      </c>
      <c r="I4559" s="0" t="n">
        <f aca="false">(G4559-Stats!$B$2)/H4559</f>
        <v>1.26439428993771</v>
      </c>
    </row>
    <row r="4560" customFormat="false" ht="15" hidden="false" customHeight="false" outlineLevel="0" collapsed="false">
      <c r="A4560" s="0" t="n">
        <v>0.972259801741711</v>
      </c>
      <c r="B4560" s="0" t="n">
        <v>0.558516153160825</v>
      </c>
      <c r="C4560" s="0" t="n">
        <v>0.373261732029269</v>
      </c>
      <c r="D4560" s="0" t="n">
        <f aca="false">A4560/SUM($A4560:$C4560)</f>
        <v>0.510630544980664</v>
      </c>
      <c r="E4560" s="0" t="n">
        <f aca="false">B4560/SUM($A4560:$C4560)</f>
        <v>0.293332509642089</v>
      </c>
      <c r="F4560" s="0" t="n">
        <f aca="false">C4560/SUM($A4560:$C4560)</f>
        <v>0.196036945377246</v>
      </c>
      <c r="G4560" s="0" t="n">
        <f aca="false">SUMPRODUCT(D4560:F4560,Stats!$B$6:$D$6)</f>
        <v>0.36795603403929</v>
      </c>
      <c r="H4560" s="0" t="n">
        <f aca="false">SQRT(SUMPRODUCT(MMULT(D4560:F4560,Stats!$B$12:$D$14),D4560:F4560))</f>
        <v>0.223433294460664</v>
      </c>
      <c r="I4560" s="0" t="n">
        <f aca="false">(G4560-Stats!$B$2)/H4560</f>
        <v>1.45885166678539</v>
      </c>
    </row>
    <row r="4561" customFormat="false" ht="15" hidden="false" customHeight="false" outlineLevel="0" collapsed="false">
      <c r="A4561" s="0" t="n">
        <v>0.888716094612746</v>
      </c>
      <c r="B4561" s="0" t="n">
        <v>0.4531363314785</v>
      </c>
      <c r="C4561" s="0" t="n">
        <v>0.315238628401021</v>
      </c>
      <c r="D4561" s="0" t="n">
        <f aca="false">A4561/SUM($A4561:$C4561)</f>
        <v>0.536310960223637</v>
      </c>
      <c r="E4561" s="0" t="n">
        <f aca="false">B4561/SUM($A4561:$C4561)</f>
        <v>0.273452886158595</v>
      </c>
      <c r="F4561" s="0" t="n">
        <f aca="false">C4561/SUM($A4561:$C4561)</f>
        <v>0.190236153617769</v>
      </c>
      <c r="G4561" s="0" t="n">
        <f aca="false">SUMPRODUCT(D4561:F4561,Stats!$B$6:$D$6)</f>
        <v>0.366972140835409</v>
      </c>
      <c r="H4561" s="0" t="n">
        <f aca="false">SQRT(SUMPRODUCT(MMULT(D4561:F4561,Stats!$B$12:$D$14),D4561:F4561))</f>
        <v>0.223149167276947</v>
      </c>
      <c r="I4561" s="0" t="n">
        <f aca="false">(G4561-Stats!$B$2)/H4561</f>
        <v>1.45630003822552</v>
      </c>
    </row>
    <row r="4562" customFormat="false" ht="15" hidden="false" customHeight="false" outlineLevel="0" collapsed="false">
      <c r="A4562" s="0" t="n">
        <v>0.941219528745657</v>
      </c>
      <c r="B4562" s="0" t="n">
        <v>0.849517666192678</v>
      </c>
      <c r="C4562" s="0" t="n">
        <v>0.843668375419441</v>
      </c>
      <c r="D4562" s="0" t="n">
        <f aca="false">A4562/SUM($A4562:$C4562)</f>
        <v>0.357279660860204</v>
      </c>
      <c r="E4562" s="0" t="n">
        <f aca="false">B4562/SUM($A4562:$C4562)</f>
        <v>0.322470342361638</v>
      </c>
      <c r="F4562" s="0" t="n">
        <f aca="false">C4562/SUM($A4562:$C4562)</f>
        <v>0.320249996778159</v>
      </c>
      <c r="G4562" s="0" t="n">
        <f aca="false">SUMPRODUCT(D4562:F4562,Stats!$B$6:$D$6)</f>
        <v>0.366207460104086</v>
      </c>
      <c r="H4562" s="0" t="n">
        <f aca="false">SQRT(SUMPRODUCT(MMULT(D4562:F4562,Stats!$B$12:$D$14),D4562:F4562))</f>
        <v>0.225594420227624</v>
      </c>
      <c r="I4562" s="0" t="n">
        <f aca="false">(G4562-Stats!$B$2)/H4562</f>
        <v>1.43712534989545</v>
      </c>
    </row>
    <row r="4563" customFormat="false" ht="15" hidden="false" customHeight="false" outlineLevel="0" collapsed="false">
      <c r="A4563" s="0" t="n">
        <v>0.512284743050213</v>
      </c>
      <c r="B4563" s="0" t="n">
        <v>0.789438398815455</v>
      </c>
      <c r="C4563" s="0" t="n">
        <v>0.179353359264552</v>
      </c>
      <c r="D4563" s="0" t="n">
        <f aca="false">A4563/SUM($A4563:$C4563)</f>
        <v>0.345886753762743</v>
      </c>
      <c r="E4563" s="0" t="n">
        <f aca="false">B4563/SUM($A4563:$C4563)</f>
        <v>0.533016625551097</v>
      </c>
      <c r="F4563" s="0" t="n">
        <f aca="false">C4563/SUM($A4563:$C4563)</f>
        <v>0.12109662068616</v>
      </c>
      <c r="G4563" s="0" t="n">
        <f aca="false">SUMPRODUCT(D4563:F4563,Stats!$B$6:$D$6)</f>
        <v>0.383813598481406</v>
      </c>
      <c r="H4563" s="0" t="n">
        <f aca="false">SQRT(SUMPRODUCT(MMULT(D4563:F4563,Stats!$B$12:$D$14),D4563:F4563))</f>
        <v>0.229872893521836</v>
      </c>
      <c r="I4563" s="0" t="n">
        <f aca="false">(G4563-Stats!$B$2)/H4563</f>
        <v>1.48696783359077</v>
      </c>
    </row>
    <row r="4564" customFormat="false" ht="15" hidden="false" customHeight="false" outlineLevel="0" collapsed="false">
      <c r="A4564" s="0" t="n">
        <v>0.573222957556244</v>
      </c>
      <c r="B4564" s="0" t="n">
        <v>0.983845922847546</v>
      </c>
      <c r="C4564" s="0" t="n">
        <v>0.290958430517962</v>
      </c>
      <c r="D4564" s="0" t="n">
        <f aca="false">A4564/SUM($A4564:$C4564)</f>
        <v>0.31018099904072</v>
      </c>
      <c r="E4564" s="0" t="n">
        <f aca="false">B4564/SUM($A4564:$C4564)</f>
        <v>0.532376289588939</v>
      </c>
      <c r="F4564" s="0" t="n">
        <f aca="false">C4564/SUM($A4564:$C4564)</f>
        <v>0.157442711370342</v>
      </c>
      <c r="G4564" s="0" t="n">
        <f aca="false">SUMPRODUCT(D4564:F4564,Stats!$B$6:$D$6)</f>
        <v>0.382774524907739</v>
      </c>
      <c r="H4564" s="0" t="n">
        <f aca="false">SQRT(SUMPRODUCT(MMULT(D4564:F4564,Stats!$B$12:$D$14),D4564:F4564))</f>
        <v>0.230211548214425</v>
      </c>
      <c r="I4564" s="0" t="n">
        <f aca="false">(G4564-Stats!$B$2)/H4564</f>
        <v>1.4802668569447</v>
      </c>
    </row>
    <row r="4565" customFormat="false" ht="15" hidden="false" customHeight="false" outlineLevel="0" collapsed="false">
      <c r="A4565" s="0" t="n">
        <v>0.794352329247675</v>
      </c>
      <c r="B4565" s="0" t="n">
        <v>0.490478407208067</v>
      </c>
      <c r="C4565" s="0" t="n">
        <v>0.0398056832220873</v>
      </c>
      <c r="D4565" s="0" t="n">
        <f aca="false">A4565/SUM($A4565:$C4565)</f>
        <v>0.599675743054742</v>
      </c>
      <c r="E4565" s="0" t="n">
        <f aca="false">B4565/SUM($A4565:$C4565)</f>
        <v>0.37027398607035</v>
      </c>
      <c r="F4565" s="0" t="n">
        <f aca="false">C4565/SUM($A4565:$C4565)</f>
        <v>0.0300502708749082</v>
      </c>
      <c r="G4565" s="0" t="n">
        <f aca="false">SUMPRODUCT(D4565:F4565,Stats!$B$6:$D$6)</f>
        <v>0.376960165717139</v>
      </c>
      <c r="H4565" s="0" t="n">
        <f aca="false">SQRT(SUMPRODUCT(MMULT(D4565:F4565,Stats!$B$12:$D$14),D4565:F4565))</f>
        <v>0.226870650260012</v>
      </c>
      <c r="I4565" s="0" t="n">
        <f aca="false">(G4565-Stats!$B$2)/H4565</f>
        <v>1.47643675077956</v>
      </c>
    </row>
    <row r="4566" customFormat="false" ht="15" hidden="false" customHeight="false" outlineLevel="0" collapsed="false">
      <c r="A4566" s="0" t="n">
        <v>0.763019397815667</v>
      </c>
      <c r="B4566" s="0" t="n">
        <v>0.168569144392113</v>
      </c>
      <c r="C4566" s="0" t="n">
        <v>0.63147356713275</v>
      </c>
      <c r="D4566" s="0" t="n">
        <f aca="false">A4566/SUM($A4566:$C4566)</f>
        <v>0.488156800203923</v>
      </c>
      <c r="E4566" s="0" t="n">
        <f aca="false">B4566/SUM($A4566:$C4566)</f>
        <v>0.107845455010891</v>
      </c>
      <c r="F4566" s="0" t="n">
        <f aca="false">C4566/SUM($A4566:$C4566)</f>
        <v>0.403997744785186</v>
      </c>
      <c r="G4566" s="0" t="n">
        <f aca="false">SUMPRODUCT(D4566:F4566,Stats!$B$6:$D$6)</f>
        <v>0.351548909929263</v>
      </c>
      <c r="H4566" s="0" t="n">
        <f aca="false">SQRT(SUMPRODUCT(MMULT(D4566:F4566,Stats!$B$12:$D$14),D4566:F4566))</f>
        <v>0.222490472701324</v>
      </c>
      <c r="I4566" s="0" t="n">
        <f aca="false">(G4566-Stats!$B$2)/H4566</f>
        <v>1.3912906299804</v>
      </c>
    </row>
    <row r="4567" customFormat="false" ht="15" hidden="false" customHeight="false" outlineLevel="0" collapsed="false">
      <c r="A4567" s="0" t="n">
        <v>0.0856641940469729</v>
      </c>
      <c r="B4567" s="0" t="n">
        <v>0.946867397495965</v>
      </c>
      <c r="C4567" s="0" t="n">
        <v>0.291723887180361</v>
      </c>
      <c r="D4567" s="0" t="n">
        <f aca="false">A4567/SUM($A4567:$C4567)</f>
        <v>0.0646885706144564</v>
      </c>
      <c r="E4567" s="0" t="n">
        <f aca="false">B4567/SUM($A4567:$C4567)</f>
        <v>0.715018674801958</v>
      </c>
      <c r="F4567" s="0" t="n">
        <f aca="false">C4567/SUM($A4567:$C4567)</f>
        <v>0.220292754583586</v>
      </c>
      <c r="G4567" s="0" t="n">
        <f aca="false">SUMPRODUCT(D4567:F4567,Stats!$B$6:$D$6)</f>
        <v>0.391550465595275</v>
      </c>
      <c r="H4567" s="0" t="n">
        <f aca="false">SQRT(SUMPRODUCT(MMULT(D4567:F4567,Stats!$B$12:$D$14),D4567:F4567))</f>
        <v>0.241803689530568</v>
      </c>
      <c r="I4567" s="0" t="n">
        <f aca="false">(G4567-Stats!$B$2)/H4567</f>
        <v>1.44559607950517</v>
      </c>
    </row>
    <row r="4568" customFormat="false" ht="15" hidden="false" customHeight="false" outlineLevel="0" collapsed="false">
      <c r="A4568" s="0" t="n">
        <v>0.226464691677395</v>
      </c>
      <c r="B4568" s="0" t="n">
        <v>0.129136404066334</v>
      </c>
      <c r="C4568" s="0" t="n">
        <v>0.946002193339048</v>
      </c>
      <c r="D4568" s="0" t="n">
        <f aca="false">A4568/SUM($A4568:$C4568)</f>
        <v>0.1739890284366</v>
      </c>
      <c r="E4568" s="0" t="n">
        <f aca="false">B4568/SUM($A4568:$C4568)</f>
        <v>0.0992133356987251</v>
      </c>
      <c r="F4568" s="0" t="n">
        <f aca="false">C4568/SUM($A4568:$C4568)</f>
        <v>0.726797635864675</v>
      </c>
      <c r="G4568" s="0" t="n">
        <f aca="false">SUMPRODUCT(D4568:F4568,Stats!$B$6:$D$6)</f>
        <v>0.342151146115223</v>
      </c>
      <c r="H4568" s="0" t="n">
        <f aca="false">SQRT(SUMPRODUCT(MMULT(D4568:F4568,Stats!$B$12:$D$14),D4568:F4568))</f>
        <v>0.238591791031415</v>
      </c>
      <c r="I4568" s="0" t="n">
        <f aca="false">(G4568-Stats!$B$2)/H4568</f>
        <v>1.25801120322578</v>
      </c>
    </row>
    <row r="4569" customFormat="false" ht="15" hidden="false" customHeight="false" outlineLevel="0" collapsed="false">
      <c r="A4569" s="0" t="n">
        <v>0.711903742441305</v>
      </c>
      <c r="B4569" s="0" t="n">
        <v>0.741660888718089</v>
      </c>
      <c r="C4569" s="0" t="n">
        <v>0.499404561380245</v>
      </c>
      <c r="D4569" s="0" t="n">
        <f aca="false">A4569/SUM($A4569:$C4569)</f>
        <v>0.364523795439674</v>
      </c>
      <c r="E4569" s="0" t="n">
        <f aca="false">B4569/SUM($A4569:$C4569)</f>
        <v>0.379760669830963</v>
      </c>
      <c r="F4569" s="0" t="n">
        <f aca="false">C4569/SUM($A4569:$C4569)</f>
        <v>0.255715534729362</v>
      </c>
      <c r="G4569" s="0" t="n">
        <f aca="false">SUMPRODUCT(D4569:F4569,Stats!$B$6:$D$6)</f>
        <v>0.371283384366987</v>
      </c>
      <c r="H4569" s="0" t="n">
        <f aca="false">SQRT(SUMPRODUCT(MMULT(D4569:F4569,Stats!$B$12:$D$14),D4569:F4569))</f>
        <v>0.226074209678358</v>
      </c>
      <c r="I4569" s="0" t="n">
        <f aca="false">(G4569-Stats!$B$2)/H4569</f>
        <v>1.45652785797844</v>
      </c>
    </row>
    <row r="4570" customFormat="false" ht="15" hidden="false" customHeight="false" outlineLevel="0" collapsed="false">
      <c r="A4570" s="0" t="n">
        <v>0.474727785270483</v>
      </c>
      <c r="B4570" s="0" t="n">
        <v>0.110021242991477</v>
      </c>
      <c r="C4570" s="0" t="n">
        <v>0.559841095583992</v>
      </c>
      <c r="D4570" s="0" t="n">
        <f aca="false">A4570/SUM($A4570:$C4570)</f>
        <v>0.414757890514855</v>
      </c>
      <c r="E4570" s="0" t="n">
        <f aca="false">B4570/SUM($A4570:$C4570)</f>
        <v>0.0961228309587303</v>
      </c>
      <c r="F4570" s="0" t="n">
        <f aca="false">C4570/SUM($A4570:$C4570)</f>
        <v>0.489119278526415</v>
      </c>
      <c r="G4570" s="0" t="n">
        <f aca="false">SUMPRODUCT(D4570:F4570,Stats!$B$6:$D$6)</f>
        <v>0.348527211760146</v>
      </c>
      <c r="H4570" s="0" t="n">
        <f aca="false">SQRT(SUMPRODUCT(MMULT(D4570:F4570,Stats!$B$12:$D$14),D4570:F4570))</f>
        <v>0.224717171307936</v>
      </c>
      <c r="I4570" s="0" t="n">
        <f aca="false">(G4570-Stats!$B$2)/H4570</f>
        <v>1.36405780642416</v>
      </c>
    </row>
    <row r="4571" customFormat="false" ht="15" hidden="false" customHeight="false" outlineLevel="0" collapsed="false">
      <c r="A4571" s="0" t="n">
        <v>0.24691649510879</v>
      </c>
      <c r="B4571" s="0" t="n">
        <v>0.977145332800406</v>
      </c>
      <c r="C4571" s="0" t="n">
        <v>0.796580940015147</v>
      </c>
      <c r="D4571" s="0" t="n">
        <f aca="false">A4571/SUM($A4571:$C4571)</f>
        <v>0.12219700534322</v>
      </c>
      <c r="E4571" s="0" t="n">
        <f aca="false">B4571/SUM($A4571:$C4571)</f>
        <v>0.48358143671489</v>
      </c>
      <c r="F4571" s="0" t="n">
        <f aca="false">C4571/SUM($A4571:$C4571)</f>
        <v>0.39422155794189</v>
      </c>
      <c r="G4571" s="0" t="n">
        <f aca="false">SUMPRODUCT(D4571:F4571,Stats!$B$6:$D$6)</f>
        <v>0.373437846603031</v>
      </c>
      <c r="H4571" s="0" t="n">
        <f aca="false">SQRT(SUMPRODUCT(MMULT(D4571:F4571,Stats!$B$12:$D$14),D4571:F4571))</f>
        <v>0.235728349888276</v>
      </c>
      <c r="I4571" s="0" t="n">
        <f aca="false">(G4571-Stats!$B$2)/H4571</f>
        <v>1.40601606366021</v>
      </c>
    </row>
    <row r="4572" customFormat="false" ht="15" hidden="false" customHeight="false" outlineLevel="0" collapsed="false">
      <c r="A4572" s="0" t="n">
        <v>0.412992060192888</v>
      </c>
      <c r="B4572" s="0" t="n">
        <v>0.151341258691533</v>
      </c>
      <c r="C4572" s="0" t="n">
        <v>0.785331691138784</v>
      </c>
      <c r="D4572" s="0" t="n">
        <f aca="false">A4572/SUM($A4572:$C4572)</f>
        <v>0.305995974649878</v>
      </c>
      <c r="E4572" s="0" t="n">
        <f aca="false">B4572/SUM($A4572:$C4572)</f>
        <v>0.112132460697733</v>
      </c>
      <c r="F4572" s="0" t="n">
        <f aca="false">C4572/SUM($A4572:$C4572)</f>
        <v>0.581871564652389</v>
      </c>
      <c r="G4572" s="0" t="n">
        <f aca="false">SUMPRODUCT(D4572:F4572,Stats!$B$6:$D$6)</f>
        <v>0.346890776518951</v>
      </c>
      <c r="H4572" s="0" t="n">
        <f aca="false">SQRT(SUMPRODUCT(MMULT(D4572:F4572,Stats!$B$12:$D$14),D4572:F4572))</f>
        <v>0.229376201010777</v>
      </c>
      <c r="I4572" s="0" t="n">
        <f aca="false">(G4572-Stats!$B$2)/H4572</f>
        <v>1.32921713401569</v>
      </c>
    </row>
    <row r="4573" customFormat="false" ht="15" hidden="false" customHeight="false" outlineLevel="0" collapsed="false">
      <c r="A4573" s="0" t="n">
        <v>0.122053767081316</v>
      </c>
      <c r="B4573" s="0" t="n">
        <v>0.189333753497071</v>
      </c>
      <c r="C4573" s="0" t="n">
        <v>0.211520517744227</v>
      </c>
      <c r="D4573" s="0" t="n">
        <f aca="false">A4573/SUM($A4573:$C4573)</f>
        <v>0.233413445838087</v>
      </c>
      <c r="E4573" s="0" t="n">
        <f aca="false">B4573/SUM($A4573:$C4573)</f>
        <v>0.362078491094564</v>
      </c>
      <c r="F4573" s="0" t="n">
        <f aca="false">C4573/SUM($A4573:$C4573)</f>
        <v>0.404508063067349</v>
      </c>
      <c r="G4573" s="0" t="n">
        <f aca="false">SUMPRODUCT(D4573:F4573,Stats!$B$6:$D$6)</f>
        <v>0.366163077947786</v>
      </c>
      <c r="H4573" s="0" t="n">
        <f aca="false">SQRT(SUMPRODUCT(MMULT(D4573:F4573,Stats!$B$12:$D$14),D4573:F4573))</f>
        <v>0.230065755889405</v>
      </c>
      <c r="I4573" s="0" t="n">
        <f aca="false">(G4573-Stats!$B$2)/H4573</f>
        <v>1.40900185990137</v>
      </c>
    </row>
    <row r="4574" customFormat="false" ht="15" hidden="false" customHeight="false" outlineLevel="0" collapsed="false">
      <c r="A4574" s="0" t="n">
        <v>0.556890638273094</v>
      </c>
      <c r="B4574" s="0" t="n">
        <v>0.787056653990366</v>
      </c>
      <c r="C4574" s="0" t="n">
        <v>0.314314878724692</v>
      </c>
      <c r="D4574" s="0" t="n">
        <f aca="false">A4574/SUM($A4574:$C4574)</f>
        <v>0.335827861249012</v>
      </c>
      <c r="E4574" s="0" t="n">
        <f aca="false">B4574/SUM($A4574:$C4574)</f>
        <v>0.474627394726952</v>
      </c>
      <c r="F4574" s="0" t="n">
        <f aca="false">C4574/SUM($A4574:$C4574)</f>
        <v>0.189544744024036</v>
      </c>
      <c r="G4574" s="0" t="n">
        <f aca="false">SUMPRODUCT(D4574:F4574,Stats!$B$6:$D$6)</f>
        <v>0.378566527036978</v>
      </c>
      <c r="H4574" s="0" t="n">
        <f aca="false">SQRT(SUMPRODUCT(MMULT(D4574:F4574,Stats!$B$12:$D$14),D4574:F4574))</f>
        <v>0.228368562443143</v>
      </c>
      <c r="I4574" s="0" t="n">
        <f aca="false">(G4574-Stats!$B$2)/H4574</f>
        <v>1.47378659933008</v>
      </c>
    </row>
    <row r="4575" customFormat="false" ht="15" hidden="false" customHeight="false" outlineLevel="0" collapsed="false">
      <c r="A4575" s="0" t="n">
        <v>0.0846698142752894</v>
      </c>
      <c r="B4575" s="0" t="n">
        <v>0.464538463524419</v>
      </c>
      <c r="C4575" s="0" t="n">
        <v>0.748110241159936</v>
      </c>
      <c r="D4575" s="0" t="n">
        <f aca="false">A4575/SUM($A4575:$C4575)</f>
        <v>0.0652652475378125</v>
      </c>
      <c r="E4575" s="0" t="n">
        <f aca="false">B4575/SUM($A4575:$C4575)</f>
        <v>0.358075874764314</v>
      </c>
      <c r="F4575" s="0" t="n">
        <f aca="false">C4575/SUM($A4575:$C4575)</f>
        <v>0.576658877697873</v>
      </c>
      <c r="G4575" s="0" t="n">
        <f aca="false">SUMPRODUCT(D4575:F4575,Stats!$B$6:$D$6)</f>
        <v>0.361185780083876</v>
      </c>
      <c r="H4575" s="0" t="n">
        <f aca="false">SQRT(SUMPRODUCT(MMULT(D4575:F4575,Stats!$B$12:$D$14),D4575:F4575))</f>
        <v>0.240123211249225</v>
      </c>
      <c r="I4575" s="0" t="n">
        <f aca="false">(G4575-Stats!$B$2)/H4575</f>
        <v>1.3292583354326</v>
      </c>
    </row>
    <row r="4576" customFormat="false" ht="15" hidden="false" customHeight="false" outlineLevel="0" collapsed="false">
      <c r="A4576" s="0" t="n">
        <v>0.221663843087388</v>
      </c>
      <c r="B4576" s="0" t="n">
        <v>0.219924548039374</v>
      </c>
      <c r="C4576" s="0" t="n">
        <v>0.947227027346711</v>
      </c>
      <c r="D4576" s="0" t="n">
        <f aca="false">A4576/SUM($A4576:$C4576)</f>
        <v>0.159606409994376</v>
      </c>
      <c r="E4576" s="0" t="n">
        <f aca="false">B4576/SUM($A4576:$C4576)</f>
        <v>0.158354051311661</v>
      </c>
      <c r="F4576" s="0" t="n">
        <f aca="false">C4576/SUM($A4576:$C4576)</f>
        <v>0.682039538693963</v>
      </c>
      <c r="G4576" s="0" t="n">
        <f aca="false">SUMPRODUCT(D4576:F4576,Stats!$B$6:$D$6)</f>
        <v>0.346788213661874</v>
      </c>
      <c r="H4576" s="0" t="n">
        <f aca="false">SQRT(SUMPRODUCT(MMULT(D4576:F4576,Stats!$B$12:$D$14),D4576:F4576))</f>
        <v>0.23771995518427</v>
      </c>
      <c r="I4576" s="0" t="n">
        <f aca="false">(G4576-Stats!$B$2)/H4576</f>
        <v>1.28213137776177</v>
      </c>
    </row>
    <row r="4577" customFormat="false" ht="15" hidden="false" customHeight="false" outlineLevel="0" collapsed="false">
      <c r="A4577" s="0" t="n">
        <v>0.954153727119178</v>
      </c>
      <c r="B4577" s="0" t="n">
        <v>0.990465732061576</v>
      </c>
      <c r="C4577" s="0" t="n">
        <v>0.80765960157478</v>
      </c>
      <c r="D4577" s="0" t="n">
        <f aca="false">A4577/SUM($A4577:$C4577)</f>
        <v>0.346677682770021</v>
      </c>
      <c r="E4577" s="0" t="n">
        <f aca="false">B4577/SUM($A4577:$C4577)</f>
        <v>0.359871114155729</v>
      </c>
      <c r="F4577" s="0" t="n">
        <f aca="false">C4577/SUM($A4577:$C4577)</f>
        <v>0.293451203074251</v>
      </c>
      <c r="G4577" s="0" t="n">
        <f aca="false">SUMPRODUCT(D4577:F4577,Stats!$B$6:$D$6)</f>
        <v>0.369098418535273</v>
      </c>
      <c r="H4577" s="0" t="n">
        <f aca="false">SQRT(SUMPRODUCT(MMULT(D4577:F4577,Stats!$B$12:$D$14),D4577:F4577))</f>
        <v>0.226188767711387</v>
      </c>
      <c r="I4577" s="0" t="n">
        <f aca="false">(G4577-Stats!$B$2)/H4577</f>
        <v>1.44613024707153</v>
      </c>
    </row>
    <row r="4578" customFormat="false" ht="15" hidden="false" customHeight="false" outlineLevel="0" collapsed="false">
      <c r="A4578" s="0" t="n">
        <v>0.188184169167946</v>
      </c>
      <c r="B4578" s="0" t="n">
        <v>0.211981520799261</v>
      </c>
      <c r="C4578" s="0" t="n">
        <v>0.340225241522392</v>
      </c>
      <c r="D4578" s="0" t="n">
        <f aca="false">A4578/SUM($A4578:$C4578)</f>
        <v>0.254168657616236</v>
      </c>
      <c r="E4578" s="0" t="n">
        <f aca="false">B4578/SUM($A4578:$C4578)</f>
        <v>0.286310260949272</v>
      </c>
      <c r="F4578" s="0" t="n">
        <f aca="false">C4578/SUM($A4578:$C4578)</f>
        <v>0.459521081434493</v>
      </c>
      <c r="G4578" s="0" t="n">
        <f aca="false">SUMPRODUCT(D4578:F4578,Stats!$B$6:$D$6)</f>
        <v>0.360286509227773</v>
      </c>
      <c r="H4578" s="0" t="n">
        <f aca="false">SQRT(SUMPRODUCT(MMULT(D4578:F4578,Stats!$B$12:$D$14),D4578:F4578))</f>
        <v>0.229379836801201</v>
      </c>
      <c r="I4578" s="0" t="n">
        <f aca="false">(G4578-Stats!$B$2)/H4578</f>
        <v>1.38759584829431</v>
      </c>
    </row>
    <row r="4579" customFormat="false" ht="15" hidden="false" customHeight="false" outlineLevel="0" collapsed="false">
      <c r="A4579" s="0" t="n">
        <v>0.318132531333491</v>
      </c>
      <c r="B4579" s="0" t="n">
        <v>0.956527749078009</v>
      </c>
      <c r="C4579" s="0" t="n">
        <v>0.789073982881694</v>
      </c>
      <c r="D4579" s="0" t="n">
        <f aca="false">A4579/SUM($A4579:$C4579)</f>
        <v>0.154153825418314</v>
      </c>
      <c r="E4579" s="0" t="n">
        <f aca="false">B4579/SUM($A4579:$C4579)</f>
        <v>0.463493661025734</v>
      </c>
      <c r="F4579" s="0" t="n">
        <f aca="false">C4579/SUM($A4579:$C4579)</f>
        <v>0.382352513555952</v>
      </c>
      <c r="G4579" s="0" t="n">
        <f aca="false">SUMPRODUCT(D4579:F4579,Stats!$B$6:$D$6)</f>
        <v>0.372609306322844</v>
      </c>
      <c r="H4579" s="0" t="n">
        <f aca="false">SQRT(SUMPRODUCT(MMULT(D4579:F4579,Stats!$B$12:$D$14),D4579:F4579))</f>
        <v>0.234012405532218</v>
      </c>
      <c r="I4579" s="0" t="n">
        <f aca="false">(G4579-Stats!$B$2)/H4579</f>
        <v>1.41278538447966</v>
      </c>
    </row>
    <row r="4580" customFormat="false" ht="15" hidden="false" customHeight="false" outlineLevel="0" collapsed="false">
      <c r="A4580" s="0" t="n">
        <v>0.724008792161554</v>
      </c>
      <c r="B4580" s="0" t="n">
        <v>0.185963224058132</v>
      </c>
      <c r="C4580" s="0" t="n">
        <v>0.90952555936233</v>
      </c>
      <c r="D4580" s="0" t="n">
        <f aca="false">A4580/SUM($A4580:$C4580)</f>
        <v>0.397916876547615</v>
      </c>
      <c r="E4580" s="0" t="n">
        <f aca="false">B4580/SUM($A4580:$C4580)</f>
        <v>0.102205810303785</v>
      </c>
      <c r="F4580" s="0" t="n">
        <f aca="false">C4580/SUM($A4580:$C4580)</f>
        <v>0.4998773131486</v>
      </c>
      <c r="G4580" s="0" t="n">
        <f aca="false">SUMPRODUCT(D4580:F4580,Stats!$B$6:$D$6)</f>
        <v>0.348580569851665</v>
      </c>
      <c r="H4580" s="0" t="n">
        <f aca="false">SQRT(SUMPRODUCT(MMULT(D4580:F4580,Stats!$B$12:$D$14),D4580:F4580))</f>
        <v>0.225255264388695</v>
      </c>
      <c r="I4580" s="0" t="n">
        <f aca="false">(G4580-Stats!$B$2)/H4580</f>
        <v>1.36103620345422</v>
      </c>
    </row>
    <row r="4581" customFormat="false" ht="15" hidden="false" customHeight="false" outlineLevel="0" collapsed="false">
      <c r="A4581" s="0" t="n">
        <v>0.827870379506174</v>
      </c>
      <c r="B4581" s="0" t="n">
        <v>0.163641841327924</v>
      </c>
      <c r="C4581" s="0" t="n">
        <v>0.871170331960973</v>
      </c>
      <c r="D4581" s="0" t="n">
        <f aca="false">A4581/SUM($A4581:$C4581)</f>
        <v>0.444450600701608</v>
      </c>
      <c r="E4581" s="0" t="n">
        <f aca="false">B4581/SUM($A4581:$C4581)</f>
        <v>0.0878527804334501</v>
      </c>
      <c r="F4581" s="0" t="n">
        <f aca="false">C4581/SUM($A4581:$C4581)</f>
        <v>0.467696618864942</v>
      </c>
      <c r="G4581" s="0" t="n">
        <f aca="false">SUMPRODUCT(D4581:F4581,Stats!$B$6:$D$6)</f>
        <v>0.348642085357215</v>
      </c>
      <c r="H4581" s="0" t="n">
        <f aca="false">SQRT(SUMPRODUCT(MMULT(D4581:F4581,Stats!$B$12:$D$14),D4581:F4581))</f>
        <v>0.223830450205485</v>
      </c>
      <c r="I4581" s="0" t="n">
        <f aca="false">(G4581-Stats!$B$2)/H4581</f>
        <v>1.36997484066938</v>
      </c>
    </row>
    <row r="4582" customFormat="false" ht="15" hidden="false" customHeight="false" outlineLevel="0" collapsed="false">
      <c r="A4582" s="0" t="n">
        <v>0.272247536370471</v>
      </c>
      <c r="B4582" s="0" t="n">
        <v>0.080869745832106</v>
      </c>
      <c r="C4582" s="0" t="n">
        <v>0.65682230651421</v>
      </c>
      <c r="D4582" s="0" t="n">
        <f aca="false">A4582/SUM($A4582:$C4582)</f>
        <v>0.269568139928433</v>
      </c>
      <c r="E4582" s="0" t="n">
        <f aca="false">B4582/SUM($A4582:$C4582)</f>
        <v>0.0800738447483357</v>
      </c>
      <c r="F4582" s="0" t="n">
        <f aca="false">C4582/SUM($A4582:$C4582)</f>
        <v>0.650358015323231</v>
      </c>
      <c r="G4582" s="0" t="n">
        <f aca="false">SUMPRODUCT(D4582:F4582,Stats!$B$6:$D$6)</f>
        <v>0.343157677713903</v>
      </c>
      <c r="H4582" s="0" t="n">
        <f aca="false">SQRT(SUMPRODUCT(MMULT(D4582:F4582,Stats!$B$12:$D$14),D4582:F4582))</f>
        <v>0.23240775521124</v>
      </c>
      <c r="I4582" s="0" t="n">
        <f aca="false">(G4582-Stats!$B$2)/H4582</f>
        <v>1.29581595691665</v>
      </c>
    </row>
    <row r="4583" customFormat="false" ht="15" hidden="false" customHeight="false" outlineLevel="0" collapsed="false">
      <c r="A4583" s="0" t="n">
        <v>0.653804659384331</v>
      </c>
      <c r="B4583" s="0" t="n">
        <v>0.0949320095656181</v>
      </c>
      <c r="C4583" s="0" t="n">
        <v>0.318851808936582</v>
      </c>
      <c r="D4583" s="0" t="n">
        <f aca="false">A4583/SUM($A4583:$C4583)</f>
        <v>0.612412622397954</v>
      </c>
      <c r="E4583" s="0" t="n">
        <f aca="false">B4583/SUM($A4583:$C4583)</f>
        <v>0.0889219128268898</v>
      </c>
      <c r="F4583" s="0" t="n">
        <f aca="false">C4583/SUM($A4583:$C4583)</f>
        <v>0.298665464775156</v>
      </c>
      <c r="G4583" s="0" t="n">
        <f aca="false">SUMPRODUCT(D4583:F4583,Stats!$B$6:$D$6)</f>
        <v>0.353364570912609</v>
      </c>
      <c r="H4583" s="0" t="n">
        <f aca="false">SQRT(SUMPRODUCT(MMULT(D4583:F4583,Stats!$B$12:$D$14),D4583:F4583))</f>
        <v>0.221334421866762</v>
      </c>
      <c r="I4583" s="0" t="n">
        <f aca="false">(G4583-Stats!$B$2)/H4583</f>
        <v>1.40676072111387</v>
      </c>
    </row>
    <row r="4584" customFormat="false" ht="15" hidden="false" customHeight="false" outlineLevel="0" collapsed="false">
      <c r="A4584" s="0" t="n">
        <v>0.992814462255539</v>
      </c>
      <c r="B4584" s="0" t="n">
        <v>0.678426667008737</v>
      </c>
      <c r="C4584" s="0" t="n">
        <v>0.730075166603329</v>
      </c>
      <c r="D4584" s="0" t="n">
        <f aca="false">A4584/SUM($A4584:$C4584)</f>
        <v>0.413445935449678</v>
      </c>
      <c r="E4584" s="0" t="n">
        <f aca="false">B4584/SUM($A4584:$C4584)</f>
        <v>0.282522826408263</v>
      </c>
      <c r="F4584" s="0" t="n">
        <f aca="false">C4584/SUM($A4584:$C4584)</f>
        <v>0.304031238142058</v>
      </c>
      <c r="G4584" s="0" t="n">
        <f aca="false">SUMPRODUCT(D4584:F4584,Stats!$B$6:$D$6)</f>
        <v>0.364356157770514</v>
      </c>
      <c r="H4584" s="0" t="n">
        <f aca="false">SQRT(SUMPRODUCT(MMULT(D4584:F4584,Stats!$B$12:$D$14),D4584:F4584))</f>
        <v>0.224075569246741</v>
      </c>
      <c r="I4584" s="0" t="n">
        <f aca="false">(G4584-Stats!$B$2)/H4584</f>
        <v>1.43860465848266</v>
      </c>
    </row>
    <row r="4585" customFormat="false" ht="15" hidden="false" customHeight="false" outlineLevel="0" collapsed="false">
      <c r="A4585" s="0" t="n">
        <v>0.212917285604306</v>
      </c>
      <c r="B4585" s="0" t="n">
        <v>0.0787820710039143</v>
      </c>
      <c r="C4585" s="0" t="n">
        <v>0.276901689740938</v>
      </c>
      <c r="D4585" s="0" t="n">
        <f aca="false">A4585/SUM($A4585:$C4585)</f>
        <v>0.374458131885956</v>
      </c>
      <c r="E4585" s="0" t="n">
        <f aca="false">B4585/SUM($A4585:$C4585)</f>
        <v>0.138554213907544</v>
      </c>
      <c r="F4585" s="0" t="n">
        <f aca="false">C4585/SUM($A4585:$C4585)</f>
        <v>0.4869876542065</v>
      </c>
      <c r="G4585" s="0" t="n">
        <f aca="false">SUMPRODUCT(D4585:F4585,Stats!$B$6:$D$6)</f>
        <v>0.351027437337912</v>
      </c>
      <c r="H4585" s="0" t="n">
        <f aca="false">SQRT(SUMPRODUCT(MMULT(D4585:F4585,Stats!$B$12:$D$14),D4585:F4585))</f>
        <v>0.225637876561425</v>
      </c>
      <c r="I4585" s="0" t="n">
        <f aca="false">(G4585-Stats!$B$2)/H4585</f>
        <v>1.36957252943207</v>
      </c>
    </row>
    <row r="4586" customFormat="false" ht="15" hidden="false" customHeight="false" outlineLevel="0" collapsed="false">
      <c r="A4586" s="0" t="n">
        <v>0.248898385193192</v>
      </c>
      <c r="B4586" s="0" t="n">
        <v>0.234544100748053</v>
      </c>
      <c r="C4586" s="0" t="n">
        <v>0.19275432188704</v>
      </c>
      <c r="D4586" s="0" t="n">
        <f aca="false">A4586/SUM($A4586:$C4586)</f>
        <v>0.368085714560779</v>
      </c>
      <c r="E4586" s="0" t="n">
        <f aca="false">B4586/SUM($A4586:$C4586)</f>
        <v>0.346857746195711</v>
      </c>
      <c r="F4586" s="0" t="n">
        <f aca="false">C4586/SUM($A4586:$C4586)</f>
        <v>0.28505653924351</v>
      </c>
      <c r="G4586" s="0" t="n">
        <f aca="false">SUMPRODUCT(D4586:F4586,Stats!$B$6:$D$6)</f>
        <v>0.368581125812102</v>
      </c>
      <c r="H4586" s="0" t="n">
        <f aca="false">SQRT(SUMPRODUCT(MMULT(D4586:F4586,Stats!$B$12:$D$14),D4586:F4586))</f>
        <v>0.225573058926386</v>
      </c>
      <c r="I4586" s="0" t="n">
        <f aca="false">(G4586-Stats!$B$2)/H4586</f>
        <v>1.44778426717474</v>
      </c>
    </row>
    <row r="4587" customFormat="false" ht="15" hidden="false" customHeight="false" outlineLevel="0" collapsed="false">
      <c r="A4587" s="0" t="n">
        <v>0.574755690655404</v>
      </c>
      <c r="B4587" s="0" t="n">
        <v>0.328103475841822</v>
      </c>
      <c r="C4587" s="0" t="n">
        <v>0.82034501504753</v>
      </c>
      <c r="D4587" s="0" t="n">
        <f aca="false">A4587/SUM($A4587:$C4587)</f>
        <v>0.333538936831135</v>
      </c>
      <c r="E4587" s="0" t="n">
        <f aca="false">B4587/SUM($A4587:$C4587)</f>
        <v>0.190403133508935</v>
      </c>
      <c r="F4587" s="0" t="n">
        <f aca="false">C4587/SUM($A4587:$C4587)</f>
        <v>0.47605792965993</v>
      </c>
      <c r="G4587" s="0" t="n">
        <f aca="false">SUMPRODUCT(D4587:F4587,Stats!$B$6:$D$6)</f>
        <v>0.354312140015612</v>
      </c>
      <c r="H4587" s="0" t="n">
        <f aca="false">SQRT(SUMPRODUCT(MMULT(D4587:F4587,Stats!$B$12:$D$14),D4587:F4587))</f>
        <v>0.226672588970178</v>
      </c>
      <c r="I4587" s="0" t="n">
        <f aca="false">(G4587-Stats!$B$2)/H4587</f>
        <v>1.37781167733828</v>
      </c>
    </row>
    <row r="4588" customFormat="false" ht="15" hidden="false" customHeight="false" outlineLevel="0" collapsed="false">
      <c r="A4588" s="0" t="n">
        <v>0.183947417847384</v>
      </c>
      <c r="B4588" s="0" t="n">
        <v>0.464627070868545</v>
      </c>
      <c r="C4588" s="0" t="n">
        <v>0.01365783642608</v>
      </c>
      <c r="D4588" s="0" t="n">
        <f aca="false">A4588/SUM($A4588:$C4588)</f>
        <v>0.277768708750269</v>
      </c>
      <c r="E4588" s="0" t="n">
        <f aca="false">B4588/SUM($A4588:$C4588)</f>
        <v>0.701607356253578</v>
      </c>
      <c r="F4588" s="0" t="n">
        <f aca="false">C4588/SUM($A4588:$C4588)</f>
        <v>0.0206239349961529</v>
      </c>
      <c r="G4588" s="0" t="n">
        <f aca="false">SUMPRODUCT(D4588:F4588,Stats!$B$6:$D$6)</f>
        <v>0.396284586587389</v>
      </c>
      <c r="H4588" s="0" t="n">
        <f aca="false">SQRT(SUMPRODUCT(MMULT(D4588:F4588,Stats!$B$12:$D$14),D4588:F4588))</f>
        <v>0.236588278110214</v>
      </c>
      <c r="I4588" s="0" t="n">
        <f aca="false">(G4588-Stats!$B$2)/H4588</f>
        <v>1.49747311835266</v>
      </c>
    </row>
    <row r="4589" customFormat="false" ht="15" hidden="false" customHeight="false" outlineLevel="0" collapsed="false">
      <c r="A4589" s="0" t="n">
        <v>0.481682322455192</v>
      </c>
      <c r="B4589" s="0" t="n">
        <v>0.0558382208764744</v>
      </c>
      <c r="C4589" s="0" t="n">
        <v>0.977723511872644</v>
      </c>
      <c r="D4589" s="0" t="n">
        <f aca="false">A4589/SUM($A4589:$C4589)</f>
        <v>0.317890917176536</v>
      </c>
      <c r="E4589" s="0" t="n">
        <f aca="false">B4589/SUM($A4589:$C4589)</f>
        <v>0.0368509750522964</v>
      </c>
      <c r="F4589" s="0" t="n">
        <f aca="false">C4589/SUM($A4589:$C4589)</f>
        <v>0.645258107771168</v>
      </c>
      <c r="G4589" s="0" t="n">
        <f aca="false">SUMPRODUCT(D4589:F4589,Stats!$B$6:$D$6)</f>
        <v>0.340811317723079</v>
      </c>
      <c r="H4589" s="0" t="n">
        <f aca="false">SQRT(SUMPRODUCT(MMULT(D4589:F4589,Stats!$B$12:$D$14),D4589:F4589))</f>
        <v>0.230748348243094</v>
      </c>
      <c r="I4589" s="0" t="n">
        <f aca="false">(G4589-Stats!$B$2)/H4589</f>
        <v>1.29496622618629</v>
      </c>
    </row>
    <row r="4590" customFormat="false" ht="15" hidden="false" customHeight="false" outlineLevel="0" collapsed="false">
      <c r="A4590" s="0" t="n">
        <v>0.790592128650413</v>
      </c>
      <c r="B4590" s="0" t="n">
        <v>0.490111476636455</v>
      </c>
      <c r="C4590" s="0" t="n">
        <v>0.0865873581793503</v>
      </c>
      <c r="D4590" s="0" t="n">
        <f aca="false">A4590/SUM($A4590:$C4590)</f>
        <v>0.578217913944361</v>
      </c>
      <c r="E4590" s="0" t="n">
        <f aca="false">B4590/SUM($A4590:$C4590)</f>
        <v>0.358454410752466</v>
      </c>
      <c r="F4590" s="0" t="n">
        <f aca="false">C4590/SUM($A4590:$C4590)</f>
        <v>0.0633276753031723</v>
      </c>
      <c r="G4590" s="0" t="n">
        <f aca="false">SUMPRODUCT(D4590:F4590,Stats!$B$6:$D$6)</f>
        <v>0.375362471023178</v>
      </c>
      <c r="H4590" s="0" t="n">
        <f aca="false">SQRT(SUMPRODUCT(MMULT(D4590:F4590,Stats!$B$12:$D$14),D4590:F4590))</f>
        <v>0.225937042281617</v>
      </c>
      <c r="I4590" s="0" t="n">
        <f aca="false">(G4590-Stats!$B$2)/H4590</f>
        <v>1.47546620800524</v>
      </c>
    </row>
    <row r="4591" customFormat="false" ht="15" hidden="false" customHeight="false" outlineLevel="0" collapsed="false">
      <c r="A4591" s="0" t="n">
        <v>0.592445440790414</v>
      </c>
      <c r="B4591" s="0" t="n">
        <v>0.758763750701878</v>
      </c>
      <c r="C4591" s="0" t="n">
        <v>0.190717253004745</v>
      </c>
      <c r="D4591" s="0" t="n">
        <f aca="false">A4591/SUM($A4591:$C4591)</f>
        <v>0.384224191046717</v>
      </c>
      <c r="E4591" s="0" t="n">
        <f aca="false">B4591/SUM($A4591:$C4591)</f>
        <v>0.49208816244758</v>
      </c>
      <c r="F4591" s="0" t="n">
        <f aca="false">C4591/SUM($A4591:$C4591)</f>
        <v>0.123687646505703</v>
      </c>
      <c r="G4591" s="0" t="n">
        <f aca="false">SUMPRODUCT(D4591:F4591,Stats!$B$6:$D$6)</f>
        <v>0.38138718114669</v>
      </c>
      <c r="H4591" s="0" t="n">
        <f aca="false">SQRT(SUMPRODUCT(MMULT(D4591:F4591,Stats!$B$12:$D$14),D4591:F4591))</f>
        <v>0.228419449974498</v>
      </c>
      <c r="I4591" s="0" t="n">
        <f aca="false">(G4591-Stats!$B$2)/H4591</f>
        <v>1.48580683993671</v>
      </c>
    </row>
    <row r="4592" customFormat="false" ht="15" hidden="false" customHeight="false" outlineLevel="0" collapsed="false">
      <c r="A4592" s="0" t="n">
        <v>0.568208340787491</v>
      </c>
      <c r="B4592" s="0" t="n">
        <v>0.814210898382868</v>
      </c>
      <c r="C4592" s="0" t="n">
        <v>0.768247777646316</v>
      </c>
      <c r="D4592" s="0" t="n">
        <f aca="false">A4592/SUM($A4592:$C4592)</f>
        <v>0.264200983390041</v>
      </c>
      <c r="E4592" s="0" t="n">
        <f aca="false">B4592/SUM($A4592:$C4592)</f>
        <v>0.37858529098941</v>
      </c>
      <c r="F4592" s="0" t="n">
        <f aca="false">C4592/SUM($A4592:$C4592)</f>
        <v>0.357213725620549</v>
      </c>
      <c r="G4592" s="0" t="n">
        <f aca="false">SUMPRODUCT(D4592:F4592,Stats!$B$6:$D$6)</f>
        <v>0.368416981014139</v>
      </c>
      <c r="H4592" s="0" t="n">
        <f aca="false">SQRT(SUMPRODUCT(MMULT(D4592:F4592,Stats!$B$12:$D$14),D4592:F4592))</f>
        <v>0.228845000428447</v>
      </c>
      <c r="I4592" s="0" t="n">
        <f aca="false">(G4592-Stats!$B$2)/H4592</f>
        <v>1.42636710613305</v>
      </c>
    </row>
    <row r="4593" customFormat="false" ht="15" hidden="false" customHeight="false" outlineLevel="0" collapsed="false">
      <c r="A4593" s="0" t="n">
        <v>0.802992017867153</v>
      </c>
      <c r="B4593" s="0" t="n">
        <v>0.87932342486972</v>
      </c>
      <c r="C4593" s="0" t="n">
        <v>0.93768210215947</v>
      </c>
      <c r="D4593" s="0" t="n">
        <f aca="false">A4593/SUM($A4593:$C4593)</f>
        <v>0.30648579019906</v>
      </c>
      <c r="E4593" s="0" t="n">
        <f aca="false">B4593/SUM($A4593:$C4593)</f>
        <v>0.335619942309721</v>
      </c>
      <c r="F4593" s="0" t="n">
        <f aca="false">C4593/SUM($A4593:$C4593)</f>
        <v>0.35789426749122</v>
      </c>
      <c r="G4593" s="0" t="n">
        <f aca="false">SUMPRODUCT(D4593:F4593,Stats!$B$6:$D$6)</f>
        <v>0.365926044779739</v>
      </c>
      <c r="H4593" s="0" t="n">
        <f aca="false">SQRT(SUMPRODUCT(MMULT(D4593:F4593,Stats!$B$12:$D$14),D4593:F4593))</f>
        <v>0.227158220027581</v>
      </c>
      <c r="I4593" s="0" t="n">
        <f aca="false">(G4593-Stats!$B$2)/H4593</f>
        <v>1.42599305779209</v>
      </c>
    </row>
    <row r="4594" customFormat="false" ht="15" hidden="false" customHeight="false" outlineLevel="0" collapsed="false">
      <c r="A4594" s="0" t="n">
        <v>0.405521155203536</v>
      </c>
      <c r="B4594" s="0" t="n">
        <v>0.568769102522877</v>
      </c>
      <c r="C4594" s="0" t="n">
        <v>0.790659526045611</v>
      </c>
      <c r="D4594" s="0" t="n">
        <f aca="false">A4594/SUM($A4594:$C4594)</f>
        <v>0.229763565474856</v>
      </c>
      <c r="E4594" s="0" t="n">
        <f aca="false">B4594/SUM($A4594:$C4594)</f>
        <v>0.322257951898956</v>
      </c>
      <c r="F4594" s="0" t="n">
        <f aca="false">C4594/SUM($A4594:$C4594)</f>
        <v>0.447978482626189</v>
      </c>
      <c r="G4594" s="0" t="n">
        <f aca="false">SUMPRODUCT(D4594:F4594,Stats!$B$6:$D$6)</f>
        <v>0.362673175561454</v>
      </c>
      <c r="H4594" s="0" t="n">
        <f aca="false">SQRT(SUMPRODUCT(MMULT(D4594:F4594,Stats!$B$12:$D$14),D4594:F4594))</f>
        <v>0.230341458068138</v>
      </c>
      <c r="I4594" s="0" t="n">
        <f aca="false">(G4594-Stats!$B$2)/H4594</f>
        <v>1.39216439042682</v>
      </c>
    </row>
    <row r="4595" customFormat="false" ht="15" hidden="false" customHeight="false" outlineLevel="0" collapsed="false">
      <c r="A4595" s="0" t="n">
        <v>0.697139813945783</v>
      </c>
      <c r="B4595" s="0" t="n">
        <v>0.995520228264379</v>
      </c>
      <c r="C4595" s="0" t="n">
        <v>0.0136776511046441</v>
      </c>
      <c r="D4595" s="0" t="n">
        <f aca="false">A4595/SUM($A4595:$C4595)</f>
        <v>0.408559112699133</v>
      </c>
      <c r="E4595" s="0" t="n">
        <f aca="false">B4595/SUM($A4595:$C4595)</f>
        <v>0.583425093499774</v>
      </c>
      <c r="F4595" s="0" t="n">
        <f aca="false">C4595/SUM($A4595:$C4595)</f>
        <v>0.00801579380109299</v>
      </c>
      <c r="G4595" s="0" t="n">
        <f aca="false">SUMPRODUCT(D4595:F4595,Stats!$B$6:$D$6)</f>
        <v>0.389832196792953</v>
      </c>
      <c r="H4595" s="0" t="n">
        <f aca="false">SQRT(SUMPRODUCT(MMULT(D4595:F4595,Stats!$B$12:$D$14),D4595:F4595))</f>
        <v>0.231874881330864</v>
      </c>
      <c r="I4595" s="0" t="n">
        <f aca="false">(G4595-Stats!$B$2)/H4595</f>
        <v>1.50008571345263</v>
      </c>
    </row>
    <row r="4596" customFormat="false" ht="15" hidden="false" customHeight="false" outlineLevel="0" collapsed="false">
      <c r="A4596" s="0" t="n">
        <v>0.355133215315791</v>
      </c>
      <c r="B4596" s="0" t="n">
        <v>0.281027926270203</v>
      </c>
      <c r="C4596" s="0" t="n">
        <v>0.262315850165535</v>
      </c>
      <c r="D4596" s="0" t="n">
        <f aca="false">A4596/SUM($A4596:$C4596)</f>
        <v>0.395261335099388</v>
      </c>
      <c r="E4596" s="0" t="n">
        <f aca="false">B4596/SUM($A4596:$C4596)</f>
        <v>0.312782551862964</v>
      </c>
      <c r="F4596" s="0" t="n">
        <f aca="false">C4596/SUM($A4596:$C4596)</f>
        <v>0.291956113037648</v>
      </c>
      <c r="G4596" s="0" t="n">
        <f aca="false">SUMPRODUCT(D4596:F4596,Stats!$B$6:$D$6)</f>
        <v>0.366430230139199</v>
      </c>
      <c r="H4596" s="0" t="n">
        <f aca="false">SQRT(SUMPRODUCT(MMULT(D4596:F4596,Stats!$B$12:$D$14),D4596:F4596))</f>
        <v>0.224678670530435</v>
      </c>
      <c r="I4596" s="0" t="n">
        <f aca="false">(G4596-Stats!$B$2)/H4596</f>
        <v>1.44397431840443</v>
      </c>
    </row>
    <row r="4597" customFormat="false" ht="15" hidden="false" customHeight="false" outlineLevel="0" collapsed="false">
      <c r="A4597" s="0" t="n">
        <v>0.222529782498886</v>
      </c>
      <c r="B4597" s="0" t="n">
        <v>0.709123840815229</v>
      </c>
      <c r="C4597" s="0" t="n">
        <v>0.0847594732753219</v>
      </c>
      <c r="D4597" s="0" t="n">
        <f aca="false">A4597/SUM($A4597:$C4597)</f>
        <v>0.218936358893428</v>
      </c>
      <c r="E4597" s="0" t="n">
        <f aca="false">B4597/SUM($A4597:$C4597)</f>
        <v>0.697672868634502</v>
      </c>
      <c r="F4597" s="0" t="n">
        <f aca="false">C4597/SUM($A4597:$C4597)</f>
        <v>0.08339077247207</v>
      </c>
      <c r="G4597" s="0" t="n">
        <f aca="false">SUMPRODUCT(D4597:F4597,Stats!$B$6:$D$6)</f>
        <v>0.394327429860092</v>
      </c>
      <c r="H4597" s="0" t="n">
        <f aca="false">SQRT(SUMPRODUCT(MMULT(D4597:F4597,Stats!$B$12:$D$14),D4597:F4597))</f>
        <v>0.236954539901819</v>
      </c>
      <c r="I4597" s="0" t="n">
        <f aca="false">(G4597-Stats!$B$2)/H4597</f>
        <v>1.48689883724565</v>
      </c>
    </row>
    <row r="4598" customFormat="false" ht="15" hidden="false" customHeight="false" outlineLevel="0" collapsed="false">
      <c r="A4598" s="0" t="n">
        <v>0.741608833943338</v>
      </c>
      <c r="B4598" s="0" t="n">
        <v>0.693425842016273</v>
      </c>
      <c r="C4598" s="0" t="n">
        <v>0.250804132500896</v>
      </c>
      <c r="D4598" s="0" t="n">
        <f aca="false">A4598/SUM($A4598:$C4598)</f>
        <v>0.439904948338785</v>
      </c>
      <c r="E4598" s="0" t="n">
        <f aca="false">B4598/SUM($A4598:$C4598)</f>
        <v>0.411323928798094</v>
      </c>
      <c r="F4598" s="0" t="n">
        <f aca="false">C4598/SUM($A4598:$C4598)</f>
        <v>0.148771122863121</v>
      </c>
      <c r="G4598" s="0" t="n">
        <f aca="false">SUMPRODUCT(D4598:F4598,Stats!$B$6:$D$6)</f>
        <v>0.376048444460657</v>
      </c>
      <c r="H4598" s="0" t="n">
        <f aca="false">SQRT(SUMPRODUCT(MMULT(D4598:F4598,Stats!$B$12:$D$14),D4598:F4598))</f>
        <v>0.226035080804048</v>
      </c>
      <c r="I4598" s="0" t="n">
        <f aca="false">(G4598-Stats!$B$2)/H4598</f>
        <v>1.47786106153251</v>
      </c>
    </row>
    <row r="4599" customFormat="false" ht="15" hidden="false" customHeight="false" outlineLevel="0" collapsed="false">
      <c r="A4599" s="0" t="n">
        <v>0.252833783165161</v>
      </c>
      <c r="B4599" s="0" t="n">
        <v>0.628860585344502</v>
      </c>
      <c r="C4599" s="0" t="n">
        <v>0.762171105483678</v>
      </c>
      <c r="D4599" s="0" t="n">
        <f aca="false">A4599/SUM($A4599:$C4599)</f>
        <v>0.153804424489169</v>
      </c>
      <c r="E4599" s="0" t="n">
        <f aca="false">B4599/SUM($A4599:$C4599)</f>
        <v>0.382549907698256</v>
      </c>
      <c r="F4599" s="0" t="n">
        <f aca="false">C4599/SUM($A4599:$C4599)</f>
        <v>0.463645667812575</v>
      </c>
      <c r="G4599" s="0" t="n">
        <f aca="false">SUMPRODUCT(D4599:F4599,Stats!$B$6:$D$6)</f>
        <v>0.365710280058195</v>
      </c>
      <c r="H4599" s="0" t="n">
        <f aca="false">SQRT(SUMPRODUCT(MMULT(D4599:F4599,Stats!$B$12:$D$14),D4599:F4599))</f>
        <v>0.23405691178696</v>
      </c>
      <c r="I4599" s="0" t="n">
        <f aca="false">(G4599-Stats!$B$2)/H4599</f>
        <v>1.3830408920068</v>
      </c>
    </row>
    <row r="4600" customFormat="false" ht="15" hidden="false" customHeight="false" outlineLevel="0" collapsed="false">
      <c r="A4600" s="0" t="n">
        <v>0.876485613087366</v>
      </c>
      <c r="B4600" s="0" t="n">
        <v>0.852139563854476</v>
      </c>
      <c r="C4600" s="0" t="n">
        <v>0.964882994163853</v>
      </c>
      <c r="D4600" s="0" t="n">
        <f aca="false">A4600/SUM($A4600:$C4600)</f>
        <v>0.325406702860517</v>
      </c>
      <c r="E4600" s="0" t="n">
        <f aca="false">B4600/SUM($A4600:$C4600)</f>
        <v>0.316367914898387</v>
      </c>
      <c r="F4600" s="0" t="n">
        <f aca="false">C4600/SUM($A4600:$C4600)</f>
        <v>0.358225382241096</v>
      </c>
      <c r="G4600" s="0" t="n">
        <f aca="false">SUMPRODUCT(D4600:F4600,Stats!$B$6:$D$6)</f>
        <v>0.364809177678028</v>
      </c>
      <c r="H4600" s="0" t="n">
        <f aca="false">SQRT(SUMPRODUCT(MMULT(D4600:F4600,Stats!$B$12:$D$14),D4600:F4600))</f>
        <v>0.226470509480836</v>
      </c>
      <c r="I4600" s="0" t="n">
        <f aca="false">(G4600-Stats!$B$2)/H4600</f>
        <v>1.42539166983834</v>
      </c>
    </row>
    <row r="4601" customFormat="false" ht="15" hidden="false" customHeight="false" outlineLevel="0" collapsed="false">
      <c r="A4601" s="0" t="n">
        <v>0.581384895336511</v>
      </c>
      <c r="B4601" s="0" t="n">
        <v>0.90865556134036</v>
      </c>
      <c r="C4601" s="0" t="n">
        <v>0.808513273260411</v>
      </c>
      <c r="D4601" s="0" t="n">
        <f aca="false">A4601/SUM($A4601:$C4601)</f>
        <v>0.252935090341514</v>
      </c>
      <c r="E4601" s="0" t="n">
        <f aca="false">B4601/SUM($A4601:$C4601)</f>
        <v>0.395316215368676</v>
      </c>
      <c r="F4601" s="0" t="n">
        <f aca="false">C4601/SUM($A4601:$C4601)</f>
        <v>0.35174869428981</v>
      </c>
      <c r="G4601" s="0" t="n">
        <f aca="false">SUMPRODUCT(D4601:F4601,Stats!$B$6:$D$6)</f>
        <v>0.369530352885494</v>
      </c>
      <c r="H4601" s="0" t="n">
        <f aca="false">SQRT(SUMPRODUCT(MMULT(D4601:F4601,Stats!$B$12:$D$14),D4601:F4601))</f>
        <v>0.229358268642614</v>
      </c>
      <c r="I4601" s="0" t="n">
        <f aca="false">(G4601-Stats!$B$2)/H4601</f>
        <v>1.42802940929002</v>
      </c>
    </row>
    <row r="4602" customFormat="false" ht="15" hidden="false" customHeight="false" outlineLevel="0" collapsed="false">
      <c r="A4602" s="0" t="n">
        <v>0.894667624314014</v>
      </c>
      <c r="B4602" s="0" t="n">
        <v>0.0116266012853666</v>
      </c>
      <c r="C4602" s="0" t="n">
        <v>0.965902991865811</v>
      </c>
      <c r="D4602" s="0" t="n">
        <f aca="false">A4602/SUM($A4602:$C4602)</f>
        <v>0.4778703952596</v>
      </c>
      <c r="E4602" s="0" t="n">
        <f aca="false">B4602/SUM($A4602:$C4602)</f>
        <v>0.00621013703946646</v>
      </c>
      <c r="F4602" s="0" t="n">
        <f aca="false">C4602/SUM($A4602:$C4602)</f>
        <v>0.515919467700934</v>
      </c>
      <c r="G4602" s="0" t="n">
        <f aca="false">SUMPRODUCT(D4602:F4602,Stats!$B$6:$D$6)</f>
        <v>0.342614746815162</v>
      </c>
      <c r="H4602" s="0" t="n">
        <f aca="false">SQRT(SUMPRODUCT(MMULT(D4602:F4602,Stats!$B$12:$D$14),D4602:F4602))</f>
        <v>0.224118580244612</v>
      </c>
      <c r="I4602" s="0" t="n">
        <f aca="false">(G4602-Stats!$B$2)/H4602</f>
        <v>1.34132005694066</v>
      </c>
    </row>
    <row r="4603" customFormat="false" ht="15" hidden="false" customHeight="false" outlineLevel="0" collapsed="false">
      <c r="A4603" s="0" t="n">
        <v>0.473530162846478</v>
      </c>
      <c r="B4603" s="0" t="n">
        <v>0.798182989574843</v>
      </c>
      <c r="C4603" s="0" t="n">
        <v>0.127204119337781</v>
      </c>
      <c r="D4603" s="0" t="n">
        <f aca="false">A4603/SUM($A4603:$C4603)</f>
        <v>0.338497616982759</v>
      </c>
      <c r="E4603" s="0" t="n">
        <f aca="false">B4603/SUM($A4603:$C4603)</f>
        <v>0.5705719742606</v>
      </c>
      <c r="F4603" s="0" t="n">
        <f aca="false">C4603/SUM($A4603:$C4603)</f>
        <v>0.0909304087566415</v>
      </c>
      <c r="G4603" s="0" t="n">
        <f aca="false">SUMPRODUCT(D4603:F4603,Stats!$B$6:$D$6)</f>
        <v>0.386806306330636</v>
      </c>
      <c r="H4603" s="0" t="n">
        <f aca="false">SQRT(SUMPRODUCT(MMULT(D4603:F4603,Stats!$B$12:$D$14),D4603:F4603))</f>
        <v>0.231163884223911</v>
      </c>
      <c r="I4603" s="0" t="n">
        <f aca="false">(G4603-Stats!$B$2)/H4603</f>
        <v>1.49160976200179</v>
      </c>
    </row>
    <row r="4604" customFormat="false" ht="15" hidden="false" customHeight="false" outlineLevel="0" collapsed="false">
      <c r="A4604" s="0" t="n">
        <v>0.395941095813974</v>
      </c>
      <c r="B4604" s="0" t="n">
        <v>0.271460663020991</v>
      </c>
      <c r="C4604" s="0" t="n">
        <v>0.291658770500937</v>
      </c>
      <c r="D4604" s="0" t="n">
        <f aca="false">A4604/SUM($A4604:$C4604)</f>
        <v>0.412842655601875</v>
      </c>
      <c r="E4604" s="0" t="n">
        <f aca="false">B4604/SUM($A4604:$C4604)</f>
        <v>0.28304851958506</v>
      </c>
      <c r="F4604" s="0" t="n">
        <f aca="false">C4604/SUM($A4604:$C4604)</f>
        <v>0.304108824813065</v>
      </c>
      <c r="G4604" s="0" t="n">
        <f aca="false">SUMPRODUCT(D4604:F4604,Stats!$B$6:$D$6)</f>
        <v>0.364384266052904</v>
      </c>
      <c r="H4604" s="0" t="n">
        <f aca="false">SQRT(SUMPRODUCT(MMULT(D4604:F4604,Stats!$B$12:$D$14),D4604:F4604))</f>
        <v>0.224090700717273</v>
      </c>
      <c r="I4604" s="0" t="n">
        <f aca="false">(G4604-Stats!$B$2)/H4604</f>
        <v>1.43863295094804</v>
      </c>
    </row>
    <row r="4605" customFormat="false" ht="15" hidden="false" customHeight="false" outlineLevel="0" collapsed="false">
      <c r="A4605" s="0" t="n">
        <v>0.123255619950882</v>
      </c>
      <c r="B4605" s="0" t="n">
        <v>0.805763832543007</v>
      </c>
      <c r="C4605" s="0" t="n">
        <v>0.00924231458107816</v>
      </c>
      <c r="D4605" s="0" t="n">
        <f aca="false">A4605/SUM($A4605:$C4605)</f>
        <v>0.131365919699714</v>
      </c>
      <c r="E4605" s="0" t="n">
        <f aca="false">B4605/SUM($A4605:$C4605)</f>
        <v>0.858783615424273</v>
      </c>
      <c r="F4605" s="0" t="n">
        <f aca="false">C4605/SUM($A4605:$C4605)</f>
        <v>0.00985046487601333</v>
      </c>
      <c r="G4605" s="0" t="n">
        <f aca="false">SUMPRODUCT(D4605:F4605,Stats!$B$6:$D$6)</f>
        <v>0.405625379405688</v>
      </c>
      <c r="H4605" s="0" t="n">
        <f aca="false">SQRT(SUMPRODUCT(MMULT(D4605:F4605,Stats!$B$12:$D$14),D4605:F4605))</f>
        <v>0.245136462403209</v>
      </c>
      <c r="I4605" s="0" t="n">
        <f aca="false">(G4605-Stats!$B$2)/H4605</f>
        <v>1.48335900681958</v>
      </c>
    </row>
    <row r="4606" customFormat="false" ht="15" hidden="false" customHeight="false" outlineLevel="0" collapsed="false">
      <c r="A4606" s="0" t="n">
        <v>0.312505456985203</v>
      </c>
      <c r="B4606" s="0" t="n">
        <v>0.174410543216415</v>
      </c>
      <c r="C4606" s="0" t="n">
        <v>0.589038940608341</v>
      </c>
      <c r="D4606" s="0" t="n">
        <f aca="false">A4606/SUM($A4606:$C4606)</f>
        <v>0.290444743671101</v>
      </c>
      <c r="E4606" s="0" t="n">
        <f aca="false">B4606/SUM($A4606:$C4606)</f>
        <v>0.162098371038774</v>
      </c>
      <c r="F4606" s="0" t="n">
        <f aca="false">C4606/SUM($A4606:$C4606)</f>
        <v>0.547456885290125</v>
      </c>
      <c r="G4606" s="0" t="n">
        <f aca="false">SUMPRODUCT(D4606:F4606,Stats!$B$6:$D$6)</f>
        <v>0.350714721877195</v>
      </c>
      <c r="H4606" s="0" t="n">
        <f aca="false">SQRT(SUMPRODUCT(MMULT(D4606:F4606,Stats!$B$12:$D$14),D4606:F4606))</f>
        <v>0.229162429644401</v>
      </c>
      <c r="I4606" s="0" t="n">
        <f aca="false">(G4606-Stats!$B$2)/H4606</f>
        <v>1.34714369347645</v>
      </c>
    </row>
    <row r="4607" customFormat="false" ht="15" hidden="false" customHeight="false" outlineLevel="0" collapsed="false">
      <c r="A4607" s="0" t="n">
        <v>0.254252402614544</v>
      </c>
      <c r="B4607" s="0" t="n">
        <v>0.2589984545281</v>
      </c>
      <c r="C4607" s="0" t="n">
        <v>0.488338143995319</v>
      </c>
      <c r="D4607" s="0" t="n">
        <f aca="false">A4607/SUM($A4607:$C4607)</f>
        <v>0.25384903620714</v>
      </c>
      <c r="E4607" s="0" t="n">
        <f aca="false">B4607/SUM($A4607:$C4607)</f>
        <v>0.258587558603216</v>
      </c>
      <c r="F4607" s="0" t="n">
        <f aca="false">C4607/SUM($A4607:$C4607)</f>
        <v>0.487563405189644</v>
      </c>
      <c r="G4607" s="0" t="n">
        <f aca="false">SUMPRODUCT(D4607:F4607,Stats!$B$6:$D$6)</f>
        <v>0.357918124523669</v>
      </c>
      <c r="H4607" s="0" t="n">
        <f aca="false">SQRT(SUMPRODUCT(MMULT(D4607:F4607,Stats!$B$12:$D$14),D4607:F4607))</f>
        <v>0.229643098999606</v>
      </c>
      <c r="I4607" s="0" t="n">
        <f aca="false">(G4607-Stats!$B$2)/H4607</f>
        <v>1.37569178390251</v>
      </c>
    </row>
    <row r="4608" customFormat="false" ht="15" hidden="false" customHeight="false" outlineLevel="0" collapsed="false">
      <c r="A4608" s="0" t="n">
        <v>0.652689039340926</v>
      </c>
      <c r="B4608" s="0" t="n">
        <v>0.121304704565164</v>
      </c>
      <c r="C4608" s="0" t="n">
        <v>0.175511452465496</v>
      </c>
      <c r="D4608" s="0" t="n">
        <f aca="false">A4608/SUM($A4608:$C4608)</f>
        <v>0.687399123074939</v>
      </c>
      <c r="E4608" s="0" t="n">
        <f aca="false">B4608/SUM($A4608:$C4608)</f>
        <v>0.127755703737814</v>
      </c>
      <c r="F4608" s="0" t="n">
        <f aca="false">C4608/SUM($A4608:$C4608)</f>
        <v>0.184845173187247</v>
      </c>
      <c r="G4608" s="0" t="n">
        <f aca="false">SUMPRODUCT(D4608:F4608,Stats!$B$6:$D$6)</f>
        <v>0.358737567742982</v>
      </c>
      <c r="H4608" s="0" t="n">
        <f aca="false">SQRT(SUMPRODUCT(MMULT(D4608:F4608,Stats!$B$12:$D$14),D4608:F4608))</f>
        <v>0.222557125591091</v>
      </c>
      <c r="I4608" s="0" t="n">
        <f aca="false">(G4608-Stats!$B$2)/H4608</f>
        <v>1.42317423853205</v>
      </c>
    </row>
    <row r="4609" customFormat="false" ht="15" hidden="false" customHeight="false" outlineLevel="0" collapsed="false">
      <c r="A4609" s="0" t="n">
        <v>0.247174744594518</v>
      </c>
      <c r="B4609" s="0" t="n">
        <v>0.973748214117961</v>
      </c>
      <c r="C4609" s="0" t="n">
        <v>0.39715249994292</v>
      </c>
      <c r="D4609" s="0" t="n">
        <f aca="false">A4609/SUM($A4609:$C4609)</f>
        <v>0.152758478149046</v>
      </c>
      <c r="E4609" s="0" t="n">
        <f aca="false">B4609/SUM($A4609:$C4609)</f>
        <v>0.601794068941095</v>
      </c>
      <c r="F4609" s="0" t="n">
        <f aca="false">C4609/SUM($A4609:$C4609)</f>
        <v>0.24544745290986</v>
      </c>
      <c r="G4609" s="0" t="n">
        <f aca="false">SUMPRODUCT(D4609:F4609,Stats!$B$6:$D$6)</f>
        <v>0.38434203718644</v>
      </c>
      <c r="H4609" s="0" t="n">
        <f aca="false">SQRT(SUMPRODUCT(MMULT(D4609:F4609,Stats!$B$12:$D$14),D4609:F4609))</f>
        <v>0.235816523833042</v>
      </c>
      <c r="I4609" s="0" t="n">
        <f aca="false">(G4609-Stats!$B$2)/H4609</f>
        <v>1.45173048784663</v>
      </c>
    </row>
    <row r="4610" customFormat="false" ht="15" hidden="false" customHeight="false" outlineLevel="0" collapsed="false">
      <c r="A4610" s="0" t="n">
        <v>0.598990090631027</v>
      </c>
      <c r="B4610" s="0" t="n">
        <v>0.241542812715978</v>
      </c>
      <c r="C4610" s="0" t="n">
        <v>0.490459525157488</v>
      </c>
      <c r="D4610" s="0" t="n">
        <f aca="false">A4610/SUM($A4610:$C4610)</f>
        <v>0.450032680729862</v>
      </c>
      <c r="E4610" s="0" t="n">
        <f aca="false">B4610/SUM($A4610:$C4610)</f>
        <v>0.181475722583468</v>
      </c>
      <c r="F4610" s="0" t="n">
        <f aca="false">C4610/SUM($A4610:$C4610)</f>
        <v>0.368491596686669</v>
      </c>
      <c r="G4610" s="0" t="n">
        <f aca="false">SUMPRODUCT(D4610:F4610,Stats!$B$6:$D$6)</f>
        <v>0.356764568605033</v>
      </c>
      <c r="H4610" s="0" t="n">
        <f aca="false">SQRT(SUMPRODUCT(MMULT(D4610:F4610,Stats!$B$12:$D$14),D4610:F4610))</f>
        <v>0.223012698842954</v>
      </c>
      <c r="I4610" s="0" t="n">
        <f aca="false">(G4610-Stats!$B$2)/H4610</f>
        <v>1.4114199336545</v>
      </c>
    </row>
    <row r="4611" customFormat="false" ht="15" hidden="false" customHeight="false" outlineLevel="0" collapsed="false">
      <c r="A4611" s="0" t="n">
        <v>0.0741191743859581</v>
      </c>
      <c r="B4611" s="0" t="n">
        <v>0.0347421459223269</v>
      </c>
      <c r="C4611" s="0" t="n">
        <v>0.46873352682146</v>
      </c>
      <c r="D4611" s="0" t="n">
        <f aca="false">A4611/SUM($A4611:$C4611)</f>
        <v>0.128323815134917</v>
      </c>
      <c r="E4611" s="0" t="n">
        <f aca="false">B4611/SUM($A4611:$C4611)</f>
        <v>0.0601496812081546</v>
      </c>
      <c r="F4611" s="0" t="n">
        <f aca="false">C4611/SUM($A4611:$C4611)</f>
        <v>0.811526503656929</v>
      </c>
      <c r="G4611" s="0" t="n">
        <f aca="false">SUMPRODUCT(D4611:F4611,Stats!$B$6:$D$6)</f>
        <v>0.337567108053999</v>
      </c>
      <c r="H4611" s="0" t="n">
        <f aca="false">SQRT(SUMPRODUCT(MMULT(D4611:F4611,Stats!$B$12:$D$14),D4611:F4611))</f>
        <v>0.243973678365411</v>
      </c>
      <c r="I4611" s="0" t="n">
        <f aca="false">(G4611-Stats!$B$2)/H4611</f>
        <v>1.21147129491287</v>
      </c>
    </row>
    <row r="4612" customFormat="false" ht="15" hidden="false" customHeight="false" outlineLevel="0" collapsed="false">
      <c r="A4612" s="0" t="n">
        <v>0.398659287518412</v>
      </c>
      <c r="B4612" s="0" t="n">
        <v>0.136880319691828</v>
      </c>
      <c r="C4612" s="0" t="n">
        <v>0.687601428920734</v>
      </c>
      <c r="D4612" s="0" t="n">
        <f aca="false">A4612/SUM($A4612:$C4612)</f>
        <v>0.325930760020485</v>
      </c>
      <c r="E4612" s="0" t="n">
        <f aca="false">B4612/SUM($A4612:$C4612)</f>
        <v>0.111908860587988</v>
      </c>
      <c r="F4612" s="0" t="n">
        <f aca="false">C4612/SUM($A4612:$C4612)</f>
        <v>0.562160379391527</v>
      </c>
      <c r="G4612" s="0" t="n">
        <f aca="false">SUMPRODUCT(D4612:F4612,Stats!$B$6:$D$6)</f>
        <v>0.347421439210284</v>
      </c>
      <c r="H4612" s="0" t="n">
        <f aca="false">SQRT(SUMPRODUCT(MMULT(D4612:F4612,Stats!$B$12:$D$14),D4612:F4612))</f>
        <v>0.228322353330527</v>
      </c>
      <c r="I4612" s="0" t="n">
        <f aca="false">(G4612-Stats!$B$2)/H4612</f>
        <v>1.33767646818245</v>
      </c>
    </row>
    <row r="4613" customFormat="false" ht="15" hidden="false" customHeight="false" outlineLevel="0" collapsed="false">
      <c r="A4613" s="0" t="n">
        <v>0.992903490899264</v>
      </c>
      <c r="B4613" s="0" t="n">
        <v>0.395646821196713</v>
      </c>
      <c r="C4613" s="0" t="n">
        <v>0.624558635917395</v>
      </c>
      <c r="D4613" s="0" t="n">
        <f aca="false">A4613/SUM($A4613:$C4613)</f>
        <v>0.493218954631893</v>
      </c>
      <c r="E4613" s="0" t="n">
        <f aca="false">B4613/SUM($A4613:$C4613)</f>
        <v>0.196535225570953</v>
      </c>
      <c r="F4613" s="0" t="n">
        <f aca="false">C4613/SUM($A4613:$C4613)</f>
        <v>0.310245819797154</v>
      </c>
      <c r="G4613" s="0" t="n">
        <f aca="false">SUMPRODUCT(D4613:F4613,Stats!$B$6:$D$6)</f>
        <v>0.359237177811024</v>
      </c>
      <c r="H4613" s="0" t="n">
        <f aca="false">SQRT(SUMPRODUCT(MMULT(D4613:F4613,Stats!$B$12:$D$14),D4613:F4613))</f>
        <v>0.222348952663928</v>
      </c>
      <c r="I4613" s="0" t="n">
        <f aca="false">(G4613-Stats!$B$2)/H4613</f>
        <v>1.42675364111346</v>
      </c>
    </row>
    <row r="4614" customFormat="false" ht="15" hidden="false" customHeight="false" outlineLevel="0" collapsed="false">
      <c r="A4614" s="0" t="n">
        <v>0.962975942364486</v>
      </c>
      <c r="B4614" s="0" t="n">
        <v>0.831534972446875</v>
      </c>
      <c r="C4614" s="0" t="n">
        <v>0.463552223302686</v>
      </c>
      <c r="D4614" s="0" t="n">
        <f aca="false">A4614/SUM($A4614:$C4614)</f>
        <v>0.426461034729424</v>
      </c>
      <c r="E4614" s="0" t="n">
        <f aca="false">B4614/SUM($A4614:$C4614)</f>
        <v>0.368251426814124</v>
      </c>
      <c r="F4614" s="0" t="n">
        <f aca="false">C4614/SUM($A4614:$C4614)</f>
        <v>0.205287538456453</v>
      </c>
      <c r="G4614" s="0" t="n">
        <f aca="false">SUMPRODUCT(D4614:F4614,Stats!$B$6:$D$6)</f>
        <v>0.372011690021518</v>
      </c>
      <c r="H4614" s="0" t="n">
        <f aca="false">SQRT(SUMPRODUCT(MMULT(D4614:F4614,Stats!$B$12:$D$14),D4614:F4614))</f>
        <v>0.225094381367568</v>
      </c>
      <c r="I4614" s="0" t="n">
        <f aca="false">(G4614-Stats!$B$2)/H4614</f>
        <v>1.46610363180334</v>
      </c>
    </row>
    <row r="4615" customFormat="false" ht="15" hidden="false" customHeight="false" outlineLevel="0" collapsed="false">
      <c r="A4615" s="0" t="n">
        <v>0.737489484459919</v>
      </c>
      <c r="B4615" s="0" t="n">
        <v>0.128135040250524</v>
      </c>
      <c r="C4615" s="0" t="n">
        <v>0.512103855463799</v>
      </c>
      <c r="D4615" s="0" t="n">
        <f aca="false">A4615/SUM($A4615:$C4615)</f>
        <v>0.535293817760108</v>
      </c>
      <c r="E4615" s="0" t="n">
        <f aca="false">B4615/SUM($A4615:$C4615)</f>
        <v>0.0930045733937183</v>
      </c>
      <c r="F4615" s="0" t="n">
        <f aca="false">C4615/SUM($A4615:$C4615)</f>
        <v>0.371701608846174</v>
      </c>
      <c r="G4615" s="0" t="n">
        <f aca="false">SUMPRODUCT(D4615:F4615,Stats!$B$6:$D$6)</f>
        <v>0.35158553833596</v>
      </c>
      <c r="H4615" s="0" t="n">
        <f aca="false">SQRT(SUMPRODUCT(MMULT(D4615:F4615,Stats!$B$12:$D$14),D4615:F4615))</f>
        <v>0.221765380989114</v>
      </c>
      <c r="I4615" s="0" t="n">
        <f aca="false">(G4615-Stats!$B$2)/H4615</f>
        <v>1.39600480902452</v>
      </c>
    </row>
    <row r="4616" customFormat="false" ht="15" hidden="false" customHeight="false" outlineLevel="0" collapsed="false">
      <c r="A4616" s="0" t="n">
        <v>0.279060277179937</v>
      </c>
      <c r="B4616" s="0" t="n">
        <v>0.161163687896161</v>
      </c>
      <c r="C4616" s="0" t="n">
        <v>0.426280906254535</v>
      </c>
      <c r="D4616" s="0" t="n">
        <f aca="false">A4616/SUM($A4616:$C4616)</f>
        <v>0.322052750553384</v>
      </c>
      <c r="E4616" s="0" t="n">
        <f aca="false">B4616/SUM($A4616:$C4616)</f>
        <v>0.185992823847225</v>
      </c>
      <c r="F4616" s="0" t="n">
        <f aca="false">C4616/SUM($A4616:$C4616)</f>
        <v>0.49195442559939</v>
      </c>
      <c r="G4616" s="0" t="n">
        <f aca="false">SUMPRODUCT(D4616:F4616,Stats!$B$6:$D$6)</f>
        <v>0.353620036744412</v>
      </c>
      <c r="H4616" s="0" t="n">
        <f aca="false">SQRT(SUMPRODUCT(MMULT(D4616:F4616,Stats!$B$12:$D$14),D4616:F4616))</f>
        <v>0.22722956972866</v>
      </c>
      <c r="I4616" s="0" t="n">
        <f aca="false">(G4616-Stats!$B$2)/H4616</f>
        <v>1.37138857903276</v>
      </c>
    </row>
    <row r="4617" customFormat="false" ht="15" hidden="false" customHeight="false" outlineLevel="0" collapsed="false">
      <c r="A4617" s="0" t="n">
        <v>0.131014554433614</v>
      </c>
      <c r="B4617" s="0" t="n">
        <v>0.698985108174486</v>
      </c>
      <c r="C4617" s="0" t="n">
        <v>0.456240044053336</v>
      </c>
      <c r="D4617" s="0" t="n">
        <f aca="false">A4617/SUM($A4617:$C4617)</f>
        <v>0.101858583400194</v>
      </c>
      <c r="E4617" s="0" t="n">
        <f aca="false">B4617/SUM($A4617:$C4617)</f>
        <v>0.543433004403799</v>
      </c>
      <c r="F4617" s="0" t="n">
        <f aca="false">C4617/SUM($A4617:$C4617)</f>
        <v>0.354708412196007</v>
      </c>
      <c r="G4617" s="0" t="n">
        <f aca="false">SUMPRODUCT(D4617:F4617,Stats!$B$6:$D$6)</f>
        <v>0.37797118813987</v>
      </c>
      <c r="H4617" s="0" t="n">
        <f aca="false">SQRT(SUMPRODUCT(MMULT(D4617:F4617,Stats!$B$12:$D$14),D4617:F4617))</f>
        <v>0.237166319518222</v>
      </c>
      <c r="I4617" s="0" t="n">
        <f aca="false">(G4617-Stats!$B$2)/H4617</f>
        <v>1.41660581832344</v>
      </c>
    </row>
    <row r="4618" customFormat="false" ht="15" hidden="false" customHeight="false" outlineLevel="0" collapsed="false">
      <c r="A4618" s="0" t="n">
        <v>0.531144632564664</v>
      </c>
      <c r="B4618" s="0" t="n">
        <v>0.146375938668157</v>
      </c>
      <c r="C4618" s="0" t="n">
        <v>0.139771661093495</v>
      </c>
      <c r="D4618" s="0" t="n">
        <f aca="false">A4618/SUM($A4618:$C4618)</f>
        <v>0.649883372869983</v>
      </c>
      <c r="E4618" s="0" t="n">
        <f aca="false">B4618/SUM($A4618:$C4618)</f>
        <v>0.179098653919073</v>
      </c>
      <c r="F4618" s="0" t="n">
        <f aca="false">C4618/SUM($A4618:$C4618)</f>
        <v>0.171017973210944</v>
      </c>
      <c r="G4618" s="0" t="n">
        <f aca="false">SUMPRODUCT(D4618:F4618,Stats!$B$6:$D$6)</f>
        <v>0.362073054365658</v>
      </c>
      <c r="H4618" s="0" t="n">
        <f aca="false">SQRT(SUMPRODUCT(MMULT(D4618:F4618,Stats!$B$12:$D$14),D4618:F4618))</f>
        <v>0.222709604844621</v>
      </c>
      <c r="I4618" s="0" t="n">
        <f aca="false">(G4618-Stats!$B$2)/H4618</f>
        <v>1.43717669738117</v>
      </c>
    </row>
    <row r="4619" customFormat="false" ht="15" hidden="false" customHeight="false" outlineLevel="0" collapsed="false">
      <c r="A4619" s="0" t="n">
        <v>0.583415435260124</v>
      </c>
      <c r="B4619" s="0" t="n">
        <v>0.985009747829446</v>
      </c>
      <c r="C4619" s="0" t="n">
        <v>0.0962505832377256</v>
      </c>
      <c r="D4619" s="0" t="n">
        <f aca="false">A4619/SUM($A4619:$C4619)</f>
        <v>0.35046790916365</v>
      </c>
      <c r="E4619" s="0" t="n">
        <f aca="false">B4619/SUM($A4619:$C4619)</f>
        <v>0.591712673274888</v>
      </c>
      <c r="F4619" s="0" t="n">
        <f aca="false">C4619/SUM($A4619:$C4619)</f>
        <v>0.0578194175614626</v>
      </c>
      <c r="G4619" s="0" t="n">
        <f aca="false">SUMPRODUCT(D4619:F4619,Stats!$B$6:$D$6)</f>
        <v>0.388935737637097</v>
      </c>
      <c r="H4619" s="0" t="n">
        <f aca="false">SQRT(SUMPRODUCT(MMULT(D4619:F4619,Stats!$B$12:$D$14),D4619:F4619))</f>
        <v>0.231917903202929</v>
      </c>
      <c r="I4619" s="0" t="n">
        <f aca="false">(G4619-Stats!$B$2)/H4619</f>
        <v>1.49594202450825</v>
      </c>
    </row>
    <row r="4620" customFormat="false" ht="15" hidden="false" customHeight="false" outlineLevel="0" collapsed="false">
      <c r="A4620" s="0" t="n">
        <v>0.285731428565781</v>
      </c>
      <c r="B4620" s="0" t="n">
        <v>0.869459116537888</v>
      </c>
      <c r="C4620" s="0" t="n">
        <v>0.0722720122552369</v>
      </c>
      <c r="D4620" s="0" t="n">
        <f aca="false">A4620/SUM($A4620:$C4620)</f>
        <v>0.232782195149464</v>
      </c>
      <c r="E4620" s="0" t="n">
        <f aca="false">B4620/SUM($A4620:$C4620)</f>
        <v>0.708338605789065</v>
      </c>
      <c r="F4620" s="0" t="n">
        <f aca="false">C4620/SUM($A4620:$C4620)</f>
        <v>0.0588791990614707</v>
      </c>
      <c r="G4620" s="0" t="n">
        <f aca="false">SUMPRODUCT(D4620:F4620,Stats!$B$6:$D$6)</f>
        <v>0.395617019780723</v>
      </c>
      <c r="H4620" s="0" t="n">
        <f aca="false">SQRT(SUMPRODUCT(MMULT(D4620:F4620,Stats!$B$12:$D$14),D4620:F4620))</f>
        <v>0.237195616436602</v>
      </c>
      <c r="I4620" s="0" t="n">
        <f aca="false">(G4620-Stats!$B$2)/H4620</f>
        <v>1.49082443045585</v>
      </c>
    </row>
    <row r="4621" customFormat="false" ht="15" hidden="false" customHeight="false" outlineLevel="0" collapsed="false">
      <c r="A4621" s="0" t="n">
        <v>0.875885721366951</v>
      </c>
      <c r="B4621" s="0" t="n">
        <v>0.524285983374751</v>
      </c>
      <c r="C4621" s="0" t="n">
        <v>0.408266773926426</v>
      </c>
      <c r="D4621" s="0" t="n">
        <f aca="false">A4621/SUM($A4621:$C4621)</f>
        <v>0.484332606112219</v>
      </c>
      <c r="E4621" s="0" t="n">
        <f aca="false">B4621/SUM($A4621:$C4621)</f>
        <v>0.289910875907084</v>
      </c>
      <c r="F4621" s="0" t="n">
        <f aca="false">C4621/SUM($A4621:$C4621)</f>
        <v>0.225756517980697</v>
      </c>
      <c r="G4621" s="0" t="n">
        <f aca="false">SUMPRODUCT(D4621:F4621,Stats!$B$6:$D$6)</f>
        <v>0.366939651878921</v>
      </c>
      <c r="H4621" s="0" t="n">
        <f aca="false">SQRT(SUMPRODUCT(MMULT(D4621:F4621,Stats!$B$12:$D$14),D4621:F4621))</f>
        <v>0.223393326721288</v>
      </c>
      <c r="I4621" s="0" t="n">
        <f aca="false">(G4621-Stats!$B$2)/H4621</f>
        <v>1.45456293009292</v>
      </c>
    </row>
    <row r="4622" customFormat="false" ht="15" hidden="false" customHeight="false" outlineLevel="0" collapsed="false">
      <c r="A4622" s="0" t="n">
        <v>0.309680564351456</v>
      </c>
      <c r="B4622" s="0" t="n">
        <v>0.297117158127842</v>
      </c>
      <c r="C4622" s="0" t="n">
        <v>0.305802582449479</v>
      </c>
      <c r="D4622" s="0" t="n">
        <f aca="false">A4622/SUM($A4622:$C4622)</f>
        <v>0.339338659738476</v>
      </c>
      <c r="E4622" s="0" t="n">
        <f aca="false">B4622/SUM($A4622:$C4622)</f>
        <v>0.325572056598239</v>
      </c>
      <c r="F4622" s="0" t="n">
        <f aca="false">C4622/SUM($A4622:$C4622)</f>
        <v>0.335089283663285</v>
      </c>
      <c r="G4622" s="0" t="n">
        <f aca="false">SUMPRODUCT(D4622:F4622,Stats!$B$6:$D$6)</f>
        <v>0.365976741098422</v>
      </c>
      <c r="H4622" s="0" t="n">
        <f aca="false">SQRT(SUMPRODUCT(MMULT(D4622:F4622,Stats!$B$12:$D$14),D4622:F4622))</f>
        <v>0.226093847360336</v>
      </c>
      <c r="I4622" s="0" t="n">
        <f aca="false">(G4622-Stats!$B$2)/H4622</f>
        <v>1.43293037329798</v>
      </c>
    </row>
    <row r="4623" customFormat="false" ht="15" hidden="false" customHeight="false" outlineLevel="0" collapsed="false">
      <c r="A4623" s="0" t="n">
        <v>0.884803080960196</v>
      </c>
      <c r="B4623" s="0" t="n">
        <v>0.723795230174786</v>
      </c>
      <c r="C4623" s="0" t="n">
        <v>0.669723007831151</v>
      </c>
      <c r="D4623" s="0" t="n">
        <f aca="false">A4623/SUM($A4623:$C4623)</f>
        <v>0.38835746020307</v>
      </c>
      <c r="E4623" s="0" t="n">
        <f aca="false">B4623/SUM($A4623:$C4623)</f>
        <v>0.317687950399917</v>
      </c>
      <c r="F4623" s="0" t="n">
        <f aca="false">C4623/SUM($A4623:$C4623)</f>
        <v>0.293954589397013</v>
      </c>
      <c r="G4623" s="0" t="n">
        <f aca="false">SUMPRODUCT(D4623:F4623,Stats!$B$6:$D$6)</f>
        <v>0.366657373205127</v>
      </c>
      <c r="H4623" s="0" t="n">
        <f aca="false">SQRT(SUMPRODUCT(MMULT(D4623:F4623,Stats!$B$12:$D$14),D4623:F4623))</f>
        <v>0.224858827862074</v>
      </c>
      <c r="I4623" s="0" t="n">
        <f aca="false">(G4623-Stats!$B$2)/H4623</f>
        <v>1.44382756190595</v>
      </c>
    </row>
    <row r="4624" customFormat="false" ht="15" hidden="false" customHeight="false" outlineLevel="0" collapsed="false">
      <c r="A4624" s="0" t="n">
        <v>0.798749148952001</v>
      </c>
      <c r="B4624" s="0" t="n">
        <v>0.257114663004145</v>
      </c>
      <c r="C4624" s="0" t="n">
        <v>0.618042812081756</v>
      </c>
      <c r="D4624" s="0" t="n">
        <f aca="false">A4624/SUM($A4624:$C4624)</f>
        <v>0.47717664622487</v>
      </c>
      <c r="E4624" s="0" t="n">
        <f aca="false">B4624/SUM($A4624:$C4624)</f>
        <v>0.153601556569456</v>
      </c>
      <c r="F4624" s="0" t="n">
        <f aca="false">C4624/SUM($A4624:$C4624)</f>
        <v>0.369221797205674</v>
      </c>
      <c r="G4624" s="0" t="n">
        <f aca="false">SUMPRODUCT(D4624:F4624,Stats!$B$6:$D$6)</f>
        <v>0.355140590170952</v>
      </c>
      <c r="H4624" s="0" t="n">
        <f aca="false">SQRT(SUMPRODUCT(MMULT(D4624:F4624,Stats!$B$12:$D$14),D4624:F4624))</f>
        <v>0.222516127273617</v>
      </c>
      <c r="I4624" s="0" t="n">
        <f aca="false">(G4624-Stats!$B$2)/H4624</f>
        <v>1.40727143694128</v>
      </c>
    </row>
    <row r="4625" customFormat="false" ht="15" hidden="false" customHeight="false" outlineLevel="0" collapsed="false">
      <c r="A4625" s="0" t="n">
        <v>0.460066238957951</v>
      </c>
      <c r="B4625" s="0" t="n">
        <v>0.782441635200193</v>
      </c>
      <c r="C4625" s="0" t="n">
        <v>0.309256110473286</v>
      </c>
      <c r="D4625" s="0" t="n">
        <f aca="false">A4625/SUM($A4625:$C4625)</f>
        <v>0.296479518479883</v>
      </c>
      <c r="E4625" s="0" t="n">
        <f aca="false">B4625/SUM($A4625:$C4625)</f>
        <v>0.504227216863805</v>
      </c>
      <c r="F4625" s="0" t="n">
        <f aca="false">C4625/SUM($A4625:$C4625)</f>
        <v>0.199293264656312</v>
      </c>
      <c r="G4625" s="0" t="n">
        <f aca="false">SUMPRODUCT(D4625:F4625,Stats!$B$6:$D$6)</f>
        <v>0.380000850785476</v>
      </c>
      <c r="H4625" s="0" t="n">
        <f aca="false">SQRT(SUMPRODUCT(MMULT(D4625:F4625,Stats!$B$12:$D$14),D4625:F4625))</f>
        <v>0.22971253264164</v>
      </c>
      <c r="I4625" s="0" t="n">
        <f aca="false">(G4625-Stats!$B$2)/H4625</f>
        <v>1.47140796759561</v>
      </c>
    </row>
    <row r="4626" customFormat="false" ht="15" hidden="false" customHeight="false" outlineLevel="0" collapsed="false">
      <c r="A4626" s="0" t="n">
        <v>0.643178616869896</v>
      </c>
      <c r="B4626" s="0" t="n">
        <v>0.882212411817314</v>
      </c>
      <c r="C4626" s="0" t="n">
        <v>0.402150476194929</v>
      </c>
      <c r="D4626" s="0" t="n">
        <f aca="false">A4626/SUM($A4626:$C4626)</f>
        <v>0.333678219244998</v>
      </c>
      <c r="E4626" s="0" t="n">
        <f aca="false">B4626/SUM($A4626:$C4626)</f>
        <v>0.457687893922293</v>
      </c>
      <c r="F4626" s="0" t="n">
        <f aca="false">C4626/SUM($A4626:$C4626)</f>
        <v>0.208633886832709</v>
      </c>
      <c r="G4626" s="0" t="n">
        <f aca="false">SUMPRODUCT(D4626:F4626,Stats!$B$6:$D$6)</f>
        <v>0.377065474314166</v>
      </c>
      <c r="H4626" s="0" t="n">
        <f aca="false">SQRT(SUMPRODUCT(MMULT(D4626:F4626,Stats!$B$12:$D$14),D4626:F4626))</f>
        <v>0.228020583897175</v>
      </c>
      <c r="I4626" s="0" t="n">
        <f aca="false">(G4626-Stats!$B$2)/H4626</f>
        <v>1.46945275109576</v>
      </c>
    </row>
    <row r="4627" customFormat="false" ht="15" hidden="false" customHeight="false" outlineLevel="0" collapsed="false">
      <c r="A4627" s="0" t="n">
        <v>0.0666220873674615</v>
      </c>
      <c r="B4627" s="0" t="n">
        <v>0.516050822341793</v>
      </c>
      <c r="C4627" s="0" t="n">
        <v>0.345972487807026</v>
      </c>
      <c r="D4627" s="0" t="n">
        <f aca="false">A4627/SUM($A4627:$C4627)</f>
        <v>0.0717411485004355</v>
      </c>
      <c r="E4627" s="0" t="n">
        <f aca="false">B4627/SUM($A4627:$C4627)</f>
        <v>0.55570277279358</v>
      </c>
      <c r="F4627" s="0" t="n">
        <f aca="false">C4627/SUM($A4627:$C4627)</f>
        <v>0.372556078705985</v>
      </c>
      <c r="G4627" s="0" t="n">
        <f aca="false">SUMPRODUCT(D4627:F4627,Stats!$B$6:$D$6)</f>
        <v>0.378185032193129</v>
      </c>
      <c r="H4627" s="0" t="n">
        <f aca="false">SQRT(SUMPRODUCT(MMULT(D4627:F4627,Stats!$B$12:$D$14),D4627:F4627))</f>
        <v>0.238858936014314</v>
      </c>
      <c r="I4627" s="0" t="n">
        <f aca="false">(G4627-Stats!$B$2)/H4627</f>
        <v>1.40746265474859</v>
      </c>
    </row>
    <row r="4628" customFormat="false" ht="15" hidden="false" customHeight="false" outlineLevel="0" collapsed="false">
      <c r="A4628" s="0" t="n">
        <v>0.672225380547175</v>
      </c>
      <c r="B4628" s="0" t="n">
        <v>0.951032924748606</v>
      </c>
      <c r="C4628" s="0" t="n">
        <v>0.485608317996847</v>
      </c>
      <c r="D4628" s="0" t="n">
        <f aca="false">A4628/SUM($A4628:$C4628)</f>
        <v>0.318761448980406</v>
      </c>
      <c r="E4628" s="0" t="n">
        <f aca="false">B4628/SUM($A4628:$C4628)</f>
        <v>0.45096874038612</v>
      </c>
      <c r="F4628" s="0" t="n">
        <f aca="false">C4628/SUM($A4628:$C4628)</f>
        <v>0.230269810633474</v>
      </c>
      <c r="G4628" s="0" t="n">
        <f aca="false">SUMPRODUCT(D4628:F4628,Stats!$B$6:$D$6)</f>
        <v>0.376082260638933</v>
      </c>
      <c r="H4628" s="0" t="n">
        <f aca="false">SQRT(SUMPRODUCT(MMULT(D4628:F4628,Stats!$B$12:$D$14),D4628:F4628))</f>
        <v>0.228154212172651</v>
      </c>
      <c r="I4628" s="0" t="n">
        <f aca="false">(G4628-Stats!$B$2)/H4628</f>
        <v>1.46428267730654</v>
      </c>
    </row>
    <row r="4629" customFormat="false" ht="15" hidden="false" customHeight="false" outlineLevel="0" collapsed="false">
      <c r="A4629" s="0" t="n">
        <v>0.466190230155534</v>
      </c>
      <c r="B4629" s="0" t="n">
        <v>0.65458480019146</v>
      </c>
      <c r="C4629" s="0" t="n">
        <v>0.103497503593568</v>
      </c>
      <c r="D4629" s="0" t="n">
        <f aca="false">A4629/SUM($A4629:$C4629)</f>
        <v>0.380789585024022</v>
      </c>
      <c r="E4629" s="0" t="n">
        <f aca="false">B4629/SUM($A4629:$C4629)</f>
        <v>0.534672454085489</v>
      </c>
      <c r="F4629" s="0" t="n">
        <f aca="false">C4629/SUM($A4629:$C4629)</f>
        <v>0.0845379608904895</v>
      </c>
      <c r="G4629" s="0" t="n">
        <f aca="false">SUMPRODUCT(D4629:F4629,Stats!$B$6:$D$6)</f>
        <v>0.384916963694844</v>
      </c>
      <c r="H4629" s="0" t="n">
        <f aca="false">SQRT(SUMPRODUCT(MMULT(D4629:F4629,Stats!$B$12:$D$14),D4629:F4629))</f>
        <v>0.229818550343501</v>
      </c>
      <c r="I4629" s="0" t="n">
        <f aca="false">(G4629-Stats!$B$2)/H4629</f>
        <v>1.49212047148631</v>
      </c>
    </row>
    <row r="4630" customFormat="false" ht="15" hidden="false" customHeight="false" outlineLevel="0" collapsed="false">
      <c r="A4630" s="0" t="n">
        <v>0.253506188925015</v>
      </c>
      <c r="B4630" s="0" t="n">
        <v>0.918979325500399</v>
      </c>
      <c r="C4630" s="0" t="n">
        <v>0.669942613363766</v>
      </c>
      <c r="D4630" s="0" t="n">
        <f aca="false">A4630/SUM($A4630:$C4630)</f>
        <v>0.137593529485033</v>
      </c>
      <c r="E4630" s="0" t="n">
        <f aca="false">B4630/SUM($A4630:$C4630)</f>
        <v>0.498787068889969</v>
      </c>
      <c r="F4630" s="0" t="n">
        <f aca="false">C4630/SUM($A4630:$C4630)</f>
        <v>0.363619401624998</v>
      </c>
      <c r="G4630" s="0" t="n">
        <f aca="false">SUMPRODUCT(D4630:F4630,Stats!$B$6:$D$6)</f>
        <v>0.375156601688351</v>
      </c>
      <c r="H4630" s="0" t="n">
        <f aca="false">SQRT(SUMPRODUCT(MMULT(D4630:F4630,Stats!$B$12:$D$14),D4630:F4630))</f>
        <v>0.23502858320265</v>
      </c>
      <c r="I4630" s="0" t="n">
        <f aca="false">(G4630-Stats!$B$2)/H4630</f>
        <v>1.41751525345788</v>
      </c>
    </row>
    <row r="4631" customFormat="false" ht="15" hidden="false" customHeight="false" outlineLevel="0" collapsed="false">
      <c r="A4631" s="0" t="n">
        <v>0.0134440439834163</v>
      </c>
      <c r="B4631" s="0" t="n">
        <v>0.20462547255902</v>
      </c>
      <c r="C4631" s="0" t="n">
        <v>0.682837266028899</v>
      </c>
      <c r="D4631" s="0" t="n">
        <f aca="false">A4631/SUM($A4631:$C4631)</f>
        <v>0.0149227913958476</v>
      </c>
      <c r="E4631" s="0" t="n">
        <f aca="false">B4631/SUM($A4631:$C4631)</f>
        <v>0.227132791669062</v>
      </c>
      <c r="F4631" s="0" t="n">
        <f aca="false">C4631/SUM($A4631:$C4631)</f>
        <v>0.757944416935091</v>
      </c>
      <c r="G4631" s="0" t="n">
        <f aca="false">SUMPRODUCT(D4631:F4631,Stats!$B$6:$D$6)</f>
        <v>0.34865260554051</v>
      </c>
      <c r="H4631" s="0" t="n">
        <f aca="false">SQRT(SUMPRODUCT(MMULT(D4631:F4631,Stats!$B$12:$D$14),D4631:F4631))</f>
        <v>0.247663021059343</v>
      </c>
      <c r="I4631" s="0" t="n">
        <f aca="false">(G4631-Stats!$B$2)/H4631</f>
        <v>1.2381848700256</v>
      </c>
    </row>
    <row r="4632" customFormat="false" ht="15" hidden="false" customHeight="false" outlineLevel="0" collapsed="false">
      <c r="A4632" s="0" t="n">
        <v>0.764399202562574</v>
      </c>
      <c r="B4632" s="0" t="n">
        <v>0.839859572674042</v>
      </c>
      <c r="C4632" s="0" t="n">
        <v>0.292176803382045</v>
      </c>
      <c r="D4632" s="0" t="n">
        <f aca="false">A4632/SUM($A4632:$C4632)</f>
        <v>0.403071536508165</v>
      </c>
      <c r="E4632" s="0" t="n">
        <f aca="false">B4632/SUM($A4632:$C4632)</f>
        <v>0.44286216845066</v>
      </c>
      <c r="F4632" s="0" t="n">
        <f aca="false">C4632/SUM($A4632:$C4632)</f>
        <v>0.154066295041175</v>
      </c>
      <c r="G4632" s="0" t="n">
        <f aca="false">SUMPRODUCT(D4632:F4632,Stats!$B$6:$D$6)</f>
        <v>0.377717101614942</v>
      </c>
      <c r="H4632" s="0" t="n">
        <f aca="false">SQRT(SUMPRODUCT(MMULT(D4632:F4632,Stats!$B$12:$D$14),D4632:F4632))</f>
        <v>0.226949853854464</v>
      </c>
      <c r="I4632" s="0" t="n">
        <f aca="false">(G4632-Stats!$B$2)/H4632</f>
        <v>1.47925674290245</v>
      </c>
    </row>
    <row r="4633" customFormat="false" ht="15" hidden="false" customHeight="false" outlineLevel="0" collapsed="false">
      <c r="A4633" s="0" t="n">
        <v>0.931028596277563</v>
      </c>
      <c r="B4633" s="0" t="n">
        <v>0.552946893577892</v>
      </c>
      <c r="C4633" s="0" t="n">
        <v>0.696539022387893</v>
      </c>
      <c r="D4633" s="0" t="n">
        <f aca="false">A4633/SUM($A4633:$C4633)</f>
        <v>0.426976564957463</v>
      </c>
      <c r="E4633" s="0" t="n">
        <f aca="false">B4633/SUM($A4633:$C4633)</f>
        <v>0.253585514094567</v>
      </c>
      <c r="F4633" s="0" t="n">
        <f aca="false">C4633/SUM($A4633:$C4633)</f>
        <v>0.31943792094797</v>
      </c>
      <c r="G4633" s="0" t="n">
        <f aca="false">SUMPRODUCT(D4633:F4633,Stats!$B$6:$D$6)</f>
        <v>0.362266308920164</v>
      </c>
      <c r="H4633" s="0" t="n">
        <f aca="false">SQRT(SUMPRODUCT(MMULT(D4633:F4633,Stats!$B$12:$D$14),D4633:F4633))</f>
        <v>0.223632616880369</v>
      </c>
      <c r="I4633" s="0" t="n">
        <f aca="false">(G4633-Stats!$B$2)/H4633</f>
        <v>1.43210911443874</v>
      </c>
    </row>
    <row r="4634" customFormat="false" ht="15" hidden="false" customHeight="false" outlineLevel="0" collapsed="false">
      <c r="A4634" s="0" t="n">
        <v>0.596738862779908</v>
      </c>
      <c r="B4634" s="0" t="n">
        <v>0.122740054674621</v>
      </c>
      <c r="C4634" s="0" t="n">
        <v>0.96311465938488</v>
      </c>
      <c r="D4634" s="0" t="n">
        <f aca="false">A4634/SUM($A4634:$C4634)</f>
        <v>0.354654190408135</v>
      </c>
      <c r="E4634" s="0" t="n">
        <f aca="false">B4634/SUM($A4634:$C4634)</f>
        <v>0.0729469411770702</v>
      </c>
      <c r="F4634" s="0" t="n">
        <f aca="false">C4634/SUM($A4634:$C4634)</f>
        <v>0.572398868414795</v>
      </c>
      <c r="G4634" s="0" t="n">
        <f aca="false">SUMPRODUCT(D4634:F4634,Stats!$B$6:$D$6)</f>
        <v>0.344897298397919</v>
      </c>
      <c r="H4634" s="0" t="n">
        <f aca="false">SQRT(SUMPRODUCT(MMULT(D4634:F4634,Stats!$B$12:$D$14),D4634:F4634))</f>
        <v>0.227751122170242</v>
      </c>
      <c r="I4634" s="0" t="n">
        <f aca="false">(G4634-Stats!$B$2)/H4634</f>
        <v>1.32994865409052</v>
      </c>
    </row>
    <row r="4635" customFormat="false" ht="15" hidden="false" customHeight="false" outlineLevel="0" collapsed="false">
      <c r="A4635" s="0" t="n">
        <v>0.122875579894153</v>
      </c>
      <c r="B4635" s="0" t="n">
        <v>0.254881956411184</v>
      </c>
      <c r="C4635" s="0" t="n">
        <v>0.81362788022298</v>
      </c>
      <c r="D4635" s="0" t="n">
        <f aca="false">A4635/SUM($A4635:$C4635)</f>
        <v>0.103136716455881</v>
      </c>
      <c r="E4635" s="0" t="n">
        <f aca="false">B4635/SUM($A4635:$C4635)</f>
        <v>0.213937448683825</v>
      </c>
      <c r="F4635" s="0" t="n">
        <f aca="false">C4635/SUM($A4635:$C4635)</f>
        <v>0.682925834860295</v>
      </c>
      <c r="G4635" s="0" t="n">
        <f aca="false">SUMPRODUCT(D4635:F4635,Stats!$B$6:$D$6)</f>
        <v>0.349961971130586</v>
      </c>
      <c r="H4635" s="0" t="n">
        <f aca="false">SQRT(SUMPRODUCT(MMULT(D4635:F4635,Stats!$B$12:$D$14),D4635:F4635))</f>
        <v>0.240461483585767</v>
      </c>
      <c r="I4635" s="0" t="n">
        <f aca="false">(G4635-Stats!$B$2)/H4635</f>
        <v>1.28071226434375</v>
      </c>
    </row>
    <row r="4636" customFormat="false" ht="15" hidden="false" customHeight="false" outlineLevel="0" collapsed="false">
      <c r="A4636" s="0" t="n">
        <v>0.618596961501101</v>
      </c>
      <c r="B4636" s="0" t="n">
        <v>0.838149165376357</v>
      </c>
      <c r="C4636" s="0" t="n">
        <v>0.515736188374045</v>
      </c>
      <c r="D4636" s="0" t="n">
        <f aca="false">A4636/SUM($A4636:$C4636)</f>
        <v>0.313613438618955</v>
      </c>
      <c r="E4636" s="0" t="n">
        <f aca="false">B4636/SUM($A4636:$C4636)</f>
        <v>0.424921003800984</v>
      </c>
      <c r="F4636" s="0" t="n">
        <f aca="false">C4636/SUM($A4636:$C4636)</f>
        <v>0.261465557580061</v>
      </c>
      <c r="G4636" s="0" t="n">
        <f aca="false">SUMPRODUCT(D4636:F4636,Stats!$B$6:$D$6)</f>
        <v>0.373723296865213</v>
      </c>
      <c r="H4636" s="0" t="n">
        <f aca="false">SQRT(SUMPRODUCT(MMULT(D4636:F4636,Stats!$B$12:$D$14),D4636:F4636))</f>
        <v>0.227816064077616</v>
      </c>
      <c r="I4636" s="0" t="n">
        <f aca="false">(G4636-Stats!$B$2)/H4636</f>
        <v>1.45610143081129</v>
      </c>
    </row>
    <row r="4637" customFormat="false" ht="15" hidden="false" customHeight="false" outlineLevel="0" collapsed="false">
      <c r="A4637" s="0" t="n">
        <v>0.376993235366635</v>
      </c>
      <c r="B4637" s="0" t="n">
        <v>0.921845499547785</v>
      </c>
      <c r="C4637" s="0" t="n">
        <v>0.0362523175147949</v>
      </c>
      <c r="D4637" s="0" t="n">
        <f aca="false">A4637/SUM($A4637:$C4637)</f>
        <v>0.282372677639245</v>
      </c>
      <c r="E4637" s="0" t="n">
        <f aca="false">B4637/SUM($A4637:$C4637)</f>
        <v>0.690473880317358</v>
      </c>
      <c r="F4637" s="0" t="n">
        <f aca="false">C4637/SUM($A4637:$C4637)</f>
        <v>0.0271534420433972</v>
      </c>
      <c r="G4637" s="0" t="n">
        <f aca="false">SUMPRODUCT(D4637:F4637,Stats!$B$6:$D$6)</f>
        <v>0.395463932146348</v>
      </c>
      <c r="H4637" s="0" t="n">
        <f aca="false">SQRT(SUMPRODUCT(MMULT(D4637:F4637,Stats!$B$12:$D$14),D4637:F4637))</f>
        <v>0.236086735099425</v>
      </c>
      <c r="I4637" s="0" t="n">
        <f aca="false">(G4637-Stats!$B$2)/H4637</f>
        <v>1.49717828067507</v>
      </c>
    </row>
    <row r="4638" customFormat="false" ht="15" hidden="false" customHeight="false" outlineLevel="0" collapsed="false">
      <c r="A4638" s="0" t="n">
        <v>0.856130220353046</v>
      </c>
      <c r="B4638" s="0" t="n">
        <v>0.230817785187782</v>
      </c>
      <c r="C4638" s="0" t="n">
        <v>0.848736327753968</v>
      </c>
      <c r="D4638" s="0" t="n">
        <f aca="false">A4638/SUM($A4638:$C4638)</f>
        <v>0.442288138425854</v>
      </c>
      <c r="E4638" s="0" t="n">
        <f aca="false">B4638/SUM($A4638:$C4638)</f>
        <v>0.119243505367892</v>
      </c>
      <c r="F4638" s="0" t="n">
        <f aca="false">C4638/SUM($A4638:$C4638)</f>
        <v>0.438468356206254</v>
      </c>
      <c r="G4638" s="0" t="n">
        <f aca="false">SUMPRODUCT(D4638:F4638,Stats!$B$6:$D$6)</f>
        <v>0.351254225142755</v>
      </c>
      <c r="H4638" s="0" t="n">
        <f aca="false">SQRT(SUMPRODUCT(MMULT(D4638:F4638,Stats!$B$12:$D$14),D4638:F4638))</f>
        <v>0.223537042722506</v>
      </c>
      <c r="I4638" s="0" t="n">
        <f aca="false">(G4638-Stats!$B$2)/H4638</f>
        <v>1.38345851486752</v>
      </c>
    </row>
    <row r="4639" customFormat="false" ht="15" hidden="false" customHeight="false" outlineLevel="0" collapsed="false">
      <c r="A4639" s="0" t="n">
        <v>0.139196613416886</v>
      </c>
      <c r="B4639" s="0" t="n">
        <v>0.580218963690541</v>
      </c>
      <c r="C4639" s="0" t="n">
        <v>0.888107919011472</v>
      </c>
      <c r="D4639" s="0" t="n">
        <f aca="false">A4639/SUM($A4639:$C4639)</f>
        <v>0.0865907178047183</v>
      </c>
      <c r="E4639" s="0" t="n">
        <f aca="false">B4639/SUM($A4639:$C4639)</f>
        <v>0.3609396472844</v>
      </c>
      <c r="F4639" s="0" t="n">
        <f aca="false">C4639/SUM($A4639:$C4639)</f>
        <v>0.552469634910882</v>
      </c>
      <c r="G4639" s="0" t="n">
        <f aca="false">SUMPRODUCT(D4639:F4639,Stats!$B$6:$D$6)</f>
        <v>0.362017566914353</v>
      </c>
      <c r="H4639" s="0" t="n">
        <f aca="false">SQRT(SUMPRODUCT(MMULT(D4639:F4639,Stats!$B$12:$D$14),D4639:F4639))</f>
        <v>0.238541759167046</v>
      </c>
      <c r="I4639" s="0" t="n">
        <f aca="false">(G4639-Stats!$B$2)/H4639</f>
        <v>1.341557838895</v>
      </c>
    </row>
    <row r="4640" customFormat="false" ht="15" hidden="false" customHeight="false" outlineLevel="0" collapsed="false">
      <c r="A4640" s="0" t="n">
        <v>0.473539646898891</v>
      </c>
      <c r="B4640" s="0" t="n">
        <v>0.746566673803393</v>
      </c>
      <c r="C4640" s="0" t="n">
        <v>0.804671617855558</v>
      </c>
      <c r="D4640" s="0" t="n">
        <f aca="false">A4640/SUM($A4640:$C4640)</f>
        <v>0.233872385648459</v>
      </c>
      <c r="E4640" s="0" t="n">
        <f aca="false">B4640/SUM($A4640:$C4640)</f>
        <v>0.368715333956641</v>
      </c>
      <c r="F4640" s="0" t="n">
        <f aca="false">C4640/SUM($A4640:$C4640)</f>
        <v>0.397412280394901</v>
      </c>
      <c r="G4640" s="0" t="n">
        <f aca="false">SUMPRODUCT(D4640:F4640,Stats!$B$6:$D$6)</f>
        <v>0.366740616774184</v>
      </c>
      <c r="H4640" s="0" t="n">
        <f aca="false">SQRT(SUMPRODUCT(MMULT(D4640:F4640,Stats!$B$12:$D$14),D4640:F4640))</f>
        <v>0.230047942051226</v>
      </c>
      <c r="I4640" s="0" t="n">
        <f aca="false">(G4640-Stats!$B$2)/H4640</f>
        <v>1.41162148149916</v>
      </c>
    </row>
    <row r="4641" customFormat="false" ht="15" hidden="false" customHeight="false" outlineLevel="0" collapsed="false">
      <c r="A4641" s="0" t="n">
        <v>0.736494208716779</v>
      </c>
      <c r="B4641" s="0" t="n">
        <v>0.925329736874598</v>
      </c>
      <c r="C4641" s="0" t="n">
        <v>0.446834230519929</v>
      </c>
      <c r="D4641" s="0" t="n">
        <f aca="false">A4641/SUM($A4641:$C4641)</f>
        <v>0.349271502162095</v>
      </c>
      <c r="E4641" s="0" t="n">
        <f aca="false">B4641/SUM($A4641:$C4641)</f>
        <v>0.438823962725457</v>
      </c>
      <c r="F4641" s="0" t="n">
        <f aca="false">C4641/SUM($A4641:$C4641)</f>
        <v>0.211904535112448</v>
      </c>
      <c r="G4641" s="0" t="n">
        <f aca="false">SUMPRODUCT(D4641:F4641,Stats!$B$6:$D$6)</f>
        <v>0.375889881259852</v>
      </c>
      <c r="H4641" s="0" t="n">
        <f aca="false">SQRT(SUMPRODUCT(MMULT(D4641:F4641,Stats!$B$12:$D$14),D4641:F4641))</f>
        <v>0.227379284918245</v>
      </c>
      <c r="I4641" s="0" t="n">
        <f aca="false">(G4641-Stats!$B$2)/H4641</f>
        <v>1.46842700019882</v>
      </c>
    </row>
    <row r="4642" customFormat="false" ht="15" hidden="false" customHeight="false" outlineLevel="0" collapsed="false">
      <c r="A4642" s="0" t="n">
        <v>0.173125439165156</v>
      </c>
      <c r="B4642" s="0" t="n">
        <v>0.0478110637024798</v>
      </c>
      <c r="C4642" s="0" t="n">
        <v>0.246459869637505</v>
      </c>
      <c r="D4642" s="0" t="n">
        <f aca="false">A4642/SUM($A4642:$C4642)</f>
        <v>0.370403899878901</v>
      </c>
      <c r="E4642" s="0" t="n">
        <f aca="false">B4642/SUM($A4642:$C4642)</f>
        <v>0.102292329412449</v>
      </c>
      <c r="F4642" s="0" t="n">
        <f aca="false">C4642/SUM($A4642:$C4642)</f>
        <v>0.527303770708649</v>
      </c>
      <c r="G4642" s="0" t="n">
        <f aca="false">SUMPRODUCT(D4642:F4642,Stats!$B$6:$D$6)</f>
        <v>0.34782927403075</v>
      </c>
      <c r="H4642" s="0" t="n">
        <f aca="false">SQRT(SUMPRODUCT(MMULT(D4642:F4642,Stats!$B$12:$D$14),D4642:F4642))</f>
        <v>0.226394363352223</v>
      </c>
      <c r="I4642" s="0" t="n">
        <f aca="false">(G4642-Stats!$B$2)/H4642</f>
        <v>1.35086964844148</v>
      </c>
    </row>
    <row r="4643" customFormat="false" ht="15" hidden="false" customHeight="false" outlineLevel="0" collapsed="false">
      <c r="A4643" s="0" t="n">
        <v>0.143197503880242</v>
      </c>
      <c r="B4643" s="0" t="n">
        <v>0.557948741434481</v>
      </c>
      <c r="C4643" s="0" t="n">
        <v>0.184945337211732</v>
      </c>
      <c r="D4643" s="0" t="n">
        <f aca="false">A4643/SUM($A4643:$C4643)</f>
        <v>0.161605760289419</v>
      </c>
      <c r="E4643" s="0" t="n">
        <f aca="false">B4643/SUM($A4643:$C4643)</f>
        <v>0.629673898767482</v>
      </c>
      <c r="F4643" s="0" t="n">
        <f aca="false">C4643/SUM($A4643:$C4643)</f>
        <v>0.208720340943099</v>
      </c>
      <c r="G4643" s="0" t="n">
        <f aca="false">SUMPRODUCT(D4643:F4643,Stats!$B$6:$D$6)</f>
        <v>0.386958942496986</v>
      </c>
      <c r="H4643" s="0" t="n">
        <f aca="false">SQRT(SUMPRODUCT(MMULT(D4643:F4643,Stats!$B$12:$D$14),D4643:F4643))</f>
        <v>0.236149346600432</v>
      </c>
      <c r="I4643" s="0" t="n">
        <f aca="false">(G4643-Stats!$B$2)/H4643</f>
        <v>1.46076602566537</v>
      </c>
    </row>
    <row r="4644" customFormat="false" ht="15" hidden="false" customHeight="false" outlineLevel="0" collapsed="false">
      <c r="A4644" s="0" t="n">
        <v>0.0389337072893712</v>
      </c>
      <c r="B4644" s="0" t="n">
        <v>0.0359898288686679</v>
      </c>
      <c r="C4644" s="0" t="n">
        <v>0.831569498364862</v>
      </c>
      <c r="D4644" s="0" t="n">
        <f aca="false">A4644/SUM($A4644:$C4644)</f>
        <v>0.0429498140709515</v>
      </c>
      <c r="E4644" s="0" t="n">
        <f aca="false">B4644/SUM($A4644:$C4644)</f>
        <v>0.0397022674174323</v>
      </c>
      <c r="F4644" s="0" t="n">
        <f aca="false">C4644/SUM($A4644:$C4644)</f>
        <v>0.917347918511616</v>
      </c>
      <c r="G4644" s="0" t="n">
        <f aca="false">SUMPRODUCT(D4644:F4644,Stats!$B$6:$D$6)</f>
        <v>0.333472605515489</v>
      </c>
      <c r="H4644" s="0" t="n">
        <f aca="false">SQRT(SUMPRODUCT(MMULT(D4644:F4644,Stats!$B$12:$D$14),D4644:F4644))</f>
        <v>0.253098865077931</v>
      </c>
      <c r="I4644" s="0" t="n">
        <f aca="false">(G4644-Stats!$B$2)/H4644</f>
        <v>1.15161561639458</v>
      </c>
    </row>
    <row r="4645" customFormat="false" ht="15" hidden="false" customHeight="false" outlineLevel="0" collapsed="false">
      <c r="A4645" s="0" t="n">
        <v>0.591449931443025</v>
      </c>
      <c r="B4645" s="0" t="n">
        <v>0.358085301893378</v>
      </c>
      <c r="C4645" s="0" t="n">
        <v>0.894228042740247</v>
      </c>
      <c r="D4645" s="0" t="n">
        <f aca="false">A4645/SUM($A4645:$C4645)</f>
        <v>0.320784093661727</v>
      </c>
      <c r="E4645" s="0" t="n">
        <f aca="false">B4645/SUM($A4645:$C4645)</f>
        <v>0.194214358502329</v>
      </c>
      <c r="F4645" s="0" t="n">
        <f aca="false">C4645/SUM($A4645:$C4645)</f>
        <v>0.485001547835944</v>
      </c>
      <c r="G4645" s="0" t="n">
        <f aca="false">SUMPRODUCT(D4645:F4645,Stats!$B$6:$D$6)</f>
        <v>0.354284816137652</v>
      </c>
      <c r="H4645" s="0" t="n">
        <f aca="false">SQRT(SUMPRODUCT(MMULT(D4645:F4645,Stats!$B$12:$D$14),D4645:F4645))</f>
        <v>0.227183431201921</v>
      </c>
      <c r="I4645" s="0" t="n">
        <f aca="false">(G4645-Stats!$B$2)/H4645</f>
        <v>1.37459327242968</v>
      </c>
    </row>
    <row r="4646" customFormat="false" ht="15" hidden="false" customHeight="false" outlineLevel="0" collapsed="false">
      <c r="A4646" s="0" t="n">
        <v>0.0701966114077136</v>
      </c>
      <c r="B4646" s="0" t="n">
        <v>0.980322072727826</v>
      </c>
      <c r="C4646" s="0" t="n">
        <v>0.616291790254461</v>
      </c>
      <c r="D4646" s="0" t="n">
        <f aca="false">A4646/SUM($A4646:$C4646)</f>
        <v>0.042114333024817</v>
      </c>
      <c r="E4646" s="0" t="n">
        <f aca="false">B4646/SUM($A4646:$C4646)</f>
        <v>0.58814249597669</v>
      </c>
      <c r="F4646" s="0" t="n">
        <f aca="false">C4646/SUM($A4646:$C4646)</f>
        <v>0.369743170998493</v>
      </c>
      <c r="G4646" s="0" t="n">
        <f aca="false">SUMPRODUCT(D4646:F4646,Stats!$B$6:$D$6)</f>
        <v>0.380129136727306</v>
      </c>
      <c r="H4646" s="0" t="n">
        <f aca="false">SQRT(SUMPRODUCT(MMULT(D4646:F4646,Stats!$B$12:$D$14),D4646:F4646))</f>
        <v>0.240774096883582</v>
      </c>
      <c r="I4646" s="0" t="n">
        <f aca="false">(G4646-Stats!$B$2)/H4646</f>
        <v>1.40434183370978</v>
      </c>
    </row>
    <row r="4647" customFormat="false" ht="15" hidden="false" customHeight="false" outlineLevel="0" collapsed="false">
      <c r="A4647" s="0" t="n">
        <v>0.183464253968849</v>
      </c>
      <c r="B4647" s="0" t="n">
        <v>0.679069098976969</v>
      </c>
      <c r="C4647" s="0" t="n">
        <v>0.763381259783563</v>
      </c>
      <c r="D4647" s="0" t="n">
        <f aca="false">A4647/SUM($A4647:$C4647)</f>
        <v>0.112837570025201</v>
      </c>
      <c r="E4647" s="0" t="n">
        <f aca="false">B4647/SUM($A4647:$C4647)</f>
        <v>0.417653604722227</v>
      </c>
      <c r="F4647" s="0" t="n">
        <f aca="false">C4647/SUM($A4647:$C4647)</f>
        <v>0.469508825252573</v>
      </c>
      <c r="G4647" s="0" t="n">
        <f aca="false">SUMPRODUCT(D4647:F4647,Stats!$B$6:$D$6)</f>
        <v>0.36756842703981</v>
      </c>
      <c r="H4647" s="0" t="n">
        <f aca="false">SQRT(SUMPRODUCT(MMULT(D4647:F4647,Stats!$B$12:$D$14),D4647:F4647))</f>
        <v>0.236292449827425</v>
      </c>
      <c r="I4647" s="0" t="n">
        <f aca="false">(G4647-Stats!$B$2)/H4647</f>
        <v>1.37781984687868</v>
      </c>
    </row>
    <row r="4648" customFormat="false" ht="15" hidden="false" customHeight="false" outlineLevel="0" collapsed="false">
      <c r="A4648" s="0" t="n">
        <v>0.429342783370775</v>
      </c>
      <c r="B4648" s="0" t="n">
        <v>0.861632606245547</v>
      </c>
      <c r="C4648" s="0" t="n">
        <v>0.15073240729647</v>
      </c>
      <c r="D4648" s="0" t="n">
        <f aca="false">A4648/SUM($A4648:$C4648)</f>
        <v>0.297801526973878</v>
      </c>
      <c r="E4648" s="0" t="n">
        <f aca="false">B4648/SUM($A4648:$C4648)</f>
        <v>0.597647184880742</v>
      </c>
      <c r="F4648" s="0" t="n">
        <f aca="false">C4648/SUM($A4648:$C4648)</f>
        <v>0.10455128814538</v>
      </c>
      <c r="G4648" s="0" t="n">
        <f aca="false">SUMPRODUCT(D4648:F4648,Stats!$B$6:$D$6)</f>
        <v>0.38798858839668</v>
      </c>
      <c r="H4648" s="0" t="n">
        <f aca="false">SQRT(SUMPRODUCT(MMULT(D4648:F4648,Stats!$B$12:$D$14),D4648:F4648))</f>
        <v>0.232384766439038</v>
      </c>
      <c r="I4648" s="0" t="n">
        <f aca="false">(G4648-Stats!$B$2)/H4648</f>
        <v>1.48886088231366</v>
      </c>
    </row>
    <row r="4649" customFormat="false" ht="15" hidden="false" customHeight="false" outlineLevel="0" collapsed="false">
      <c r="A4649" s="0" t="n">
        <v>0.278837583577608</v>
      </c>
      <c r="B4649" s="0" t="n">
        <v>0.0934923615839898</v>
      </c>
      <c r="C4649" s="0" t="n">
        <v>0.210877840607352</v>
      </c>
      <c r="D4649" s="0" t="n">
        <f aca="false">A4649/SUM($A4649:$C4649)</f>
        <v>0.478110187109326</v>
      </c>
      <c r="E4649" s="0" t="n">
        <f aca="false">B4649/SUM($A4649:$C4649)</f>
        <v>0.160307121861759</v>
      </c>
      <c r="F4649" s="0" t="n">
        <f aca="false">C4649/SUM($A4649:$C4649)</f>
        <v>0.361582691028915</v>
      </c>
      <c r="G4649" s="0" t="n">
        <f aca="false">SUMPRODUCT(D4649:F4649,Stats!$B$6:$D$6)</f>
        <v>0.355737065133697</v>
      </c>
      <c r="H4649" s="0" t="n">
        <f aca="false">SQRT(SUMPRODUCT(MMULT(D4649:F4649,Stats!$B$12:$D$14),D4649:F4649))</f>
        <v>0.222489948271814</v>
      </c>
      <c r="I4649" s="0" t="n">
        <f aca="false">(G4649-Stats!$B$2)/H4649</f>
        <v>1.4101179292397</v>
      </c>
    </row>
    <row r="4650" customFormat="false" ht="15" hidden="false" customHeight="false" outlineLevel="0" collapsed="false">
      <c r="A4650" s="0" t="n">
        <v>0.238728811911145</v>
      </c>
      <c r="B4650" s="0" t="n">
        <v>0.91763319092171</v>
      </c>
      <c r="C4650" s="0" t="n">
        <v>0.0781096887511562</v>
      </c>
      <c r="D4650" s="0" t="n">
        <f aca="false">A4650/SUM($A4650:$C4650)</f>
        <v>0.193385408137485</v>
      </c>
      <c r="E4650" s="0" t="n">
        <f aca="false">B4650/SUM($A4650:$C4650)</f>
        <v>0.743340813060079</v>
      </c>
      <c r="F4650" s="0" t="n">
        <f aca="false">C4650/SUM($A4650:$C4650)</f>
        <v>0.0632737788024364</v>
      </c>
      <c r="G4650" s="0" t="n">
        <f aca="false">SUMPRODUCT(D4650:F4650,Stats!$B$6:$D$6)</f>
        <v>0.397509822638513</v>
      </c>
      <c r="H4650" s="0" t="n">
        <f aca="false">SQRT(SUMPRODUCT(MMULT(D4650:F4650,Stats!$B$12:$D$14),D4650:F4650))</f>
        <v>0.239128079752775</v>
      </c>
      <c r="I4650" s="0" t="n">
        <f aca="false">(G4650-Stats!$B$2)/H4650</f>
        <v>1.4866920815241</v>
      </c>
    </row>
    <row r="4651" customFormat="false" ht="15" hidden="false" customHeight="false" outlineLevel="0" collapsed="false">
      <c r="A4651" s="0" t="n">
        <v>0.427415120187709</v>
      </c>
      <c r="B4651" s="0" t="n">
        <v>0.532398687226913</v>
      </c>
      <c r="C4651" s="0" t="n">
        <v>0.898693053802161</v>
      </c>
      <c r="D4651" s="0" t="n">
        <f aca="false">A4651/SUM($A4651:$C4651)</f>
        <v>0.229977692903365</v>
      </c>
      <c r="E4651" s="0" t="n">
        <f aca="false">B4651/SUM($A4651:$C4651)</f>
        <v>0.286465817445703</v>
      </c>
      <c r="F4651" s="0" t="n">
        <f aca="false">C4651/SUM($A4651:$C4651)</f>
        <v>0.483556489650933</v>
      </c>
      <c r="G4651" s="0" t="n">
        <f aca="false">SUMPRODUCT(D4651:F4651,Stats!$B$6:$D$6)</f>
        <v>0.35963269261018</v>
      </c>
      <c r="H4651" s="0" t="n">
        <f aca="false">SQRT(SUMPRODUCT(MMULT(D4651:F4651,Stats!$B$12:$D$14),D4651:F4651))</f>
        <v>0.230593915067506</v>
      </c>
      <c r="I4651" s="0" t="n">
        <f aca="false">(G4651-Stats!$B$2)/H4651</f>
        <v>1.37745478894009</v>
      </c>
    </row>
    <row r="4652" customFormat="false" ht="15" hidden="false" customHeight="false" outlineLevel="0" collapsed="false">
      <c r="A4652" s="0" t="n">
        <v>0.997696218661214</v>
      </c>
      <c r="B4652" s="0" t="n">
        <v>0.753388114919836</v>
      </c>
      <c r="C4652" s="0" t="n">
        <v>0.97079099056903</v>
      </c>
      <c r="D4652" s="0" t="n">
        <f aca="false">A4652/SUM($A4652:$C4652)</f>
        <v>0.366547361596274</v>
      </c>
      <c r="E4652" s="0" t="n">
        <f aca="false">B4652/SUM($A4652:$C4652)</f>
        <v>0.276790089625095</v>
      </c>
      <c r="F4652" s="0" t="n">
        <f aca="false">C4652/SUM($A4652:$C4652)</f>
        <v>0.356662548778631</v>
      </c>
      <c r="G4652" s="0" t="n">
        <f aca="false">SUMPRODUCT(D4652:F4652,Stats!$B$6:$D$6)</f>
        <v>0.36257501536801</v>
      </c>
      <c r="H4652" s="0" t="n">
        <f aca="false">SQRT(SUMPRODUCT(MMULT(D4652:F4652,Stats!$B$12:$D$14),D4652:F4652))</f>
        <v>0.225126335650838</v>
      </c>
      <c r="I4652" s="0" t="n">
        <f aca="false">(G4652-Stats!$B$2)/H4652</f>
        <v>1.42397829397094</v>
      </c>
    </row>
    <row r="4653" customFormat="false" ht="15" hidden="false" customHeight="false" outlineLevel="0" collapsed="false">
      <c r="A4653" s="0" t="n">
        <v>0.787101132535874</v>
      </c>
      <c r="B4653" s="0" t="n">
        <v>0.963202640971417</v>
      </c>
      <c r="C4653" s="0" t="n">
        <v>0.707270725944455</v>
      </c>
      <c r="D4653" s="0" t="n">
        <f aca="false">A4653/SUM($A4653:$C4653)</f>
        <v>0.320275593969365</v>
      </c>
      <c r="E4653" s="0" t="n">
        <f aca="false">B4653/SUM($A4653:$C4653)</f>
        <v>0.391932224714366</v>
      </c>
      <c r="F4653" s="0" t="n">
        <f aca="false">C4653/SUM($A4653:$C4653)</f>
        <v>0.287792181316269</v>
      </c>
      <c r="G4653" s="0" t="n">
        <f aca="false">SUMPRODUCT(D4653:F4653,Stats!$B$6:$D$6)</f>
        <v>0.371099218689336</v>
      </c>
      <c r="H4653" s="0" t="n">
        <f aca="false">SQRT(SUMPRODUCT(MMULT(D4653:F4653,Stats!$B$12:$D$14),D4653:F4653))</f>
        <v>0.227199974626804</v>
      </c>
      <c r="I4653" s="0" t="n">
        <f aca="false">(G4653-Stats!$B$2)/H4653</f>
        <v>1.44850024402472</v>
      </c>
    </row>
    <row r="4654" customFormat="false" ht="15" hidden="false" customHeight="false" outlineLevel="0" collapsed="false">
      <c r="A4654" s="0" t="n">
        <v>0.0797634254510711</v>
      </c>
      <c r="B4654" s="0" t="n">
        <v>0.401920186992677</v>
      </c>
      <c r="C4654" s="0" t="n">
        <v>0.64659728380247</v>
      </c>
      <c r="D4654" s="0" t="n">
        <f aca="false">A4654/SUM($A4654:$C4654)</f>
        <v>0.0706946521176095</v>
      </c>
      <c r="E4654" s="0" t="n">
        <f aca="false">B4654/SUM($A4654:$C4654)</f>
        <v>0.356223515198974</v>
      </c>
      <c r="F4654" s="0" t="n">
        <f aca="false">C4654/SUM($A4654:$C4654)</f>
        <v>0.573081832683417</v>
      </c>
      <c r="G4654" s="0" t="n">
        <f aca="false">SUMPRODUCT(D4654:F4654,Stats!$B$6:$D$6)</f>
        <v>0.361177833352418</v>
      </c>
      <c r="H4654" s="0" t="n">
        <f aca="false">SQRT(SUMPRODUCT(MMULT(D4654:F4654,Stats!$B$12:$D$14),D4654:F4654))</f>
        <v>0.239752761554166</v>
      </c>
      <c r="I4654" s="0" t="n">
        <f aca="false">(G4654-Stats!$B$2)/H4654</f>
        <v>1.33127906966906</v>
      </c>
    </row>
    <row r="4655" customFormat="false" ht="15" hidden="false" customHeight="false" outlineLevel="0" collapsed="false">
      <c r="A4655" s="0" t="n">
        <v>0.350718509454251</v>
      </c>
      <c r="B4655" s="0" t="n">
        <v>0.273383918113779</v>
      </c>
      <c r="C4655" s="0" t="n">
        <v>0.577399267133091</v>
      </c>
      <c r="D4655" s="0" t="n">
        <f aca="false">A4655/SUM($A4655:$C4655)</f>
        <v>0.291900137137546</v>
      </c>
      <c r="E4655" s="0" t="n">
        <f aca="false">B4655/SUM($A4655:$C4655)</f>
        <v>0.227535191435401</v>
      </c>
      <c r="F4655" s="0" t="n">
        <f aca="false">C4655/SUM($A4655:$C4655)</f>
        <v>0.480564671427053</v>
      </c>
      <c r="G4655" s="0" t="n">
        <f aca="false">SUMPRODUCT(D4655:F4655,Stats!$B$6:$D$6)</f>
        <v>0.356324398898774</v>
      </c>
      <c r="H4655" s="0" t="n">
        <f aca="false">SQRT(SUMPRODUCT(MMULT(D4655:F4655,Stats!$B$12:$D$14),D4655:F4655))</f>
        <v>0.228120811462659</v>
      </c>
      <c r="I4655" s="0" t="n">
        <f aca="false">(G4655-Stats!$B$2)/H4655</f>
        <v>1.37788567769594</v>
      </c>
    </row>
    <row r="4656" customFormat="false" ht="15" hidden="false" customHeight="false" outlineLevel="0" collapsed="false">
      <c r="A4656" s="0" t="n">
        <v>0.933501876702435</v>
      </c>
      <c r="B4656" s="0" t="n">
        <v>0.0349818735161536</v>
      </c>
      <c r="C4656" s="0" t="n">
        <v>0.769231203541438</v>
      </c>
      <c r="D4656" s="0" t="n">
        <f aca="false">A4656/SUM($A4656:$C4656)</f>
        <v>0.537200807694349</v>
      </c>
      <c r="E4656" s="0" t="n">
        <f aca="false">B4656/SUM($A4656:$C4656)</f>
        <v>0.0201309618936412</v>
      </c>
      <c r="F4656" s="0" t="n">
        <f aca="false">C4656/SUM($A4656:$C4656)</f>
        <v>0.44266823041201</v>
      </c>
      <c r="G4656" s="0" t="n">
        <f aca="false">SUMPRODUCT(D4656:F4656,Stats!$B$6:$D$6)</f>
        <v>0.345435607754235</v>
      </c>
      <c r="H4656" s="0" t="n">
        <f aca="false">SQRT(SUMPRODUCT(MMULT(D4656:F4656,Stats!$B$12:$D$14),D4656:F4656))</f>
        <v>0.22232582582926</v>
      </c>
      <c r="I4656" s="0" t="n">
        <f aca="false">(G4656-Stats!$B$2)/H4656</f>
        <v>1.36482393182367</v>
      </c>
    </row>
    <row r="4657" customFormat="false" ht="15" hidden="false" customHeight="false" outlineLevel="0" collapsed="false">
      <c r="A4657" s="0" t="n">
        <v>0.722727278044627</v>
      </c>
      <c r="B4657" s="0" t="n">
        <v>0.963953425388287</v>
      </c>
      <c r="C4657" s="0" t="n">
        <v>0.930711222332544</v>
      </c>
      <c r="D4657" s="0" t="n">
        <f aca="false">A4657/SUM($A4657:$C4657)</f>
        <v>0.276124974227261</v>
      </c>
      <c r="E4657" s="0" t="n">
        <f aca="false">B4657/SUM($A4657:$C4657)</f>
        <v>0.368287766115263</v>
      </c>
      <c r="F4657" s="0" t="n">
        <f aca="false">C4657/SUM($A4657:$C4657)</f>
        <v>0.355587259657476</v>
      </c>
      <c r="G4657" s="0" t="n">
        <f aca="false">SUMPRODUCT(D4657:F4657,Stats!$B$6:$D$6)</f>
        <v>0.367869323934067</v>
      </c>
      <c r="H4657" s="0" t="n">
        <f aca="false">SQRT(SUMPRODUCT(MMULT(D4657:F4657,Stats!$B$12:$D$14),D4657:F4657))</f>
        <v>0.228357145201142</v>
      </c>
      <c r="I4657" s="0" t="n">
        <f aca="false">(G4657-Stats!$B$2)/H4657</f>
        <v>1.4270161051761</v>
      </c>
    </row>
    <row r="4658" customFormat="false" ht="15" hidden="false" customHeight="false" outlineLevel="0" collapsed="false">
      <c r="A4658" s="0" t="n">
        <v>0.762232562044193</v>
      </c>
      <c r="B4658" s="0" t="n">
        <v>0.520408764682599</v>
      </c>
      <c r="C4658" s="0" t="n">
        <v>0.20426755323352</v>
      </c>
      <c r="D4658" s="0" t="n">
        <f aca="false">A4658/SUM($A4658:$C4658)</f>
        <v>0.512628966251475</v>
      </c>
      <c r="E4658" s="0" t="n">
        <f aca="false">B4658/SUM($A4658:$C4658)</f>
        <v>0.349993716290463</v>
      </c>
      <c r="F4658" s="0" t="n">
        <f aca="false">C4658/SUM($A4658:$C4658)</f>
        <v>0.137377317458063</v>
      </c>
      <c r="G4658" s="0" t="n">
        <f aca="false">SUMPRODUCT(D4658:F4658,Stats!$B$6:$D$6)</f>
        <v>0.372833763212865</v>
      </c>
      <c r="H4658" s="0" t="n">
        <f aca="false">SQRT(SUMPRODUCT(MMULT(D4658:F4658,Stats!$B$12:$D$14),D4658:F4658))</f>
        <v>0.224714541937886</v>
      </c>
      <c r="I4658" s="0" t="n">
        <f aca="false">(G4658-Stats!$B$2)/H4658</f>
        <v>1.47224011565888</v>
      </c>
    </row>
    <row r="4659" customFormat="false" ht="15" hidden="false" customHeight="false" outlineLevel="0" collapsed="false">
      <c r="A4659" s="0" t="n">
        <v>0.545235718325574</v>
      </c>
      <c r="B4659" s="0" t="n">
        <v>0.765351993919654</v>
      </c>
      <c r="C4659" s="0" t="n">
        <v>0.895669212637893</v>
      </c>
      <c r="D4659" s="0" t="n">
        <f aca="false">A4659/SUM($A4659:$C4659)</f>
        <v>0.247131561232135</v>
      </c>
      <c r="E4659" s="0" t="n">
        <f aca="false">B4659/SUM($A4659:$C4659)</f>
        <v>0.346900664781007</v>
      </c>
      <c r="F4659" s="0" t="n">
        <f aca="false">C4659/SUM($A4659:$C4659)</f>
        <v>0.405967773986859</v>
      </c>
      <c r="G4659" s="0" t="n">
        <f aca="false">SUMPRODUCT(D4659:F4659,Stats!$B$6:$D$6)</f>
        <v>0.365249514498809</v>
      </c>
      <c r="H4659" s="0" t="n">
        <f aca="false">SQRT(SUMPRODUCT(MMULT(D4659:F4659,Stats!$B$12:$D$14),D4659:F4659))</f>
        <v>0.229465851401017</v>
      </c>
      <c r="I4659" s="0" t="n">
        <f aca="false">(G4659-Stats!$B$2)/H4659</f>
        <v>1.40870422559693</v>
      </c>
    </row>
    <row r="4660" customFormat="false" ht="15" hidden="false" customHeight="false" outlineLevel="0" collapsed="false">
      <c r="A4660" s="0" t="n">
        <v>0.789712009210549</v>
      </c>
      <c r="B4660" s="0" t="n">
        <v>0.195266935191054</v>
      </c>
      <c r="C4660" s="0" t="n">
        <v>0.599686314228059</v>
      </c>
      <c r="D4660" s="0" t="n">
        <f aca="false">A4660/SUM($A4660:$C4660)</f>
        <v>0.498346262663354</v>
      </c>
      <c r="E4660" s="0" t="n">
        <f aca="false">B4660/SUM($A4660:$C4660)</f>
        <v>0.123222828371912</v>
      </c>
      <c r="F4660" s="0" t="n">
        <f aca="false">C4660/SUM($A4660:$C4660)</f>
        <v>0.378430908964735</v>
      </c>
      <c r="G4660" s="0" t="n">
        <f aca="false">SUMPRODUCT(D4660:F4660,Stats!$B$6:$D$6)</f>
        <v>0.353138699754138</v>
      </c>
      <c r="H4660" s="0" t="n">
        <f aca="false">SQRT(SUMPRODUCT(MMULT(D4660:F4660,Stats!$B$12:$D$14),D4660:F4660))</f>
        <v>0.222218484683597</v>
      </c>
      <c r="I4660" s="0" t="n">
        <f aca="false">(G4660-Stats!$B$2)/H4660</f>
        <v>1.40014769787108</v>
      </c>
    </row>
    <row r="4661" customFormat="false" ht="15" hidden="false" customHeight="false" outlineLevel="0" collapsed="false">
      <c r="A4661" s="0" t="n">
        <v>0.332173459531357</v>
      </c>
      <c r="B4661" s="0" t="n">
        <v>0.00920566739064299</v>
      </c>
      <c r="C4661" s="0" t="n">
        <v>0.200220935788666</v>
      </c>
      <c r="D4661" s="0" t="n">
        <f aca="false">A4661/SUM($A4661:$C4661)</f>
        <v>0.613318724279415</v>
      </c>
      <c r="E4661" s="0" t="n">
        <f aca="false">B4661/SUM($A4661:$C4661)</f>
        <v>0.0169971682509957</v>
      </c>
      <c r="F4661" s="0" t="n">
        <f aca="false">C4661/SUM($A4661:$C4661)</f>
        <v>0.369684107469589</v>
      </c>
      <c r="G4661" s="0" t="n">
        <f aca="false">SUMPRODUCT(D4661:F4661,Stats!$B$6:$D$6)</f>
        <v>0.347267802442994</v>
      </c>
      <c r="H4661" s="0" t="n">
        <f aca="false">SQRT(SUMPRODUCT(MMULT(D4661:F4661,Stats!$B$12:$D$14),D4661:F4661))</f>
        <v>0.221400100450814</v>
      </c>
      <c r="I4661" s="0" t="n">
        <f aca="false">(G4661-Stats!$B$2)/H4661</f>
        <v>1.37880607019333</v>
      </c>
    </row>
    <row r="4662" customFormat="false" ht="15" hidden="false" customHeight="false" outlineLevel="0" collapsed="false">
      <c r="A4662" s="0" t="n">
        <v>0.113220649933449</v>
      </c>
      <c r="B4662" s="0" t="n">
        <v>0.842719123539469</v>
      </c>
      <c r="C4662" s="0" t="n">
        <v>0.258506252147812</v>
      </c>
      <c r="D4662" s="0" t="n">
        <f aca="false">A4662/SUM($A4662:$C4662)</f>
        <v>0.0932282271462659</v>
      </c>
      <c r="E4662" s="0" t="n">
        <f aca="false">B4662/SUM($A4662:$C4662)</f>
        <v>0.693912373016937</v>
      </c>
      <c r="F4662" s="0" t="n">
        <f aca="false">C4662/SUM($A4662:$C4662)</f>
        <v>0.212859399836797</v>
      </c>
      <c r="G4662" s="0" t="n">
        <f aca="false">SUMPRODUCT(D4662:F4662,Stats!$B$6:$D$6)</f>
        <v>0.390541008206041</v>
      </c>
      <c r="H4662" s="0" t="n">
        <f aca="false">SQRT(SUMPRODUCT(MMULT(D4662:F4662,Stats!$B$12:$D$14),D4662:F4662))</f>
        <v>0.240145550145838</v>
      </c>
      <c r="I4662" s="0" t="n">
        <f aca="false">(G4662-Stats!$B$2)/H4662</f>
        <v>1.4513740021182</v>
      </c>
    </row>
    <row r="4663" customFormat="false" ht="15" hidden="false" customHeight="false" outlineLevel="0" collapsed="false">
      <c r="A4663" s="0" t="n">
        <v>0.284697968887556</v>
      </c>
      <c r="B4663" s="0" t="n">
        <v>0.959936571798884</v>
      </c>
      <c r="C4663" s="0" t="n">
        <v>0.379086723048852</v>
      </c>
      <c r="D4663" s="0" t="n">
        <f aca="false">A4663/SUM($A4663:$C4663)</f>
        <v>0.175336725117845</v>
      </c>
      <c r="E4663" s="0" t="n">
        <f aca="false">B4663/SUM($A4663:$C4663)</f>
        <v>0.591195418350682</v>
      </c>
      <c r="F4663" s="0" t="n">
        <f aca="false">C4663/SUM($A4663:$C4663)</f>
        <v>0.233467856531472</v>
      </c>
      <c r="G4663" s="0" t="n">
        <f aca="false">SUMPRODUCT(D4663:F4663,Stats!$B$6:$D$6)</f>
        <v>0.384062537311572</v>
      </c>
      <c r="H4663" s="0" t="n">
        <f aca="false">SQRT(SUMPRODUCT(MMULT(D4663:F4663,Stats!$B$12:$D$14),D4663:F4663))</f>
        <v>0.234812436567254</v>
      </c>
      <c r="I4663" s="0" t="n">
        <f aca="false">(G4663-Stats!$B$2)/H4663</f>
        <v>1.4567479572727</v>
      </c>
    </row>
    <row r="4664" customFormat="false" ht="15" hidden="false" customHeight="false" outlineLevel="0" collapsed="false">
      <c r="A4664" s="0" t="n">
        <v>0.00958564014439456</v>
      </c>
      <c r="B4664" s="0" t="n">
        <v>0.283846148346137</v>
      </c>
      <c r="C4664" s="0" t="n">
        <v>0.119299580601812</v>
      </c>
      <c r="D4664" s="0" t="n">
        <f aca="false">A4664/SUM($A4664:$C4664)</f>
        <v>0.0232248887829262</v>
      </c>
      <c r="E4664" s="0" t="n">
        <f aca="false">B4664/SUM($A4664:$C4664)</f>
        <v>0.687726132787909</v>
      </c>
      <c r="F4664" s="0" t="n">
        <f aca="false">C4664/SUM($A4664:$C4664)</f>
        <v>0.289048978429165</v>
      </c>
      <c r="G4664" s="0" t="n">
        <f aca="false">SUMPRODUCT(D4664:F4664,Stats!$B$6:$D$6)</f>
        <v>0.388084161624325</v>
      </c>
      <c r="H4664" s="0" t="n">
        <f aca="false">SQRT(SUMPRODUCT(MMULT(D4664:F4664,Stats!$B$12:$D$14),D4664:F4664))</f>
        <v>0.243114177186035</v>
      </c>
      <c r="I4664" s="0" t="n">
        <f aca="false">(G4664-Stats!$B$2)/H4664</f>
        <v>1.4235457826036</v>
      </c>
    </row>
    <row r="4665" customFormat="false" ht="15" hidden="false" customHeight="false" outlineLevel="0" collapsed="false">
      <c r="A4665" s="0" t="n">
        <v>0.102808561735854</v>
      </c>
      <c r="B4665" s="0" t="n">
        <v>0.0774872901357495</v>
      </c>
      <c r="C4665" s="0" t="n">
        <v>0.593259470175377</v>
      </c>
      <c r="D4665" s="0" t="n">
        <f aca="false">A4665/SUM($A4665:$C4665)</f>
        <v>0.132903955031687</v>
      </c>
      <c r="E4665" s="0" t="n">
        <f aca="false">B4665/SUM($A4665:$C4665)</f>
        <v>0.100170327741658</v>
      </c>
      <c r="F4665" s="0" t="n">
        <f aca="false">C4665/SUM($A4665:$C4665)</f>
        <v>0.766925717226656</v>
      </c>
      <c r="G4665" s="0" t="n">
        <f aca="false">SUMPRODUCT(D4665:F4665,Stats!$B$6:$D$6)</f>
        <v>0.341099693789278</v>
      </c>
      <c r="H4665" s="0" t="n">
        <f aca="false">SQRT(SUMPRODUCT(MMULT(D4665:F4665,Stats!$B$12:$D$14),D4665:F4665))</f>
        <v>0.241907810906632</v>
      </c>
      <c r="I4665" s="0" t="n">
        <f aca="false">(G4665-Stats!$B$2)/H4665</f>
        <v>1.23642015802756</v>
      </c>
    </row>
    <row r="4666" customFormat="false" ht="15" hidden="false" customHeight="false" outlineLevel="0" collapsed="false">
      <c r="A4666" s="0" t="n">
        <v>0.189347723629859</v>
      </c>
      <c r="B4666" s="0" t="n">
        <v>0.361242794041011</v>
      </c>
      <c r="C4666" s="0" t="n">
        <v>0.862017716130017</v>
      </c>
      <c r="D4666" s="0" t="n">
        <f aca="false">A4666/SUM($A4666:$C4666)</f>
        <v>0.134041214753777</v>
      </c>
      <c r="E4666" s="0" t="n">
        <f aca="false">B4666/SUM($A4666:$C4666)</f>
        <v>0.255727515525674</v>
      </c>
      <c r="F4666" s="0" t="n">
        <f aca="false">C4666/SUM($A4666:$C4666)</f>
        <v>0.610231269720549</v>
      </c>
      <c r="G4666" s="0" t="n">
        <f aca="false">SUMPRODUCT(D4666:F4666,Stats!$B$6:$D$6)</f>
        <v>0.35437104216277</v>
      </c>
      <c r="H4666" s="0" t="n">
        <f aca="false">SQRT(SUMPRODUCT(MMULT(D4666:F4666,Stats!$B$12:$D$14),D4666:F4666))</f>
        <v>0.237045593972945</v>
      </c>
      <c r="I4666" s="0" t="n">
        <f aca="false">(G4666-Stats!$B$2)/H4666</f>
        <v>1.31776776327014</v>
      </c>
    </row>
    <row r="4667" customFormat="false" ht="15" hidden="false" customHeight="false" outlineLevel="0" collapsed="false">
      <c r="A4667" s="0" t="n">
        <v>0.424338139796276</v>
      </c>
      <c r="B4667" s="0" t="n">
        <v>0.915691350051638</v>
      </c>
      <c r="C4667" s="0" t="n">
        <v>0.497938053395606</v>
      </c>
      <c r="D4667" s="0" t="n">
        <f aca="false">A4667/SUM($A4667:$C4667)</f>
        <v>0.230873576280587</v>
      </c>
      <c r="E4667" s="0" t="n">
        <f aca="false">B4667/SUM($A4667:$C4667)</f>
        <v>0.498208661745837</v>
      </c>
      <c r="F4667" s="0" t="n">
        <f aca="false">C4667/SUM($A4667:$C4667)</f>
        <v>0.270917761973576</v>
      </c>
      <c r="G4667" s="0" t="n">
        <f aca="false">SUMPRODUCT(D4667:F4667,Stats!$B$6:$D$6)</f>
        <v>0.377679532948358</v>
      </c>
      <c r="H4667" s="0" t="n">
        <f aca="false">SQRT(SUMPRODUCT(MMULT(D4667:F4667,Stats!$B$12:$D$14),D4667:F4667))</f>
        <v>0.231257236989399</v>
      </c>
      <c r="I4667" s="0" t="n">
        <f aca="false">(G4667-Stats!$B$2)/H4667</f>
        <v>1.45154174337794</v>
      </c>
    </row>
    <row r="4668" customFormat="false" ht="15" hidden="false" customHeight="false" outlineLevel="0" collapsed="false">
      <c r="A4668" s="0" t="n">
        <v>0.398836614839756</v>
      </c>
      <c r="B4668" s="0" t="n">
        <v>0.750388927090702</v>
      </c>
      <c r="C4668" s="0" t="n">
        <v>0.0731750987680021</v>
      </c>
      <c r="D4668" s="0" t="n">
        <f aca="false">A4668/SUM($A4668:$C4668)</f>
        <v>0.326273237726599</v>
      </c>
      <c r="E4668" s="0" t="n">
        <f aca="false">B4668/SUM($A4668:$C4668)</f>
        <v>0.61386496546823</v>
      </c>
      <c r="F4668" s="0" t="n">
        <f aca="false">C4668/SUM($A4668:$C4668)</f>
        <v>0.0598617968051711</v>
      </c>
      <c r="G4668" s="0" t="n">
        <f aca="false">SUMPRODUCT(D4668:F4668,Stats!$B$6:$D$6)</f>
        <v>0.390154034036646</v>
      </c>
      <c r="H4668" s="0" t="n">
        <f aca="false">SQRT(SUMPRODUCT(MMULT(D4668:F4668,Stats!$B$12:$D$14),D4668:F4668))</f>
        <v>0.232807754769834</v>
      </c>
      <c r="I4668" s="0" t="n">
        <f aca="false">(G4668-Stats!$B$2)/H4668</f>
        <v>1.49545720408175</v>
      </c>
    </row>
    <row r="4669" customFormat="false" ht="15" hidden="false" customHeight="false" outlineLevel="0" collapsed="false">
      <c r="A4669" s="0" t="n">
        <v>0.0894783829824174</v>
      </c>
      <c r="B4669" s="0" t="n">
        <v>0.651973713922961</v>
      </c>
      <c r="C4669" s="0" t="n">
        <v>0.486940713239248</v>
      </c>
      <c r="D4669" s="0" t="n">
        <f aca="false">A4669/SUM($A4669:$C4669)</f>
        <v>0.0728418322245655</v>
      </c>
      <c r="E4669" s="0" t="n">
        <f aca="false">B4669/SUM($A4669:$C4669)</f>
        <v>0.530753443473997</v>
      </c>
      <c r="F4669" s="0" t="n">
        <f aca="false">C4669/SUM($A4669:$C4669)</f>
        <v>0.396404724301437</v>
      </c>
      <c r="G4669" s="0" t="n">
        <f aca="false">SUMPRODUCT(D4669:F4669,Stats!$B$6:$D$6)</f>
        <v>0.376091862845742</v>
      </c>
      <c r="H4669" s="0" t="n">
        <f aca="false">SQRT(SUMPRODUCT(MMULT(D4669:F4669,Stats!$B$12:$D$14),D4669:F4669))</f>
        <v>0.238644775193972</v>
      </c>
      <c r="I4669" s="0" t="n">
        <f aca="false">(G4669-Stats!$B$2)/H4669</f>
        <v>1.39995465048078</v>
      </c>
    </row>
    <row r="4670" customFormat="false" ht="15" hidden="false" customHeight="false" outlineLevel="0" collapsed="false">
      <c r="A4670" s="0" t="n">
        <v>0.79041525031921</v>
      </c>
      <c r="B4670" s="0" t="n">
        <v>0.916270837343531</v>
      </c>
      <c r="C4670" s="0" t="n">
        <v>0.388366877671548</v>
      </c>
      <c r="D4670" s="0" t="n">
        <f aca="false">A4670/SUM($A4670:$C4670)</f>
        <v>0.377276977431017</v>
      </c>
      <c r="E4670" s="0" t="n">
        <f aca="false">B4670/SUM($A4670:$C4670)</f>
        <v>0.437349724567622</v>
      </c>
      <c r="F4670" s="0" t="n">
        <f aca="false">C4670/SUM($A4670:$C4670)</f>
        <v>0.185373298001361</v>
      </c>
      <c r="G4670" s="0" t="n">
        <f aca="false">SUMPRODUCT(D4670:F4670,Stats!$B$6:$D$6)</f>
        <v>0.376536644163207</v>
      </c>
      <c r="H4670" s="0" t="n">
        <f aca="false">SQRT(SUMPRODUCT(MMULT(D4670:F4670,Stats!$B$12:$D$14),D4670:F4670))</f>
        <v>0.226996315157635</v>
      </c>
      <c r="I4670" s="0" t="n">
        <f aca="false">(G4670-Stats!$B$2)/H4670</f>
        <v>1.47375363309705</v>
      </c>
    </row>
    <row r="4671" customFormat="false" ht="15" hidden="false" customHeight="false" outlineLevel="0" collapsed="false">
      <c r="A4671" s="0" t="n">
        <v>0.596410026584646</v>
      </c>
      <c r="B4671" s="0" t="n">
        <v>0.50069662779531</v>
      </c>
      <c r="C4671" s="0" t="n">
        <v>0.981610655642433</v>
      </c>
      <c r="D4671" s="0" t="n">
        <f aca="false">A4671/SUM($A4671:$C4671)</f>
        <v>0.286912522308395</v>
      </c>
      <c r="E4671" s="0" t="n">
        <f aca="false">B4671/SUM($A4671:$C4671)</f>
        <v>0.240868070603557</v>
      </c>
      <c r="F4671" s="0" t="n">
        <f aca="false">C4671/SUM($A4671:$C4671)</f>
        <v>0.472219407088047</v>
      </c>
      <c r="G4671" s="0" t="n">
        <f aca="false">SUMPRODUCT(D4671:F4671,Stats!$B$6:$D$6)</f>
        <v>0.357321672964092</v>
      </c>
      <c r="H4671" s="0" t="n">
        <f aca="false">SQRT(SUMPRODUCT(MMULT(D4671:F4671,Stats!$B$12:$D$14),D4671:F4671))</f>
        <v>0.228216903382503</v>
      </c>
      <c r="I4671" s="0" t="n">
        <f aca="false">(G4671-Stats!$B$2)/H4671</f>
        <v>1.38167536361493</v>
      </c>
    </row>
    <row r="4672" customFormat="false" ht="15" hidden="false" customHeight="false" outlineLevel="0" collapsed="false">
      <c r="A4672" s="0" t="n">
        <v>0.831084407356595</v>
      </c>
      <c r="B4672" s="0" t="n">
        <v>0.911737708277354</v>
      </c>
      <c r="C4672" s="0" t="n">
        <v>0.254340087577604</v>
      </c>
      <c r="D4672" s="0" t="n">
        <f aca="false">A4672/SUM($A4672:$C4672)</f>
        <v>0.416132653632321</v>
      </c>
      <c r="E4672" s="0" t="n">
        <f aca="false">B4672/SUM($A4672:$C4672)</f>
        <v>0.456516604816187</v>
      </c>
      <c r="F4672" s="0" t="n">
        <f aca="false">C4672/SUM($A4672:$C4672)</f>
        <v>0.127350741551493</v>
      </c>
      <c r="G4672" s="0" t="n">
        <f aca="false">SUMPRODUCT(D4672:F4672,Stats!$B$6:$D$6)</f>
        <v>0.379239431322959</v>
      </c>
      <c r="H4672" s="0" t="n">
        <f aca="false">SQRT(SUMPRODUCT(MMULT(D4672:F4672,Stats!$B$12:$D$14),D4672:F4672))</f>
        <v>0.22729915826564</v>
      </c>
      <c r="I4672" s="0" t="n">
        <f aca="false">(G4672-Stats!$B$2)/H4672</f>
        <v>1.48368095111392</v>
      </c>
    </row>
    <row r="4673" customFormat="false" ht="15" hidden="false" customHeight="false" outlineLevel="0" collapsed="false">
      <c r="A4673" s="0" t="n">
        <v>0.772526423162594</v>
      </c>
      <c r="B4673" s="0" t="n">
        <v>0.265473224997649</v>
      </c>
      <c r="C4673" s="0" t="n">
        <v>0.20874253342839</v>
      </c>
      <c r="D4673" s="0" t="n">
        <f aca="false">A4673/SUM($A4673:$C4673)</f>
        <v>0.61963606796252</v>
      </c>
      <c r="E4673" s="0" t="n">
        <f aca="false">B4673/SUM($A4673:$C4673)</f>
        <v>0.212933539041228</v>
      </c>
      <c r="F4673" s="0" t="n">
        <f aca="false">C4673/SUM($A4673:$C4673)</f>
        <v>0.167430392996252</v>
      </c>
      <c r="G4673" s="0" t="n">
        <f aca="false">SUMPRODUCT(D4673:F4673,Stats!$B$6:$D$6)</f>
        <v>0.364118796008516</v>
      </c>
      <c r="H4673" s="0" t="n">
        <f aca="false">SQRT(SUMPRODUCT(MMULT(D4673:F4673,Stats!$B$12:$D$14),D4673:F4673))</f>
        <v>0.222843627109067</v>
      </c>
      <c r="I4673" s="0" t="n">
        <f aca="false">(G4673-Stats!$B$2)/H4673</f>
        <v>1.44549251951845</v>
      </c>
    </row>
    <row r="4674" customFormat="false" ht="15" hidden="false" customHeight="false" outlineLevel="0" collapsed="false">
      <c r="A4674" s="0" t="n">
        <v>0.944266159655551</v>
      </c>
      <c r="B4674" s="0" t="n">
        <v>0.0193044167178667</v>
      </c>
      <c r="C4674" s="0" t="n">
        <v>0.96538870366343</v>
      </c>
      <c r="D4674" s="0" t="n">
        <f aca="false">A4674/SUM($A4674:$C4674)</f>
        <v>0.489521043511874</v>
      </c>
      <c r="E4674" s="0" t="n">
        <f aca="false">B4674/SUM($A4674:$C4674)</f>
        <v>0.0100076849302376</v>
      </c>
      <c r="F4674" s="0" t="n">
        <f aca="false">C4674/SUM($A4674:$C4674)</f>
        <v>0.500471271557888</v>
      </c>
      <c r="G4674" s="0" t="n">
        <f aca="false">SUMPRODUCT(D4674:F4674,Stats!$B$6:$D$6)</f>
        <v>0.343259230872682</v>
      </c>
      <c r="H4674" s="0" t="n">
        <f aca="false">SQRT(SUMPRODUCT(MMULT(D4674:F4674,Stats!$B$12:$D$14),D4674:F4674))</f>
        <v>0.223678335655312</v>
      </c>
      <c r="I4674" s="0" t="n">
        <f aca="false">(G4674-Stats!$B$2)/H4674</f>
        <v>1.34684134692831</v>
      </c>
    </row>
    <row r="4675" customFormat="false" ht="15" hidden="false" customHeight="false" outlineLevel="0" collapsed="false">
      <c r="A4675" s="0" t="n">
        <v>0.149261896988806</v>
      </c>
      <c r="B4675" s="0" t="n">
        <v>0.819438081793268</v>
      </c>
      <c r="C4675" s="0" t="n">
        <v>0.275922553068103</v>
      </c>
      <c r="D4675" s="0" t="n">
        <f aca="false">A4675/SUM($A4675:$C4675)</f>
        <v>0.119925433751326</v>
      </c>
      <c r="E4675" s="0" t="n">
        <f aca="false">B4675/SUM($A4675:$C4675)</f>
        <v>0.658382811514061</v>
      </c>
      <c r="F4675" s="0" t="n">
        <f aca="false">C4675/SUM($A4675:$C4675)</f>
        <v>0.221691754734613</v>
      </c>
      <c r="G4675" s="0" t="n">
        <f aca="false">SUMPRODUCT(D4675:F4675,Stats!$B$6:$D$6)</f>
        <v>0.388253134432972</v>
      </c>
      <c r="H4675" s="0" t="n">
        <f aca="false">SQRT(SUMPRODUCT(MMULT(D4675:F4675,Stats!$B$12:$D$14),D4675:F4675))</f>
        <v>0.238273069685442</v>
      </c>
      <c r="I4675" s="0" t="n">
        <f aca="false">(G4675-Stats!$B$2)/H4675</f>
        <v>1.45317779676101</v>
      </c>
    </row>
    <row r="4676" customFormat="false" ht="15" hidden="false" customHeight="false" outlineLevel="0" collapsed="false">
      <c r="A4676" s="0" t="n">
        <v>0.350702327430727</v>
      </c>
      <c r="B4676" s="0" t="n">
        <v>0.216757711321985</v>
      </c>
      <c r="C4676" s="0" t="n">
        <v>0.58551404248108</v>
      </c>
      <c r="D4676" s="0" t="n">
        <f aca="false">A4676/SUM($A4676:$C4676)</f>
        <v>0.304171909099156</v>
      </c>
      <c r="E4676" s="0" t="n">
        <f aca="false">B4676/SUM($A4676:$C4676)</f>
        <v>0.187998771915179</v>
      </c>
      <c r="F4676" s="0" t="n">
        <f aca="false">C4676/SUM($A4676:$C4676)</f>
        <v>0.507829318985665</v>
      </c>
      <c r="G4676" s="0" t="n">
        <f aca="false">SUMPRODUCT(D4676:F4676,Stats!$B$6:$D$6)</f>
        <v>0.353297712320673</v>
      </c>
      <c r="H4676" s="0" t="n">
        <f aca="false">SQRT(SUMPRODUCT(MMULT(D4676:F4676,Stats!$B$12:$D$14),D4676:F4676))</f>
        <v>0.228036373858967</v>
      </c>
      <c r="I4676" s="0" t="n">
        <f aca="false">(G4676-Stats!$B$2)/H4676</f>
        <v>1.36512305932912</v>
      </c>
    </row>
    <row r="4677" customFormat="false" ht="15" hidden="false" customHeight="false" outlineLevel="0" collapsed="false">
      <c r="A4677" s="0" t="n">
        <v>0.348095547507874</v>
      </c>
      <c r="B4677" s="0" t="n">
        <v>0.657393039494663</v>
      </c>
      <c r="C4677" s="0" t="n">
        <v>0.015647317942066</v>
      </c>
      <c r="D4677" s="0" t="n">
        <f aca="false">A4677/SUM($A4677:$C4677)</f>
        <v>0.340890517924505</v>
      </c>
      <c r="E4677" s="0" t="n">
        <f aca="false">B4677/SUM($A4677:$C4677)</f>
        <v>0.643786038970324</v>
      </c>
      <c r="F4677" s="0" t="n">
        <f aca="false">C4677/SUM($A4677:$C4677)</f>
        <v>0.015323443105171</v>
      </c>
      <c r="G4677" s="0" t="n">
        <f aca="false">SUMPRODUCT(D4677:F4677,Stats!$B$6:$D$6)</f>
        <v>0.393103781852795</v>
      </c>
      <c r="H4677" s="0" t="n">
        <f aca="false">SQRT(SUMPRODUCT(MMULT(D4677:F4677,Stats!$B$12:$D$14),D4677:F4677))</f>
        <v>0.234046469796857</v>
      </c>
      <c r="I4677" s="0" t="n">
        <f aca="false">(G4677-Stats!$B$2)/H4677</f>
        <v>1.50014559996371</v>
      </c>
    </row>
    <row r="4678" customFormat="false" ht="15" hidden="false" customHeight="false" outlineLevel="0" collapsed="false">
      <c r="A4678" s="0" t="n">
        <v>0.0643748835150396</v>
      </c>
      <c r="B4678" s="0" t="n">
        <v>0.0996611527312487</v>
      </c>
      <c r="C4678" s="0" t="n">
        <v>0.418993685310231</v>
      </c>
      <c r="D4678" s="0" t="n">
        <f aca="false">A4678/SUM($A4678:$C4678)</f>
        <v>0.110414411366847</v>
      </c>
      <c r="E4678" s="0" t="n">
        <f aca="false">B4678/SUM($A4678:$C4678)</f>
        <v>0.170936659052616</v>
      </c>
      <c r="F4678" s="0" t="n">
        <f aca="false">C4678/SUM($A4678:$C4678)</f>
        <v>0.718648929580537</v>
      </c>
      <c r="G4678" s="0" t="n">
        <f aca="false">SUMPRODUCT(D4678:F4678,Stats!$B$6:$D$6)</f>
        <v>0.346502710752953</v>
      </c>
      <c r="H4678" s="0" t="n">
        <f aca="false">SQRT(SUMPRODUCT(MMULT(D4678:F4678,Stats!$B$12:$D$14),D4678:F4678))</f>
        <v>0.241214570362031</v>
      </c>
      <c r="I4678" s="0" t="n">
        <f aca="false">(G4678-Stats!$B$2)/H4678</f>
        <v>1.26237279238951</v>
      </c>
    </row>
    <row r="4679" customFormat="false" ht="15" hidden="false" customHeight="false" outlineLevel="0" collapsed="false">
      <c r="A4679" s="0" t="n">
        <v>0.814796172659976</v>
      </c>
      <c r="B4679" s="0" t="n">
        <v>0.888177910378383</v>
      </c>
      <c r="C4679" s="0" t="n">
        <v>0.244810740060901</v>
      </c>
      <c r="D4679" s="0" t="n">
        <f aca="false">A4679/SUM($A4679:$C4679)</f>
        <v>0.418319396987341</v>
      </c>
      <c r="E4679" s="0" t="n">
        <f aca="false">B4679/SUM($A4679:$C4679)</f>
        <v>0.45599385509388</v>
      </c>
      <c r="F4679" s="0" t="n">
        <f aca="false">C4679/SUM($A4679:$C4679)</f>
        <v>0.125686747918779</v>
      </c>
      <c r="G4679" s="0" t="n">
        <f aca="false">SUMPRODUCT(D4679:F4679,Stats!$B$6:$D$6)</f>
        <v>0.379255236964935</v>
      </c>
      <c r="H4679" s="0" t="n">
        <f aca="false">SQRT(SUMPRODUCT(MMULT(D4679:F4679,Stats!$B$12:$D$14),D4679:F4679))</f>
        <v>0.227283209110958</v>
      </c>
      <c r="I4679" s="0" t="n">
        <f aca="false">(G4679-Stats!$B$2)/H4679</f>
        <v>1.48385460714034</v>
      </c>
    </row>
    <row r="4680" customFormat="false" ht="15" hidden="false" customHeight="false" outlineLevel="0" collapsed="false">
      <c r="A4680" s="0" t="n">
        <v>0.574369724239014</v>
      </c>
      <c r="B4680" s="0" t="n">
        <v>0.768364992692601</v>
      </c>
      <c r="C4680" s="0" t="n">
        <v>0.288829429919609</v>
      </c>
      <c r="D4680" s="0" t="n">
        <f aca="false">A4680/SUM($A4680:$C4680)</f>
        <v>0.352036250212716</v>
      </c>
      <c r="E4680" s="0" t="n">
        <f aca="false">B4680/SUM($A4680:$C4680)</f>
        <v>0.470937654627603</v>
      </c>
      <c r="F4680" s="0" t="n">
        <f aca="false">C4680/SUM($A4680:$C4680)</f>
        <v>0.177026095159681</v>
      </c>
      <c r="G4680" s="0" t="n">
        <f aca="false">SUMPRODUCT(D4680:F4680,Stats!$B$6:$D$6)</f>
        <v>0.378699421094708</v>
      </c>
      <c r="H4680" s="0" t="n">
        <f aca="false">SQRT(SUMPRODUCT(MMULT(D4680:F4680,Stats!$B$12:$D$14),D4680:F4680))</f>
        <v>0.228071286565149</v>
      </c>
      <c r="I4680" s="0" t="n">
        <f aca="false">(G4680-Stats!$B$2)/H4680</f>
        <v>1.47629026943963</v>
      </c>
    </row>
    <row r="4681" customFormat="false" ht="15" hidden="false" customHeight="false" outlineLevel="0" collapsed="false">
      <c r="A4681" s="0" t="n">
        <v>0.409007736736273</v>
      </c>
      <c r="B4681" s="0" t="n">
        <v>0.523974202685714</v>
      </c>
      <c r="C4681" s="0" t="n">
        <v>0.134874846408048</v>
      </c>
      <c r="D4681" s="0" t="n">
        <f aca="false">A4681/SUM($A4681:$C4681)</f>
        <v>0.383017406606969</v>
      </c>
      <c r="E4681" s="0" t="n">
        <f aca="false">B4681/SUM($A4681:$C4681)</f>
        <v>0.490678347170341</v>
      </c>
      <c r="F4681" s="0" t="n">
        <f aca="false">C4681/SUM($A4681:$C4681)</f>
        <v>0.126304246222691</v>
      </c>
      <c r="G4681" s="0" t="n">
        <f aca="false">SUMPRODUCT(D4681:F4681,Stats!$B$6:$D$6)</f>
        <v>0.381233910469527</v>
      </c>
      <c r="H4681" s="0" t="n">
        <f aca="false">SQRT(SUMPRODUCT(MMULT(D4681:F4681,Stats!$B$12:$D$14),D4681:F4681))</f>
        <v>0.228380820373017</v>
      </c>
      <c r="I4681" s="0" t="n">
        <f aca="false">(G4681-Stats!$B$2)/H4681</f>
        <v>1.48538703869901</v>
      </c>
    </row>
    <row r="4682" customFormat="false" ht="15" hidden="false" customHeight="false" outlineLevel="0" collapsed="false">
      <c r="A4682" s="0" t="n">
        <v>0.0259822937257803</v>
      </c>
      <c r="B4682" s="0" t="n">
        <v>0.152805809318283</v>
      </c>
      <c r="C4682" s="0" t="n">
        <v>0.626853621253533</v>
      </c>
      <c r="D4682" s="0" t="n">
        <f aca="false">A4682/SUM($A4682:$C4682)</f>
        <v>0.0322504320992475</v>
      </c>
      <c r="E4682" s="0" t="n">
        <f aca="false">B4682/SUM($A4682:$C4682)</f>
        <v>0.189669681583967</v>
      </c>
      <c r="F4682" s="0" t="n">
        <f aca="false">C4682/SUM($A4682:$C4682)</f>
        <v>0.778079886316786</v>
      </c>
      <c r="G4682" s="0" t="n">
        <f aca="false">SUMPRODUCT(D4682:F4682,Stats!$B$6:$D$6)</f>
        <v>0.345941798850076</v>
      </c>
      <c r="H4682" s="0" t="n">
        <f aca="false">SQRT(SUMPRODUCT(MMULT(D4682:F4682,Stats!$B$12:$D$14),D4682:F4682))</f>
        <v>0.247410423447079</v>
      </c>
      <c r="I4682" s="0" t="n">
        <f aca="false">(G4682-Stats!$B$2)/H4682</f>
        <v>1.22849229476821</v>
      </c>
    </row>
    <row r="4683" customFormat="false" ht="15" hidden="false" customHeight="false" outlineLevel="0" collapsed="false">
      <c r="A4683" s="0" t="n">
        <v>0.0736182615336817</v>
      </c>
      <c r="B4683" s="0" t="n">
        <v>0.189696364850128</v>
      </c>
      <c r="C4683" s="0" t="n">
        <v>0.337853885695304</v>
      </c>
      <c r="D4683" s="0" t="n">
        <f aca="false">A4683/SUM($A4683:$C4683)</f>
        <v>0.122458611944056</v>
      </c>
      <c r="E4683" s="0" t="n">
        <f aca="false">B4683/SUM($A4683:$C4683)</f>
        <v>0.315546075748499</v>
      </c>
      <c r="F4683" s="0" t="n">
        <f aca="false">C4683/SUM($A4683:$C4683)</f>
        <v>0.561995312307445</v>
      </c>
      <c r="G4683" s="0" t="n">
        <f aca="false">SUMPRODUCT(D4683:F4683,Stats!$B$6:$D$6)</f>
        <v>0.359143012669485</v>
      </c>
      <c r="H4683" s="0" t="n">
        <f aca="false">SQRT(SUMPRODUCT(MMULT(D4683:F4683,Stats!$B$12:$D$14),D4683:F4683))</f>
        <v>0.236728885645108</v>
      </c>
      <c r="I4683" s="0" t="n">
        <f aca="false">(G4683-Stats!$B$2)/H4683</f>
        <v>1.33968869834047</v>
      </c>
    </row>
    <row r="4684" customFormat="false" ht="15" hidden="false" customHeight="false" outlineLevel="0" collapsed="false">
      <c r="A4684" s="0" t="n">
        <v>0.0778700643063663</v>
      </c>
      <c r="B4684" s="0" t="n">
        <v>0.191699271161634</v>
      </c>
      <c r="C4684" s="0" t="n">
        <v>0.911269788983511</v>
      </c>
      <c r="D4684" s="0" t="n">
        <f aca="false">A4684/SUM($A4684:$C4684)</f>
        <v>0.0659446851767689</v>
      </c>
      <c r="E4684" s="0" t="n">
        <f aca="false">B4684/SUM($A4684:$C4684)</f>
        <v>0.162341564733195</v>
      </c>
      <c r="F4684" s="0" t="n">
        <f aca="false">C4684/SUM($A4684:$C4684)</f>
        <v>0.771713750090036</v>
      </c>
      <c r="G4684" s="0" t="n">
        <f aca="false">SUMPRODUCT(D4684:F4684,Stats!$B$6:$D$6)</f>
        <v>0.34454491813448</v>
      </c>
      <c r="H4684" s="0" t="n">
        <f aca="false">SQRT(SUMPRODUCT(MMULT(D4684:F4684,Stats!$B$12:$D$14),D4684:F4684))</f>
        <v>0.245359328297857</v>
      </c>
      <c r="I4684" s="0" t="n">
        <f aca="false">(G4684-Stats!$B$2)/H4684</f>
        <v>1.23306874139793</v>
      </c>
    </row>
    <row r="4685" customFormat="false" ht="15" hidden="false" customHeight="false" outlineLevel="0" collapsed="false">
      <c r="A4685" s="0" t="n">
        <v>0.0192991322269848</v>
      </c>
      <c r="B4685" s="0" t="n">
        <v>0.653431924174362</v>
      </c>
      <c r="C4685" s="0" t="n">
        <v>0.384408930915185</v>
      </c>
      <c r="D4685" s="0" t="n">
        <f aca="false">A4685/SUM($A4685:$C4685)</f>
        <v>0.0182559854499252</v>
      </c>
      <c r="E4685" s="0" t="n">
        <f aca="false">B4685/SUM($A4685:$C4685)</f>
        <v>0.618112957616</v>
      </c>
      <c r="F4685" s="0" t="n">
        <f aca="false">C4685/SUM($A4685:$C4685)</f>
        <v>0.363631056934075</v>
      </c>
      <c r="G4685" s="0" t="n">
        <f aca="false">SUMPRODUCT(D4685:F4685,Stats!$B$6:$D$6)</f>
        <v>0.382022137494506</v>
      </c>
      <c r="H4685" s="0" t="n">
        <f aca="false">SQRT(SUMPRODUCT(MMULT(D4685:F4685,Stats!$B$12:$D$14),D4685:F4685))</f>
        <v>0.242418079229717</v>
      </c>
      <c r="I4685" s="0" t="n">
        <f aca="false">(G4685-Stats!$B$2)/H4685</f>
        <v>1.40262697639931</v>
      </c>
    </row>
    <row r="4686" customFormat="false" ht="15" hidden="false" customHeight="false" outlineLevel="0" collapsed="false">
      <c r="A4686" s="0" t="n">
        <v>0.672648739432371</v>
      </c>
      <c r="B4686" s="0" t="n">
        <v>0.588691720363405</v>
      </c>
      <c r="C4686" s="0" t="n">
        <v>0.223498754354644</v>
      </c>
      <c r="D4686" s="0" t="n">
        <f aca="false">A4686/SUM($A4686:$C4686)</f>
        <v>0.453011163109159</v>
      </c>
      <c r="E4686" s="0" t="n">
        <f aca="false">B4686/SUM($A4686:$C4686)</f>
        <v>0.396468327852074</v>
      </c>
      <c r="F4686" s="0" t="n">
        <f aca="false">C4686/SUM($A4686:$C4686)</f>
        <v>0.150520509038767</v>
      </c>
      <c r="G4686" s="0" t="n">
        <f aca="false">SUMPRODUCT(D4686:F4686,Stats!$B$6:$D$6)</f>
        <v>0.375145433758507</v>
      </c>
      <c r="H4686" s="0" t="n">
        <f aca="false">SQRT(SUMPRODUCT(MMULT(D4686:F4686,Stats!$B$12:$D$14),D4686:F4686))</f>
        <v>0.22565291128324</v>
      </c>
      <c r="I4686" s="0" t="n">
        <f aca="false">(G4686-Stats!$B$2)/H4686</f>
        <v>1.47636222313277</v>
      </c>
    </row>
    <row r="4687" customFormat="false" ht="15" hidden="false" customHeight="false" outlineLevel="0" collapsed="false">
      <c r="A4687" s="0" t="n">
        <v>0.847209487573389</v>
      </c>
      <c r="B4687" s="0" t="n">
        <v>0.491940382609357</v>
      </c>
      <c r="C4687" s="0" t="n">
        <v>0.822536018913472</v>
      </c>
      <c r="D4687" s="0" t="n">
        <f aca="false">A4687/SUM($A4687:$C4687)</f>
        <v>0.391920718845789</v>
      </c>
      <c r="E4687" s="0" t="n">
        <f aca="false">B4687/SUM($A4687:$C4687)</f>
        <v>0.227572555795807</v>
      </c>
      <c r="F4687" s="0" t="n">
        <f aca="false">C4687/SUM($A4687:$C4687)</f>
        <v>0.380506725358404</v>
      </c>
      <c r="G4687" s="0" t="n">
        <f aca="false">SUMPRODUCT(D4687:F4687,Stats!$B$6:$D$6)</f>
        <v>0.359085608174245</v>
      </c>
      <c r="H4687" s="0" t="n">
        <f aca="false">SQRT(SUMPRODUCT(MMULT(D4687:F4687,Stats!$B$12:$D$14),D4687:F4687))</f>
        <v>0.224384533419974</v>
      </c>
      <c r="I4687" s="0" t="n">
        <f aca="false">(G4687-Stats!$B$2)/H4687</f>
        <v>1.41313486870668</v>
      </c>
    </row>
    <row r="4688" customFormat="false" ht="15" hidden="false" customHeight="false" outlineLevel="0" collapsed="false">
      <c r="A4688" s="0" t="n">
        <v>0.406012536188219</v>
      </c>
      <c r="B4688" s="0" t="n">
        <v>0.984685553915239</v>
      </c>
      <c r="C4688" s="0" t="n">
        <v>0.770489358501296</v>
      </c>
      <c r="D4688" s="0" t="n">
        <f aca="false">A4688/SUM($A4688:$C4688)</f>
        <v>0.187865488692495</v>
      </c>
      <c r="E4688" s="0" t="n">
        <f aca="false">B4688/SUM($A4688:$C4688)</f>
        <v>0.455622465580644</v>
      </c>
      <c r="F4688" s="0" t="n">
        <f aca="false">C4688/SUM($A4688:$C4688)</f>
        <v>0.356512045726861</v>
      </c>
      <c r="G4688" s="0" t="n">
        <f aca="false">SUMPRODUCT(D4688:F4688,Stats!$B$6:$D$6)</f>
        <v>0.372868948886043</v>
      </c>
      <c r="H4688" s="0" t="n">
        <f aca="false">SQRT(SUMPRODUCT(MMULT(D4688:F4688,Stats!$B$12:$D$14),D4688:F4688))</f>
        <v>0.232398631283665</v>
      </c>
      <c r="I4688" s="0" t="n">
        <f aca="false">(G4688-Stats!$B$2)/H4688</f>
        <v>1.42371298427393</v>
      </c>
    </row>
    <row r="4689" customFormat="false" ht="15" hidden="false" customHeight="false" outlineLevel="0" collapsed="false">
      <c r="A4689" s="0" t="n">
        <v>0.965950205112574</v>
      </c>
      <c r="B4689" s="0" t="n">
        <v>0.514326478909859</v>
      </c>
      <c r="C4689" s="0" t="n">
        <v>0.473691132290701</v>
      </c>
      <c r="D4689" s="0" t="n">
        <f aca="false">A4689/SUM($A4689:$C4689)</f>
        <v>0.494353180767935</v>
      </c>
      <c r="E4689" s="0" t="n">
        <f aca="false">B4689/SUM($A4689:$C4689)</f>
        <v>0.2632215713155</v>
      </c>
      <c r="F4689" s="0" t="n">
        <f aca="false">C4689/SUM($A4689:$C4689)</f>
        <v>0.242425247916565</v>
      </c>
      <c r="G4689" s="0" t="n">
        <f aca="false">SUMPRODUCT(D4689:F4689,Stats!$B$6:$D$6)</f>
        <v>0.364944350019161</v>
      </c>
      <c r="H4689" s="0" t="n">
        <f aca="false">SQRT(SUMPRODUCT(MMULT(D4689:F4689,Stats!$B$12:$D$14),D4689:F4689))</f>
        <v>0.222962718990508</v>
      </c>
      <c r="I4689" s="0" t="n">
        <f aca="false">(G4689-Stats!$B$2)/H4689</f>
        <v>1.44842308831419</v>
      </c>
    </row>
    <row r="4690" customFormat="false" ht="15" hidden="false" customHeight="false" outlineLevel="0" collapsed="false">
      <c r="A4690" s="0" t="n">
        <v>0.755453809325258</v>
      </c>
      <c r="B4690" s="0" t="n">
        <v>0.88029126301343</v>
      </c>
      <c r="C4690" s="0" t="n">
        <v>0.964145795865558</v>
      </c>
      <c r="D4690" s="0" t="n">
        <f aca="false">A4690/SUM($A4690:$C4690)</f>
        <v>0.290571353807267</v>
      </c>
      <c r="E4690" s="0" t="n">
        <f aca="false">B4690/SUM($A4690:$C4690)</f>
        <v>0.338587774502032</v>
      </c>
      <c r="F4690" s="0" t="n">
        <f aca="false">C4690/SUM($A4690:$C4690)</f>
        <v>0.370840871690702</v>
      </c>
      <c r="G4690" s="0" t="n">
        <f aca="false">SUMPRODUCT(D4690:F4690,Stats!$B$6:$D$6)</f>
        <v>0.36573981237162</v>
      </c>
      <c r="H4690" s="0" t="n">
        <f aca="false">SQRT(SUMPRODUCT(MMULT(D4690:F4690,Stats!$B$12:$D$14),D4690:F4690))</f>
        <v>0.227723362055034</v>
      </c>
      <c r="I4690" s="0" t="n">
        <f aca="false">(G4690-Stats!$B$2)/H4690</f>
        <v>1.42163636374463</v>
      </c>
    </row>
    <row r="4691" customFormat="false" ht="15" hidden="false" customHeight="false" outlineLevel="0" collapsed="false">
      <c r="A4691" s="0" t="n">
        <v>0.3245519060325</v>
      </c>
      <c r="B4691" s="0" t="n">
        <v>0.798704573842639</v>
      </c>
      <c r="C4691" s="0" t="n">
        <v>0.210645597635537</v>
      </c>
      <c r="D4691" s="0" t="n">
        <f aca="false">A4691/SUM($A4691:$C4691)</f>
        <v>0.243310143603778</v>
      </c>
      <c r="E4691" s="0" t="n">
        <f aca="false">B4691/SUM($A4691:$C4691)</f>
        <v>0.598773018880951</v>
      </c>
      <c r="F4691" s="0" t="n">
        <f aca="false">C4691/SUM($A4691:$C4691)</f>
        <v>0.157916837515272</v>
      </c>
      <c r="G4691" s="0" t="n">
        <f aca="false">SUMPRODUCT(D4691:F4691,Stats!$B$6:$D$6)</f>
        <v>0.386581832929509</v>
      </c>
      <c r="H4691" s="0" t="n">
        <f aca="false">SQRT(SUMPRODUCT(MMULT(D4691:F4691,Stats!$B$12:$D$14),D4691:F4691))</f>
        <v>0.233214026318477</v>
      </c>
      <c r="I4691" s="0" t="n">
        <f aca="false">(G4691-Stats!$B$2)/H4691</f>
        <v>1.47753477082441</v>
      </c>
    </row>
    <row r="4692" customFormat="false" ht="15" hidden="false" customHeight="false" outlineLevel="0" collapsed="false">
      <c r="A4692" s="0" t="n">
        <v>0.545574346745445</v>
      </c>
      <c r="B4692" s="0" t="n">
        <v>0.179848148409199</v>
      </c>
      <c r="C4692" s="0" t="n">
        <v>0.347397361750339</v>
      </c>
      <c r="D4692" s="0" t="n">
        <f aca="false">A4692/SUM($A4692:$C4692)</f>
        <v>0.508542364530232</v>
      </c>
      <c r="E4692" s="0" t="n">
        <f aca="false">B4692/SUM($A4692:$C4692)</f>
        <v>0.167640584998165</v>
      </c>
      <c r="F4692" s="0" t="n">
        <f aca="false">C4692/SUM($A4692:$C4692)</f>
        <v>0.323817050471603</v>
      </c>
      <c r="G4692" s="0" t="n">
        <f aca="false">SUMPRODUCT(D4692:F4692,Stats!$B$6:$D$6)</f>
        <v>0.357200396123989</v>
      </c>
      <c r="H4692" s="0" t="n">
        <f aca="false">SQRT(SUMPRODUCT(MMULT(D4692:F4692,Stats!$B$12:$D$14),D4692:F4692))</f>
        <v>0.222062844948408</v>
      </c>
      <c r="I4692" s="0" t="n">
        <f aca="false">(G4692-Stats!$B$2)/H4692</f>
        <v>1.41941978721033</v>
      </c>
    </row>
    <row r="4693" customFormat="false" ht="15" hidden="false" customHeight="false" outlineLevel="0" collapsed="false">
      <c r="A4693" s="0" t="n">
        <v>0.931358367206459</v>
      </c>
      <c r="B4693" s="0" t="n">
        <v>0.146090699773086</v>
      </c>
      <c r="C4693" s="0" t="n">
        <v>0.632400895135197</v>
      </c>
      <c r="D4693" s="0" t="n">
        <f aca="false">A4693/SUM($A4693:$C4693)</f>
        <v>0.544701808838569</v>
      </c>
      <c r="E4693" s="0" t="n">
        <f aca="false">B4693/SUM($A4693:$C4693)</f>
        <v>0.0854406544492367</v>
      </c>
      <c r="F4693" s="0" t="n">
        <f aca="false">C4693/SUM($A4693:$C4693)</f>
        <v>0.369857536712194</v>
      </c>
      <c r="G4693" s="0" t="n">
        <f aca="false">SUMPRODUCT(D4693:F4693,Stats!$B$6:$D$6)</f>
        <v>0.35120116980951</v>
      </c>
      <c r="H4693" s="0" t="n">
        <f aca="false">SQRT(SUMPRODUCT(MMULT(D4693:F4693,Stats!$B$12:$D$14),D4693:F4693))</f>
        <v>0.221675465714437</v>
      </c>
      <c r="I4693" s="0" t="n">
        <f aca="false">(G4693-Stats!$B$2)/H4693</f>
        <v>1.39483712738794</v>
      </c>
    </row>
    <row r="4694" customFormat="false" ht="15" hidden="false" customHeight="false" outlineLevel="0" collapsed="false">
      <c r="A4694" s="0" t="n">
        <v>0.592954272927403</v>
      </c>
      <c r="B4694" s="0" t="n">
        <v>0.120738352708987</v>
      </c>
      <c r="C4694" s="0" t="n">
        <v>0.325979043768812</v>
      </c>
      <c r="D4694" s="0" t="n">
        <f aca="false">A4694/SUM($A4694:$C4694)</f>
        <v>0.570328393450053</v>
      </c>
      <c r="E4694" s="0" t="n">
        <f aca="false">B4694/SUM($A4694:$C4694)</f>
        <v>0.116131232832439</v>
      </c>
      <c r="F4694" s="0" t="n">
        <f aca="false">C4694/SUM($A4694:$C4694)</f>
        <v>0.313540373717508</v>
      </c>
      <c r="G4694" s="0" t="n">
        <f aca="false">SUMPRODUCT(D4694:F4694,Stats!$B$6:$D$6)</f>
        <v>0.3545199900765</v>
      </c>
      <c r="H4694" s="0" t="n">
        <f aca="false">SQRT(SUMPRODUCT(MMULT(D4694:F4694,Stats!$B$12:$D$14),D4694:F4694))</f>
        <v>0.221459808265083</v>
      </c>
      <c r="I4694" s="0" t="n">
        <f aca="false">(G4694-Stats!$B$2)/H4694</f>
        <v>1.41118152555438</v>
      </c>
    </row>
    <row r="4695" customFormat="false" ht="15" hidden="false" customHeight="false" outlineLevel="0" collapsed="false">
      <c r="A4695" s="0" t="n">
        <v>0.562981504515266</v>
      </c>
      <c r="B4695" s="0" t="n">
        <v>0.18717860898849</v>
      </c>
      <c r="C4695" s="0" t="n">
        <v>0.800623656412815</v>
      </c>
      <c r="D4695" s="0" t="n">
        <f aca="false">A4695/SUM($A4695:$C4695)</f>
        <v>0.363030304699122</v>
      </c>
      <c r="E4695" s="0" t="n">
        <f aca="false">B4695/SUM($A4695:$C4695)</f>
        <v>0.120699360297381</v>
      </c>
      <c r="F4695" s="0" t="n">
        <f aca="false">C4695/SUM($A4695:$C4695)</f>
        <v>0.516270335003498</v>
      </c>
      <c r="G4695" s="0" t="n">
        <f aca="false">SUMPRODUCT(D4695:F4695,Stats!$B$6:$D$6)</f>
        <v>0.349192633510002</v>
      </c>
      <c r="H4695" s="0" t="n">
        <f aca="false">SQRT(SUMPRODUCT(MMULT(D4695:F4695,Stats!$B$12:$D$14),D4695:F4695))</f>
        <v>0.226389985200499</v>
      </c>
      <c r="I4695" s="0" t="n">
        <f aca="false">(G4695-Stats!$B$2)/H4695</f>
        <v>1.35691794510231</v>
      </c>
    </row>
    <row r="4696" customFormat="false" ht="15" hidden="false" customHeight="false" outlineLevel="0" collapsed="false">
      <c r="A4696" s="0" t="n">
        <v>0.97215650953475</v>
      </c>
      <c r="B4696" s="0" t="n">
        <v>0.214759399962472</v>
      </c>
      <c r="C4696" s="0" t="n">
        <v>0.186911964790576</v>
      </c>
      <c r="D4696" s="0" t="n">
        <f aca="false">A4696/SUM($A4696:$C4696)</f>
        <v>0.707626135507494</v>
      </c>
      <c r="E4696" s="0" t="n">
        <f aca="false">B4696/SUM($A4696:$C4696)</f>
        <v>0.156321911923504</v>
      </c>
      <c r="F4696" s="0" t="n">
        <f aca="false">C4696/SUM($A4696:$C4696)</f>
        <v>0.136051952569002</v>
      </c>
      <c r="G4696" s="0" t="n">
        <f aca="false">SUMPRODUCT(D4696:F4696,Stats!$B$6:$D$6)</f>
        <v>0.361726684681156</v>
      </c>
      <c r="H4696" s="0" t="n">
        <f aca="false">SQRT(SUMPRODUCT(MMULT(D4696:F4696,Stats!$B$12:$D$14),D4696:F4696))</f>
        <v>0.223573401972368</v>
      </c>
      <c r="I4696" s="0" t="n">
        <f aca="false">(G4696-Stats!$B$2)/H4696</f>
        <v>1.43007478465919</v>
      </c>
    </row>
    <row r="4697" customFormat="false" ht="15" hidden="false" customHeight="false" outlineLevel="0" collapsed="false">
      <c r="A4697" s="0" t="n">
        <v>0.454935071797445</v>
      </c>
      <c r="B4697" s="0" t="n">
        <v>0.747765277140032</v>
      </c>
      <c r="C4697" s="0" t="n">
        <v>0.281600610235251</v>
      </c>
      <c r="D4697" s="0" t="n">
        <f aca="false">A4697/SUM($A4697:$C4697)</f>
        <v>0.306497862839758</v>
      </c>
      <c r="E4697" s="0" t="n">
        <f aca="false">B4697/SUM($A4697:$C4697)</f>
        <v>0.503782789143246</v>
      </c>
      <c r="F4697" s="0" t="n">
        <f aca="false">C4697/SUM($A4697:$C4697)</f>
        <v>0.189719348016996</v>
      </c>
      <c r="G4697" s="0" t="n">
        <f aca="false">SUMPRODUCT(D4697:F4697,Stats!$B$6:$D$6)</f>
        <v>0.380239276058653</v>
      </c>
      <c r="H4697" s="0" t="n">
        <f aca="false">SQRT(SUMPRODUCT(MMULT(D4697:F4697,Stats!$B$12:$D$14),D4697:F4697))</f>
        <v>0.229522598653957</v>
      </c>
      <c r="I4697" s="0" t="n">
        <f aca="false">(G4697-Stats!$B$2)/H4697</f>
        <v>1.47366437136155</v>
      </c>
    </row>
    <row r="4698" customFormat="false" ht="15" hidden="false" customHeight="false" outlineLevel="0" collapsed="false">
      <c r="A4698" s="0" t="n">
        <v>0.0198799086972804</v>
      </c>
      <c r="B4698" s="0" t="n">
        <v>0.541220628032894</v>
      </c>
      <c r="C4698" s="0" t="n">
        <v>0.956600567767308</v>
      </c>
      <c r="D4698" s="0" t="n">
        <f aca="false">A4698/SUM($A4698:$C4698)</f>
        <v>0.0130986981813278</v>
      </c>
      <c r="E4698" s="0" t="n">
        <f aca="false">B4698/SUM($A4698:$C4698)</f>
        <v>0.356605544022513</v>
      </c>
      <c r="F4698" s="0" t="n">
        <f aca="false">C4698/SUM($A4698:$C4698)</f>
        <v>0.630295757796159</v>
      </c>
      <c r="G4698" s="0" t="n">
        <f aca="false">SUMPRODUCT(D4698:F4698,Stats!$B$6:$D$6)</f>
        <v>0.359622162817123</v>
      </c>
      <c r="H4698" s="0" t="n">
        <f aca="false">SQRT(SUMPRODUCT(MMULT(D4698:F4698,Stats!$B$12:$D$14),D4698:F4698))</f>
        <v>0.244229756244163</v>
      </c>
      <c r="I4698" s="0" t="n">
        <f aca="false">(G4698-Stats!$B$2)/H4698</f>
        <v>1.30050558826905</v>
      </c>
    </row>
    <row r="4699" customFormat="false" ht="15" hidden="false" customHeight="false" outlineLevel="0" collapsed="false">
      <c r="A4699" s="0" t="n">
        <v>0.391276855406946</v>
      </c>
      <c r="B4699" s="0" t="n">
        <v>0.4201345541831</v>
      </c>
      <c r="C4699" s="0" t="n">
        <v>0.968901717114038</v>
      </c>
      <c r="D4699" s="0" t="n">
        <f aca="false">A4699/SUM($A4699:$C4699)</f>
        <v>0.219779795777455</v>
      </c>
      <c r="E4699" s="0" t="n">
        <f aca="false">B4699/SUM($A4699:$C4699)</f>
        <v>0.235989134653464</v>
      </c>
      <c r="F4699" s="0" t="n">
        <f aca="false">C4699/SUM($A4699:$C4699)</f>
        <v>0.544231069569081</v>
      </c>
      <c r="G4699" s="0" t="n">
        <f aca="false">SUMPRODUCT(D4699:F4699,Stats!$B$6:$D$6)</f>
        <v>0.355055251408434</v>
      </c>
      <c r="H4699" s="0" t="n">
        <f aca="false">SQRT(SUMPRODUCT(MMULT(D4699:F4699,Stats!$B$12:$D$14),D4699:F4699))</f>
        <v>0.231817957458079</v>
      </c>
      <c r="I4699" s="0" t="n">
        <f aca="false">(G4699-Stats!$B$2)/H4699</f>
        <v>1.35043572482967</v>
      </c>
    </row>
    <row r="4700" customFormat="false" ht="15" hidden="false" customHeight="false" outlineLevel="0" collapsed="false">
      <c r="A4700" s="0" t="n">
        <v>0.694607611626728</v>
      </c>
      <c r="B4700" s="0" t="n">
        <v>0.719171922842125</v>
      </c>
      <c r="C4700" s="0" t="n">
        <v>0.562702005371068</v>
      </c>
      <c r="D4700" s="0" t="n">
        <f aca="false">A4700/SUM($A4700:$C4700)</f>
        <v>0.351436427624306</v>
      </c>
      <c r="E4700" s="0" t="n">
        <f aca="false">B4700/SUM($A4700:$C4700)</f>
        <v>0.363864730505083</v>
      </c>
      <c r="F4700" s="0" t="n">
        <f aca="false">C4700/SUM($A4700:$C4700)</f>
        <v>0.284698841870611</v>
      </c>
      <c r="G4700" s="0" t="n">
        <f aca="false">SUMPRODUCT(D4700:F4700,Stats!$B$6:$D$6)</f>
        <v>0.369569549045034</v>
      </c>
      <c r="H4700" s="0" t="n">
        <f aca="false">SQRT(SUMPRODUCT(MMULT(D4700:F4700,Stats!$B$12:$D$14),D4700:F4700))</f>
        <v>0.226125116287437</v>
      </c>
      <c r="I4700" s="0" t="n">
        <f aca="false">(G4700-Stats!$B$2)/H4700</f>
        <v>1.44862080967886</v>
      </c>
    </row>
    <row r="4701" customFormat="false" ht="15" hidden="false" customHeight="false" outlineLevel="0" collapsed="false">
      <c r="A4701" s="0" t="n">
        <v>0.974609210863242</v>
      </c>
      <c r="B4701" s="0" t="n">
        <v>0.688866484425556</v>
      </c>
      <c r="C4701" s="0" t="n">
        <v>0.89503275160517</v>
      </c>
      <c r="D4701" s="0" t="n">
        <f aca="false">A4701/SUM($A4701:$C4701)</f>
        <v>0.38092866648395</v>
      </c>
      <c r="E4701" s="0" t="n">
        <f aca="false">B4701/SUM($A4701:$C4701)</f>
        <v>0.269245343028608</v>
      </c>
      <c r="F4701" s="0" t="n">
        <f aca="false">C4701/SUM($A4701:$C4701)</f>
        <v>0.349825990487442</v>
      </c>
      <c r="G4701" s="0" t="n">
        <f aca="false">SUMPRODUCT(D4701:F4701,Stats!$B$6:$D$6)</f>
        <v>0.362329415879223</v>
      </c>
      <c r="H4701" s="0" t="n">
        <f aca="false">SQRT(SUMPRODUCT(MMULT(D4701:F4701,Stats!$B$12:$D$14),D4701:F4701))</f>
        <v>0.224719425421161</v>
      </c>
      <c r="I4701" s="0" t="n">
        <f aca="false">(G4701-Stats!$B$2)/H4701</f>
        <v>1.42546384354122</v>
      </c>
    </row>
    <row r="4702" customFormat="false" ht="15" hidden="false" customHeight="false" outlineLevel="0" collapsed="false">
      <c r="A4702" s="0" t="n">
        <v>0.699378865733221</v>
      </c>
      <c r="B4702" s="0" t="n">
        <v>0.735115824840396</v>
      </c>
      <c r="C4702" s="0" t="n">
        <v>0.290410922142247</v>
      </c>
      <c r="D4702" s="0" t="n">
        <f aca="false">A4702/SUM($A4702:$C4702)</f>
        <v>0.405459209232933</v>
      </c>
      <c r="E4702" s="0" t="n">
        <f aca="false">B4702/SUM($A4702:$C4702)</f>
        <v>0.426177420620109</v>
      </c>
      <c r="F4702" s="0" t="n">
        <f aca="false">C4702/SUM($A4702:$C4702)</f>
        <v>0.168363370146958</v>
      </c>
      <c r="G4702" s="0" t="n">
        <f aca="false">SUMPRODUCT(D4702:F4702,Stats!$B$6:$D$6)</f>
        <v>0.376362846472321</v>
      </c>
      <c r="H4702" s="0" t="n">
        <f aca="false">SQRT(SUMPRODUCT(MMULT(D4702:F4702,Stats!$B$12:$D$14),D4702:F4702))</f>
        <v>0.226512116397574</v>
      </c>
      <c r="I4702" s="0" t="n">
        <f aca="false">(G4702-Stats!$B$2)/H4702</f>
        <v>1.47613669321533</v>
      </c>
    </row>
    <row r="4703" customFormat="false" ht="15" hidden="false" customHeight="false" outlineLevel="0" collapsed="false">
      <c r="A4703" s="0" t="n">
        <v>0.303478698013819</v>
      </c>
      <c r="B4703" s="0" t="n">
        <v>0.782984649576029</v>
      </c>
      <c r="C4703" s="0" t="n">
        <v>0.2967062891699</v>
      </c>
      <c r="D4703" s="0" t="n">
        <f aca="false">A4703/SUM($A4703:$C4703)</f>
        <v>0.219408154971329</v>
      </c>
      <c r="E4703" s="0" t="n">
        <f aca="false">B4703/SUM($A4703:$C4703)</f>
        <v>0.56607998669655</v>
      </c>
      <c r="F4703" s="0" t="n">
        <f aca="false">C4703/SUM($A4703:$C4703)</f>
        <v>0.214511858332122</v>
      </c>
      <c r="G4703" s="0" t="n">
        <f aca="false">SUMPRODUCT(D4703:F4703,Stats!$B$6:$D$6)</f>
        <v>0.383140132239947</v>
      </c>
      <c r="H4703" s="0" t="n">
        <f aca="false">SQRT(SUMPRODUCT(MMULT(D4703:F4703,Stats!$B$12:$D$14),D4703:F4703))</f>
        <v>0.232922954419594</v>
      </c>
      <c r="I4703" s="0" t="n">
        <f aca="false">(G4703-Stats!$B$2)/H4703</f>
        <v>1.46460503684582</v>
      </c>
    </row>
    <row r="4704" customFormat="false" ht="15" hidden="false" customHeight="false" outlineLevel="0" collapsed="false">
      <c r="A4704" s="0" t="n">
        <v>0.562770070801532</v>
      </c>
      <c r="B4704" s="0" t="n">
        <v>0.249352310906702</v>
      </c>
      <c r="C4704" s="0" t="n">
        <v>0.816983380809069</v>
      </c>
      <c r="D4704" s="0" t="n">
        <f aca="false">A4704/SUM($A4704:$C4704)</f>
        <v>0.345447228626787</v>
      </c>
      <c r="E4704" s="0" t="n">
        <f aca="false">B4704/SUM($A4704:$C4704)</f>
        <v>0.153060848868033</v>
      </c>
      <c r="F4704" s="0" t="n">
        <f aca="false">C4704/SUM($A4704:$C4704)</f>
        <v>0.50149192250518</v>
      </c>
      <c r="G4704" s="0" t="n">
        <f aca="false">SUMPRODUCT(D4704:F4704,Stats!$B$6:$D$6)</f>
        <v>0.351462180718267</v>
      </c>
      <c r="H4704" s="0" t="n">
        <f aca="false">SQRT(SUMPRODUCT(MMULT(D4704:F4704,Stats!$B$12:$D$14),D4704:F4704))</f>
        <v>0.226645262788385</v>
      </c>
      <c r="I4704" s="0" t="n">
        <f aca="false">(G4704-Stats!$B$2)/H4704</f>
        <v>1.36540326019171</v>
      </c>
    </row>
    <row r="4705" customFormat="false" ht="15" hidden="false" customHeight="false" outlineLevel="0" collapsed="false">
      <c r="A4705" s="0" t="n">
        <v>0.11050135122769</v>
      </c>
      <c r="B4705" s="0" t="n">
        <v>0.829446639761664</v>
      </c>
      <c r="C4705" s="0" t="n">
        <v>0.602729800507602</v>
      </c>
      <c r="D4705" s="0" t="n">
        <f aca="false">A4705/SUM($A4705:$C4705)</f>
        <v>0.0716295728354679</v>
      </c>
      <c r="E4705" s="0" t="n">
        <f aca="false">B4705/SUM($A4705:$C4705)</f>
        <v>0.537666805300153</v>
      </c>
      <c r="F4705" s="0" t="n">
        <f aca="false">C4705/SUM($A4705:$C4705)</f>
        <v>0.390703621864379</v>
      </c>
      <c r="G4705" s="0" t="n">
        <f aca="false">SUMPRODUCT(D4705:F4705,Stats!$B$6:$D$6)</f>
        <v>0.376646854444372</v>
      </c>
      <c r="H4705" s="0" t="n">
        <f aca="false">SQRT(SUMPRODUCT(MMULT(D4705:F4705,Stats!$B$12:$D$14),D4705:F4705))</f>
        <v>0.238748634957815</v>
      </c>
      <c r="I4705" s="0" t="n">
        <f aca="false">(G4705-Stats!$B$2)/H4705</f>
        <v>1.40167023155337</v>
      </c>
    </row>
    <row r="4706" customFormat="false" ht="15" hidden="false" customHeight="false" outlineLevel="0" collapsed="false">
      <c r="A4706" s="0" t="n">
        <v>0.186909534827077</v>
      </c>
      <c r="B4706" s="0" t="n">
        <v>0.542035385506118</v>
      </c>
      <c r="C4706" s="0" t="n">
        <v>0.282498836847341</v>
      </c>
      <c r="D4706" s="0" t="n">
        <f aca="false">A4706/SUM($A4706:$C4706)</f>
        <v>0.184794788143336</v>
      </c>
      <c r="E4706" s="0" t="n">
        <f aca="false">B4706/SUM($A4706:$C4706)</f>
        <v>0.535902645755683</v>
      </c>
      <c r="F4706" s="0" t="n">
        <f aca="false">C4706/SUM($A4706:$C4706)</f>
        <v>0.27930256610098</v>
      </c>
      <c r="G4706" s="0" t="n">
        <f aca="false">SUMPRODUCT(D4706:F4706,Stats!$B$6:$D$6)</f>
        <v>0.379617188253067</v>
      </c>
      <c r="H4706" s="0" t="n">
        <f aca="false">SQRT(SUMPRODUCT(MMULT(D4706:F4706,Stats!$B$12:$D$14),D4706:F4706))</f>
        <v>0.233440958440026</v>
      </c>
      <c r="I4706" s="0" t="n">
        <f aca="false">(G4706-Stats!$B$2)/H4706</f>
        <v>1.44626371699809</v>
      </c>
    </row>
    <row r="4707" customFormat="false" ht="15" hidden="false" customHeight="false" outlineLevel="0" collapsed="false">
      <c r="A4707" s="0" t="n">
        <v>0.323467334730497</v>
      </c>
      <c r="B4707" s="0" t="n">
        <v>0.35152804159688</v>
      </c>
      <c r="C4707" s="0" t="n">
        <v>0.0633192469723209</v>
      </c>
      <c r="D4707" s="0" t="n">
        <f aca="false">A4707/SUM($A4707:$C4707)</f>
        <v>0.438115844549911</v>
      </c>
      <c r="E4707" s="0" t="n">
        <f aca="false">B4707/SUM($A4707:$C4707)</f>
        <v>0.476122279721104</v>
      </c>
      <c r="F4707" s="0" t="n">
        <f aca="false">C4707/SUM($A4707:$C4707)</f>
        <v>0.0857618757289849</v>
      </c>
      <c r="G4707" s="0" t="n">
        <f aca="false">SUMPRODUCT(D4707:F4707,Stats!$B$6:$D$6)</f>
        <v>0.381514313460996</v>
      </c>
      <c r="H4707" s="0" t="n">
        <f aca="false">SQRT(SUMPRODUCT(MMULT(D4707:F4707,Stats!$B$12:$D$14),D4707:F4707))</f>
        <v>0.227975425046221</v>
      </c>
      <c r="I4707" s="0" t="n">
        <f aca="false">(G4707-Stats!$B$2)/H4707</f>
        <v>1.48925838560082</v>
      </c>
    </row>
    <row r="4708" customFormat="false" ht="15" hidden="false" customHeight="false" outlineLevel="0" collapsed="false">
      <c r="A4708" s="0" t="n">
        <v>0.985961684401417</v>
      </c>
      <c r="B4708" s="0" t="n">
        <v>0.0315346281312241</v>
      </c>
      <c r="C4708" s="0" t="n">
        <v>0.662496873184278</v>
      </c>
      <c r="D4708" s="0" t="n">
        <f aca="false">A4708/SUM($A4708:$C4708)</f>
        <v>0.586884335474652</v>
      </c>
      <c r="E4708" s="0" t="n">
        <f aca="false">B4708/SUM($A4708:$C4708)</f>
        <v>0.0187706881190515</v>
      </c>
      <c r="F4708" s="0" t="n">
        <f aca="false">C4708/SUM($A4708:$C4708)</f>
        <v>0.394344976406297</v>
      </c>
      <c r="G4708" s="0" t="n">
        <f aca="false">SUMPRODUCT(D4708:F4708,Stats!$B$6:$D$6)</f>
        <v>0.34668983450492</v>
      </c>
      <c r="H4708" s="0" t="n">
        <f aca="false">SQRT(SUMPRODUCT(MMULT(D4708:F4708,Stats!$B$12:$D$14),D4708:F4708))</f>
        <v>0.221591132179489</v>
      </c>
      <c r="I4708" s="0" t="n">
        <f aca="false">(G4708-Stats!$B$2)/H4708</f>
        <v>1.37500915089924</v>
      </c>
    </row>
    <row r="4709" customFormat="false" ht="15" hidden="false" customHeight="false" outlineLevel="0" collapsed="false">
      <c r="A4709" s="0" t="n">
        <v>0.371227647757431</v>
      </c>
      <c r="B4709" s="0" t="n">
        <v>0.646010290946699</v>
      </c>
      <c r="C4709" s="0" t="n">
        <v>0.356248253087584</v>
      </c>
      <c r="D4709" s="0" t="n">
        <f aca="false">A4709/SUM($A4709:$C4709)</f>
        <v>0.270281310417227</v>
      </c>
      <c r="E4709" s="0" t="n">
        <f aca="false">B4709/SUM($A4709:$C4709)</f>
        <v>0.470343491479866</v>
      </c>
      <c r="F4709" s="0" t="n">
        <f aca="false">C4709/SUM($A4709:$C4709)</f>
        <v>0.259375198102908</v>
      </c>
      <c r="G4709" s="0" t="n">
        <f aca="false">SUMPRODUCT(D4709:F4709,Stats!$B$6:$D$6)</f>
        <v>0.376394488875668</v>
      </c>
      <c r="H4709" s="0" t="n">
        <f aca="false">SQRT(SUMPRODUCT(MMULT(D4709:F4709,Stats!$B$12:$D$14),D4709:F4709))</f>
        <v>0.229639362491966</v>
      </c>
      <c r="I4709" s="0" t="n">
        <f aca="false">(G4709-Stats!$B$2)/H4709</f>
        <v>1.45617234452724</v>
      </c>
    </row>
    <row r="4710" customFormat="false" ht="15" hidden="false" customHeight="false" outlineLevel="0" collapsed="false">
      <c r="A4710" s="0" t="n">
        <v>0.673750646258859</v>
      </c>
      <c r="B4710" s="0" t="n">
        <v>0.729235509468361</v>
      </c>
      <c r="C4710" s="0" t="n">
        <v>0.690552640399645</v>
      </c>
      <c r="D4710" s="0" t="n">
        <f aca="false">A4710/SUM($A4710:$C4710)</f>
        <v>0.321823816929176</v>
      </c>
      <c r="E4710" s="0" t="n">
        <f aca="false">B4710/SUM($A4710:$C4710)</f>
        <v>0.348326723544592</v>
      </c>
      <c r="F4710" s="0" t="n">
        <f aca="false">C4710/SUM($A4710:$C4710)</f>
        <v>0.329849459526232</v>
      </c>
      <c r="G4710" s="0" t="n">
        <f aca="false">SUMPRODUCT(D4710:F4710,Stats!$B$6:$D$6)</f>
        <v>0.367430501318963</v>
      </c>
      <c r="H4710" s="0" t="n">
        <f aca="false">SQRT(SUMPRODUCT(MMULT(D4710:F4710,Stats!$B$12:$D$14),D4710:F4710))</f>
        <v>0.226743748642972</v>
      </c>
      <c r="I4710" s="0" t="n">
        <f aca="false">(G4710-Stats!$B$2)/H4710</f>
        <v>1.43523472319134</v>
      </c>
    </row>
    <row r="4711" customFormat="false" ht="15" hidden="false" customHeight="false" outlineLevel="0" collapsed="false">
      <c r="A4711" s="0" t="n">
        <v>0.113961981358152</v>
      </c>
      <c r="B4711" s="0" t="n">
        <v>0.656893234654685</v>
      </c>
      <c r="C4711" s="0" t="n">
        <v>0.279987549454097</v>
      </c>
      <c r="D4711" s="0" t="n">
        <f aca="false">A4711/SUM($A4711:$C4711)</f>
        <v>0.108448176171736</v>
      </c>
      <c r="E4711" s="0" t="n">
        <f aca="false">B4711/SUM($A4711:$C4711)</f>
        <v>0.62511086933429</v>
      </c>
      <c r="F4711" s="0" t="n">
        <f aca="false">C4711/SUM($A4711:$C4711)</f>
        <v>0.266440954493974</v>
      </c>
      <c r="G4711" s="0" t="n">
        <f aca="false">SUMPRODUCT(D4711:F4711,Stats!$B$6:$D$6)</f>
        <v>0.385104767971063</v>
      </c>
      <c r="H4711" s="0" t="n">
        <f aca="false">SQRT(SUMPRODUCT(MMULT(D4711:F4711,Stats!$B$12:$D$14),D4711:F4711))</f>
        <v>0.238006006031129</v>
      </c>
      <c r="I4711" s="0" t="n">
        <f aca="false">(G4711-Stats!$B$2)/H4711</f>
        <v>1.44158029325608</v>
      </c>
    </row>
    <row r="4712" customFormat="false" ht="15" hidden="false" customHeight="false" outlineLevel="0" collapsed="false">
      <c r="A4712" s="0" t="n">
        <v>0.0288013705693335</v>
      </c>
      <c r="B4712" s="0" t="n">
        <v>0.414830671888954</v>
      </c>
      <c r="C4712" s="0" t="n">
        <v>0.433543102803801</v>
      </c>
      <c r="D4712" s="0" t="n">
        <f aca="false">A4712/SUM($A4712:$C4712)</f>
        <v>0.0328342301134491</v>
      </c>
      <c r="E4712" s="0" t="n">
        <f aca="false">B4712/SUM($A4712:$C4712)</f>
        <v>0.472916582428938</v>
      </c>
      <c r="F4712" s="0" t="n">
        <f aca="false">C4712/SUM($A4712:$C4712)</f>
        <v>0.494249187457613</v>
      </c>
      <c r="G4712" s="0" t="n">
        <f aca="false">SUMPRODUCT(D4712:F4712,Stats!$B$6:$D$6)</f>
        <v>0.370065981279421</v>
      </c>
      <c r="H4712" s="0" t="n">
        <f aca="false">SQRT(SUMPRODUCT(MMULT(D4712:F4712,Stats!$B$12:$D$14),D4712:F4712))</f>
        <v>0.241198184811928</v>
      </c>
      <c r="I4712" s="0" t="n">
        <f aca="false">(G4712-Stats!$B$2)/H4712</f>
        <v>1.3601511202716</v>
      </c>
    </row>
    <row r="4713" customFormat="false" ht="15" hidden="false" customHeight="false" outlineLevel="0" collapsed="false">
      <c r="A4713" s="0" t="n">
        <v>0.467174133352447</v>
      </c>
      <c r="B4713" s="0" t="n">
        <v>0.704824165390716</v>
      </c>
      <c r="C4713" s="0" t="n">
        <v>0.308843809142459</v>
      </c>
      <c r="D4713" s="0" t="n">
        <f aca="false">A4713/SUM($A4713:$C4713)</f>
        <v>0.315478693416875</v>
      </c>
      <c r="E4713" s="0" t="n">
        <f aca="false">B4713/SUM($A4713:$C4713)</f>
        <v>0.475961725856837</v>
      </c>
      <c r="F4713" s="0" t="n">
        <f aca="false">C4713/SUM($A4713:$C4713)</f>
        <v>0.208559580726289</v>
      </c>
      <c r="G4713" s="0" t="n">
        <f aca="false">SUMPRODUCT(D4713:F4713,Stats!$B$6:$D$6)</f>
        <v>0.378118975914627</v>
      </c>
      <c r="H4713" s="0" t="n">
        <f aca="false">SQRT(SUMPRODUCT(MMULT(D4713:F4713,Stats!$B$12:$D$14),D4713:F4713))</f>
        <v>0.228726561588325</v>
      </c>
      <c r="I4713" s="0" t="n">
        <f aca="false">(G4713-Stats!$B$2)/H4713</f>
        <v>1.46952314405702</v>
      </c>
    </row>
    <row r="4714" customFormat="false" ht="15" hidden="false" customHeight="false" outlineLevel="0" collapsed="false">
      <c r="A4714" s="0" t="n">
        <v>0.315280513103923</v>
      </c>
      <c r="B4714" s="0" t="n">
        <v>0.0605522562412606</v>
      </c>
      <c r="C4714" s="0" t="n">
        <v>0.686821215992296</v>
      </c>
      <c r="D4714" s="0" t="n">
        <f aca="false">A4714/SUM($A4714:$C4714)</f>
        <v>0.296691601832929</v>
      </c>
      <c r="E4714" s="0" t="n">
        <f aca="false">B4714/SUM($A4714:$C4714)</f>
        <v>0.0569821005489669</v>
      </c>
      <c r="F4714" s="0" t="n">
        <f aca="false">C4714/SUM($A4714:$C4714)</f>
        <v>0.646326297618104</v>
      </c>
      <c r="G4714" s="0" t="n">
        <f aca="false">SUMPRODUCT(D4714:F4714,Stats!$B$6:$D$6)</f>
        <v>0.34194018170477</v>
      </c>
      <c r="H4714" s="0" t="n">
        <f aca="false">SQRT(SUMPRODUCT(MMULT(D4714:F4714,Stats!$B$12:$D$14),D4714:F4714))</f>
        <v>0.231408599337423</v>
      </c>
      <c r="I4714" s="0" t="n">
        <f aca="false">(G4714-Stats!$B$2)/H4714</f>
        <v>1.29614967880869</v>
      </c>
    </row>
    <row r="4715" customFormat="false" ht="15" hidden="false" customHeight="false" outlineLevel="0" collapsed="false">
      <c r="A4715" s="0" t="n">
        <v>0.567826091399584</v>
      </c>
      <c r="B4715" s="0" t="n">
        <v>0.349425112693788</v>
      </c>
      <c r="C4715" s="0" t="n">
        <v>0.705188978917355</v>
      </c>
      <c r="D4715" s="0" t="n">
        <f aca="false">A4715/SUM($A4715:$C4715)</f>
        <v>0.349982758899549</v>
      </c>
      <c r="E4715" s="0" t="n">
        <f aca="false">B4715/SUM($A4715:$C4715)</f>
        <v>0.215370105075534</v>
      </c>
      <c r="F4715" s="0" t="n">
        <f aca="false">C4715/SUM($A4715:$C4715)</f>
        <v>0.434647136024917</v>
      </c>
      <c r="G4715" s="0" t="n">
        <f aca="false">SUMPRODUCT(D4715:F4715,Stats!$B$6:$D$6)</f>
        <v>0.356890593952491</v>
      </c>
      <c r="H4715" s="0" t="n">
        <f aca="false">SQRT(SUMPRODUCT(MMULT(D4715:F4715,Stats!$B$12:$D$14),D4715:F4715))</f>
        <v>0.225792930475576</v>
      </c>
      <c r="I4715" s="0" t="n">
        <f aca="false">(G4715-Stats!$B$2)/H4715</f>
        <v>1.39459899514681</v>
      </c>
    </row>
    <row r="4716" customFormat="false" ht="15" hidden="false" customHeight="false" outlineLevel="0" collapsed="false">
      <c r="A4716" s="0" t="n">
        <v>0.537357749226877</v>
      </c>
      <c r="B4716" s="0" t="n">
        <v>0.46924494587054</v>
      </c>
      <c r="C4716" s="0" t="n">
        <v>0.511324543661127</v>
      </c>
      <c r="D4716" s="0" t="n">
        <f aca="false">A4716/SUM($A4716:$C4716)</f>
        <v>0.354007580538816</v>
      </c>
      <c r="E4716" s="0" t="n">
        <f aca="false">B4716/SUM($A4716:$C4716)</f>
        <v>0.309135335270957</v>
      </c>
      <c r="F4716" s="0" t="n">
        <f aca="false">C4716/SUM($A4716:$C4716)</f>
        <v>0.336857084190228</v>
      </c>
      <c r="G4716" s="0" t="n">
        <f aca="false">SUMPRODUCT(D4716:F4716,Stats!$B$6:$D$6)</f>
        <v>0.364982247007284</v>
      </c>
      <c r="H4716" s="0" t="n">
        <f aca="false">SQRT(SUMPRODUCT(MMULT(D4716:F4716,Stats!$B$12:$D$14),D4716:F4716))</f>
        <v>0.225596576564034</v>
      </c>
      <c r="I4716" s="0" t="n">
        <f aca="false">(G4716-Stats!$B$2)/H4716</f>
        <v>1.43168062178288</v>
      </c>
    </row>
    <row r="4717" customFormat="false" ht="15" hidden="false" customHeight="false" outlineLevel="0" collapsed="false">
      <c r="A4717" s="0" t="n">
        <v>0.636348125267057</v>
      </c>
      <c r="B4717" s="0" t="n">
        <v>0.6600026045746</v>
      </c>
      <c r="C4717" s="0" t="n">
        <v>0.288957819140717</v>
      </c>
      <c r="D4717" s="0" t="n">
        <f aca="false">A4717/SUM($A4717:$C4717)</f>
        <v>0.401403326611426</v>
      </c>
      <c r="E4717" s="0" t="n">
        <f aca="false">B4717/SUM($A4717:$C4717)</f>
        <v>0.416324383665415</v>
      </c>
      <c r="F4717" s="0" t="n">
        <f aca="false">C4717/SUM($A4717:$C4717)</f>
        <v>0.18227228972316</v>
      </c>
      <c r="G4717" s="0" t="n">
        <f aca="false">SUMPRODUCT(D4717:F4717,Stats!$B$6:$D$6)</f>
        <v>0.375412382370822</v>
      </c>
      <c r="H4717" s="0" t="n">
        <f aca="false">SQRT(SUMPRODUCT(MMULT(D4717:F4717,Stats!$B$12:$D$14),D4717:F4717))</f>
        <v>0.226302940445152</v>
      </c>
      <c r="I4717" s="0" t="n">
        <f aca="false">(G4717-Stats!$B$2)/H4717</f>
        <v>1.47330114984356</v>
      </c>
    </row>
    <row r="4718" customFormat="false" ht="15" hidden="false" customHeight="false" outlineLevel="0" collapsed="false">
      <c r="A4718" s="0" t="n">
        <v>0.140743363391153</v>
      </c>
      <c r="B4718" s="0" t="n">
        <v>0.156634181190519</v>
      </c>
      <c r="C4718" s="0" t="n">
        <v>0.639390885903002</v>
      </c>
      <c r="D4718" s="0" t="n">
        <f aca="false">A4718/SUM($A4718:$C4718)</f>
        <v>0.150243495415761</v>
      </c>
      <c r="E4718" s="0" t="n">
        <f aca="false">B4718/SUM($A4718:$C4718)</f>
        <v>0.167206938335313</v>
      </c>
      <c r="F4718" s="0" t="n">
        <f aca="false">C4718/SUM($A4718:$C4718)</f>
        <v>0.682549566248927</v>
      </c>
      <c r="G4718" s="0" t="n">
        <f aca="false">SUMPRODUCT(D4718:F4718,Stats!$B$6:$D$6)</f>
        <v>0.347283533509487</v>
      </c>
      <c r="H4718" s="0" t="n">
        <f aca="false">SQRT(SUMPRODUCT(MMULT(D4718:F4718,Stats!$B$12:$D$14),D4718:F4718))</f>
        <v>0.238162323896577</v>
      </c>
      <c r="I4718" s="0" t="n">
        <f aca="false">(G4718-Stats!$B$2)/H4718</f>
        <v>1.28182967194281</v>
      </c>
    </row>
    <row r="4719" customFormat="false" ht="15" hidden="false" customHeight="false" outlineLevel="0" collapsed="false">
      <c r="A4719" s="0" t="n">
        <v>0.872873285767126</v>
      </c>
      <c r="B4719" s="0" t="n">
        <v>0.409496278345552</v>
      </c>
      <c r="C4719" s="0" t="n">
        <v>0.169520160329462</v>
      </c>
      <c r="D4719" s="0" t="n">
        <f aca="false">A4719/SUM($A4719:$C4719)</f>
        <v>0.601198060067895</v>
      </c>
      <c r="E4719" s="0" t="n">
        <f aca="false">B4719/SUM($A4719:$C4719)</f>
        <v>0.282043650734489</v>
      </c>
      <c r="F4719" s="0" t="n">
        <f aca="false">C4719/SUM($A4719:$C4719)</f>
        <v>0.116758289197616</v>
      </c>
      <c r="G4719" s="0" t="n">
        <f aca="false">SUMPRODUCT(D4719:F4719,Stats!$B$6:$D$6)</f>
        <v>0.36949256616061</v>
      </c>
      <c r="H4719" s="0" t="n">
        <f aca="false">SQRT(SUMPRODUCT(MMULT(D4719:F4719,Stats!$B$12:$D$14),D4719:F4719))</f>
        <v>0.224119721670102</v>
      </c>
      <c r="I4719" s="0" t="n">
        <f aca="false">(G4719-Stats!$B$2)/H4719</f>
        <v>1.46123939348216</v>
      </c>
    </row>
    <row r="4720" customFormat="false" ht="15" hidden="false" customHeight="false" outlineLevel="0" collapsed="false">
      <c r="A4720" s="0" t="n">
        <v>0.756602498293855</v>
      </c>
      <c r="B4720" s="0" t="n">
        <v>0.832489474419449</v>
      </c>
      <c r="C4720" s="0" t="n">
        <v>0.880582443120967</v>
      </c>
      <c r="D4720" s="0" t="n">
        <f aca="false">A4720/SUM($A4720:$C4720)</f>
        <v>0.30635718353922</v>
      </c>
      <c r="E4720" s="0" t="n">
        <f aca="false">B4720/SUM($A4720:$C4720)</f>
        <v>0.3370847060171</v>
      </c>
      <c r="F4720" s="0" t="n">
        <f aca="false">C4720/SUM($A4720:$C4720)</f>
        <v>0.35655811044368</v>
      </c>
      <c r="G4720" s="0" t="n">
        <f aca="false">SUMPRODUCT(D4720:F4720,Stats!$B$6:$D$6)</f>
        <v>0.366047169404328</v>
      </c>
      <c r="H4720" s="0" t="n">
        <f aca="false">SQRT(SUMPRODUCT(MMULT(D4720:F4720,Stats!$B$12:$D$14),D4720:F4720))</f>
        <v>0.227168267412797</v>
      </c>
      <c r="I4720" s="0" t="n">
        <f aca="false">(G4720-Stats!$B$2)/H4720</f>
        <v>1.42646318121311</v>
      </c>
    </row>
    <row r="4721" customFormat="false" ht="15" hidden="false" customHeight="false" outlineLevel="0" collapsed="false">
      <c r="A4721" s="0" t="n">
        <v>0.606831428913733</v>
      </c>
      <c r="B4721" s="0" t="n">
        <v>0.860728559388085</v>
      </c>
      <c r="C4721" s="0" t="n">
        <v>0.0154149584484077</v>
      </c>
      <c r="D4721" s="0" t="n">
        <f aca="false">A4721/SUM($A4721:$C4721)</f>
        <v>0.40919870577958</v>
      </c>
      <c r="E4721" s="0" t="n">
        <f aca="false">B4721/SUM($A4721:$C4721)</f>
        <v>0.58040667596865</v>
      </c>
      <c r="F4721" s="0" t="n">
        <f aca="false">C4721/SUM($A4721:$C4721)</f>
        <v>0.0103946182517701</v>
      </c>
      <c r="G4721" s="0" t="n">
        <f aca="false">SUMPRODUCT(D4721:F4721,Stats!$B$6:$D$6)</f>
        <v>0.38959292578559</v>
      </c>
      <c r="H4721" s="0" t="n">
        <f aca="false">SQRT(SUMPRODUCT(MMULT(D4721:F4721,Stats!$B$12:$D$14),D4721:F4721))</f>
        <v>0.231751268220151</v>
      </c>
      <c r="I4721" s="0" t="n">
        <f aca="false">(G4721-Stats!$B$2)/H4721</f>
        <v>1.49985339219544</v>
      </c>
    </row>
    <row r="4722" customFormat="false" ht="15" hidden="false" customHeight="false" outlineLevel="0" collapsed="false">
      <c r="A4722" s="0" t="n">
        <v>0.107235801769524</v>
      </c>
      <c r="B4722" s="0" t="n">
        <v>0.0925760670520988</v>
      </c>
      <c r="C4722" s="0" t="n">
        <v>0.712604684254733</v>
      </c>
      <c r="D4722" s="0" t="n">
        <f aca="false">A4722/SUM($A4722:$C4722)</f>
        <v>0.117529434782788</v>
      </c>
      <c r="E4722" s="0" t="n">
        <f aca="false">B4722/SUM($A4722:$C4722)</f>
        <v>0.101462502778982</v>
      </c>
      <c r="F4722" s="0" t="n">
        <f aca="false">C4722/SUM($A4722:$C4722)</f>
        <v>0.78100806243823</v>
      </c>
      <c r="G4722" s="0" t="n">
        <f aca="false">SUMPRODUCT(D4722:F4722,Stats!$B$6:$D$6)</f>
        <v>0.340785728615642</v>
      </c>
      <c r="H4722" s="0" t="n">
        <f aca="false">SQRT(SUMPRODUCT(MMULT(D4722:F4722,Stats!$B$12:$D$14),D4722:F4722))</f>
        <v>0.243176240786661</v>
      </c>
      <c r="I4722" s="0" t="n">
        <f aca="false">(G4722-Stats!$B$2)/H4722</f>
        <v>1.22867977417978</v>
      </c>
    </row>
    <row r="4723" customFormat="false" ht="15" hidden="false" customHeight="false" outlineLevel="0" collapsed="false">
      <c r="A4723" s="0" t="n">
        <v>0.069581783543579</v>
      </c>
      <c r="B4723" s="0" t="n">
        <v>0.496364372466307</v>
      </c>
      <c r="C4723" s="0" t="n">
        <v>0.472706898636289</v>
      </c>
      <c r="D4723" s="0" t="n">
        <f aca="false">A4723/SUM($A4723:$C4723)</f>
        <v>0.0669923255242171</v>
      </c>
      <c r="E4723" s="0" t="n">
        <f aca="false">B4723/SUM($A4723:$C4723)</f>
        <v>0.477892372477927</v>
      </c>
      <c r="F4723" s="0" t="n">
        <f aca="false">C4723/SUM($A4723:$C4723)</f>
        <v>0.455115301997856</v>
      </c>
      <c r="G4723" s="0" t="n">
        <f aca="false">SUMPRODUCT(D4723:F4723,Stats!$B$6:$D$6)</f>
        <v>0.37143138363867</v>
      </c>
      <c r="H4723" s="0" t="n">
        <f aca="false">SQRT(SUMPRODUCT(MMULT(D4723:F4723,Stats!$B$12:$D$14),D4723:F4723))</f>
        <v>0.238923794521547</v>
      </c>
      <c r="I4723" s="0" t="n">
        <f aca="false">(G4723-Stats!$B$2)/H4723</f>
        <v>1.37881362673972</v>
      </c>
    </row>
    <row r="4724" customFormat="false" ht="15" hidden="false" customHeight="false" outlineLevel="0" collapsed="false">
      <c r="A4724" s="0" t="n">
        <v>0.310703523558241</v>
      </c>
      <c r="B4724" s="0" t="n">
        <v>0.8704051699421</v>
      </c>
      <c r="C4724" s="0" t="n">
        <v>0.170433201879996</v>
      </c>
      <c r="D4724" s="0" t="n">
        <f aca="false">A4724/SUM($A4724:$C4724)</f>
        <v>0.229888192604496</v>
      </c>
      <c r="E4724" s="0" t="n">
        <f aca="false">B4724/SUM($A4724:$C4724)</f>
        <v>0.644009018823023</v>
      </c>
      <c r="F4724" s="0" t="n">
        <f aca="false">C4724/SUM($A4724:$C4724)</f>
        <v>0.12610278857248</v>
      </c>
      <c r="G4724" s="0" t="n">
        <f aca="false">SUMPRODUCT(D4724:F4724,Stats!$B$6:$D$6)</f>
        <v>0.390061913981637</v>
      </c>
      <c r="H4724" s="0" t="n">
        <f aca="false">SQRT(SUMPRODUCT(MMULT(D4724:F4724,Stats!$B$12:$D$14),D4724:F4724))</f>
        <v>0.234870975569497</v>
      </c>
      <c r="I4724" s="0" t="n">
        <f aca="false">(G4724-Stats!$B$2)/H4724</f>
        <v>1.48192816561384</v>
      </c>
    </row>
    <row r="4725" customFormat="false" ht="15" hidden="false" customHeight="false" outlineLevel="0" collapsed="false">
      <c r="A4725" s="0" t="n">
        <v>0.35246278439924</v>
      </c>
      <c r="B4725" s="0" t="n">
        <v>0.774171500022929</v>
      </c>
      <c r="C4725" s="0" t="n">
        <v>0.0304223143932842</v>
      </c>
      <c r="D4725" s="0" t="n">
        <f aca="false">A4725/SUM($A4725:$C4725)</f>
        <v>0.304620175676866</v>
      </c>
      <c r="E4725" s="0" t="n">
        <f aca="false">B4725/SUM($A4725:$C4725)</f>
        <v>0.66908697536101</v>
      </c>
      <c r="F4725" s="0" t="n">
        <f aca="false">C4725/SUM($A4725:$C4725)</f>
        <v>0.0262928489621245</v>
      </c>
      <c r="G4725" s="0" t="n">
        <f aca="false">SUMPRODUCT(D4725:F4725,Stats!$B$6:$D$6)</f>
        <v>0.394257087838904</v>
      </c>
      <c r="H4725" s="0" t="n">
        <f aca="false">SQRT(SUMPRODUCT(MMULT(D4725:F4725,Stats!$B$12:$D$14),D4725:F4725))</f>
        <v>0.235110597965583</v>
      </c>
      <c r="I4725" s="0" t="n">
        <f aca="false">(G4725-Stats!$B$2)/H4725</f>
        <v>1.49826120509663</v>
      </c>
    </row>
    <row r="4726" customFormat="false" ht="15" hidden="false" customHeight="false" outlineLevel="0" collapsed="false">
      <c r="A4726" s="0" t="n">
        <v>0.672950400246369</v>
      </c>
      <c r="B4726" s="0" t="n">
        <v>0.816397726361571</v>
      </c>
      <c r="C4726" s="0" t="n">
        <v>0.932267838838167</v>
      </c>
      <c r="D4726" s="0" t="n">
        <f aca="false">A4726/SUM($A4726:$C4726)</f>
        <v>0.277893113461696</v>
      </c>
      <c r="E4726" s="0" t="n">
        <f aca="false">B4726/SUM($A4726:$C4726)</f>
        <v>0.337129312826931</v>
      </c>
      <c r="F4726" s="0" t="n">
        <f aca="false">C4726/SUM($A4726:$C4726)</f>
        <v>0.384977573711373</v>
      </c>
      <c r="G4726" s="0" t="n">
        <f aca="false">SUMPRODUCT(D4726:F4726,Stats!$B$6:$D$6)</f>
        <v>0.365266080253526</v>
      </c>
      <c r="H4726" s="0" t="n">
        <f aca="false">SQRT(SUMPRODUCT(MMULT(D4726:F4726,Stats!$B$12:$D$14),D4726:F4726))</f>
        <v>0.228196268195314</v>
      </c>
      <c r="I4726" s="0" t="n">
        <f aca="false">(G4726-Stats!$B$2)/H4726</f>
        <v>1.41661422778764</v>
      </c>
    </row>
    <row r="4727" customFormat="false" ht="15" hidden="false" customHeight="false" outlineLevel="0" collapsed="false">
      <c r="A4727" s="0" t="n">
        <v>0.876296640491485</v>
      </c>
      <c r="B4727" s="0" t="n">
        <v>0.319384116833685</v>
      </c>
      <c r="C4727" s="0" t="n">
        <v>0.586364141322953</v>
      </c>
      <c r="D4727" s="0" t="n">
        <f aca="false">A4727/SUM($A4727:$C4727)</f>
        <v>0.491736566882379</v>
      </c>
      <c r="E4727" s="0" t="n">
        <f aca="false">B4727/SUM($A4727:$C4727)</f>
        <v>0.179223383808103</v>
      </c>
      <c r="F4727" s="0" t="n">
        <f aca="false">C4727/SUM($A4727:$C4727)</f>
        <v>0.329040049309518</v>
      </c>
      <c r="G4727" s="0" t="n">
        <f aca="false">SUMPRODUCT(D4727:F4727,Stats!$B$6:$D$6)</f>
        <v>0.357722833192105</v>
      </c>
      <c r="H4727" s="0" t="n">
        <f aca="false">SQRT(SUMPRODUCT(MMULT(D4727:F4727,Stats!$B$12:$D$14),D4727:F4727))</f>
        <v>0.222298280718068</v>
      </c>
      <c r="I4727" s="0" t="n">
        <f aca="false">(G4727-Stats!$B$2)/H4727</f>
        <v>1.42026664431347</v>
      </c>
    </row>
    <row r="4728" customFormat="false" ht="15" hidden="false" customHeight="false" outlineLevel="0" collapsed="false">
      <c r="A4728" s="0" t="n">
        <v>0.0772934931504659</v>
      </c>
      <c r="B4728" s="0" t="n">
        <v>0.257870003548009</v>
      </c>
      <c r="C4728" s="0" t="n">
        <v>0.0942223787475074</v>
      </c>
      <c r="D4728" s="0" t="n">
        <f aca="false">A4728/SUM($A4728:$C4728)</f>
        <v>0.180009398469814</v>
      </c>
      <c r="E4728" s="0" t="n">
        <f aca="false">B4728/SUM($A4728:$C4728)</f>
        <v>0.600555393863787</v>
      </c>
      <c r="F4728" s="0" t="n">
        <f aca="false">C4728/SUM($A4728:$C4728)</f>
        <v>0.219435207666399</v>
      </c>
      <c r="G4728" s="0" t="n">
        <f aca="false">SUMPRODUCT(D4728:F4728,Stats!$B$6:$D$6)</f>
        <v>0.38498804308343</v>
      </c>
      <c r="H4728" s="0" t="n">
        <f aca="false">SQRT(SUMPRODUCT(MMULT(D4728:F4728,Stats!$B$12:$D$14),D4728:F4728))</f>
        <v>0.234871988676966</v>
      </c>
      <c r="I4728" s="0" t="n">
        <f aca="false">(G4728-Stats!$B$2)/H4728</f>
        <v>1.46031906578337</v>
      </c>
    </row>
    <row r="4729" customFormat="false" ht="15" hidden="false" customHeight="false" outlineLevel="0" collapsed="false">
      <c r="A4729" s="0" t="n">
        <v>0.315187290153964</v>
      </c>
      <c r="B4729" s="0" t="n">
        <v>0.875187213458729</v>
      </c>
      <c r="C4729" s="0" t="n">
        <v>0.347166839674293</v>
      </c>
      <c r="D4729" s="0" t="n">
        <f aca="false">A4729/SUM($A4729:$C4729)</f>
        <v>0.204994351228404</v>
      </c>
      <c r="E4729" s="0" t="n">
        <f aca="false">B4729/SUM($A4729:$C4729)</f>
        <v>0.569212149825992</v>
      </c>
      <c r="F4729" s="0" t="n">
        <f aca="false">C4729/SUM($A4729:$C4729)</f>
        <v>0.225793498945604</v>
      </c>
      <c r="G4729" s="0" t="n">
        <f aca="false">SUMPRODUCT(D4729:F4729,Stats!$B$6:$D$6)</f>
        <v>0.383009265951766</v>
      </c>
      <c r="H4729" s="0" t="n">
        <f aca="false">SQRT(SUMPRODUCT(MMULT(D4729:F4729,Stats!$B$12:$D$14),D4729:F4729))</f>
        <v>0.233403992985193</v>
      </c>
      <c r="I4729" s="0" t="n">
        <f aca="false">(G4729-Stats!$B$2)/H4729</f>
        <v>1.46102584446102</v>
      </c>
    </row>
    <row r="4730" customFormat="false" ht="15" hidden="false" customHeight="false" outlineLevel="0" collapsed="false">
      <c r="A4730" s="0" t="n">
        <v>0.561898103001426</v>
      </c>
      <c r="B4730" s="0" t="n">
        <v>0.433380848114941</v>
      </c>
      <c r="C4730" s="0" t="n">
        <v>0.458916524298735</v>
      </c>
      <c r="D4730" s="0" t="n">
        <f aca="false">A4730/SUM($A4730:$C4730)</f>
        <v>0.386397917268331</v>
      </c>
      <c r="E4730" s="0" t="n">
        <f aca="false">B4730/SUM($A4730:$C4730)</f>
        <v>0.298021040115829</v>
      </c>
      <c r="F4730" s="0" t="n">
        <f aca="false">C4730/SUM($A4730:$C4730)</f>
        <v>0.31558104261584</v>
      </c>
      <c r="G4730" s="0" t="n">
        <f aca="false">SUMPRODUCT(D4730:F4730,Stats!$B$6:$D$6)</f>
        <v>0.364929423512226</v>
      </c>
      <c r="H4730" s="0" t="n">
        <f aca="false">SQRT(SUMPRODUCT(MMULT(D4730:F4730,Stats!$B$12:$D$14),D4730:F4730))</f>
        <v>0.224734090810065</v>
      </c>
      <c r="I4730" s="0" t="n">
        <f aca="false">(G4730-Stats!$B$2)/H4730</f>
        <v>1.43694008482741</v>
      </c>
    </row>
    <row r="4731" customFormat="false" ht="15" hidden="false" customHeight="false" outlineLevel="0" collapsed="false">
      <c r="A4731" s="0" t="n">
        <v>0.969572051836558</v>
      </c>
      <c r="B4731" s="0" t="n">
        <v>0.296154468263858</v>
      </c>
      <c r="C4731" s="0" t="n">
        <v>0.627324469523171</v>
      </c>
      <c r="D4731" s="0" t="n">
        <f aca="false">A4731/SUM($A4731:$C4731)</f>
        <v>0.512174292795646</v>
      </c>
      <c r="E4731" s="0" t="n">
        <f aca="false">B4731/SUM($A4731:$C4731)</f>
        <v>0.156442943104636</v>
      </c>
      <c r="F4731" s="0" t="n">
        <f aca="false">C4731/SUM($A4731:$C4731)</f>
        <v>0.331382764099718</v>
      </c>
      <c r="G4731" s="0" t="n">
        <f aca="false">SUMPRODUCT(D4731:F4731,Stats!$B$6:$D$6)</f>
        <v>0.356347476658891</v>
      </c>
      <c r="H4731" s="0" t="n">
        <f aca="false">SQRT(SUMPRODUCT(MMULT(D4731:F4731,Stats!$B$12:$D$14),D4731:F4731))</f>
        <v>0.221994361110148</v>
      </c>
      <c r="I4731" s="0" t="n">
        <f aca="false">(G4731-Stats!$B$2)/H4731</f>
        <v>1.41601559195875</v>
      </c>
    </row>
    <row r="4732" customFormat="false" ht="15" hidden="false" customHeight="false" outlineLevel="0" collapsed="false">
      <c r="A4732" s="0" t="n">
        <v>0.420062669579447</v>
      </c>
      <c r="B4732" s="0" t="n">
        <v>0.0611461810476862</v>
      </c>
      <c r="C4732" s="0" t="n">
        <v>0.489330831624236</v>
      </c>
      <c r="D4732" s="0" t="n">
        <f aca="false">A4732/SUM($A4732:$C4732)</f>
        <v>0.432813492597257</v>
      </c>
      <c r="E4732" s="0" t="n">
        <f aca="false">B4732/SUM($A4732:$C4732)</f>
        <v>0.0630022472711728</v>
      </c>
      <c r="F4732" s="0" t="n">
        <f aca="false">C4732/SUM($A4732:$C4732)</f>
        <v>0.50418426013157</v>
      </c>
      <c r="G4732" s="0" t="n">
        <f aca="false">SUMPRODUCT(D4732:F4732,Stats!$B$6:$D$6)</f>
        <v>0.346206085168431</v>
      </c>
      <c r="H4732" s="0" t="n">
        <f aca="false">SQRT(SUMPRODUCT(MMULT(D4732:F4732,Stats!$B$12:$D$14),D4732:F4732))</f>
        <v>0.224603766480421</v>
      </c>
      <c r="I4732" s="0" t="n">
        <f aca="false">(G4732-Stats!$B$2)/H4732</f>
        <v>1.35441221639064</v>
      </c>
    </row>
    <row r="4733" customFormat="false" ht="15" hidden="false" customHeight="false" outlineLevel="0" collapsed="false">
      <c r="A4733" s="0" t="n">
        <v>0.813343329045108</v>
      </c>
      <c r="B4733" s="0" t="n">
        <v>0.0987529686816884</v>
      </c>
      <c r="C4733" s="0" t="n">
        <v>0.069591847396309</v>
      </c>
      <c r="D4733" s="0" t="n">
        <f aca="false">A4733/SUM($A4733:$C4733)</f>
        <v>0.828514975031214</v>
      </c>
      <c r="E4733" s="0" t="n">
        <f aca="false">B4733/SUM($A4733:$C4733)</f>
        <v>0.100595050650535</v>
      </c>
      <c r="F4733" s="0" t="n">
        <f aca="false">C4733/SUM($A4733:$C4733)</f>
        <v>0.0708899743182516</v>
      </c>
      <c r="G4733" s="0" t="n">
        <f aca="false">SUMPRODUCT(D4733:F4733,Stats!$B$6:$D$6)</f>
        <v>0.360317049697024</v>
      </c>
      <c r="H4733" s="0" t="n">
        <f aca="false">SQRT(SUMPRODUCT(MMULT(D4733:F4733,Stats!$B$12:$D$14),D4733:F4733))</f>
        <v>0.226638079846643</v>
      </c>
      <c r="I4733" s="0" t="n">
        <f aca="false">(G4733-Stats!$B$2)/H4733</f>
        <v>1.40451706047111</v>
      </c>
    </row>
    <row r="4734" customFormat="false" ht="15" hidden="false" customHeight="false" outlineLevel="0" collapsed="false">
      <c r="A4734" s="0" t="n">
        <v>0.153631520393267</v>
      </c>
      <c r="B4734" s="0" t="n">
        <v>0.764400111389306</v>
      </c>
      <c r="C4734" s="0" t="n">
        <v>0.723995384144738</v>
      </c>
      <c r="D4734" s="0" t="n">
        <f aca="false">A4734/SUM($A4734:$C4734)</f>
        <v>0.0935621149366447</v>
      </c>
      <c r="E4734" s="0" t="n">
        <f aca="false">B4734/SUM($A4734:$C4734)</f>
        <v>0.465522250227791</v>
      </c>
      <c r="F4734" s="0" t="n">
        <f aca="false">C4734/SUM($A4734:$C4734)</f>
        <v>0.440915634835565</v>
      </c>
      <c r="G4734" s="0" t="n">
        <f aca="false">SUMPRODUCT(D4734:F4734,Stats!$B$6:$D$6)</f>
        <v>0.371111173175254</v>
      </c>
      <c r="H4734" s="0" t="n">
        <f aca="false">SQRT(SUMPRODUCT(MMULT(D4734:F4734,Stats!$B$12:$D$14),D4734:F4734))</f>
        <v>0.237313990227598</v>
      </c>
      <c r="I4734" s="0" t="n">
        <f aca="false">(G4734-Stats!$B$2)/H4734</f>
        <v>1.38681740954091</v>
      </c>
    </row>
    <row r="4735" customFormat="false" ht="15" hidden="false" customHeight="false" outlineLevel="0" collapsed="false">
      <c r="A4735" s="0" t="n">
        <v>0.565017768906111</v>
      </c>
      <c r="B4735" s="0" t="n">
        <v>0.468226404092632</v>
      </c>
      <c r="C4735" s="0" t="n">
        <v>0.888325814702622</v>
      </c>
      <c r="D4735" s="0" t="n">
        <f aca="false">A4735/SUM($A4735:$C4735)</f>
        <v>0.294039651182313</v>
      </c>
      <c r="E4735" s="0" t="n">
        <f aca="false">B4735/SUM($A4735:$C4735)</f>
        <v>0.243668670456671</v>
      </c>
      <c r="F4735" s="0" t="n">
        <f aca="false">C4735/SUM($A4735:$C4735)</f>
        <v>0.462291678361017</v>
      </c>
      <c r="G4735" s="0" t="n">
        <f aca="false">SUMPRODUCT(D4735:F4735,Stats!$B$6:$D$6)</f>
        <v>0.357756569156138</v>
      </c>
      <c r="H4735" s="0" t="n">
        <f aca="false">SQRT(SUMPRODUCT(MMULT(D4735:F4735,Stats!$B$12:$D$14),D4735:F4735))</f>
        <v>0.227866450274245</v>
      </c>
      <c r="I4735" s="0" t="n">
        <f aca="false">(G4735-Stats!$B$2)/H4735</f>
        <v>1.38570890438726</v>
      </c>
    </row>
    <row r="4736" customFormat="false" ht="15" hidden="false" customHeight="false" outlineLevel="0" collapsed="false">
      <c r="A4736" s="0" t="n">
        <v>0.766697823833483</v>
      </c>
      <c r="B4736" s="0" t="n">
        <v>0.811942251301805</v>
      </c>
      <c r="C4736" s="0" t="n">
        <v>0.813262301350654</v>
      </c>
      <c r="D4736" s="0" t="n">
        <f aca="false">A4736/SUM($A4736:$C4736)</f>
        <v>0.320538928081118</v>
      </c>
      <c r="E4736" s="0" t="n">
        <f aca="false">B4736/SUM($A4736:$C4736)</f>
        <v>0.339454594503421</v>
      </c>
      <c r="F4736" s="0" t="n">
        <f aca="false">C4736/SUM($A4736:$C4736)</f>
        <v>0.340006477415461</v>
      </c>
      <c r="G4736" s="0" t="n">
        <f aca="false">SUMPRODUCT(D4736:F4736,Stats!$B$6:$D$6)</f>
        <v>0.366639934635205</v>
      </c>
      <c r="H4736" s="0" t="n">
        <f aca="false">SQRT(SUMPRODUCT(MMULT(D4736:F4736,Stats!$B$12:$D$14),D4736:F4736))</f>
        <v>0.226726386013364</v>
      </c>
      <c r="I4736" s="0" t="n">
        <f aca="false">(G4736-Stats!$B$2)/H4736</f>
        <v>1.43185775746485</v>
      </c>
    </row>
    <row r="4737" customFormat="false" ht="15" hidden="false" customHeight="false" outlineLevel="0" collapsed="false">
      <c r="A4737" s="0" t="n">
        <v>0.642717154745558</v>
      </c>
      <c r="B4737" s="0" t="n">
        <v>0.458014624315946</v>
      </c>
      <c r="C4737" s="0" t="n">
        <v>0.86467775258565</v>
      </c>
      <c r="D4737" s="0" t="n">
        <f aca="false">A4737/SUM($A4737:$C4737)</f>
        <v>0.327014367436651</v>
      </c>
      <c r="E4737" s="0" t="n">
        <f aca="false">B4737/SUM($A4737:$C4737)</f>
        <v>0.233037754697413</v>
      </c>
      <c r="F4737" s="0" t="n">
        <f aca="false">C4737/SUM($A4737:$C4737)</f>
        <v>0.439947877865937</v>
      </c>
      <c r="G4737" s="0" t="n">
        <f aca="false">SUMPRODUCT(D4737:F4737,Stats!$B$6:$D$6)</f>
        <v>0.357761001727449</v>
      </c>
      <c r="H4737" s="0" t="n">
        <f aca="false">SQRT(SUMPRODUCT(MMULT(D4737:F4737,Stats!$B$12:$D$14),D4737:F4737))</f>
        <v>0.226555289617585</v>
      </c>
      <c r="I4737" s="0" t="n">
        <f aca="false">(G4737-Stats!$B$2)/H4737</f>
        <v>1.39374808798523</v>
      </c>
    </row>
    <row r="4738" customFormat="false" ht="15" hidden="false" customHeight="false" outlineLevel="0" collapsed="false">
      <c r="A4738" s="0" t="n">
        <v>0.926007417603251</v>
      </c>
      <c r="B4738" s="0" t="n">
        <v>0.023806043258343</v>
      </c>
      <c r="C4738" s="0" t="n">
        <v>0.0515548732662513</v>
      </c>
      <c r="D4738" s="0" t="n">
        <f aca="false">A4738/SUM($A4738:$C4738)</f>
        <v>0.924742061481072</v>
      </c>
      <c r="E4738" s="0" t="n">
        <f aca="false">B4738/SUM($A4738:$C4738)</f>
        <v>0.0237735131489625</v>
      </c>
      <c r="F4738" s="0" t="n">
        <f aca="false">C4738/SUM($A4738:$C4738)</f>
        <v>0.0514844253699651</v>
      </c>
      <c r="G4738" s="0" t="n">
        <f aca="false">SUMPRODUCT(D4738:F4738,Stats!$B$6:$D$6)</f>
        <v>0.356431938405837</v>
      </c>
      <c r="H4738" s="0" t="n">
        <f aca="false">SQRT(SUMPRODUCT(MMULT(D4738:F4738,Stats!$B$12:$D$14),D4738:F4738))</f>
        <v>0.229500389689492</v>
      </c>
      <c r="I4738" s="0" t="n">
        <f aca="false">(G4738-Stats!$B$2)/H4738</f>
        <v>1.37007147931755</v>
      </c>
    </row>
    <row r="4739" customFormat="false" ht="15" hidden="false" customHeight="false" outlineLevel="0" collapsed="false">
      <c r="A4739" s="0" t="n">
        <v>0.958743296908437</v>
      </c>
      <c r="B4739" s="0" t="n">
        <v>0.277160613844195</v>
      </c>
      <c r="C4739" s="0" t="n">
        <v>0.873369439649419</v>
      </c>
      <c r="D4739" s="0" t="n">
        <f aca="false">A4739/SUM($A4739:$C4739)</f>
        <v>0.45453724465143</v>
      </c>
      <c r="E4739" s="0" t="n">
        <f aca="false">B4739/SUM($A4739:$C4739)</f>
        <v>0.131400993518154</v>
      </c>
      <c r="F4739" s="0" t="n">
        <f aca="false">C4739/SUM($A4739:$C4739)</f>
        <v>0.414061761830417</v>
      </c>
      <c r="G4739" s="0" t="n">
        <f aca="false">SUMPRODUCT(D4739:F4739,Stats!$B$6:$D$6)</f>
        <v>0.352626753728437</v>
      </c>
      <c r="H4739" s="0" t="n">
        <f aca="false">SQRT(SUMPRODUCT(MMULT(D4739:F4739,Stats!$B$12:$D$14),D4739:F4739))</f>
        <v>0.223107183260676</v>
      </c>
      <c r="I4739" s="0" t="n">
        <f aca="false">(G4739-Stats!$B$2)/H4739</f>
        <v>1.39227589712118</v>
      </c>
    </row>
    <row r="4740" customFormat="false" ht="15" hidden="false" customHeight="false" outlineLevel="0" collapsed="false">
      <c r="A4740" s="0" t="n">
        <v>0.388795118961403</v>
      </c>
      <c r="B4740" s="0" t="n">
        <v>0.119100057609356</v>
      </c>
      <c r="C4740" s="0" t="n">
        <v>0.0804432002093343</v>
      </c>
      <c r="D4740" s="0" t="n">
        <f aca="false">A4740/SUM($A4740:$C4740)</f>
        <v>0.66083589700409</v>
      </c>
      <c r="E4740" s="0" t="n">
        <f aca="false">B4740/SUM($A4740:$C4740)</f>
        <v>0.202434623186025</v>
      </c>
      <c r="F4740" s="0" t="n">
        <f aca="false">C4740/SUM($A4740:$C4740)</f>
        <v>0.136729479809885</v>
      </c>
      <c r="G4740" s="0" t="n">
        <f aca="false">SUMPRODUCT(D4740:F4740,Stats!$B$6:$D$6)</f>
        <v>0.36436126785161</v>
      </c>
      <c r="H4740" s="0" t="n">
        <f aca="false">SQRT(SUMPRODUCT(MMULT(D4740:F4740,Stats!$B$12:$D$14),D4740:F4740))</f>
        <v>0.223411973876676</v>
      </c>
      <c r="I4740" s="0" t="n">
        <f aca="false">(G4740-Stats!$B$2)/H4740</f>
        <v>1.4429005852191</v>
      </c>
    </row>
    <row r="4741" customFormat="false" ht="15" hidden="false" customHeight="false" outlineLevel="0" collapsed="false">
      <c r="A4741" s="0" t="n">
        <v>0.156507899080457</v>
      </c>
      <c r="B4741" s="0" t="n">
        <v>0.249893194867365</v>
      </c>
      <c r="C4741" s="0" t="n">
        <v>0.488518353930826</v>
      </c>
      <c r="D4741" s="0" t="n">
        <f aca="false">A4741/SUM($A4741:$C4741)</f>
        <v>0.174884901039361</v>
      </c>
      <c r="E4741" s="0" t="n">
        <f aca="false">B4741/SUM($A4741:$C4741)</f>
        <v>0.279235405443162</v>
      </c>
      <c r="F4741" s="0" t="n">
        <f aca="false">C4741/SUM($A4741:$C4741)</f>
        <v>0.545879693517477</v>
      </c>
      <c r="G4741" s="0" t="n">
        <f aca="false">SUMPRODUCT(D4741:F4741,Stats!$B$6:$D$6)</f>
        <v>0.357498125685838</v>
      </c>
      <c r="H4741" s="0" t="n">
        <f aca="false">SQRT(SUMPRODUCT(MMULT(D4741:F4741,Stats!$B$12:$D$14),D4741:F4741))</f>
        <v>0.233859203339366</v>
      </c>
      <c r="I4741" s="0" t="n">
        <f aca="false">(G4741-Stats!$B$2)/H4741</f>
        <v>1.34909433189166</v>
      </c>
    </row>
    <row r="4742" customFormat="false" ht="15" hidden="false" customHeight="false" outlineLevel="0" collapsed="false">
      <c r="A4742" s="0" t="n">
        <v>0.701497900565784</v>
      </c>
      <c r="B4742" s="0" t="n">
        <v>0.9863985764853</v>
      </c>
      <c r="C4742" s="0" t="n">
        <v>0.441506743289171</v>
      </c>
      <c r="D4742" s="0" t="n">
        <f aca="false">A4742/SUM($A4742:$C4742)</f>
        <v>0.329434037605002</v>
      </c>
      <c r="E4742" s="0" t="n">
        <f aca="false">B4742/SUM($A4742:$C4742)</f>
        <v>0.463227709558777</v>
      </c>
      <c r="F4742" s="0" t="n">
        <f aca="false">C4742/SUM($A4742:$C4742)</f>
        <v>0.207338252836221</v>
      </c>
      <c r="G4742" s="0" t="n">
        <f aca="false">SUMPRODUCT(D4742:F4742,Stats!$B$6:$D$6)</f>
        <v>0.377419954744972</v>
      </c>
      <c r="H4742" s="0" t="n">
        <f aca="false">SQRT(SUMPRODUCT(MMULT(D4742:F4742,Stats!$B$12:$D$14),D4742:F4742))</f>
        <v>0.228209337264379</v>
      </c>
      <c r="I4742" s="0" t="n">
        <f aca="false">(G4742-Stats!$B$2)/H4742</f>
        <v>1.46979067011789</v>
      </c>
    </row>
    <row r="4743" customFormat="false" ht="15" hidden="false" customHeight="false" outlineLevel="0" collapsed="false">
      <c r="A4743" s="0" t="n">
        <v>0.51818494234311</v>
      </c>
      <c r="B4743" s="0" t="n">
        <v>0.521815701383256</v>
      </c>
      <c r="C4743" s="0" t="n">
        <v>0.539434355487936</v>
      </c>
      <c r="D4743" s="0" t="n">
        <f aca="false">A4743/SUM($A4743:$C4743)</f>
        <v>0.328082474176452</v>
      </c>
      <c r="E4743" s="0" t="n">
        <f aca="false">B4743/SUM($A4743:$C4743)</f>
        <v>0.330381244965976</v>
      </c>
      <c r="F4743" s="0" t="n">
        <f aca="false">C4743/SUM($A4743:$C4743)</f>
        <v>0.341536280857573</v>
      </c>
      <c r="G4743" s="0" t="n">
        <f aca="false">SUMPRODUCT(D4743:F4743,Stats!$B$6:$D$6)</f>
        <v>0.366075682104704</v>
      </c>
      <c r="H4743" s="0" t="n">
        <f aca="false">SQRT(SUMPRODUCT(MMULT(D4743:F4743,Stats!$B$12:$D$14),D4743:F4743))</f>
        <v>0.226448424490658</v>
      </c>
      <c r="I4743" s="0" t="n">
        <f aca="false">(G4743-Stats!$B$2)/H4743</f>
        <v>1.43112358954864</v>
      </c>
    </row>
    <row r="4744" customFormat="false" ht="15" hidden="false" customHeight="false" outlineLevel="0" collapsed="false">
      <c r="A4744" s="0" t="n">
        <v>0.517740657104462</v>
      </c>
      <c r="B4744" s="0" t="n">
        <v>0.00877475506191783</v>
      </c>
      <c r="C4744" s="0" t="n">
        <v>0.00172482210984071</v>
      </c>
      <c r="D4744" s="0" t="n">
        <f aca="false">A4744/SUM($A4744:$C4744)</f>
        <v>0.980123480775476</v>
      </c>
      <c r="E4744" s="0" t="n">
        <f aca="false">B4744/SUM($A4744:$C4744)</f>
        <v>0.0166112963241824</v>
      </c>
      <c r="F4744" s="0" t="n">
        <f aca="false">C4744/SUM($A4744:$C4744)</f>
        <v>0.00326522290034194</v>
      </c>
      <c r="G4744" s="0" t="n">
        <f aca="false">SUMPRODUCT(D4744:F4744,Stats!$B$6:$D$6)</f>
        <v>0.357349459681634</v>
      </c>
      <c r="H4744" s="0" t="n">
        <f aca="false">SQRT(SUMPRODUCT(MMULT(D4744:F4744,Stats!$B$12:$D$14),D4744:F4744))</f>
        <v>0.232634420507486</v>
      </c>
      <c r="I4744" s="0" t="n">
        <f aca="false">(G4744-Stats!$B$2)/H4744</f>
        <v>1.35555804250165</v>
      </c>
    </row>
    <row r="4745" customFormat="false" ht="15" hidden="false" customHeight="false" outlineLevel="0" collapsed="false">
      <c r="A4745" s="0" t="n">
        <v>0.0976663181261229</v>
      </c>
      <c r="B4745" s="0" t="n">
        <v>0.101556603429179</v>
      </c>
      <c r="C4745" s="0" t="n">
        <v>0.704896908954796</v>
      </c>
      <c r="D4745" s="0" t="n">
        <f aca="false">A4745/SUM($A4745:$C4745)</f>
        <v>0.108023643360439</v>
      </c>
      <c r="E4745" s="0" t="n">
        <f aca="false">B4745/SUM($A4745:$C4745)</f>
        <v>0.112326485939238</v>
      </c>
      <c r="F4745" s="0" t="n">
        <f aca="false">C4745/SUM($A4745:$C4745)</f>
        <v>0.779649870700323</v>
      </c>
      <c r="G4745" s="0" t="n">
        <f aca="false">SUMPRODUCT(D4745:F4745,Stats!$B$6:$D$6)</f>
        <v>0.34144827976049</v>
      </c>
      <c r="H4745" s="0" t="n">
        <f aca="false">SQRT(SUMPRODUCT(MMULT(D4745:F4745,Stats!$B$12:$D$14),D4745:F4745))</f>
        <v>0.243569033655279</v>
      </c>
      <c r="I4745" s="0" t="n">
        <f aca="false">(G4745-Stats!$B$2)/H4745</f>
        <v>1.22941851542711</v>
      </c>
    </row>
    <row r="4746" customFormat="false" ht="15" hidden="false" customHeight="false" outlineLevel="0" collapsed="false">
      <c r="A4746" s="0" t="n">
        <v>0.204916032516</v>
      </c>
      <c r="B4746" s="0" t="n">
        <v>0.894714104755613</v>
      </c>
      <c r="C4746" s="0" t="n">
        <v>0.92860632957702</v>
      </c>
      <c r="D4746" s="0" t="n">
        <f aca="false">A4746/SUM($A4746:$C4746)</f>
        <v>0.10103162814856</v>
      </c>
      <c r="E4746" s="0" t="n">
        <f aca="false">B4746/SUM($A4746:$C4746)</f>
        <v>0.441129088930036</v>
      </c>
      <c r="F4746" s="0" t="n">
        <f aca="false">C4746/SUM($A4746:$C4746)</f>
        <v>0.457839282921404</v>
      </c>
      <c r="G4746" s="0" t="n">
        <f aca="false">SUMPRODUCT(D4746:F4746,Stats!$B$6:$D$6)</f>
        <v>0.369240959158843</v>
      </c>
      <c r="H4746" s="0" t="n">
        <f aca="false">SQRT(SUMPRODUCT(MMULT(D4746:F4746,Stats!$B$12:$D$14),D4746:F4746))</f>
        <v>0.236915325193661</v>
      </c>
      <c r="I4746" s="0" t="n">
        <f aca="false">(G4746-Stats!$B$2)/H4746</f>
        <v>1.38125703304059</v>
      </c>
    </row>
    <row r="4747" customFormat="false" ht="15" hidden="false" customHeight="false" outlineLevel="0" collapsed="false">
      <c r="A4747" s="0" t="n">
        <v>0.975893337895899</v>
      </c>
      <c r="B4747" s="0" t="n">
        <v>0.93908130488702</v>
      </c>
      <c r="C4747" s="0" t="n">
        <v>0.271888321918525</v>
      </c>
      <c r="D4747" s="0" t="n">
        <f aca="false">A4747/SUM($A4747:$C4747)</f>
        <v>0.446252624717677</v>
      </c>
      <c r="E4747" s="0" t="n">
        <f aca="false">B4747/SUM($A4747:$C4747)</f>
        <v>0.4294193646538</v>
      </c>
      <c r="F4747" s="0" t="n">
        <f aca="false">C4747/SUM($A4747:$C4747)</f>
        <v>0.124328010628523</v>
      </c>
      <c r="G4747" s="0" t="n">
        <f aca="false">SUMPRODUCT(D4747:F4747,Stats!$B$6:$D$6)</f>
        <v>0.377763641837884</v>
      </c>
      <c r="H4747" s="0" t="n">
        <f aca="false">SQRT(SUMPRODUCT(MMULT(D4747:F4747,Stats!$B$12:$D$14),D4747:F4747))</f>
        <v>0.226543289858062</v>
      </c>
      <c r="I4747" s="0" t="n">
        <f aca="false">(G4747-Stats!$B$2)/H4747</f>
        <v>1.48211691482124</v>
      </c>
    </row>
    <row r="4748" customFormat="false" ht="15" hidden="false" customHeight="false" outlineLevel="0" collapsed="false">
      <c r="A4748" s="0" t="n">
        <v>0.509776844703513</v>
      </c>
      <c r="B4748" s="0" t="n">
        <v>0.175454970196941</v>
      </c>
      <c r="C4748" s="0" t="n">
        <v>0.806209655172433</v>
      </c>
      <c r="D4748" s="0" t="n">
        <f aca="false">A4748/SUM($A4748:$C4748)</f>
        <v>0.34180144171437</v>
      </c>
      <c r="E4748" s="0" t="n">
        <f aca="false">B4748/SUM($A4748:$C4748)</f>
        <v>0.117641203974546</v>
      </c>
      <c r="F4748" s="0" t="n">
        <f aca="false">C4748/SUM($A4748:$C4748)</f>
        <v>0.540557354311084</v>
      </c>
      <c r="G4748" s="0" t="n">
        <f aca="false">SUMPRODUCT(D4748:F4748,Stats!$B$6:$D$6)</f>
        <v>0.348346965937153</v>
      </c>
      <c r="H4748" s="0" t="n">
        <f aca="false">SQRT(SUMPRODUCT(MMULT(D4748:F4748,Stats!$B$12:$D$14),D4748:F4748))</f>
        <v>0.22741761759388</v>
      </c>
      <c r="I4748" s="0" t="n">
        <f aca="false">(G4748-Stats!$B$2)/H4748</f>
        <v>1.34706787089918</v>
      </c>
    </row>
    <row r="4749" customFormat="false" ht="15" hidden="false" customHeight="false" outlineLevel="0" collapsed="false">
      <c r="A4749" s="0" t="n">
        <v>0.888431705144096</v>
      </c>
      <c r="B4749" s="0" t="n">
        <v>0.851288839297515</v>
      </c>
      <c r="C4749" s="0" t="n">
        <v>0.433366948696835</v>
      </c>
      <c r="D4749" s="0" t="n">
        <f aca="false">A4749/SUM($A4749:$C4749)</f>
        <v>0.408833840307549</v>
      </c>
      <c r="E4749" s="0" t="n">
        <f aca="false">B4749/SUM($A4749:$C4749)</f>
        <v>0.391741631197764</v>
      </c>
      <c r="F4749" s="0" t="n">
        <f aca="false">C4749/SUM($A4749:$C4749)</f>
        <v>0.199424528494687</v>
      </c>
      <c r="G4749" s="0" t="n">
        <f aca="false">SUMPRODUCT(D4749:F4749,Stats!$B$6:$D$6)</f>
        <v>0.37352495622364</v>
      </c>
      <c r="H4749" s="0" t="n">
        <f aca="false">SQRT(SUMPRODUCT(MMULT(D4749:F4749,Stats!$B$12:$D$14),D4749:F4749))</f>
        <v>0.225705874890162</v>
      </c>
      <c r="I4749" s="0" t="n">
        <f aca="false">(G4749-Stats!$B$2)/H4749</f>
        <v>1.46883618507925</v>
      </c>
    </row>
    <row r="4750" customFormat="false" ht="15" hidden="false" customHeight="false" outlineLevel="0" collapsed="false">
      <c r="A4750" s="0" t="n">
        <v>0.758673884686781</v>
      </c>
      <c r="B4750" s="0" t="n">
        <v>0.0975791695762694</v>
      </c>
      <c r="C4750" s="0" t="n">
        <v>0.0402447706192507</v>
      </c>
      <c r="D4750" s="0" t="n">
        <f aca="false">A4750/SUM($A4750:$C4750)</f>
        <v>0.84626405511512</v>
      </c>
      <c r="E4750" s="0" t="n">
        <f aca="false">B4750/SUM($A4750:$C4750)</f>
        <v>0.108844848105549</v>
      </c>
      <c r="F4750" s="0" t="n">
        <f aca="false">C4750/SUM($A4750:$C4750)</f>
        <v>0.0448910967793305</v>
      </c>
      <c r="G4750" s="0" t="n">
        <f aca="false">SUMPRODUCT(D4750:F4750,Stats!$B$6:$D$6)</f>
        <v>0.361508641413524</v>
      </c>
      <c r="H4750" s="0" t="n">
        <f aca="false">SQRT(SUMPRODUCT(MMULT(D4750:F4750,Stats!$B$12:$D$14),D4750:F4750))</f>
        <v>0.227699388850093</v>
      </c>
      <c r="I4750" s="0" t="n">
        <f aca="false">(G4750-Stats!$B$2)/H4750</f>
        <v>1.4032037724259</v>
      </c>
    </row>
    <row r="4751" customFormat="false" ht="15" hidden="false" customHeight="false" outlineLevel="0" collapsed="false">
      <c r="A4751" s="0" t="n">
        <v>0.753236414308761</v>
      </c>
      <c r="B4751" s="0" t="n">
        <v>0.425355274328684</v>
      </c>
      <c r="C4751" s="0" t="n">
        <v>0.995549264739569</v>
      </c>
      <c r="D4751" s="0" t="n">
        <f aca="false">A4751/SUM($A4751:$C4751)</f>
        <v>0.346452429010542</v>
      </c>
      <c r="E4751" s="0" t="n">
        <f aca="false">B4751/SUM($A4751:$C4751)</f>
        <v>0.195642915270969</v>
      </c>
      <c r="F4751" s="0" t="n">
        <f aca="false">C4751/SUM($A4751:$C4751)</f>
        <v>0.457904655718489</v>
      </c>
      <c r="G4751" s="0" t="n">
        <f aca="false">SUMPRODUCT(D4751:F4751,Stats!$B$6:$D$6)</f>
        <v>0.355114199823301</v>
      </c>
      <c r="H4751" s="0" t="n">
        <f aca="false">SQRT(SUMPRODUCT(MMULT(D4751:F4751,Stats!$B$12:$D$14),D4751:F4751))</f>
        <v>0.226087564935861</v>
      </c>
      <c r="I4751" s="0" t="n">
        <f aca="false">(G4751-Stats!$B$2)/H4751</f>
        <v>1.3849244646079</v>
      </c>
    </row>
    <row r="4752" customFormat="false" ht="15" hidden="false" customHeight="false" outlineLevel="0" collapsed="false">
      <c r="A4752" s="0" t="n">
        <v>0.0972542158555324</v>
      </c>
      <c r="B4752" s="0" t="n">
        <v>0.855627681535234</v>
      </c>
      <c r="C4752" s="0" t="n">
        <v>0.479983065528992</v>
      </c>
      <c r="D4752" s="0" t="n">
        <f aca="false">A4752/SUM($A4752:$C4752)</f>
        <v>0.067873957680811</v>
      </c>
      <c r="E4752" s="0" t="n">
        <f aca="false">B4752/SUM($A4752:$C4752)</f>
        <v>0.597144674255776</v>
      </c>
      <c r="F4752" s="0" t="n">
        <f aca="false">C4752/SUM($A4752:$C4752)</f>
        <v>0.334981368063413</v>
      </c>
      <c r="G4752" s="0" t="n">
        <f aca="false">SUMPRODUCT(D4752:F4752,Stats!$B$6:$D$6)</f>
        <v>0.381605653760035</v>
      </c>
      <c r="H4752" s="0" t="n">
        <f aca="false">SQRT(SUMPRODUCT(MMULT(D4752:F4752,Stats!$B$12:$D$14),D4752:F4752))</f>
        <v>0.239468340661568</v>
      </c>
      <c r="I4752" s="0" t="n">
        <f aca="false">(G4752-Stats!$B$2)/H4752</f>
        <v>1.41816514375897</v>
      </c>
    </row>
    <row r="4753" customFormat="false" ht="15" hidden="false" customHeight="false" outlineLevel="0" collapsed="false">
      <c r="A4753" s="0" t="n">
        <v>0.827150195503877</v>
      </c>
      <c r="B4753" s="0" t="n">
        <v>0.817127282170145</v>
      </c>
      <c r="C4753" s="0" t="n">
        <v>0.915992001362077</v>
      </c>
      <c r="D4753" s="0" t="n">
        <f aca="false">A4753/SUM($A4753:$C4753)</f>
        <v>0.323071536913093</v>
      </c>
      <c r="E4753" s="0" t="n">
        <f aca="false">B4753/SUM($A4753:$C4753)</f>
        <v>0.319156748483281</v>
      </c>
      <c r="F4753" s="0" t="n">
        <f aca="false">C4753/SUM($A4753:$C4753)</f>
        <v>0.357771714603626</v>
      </c>
      <c r="G4753" s="0" t="n">
        <f aca="false">SUMPRODUCT(D4753:F4753,Stats!$B$6:$D$6)</f>
        <v>0.3649821532636</v>
      </c>
      <c r="H4753" s="0" t="n">
        <f aca="false">SQRT(SUMPRODUCT(MMULT(D4753:F4753,Stats!$B$12:$D$14),D4753:F4753))</f>
        <v>0.226554527479457</v>
      </c>
      <c r="I4753" s="0" t="n">
        <f aca="false">(G4753-Stats!$B$2)/H4753</f>
        <v>1.42562656706512</v>
      </c>
    </row>
    <row r="4754" customFormat="false" ht="15" hidden="false" customHeight="false" outlineLevel="0" collapsed="false">
      <c r="A4754" s="0" t="n">
        <v>0.297850011286103</v>
      </c>
      <c r="B4754" s="0" t="n">
        <v>0.949799353462003</v>
      </c>
      <c r="C4754" s="0" t="n">
        <v>0.15166696035762</v>
      </c>
      <c r="D4754" s="0" t="n">
        <f aca="false">A4754/SUM($A4754:$C4754)</f>
        <v>0.212853952992793</v>
      </c>
      <c r="E4754" s="0" t="n">
        <f aca="false">B4754/SUM($A4754:$C4754)</f>
        <v>0.678759574530255</v>
      </c>
      <c r="F4754" s="0" t="n">
        <f aca="false">C4754/SUM($A4754:$C4754)</f>
        <v>0.108386472476951</v>
      </c>
      <c r="G4754" s="0" t="n">
        <f aca="false">SUMPRODUCT(D4754:F4754,Stats!$B$6:$D$6)</f>
        <v>0.392549936582548</v>
      </c>
      <c r="H4754" s="0" t="n">
        <f aca="false">SQRT(SUMPRODUCT(MMULT(D4754:F4754,Stats!$B$12:$D$14),D4754:F4754))</f>
        <v>0.236359136670765</v>
      </c>
      <c r="I4754" s="0" t="n">
        <f aca="false">(G4754-Stats!$B$2)/H4754</f>
        <v>1.48312412001591</v>
      </c>
    </row>
    <row r="4755" customFormat="false" ht="15" hidden="false" customHeight="false" outlineLevel="0" collapsed="false">
      <c r="A4755" s="0" t="n">
        <v>0.0819687775934905</v>
      </c>
      <c r="B4755" s="0" t="n">
        <v>0.431615517372349</v>
      </c>
      <c r="C4755" s="0" t="n">
        <v>0.828322968641843</v>
      </c>
      <c r="D4755" s="0" t="n">
        <f aca="false">A4755/SUM($A4755:$C4755)</f>
        <v>0.0610837870965238</v>
      </c>
      <c r="E4755" s="0" t="n">
        <f aca="false">B4755/SUM($A4755:$C4755)</f>
        <v>0.321643327432301</v>
      </c>
      <c r="F4755" s="0" t="n">
        <f aca="false">C4755/SUM($A4755:$C4755)</f>
        <v>0.617272885471175</v>
      </c>
      <c r="G4755" s="0" t="n">
        <f aca="false">SUMPRODUCT(D4755:F4755,Stats!$B$6:$D$6)</f>
        <v>0.357969582820735</v>
      </c>
      <c r="H4755" s="0" t="n">
        <f aca="false">SQRT(SUMPRODUCT(MMULT(D4755:F4755,Stats!$B$12:$D$14),D4755:F4755))</f>
        <v>0.241106944697358</v>
      </c>
      <c r="I4755" s="0" t="n">
        <f aca="false">(G4755-Stats!$B$2)/H4755</f>
        <v>1.31049556957949</v>
      </c>
    </row>
    <row r="4756" customFormat="false" ht="15" hidden="false" customHeight="false" outlineLevel="0" collapsed="false">
      <c r="A4756" s="0" t="n">
        <v>0.473421130633446</v>
      </c>
      <c r="B4756" s="0" t="n">
        <v>0.829286677530514</v>
      </c>
      <c r="C4756" s="0" t="n">
        <v>0.729686805794305</v>
      </c>
      <c r="D4756" s="0" t="n">
        <f aca="false">A4756/SUM($A4756:$C4756)</f>
        <v>0.232937603446713</v>
      </c>
      <c r="E4756" s="0" t="n">
        <f aca="false">B4756/SUM($A4756:$C4756)</f>
        <v>0.408034282237841</v>
      </c>
      <c r="F4756" s="0" t="n">
        <f aca="false">C4756/SUM($A4756:$C4756)</f>
        <v>0.359028114315446</v>
      </c>
      <c r="G4756" s="0" t="n">
        <f aca="false">SUMPRODUCT(D4756:F4756,Stats!$B$6:$D$6)</f>
        <v>0.370061406785079</v>
      </c>
      <c r="H4756" s="0" t="n">
        <f aca="false">SQRT(SUMPRODUCT(MMULT(D4756:F4756,Stats!$B$12:$D$14),D4756:F4756))</f>
        <v>0.230210321970818</v>
      </c>
      <c r="I4756" s="0" t="n">
        <f aca="false">(G4756-Stats!$B$2)/H4756</f>
        <v>1.4250508143013</v>
      </c>
    </row>
    <row r="4757" customFormat="false" ht="15" hidden="false" customHeight="false" outlineLevel="0" collapsed="false">
      <c r="A4757" s="0" t="n">
        <v>0.209428386138934</v>
      </c>
      <c r="B4757" s="0" t="n">
        <v>0.948881624899464</v>
      </c>
      <c r="C4757" s="0" t="n">
        <v>0.0607811686294034</v>
      </c>
      <c r="D4757" s="0" t="n">
        <f aca="false">A4757/SUM($A4757:$C4757)</f>
        <v>0.171790584356457</v>
      </c>
      <c r="E4757" s="0" t="n">
        <f aca="false">B4757/SUM($A4757:$C4757)</f>
        <v>0.778351644835977</v>
      </c>
      <c r="F4757" s="0" t="n">
        <f aca="false">C4757/SUM($A4757:$C4757)</f>
        <v>0.0498577708075668</v>
      </c>
      <c r="G4757" s="0" t="n">
        <f aca="false">SUMPRODUCT(D4757:F4757,Stats!$B$6:$D$6)</f>
        <v>0.399894241845656</v>
      </c>
      <c r="H4757" s="0" t="n">
        <f aca="false">SQRT(SUMPRODUCT(MMULT(D4757:F4757,Stats!$B$12:$D$14),D4757:F4757))</f>
        <v>0.240910896847543</v>
      </c>
      <c r="I4757" s="0" t="n">
        <f aca="false">(G4757-Stats!$B$2)/H4757</f>
        <v>1.48558760325459</v>
      </c>
    </row>
    <row r="4758" customFormat="false" ht="15" hidden="false" customHeight="false" outlineLevel="0" collapsed="false">
      <c r="A4758" s="0" t="n">
        <v>0.898279707543795</v>
      </c>
      <c r="B4758" s="0" t="n">
        <v>0.304443448990374</v>
      </c>
      <c r="C4758" s="0" t="n">
        <v>0.500148083164399</v>
      </c>
      <c r="D4758" s="0" t="n">
        <f aca="false">A4758/SUM($A4758:$C4758)</f>
        <v>0.527508884173065</v>
      </c>
      <c r="E4758" s="0" t="n">
        <f aca="false">B4758/SUM($A4758:$C4758)</f>
        <v>0.178782424585587</v>
      </c>
      <c r="F4758" s="0" t="n">
        <f aca="false">C4758/SUM($A4758:$C4758)</f>
        <v>0.293708691241349</v>
      </c>
      <c r="G4758" s="0" t="n">
        <f aca="false">SUMPRODUCT(D4758:F4758,Stats!$B$6:$D$6)</f>
        <v>0.358671709578739</v>
      </c>
      <c r="H4758" s="0" t="n">
        <f aca="false">SQRT(SUMPRODUCT(MMULT(D4758:F4758,Stats!$B$12:$D$14),D4758:F4758))</f>
        <v>0.22195424908551</v>
      </c>
      <c r="I4758" s="0" t="n">
        <f aca="false">(G4758-Stats!$B$2)/H4758</f>
        <v>1.42674317289929</v>
      </c>
    </row>
    <row r="4759" customFormat="false" ht="15" hidden="false" customHeight="false" outlineLevel="0" collapsed="false">
      <c r="A4759" s="0" t="n">
        <v>0.422351872700735</v>
      </c>
      <c r="B4759" s="0" t="n">
        <v>0.171834556916916</v>
      </c>
      <c r="C4759" s="0" t="n">
        <v>0.358146866401693</v>
      </c>
      <c r="D4759" s="0" t="n">
        <f aca="false">A4759/SUM($A4759:$C4759)</f>
        <v>0.443491658294551</v>
      </c>
      <c r="E4759" s="0" t="n">
        <f aca="false">B4759/SUM($A4759:$C4759)</f>
        <v>0.180435313597841</v>
      </c>
      <c r="F4759" s="0" t="n">
        <f aca="false">C4759/SUM($A4759:$C4759)</f>
        <v>0.376073028107607</v>
      </c>
      <c r="G4759" s="0" t="n">
        <f aca="false">SUMPRODUCT(D4759:F4759,Stats!$B$6:$D$6)</f>
        <v>0.356495649763114</v>
      </c>
      <c r="H4759" s="0" t="n">
        <f aca="false">SQRT(SUMPRODUCT(MMULT(D4759:F4759,Stats!$B$12:$D$14),D4759:F4759))</f>
        <v>0.223156571647505</v>
      </c>
      <c r="I4759" s="0" t="n">
        <f aca="false">(G4759-Stats!$B$2)/H4759</f>
        <v>1.40930489943127</v>
      </c>
    </row>
    <row r="4760" customFormat="false" ht="15" hidden="false" customHeight="false" outlineLevel="0" collapsed="false">
      <c r="A4760" s="0" t="n">
        <v>0.192934436292795</v>
      </c>
      <c r="B4760" s="0" t="n">
        <v>0.203886475460524</v>
      </c>
      <c r="C4760" s="0" t="n">
        <v>0.18705683602638</v>
      </c>
      <c r="D4760" s="0" t="n">
        <f aca="false">A4760/SUM($A4760:$C4760)</f>
        <v>0.330436357656142</v>
      </c>
      <c r="E4760" s="0" t="n">
        <f aca="false">B4760/SUM($A4760:$C4760)</f>
        <v>0.349193775984509</v>
      </c>
      <c r="F4760" s="0" t="n">
        <f aca="false">C4760/SUM($A4760:$C4760)</f>
        <v>0.32036986635935</v>
      </c>
      <c r="G4760" s="0" t="n">
        <f aca="false">SUMPRODUCT(D4760:F4760,Stats!$B$6:$D$6)</f>
        <v>0.367741786529685</v>
      </c>
      <c r="H4760" s="0" t="n">
        <f aca="false">SQRT(SUMPRODUCT(MMULT(D4760:F4760,Stats!$B$12:$D$14),D4760:F4760))</f>
        <v>0.226504534011341</v>
      </c>
      <c r="I4760" s="0" t="n">
        <f aca="false">(G4760-Stats!$B$2)/H4760</f>
        <v>1.43812479494727</v>
      </c>
    </row>
    <row r="4761" customFormat="false" ht="15" hidden="false" customHeight="false" outlineLevel="0" collapsed="false">
      <c r="A4761" s="0" t="n">
        <v>0.489017380346594</v>
      </c>
      <c r="B4761" s="0" t="n">
        <v>0.797931367511316</v>
      </c>
      <c r="C4761" s="0" t="n">
        <v>0.568970033761241</v>
      </c>
      <c r="D4761" s="0" t="n">
        <f aca="false">A4761/SUM($A4761:$C4761)</f>
        <v>0.263490722325663</v>
      </c>
      <c r="E4761" s="0" t="n">
        <f aca="false">B4761/SUM($A4761:$C4761)</f>
        <v>0.429938731917557</v>
      </c>
      <c r="F4761" s="0" t="n">
        <f aca="false">C4761/SUM($A4761:$C4761)</f>
        <v>0.30657054575678</v>
      </c>
      <c r="G4761" s="0" t="n">
        <f aca="false">SUMPRODUCT(D4761:F4761,Stats!$B$6:$D$6)</f>
        <v>0.372768257746039</v>
      </c>
      <c r="H4761" s="0" t="n">
        <f aca="false">SQRT(SUMPRODUCT(MMULT(D4761:F4761,Stats!$B$12:$D$14),D4761:F4761))</f>
        <v>0.229281507749767</v>
      </c>
      <c r="I4761" s="0" t="n">
        <f aca="false">(G4761-Stats!$B$2)/H4761</f>
        <v>1.44262946014396</v>
      </c>
    </row>
    <row r="4762" customFormat="false" ht="15" hidden="false" customHeight="false" outlineLevel="0" collapsed="false">
      <c r="A4762" s="0" t="n">
        <v>0.893206588550842</v>
      </c>
      <c r="B4762" s="0" t="n">
        <v>0.636544488576724</v>
      </c>
      <c r="C4762" s="0" t="n">
        <v>0.689340115632604</v>
      </c>
      <c r="D4762" s="0" t="n">
        <f aca="false">A4762/SUM($A4762:$C4762)</f>
        <v>0.402510086771083</v>
      </c>
      <c r="E4762" s="0" t="n">
        <f aca="false">B4762/SUM($A4762:$C4762)</f>
        <v>0.28684917981445</v>
      </c>
      <c r="F4762" s="0" t="n">
        <f aca="false">C4762/SUM($A4762:$C4762)</f>
        <v>0.310640733414467</v>
      </c>
      <c r="G4762" s="0" t="n">
        <f aca="false">SUMPRODUCT(D4762:F4762,Stats!$B$6:$D$6)</f>
        <v>0.364422836256026</v>
      </c>
      <c r="H4762" s="0" t="n">
        <f aca="false">SQRT(SUMPRODUCT(MMULT(D4762:F4762,Stats!$B$12:$D$14),D4762:F4762))</f>
        <v>0.224316670850296</v>
      </c>
      <c r="I4762" s="0" t="n">
        <f aca="false">(G4762-Stats!$B$2)/H4762</f>
        <v>1.43735565900585</v>
      </c>
    </row>
    <row r="4763" customFormat="false" ht="15" hidden="false" customHeight="false" outlineLevel="0" collapsed="false">
      <c r="A4763" s="0" t="n">
        <v>0.667607229727003</v>
      </c>
      <c r="B4763" s="0" t="n">
        <v>0.449459193183741</v>
      </c>
      <c r="C4763" s="0" t="n">
        <v>0.689338822200083</v>
      </c>
      <c r="D4763" s="0" t="n">
        <f aca="false">A4763/SUM($A4763:$C4763)</f>
        <v>0.369577774164426</v>
      </c>
      <c r="E4763" s="0" t="n">
        <f aca="false">B4763/SUM($A4763:$C4763)</f>
        <v>0.248814154188401</v>
      </c>
      <c r="F4763" s="0" t="n">
        <f aca="false">C4763/SUM($A4763:$C4763)</f>
        <v>0.381608071647174</v>
      </c>
      <c r="G4763" s="0" t="n">
        <f aca="false">SUMPRODUCT(D4763:F4763,Stats!$B$6:$D$6)</f>
        <v>0.36027745305298</v>
      </c>
      <c r="H4763" s="0" t="n">
        <f aca="false">SQRT(SUMPRODUCT(MMULT(D4763:F4763,Stats!$B$12:$D$14),D4763:F4763))</f>
        <v>0.22501259394308</v>
      </c>
      <c r="I4763" s="0" t="n">
        <f aca="false">(G4763-Stats!$B$2)/H4763</f>
        <v>1.41448728480279</v>
      </c>
    </row>
    <row r="4764" customFormat="false" ht="15" hidden="false" customHeight="false" outlineLevel="0" collapsed="false">
      <c r="A4764" s="0" t="n">
        <v>0.0697077464689612</v>
      </c>
      <c r="B4764" s="0" t="n">
        <v>0.859851471915663</v>
      </c>
      <c r="C4764" s="0" t="n">
        <v>0.777812143443917</v>
      </c>
      <c r="D4764" s="0" t="n">
        <f aca="false">A4764/SUM($A4764:$C4764)</f>
        <v>0.0408275247127879</v>
      </c>
      <c r="E4764" s="0" t="n">
        <f aca="false">B4764/SUM($A4764:$C4764)</f>
        <v>0.503611277042148</v>
      </c>
      <c r="F4764" s="0" t="n">
        <f aca="false">C4764/SUM($A4764:$C4764)</f>
        <v>0.455561198245064</v>
      </c>
      <c r="G4764" s="0" t="n">
        <f aca="false">SUMPRODUCT(D4764:F4764,Stats!$B$6:$D$6)</f>
        <v>0.372898920702452</v>
      </c>
      <c r="H4764" s="0" t="n">
        <f aca="false">SQRT(SUMPRODUCT(MMULT(D4764:F4764,Stats!$B$12:$D$14),D4764:F4764))</f>
        <v>0.240553582949909</v>
      </c>
      <c r="I4764" s="0" t="n">
        <f aca="false">(G4764-Stats!$B$2)/H4764</f>
        <v>1.37557261315603</v>
      </c>
    </row>
    <row r="4765" customFormat="false" ht="15" hidden="false" customHeight="false" outlineLevel="0" collapsed="false">
      <c r="A4765" s="0" t="n">
        <v>0.245229958231679</v>
      </c>
      <c r="B4765" s="0" t="n">
        <v>0.768032454254082</v>
      </c>
      <c r="C4765" s="0" t="n">
        <v>0.0126426014000185</v>
      </c>
      <c r="D4765" s="0" t="n">
        <f aca="false">A4765/SUM($A4765:$C4765)</f>
        <v>0.239037683715796</v>
      </c>
      <c r="E4765" s="0" t="n">
        <f aca="false">B4765/SUM($A4765:$C4765)</f>
        <v>0.748638951811958</v>
      </c>
      <c r="F4765" s="0" t="n">
        <f aca="false">C4765/SUM($A4765:$C4765)</f>
        <v>0.0123233644722454</v>
      </c>
      <c r="G4765" s="0" t="n">
        <f aca="false">SUMPRODUCT(D4765:F4765,Stats!$B$6:$D$6)</f>
        <v>0.399219608763645</v>
      </c>
      <c r="H4765" s="0" t="n">
        <f aca="false">SQRT(SUMPRODUCT(MMULT(D4765:F4765,Stats!$B$12:$D$14),D4765:F4765))</f>
        <v>0.238875680543307</v>
      </c>
      <c r="I4765" s="0" t="n">
        <f aca="false">(G4765-Stats!$B$2)/H4765</f>
        <v>1.49542058007401</v>
      </c>
    </row>
    <row r="4766" customFormat="false" ht="15" hidden="false" customHeight="false" outlineLevel="0" collapsed="false">
      <c r="A4766" s="0" t="n">
        <v>0.21724657248088</v>
      </c>
      <c r="B4766" s="0" t="n">
        <v>0.0651372386708959</v>
      </c>
      <c r="C4766" s="0" t="n">
        <v>0.780226916617895</v>
      </c>
      <c r="D4766" s="0" t="n">
        <f aca="false">A4766/SUM($A4766:$C4766)</f>
        <v>0.204446056117711</v>
      </c>
      <c r="E4766" s="0" t="n">
        <f aca="false">B4766/SUM($A4766:$C4766)</f>
        <v>0.0612992481335225</v>
      </c>
      <c r="F4766" s="0" t="n">
        <f aca="false">C4766/SUM($A4766:$C4766)</f>
        <v>0.734254695748766</v>
      </c>
      <c r="G4766" s="0" t="n">
        <f aca="false">SUMPRODUCT(D4766:F4766,Stats!$B$6:$D$6)</f>
        <v>0.339763993029797</v>
      </c>
      <c r="H4766" s="0" t="n">
        <f aca="false">SQRT(SUMPRODUCT(MMULT(D4766:F4766,Stats!$B$12:$D$14),D4766:F4766))</f>
        <v>0.237637574287855</v>
      </c>
      <c r="I4766" s="0" t="n">
        <f aca="false">(G4766-Stats!$B$2)/H4766</f>
        <v>1.25301730554239</v>
      </c>
    </row>
    <row r="4767" customFormat="false" ht="15" hidden="false" customHeight="false" outlineLevel="0" collapsed="false">
      <c r="A4767" s="0" t="n">
        <v>0.755874151178387</v>
      </c>
      <c r="B4767" s="0" t="n">
        <v>0.813636023801831</v>
      </c>
      <c r="C4767" s="0" t="n">
        <v>0.00448169332552884</v>
      </c>
      <c r="D4767" s="0" t="n">
        <f aca="false">A4767/SUM($A4767:$C4767)</f>
        <v>0.480227481728997</v>
      </c>
      <c r="E4767" s="0" t="n">
        <f aca="false">B4767/SUM($A4767:$C4767)</f>
        <v>0.516925176162208</v>
      </c>
      <c r="F4767" s="0" t="n">
        <f aca="false">C4767/SUM($A4767:$C4767)</f>
        <v>0.00284734210879562</v>
      </c>
      <c r="G4767" s="0" t="n">
        <f aca="false">SUMPRODUCT(D4767:F4767,Stats!$B$6:$D$6)</f>
        <v>0.386148395686032</v>
      </c>
      <c r="H4767" s="0" t="n">
        <f aca="false">SQRT(SUMPRODUCT(MMULT(D4767:F4767,Stats!$B$12:$D$14),D4767:F4767))</f>
        <v>0.230024359473669</v>
      </c>
      <c r="I4767" s="0" t="n">
        <f aca="false">(G4767-Stats!$B$2)/H4767</f>
        <v>1.49613891534573</v>
      </c>
    </row>
    <row r="4768" customFormat="false" ht="15" hidden="false" customHeight="false" outlineLevel="0" collapsed="false">
      <c r="A4768" s="0" t="n">
        <v>0.501232726678408</v>
      </c>
      <c r="B4768" s="0" t="n">
        <v>0.704836197517337</v>
      </c>
      <c r="C4768" s="0" t="n">
        <v>0.155401128739016</v>
      </c>
      <c r="D4768" s="0" t="n">
        <f aca="false">A4768/SUM($A4768:$C4768)</f>
        <v>0.368155528355515</v>
      </c>
      <c r="E4768" s="0" t="n">
        <f aca="false">B4768/SUM($A4768:$C4768)</f>
        <v>0.517702314493076</v>
      </c>
      <c r="F4768" s="0" t="n">
        <f aca="false">C4768/SUM($A4768:$C4768)</f>
        <v>0.114142157151408</v>
      </c>
      <c r="G4768" s="0" t="n">
        <f aca="false">SUMPRODUCT(D4768:F4768,Stats!$B$6:$D$6)</f>
        <v>0.383124199501196</v>
      </c>
      <c r="H4768" s="0" t="n">
        <f aca="false">SQRT(SUMPRODUCT(MMULT(D4768:F4768,Stats!$B$12:$D$14),D4768:F4768))</f>
        <v>0.229272749546314</v>
      </c>
      <c r="I4768" s="0" t="n">
        <f aca="false">(G4768-Stats!$B$2)/H4768</f>
        <v>1.48785322362215</v>
      </c>
    </row>
    <row r="4769" customFormat="false" ht="15" hidden="false" customHeight="false" outlineLevel="0" collapsed="false">
      <c r="A4769" s="0" t="n">
        <v>0.649790727512625</v>
      </c>
      <c r="B4769" s="0" t="n">
        <v>0.0841100993096857</v>
      </c>
      <c r="C4769" s="0" t="n">
        <v>0.181325856104313</v>
      </c>
      <c r="D4769" s="0" t="n">
        <f aca="false">A4769/SUM($A4769:$C4769)</f>
        <v>0.709977909991421</v>
      </c>
      <c r="E4769" s="0" t="n">
        <f aca="false">B4769/SUM($A4769:$C4769)</f>
        <v>0.0919008382062535</v>
      </c>
      <c r="F4769" s="0" t="n">
        <f aca="false">C4769/SUM($A4769:$C4769)</f>
        <v>0.198121251802326</v>
      </c>
      <c r="G4769" s="0" t="n">
        <f aca="false">SUMPRODUCT(D4769:F4769,Stats!$B$6:$D$6)</f>
        <v>0.356308442424778</v>
      </c>
      <c r="H4769" s="0" t="n">
        <f aca="false">SQRT(SUMPRODUCT(MMULT(D4769:F4769,Stats!$B$12:$D$14),D4769:F4769))</f>
        <v>0.222504970133168</v>
      </c>
      <c r="I4769" s="0" t="n">
        <f aca="false">(G4769-Stats!$B$2)/H4769</f>
        <v>1.41259065915097</v>
      </c>
    </row>
    <row r="4770" customFormat="false" ht="15" hidden="false" customHeight="false" outlineLevel="0" collapsed="false">
      <c r="A4770" s="0" t="n">
        <v>0.475796814994601</v>
      </c>
      <c r="B4770" s="0" t="n">
        <v>0.653565152681102</v>
      </c>
      <c r="C4770" s="0" t="n">
        <v>0.145869126953896</v>
      </c>
      <c r="D4770" s="0" t="n">
        <f aca="false">A4770/SUM($A4770:$C4770)</f>
        <v>0.373106346762035</v>
      </c>
      <c r="E4770" s="0" t="n">
        <f aca="false">B4770/SUM($A4770:$C4770)</f>
        <v>0.512507227461337</v>
      </c>
      <c r="F4770" s="0" t="n">
        <f aca="false">C4770/SUM($A4770:$C4770)</f>
        <v>0.114386425776628</v>
      </c>
      <c r="G4770" s="0" t="n">
        <f aca="false">SUMPRODUCT(D4770:F4770,Stats!$B$6:$D$6)</f>
        <v>0.38281854530387</v>
      </c>
      <c r="H4770" s="0" t="n">
        <f aca="false">SQRT(SUMPRODUCT(MMULT(D4770:F4770,Stats!$B$12:$D$14),D4770:F4770))</f>
        <v>0.229090007120369</v>
      </c>
      <c r="I4770" s="0" t="n">
        <f aca="false">(G4770-Stats!$B$2)/H4770</f>
        <v>1.48770585669761</v>
      </c>
    </row>
    <row r="4771" customFormat="false" ht="15" hidden="false" customHeight="false" outlineLevel="0" collapsed="false">
      <c r="A4771" s="0" t="n">
        <v>0.185223330830938</v>
      </c>
      <c r="B4771" s="0" t="n">
        <v>0.204446367065663</v>
      </c>
      <c r="C4771" s="0" t="n">
        <v>0.238700804698979</v>
      </c>
      <c r="D4771" s="0" t="n">
        <f aca="false">A4771/SUM($A4771:$C4771)</f>
        <v>0.294767704826762</v>
      </c>
      <c r="E4771" s="0" t="n">
        <f aca="false">B4771/SUM($A4771:$C4771)</f>
        <v>0.32535958677431</v>
      </c>
      <c r="F4771" s="0" t="n">
        <f aca="false">C4771/SUM($A4771:$C4771)</f>
        <v>0.379872708398928</v>
      </c>
      <c r="G4771" s="0" t="n">
        <f aca="false">SUMPRODUCT(D4771:F4771,Stats!$B$6:$D$6)</f>
        <v>0.364729630147273</v>
      </c>
      <c r="H4771" s="0" t="n">
        <f aca="false">SQRT(SUMPRODUCT(MMULT(D4771:F4771,Stats!$B$12:$D$14),D4771:F4771))</f>
        <v>0.227543187241802</v>
      </c>
      <c r="I4771" s="0" t="n">
        <f aca="false">(G4771-Stats!$B$2)/H4771</f>
        <v>1.41832253498462</v>
      </c>
    </row>
    <row r="4772" customFormat="false" ht="15" hidden="false" customHeight="false" outlineLevel="0" collapsed="false">
      <c r="A4772" s="0" t="n">
        <v>0.226553848526291</v>
      </c>
      <c r="B4772" s="0" t="n">
        <v>0.395149108497637</v>
      </c>
      <c r="C4772" s="0" t="n">
        <v>0.653789650836723</v>
      </c>
      <c r="D4772" s="0" t="n">
        <f aca="false">A4772/SUM($A4772:$C4772)</f>
        <v>0.177620667599386</v>
      </c>
      <c r="E4772" s="0" t="n">
        <f aca="false">B4772/SUM($A4772:$C4772)</f>
        <v>0.309801174904815</v>
      </c>
      <c r="F4772" s="0" t="n">
        <f aca="false">C4772/SUM($A4772:$C4772)</f>
        <v>0.512578157495798</v>
      </c>
      <c r="G4772" s="0" t="n">
        <f aca="false">SUMPRODUCT(D4772:F4772,Stats!$B$6:$D$6)</f>
        <v>0.360175117547513</v>
      </c>
      <c r="H4772" s="0" t="n">
        <f aca="false">SQRT(SUMPRODUCT(MMULT(D4772:F4772,Stats!$B$12:$D$14),D4772:F4772))</f>
        <v>0.233278786071418</v>
      </c>
      <c r="I4772" s="0" t="n">
        <f aca="false">(G4772-Stats!$B$2)/H4772</f>
        <v>1.36392649715737</v>
      </c>
    </row>
    <row r="4773" customFormat="false" ht="15" hidden="false" customHeight="false" outlineLevel="0" collapsed="false">
      <c r="A4773" s="0" t="n">
        <v>0.43803178313447</v>
      </c>
      <c r="B4773" s="0" t="n">
        <v>0.775973908749888</v>
      </c>
      <c r="C4773" s="0" t="n">
        <v>0.719268505948615</v>
      </c>
      <c r="D4773" s="0" t="n">
        <f aca="false">A4773/SUM($A4773:$C4773)</f>
        <v>0.226575094016909</v>
      </c>
      <c r="E4773" s="0" t="n">
        <f aca="false">B4773/SUM($A4773:$C4773)</f>
        <v>0.401378091953891</v>
      </c>
      <c r="F4773" s="0" t="n">
        <f aca="false">C4773/SUM($A4773:$C4773)</f>
        <v>0.3720468140292</v>
      </c>
      <c r="G4773" s="0" t="n">
        <f aca="false">SUMPRODUCT(D4773:F4773,Stats!$B$6:$D$6)</f>
        <v>0.369319432573728</v>
      </c>
      <c r="H4773" s="0" t="n">
        <f aca="false">SQRT(SUMPRODUCT(MMULT(D4773:F4773,Stats!$B$12:$D$14),D4773:F4773))</f>
        <v>0.230440518016019</v>
      </c>
      <c r="I4773" s="0" t="n">
        <f aca="false">(G4773-Stats!$B$2)/H4773</f>
        <v>1.42040746736637</v>
      </c>
    </row>
    <row r="4774" customFormat="false" ht="15" hidden="false" customHeight="false" outlineLevel="0" collapsed="false">
      <c r="A4774" s="0" t="n">
        <v>0.126526914049076</v>
      </c>
      <c r="B4774" s="0" t="n">
        <v>0.0488416233207439</v>
      </c>
      <c r="C4774" s="0" t="n">
        <v>0.877941563999606</v>
      </c>
      <c r="D4774" s="0" t="n">
        <f aca="false">A4774/SUM($A4774:$C4774)</f>
        <v>0.120123137416584</v>
      </c>
      <c r="E4774" s="0" t="n">
        <f aca="false">B4774/SUM($A4774:$C4774)</f>
        <v>0.046369652448262</v>
      </c>
      <c r="F4774" s="0" t="n">
        <f aca="false">C4774/SUM($A4774:$C4774)</f>
        <v>0.833507210135154</v>
      </c>
      <c r="G4774" s="0" t="n">
        <f aca="false">SUMPRODUCT(D4774:F4774,Stats!$B$6:$D$6)</f>
        <v>0.336168113507384</v>
      </c>
      <c r="H4774" s="0" t="n">
        <f aca="false">SQRT(SUMPRODUCT(MMULT(D4774:F4774,Stats!$B$12:$D$14),D4774:F4774))</f>
        <v>0.245329299368062</v>
      </c>
      <c r="I4774" s="0" t="n">
        <f aca="false">(G4774-Stats!$B$2)/H4774</f>
        <v>1.19907452662656</v>
      </c>
    </row>
    <row r="4775" customFormat="false" ht="15" hidden="false" customHeight="false" outlineLevel="0" collapsed="false">
      <c r="A4775" s="0" t="n">
        <v>0.0798310665628734</v>
      </c>
      <c r="B4775" s="0" t="n">
        <v>0.148339180719713</v>
      </c>
      <c r="C4775" s="0" t="n">
        <v>0.0221332755581181</v>
      </c>
      <c r="D4775" s="0" t="n">
        <f aca="false">A4775/SUM($A4775:$C4775)</f>
        <v>0.318937047536797</v>
      </c>
      <c r="E4775" s="0" t="n">
        <f aca="false">B4775/SUM($A4775:$C4775)</f>
        <v>0.592637207164349</v>
      </c>
      <c r="F4775" s="0" t="n">
        <f aca="false">C4775/SUM($A4775:$C4775)</f>
        <v>0.0884257452988541</v>
      </c>
      <c r="G4775" s="0" t="n">
        <f aca="false">SUMPRODUCT(D4775:F4775,Stats!$B$6:$D$6)</f>
        <v>0.38814497640495</v>
      </c>
      <c r="H4775" s="0" t="n">
        <f aca="false">SQRT(SUMPRODUCT(MMULT(D4775:F4775,Stats!$B$12:$D$14),D4775:F4775))</f>
        <v>0.232046439247649</v>
      </c>
      <c r="I4775" s="0" t="n">
        <f aca="false">(G4775-Stats!$B$2)/H4775</f>
        <v>1.49170561516581</v>
      </c>
    </row>
    <row r="4776" customFormat="false" ht="15" hidden="false" customHeight="false" outlineLevel="0" collapsed="false">
      <c r="A4776" s="0" t="n">
        <v>0.628336365298654</v>
      </c>
      <c r="B4776" s="0" t="n">
        <v>0.582370563158349</v>
      </c>
      <c r="C4776" s="0" t="n">
        <v>0.986903666435256</v>
      </c>
      <c r="D4776" s="0" t="n">
        <f aca="false">A4776/SUM($A4776:$C4776)</f>
        <v>0.285917972346443</v>
      </c>
      <c r="E4776" s="0" t="n">
        <f aca="false">B4776/SUM($A4776:$C4776)</f>
        <v>0.265001708906896</v>
      </c>
      <c r="F4776" s="0" t="n">
        <f aca="false">C4776/SUM($A4776:$C4776)</f>
        <v>0.449080318746662</v>
      </c>
      <c r="G4776" s="0" t="n">
        <f aca="false">SUMPRODUCT(D4776:F4776,Stats!$B$6:$D$6)</f>
        <v>0.359348342737762</v>
      </c>
      <c r="H4776" s="0" t="n">
        <f aca="false">SQRT(SUMPRODUCT(MMULT(D4776:F4776,Stats!$B$12:$D$14),D4776:F4776))</f>
        <v>0.228063743275106</v>
      </c>
      <c r="I4776" s="0" t="n">
        <f aca="false">(G4776-Stats!$B$2)/H4776</f>
        <v>1.39148966942525</v>
      </c>
    </row>
    <row r="4777" customFormat="false" ht="15" hidden="false" customHeight="false" outlineLevel="0" collapsed="false">
      <c r="A4777" s="0" t="n">
        <v>0.886932396317172</v>
      </c>
      <c r="B4777" s="0" t="n">
        <v>0.41084317748091</v>
      </c>
      <c r="C4777" s="0" t="n">
        <v>0.371585840912535</v>
      </c>
      <c r="D4777" s="0" t="n">
        <f aca="false">A4777/SUM($A4777:$C4777)</f>
        <v>0.531300405353458</v>
      </c>
      <c r="E4777" s="0" t="n">
        <f aca="false">B4777/SUM($A4777:$C4777)</f>
        <v>0.246107987078478</v>
      </c>
      <c r="F4777" s="0" t="n">
        <f aca="false">C4777/SUM($A4777:$C4777)</f>
        <v>0.222591607568065</v>
      </c>
      <c r="G4777" s="0" t="n">
        <f aca="false">SUMPRODUCT(D4777:F4777,Stats!$B$6:$D$6)</f>
        <v>0.364506561536032</v>
      </c>
      <c r="H4777" s="0" t="n">
        <f aca="false">SQRT(SUMPRODUCT(MMULT(D4777:F4777,Stats!$B$12:$D$14),D4777:F4777))</f>
        <v>0.222666948888432</v>
      </c>
      <c r="I4777" s="0" t="n">
        <f aca="false">(G4777-Stats!$B$2)/H4777</f>
        <v>1.44838092562011</v>
      </c>
    </row>
    <row r="4778" customFormat="false" ht="15" hidden="false" customHeight="false" outlineLevel="0" collapsed="false">
      <c r="A4778" s="0" t="n">
        <v>0.296852034279985</v>
      </c>
      <c r="B4778" s="0" t="n">
        <v>0.152406920037881</v>
      </c>
      <c r="C4778" s="0" t="n">
        <v>0.138083656602009</v>
      </c>
      <c r="D4778" s="0" t="n">
        <f aca="false">A4778/SUM($A4778:$C4778)</f>
        <v>0.505415457283213</v>
      </c>
      <c r="E4778" s="0" t="n">
        <f aca="false">B4778/SUM($A4778:$C4778)</f>
        <v>0.259485549327312</v>
      </c>
      <c r="F4778" s="0" t="n">
        <f aca="false">C4778/SUM($A4778:$C4778)</f>
        <v>0.235098993389475</v>
      </c>
      <c r="G4778" s="0" t="n">
        <f aca="false">SUMPRODUCT(D4778:F4778,Stats!$B$6:$D$6)</f>
        <v>0.364931402800158</v>
      </c>
      <c r="H4778" s="0" t="n">
        <f aca="false">SQRT(SUMPRODUCT(MMULT(D4778:F4778,Stats!$B$12:$D$14),D4778:F4778))</f>
        <v>0.222874751410525</v>
      </c>
      <c r="I4778" s="0" t="n">
        <f aca="false">(G4778-Stats!$B$2)/H4778</f>
        <v>1.44893668195431</v>
      </c>
    </row>
    <row r="4779" customFormat="false" ht="15" hidden="false" customHeight="false" outlineLevel="0" collapsed="false">
      <c r="A4779" s="0" t="n">
        <v>0.132283708009605</v>
      </c>
      <c r="B4779" s="0" t="n">
        <v>0.114114757186779</v>
      </c>
      <c r="C4779" s="0" t="n">
        <v>0.240512042405537</v>
      </c>
      <c r="D4779" s="0" t="n">
        <f aca="false">A4779/SUM($A4779:$C4779)</f>
        <v>0.271679715151589</v>
      </c>
      <c r="E4779" s="0" t="n">
        <f aca="false">B4779/SUM($A4779:$C4779)</f>
        <v>0.234364950858843</v>
      </c>
      <c r="F4779" s="0" t="n">
        <f aca="false">C4779/SUM($A4779:$C4779)</f>
        <v>0.493955333989568</v>
      </c>
      <c r="G4779" s="0" t="n">
        <f aca="false">SUMPRODUCT(D4779:F4779,Stats!$B$6:$D$6)</f>
        <v>0.356348132046572</v>
      </c>
      <c r="H4779" s="0" t="n">
        <f aca="false">SQRT(SUMPRODUCT(MMULT(D4779:F4779,Stats!$B$12:$D$14),D4779:F4779))</f>
        <v>0.229019220483651</v>
      </c>
      <c r="I4779" s="0" t="n">
        <f aca="false">(G4779-Stats!$B$2)/H4779</f>
        <v>1.37258406251982</v>
      </c>
    </row>
    <row r="4780" customFormat="false" ht="15" hidden="false" customHeight="false" outlineLevel="0" collapsed="false">
      <c r="A4780" s="0" t="n">
        <v>0.306668630313116</v>
      </c>
      <c r="B4780" s="0" t="n">
        <v>0.961578971038916</v>
      </c>
      <c r="C4780" s="0" t="n">
        <v>0.578473251001886</v>
      </c>
      <c r="D4780" s="0" t="n">
        <f aca="false">A4780/SUM($A4780:$C4780)</f>
        <v>0.16606117265759</v>
      </c>
      <c r="E4780" s="0" t="n">
        <f aca="false">B4780/SUM($A4780:$C4780)</f>
        <v>0.520695355669614</v>
      </c>
      <c r="F4780" s="0" t="n">
        <f aca="false">C4780/SUM($A4780:$C4780)</f>
        <v>0.313243471672796</v>
      </c>
      <c r="G4780" s="0" t="n">
        <f aca="false">SUMPRODUCT(D4780:F4780,Stats!$B$6:$D$6)</f>
        <v>0.377806273047141</v>
      </c>
      <c r="H4780" s="0" t="n">
        <f aca="false">SQRT(SUMPRODUCT(MMULT(D4780:F4780,Stats!$B$12:$D$14),D4780:F4780))</f>
        <v>0.233956822378211</v>
      </c>
      <c r="I4780" s="0" t="n">
        <f aca="false">(G4780-Stats!$B$2)/H4780</f>
        <v>1.43533439048117</v>
      </c>
    </row>
    <row r="4781" customFormat="false" ht="15" hidden="false" customHeight="false" outlineLevel="0" collapsed="false">
      <c r="A4781" s="0" t="n">
        <v>0.987595774513281</v>
      </c>
      <c r="B4781" s="0" t="n">
        <v>0.372466947825673</v>
      </c>
      <c r="C4781" s="0" t="n">
        <v>0.457626632589441</v>
      </c>
      <c r="D4781" s="0" t="n">
        <f aca="false">A4781/SUM($A4781:$C4781)</f>
        <v>0.543324838116899</v>
      </c>
      <c r="E4781" s="0" t="n">
        <f aca="false">B4781/SUM($A4781:$C4781)</f>
        <v>0.204912322788151</v>
      </c>
      <c r="F4781" s="0" t="n">
        <f aca="false">C4781/SUM($A4781:$C4781)</f>
        <v>0.25176283909495</v>
      </c>
      <c r="G4781" s="0" t="n">
        <f aca="false">SUMPRODUCT(D4781:F4781,Stats!$B$6:$D$6)</f>
        <v>0.361331830841763</v>
      </c>
      <c r="H4781" s="0" t="n">
        <f aca="false">SQRT(SUMPRODUCT(MMULT(D4781:F4781,Stats!$B$12:$D$14),D4781:F4781))</f>
        <v>0.222132889413687</v>
      </c>
      <c r="I4781" s="0" t="n">
        <f aca="false">(G4781-Stats!$B$2)/H4781</f>
        <v>1.43757113899085</v>
      </c>
    </row>
    <row r="4782" customFormat="false" ht="15" hidden="false" customHeight="false" outlineLevel="0" collapsed="false">
      <c r="A4782" s="0" t="n">
        <v>0.324578659165279</v>
      </c>
      <c r="B4782" s="0" t="n">
        <v>0.182887650896553</v>
      </c>
      <c r="C4782" s="0" t="n">
        <v>0.143164707777579</v>
      </c>
      <c r="D4782" s="0" t="n">
        <f aca="false">A4782/SUM($A4782:$C4782)</f>
        <v>0.498867484435536</v>
      </c>
      <c r="E4782" s="0" t="n">
        <f aca="false">B4782/SUM($A4782:$C4782)</f>
        <v>0.281092732873201</v>
      </c>
      <c r="F4782" s="0" t="n">
        <f aca="false">C4782/SUM($A4782:$C4782)</f>
        <v>0.220039782691263</v>
      </c>
      <c r="G4782" s="0" t="n">
        <f aca="false">SUMPRODUCT(D4782:F4782,Stats!$B$6:$D$6)</f>
        <v>0.366589904118684</v>
      </c>
      <c r="H4782" s="0" t="n">
        <f aca="false">SQRT(SUMPRODUCT(MMULT(D4782:F4782,Stats!$B$12:$D$14),D4782:F4782))</f>
        <v>0.223215596941132</v>
      </c>
      <c r="I4782" s="0" t="n">
        <f aca="false">(G4782-Stats!$B$2)/H4782</f>
        <v>1.45415422831894</v>
      </c>
    </row>
    <row r="4783" customFormat="false" ht="15" hidden="false" customHeight="false" outlineLevel="0" collapsed="false">
      <c r="A4783" s="0" t="n">
        <v>0.945079197807832</v>
      </c>
      <c r="B4783" s="0" t="n">
        <v>0.986810681798756</v>
      </c>
      <c r="C4783" s="0" t="n">
        <v>0.0449094965087316</v>
      </c>
      <c r="D4783" s="0" t="n">
        <f aca="false">A4783/SUM($A4783:$C4783)</f>
        <v>0.478085540306595</v>
      </c>
      <c r="E4783" s="0" t="n">
        <f aca="false">B4783/SUM($A4783:$C4783)</f>
        <v>0.499196172217523</v>
      </c>
      <c r="F4783" s="0" t="n">
        <f aca="false">C4783/SUM($A4783:$C4783)</f>
        <v>0.0227182874758818</v>
      </c>
      <c r="G4783" s="0" t="n">
        <f aca="false">SUMPRODUCT(D4783:F4783,Stats!$B$6:$D$6)</f>
        <v>0.384580358069526</v>
      </c>
      <c r="H4783" s="0" t="n">
        <f aca="false">SQRT(SUMPRODUCT(MMULT(D4783:F4783,Stats!$B$12:$D$14),D4783:F4783))</f>
        <v>0.22925574366203</v>
      </c>
      <c r="I4783" s="0" t="n">
        <f aca="false">(G4783-Stats!$B$2)/H4783</f>
        <v>1.49431526816864</v>
      </c>
    </row>
    <row r="4784" customFormat="false" ht="15" hidden="false" customHeight="false" outlineLevel="0" collapsed="false">
      <c r="A4784" s="0" t="n">
        <v>0.150345874731767</v>
      </c>
      <c r="B4784" s="0" t="n">
        <v>0.423524092301023</v>
      </c>
      <c r="C4784" s="0" t="n">
        <v>0.186333476344407</v>
      </c>
      <c r="D4784" s="0" t="n">
        <f aca="false">A4784/SUM($A4784:$C4784)</f>
        <v>0.197770578443918</v>
      </c>
      <c r="E4784" s="0" t="n">
        <f aca="false">B4784/SUM($A4784:$C4784)</f>
        <v>0.557119407956798</v>
      </c>
      <c r="F4784" s="0" t="n">
        <f aca="false">C4784/SUM($A4784:$C4784)</f>
        <v>0.245110013599284</v>
      </c>
      <c r="G4784" s="0" t="n">
        <f aca="false">SUMPRODUCT(D4784:F4784,Stats!$B$6:$D$6)</f>
        <v>0.381780819773889</v>
      </c>
      <c r="H4784" s="0" t="n">
        <f aca="false">SQRT(SUMPRODUCT(MMULT(D4784:F4784,Stats!$B$12:$D$14),D4784:F4784))</f>
        <v>0.23337490529219</v>
      </c>
      <c r="I4784" s="0" t="n">
        <f aca="false">(G4784-Stats!$B$2)/H4784</f>
        <v>1.45594411425031</v>
      </c>
    </row>
    <row r="4785" customFormat="false" ht="15" hidden="false" customHeight="false" outlineLevel="0" collapsed="false">
      <c r="A4785" s="0" t="n">
        <v>0.363880393626883</v>
      </c>
      <c r="B4785" s="0" t="n">
        <v>0.129096349859633</v>
      </c>
      <c r="C4785" s="0" t="n">
        <v>0.45651175672179</v>
      </c>
      <c r="D4785" s="0" t="n">
        <f aca="false">A4785/SUM($A4785:$C4785)</f>
        <v>0.38323833679613</v>
      </c>
      <c r="E4785" s="0" t="n">
        <f aca="false">B4785/SUM($A4785:$C4785)</f>
        <v>0.135964100493383</v>
      </c>
      <c r="F4785" s="0" t="n">
        <f aca="false">C4785/SUM($A4785:$C4785)</f>
        <v>0.480797562710488</v>
      </c>
      <c r="G4785" s="0" t="n">
        <f aca="false">SUMPRODUCT(D4785:F4785,Stats!$B$6:$D$6)</f>
        <v>0.351049094956548</v>
      </c>
      <c r="H4785" s="0" t="n">
        <f aca="false">SQRT(SUMPRODUCT(MMULT(D4785:F4785,Stats!$B$12:$D$14),D4785:F4785))</f>
        <v>0.225329373242494</v>
      </c>
      <c r="I4785" s="0" t="n">
        <f aca="false">(G4785-Stats!$B$2)/H4785</f>
        <v>1.37154375618822</v>
      </c>
    </row>
    <row r="4786" customFormat="false" ht="15" hidden="false" customHeight="false" outlineLevel="0" collapsed="false">
      <c r="A4786" s="0" t="n">
        <v>0.271694616169259</v>
      </c>
      <c r="B4786" s="0" t="n">
        <v>0.351905055758661</v>
      </c>
      <c r="C4786" s="0" t="n">
        <v>0.0943126514627476</v>
      </c>
      <c r="D4786" s="0" t="n">
        <f aca="false">A4786/SUM($A4786:$C4786)</f>
        <v>0.378450971402828</v>
      </c>
      <c r="E4786" s="0" t="n">
        <f aca="false">B4786/SUM($A4786:$C4786)</f>
        <v>0.490178318846275</v>
      </c>
      <c r="F4786" s="0" t="n">
        <f aca="false">C4786/SUM($A4786:$C4786)</f>
        <v>0.131370709750897</v>
      </c>
      <c r="G4786" s="0" t="n">
        <f aca="false">SUMPRODUCT(D4786:F4786,Stats!$B$6:$D$6)</f>
        <v>0.381065433703809</v>
      </c>
      <c r="H4786" s="0" t="n">
        <f aca="false">SQRT(SUMPRODUCT(MMULT(D4786:F4786,Stats!$B$12:$D$14),D4786:F4786))</f>
        <v>0.228384165442831</v>
      </c>
      <c r="I4786" s="0" t="n">
        <f aca="false">(G4786-Stats!$B$2)/H4786</f>
        <v>1.48462759248816</v>
      </c>
    </row>
    <row r="4787" customFormat="false" ht="15" hidden="false" customHeight="false" outlineLevel="0" collapsed="false">
      <c r="A4787" s="0" t="n">
        <v>0.428128050710142</v>
      </c>
      <c r="B4787" s="0" t="n">
        <v>0.98325761096157</v>
      </c>
      <c r="C4787" s="0" t="n">
        <v>0.32883304688119</v>
      </c>
      <c r="D4787" s="0" t="n">
        <f aca="false">A4787/SUM($A4787:$C4787)</f>
        <v>0.246019680518293</v>
      </c>
      <c r="E4787" s="0" t="n">
        <f aca="false">B4787/SUM($A4787:$C4787)</f>
        <v>0.565019561121262</v>
      </c>
      <c r="F4787" s="0" t="n">
        <f aca="false">C4787/SUM($A4787:$C4787)</f>
        <v>0.188960758360445</v>
      </c>
      <c r="G4787" s="0" t="n">
        <f aca="false">SUMPRODUCT(D4787:F4787,Stats!$B$6:$D$6)</f>
        <v>0.383783678479076</v>
      </c>
      <c r="H4787" s="0" t="n">
        <f aca="false">SQRT(SUMPRODUCT(MMULT(D4787:F4787,Stats!$B$12:$D$14),D4787:F4787))</f>
        <v>0.23223545108809</v>
      </c>
      <c r="I4787" s="0" t="n">
        <f aca="false">(G4787-Stats!$B$2)/H4787</f>
        <v>1.47171190650575</v>
      </c>
    </row>
    <row r="4788" customFormat="false" ht="15" hidden="false" customHeight="false" outlineLevel="0" collapsed="false">
      <c r="A4788" s="0" t="n">
        <v>0.876429274842435</v>
      </c>
      <c r="B4788" s="0" t="n">
        <v>0.843199141623685</v>
      </c>
      <c r="C4788" s="0" t="n">
        <v>0.952058418297211</v>
      </c>
      <c r="D4788" s="0" t="n">
        <f aca="false">A4788/SUM($A4788:$C4788)</f>
        <v>0.328043415657312</v>
      </c>
      <c r="E4788" s="0" t="n">
        <f aca="false">B4788/SUM($A4788:$C4788)</f>
        <v>0.315605530802557</v>
      </c>
      <c r="F4788" s="0" t="n">
        <f aca="false">C4788/SUM($A4788:$C4788)</f>
        <v>0.356351053540131</v>
      </c>
      <c r="G4788" s="0" t="n">
        <f aca="false">SUMPRODUCT(D4788:F4788,Stats!$B$6:$D$6)</f>
        <v>0.364816994976913</v>
      </c>
      <c r="H4788" s="0" t="n">
        <f aca="false">SQRT(SUMPRODUCT(MMULT(D4788:F4788,Stats!$B$12:$D$14),D4788:F4788))</f>
        <v>0.226384498630476</v>
      </c>
      <c r="I4788" s="0" t="n">
        <f aca="false">(G4788-Stats!$B$2)/H4788</f>
        <v>1.42596775366604</v>
      </c>
    </row>
    <row r="4789" customFormat="false" ht="15" hidden="false" customHeight="false" outlineLevel="0" collapsed="false">
      <c r="A4789" s="0" t="n">
        <v>0.790109512267095</v>
      </c>
      <c r="B4789" s="0" t="n">
        <v>0.659596827058815</v>
      </c>
      <c r="C4789" s="0" t="n">
        <v>0.856584444227458</v>
      </c>
      <c r="D4789" s="0" t="n">
        <f aca="false">A4789/SUM($A4789:$C4789)</f>
        <v>0.342588852152351</v>
      </c>
      <c r="E4789" s="0" t="n">
        <f aca="false">B4789/SUM($A4789:$C4789)</f>
        <v>0.285998986668349</v>
      </c>
      <c r="F4789" s="0" t="n">
        <f aca="false">C4789/SUM($A4789:$C4789)</f>
        <v>0.3714121611793</v>
      </c>
      <c r="G4789" s="0" t="n">
        <f aca="false">SUMPRODUCT(D4789:F4789,Stats!$B$6:$D$6)</f>
        <v>0.362698168496087</v>
      </c>
      <c r="H4789" s="0" t="n">
        <f aca="false">SQRT(SUMPRODUCT(MMULT(D4789:F4789,Stats!$B$12:$D$14),D4789:F4789))</f>
        <v>0.225855658752826</v>
      </c>
      <c r="I4789" s="0" t="n">
        <f aca="false">(G4789-Stats!$B$2)/H4789</f>
        <v>1.41992531985686</v>
      </c>
    </row>
    <row r="4790" customFormat="false" ht="15" hidden="false" customHeight="false" outlineLevel="0" collapsed="false">
      <c r="A4790" s="0" t="n">
        <v>0.0756446806573496</v>
      </c>
      <c r="B4790" s="0" t="n">
        <v>0.462830657198808</v>
      </c>
      <c r="C4790" s="0" t="n">
        <v>0.989256238615059</v>
      </c>
      <c r="D4790" s="0" t="n">
        <f aca="false">A4790/SUM($A4790:$C4790)</f>
        <v>0.0495143792419838</v>
      </c>
      <c r="E4790" s="0" t="n">
        <f aca="false">B4790/SUM($A4790:$C4790)</f>
        <v>0.302952864447472</v>
      </c>
      <c r="F4790" s="0" t="n">
        <f aca="false">C4790/SUM($A4790:$C4790)</f>
        <v>0.647532756310544</v>
      </c>
      <c r="G4790" s="0" t="n">
        <f aca="false">SUMPRODUCT(D4790:F4790,Stats!$B$6:$D$6)</f>
        <v>0.356059753471344</v>
      </c>
      <c r="H4790" s="0" t="n">
        <f aca="false">SQRT(SUMPRODUCT(MMULT(D4790:F4790,Stats!$B$12:$D$14),D4790:F4790))</f>
        <v>0.24243985819427</v>
      </c>
      <c r="I4790" s="0" t="n">
        <f aca="false">(G4790-Stats!$B$2)/H4790</f>
        <v>1.29541303897185</v>
      </c>
    </row>
    <row r="4791" customFormat="false" ht="15" hidden="false" customHeight="false" outlineLevel="0" collapsed="false">
      <c r="A4791" s="0" t="n">
        <v>0.769600151294732</v>
      </c>
      <c r="B4791" s="0" t="n">
        <v>0.962075378037223</v>
      </c>
      <c r="C4791" s="0" t="n">
        <v>0.779634356133479</v>
      </c>
      <c r="D4791" s="0" t="n">
        <f aca="false">A4791/SUM($A4791:$C4791)</f>
        <v>0.306453678117903</v>
      </c>
      <c r="E4791" s="0" t="n">
        <f aca="false">B4791/SUM($A4791:$C4791)</f>
        <v>0.383097037767172</v>
      </c>
      <c r="F4791" s="0" t="n">
        <f aca="false">C4791/SUM($A4791:$C4791)</f>
        <v>0.310449284114925</v>
      </c>
      <c r="G4791" s="0" t="n">
        <f aca="false">SUMPRODUCT(D4791:F4791,Stats!$B$6:$D$6)</f>
        <v>0.36996609257226</v>
      </c>
      <c r="H4791" s="0" t="n">
        <f aca="false">SQRT(SUMPRODUCT(MMULT(D4791:F4791,Stats!$B$12:$D$14),D4791:F4791))</f>
        <v>0.22747907335457</v>
      </c>
      <c r="I4791" s="0" t="n">
        <f aca="false">(G4791-Stats!$B$2)/H4791</f>
        <v>1.44174181710799</v>
      </c>
    </row>
    <row r="4792" customFormat="false" ht="15" hidden="false" customHeight="false" outlineLevel="0" collapsed="false">
      <c r="A4792" s="0" t="n">
        <v>0.874881967442144</v>
      </c>
      <c r="B4792" s="0" t="n">
        <v>0.706529632303191</v>
      </c>
      <c r="C4792" s="0" t="n">
        <v>0.76050200441724</v>
      </c>
      <c r="D4792" s="0" t="n">
        <f aca="false">A4792/SUM($A4792:$C4792)</f>
        <v>0.373575680113522</v>
      </c>
      <c r="E4792" s="0" t="n">
        <f aca="false">B4792/SUM($A4792:$C4792)</f>
        <v>0.301689025183247</v>
      </c>
      <c r="F4792" s="0" t="n">
        <f aca="false">C4792/SUM($A4792:$C4792)</f>
        <v>0.324735294703231</v>
      </c>
      <c r="G4792" s="0" t="n">
        <f aca="false">SUMPRODUCT(D4792:F4792,Stats!$B$6:$D$6)</f>
        <v>0.364888049645226</v>
      </c>
      <c r="H4792" s="0" t="n">
        <f aca="false">SQRT(SUMPRODUCT(MMULT(D4792:F4792,Stats!$B$12:$D$14),D4792:F4792))</f>
        <v>0.225053329610512</v>
      </c>
      <c r="I4792" s="0" t="n">
        <f aca="false">(G4792-Stats!$B$2)/H4792</f>
        <v>1.4347179408722</v>
      </c>
    </row>
    <row r="4793" customFormat="false" ht="15" hidden="false" customHeight="false" outlineLevel="0" collapsed="false">
      <c r="A4793" s="0" t="n">
        <v>0.523178009839501</v>
      </c>
      <c r="B4793" s="0" t="n">
        <v>0.924237700814133</v>
      </c>
      <c r="C4793" s="0" t="n">
        <v>0.825038910623362</v>
      </c>
      <c r="D4793" s="0" t="n">
        <f aca="false">A4793/SUM($A4793:$C4793)</f>
        <v>0.230225943761862</v>
      </c>
      <c r="E4793" s="0" t="n">
        <f aca="false">B4793/SUM($A4793:$C4793)</f>
        <v>0.406713380395144</v>
      </c>
      <c r="F4793" s="0" t="n">
        <f aca="false">C4793/SUM($A4793:$C4793)</f>
        <v>0.363060675842994</v>
      </c>
      <c r="G4793" s="0" t="n">
        <f aca="false">SUMPRODUCT(D4793:F4793,Stats!$B$6:$D$6)</f>
        <v>0.369874207469543</v>
      </c>
      <c r="H4793" s="0" t="n">
        <f aca="false">SQRT(SUMPRODUCT(MMULT(D4793:F4793,Stats!$B$12:$D$14),D4793:F4793))</f>
        <v>0.230313356070004</v>
      </c>
      <c r="I4793" s="0" t="n">
        <f aca="false">(G4793-Stats!$B$2)/H4793</f>
        <v>1.42360049397173</v>
      </c>
    </row>
    <row r="4794" customFormat="false" ht="15" hidden="false" customHeight="false" outlineLevel="0" collapsed="false">
      <c r="A4794" s="0" t="n">
        <v>0.843884965665632</v>
      </c>
      <c r="B4794" s="0" t="n">
        <v>0.673009100963052</v>
      </c>
      <c r="C4794" s="0" t="n">
        <v>0.304579947087249</v>
      </c>
      <c r="D4794" s="0" t="n">
        <f aca="false">A4794/SUM($A4794:$C4794)</f>
        <v>0.463297834232643</v>
      </c>
      <c r="E4794" s="0" t="n">
        <f aca="false">B4794/SUM($A4794:$C4794)</f>
        <v>0.369485974488358</v>
      </c>
      <c r="F4794" s="0" t="n">
        <f aca="false">C4794/SUM($A4794:$C4794)</f>
        <v>0.167216191278999</v>
      </c>
      <c r="G4794" s="0" t="n">
        <f aca="false">SUMPRODUCT(D4794:F4794,Stats!$B$6:$D$6)</f>
        <v>0.373132527052258</v>
      </c>
      <c r="H4794" s="0" t="n">
        <f aca="false">SQRT(SUMPRODUCT(MMULT(D4794:F4794,Stats!$B$12:$D$14),D4794:F4794))</f>
        <v>0.224994070055945</v>
      </c>
      <c r="I4794" s="0" t="n">
        <f aca="false">(G4794-Stats!$B$2)/H4794</f>
        <v>1.47173890836288</v>
      </c>
    </row>
    <row r="4795" customFormat="false" ht="15" hidden="false" customHeight="false" outlineLevel="0" collapsed="false">
      <c r="A4795" s="0" t="n">
        <v>0.0356297953901393</v>
      </c>
      <c r="B4795" s="0" t="n">
        <v>0.935655129409545</v>
      </c>
      <c r="C4795" s="0" t="n">
        <v>0.586120348805497</v>
      </c>
      <c r="D4795" s="0" t="n">
        <f aca="false">A4795/SUM($A4795:$C4795)</f>
        <v>0.0228776645321492</v>
      </c>
      <c r="E4795" s="0" t="n">
        <f aca="false">B4795/SUM($A4795:$C4795)</f>
        <v>0.60077819516023</v>
      </c>
      <c r="F4795" s="0" t="n">
        <f aca="false">C4795/SUM($A4795:$C4795)</f>
        <v>0.376344140307621</v>
      </c>
      <c r="G4795" s="0" t="n">
        <f aca="false">SUMPRODUCT(D4795:F4795,Stats!$B$6:$D$6)</f>
        <v>0.380674159314428</v>
      </c>
      <c r="H4795" s="0" t="n">
        <f aca="false">SQRT(SUMPRODUCT(MMULT(D4795:F4795,Stats!$B$12:$D$14),D4795:F4795))</f>
        <v>0.241993223780375</v>
      </c>
      <c r="I4795" s="0" t="n">
        <f aca="false">(G4795-Stats!$B$2)/H4795</f>
        <v>1.39951918497436</v>
      </c>
    </row>
    <row r="4796" customFormat="false" ht="15" hidden="false" customHeight="false" outlineLevel="0" collapsed="false">
      <c r="A4796" s="0" t="n">
        <v>0.29814297114814</v>
      </c>
      <c r="B4796" s="0" t="n">
        <v>0.149135107847538</v>
      </c>
      <c r="C4796" s="0" t="n">
        <v>0.829523165500755</v>
      </c>
      <c r="D4796" s="0" t="n">
        <f aca="false">A4796/SUM($A4796:$C4796)</f>
        <v>0.2335077385249</v>
      </c>
      <c r="E4796" s="0" t="n">
        <f aca="false">B4796/SUM($A4796:$C4796)</f>
        <v>0.116803698688715</v>
      </c>
      <c r="F4796" s="0" t="n">
        <f aca="false">C4796/SUM($A4796:$C4796)</f>
        <v>0.649688562786385</v>
      </c>
      <c r="G4796" s="0" t="n">
        <f aca="false">SUMPRODUCT(D4796:F4796,Stats!$B$6:$D$6)</f>
        <v>0.345289525867331</v>
      </c>
      <c r="H4796" s="0" t="n">
        <f aca="false">SQRT(SUMPRODUCT(MMULT(D4796:F4796,Stats!$B$12:$D$14),D4796:F4796))</f>
        <v>0.233680655470761</v>
      </c>
      <c r="I4796" s="0" t="n">
        <f aca="false">(G4796-Stats!$B$2)/H4796</f>
        <v>1.29788032841803</v>
      </c>
    </row>
    <row r="4797" customFormat="false" ht="15" hidden="false" customHeight="false" outlineLevel="0" collapsed="false">
      <c r="A4797" s="0" t="n">
        <v>0.836520194447579</v>
      </c>
      <c r="B4797" s="0" t="n">
        <v>0.814507968130532</v>
      </c>
      <c r="C4797" s="0" t="n">
        <v>0.645082691966786</v>
      </c>
      <c r="D4797" s="0" t="n">
        <f aca="false">A4797/SUM($A4797:$C4797)</f>
        <v>0.364320473809781</v>
      </c>
      <c r="E4797" s="0" t="n">
        <f aca="false">B4797/SUM($A4797:$C4797)</f>
        <v>0.354733730088991</v>
      </c>
      <c r="F4797" s="0" t="n">
        <f aca="false">C4797/SUM($A4797:$C4797)</f>
        <v>0.280945796101228</v>
      </c>
      <c r="G4797" s="0" t="n">
        <f aca="false">SUMPRODUCT(D4797:F4797,Stats!$B$6:$D$6)</f>
        <v>0.369147651892708</v>
      </c>
      <c r="H4797" s="0" t="n">
        <f aca="false">SQRT(SUMPRODUCT(MMULT(D4797:F4797,Stats!$B$12:$D$14),D4797:F4797))</f>
        <v>0.225741946406135</v>
      </c>
      <c r="I4797" s="0" t="n">
        <f aca="false">(G4797-Stats!$B$2)/H4797</f>
        <v>1.44921073420769</v>
      </c>
    </row>
    <row r="4798" customFormat="false" ht="15" hidden="false" customHeight="false" outlineLevel="0" collapsed="false">
      <c r="A4798" s="0" t="n">
        <v>0.366015387591876</v>
      </c>
      <c r="B4798" s="0" t="n">
        <v>0.304070284780257</v>
      </c>
      <c r="C4798" s="0" t="n">
        <v>0.00855477011817019</v>
      </c>
      <c r="D4798" s="0" t="n">
        <f aca="false">A4798/SUM($A4798:$C4798)</f>
        <v>0.539336244460712</v>
      </c>
      <c r="E4798" s="0" t="n">
        <f aca="false">B4798/SUM($A4798:$C4798)</f>
        <v>0.448058007955519</v>
      </c>
      <c r="F4798" s="0" t="n">
        <f aca="false">C4798/SUM($A4798:$C4798)</f>
        <v>0.0126057475837692</v>
      </c>
      <c r="G4798" s="0" t="n">
        <f aca="false">SUMPRODUCT(D4798:F4798,Stats!$B$6:$D$6)</f>
        <v>0.381916783682759</v>
      </c>
      <c r="H4798" s="0" t="n">
        <f aca="false">SQRT(SUMPRODUCT(MMULT(D4798:F4798,Stats!$B$12:$D$14),D4798:F4798))</f>
        <v>0.228369419634418</v>
      </c>
      <c r="I4798" s="0" t="n">
        <f aca="false">(G4798-Stats!$B$2)/H4798</f>
        <v>1.48845140573948</v>
      </c>
    </row>
    <row r="4799" customFormat="false" ht="15" hidden="false" customHeight="false" outlineLevel="0" collapsed="false">
      <c r="A4799" s="0" t="n">
        <v>0.83360755868824</v>
      </c>
      <c r="B4799" s="0" t="n">
        <v>0.0874326974936425</v>
      </c>
      <c r="C4799" s="0" t="n">
        <v>0.630754998040768</v>
      </c>
      <c r="D4799" s="0" t="n">
        <f aca="false">A4799/SUM($A4799:$C4799)</f>
        <v>0.537189140397149</v>
      </c>
      <c r="E4799" s="0" t="n">
        <f aca="false">B4799/SUM($A4799:$C4799)</f>
        <v>0.0563429339377898</v>
      </c>
      <c r="F4799" s="0" t="n">
        <f aca="false">C4799/SUM($A4799:$C4799)</f>
        <v>0.406467925665062</v>
      </c>
      <c r="G4799" s="0" t="n">
        <f aca="false">SUMPRODUCT(D4799:F4799,Stats!$B$6:$D$6)</f>
        <v>0.348517407237445</v>
      </c>
      <c r="H4799" s="0" t="n">
        <f aca="false">SQRT(SUMPRODUCT(MMULT(D4799:F4799,Stats!$B$12:$D$14),D4799:F4799))</f>
        <v>0.221952324451012</v>
      </c>
      <c r="I4799" s="0" t="n">
        <f aca="false">(G4799-Stats!$B$2)/H4799</f>
        <v>1.3810056190923</v>
      </c>
    </row>
    <row r="4800" customFormat="false" ht="15" hidden="false" customHeight="false" outlineLevel="0" collapsed="false">
      <c r="A4800" s="0" t="n">
        <v>0.504074946840088</v>
      </c>
      <c r="B4800" s="0" t="n">
        <v>0.526689358926351</v>
      </c>
      <c r="C4800" s="0" t="n">
        <v>0.926712845307773</v>
      </c>
      <c r="D4800" s="0" t="n">
        <f aca="false">A4800/SUM($A4800:$C4800)</f>
        <v>0.257512557203268</v>
      </c>
      <c r="E4800" s="0" t="n">
        <f aca="false">B4800/SUM($A4800:$C4800)</f>
        <v>0.269065392991851</v>
      </c>
      <c r="F4800" s="0" t="n">
        <f aca="false">C4800/SUM($A4800:$C4800)</f>
        <v>0.473422049804881</v>
      </c>
      <c r="G4800" s="0" t="n">
        <f aca="false">SUMPRODUCT(D4800:F4800,Stats!$B$6:$D$6)</f>
        <v>0.358910947988879</v>
      </c>
      <c r="H4800" s="0" t="n">
        <f aca="false">SQRT(SUMPRODUCT(MMULT(D4800:F4800,Stats!$B$12:$D$14),D4800:F4800))</f>
        <v>0.229357459707287</v>
      </c>
      <c r="I4800" s="0" t="n">
        <f aca="false">(G4800-Stats!$B$2)/H4800</f>
        <v>1.38173377222319</v>
      </c>
    </row>
    <row r="4801" customFormat="false" ht="15" hidden="false" customHeight="false" outlineLevel="0" collapsed="false">
      <c r="A4801" s="0" t="n">
        <v>0.0316150112712421</v>
      </c>
      <c r="B4801" s="0" t="n">
        <v>0.773392224628772</v>
      </c>
      <c r="C4801" s="0" t="n">
        <v>0.0520523983673071</v>
      </c>
      <c r="D4801" s="0" t="n">
        <f aca="false">A4801/SUM($A4801:$C4801)</f>
        <v>0.0368877613729516</v>
      </c>
      <c r="E4801" s="0" t="n">
        <f aca="false">B4801/SUM($A4801:$C4801)</f>
        <v>0.902378543693667</v>
      </c>
      <c r="F4801" s="0" t="n">
        <f aca="false">C4801/SUM($A4801:$C4801)</f>
        <v>0.0607336949333816</v>
      </c>
      <c r="G4801" s="0" t="n">
        <f aca="false">SUMPRODUCT(D4801:F4801,Stats!$B$6:$D$6)</f>
        <v>0.406730689656385</v>
      </c>
      <c r="H4801" s="0" t="n">
        <f aca="false">SQRT(SUMPRODUCT(MMULT(D4801:F4801,Stats!$B$12:$D$14),D4801:F4801))</f>
        <v>0.24914672245222</v>
      </c>
      <c r="I4801" s="0" t="n">
        <f aca="false">(G4801-Stats!$B$2)/H4801</f>
        <v>1.46391927642689</v>
      </c>
    </row>
    <row r="4802" customFormat="false" ht="15" hidden="false" customHeight="false" outlineLevel="0" collapsed="false">
      <c r="A4802" s="0" t="n">
        <v>0.0381536059353772</v>
      </c>
      <c r="B4802" s="0" t="n">
        <v>0.429817698141382</v>
      </c>
      <c r="C4802" s="0" t="n">
        <v>0.0630751743429667</v>
      </c>
      <c r="D4802" s="0" t="n">
        <f aca="false">A4802/SUM($A4802:$C4802)</f>
        <v>0.0718460765410096</v>
      </c>
      <c r="E4802" s="0" t="n">
        <f aca="false">B4802/SUM($A4802:$C4802)</f>
        <v>0.809378680789716</v>
      </c>
      <c r="F4802" s="0" t="n">
        <f aca="false">C4802/SUM($A4802:$C4802)</f>
        <v>0.118775242669275</v>
      </c>
      <c r="G4802" s="0" t="n">
        <f aca="false">SUMPRODUCT(D4802:F4802,Stats!$B$6:$D$6)</f>
        <v>0.399779124557394</v>
      </c>
      <c r="H4802" s="0" t="n">
        <f aca="false">SQRT(SUMPRODUCT(MMULT(D4802:F4802,Stats!$B$12:$D$14),D4802:F4802))</f>
        <v>0.244444632919363</v>
      </c>
      <c r="I4802" s="0" t="n">
        <f aca="false">(G4802-Stats!$B$2)/H4802</f>
        <v>1.46364074467292</v>
      </c>
    </row>
    <row r="4803" customFormat="false" ht="15" hidden="false" customHeight="false" outlineLevel="0" collapsed="false">
      <c r="A4803" s="0" t="n">
        <v>0.789143951292912</v>
      </c>
      <c r="B4803" s="0" t="n">
        <v>0.529563093648337</v>
      </c>
      <c r="C4803" s="0" t="n">
        <v>0.0290387826597744</v>
      </c>
      <c r="D4803" s="0" t="n">
        <f aca="false">A4803/SUM($A4803:$C4803)</f>
        <v>0.585528765982219</v>
      </c>
      <c r="E4803" s="0" t="n">
        <f aca="false">B4803/SUM($A4803:$C4803)</f>
        <v>0.39292504773764</v>
      </c>
      <c r="F4803" s="0" t="n">
        <f aca="false">C4803/SUM($A4803:$C4803)</f>
        <v>0.021546186280141</v>
      </c>
      <c r="G4803" s="0" t="n">
        <f aca="false">SUMPRODUCT(D4803:F4803,Stats!$B$6:$D$6)</f>
        <v>0.378497975350637</v>
      </c>
      <c r="H4803" s="0" t="n">
        <f aca="false">SQRT(SUMPRODUCT(MMULT(D4803:F4803,Stats!$B$12:$D$14),D4803:F4803))</f>
        <v>0.227341849852382</v>
      </c>
      <c r="I4803" s="0" t="n">
        <f aca="false">(G4803-Stats!$B$2)/H4803</f>
        <v>1.48014092244403</v>
      </c>
    </row>
    <row r="4804" customFormat="false" ht="15" hidden="false" customHeight="false" outlineLevel="0" collapsed="false">
      <c r="A4804" s="0" t="n">
        <v>0.0405006864819195</v>
      </c>
      <c r="B4804" s="0" t="n">
        <v>0.612668529739479</v>
      </c>
      <c r="C4804" s="0" t="n">
        <v>0.806111817658405</v>
      </c>
      <c r="D4804" s="0" t="n">
        <f aca="false">A4804/SUM($A4804:$C4804)</f>
        <v>0.0277538634037064</v>
      </c>
      <c r="E4804" s="0" t="n">
        <f aca="false">B4804/SUM($A4804:$C4804)</f>
        <v>0.419842727696236</v>
      </c>
      <c r="F4804" s="0" t="n">
        <f aca="false">C4804/SUM($A4804:$C4804)</f>
        <v>0.552403408900058</v>
      </c>
      <c r="G4804" s="0" t="n">
        <f aca="false">SUMPRODUCT(D4804:F4804,Stats!$B$6:$D$6)</f>
        <v>0.365408600081262</v>
      </c>
      <c r="H4804" s="0" t="n">
        <f aca="false">SQRT(SUMPRODUCT(MMULT(D4804:F4804,Stats!$B$12:$D$14),D4804:F4804))</f>
        <v>0.242038734920724</v>
      </c>
      <c r="I4804" s="0" t="n">
        <f aca="false">(G4804-Stats!$B$2)/H4804</f>
        <v>1.33618530185753</v>
      </c>
    </row>
    <row r="4805" customFormat="false" ht="15" hidden="false" customHeight="false" outlineLevel="0" collapsed="false">
      <c r="A4805" s="0" t="n">
        <v>0.437799531274774</v>
      </c>
      <c r="B4805" s="0" t="n">
        <v>0.554580671535624</v>
      </c>
      <c r="C4805" s="0" t="n">
        <v>0.799829454049902</v>
      </c>
      <c r="D4805" s="0" t="n">
        <f aca="false">A4805/SUM($A4805:$C4805)</f>
        <v>0.244279194456377</v>
      </c>
      <c r="E4805" s="0" t="n">
        <f aca="false">B4805/SUM($A4805:$C4805)</f>
        <v>0.309439617967003</v>
      </c>
      <c r="F4805" s="0" t="n">
        <f aca="false">C4805/SUM($A4805:$C4805)</f>
        <v>0.44628118757662</v>
      </c>
      <c r="G4805" s="0" t="n">
        <f aca="false">SUMPRODUCT(D4805:F4805,Stats!$B$6:$D$6)</f>
        <v>0.361982427475632</v>
      </c>
      <c r="H4805" s="0" t="n">
        <f aca="false">SQRT(SUMPRODUCT(MMULT(D4805:F4805,Stats!$B$12:$D$14),D4805:F4805))</f>
        <v>0.229707254949407</v>
      </c>
      <c r="I4805" s="0" t="n">
        <f aca="false">(G4805-Stats!$B$2)/H4805</f>
        <v>1.39300096353556</v>
      </c>
    </row>
    <row r="4806" customFormat="false" ht="15" hidden="false" customHeight="false" outlineLevel="0" collapsed="false">
      <c r="A4806" s="0" t="n">
        <v>0.610506174041819</v>
      </c>
      <c r="B4806" s="0" t="n">
        <v>0.22476023765882</v>
      </c>
      <c r="C4806" s="0" t="n">
        <v>0.613052025869479</v>
      </c>
      <c r="D4806" s="0" t="n">
        <f aca="false">A4806/SUM($A4806:$C4806)</f>
        <v>0.421527585512259</v>
      </c>
      <c r="E4806" s="0" t="n">
        <f aca="false">B4806/SUM($A4806:$C4806)</f>
        <v>0.155187030578652</v>
      </c>
      <c r="F4806" s="0" t="n">
        <f aca="false">C4806/SUM($A4806:$C4806)</f>
        <v>0.423285383909089</v>
      </c>
      <c r="G4806" s="0" t="n">
        <f aca="false">SUMPRODUCT(D4806:F4806,Stats!$B$6:$D$6)</f>
        <v>0.353741033684004</v>
      </c>
      <c r="H4806" s="0" t="n">
        <f aca="false">SQRT(SUMPRODUCT(MMULT(D4806:F4806,Stats!$B$12:$D$14),D4806:F4806))</f>
        <v>0.22383782117672</v>
      </c>
      <c r="I4806" s="0" t="n">
        <f aca="false">(G4806-Stats!$B$2)/H4806</f>
        <v>1.39270938237862</v>
      </c>
    </row>
    <row r="4807" customFormat="false" ht="15" hidden="false" customHeight="false" outlineLevel="0" collapsed="false">
      <c r="A4807" s="0" t="n">
        <v>0.628279459065214</v>
      </c>
      <c r="B4807" s="0" t="n">
        <v>0.734106980881127</v>
      </c>
      <c r="C4807" s="0" t="n">
        <v>0.620874187556801</v>
      </c>
      <c r="D4807" s="0" t="n">
        <f aca="false">A4807/SUM($A4807:$C4807)</f>
        <v>0.316791172250617</v>
      </c>
      <c r="E4807" s="0" t="n">
        <f aca="false">B4807/SUM($A4807:$C4807)</f>
        <v>0.370151542717481</v>
      </c>
      <c r="F4807" s="0" t="n">
        <f aca="false">C4807/SUM($A4807:$C4807)</f>
        <v>0.313057285031903</v>
      </c>
      <c r="G4807" s="0" t="n">
        <f aca="false">SUMPRODUCT(D4807:F4807,Stats!$B$6:$D$6)</f>
        <v>0.369149310919931</v>
      </c>
      <c r="H4807" s="0" t="n">
        <f aca="false">SQRT(SUMPRODUCT(MMULT(D4807:F4807,Stats!$B$12:$D$14),D4807:F4807))</f>
        <v>0.227062958815432</v>
      </c>
      <c r="I4807" s="0" t="n">
        <f aca="false">(G4807-Stats!$B$2)/H4807</f>
        <v>1.44078678718291</v>
      </c>
    </row>
    <row r="4808" customFormat="false" ht="15" hidden="false" customHeight="false" outlineLevel="0" collapsed="false">
      <c r="A4808" s="0" t="n">
        <v>0.969242130458038</v>
      </c>
      <c r="B4808" s="0" t="n">
        <v>0.197288308717069</v>
      </c>
      <c r="C4808" s="0" t="n">
        <v>0.951090679567076</v>
      </c>
      <c r="D4808" s="0" t="n">
        <f aca="false">A4808/SUM($A4808:$C4808)</f>
        <v>0.45770327934477</v>
      </c>
      <c r="E4808" s="0" t="n">
        <f aca="false">B4808/SUM($A4808:$C4808)</f>
        <v>0.093165064784702</v>
      </c>
      <c r="F4808" s="0" t="n">
        <f aca="false">C4808/SUM($A4808:$C4808)</f>
        <v>0.449131655870528</v>
      </c>
      <c r="G4808" s="0" t="n">
        <f aca="false">SUMPRODUCT(D4808:F4808,Stats!$B$6:$D$6)</f>
        <v>0.349459669037342</v>
      </c>
      <c r="H4808" s="0" t="n">
        <f aca="false">SQRT(SUMPRODUCT(MMULT(D4808:F4808,Stats!$B$12:$D$14),D4808:F4808))</f>
        <v>0.223369992925394</v>
      </c>
      <c r="I4808" s="0" t="n">
        <f aca="false">(G4808-Stats!$B$2)/H4808</f>
        <v>1.37645914301495</v>
      </c>
    </row>
    <row r="4809" customFormat="false" ht="15" hidden="false" customHeight="false" outlineLevel="0" collapsed="false">
      <c r="A4809" s="0" t="n">
        <v>0.538339490350016</v>
      </c>
      <c r="B4809" s="0" t="n">
        <v>0.671956140494912</v>
      </c>
      <c r="C4809" s="0" t="n">
        <v>0.0994615974521899</v>
      </c>
      <c r="D4809" s="0" t="n">
        <f aca="false">A4809/SUM($A4809:$C4809)</f>
        <v>0.411022347286404</v>
      </c>
      <c r="E4809" s="0" t="n">
        <f aca="false">B4809/SUM($A4809:$C4809)</f>
        <v>0.513038696009761</v>
      </c>
      <c r="F4809" s="0" t="n">
        <f aca="false">C4809/SUM($A4809:$C4809)</f>
        <v>0.0759389567038351</v>
      </c>
      <c r="G4809" s="0" t="n">
        <f aca="false">SUMPRODUCT(D4809:F4809,Stats!$B$6:$D$6)</f>
        <v>0.383909299488288</v>
      </c>
      <c r="H4809" s="0" t="n">
        <f aca="false">SQRT(SUMPRODUCT(MMULT(D4809:F4809,Stats!$B$12:$D$14),D4809:F4809))</f>
        <v>0.229121202594009</v>
      </c>
      <c r="I4809" s="0" t="n">
        <f aca="false">(G4809-Stats!$B$2)/H4809</f>
        <v>1.492263900579</v>
      </c>
    </row>
    <row r="4810" customFormat="false" ht="15" hidden="false" customHeight="false" outlineLevel="0" collapsed="false">
      <c r="A4810" s="0" t="n">
        <v>0.380575941378107</v>
      </c>
      <c r="B4810" s="0" t="n">
        <v>0.769379146463173</v>
      </c>
      <c r="C4810" s="0" t="n">
        <v>0.70691101509899</v>
      </c>
      <c r="D4810" s="0" t="n">
        <f aca="false">A4810/SUM($A4810:$C4810)</f>
        <v>0.204956049752581</v>
      </c>
      <c r="E4810" s="0" t="n">
        <f aca="false">B4810/SUM($A4810:$C4810)</f>
        <v>0.414342824851449</v>
      </c>
      <c r="F4810" s="0" t="n">
        <f aca="false">C4810/SUM($A4810:$C4810)</f>
        <v>0.38070112539597</v>
      </c>
      <c r="G4810" s="0" t="n">
        <f aca="false">SUMPRODUCT(D4810:F4810,Stats!$B$6:$D$6)</f>
        <v>0.369826767217412</v>
      </c>
      <c r="H4810" s="0" t="n">
        <f aca="false">SQRT(SUMPRODUCT(MMULT(D4810:F4810,Stats!$B$12:$D$14),D4810:F4810))</f>
        <v>0.231427975937368</v>
      </c>
      <c r="I4810" s="0" t="n">
        <f aca="false">(G4810-Stats!$B$2)/H4810</f>
        <v>1.41653905881341</v>
      </c>
    </row>
    <row r="4811" customFormat="false" ht="15" hidden="false" customHeight="false" outlineLevel="0" collapsed="false">
      <c r="A4811" s="0" t="n">
        <v>0.0401393881654102</v>
      </c>
      <c r="B4811" s="0" t="n">
        <v>0.546594263497245</v>
      </c>
      <c r="C4811" s="0" t="n">
        <v>0.0882781929684094</v>
      </c>
      <c r="D4811" s="0" t="n">
        <f aca="false">A4811/SUM($A4811:$C4811)</f>
        <v>0.0594647167818942</v>
      </c>
      <c r="E4811" s="0" t="n">
        <f aca="false">B4811/SUM($A4811:$C4811)</f>
        <v>0.809755069995834</v>
      </c>
      <c r="F4811" s="0" t="n">
        <f aca="false">C4811/SUM($A4811:$C4811)</f>
        <v>0.130780213222272</v>
      </c>
      <c r="G4811" s="0" t="n">
        <f aca="false">SUMPRODUCT(D4811:F4811,Stats!$B$6:$D$6)</f>
        <v>0.399469749059519</v>
      </c>
      <c r="H4811" s="0" t="n">
        <f aca="false">SQRT(SUMPRODUCT(MMULT(D4811:F4811,Stats!$B$12:$D$14),D4811:F4811))</f>
        <v>0.244850417235295</v>
      </c>
      <c r="I4811" s="0" t="n">
        <f aca="false">(G4811-Stats!$B$2)/H4811</f>
        <v>1.45995156183867</v>
      </c>
    </row>
    <row r="4812" customFormat="false" ht="15" hidden="false" customHeight="false" outlineLevel="0" collapsed="false">
      <c r="A4812" s="0" t="n">
        <v>0.995856429178162</v>
      </c>
      <c r="B4812" s="0" t="n">
        <v>0.897296588533295</v>
      </c>
      <c r="C4812" s="0" t="n">
        <v>0.021080660428537</v>
      </c>
      <c r="D4812" s="0" t="n">
        <f aca="false">A4812/SUM($A4812:$C4812)</f>
        <v>0.520237649431499</v>
      </c>
      <c r="E4812" s="0" t="n">
        <f aca="false">B4812/SUM($A4812:$C4812)</f>
        <v>0.468749765914249</v>
      </c>
      <c r="F4812" s="0" t="n">
        <f aca="false">C4812/SUM($A4812:$C4812)</f>
        <v>0.0110125846542521</v>
      </c>
      <c r="G4812" s="0" t="n">
        <f aca="false">SUMPRODUCT(D4812:F4812,Stats!$B$6:$D$6)</f>
        <v>0.383151291509904</v>
      </c>
      <c r="H4812" s="0" t="n">
        <f aca="false">SQRT(SUMPRODUCT(MMULT(D4812:F4812,Stats!$B$12:$D$14),D4812:F4812))</f>
        <v>0.228791270876035</v>
      </c>
      <c r="I4812" s="0" t="n">
        <f aca="false">(G4812-Stats!$B$2)/H4812</f>
        <v>1.49110274270363</v>
      </c>
    </row>
    <row r="4813" customFormat="false" ht="15" hidden="false" customHeight="false" outlineLevel="0" collapsed="false">
      <c r="A4813" s="0" t="n">
        <v>0.858649578902631</v>
      </c>
      <c r="B4813" s="0" t="n">
        <v>0.919429600558408</v>
      </c>
      <c r="C4813" s="0" t="n">
        <v>0.353548222563455</v>
      </c>
      <c r="D4813" s="0" t="n">
        <f aca="false">A4813/SUM($A4813:$C4813)</f>
        <v>0.402814102543032</v>
      </c>
      <c r="E4813" s="0" t="n">
        <f aca="false">B4813/SUM($A4813:$C4813)</f>
        <v>0.431327538614482</v>
      </c>
      <c r="F4813" s="0" t="n">
        <f aca="false">C4813/SUM($A4813:$C4813)</f>
        <v>0.165858358842486</v>
      </c>
      <c r="G4813" s="0" t="n">
        <f aca="false">SUMPRODUCT(D4813:F4813,Stats!$B$6:$D$6)</f>
        <v>0.376728252319292</v>
      </c>
      <c r="H4813" s="0" t="n">
        <f aca="false">SQRT(SUMPRODUCT(MMULT(D4813:F4813,Stats!$B$12:$D$14),D4813:F4813))</f>
        <v>0.22665455052378</v>
      </c>
      <c r="I4813" s="0" t="n">
        <f aca="false">(G4813-Stats!$B$2)/H4813</f>
        <v>1.47682123101329</v>
      </c>
    </row>
    <row r="4814" customFormat="false" ht="15" hidden="false" customHeight="false" outlineLevel="0" collapsed="false">
      <c r="A4814" s="0" t="n">
        <v>0.719501655047766</v>
      </c>
      <c r="B4814" s="0" t="n">
        <v>0.442103746207779</v>
      </c>
      <c r="C4814" s="0" t="n">
        <v>0.655232484576344</v>
      </c>
      <c r="D4814" s="0" t="n">
        <f aca="false">A4814/SUM($A4814:$C4814)</f>
        <v>0.396018632514547</v>
      </c>
      <c r="E4814" s="0" t="n">
        <f aca="false">B4814/SUM($A4814:$C4814)</f>
        <v>0.243336926016021</v>
      </c>
      <c r="F4814" s="0" t="n">
        <f aca="false">C4814/SUM($A4814:$C4814)</f>
        <v>0.360644441469431</v>
      </c>
      <c r="G4814" s="0" t="n">
        <f aca="false">SUMPRODUCT(D4814:F4814,Stats!$B$6:$D$6)</f>
        <v>0.360540364472094</v>
      </c>
      <c r="H4814" s="0" t="n">
        <f aca="false">SQRT(SUMPRODUCT(MMULT(D4814:F4814,Stats!$B$12:$D$14),D4814:F4814))</f>
        <v>0.2242768874195</v>
      </c>
      <c r="I4814" s="0" t="n">
        <f aca="false">(G4814-Stats!$B$2)/H4814</f>
        <v>1.42029955978601</v>
      </c>
    </row>
    <row r="4815" customFormat="false" ht="15" hidden="false" customHeight="false" outlineLevel="0" collapsed="false">
      <c r="A4815" s="0" t="n">
        <v>0.340317404298192</v>
      </c>
      <c r="B4815" s="0" t="n">
        <v>0.322559236633268</v>
      </c>
      <c r="C4815" s="0" t="n">
        <v>0.424433888857579</v>
      </c>
      <c r="D4815" s="0" t="n">
        <f aca="false">A4815/SUM($A4815:$C4815)</f>
        <v>0.312990075028723</v>
      </c>
      <c r="E4815" s="0" t="n">
        <f aca="false">B4815/SUM($A4815:$C4815)</f>
        <v>0.296657879967236</v>
      </c>
      <c r="F4815" s="0" t="n">
        <f aca="false">C4815/SUM($A4815:$C4815)</f>
        <v>0.390352045004041</v>
      </c>
      <c r="G4815" s="0" t="n">
        <f aca="false">SUMPRODUCT(D4815:F4815,Stats!$B$6:$D$6)</f>
        <v>0.362789207409165</v>
      </c>
      <c r="H4815" s="0" t="n">
        <f aca="false">SQRT(SUMPRODUCT(MMULT(D4815:F4815,Stats!$B$12:$D$14),D4815:F4815))</f>
        <v>0.226862736468035</v>
      </c>
      <c r="I4815" s="0" t="n">
        <f aca="false">(G4815-Stats!$B$2)/H4815</f>
        <v>1.4140233535196</v>
      </c>
    </row>
    <row r="4816" customFormat="false" ht="15" hidden="false" customHeight="false" outlineLevel="0" collapsed="false">
      <c r="A4816" s="0" t="n">
        <v>0.145567758652501</v>
      </c>
      <c r="B4816" s="0" t="n">
        <v>0.831138964435383</v>
      </c>
      <c r="C4816" s="0" t="n">
        <v>0.348697895361637</v>
      </c>
      <c r="D4816" s="0" t="n">
        <f aca="false">A4816/SUM($A4816:$C4816)</f>
        <v>0.109828920637676</v>
      </c>
      <c r="E4816" s="0" t="n">
        <f aca="false">B4816/SUM($A4816:$C4816)</f>
        <v>0.627083196230041</v>
      </c>
      <c r="F4816" s="0" t="n">
        <f aca="false">C4816/SUM($A4816:$C4816)</f>
        <v>0.263087883132284</v>
      </c>
      <c r="G4816" s="0" t="n">
        <f aca="false">SUMPRODUCT(D4816:F4816,Stats!$B$6:$D$6)</f>
        <v>0.385310712761052</v>
      </c>
      <c r="H4816" s="0" t="n">
        <f aca="false">SQRT(SUMPRODUCT(MMULT(D4816:F4816,Stats!$B$12:$D$14),D4816:F4816))</f>
        <v>0.237986556562402</v>
      </c>
      <c r="I4816" s="0" t="n">
        <f aca="false">(G4816-Stats!$B$2)/H4816</f>
        <v>1.44256346963461</v>
      </c>
    </row>
    <row r="4817" customFormat="false" ht="15" hidden="false" customHeight="false" outlineLevel="0" collapsed="false">
      <c r="A4817" s="0" t="n">
        <v>0.400149553905845</v>
      </c>
      <c r="B4817" s="0" t="n">
        <v>0.894054612702145</v>
      </c>
      <c r="C4817" s="0" t="n">
        <v>0.496623814063171</v>
      </c>
      <c r="D4817" s="0" t="n">
        <f aca="false">A4817/SUM($A4817:$C4817)</f>
        <v>0.223443880833199</v>
      </c>
      <c r="E4817" s="0" t="n">
        <f aca="false">B4817/SUM($A4817:$C4817)</f>
        <v>0.499240922272765</v>
      </c>
      <c r="F4817" s="0" t="n">
        <f aca="false">C4817/SUM($A4817:$C4817)</f>
        <v>0.277315196894036</v>
      </c>
      <c r="G4817" s="0" t="n">
        <f aca="false">SUMPRODUCT(D4817:F4817,Stats!$B$6:$D$6)</f>
        <v>0.3775625210757</v>
      </c>
      <c r="H4817" s="0" t="n">
        <f aca="false">SQRT(SUMPRODUCT(MMULT(D4817:F4817,Stats!$B$12:$D$14),D4817:F4817))</f>
        <v>0.231514659615448</v>
      </c>
      <c r="I4817" s="0" t="n">
        <f aca="false">(G4817-Stats!$B$2)/H4817</f>
        <v>1.44942234601074</v>
      </c>
    </row>
    <row r="4818" customFormat="false" ht="15" hidden="false" customHeight="false" outlineLevel="0" collapsed="false">
      <c r="A4818" s="0" t="n">
        <v>0.544253909350863</v>
      </c>
      <c r="B4818" s="0" t="n">
        <v>0.956498124777099</v>
      </c>
      <c r="C4818" s="0" t="n">
        <v>0.886726383144989</v>
      </c>
      <c r="D4818" s="0" t="n">
        <f aca="false">A4818/SUM($A4818:$C4818)</f>
        <v>0.227961813356422</v>
      </c>
      <c r="E4818" s="0" t="n">
        <f aca="false">B4818/SUM($A4818:$C4818)</f>
        <v>0.400631108477051</v>
      </c>
      <c r="F4818" s="0" t="n">
        <f aca="false">C4818/SUM($A4818:$C4818)</f>
        <v>0.371407078166526</v>
      </c>
      <c r="G4818" s="0" t="n">
        <f aca="false">SUMPRODUCT(D4818:F4818,Stats!$B$6:$D$6)</f>
        <v>0.36929409258163</v>
      </c>
      <c r="H4818" s="0" t="n">
        <f aca="false">SQRT(SUMPRODUCT(MMULT(D4818:F4818,Stats!$B$12:$D$14),D4818:F4818))</f>
        <v>0.230379289288068</v>
      </c>
      <c r="I4818" s="0" t="n">
        <f aca="false">(G4818-Stats!$B$2)/H4818</f>
        <v>1.42067498164898</v>
      </c>
    </row>
    <row r="4819" customFormat="false" ht="15" hidden="false" customHeight="false" outlineLevel="0" collapsed="false">
      <c r="A4819" s="0" t="n">
        <v>0.16946670888844</v>
      </c>
      <c r="B4819" s="0" t="n">
        <v>0.473215029918105</v>
      </c>
      <c r="C4819" s="0" t="n">
        <v>0.971296227428546</v>
      </c>
      <c r="D4819" s="0" t="n">
        <f aca="false">A4819/SUM($A4819:$C4819)</f>
        <v>0.104999394312521</v>
      </c>
      <c r="E4819" s="0" t="n">
        <f aca="false">B4819/SUM($A4819:$C4819)</f>
        <v>0.293197949301606</v>
      </c>
      <c r="F4819" s="0" t="n">
        <f aca="false">C4819/SUM($A4819:$C4819)</f>
        <v>0.601802656385873</v>
      </c>
      <c r="G4819" s="0" t="n">
        <f aca="false">SUMPRODUCT(D4819:F4819,Stats!$B$6:$D$6)</f>
        <v>0.356759458196092</v>
      </c>
      <c r="H4819" s="0" t="n">
        <f aca="false">SQRT(SUMPRODUCT(MMULT(D4819:F4819,Stats!$B$12:$D$14),D4819:F4819))</f>
        <v>0.238366757638309</v>
      </c>
      <c r="I4819" s="0" t="n">
        <f aca="false">(G4819-Stats!$B$2)/H4819</f>
        <v>1.32048386828208</v>
      </c>
    </row>
    <row r="4820" customFormat="false" ht="15" hidden="false" customHeight="false" outlineLevel="0" collapsed="false">
      <c r="A4820" s="0" t="n">
        <v>0.372366298228603</v>
      </c>
      <c r="B4820" s="0" t="n">
        <v>0.3715731085162</v>
      </c>
      <c r="C4820" s="0" t="n">
        <v>0.195030231789154</v>
      </c>
      <c r="D4820" s="0" t="n">
        <f aca="false">A4820/SUM($A4820:$C4820)</f>
        <v>0.396569050741609</v>
      </c>
      <c r="E4820" s="0" t="n">
        <f aca="false">B4820/SUM($A4820:$C4820)</f>
        <v>0.395724305949177</v>
      </c>
      <c r="F4820" s="0" t="n">
        <f aca="false">C4820/SUM($A4820:$C4820)</f>
        <v>0.207706643309214</v>
      </c>
      <c r="G4820" s="0" t="n">
        <f aca="false">SUMPRODUCT(D4820:F4820,Stats!$B$6:$D$6)</f>
        <v>0.373525738043619</v>
      </c>
      <c r="H4820" s="0" t="n">
        <f aca="false">SQRT(SUMPRODUCT(MMULT(D4820:F4820,Stats!$B$12:$D$14),D4820:F4820))</f>
        <v>0.225900697571206</v>
      </c>
      <c r="I4820" s="0" t="n">
        <f aca="false">(G4820-Stats!$B$2)/H4820</f>
        <v>1.46757288316526</v>
      </c>
    </row>
    <row r="4821" customFormat="false" ht="15" hidden="false" customHeight="false" outlineLevel="0" collapsed="false">
      <c r="A4821" s="0" t="n">
        <v>0.114323114119125</v>
      </c>
      <c r="B4821" s="0" t="n">
        <v>0.740304790755982</v>
      </c>
      <c r="C4821" s="0" t="n">
        <v>0.770030468701517</v>
      </c>
      <c r="D4821" s="0" t="n">
        <f aca="false">A4821/SUM($A4821:$C4821)</f>
        <v>0.0703674790826623</v>
      </c>
      <c r="E4821" s="0" t="n">
        <f aca="false">B4821/SUM($A4821:$C4821)</f>
        <v>0.455667974754735</v>
      </c>
      <c r="F4821" s="0" t="n">
        <f aca="false">C4821/SUM($A4821:$C4821)</f>
        <v>0.473964546162603</v>
      </c>
      <c r="G4821" s="0" t="n">
        <f aca="false">SUMPRODUCT(D4821:F4821,Stats!$B$6:$D$6)</f>
        <v>0.36963285990011</v>
      </c>
      <c r="H4821" s="0" t="n">
        <f aca="false">SQRT(SUMPRODUCT(MMULT(D4821:F4821,Stats!$B$12:$D$14),D4821:F4821))</f>
        <v>0.238778340726675</v>
      </c>
      <c r="I4821" s="0" t="n">
        <f aca="false">(G4821-Stats!$B$2)/H4821</f>
        <v>1.37212135281208</v>
      </c>
    </row>
    <row r="4822" customFormat="false" ht="15" hidden="false" customHeight="false" outlineLevel="0" collapsed="false">
      <c r="A4822" s="0" t="n">
        <v>0.969012963503</v>
      </c>
      <c r="B4822" s="0" t="n">
        <v>0.773418210905363</v>
      </c>
      <c r="C4822" s="0" t="n">
        <v>0.243352494033599</v>
      </c>
      <c r="D4822" s="0" t="n">
        <f aca="false">A4822/SUM($A4822:$C4822)</f>
        <v>0.487975089584297</v>
      </c>
      <c r="E4822" s="0" t="n">
        <f aca="false">B4822/SUM($A4822:$C4822)</f>
        <v>0.389477576634611</v>
      </c>
      <c r="F4822" s="0" t="n">
        <f aca="false">C4822/SUM($A4822:$C4822)</f>
        <v>0.122547333781092</v>
      </c>
      <c r="G4822" s="0" t="n">
        <f aca="false">SUMPRODUCT(D4822:F4822,Stats!$B$6:$D$6)</f>
        <v>0.375514544530088</v>
      </c>
      <c r="H4822" s="0" t="n">
        <f aca="false">SQRT(SUMPRODUCT(MMULT(D4822:F4822,Stats!$B$12:$D$14),D4822:F4822))</f>
        <v>0.225601636507722</v>
      </c>
      <c r="I4822" s="0" t="n">
        <f aca="false">(G4822-Stats!$B$2)/H4822</f>
        <v>1.47833388840986</v>
      </c>
    </row>
    <row r="4823" customFormat="false" ht="15" hidden="false" customHeight="false" outlineLevel="0" collapsed="false">
      <c r="A4823" s="0" t="n">
        <v>0.0401165782885155</v>
      </c>
      <c r="B4823" s="0" t="n">
        <v>0.98543738436966</v>
      </c>
      <c r="C4823" s="0" t="n">
        <v>0.340450695543606</v>
      </c>
      <c r="D4823" s="0" t="n">
        <f aca="false">A4823/SUM($A4823:$C4823)</f>
        <v>0.0293678195368127</v>
      </c>
      <c r="E4823" s="0" t="n">
        <f aca="false">B4823/SUM($A4823:$C4823)</f>
        <v>0.721401188826762</v>
      </c>
      <c r="F4823" s="0" t="n">
        <f aca="false">C4823/SUM($A4823:$C4823)</f>
        <v>0.249230991636425</v>
      </c>
      <c r="G4823" s="0" t="n">
        <f aca="false">SUMPRODUCT(D4823:F4823,Stats!$B$6:$D$6)</f>
        <v>0.391119746435035</v>
      </c>
      <c r="H4823" s="0" t="n">
        <f aca="false">SQRT(SUMPRODUCT(MMULT(D4823:F4823,Stats!$B$12:$D$14),D4823:F4823))</f>
        <v>0.243498206899078</v>
      </c>
      <c r="I4823" s="0" t="n">
        <f aca="false">(G4823-Stats!$B$2)/H4823</f>
        <v>1.4337672169378</v>
      </c>
    </row>
    <row r="4824" customFormat="false" ht="15" hidden="false" customHeight="false" outlineLevel="0" collapsed="false">
      <c r="A4824" s="0" t="n">
        <v>0.311971542432421</v>
      </c>
      <c r="B4824" s="0" t="n">
        <v>0.905955209749383</v>
      </c>
      <c r="C4824" s="0" t="n">
        <v>0.585099898544986</v>
      </c>
      <c r="D4824" s="0" t="n">
        <f aca="false">A4824/SUM($A4824:$C4824)</f>
        <v>0.173026584108819</v>
      </c>
      <c r="E4824" s="0" t="n">
        <f aca="false">B4824/SUM($A4824:$C4824)</f>
        <v>0.50246357112037</v>
      </c>
      <c r="F4824" s="0" t="n">
        <f aca="false">C4824/SUM($A4824:$C4824)</f>
        <v>0.324509844770811</v>
      </c>
      <c r="G4824" s="0" t="n">
        <f aca="false">SUMPRODUCT(D4824:F4824,Stats!$B$6:$D$6)</f>
        <v>0.376446573856212</v>
      </c>
      <c r="H4824" s="0" t="n">
        <f aca="false">SQRT(SUMPRODUCT(MMULT(D4824:F4824,Stats!$B$12:$D$14),D4824:F4824))</f>
        <v>0.233452432240119</v>
      </c>
      <c r="I4824" s="0" t="n">
        <f aca="false">(G4824-Stats!$B$2)/H4824</f>
        <v>1.4326112203972</v>
      </c>
    </row>
    <row r="4825" customFormat="false" ht="15" hidden="false" customHeight="false" outlineLevel="0" collapsed="false">
      <c r="A4825" s="0" t="n">
        <v>0.214871173849135</v>
      </c>
      <c r="B4825" s="0" t="n">
        <v>0.88909624271624</v>
      </c>
      <c r="C4825" s="0" t="n">
        <v>0.993360855054743</v>
      </c>
      <c r="D4825" s="0" t="n">
        <f aca="false">A4825/SUM($A4825:$C4825)</f>
        <v>0.102449948706958</v>
      </c>
      <c r="E4825" s="0" t="n">
        <f aca="false">B4825/SUM($A4825:$C4825)</f>
        <v>0.423918494184719</v>
      </c>
      <c r="F4825" s="0" t="n">
        <f aca="false">C4825/SUM($A4825:$C4825)</f>
        <v>0.473631557108323</v>
      </c>
      <c r="G4825" s="0" t="n">
        <f aca="false">SUMPRODUCT(D4825:F4825,Stats!$B$6:$D$6)</f>
        <v>0.367815217925758</v>
      </c>
      <c r="H4825" s="0" t="n">
        <f aca="false">SQRT(SUMPRODUCT(MMULT(D4825:F4825,Stats!$B$12:$D$14),D4825:F4825))</f>
        <v>0.236898755864648</v>
      </c>
      <c r="I4825" s="0" t="n">
        <f aca="false">(G4825-Stats!$B$2)/H4825</f>
        <v>1.37533528505279</v>
      </c>
    </row>
    <row r="4826" customFormat="false" ht="15" hidden="false" customHeight="false" outlineLevel="0" collapsed="false">
      <c r="A4826" s="0" t="n">
        <v>0.0866785611508307</v>
      </c>
      <c r="B4826" s="0" t="n">
        <v>0.862251628302487</v>
      </c>
      <c r="C4826" s="0" t="n">
        <v>0.390515697684394</v>
      </c>
      <c r="D4826" s="0" t="n">
        <f aca="false">A4826/SUM($A4826:$C4826)</f>
        <v>0.064712253016847</v>
      </c>
      <c r="E4826" s="0" t="n">
        <f aca="false">B4826/SUM($A4826:$C4826)</f>
        <v>0.643737560869331</v>
      </c>
      <c r="F4826" s="0" t="n">
        <f aca="false">C4826/SUM($A4826:$C4826)</f>
        <v>0.291550186113823</v>
      </c>
      <c r="G4826" s="0" t="n">
        <f aca="false">SUMPRODUCT(D4826:F4826,Stats!$B$6:$D$6)</f>
        <v>0.385484146289535</v>
      </c>
      <c r="H4826" s="0" t="n">
        <f aca="false">SQRT(SUMPRODUCT(MMULT(D4826:F4826,Stats!$B$12:$D$14),D4826:F4826))</f>
        <v>0.240300419230106</v>
      </c>
      <c r="I4826" s="0" t="n">
        <f aca="false">(G4826-Stats!$B$2)/H4826</f>
        <v>1.42939470263938</v>
      </c>
    </row>
    <row r="4827" customFormat="false" ht="15" hidden="false" customHeight="false" outlineLevel="0" collapsed="false">
      <c r="A4827" s="0" t="n">
        <v>0.524072446506704</v>
      </c>
      <c r="B4827" s="0" t="n">
        <v>0.914815975764981</v>
      </c>
      <c r="C4827" s="0" t="n">
        <v>0.973379195775117</v>
      </c>
      <c r="D4827" s="0" t="n">
        <f aca="false">A4827/SUM($A4827:$C4827)</f>
        <v>0.217253028887003</v>
      </c>
      <c r="E4827" s="0" t="n">
        <f aca="false">B4827/SUM($A4827:$C4827)</f>
        <v>0.379234861389758</v>
      </c>
      <c r="F4827" s="0" t="n">
        <f aca="false">C4827/SUM($A4827:$C4827)</f>
        <v>0.403512109723239</v>
      </c>
      <c r="G4827" s="0" t="n">
        <f aca="false">SUMPRODUCT(D4827:F4827,Stats!$B$6:$D$6)</f>
        <v>0.367177696319916</v>
      </c>
      <c r="H4827" s="0" t="n">
        <f aca="false">SQRT(SUMPRODUCT(MMULT(D4827:F4827,Stats!$B$12:$D$14),D4827:F4827))</f>
        <v>0.230800621886425</v>
      </c>
      <c r="I4827" s="0" t="n">
        <f aca="false">(G4827-Stats!$B$2)/H4827</f>
        <v>1.40891169903317</v>
      </c>
    </row>
    <row r="4828" customFormat="false" ht="15" hidden="false" customHeight="false" outlineLevel="0" collapsed="false">
      <c r="A4828" s="0" t="n">
        <v>0.262163910408799</v>
      </c>
      <c r="B4828" s="0" t="n">
        <v>0.212850770959914</v>
      </c>
      <c r="C4828" s="0" t="n">
        <v>0.0805165585915119</v>
      </c>
      <c r="D4828" s="0" t="n">
        <f aca="false">A4828/SUM($A4828:$C4828)</f>
        <v>0.471915693575702</v>
      </c>
      <c r="E4828" s="0" t="n">
        <f aca="false">B4828/SUM($A4828:$C4828)</f>
        <v>0.383148157383829</v>
      </c>
      <c r="F4828" s="0" t="n">
        <f aca="false">C4828/SUM($A4828:$C4828)</f>
        <v>0.144936149040469</v>
      </c>
      <c r="G4828" s="0" t="n">
        <f aca="false">SUMPRODUCT(D4828:F4828,Stats!$B$6:$D$6)</f>
        <v>0.374532994968819</v>
      </c>
      <c r="H4828" s="0" t="n">
        <f aca="false">SQRT(SUMPRODUCT(MMULT(D4828:F4828,Stats!$B$12:$D$14),D4828:F4828))</f>
        <v>0.225347210700397</v>
      </c>
      <c r="I4828" s="0" t="n">
        <f aca="false">(G4828-Stats!$B$2)/H4828</f>
        <v>1.47564726421632</v>
      </c>
    </row>
    <row r="4829" customFormat="false" ht="15" hidden="false" customHeight="false" outlineLevel="0" collapsed="false">
      <c r="A4829" s="0" t="n">
        <v>0.561797852662138</v>
      </c>
      <c r="B4829" s="0" t="n">
        <v>0.0136043954506683</v>
      </c>
      <c r="C4829" s="0" t="n">
        <v>0.411898297609937</v>
      </c>
      <c r="D4829" s="0" t="n">
        <f aca="false">A4829/SUM($A4829:$C4829)</f>
        <v>0.569024148822768</v>
      </c>
      <c r="E4829" s="0" t="n">
        <f aca="false">B4829/SUM($A4829:$C4829)</f>
        <v>0.0137793861348566</v>
      </c>
      <c r="F4829" s="0" t="n">
        <f aca="false">C4829/SUM($A4829:$C4829)</f>
        <v>0.417196465042376</v>
      </c>
      <c r="G4829" s="0" t="n">
        <f aca="false">SUMPRODUCT(D4829:F4829,Stats!$B$6:$D$6)</f>
        <v>0.34577252043887</v>
      </c>
      <c r="H4829" s="0" t="n">
        <f aca="false">SQRT(SUMPRODUCT(MMULT(D4829:F4829,Stats!$B$12:$D$14),D4829:F4829))</f>
        <v>0.221854644361869</v>
      </c>
      <c r="I4829" s="0" t="n">
        <f aca="false">(G4829-Stats!$B$2)/H4829</f>
        <v>1.36924120435984</v>
      </c>
    </row>
    <row r="4830" customFormat="false" ht="15" hidden="false" customHeight="false" outlineLevel="0" collapsed="false">
      <c r="A4830" s="0" t="n">
        <v>0.0733840166520086</v>
      </c>
      <c r="B4830" s="0" t="n">
        <v>0.405225782929334</v>
      </c>
      <c r="C4830" s="0" t="n">
        <v>0.0399321892656093</v>
      </c>
      <c r="D4830" s="0" t="n">
        <f aca="false">A4830/SUM($A4830:$C4830)</f>
        <v>0.141519912042587</v>
      </c>
      <c r="E4830" s="0" t="n">
        <f aca="false">B4830/SUM($A4830:$C4830)</f>
        <v>0.781471494392206</v>
      </c>
      <c r="F4830" s="0" t="n">
        <f aca="false">C4830/SUM($A4830:$C4830)</f>
        <v>0.0770085935652075</v>
      </c>
      <c r="G4830" s="0" t="n">
        <f aca="false">SUMPRODUCT(D4830:F4830,Stats!$B$6:$D$6)</f>
        <v>0.399325080456393</v>
      </c>
      <c r="H4830" s="0" t="n">
        <f aca="false">SQRT(SUMPRODUCT(MMULT(D4830:F4830,Stats!$B$12:$D$14),D4830:F4830))</f>
        <v>0.241590310333593</v>
      </c>
      <c r="I4830" s="0" t="n">
        <f aca="false">(G4830-Stats!$B$2)/H4830</f>
        <v>1.47905385759466</v>
      </c>
    </row>
    <row r="4831" customFormat="false" ht="15" hidden="false" customHeight="false" outlineLevel="0" collapsed="false">
      <c r="A4831" s="0" t="n">
        <v>0.835217260608769</v>
      </c>
      <c r="B4831" s="0" t="n">
        <v>0.209738993938566</v>
      </c>
      <c r="C4831" s="0" t="n">
        <v>0.328308710357912</v>
      </c>
      <c r="D4831" s="0" t="n">
        <f aca="false">A4831/SUM($A4831:$C4831)</f>
        <v>0.608198186040811</v>
      </c>
      <c r="E4831" s="0" t="n">
        <f aca="false">B4831/SUM($A4831:$C4831)</f>
        <v>0.152730171742958</v>
      </c>
      <c r="F4831" s="0" t="n">
        <f aca="false">C4831/SUM($A4831:$C4831)</f>
        <v>0.239071642216231</v>
      </c>
      <c r="G4831" s="0" t="n">
        <f aca="false">SUMPRODUCT(D4831:F4831,Stats!$B$6:$D$6)</f>
        <v>0.358679292281299</v>
      </c>
      <c r="H4831" s="0" t="n">
        <f aca="false">SQRT(SUMPRODUCT(MMULT(D4831:F4831,Stats!$B$12:$D$14),D4831:F4831))</f>
        <v>0.221782771634748</v>
      </c>
      <c r="I4831" s="0" t="n">
        <f aca="false">(G4831-Stats!$B$2)/H4831</f>
        <v>1.42788048840347</v>
      </c>
    </row>
    <row r="4832" customFormat="false" ht="15" hidden="false" customHeight="false" outlineLevel="0" collapsed="false">
      <c r="A4832" s="0" t="n">
        <v>0.870047996606392</v>
      </c>
      <c r="B4832" s="0" t="n">
        <v>0.746266061332205</v>
      </c>
      <c r="C4832" s="0" t="n">
        <v>0.219038361642059</v>
      </c>
      <c r="D4832" s="0" t="n">
        <f aca="false">A4832/SUM($A4832:$C4832)</f>
        <v>0.474049554365794</v>
      </c>
      <c r="E4832" s="0" t="n">
        <f aca="false">B4832/SUM($A4832:$C4832)</f>
        <v>0.406606411591902</v>
      </c>
      <c r="F4832" s="0" t="n">
        <f aca="false">C4832/SUM($A4832:$C4832)</f>
        <v>0.119344034042304</v>
      </c>
      <c r="G4832" s="0" t="n">
        <f aca="false">SUMPRODUCT(D4832:F4832,Stats!$B$6:$D$6)</f>
        <v>0.376588445282357</v>
      </c>
      <c r="H4832" s="0" t="n">
        <f aca="false">SQRT(SUMPRODUCT(MMULT(D4832:F4832,Stats!$B$12:$D$14),D4832:F4832))</f>
        <v>0.226002375908498</v>
      </c>
      <c r="I4832" s="0" t="n">
        <f aca="false">(G4832-Stats!$B$2)/H4832</f>
        <v>1.48046428245437</v>
      </c>
    </row>
    <row r="4833" customFormat="false" ht="15" hidden="false" customHeight="false" outlineLevel="0" collapsed="false">
      <c r="A4833" s="0" t="n">
        <v>0.0718994186574961</v>
      </c>
      <c r="B4833" s="0" t="n">
        <v>0.71567377685534</v>
      </c>
      <c r="C4833" s="0" t="n">
        <v>0.390702550688109</v>
      </c>
      <c r="D4833" s="0" t="n">
        <f aca="false">A4833/SUM($A4833:$C4833)</f>
        <v>0.0610208763859544</v>
      </c>
      <c r="E4833" s="0" t="n">
        <f aca="false">B4833/SUM($A4833:$C4833)</f>
        <v>0.607390739530072</v>
      </c>
      <c r="F4833" s="0" t="n">
        <f aca="false">C4833/SUM($A4833:$C4833)</f>
        <v>0.331588384083973</v>
      </c>
      <c r="G4833" s="0" t="n">
        <f aca="false">SUMPRODUCT(D4833:F4833,Stats!$B$6:$D$6)</f>
        <v>0.382288759322918</v>
      </c>
      <c r="H4833" s="0" t="n">
        <f aca="false">SQRT(SUMPRODUCT(MMULT(D4833:F4833,Stats!$B$12:$D$14),D4833:F4833))</f>
        <v>0.239947989283326</v>
      </c>
      <c r="I4833" s="0" t="n">
        <f aca="false">(G4833-Stats!$B$2)/H4833</f>
        <v>1.41817716555696</v>
      </c>
    </row>
    <row r="4834" customFormat="false" ht="15" hidden="false" customHeight="false" outlineLevel="0" collapsed="false">
      <c r="A4834" s="0" t="n">
        <v>0.766079999118221</v>
      </c>
      <c r="B4834" s="0" t="n">
        <v>0.44529477237521</v>
      </c>
      <c r="C4834" s="0" t="n">
        <v>0.346002412972276</v>
      </c>
      <c r="D4834" s="0" t="n">
        <f aca="false">A4834/SUM($A4834:$C4834)</f>
        <v>0.491903956703361</v>
      </c>
      <c r="E4834" s="0" t="n">
        <f aca="false">B4834/SUM($A4834:$C4834)</f>
        <v>0.285926092161148</v>
      </c>
      <c r="F4834" s="0" t="n">
        <f aca="false">C4834/SUM($A4834:$C4834)</f>
        <v>0.222169951135492</v>
      </c>
      <c r="G4834" s="0" t="n">
        <f aca="false">SUMPRODUCT(D4834:F4834,Stats!$B$6:$D$6)</f>
        <v>0.366809270780875</v>
      </c>
      <c r="H4834" s="0" t="n">
        <f aca="false">SQRT(SUMPRODUCT(MMULT(D4834:F4834,Stats!$B$12:$D$14),D4834:F4834))</f>
        <v>0.223307294775192</v>
      </c>
      <c r="I4834" s="0" t="n">
        <f aca="false">(G4834-Stats!$B$2)/H4834</f>
        <v>1.45453945473598</v>
      </c>
    </row>
    <row r="4835" customFormat="false" ht="15" hidden="false" customHeight="false" outlineLevel="0" collapsed="false">
      <c r="A4835" s="0" t="n">
        <v>0.451205408212397</v>
      </c>
      <c r="B4835" s="0" t="n">
        <v>0.748558985670677</v>
      </c>
      <c r="C4835" s="0" t="n">
        <v>0.902220286540374</v>
      </c>
      <c r="D4835" s="0" t="n">
        <f aca="false">A4835/SUM($A4835:$C4835)</f>
        <v>0.214656849031602</v>
      </c>
      <c r="E4835" s="0" t="n">
        <f aca="false">B4835/SUM($A4835:$C4835)</f>
        <v>0.356120095756301</v>
      </c>
      <c r="F4835" s="0" t="n">
        <f aca="false">C4835/SUM($A4835:$C4835)</f>
        <v>0.429223055212096</v>
      </c>
      <c r="G4835" s="0" t="n">
        <f aca="false">SUMPRODUCT(D4835:F4835,Stats!$B$6:$D$6)</f>
        <v>0.365138733189317</v>
      </c>
      <c r="H4835" s="0" t="n">
        <f aca="false">SQRT(SUMPRODUCT(MMULT(D4835:F4835,Stats!$B$12:$D$14),D4835:F4835))</f>
        <v>0.230947512205889</v>
      </c>
      <c r="I4835" s="0" t="n">
        <f aca="false">(G4835-Stats!$B$2)/H4835</f>
        <v>1.39918689793566</v>
      </c>
    </row>
    <row r="4836" customFormat="false" ht="15" hidden="false" customHeight="false" outlineLevel="0" collapsed="false">
      <c r="A4836" s="0" t="n">
        <v>0.0497671965885755</v>
      </c>
      <c r="B4836" s="0" t="n">
        <v>0.524111541226955</v>
      </c>
      <c r="C4836" s="0" t="n">
        <v>0.0328354290838776</v>
      </c>
      <c r="D4836" s="0" t="n">
        <f aca="false">A4836/SUM($A4836:$C4836)</f>
        <v>0.0820274180227389</v>
      </c>
      <c r="E4836" s="0" t="n">
        <f aca="false">B4836/SUM($A4836:$C4836)</f>
        <v>0.863852485768396</v>
      </c>
      <c r="F4836" s="0" t="n">
        <f aca="false">C4836/SUM($A4836:$C4836)</f>
        <v>0.0541200962088654</v>
      </c>
      <c r="G4836" s="0" t="n">
        <f aca="false">SUMPRODUCT(D4836:F4836,Stats!$B$6:$D$6)</f>
        <v>0.40469631758777</v>
      </c>
      <c r="H4836" s="0" t="n">
        <f aca="false">SQRT(SUMPRODUCT(MMULT(D4836:F4836,Stats!$B$12:$D$14),D4836:F4836))</f>
        <v>0.246327591967521</v>
      </c>
      <c r="I4836" s="0" t="n">
        <f aca="false">(G4836-Stats!$B$2)/H4836</f>
        <v>1.47241449766453</v>
      </c>
    </row>
    <row r="4837" customFormat="false" ht="15" hidden="false" customHeight="false" outlineLevel="0" collapsed="false">
      <c r="A4837" s="0" t="n">
        <v>0.468409545024359</v>
      </c>
      <c r="B4837" s="0" t="n">
        <v>0.8852828290969</v>
      </c>
      <c r="C4837" s="0" t="n">
        <v>0.36159026642031</v>
      </c>
      <c r="D4837" s="0" t="n">
        <f aca="false">A4837/SUM($A4837:$C4837)</f>
        <v>0.27308009417997</v>
      </c>
      <c r="E4837" s="0" t="n">
        <f aca="false">B4837/SUM($A4837:$C4837)</f>
        <v>0.516114842051563</v>
      </c>
      <c r="F4837" s="0" t="n">
        <f aca="false">C4837/SUM($A4837:$C4837)</f>
        <v>0.210805063768467</v>
      </c>
      <c r="G4837" s="0" t="n">
        <f aca="false">SUMPRODUCT(D4837:F4837,Stats!$B$6:$D$6)</f>
        <v>0.38036741592008</v>
      </c>
      <c r="H4837" s="0" t="n">
        <f aca="false">SQRT(SUMPRODUCT(MMULT(D4837:F4837,Stats!$B$12:$D$14),D4837:F4837))</f>
        <v>0.230462891706254</v>
      </c>
      <c r="I4837" s="0" t="n">
        <f aca="false">(G4837-Stats!$B$2)/H4837</f>
        <v>1.46820780306515</v>
      </c>
    </row>
    <row r="4838" customFormat="false" ht="15" hidden="false" customHeight="false" outlineLevel="0" collapsed="false">
      <c r="A4838" s="0" t="n">
        <v>0.932450421080643</v>
      </c>
      <c r="B4838" s="0" t="n">
        <v>0.630608471650609</v>
      </c>
      <c r="C4838" s="0" t="n">
        <v>0.934155343793006</v>
      </c>
      <c r="D4838" s="0" t="n">
        <f aca="false">A4838/SUM($A4838:$C4838)</f>
        <v>0.37339624588176</v>
      </c>
      <c r="E4838" s="0" t="n">
        <f aca="false">B4838/SUM($A4838:$C4838)</f>
        <v>0.252524778381978</v>
      </c>
      <c r="F4838" s="0" t="n">
        <f aca="false">C4838/SUM($A4838:$C4838)</f>
        <v>0.374078975736262</v>
      </c>
      <c r="G4838" s="0" t="n">
        <f aca="false">SUMPRODUCT(D4838:F4838,Stats!$B$6:$D$6)</f>
        <v>0.360698569490412</v>
      </c>
      <c r="H4838" s="0" t="n">
        <f aca="false">SQRT(SUMPRODUCT(MMULT(D4838:F4838,Stats!$B$12:$D$14),D4838:F4838))</f>
        <v>0.224899127069691</v>
      </c>
      <c r="I4838" s="0" t="n">
        <f aca="false">(G4838-Stats!$B$2)/H4838</f>
        <v>1.4170733948276</v>
      </c>
    </row>
    <row r="4839" customFormat="false" ht="15" hidden="false" customHeight="false" outlineLevel="0" collapsed="false">
      <c r="A4839" s="0" t="n">
        <v>0.75716662541252</v>
      </c>
      <c r="B4839" s="0" t="n">
        <v>0.103435166648762</v>
      </c>
      <c r="C4839" s="0" t="n">
        <v>0.231151367562677</v>
      </c>
      <c r="D4839" s="0" t="n">
        <f aca="false">A4839/SUM($A4839:$C4839)</f>
        <v>0.693532799734069</v>
      </c>
      <c r="E4839" s="0" t="n">
        <f aca="false">B4839/SUM($A4839:$C4839)</f>
        <v>0.0947422645283566</v>
      </c>
      <c r="F4839" s="0" t="n">
        <f aca="false">C4839/SUM($A4839:$C4839)</f>
        <v>0.211724935737575</v>
      </c>
      <c r="G4839" s="0" t="n">
        <f aca="false">SUMPRODUCT(D4839:F4839,Stats!$B$6:$D$6)</f>
        <v>0.356096818065503</v>
      </c>
      <c r="H4839" s="0" t="n">
        <f aca="false">SQRT(SUMPRODUCT(MMULT(D4839:F4839,Stats!$B$12:$D$14),D4839:F4839))</f>
        <v>0.222212055835993</v>
      </c>
      <c r="I4839" s="0" t="n">
        <f aca="false">(G4839-Stats!$B$2)/H4839</f>
        <v>1.41350034715185</v>
      </c>
    </row>
    <row r="4840" customFormat="false" ht="15" hidden="false" customHeight="false" outlineLevel="0" collapsed="false">
      <c r="A4840" s="0" t="n">
        <v>0.394170454583506</v>
      </c>
      <c r="B4840" s="0" t="n">
        <v>0.170106882012076</v>
      </c>
      <c r="C4840" s="0" t="n">
        <v>0.494911604776661</v>
      </c>
      <c r="D4840" s="0" t="n">
        <f aca="false">A4840/SUM($A4840:$C4840)</f>
        <v>0.372143665013</v>
      </c>
      <c r="E4840" s="0" t="n">
        <f aca="false">B4840/SUM($A4840:$C4840)</f>
        <v>0.160601074433134</v>
      </c>
      <c r="F4840" s="0" t="n">
        <f aca="false">C4840/SUM($A4840:$C4840)</f>
        <v>0.467255260553866</v>
      </c>
      <c r="G4840" s="0" t="n">
        <f aca="false">SUMPRODUCT(D4840:F4840,Stats!$B$6:$D$6)</f>
        <v>0.352840098323355</v>
      </c>
      <c r="H4840" s="0" t="n">
        <f aca="false">SQRT(SUMPRODUCT(MMULT(D4840:F4840,Stats!$B$12:$D$14),D4840:F4840))</f>
        <v>0.225451958171844</v>
      </c>
      <c r="I4840" s="0" t="n">
        <f aca="false">(G4840-Stats!$B$2)/H4840</f>
        <v>1.37874206480135</v>
      </c>
    </row>
    <row r="4841" customFormat="false" ht="15" hidden="false" customHeight="false" outlineLevel="0" collapsed="false">
      <c r="A4841" s="0" t="n">
        <v>0.471368155701491</v>
      </c>
      <c r="B4841" s="0" t="n">
        <v>0.956259198027381</v>
      </c>
      <c r="C4841" s="0" t="n">
        <v>0.433727882895978</v>
      </c>
      <c r="D4841" s="0" t="n">
        <f aca="false">A4841/SUM($A4841:$C4841)</f>
        <v>0.253239223994777</v>
      </c>
      <c r="E4841" s="0" t="n">
        <f aca="false">B4841/SUM($A4841:$C4841)</f>
        <v>0.513743523649652</v>
      </c>
      <c r="F4841" s="0" t="n">
        <f aca="false">C4841/SUM($A4841:$C4841)</f>
        <v>0.233017252355572</v>
      </c>
      <c r="G4841" s="0" t="n">
        <f aca="false">SUMPRODUCT(D4841:F4841,Stats!$B$6:$D$6)</f>
        <v>0.379618480771339</v>
      </c>
      <c r="H4841" s="0" t="n">
        <f aca="false">SQRT(SUMPRODUCT(MMULT(D4841:F4841,Stats!$B$12:$D$14),D4841:F4841))</f>
        <v>0.230890869735937</v>
      </c>
      <c r="I4841" s="0" t="n">
        <f aca="false">(G4841-Stats!$B$2)/H4841</f>
        <v>1.46224266536595</v>
      </c>
    </row>
    <row r="4842" customFormat="false" ht="15" hidden="false" customHeight="false" outlineLevel="0" collapsed="false">
      <c r="A4842" s="0" t="n">
        <v>0.785626804287998</v>
      </c>
      <c r="B4842" s="0" t="n">
        <v>0.94191054485148</v>
      </c>
      <c r="C4842" s="0" t="n">
        <v>0.876988830973986</v>
      </c>
      <c r="D4842" s="0" t="n">
        <f aca="false">A4842/SUM($A4842:$C4842)</f>
        <v>0.301639050621397</v>
      </c>
      <c r="E4842" s="0" t="n">
        <f aca="false">B4842/SUM($A4842:$C4842)</f>
        <v>0.3616437231629</v>
      </c>
      <c r="F4842" s="0" t="n">
        <f aca="false">C4842/SUM($A4842:$C4842)</f>
        <v>0.336717226215703</v>
      </c>
      <c r="G4842" s="0" t="n">
        <f aca="false">SUMPRODUCT(D4842:F4842,Stats!$B$6:$D$6)</f>
        <v>0.368007368216165</v>
      </c>
      <c r="H4842" s="0" t="n">
        <f aca="false">SQRT(SUMPRODUCT(MMULT(D4842:F4842,Stats!$B$12:$D$14),D4842:F4842))</f>
        <v>0.227451912045804</v>
      </c>
      <c r="I4842" s="0" t="n">
        <f aca="false">(G4842-Stats!$B$2)/H4842</f>
        <v>1.43330238591494</v>
      </c>
    </row>
    <row r="4843" customFormat="false" ht="15" hidden="false" customHeight="false" outlineLevel="0" collapsed="false">
      <c r="A4843" s="0" t="n">
        <v>0.208667624511592</v>
      </c>
      <c r="B4843" s="0" t="n">
        <v>0.496029894253544</v>
      </c>
      <c r="C4843" s="0" t="n">
        <v>0.347739782295926</v>
      </c>
      <c r="D4843" s="0" t="n">
        <f aca="false">A4843/SUM($A4843:$C4843)</f>
        <v>0.198270836943174</v>
      </c>
      <c r="E4843" s="0" t="n">
        <f aca="false">B4843/SUM($A4843:$C4843)</f>
        <v>0.471315387390251</v>
      </c>
      <c r="F4843" s="0" t="n">
        <f aca="false">C4843/SUM($A4843:$C4843)</f>
        <v>0.330413775666575</v>
      </c>
      <c r="G4843" s="0" t="n">
        <f aca="false">SUMPRODUCT(D4843:F4843,Stats!$B$6:$D$6)</f>
        <v>0.374491549055007</v>
      </c>
      <c r="H4843" s="0" t="n">
        <f aca="false">SQRT(SUMPRODUCT(MMULT(D4843:F4843,Stats!$B$12:$D$14),D4843:F4843))</f>
        <v>0.232089244743508</v>
      </c>
      <c r="I4843" s="0" t="n">
        <f aca="false">(G4843-Stats!$B$2)/H4843</f>
        <v>1.4326021415704</v>
      </c>
    </row>
    <row r="4844" customFormat="false" ht="15" hidden="false" customHeight="false" outlineLevel="0" collapsed="false">
      <c r="A4844" s="0" t="n">
        <v>0.399858695137216</v>
      </c>
      <c r="B4844" s="0" t="n">
        <v>0.360806826245751</v>
      </c>
      <c r="C4844" s="0" t="n">
        <v>0.826359210175004</v>
      </c>
      <c r="D4844" s="0" t="n">
        <f aca="false">A4844/SUM($A4844:$C4844)</f>
        <v>0.251954923692132</v>
      </c>
      <c r="E4844" s="0" t="n">
        <f aca="false">B4844/SUM($A4844:$C4844)</f>
        <v>0.227347954364611</v>
      </c>
      <c r="F4844" s="0" t="n">
        <f aca="false">C4844/SUM($A4844:$C4844)</f>
        <v>0.520697121943256</v>
      </c>
      <c r="G4844" s="0" t="n">
        <f aca="false">SUMPRODUCT(D4844:F4844,Stats!$B$6:$D$6)</f>
        <v>0.355206988632824</v>
      </c>
      <c r="H4844" s="0" t="n">
        <f aca="false">SQRT(SUMPRODUCT(MMULT(D4844:F4844,Stats!$B$12:$D$14),D4844:F4844))</f>
        <v>0.230135497986048</v>
      </c>
      <c r="I4844" s="0" t="n">
        <f aca="false">(G4844-Stats!$B$2)/H4844</f>
        <v>1.36096774019544</v>
      </c>
    </row>
    <row r="4845" customFormat="false" ht="15" hidden="false" customHeight="false" outlineLevel="0" collapsed="false">
      <c r="A4845" s="0" t="n">
        <v>0.452139055122448</v>
      </c>
      <c r="B4845" s="0" t="n">
        <v>0.523694332244688</v>
      </c>
      <c r="C4845" s="0" t="n">
        <v>0.982447357047075</v>
      </c>
      <c r="D4845" s="0" t="n">
        <f aca="false">A4845/SUM($A4845:$C4845)</f>
        <v>0.230885717695038</v>
      </c>
      <c r="E4845" s="0" t="n">
        <f aca="false">B4845/SUM($A4845:$C4845)</f>
        <v>0.267425563846487</v>
      </c>
      <c r="F4845" s="0" t="n">
        <f aca="false">C4845/SUM($A4845:$C4845)</f>
        <v>0.501688718458476</v>
      </c>
      <c r="G4845" s="0" t="n">
        <f aca="false">SUMPRODUCT(D4845:F4845,Stats!$B$6:$D$6)</f>
        <v>0.358037151826053</v>
      </c>
      <c r="H4845" s="0" t="n">
        <f aca="false">SQRT(SUMPRODUCT(MMULT(D4845:F4845,Stats!$B$12:$D$14),D4845:F4845))</f>
        <v>0.230747479820675</v>
      </c>
      <c r="I4845" s="0" t="n">
        <f aca="false">(G4845-Stats!$B$2)/H4845</f>
        <v>1.36962341721635</v>
      </c>
    </row>
    <row r="4846" customFormat="false" ht="15" hidden="false" customHeight="false" outlineLevel="0" collapsed="false">
      <c r="A4846" s="0" t="n">
        <v>0.0599792721915164</v>
      </c>
      <c r="B4846" s="0" t="n">
        <v>0.487957639790749</v>
      </c>
      <c r="C4846" s="0" t="n">
        <v>0.774061706946116</v>
      </c>
      <c r="D4846" s="0" t="n">
        <f aca="false">A4846/SUM($A4846:$C4846)</f>
        <v>0.0453701473910283</v>
      </c>
      <c r="E4846" s="0" t="n">
        <f aca="false">B4846/SUM($A4846:$C4846)</f>
        <v>0.369106013277298</v>
      </c>
      <c r="F4846" s="0" t="n">
        <f aca="false">C4846/SUM($A4846:$C4846)</f>
        <v>0.585523839331674</v>
      </c>
      <c r="G4846" s="0" t="n">
        <f aca="false">SUMPRODUCT(D4846:F4846,Stats!$B$6:$D$6)</f>
        <v>0.361575992070476</v>
      </c>
      <c r="H4846" s="0" t="n">
        <f aca="false">SQRT(SUMPRODUCT(MMULT(D4846:F4846,Stats!$B$12:$D$14),D4846:F4846))</f>
        <v>0.241438478705804</v>
      </c>
      <c r="I4846" s="0" t="n">
        <f aca="false">(G4846-Stats!$B$2)/H4846</f>
        <v>1.3236332244285</v>
      </c>
    </row>
    <row r="4847" customFormat="false" ht="15" hidden="false" customHeight="false" outlineLevel="0" collapsed="false">
      <c r="A4847" s="0" t="n">
        <v>0.151161958188227</v>
      </c>
      <c r="B4847" s="0" t="n">
        <v>0.611531594614774</v>
      </c>
      <c r="C4847" s="0" t="n">
        <v>0.239464779534467</v>
      </c>
      <c r="D4847" s="0" t="n">
        <f aca="false">A4847/SUM($A4847:$C4847)</f>
        <v>0.150836403101745</v>
      </c>
      <c r="E4847" s="0" t="n">
        <f aca="false">B4847/SUM($A4847:$C4847)</f>
        <v>0.61021454882126</v>
      </c>
      <c r="F4847" s="0" t="n">
        <f aca="false">C4847/SUM($A4847:$C4847)</f>
        <v>0.238949048076995</v>
      </c>
      <c r="G4847" s="0" t="n">
        <f aca="false">SUMPRODUCT(D4847:F4847,Stats!$B$6:$D$6)</f>
        <v>0.385005731714179</v>
      </c>
      <c r="H4847" s="0" t="n">
        <f aca="false">SQRT(SUMPRODUCT(MMULT(D4847:F4847,Stats!$B$12:$D$14),D4847:F4847))</f>
        <v>0.23606273874836</v>
      </c>
      <c r="I4847" s="0" t="n">
        <f aca="false">(G4847-Stats!$B$2)/H4847</f>
        <v>1.45302784138169</v>
      </c>
    </row>
    <row r="4848" customFormat="false" ht="15" hidden="false" customHeight="false" outlineLevel="0" collapsed="false">
      <c r="A4848" s="0" t="n">
        <v>0.867404113224568</v>
      </c>
      <c r="B4848" s="0" t="n">
        <v>0.327099665400079</v>
      </c>
      <c r="C4848" s="0" t="n">
        <v>0.32906281690091</v>
      </c>
      <c r="D4848" s="0" t="n">
        <f aca="false">A4848/SUM($A4848:$C4848)</f>
        <v>0.569324712009294</v>
      </c>
      <c r="E4848" s="0" t="n">
        <f aca="false">B4848/SUM($A4848:$C4848)</f>
        <v>0.214693382199841</v>
      </c>
      <c r="F4848" s="0" t="n">
        <f aca="false">C4848/SUM($A4848:$C4848)</f>
        <v>0.215981905790865</v>
      </c>
      <c r="G4848" s="0" t="n">
        <f aca="false">SUMPRODUCT(D4848:F4848,Stats!$B$6:$D$6)</f>
        <v>0.362881265814724</v>
      </c>
      <c r="H4848" s="0" t="n">
        <f aca="false">SQRT(SUMPRODUCT(MMULT(D4848:F4848,Stats!$B$12:$D$14),D4848:F4848))</f>
        <v>0.222333270869601</v>
      </c>
      <c r="I4848" s="0" t="n">
        <f aca="false">(G4848-Stats!$B$2)/H4848</f>
        <v>1.44324447960342</v>
      </c>
    </row>
    <row r="4849" customFormat="false" ht="15" hidden="false" customHeight="false" outlineLevel="0" collapsed="false">
      <c r="A4849" s="0" t="n">
        <v>0.598193878517894</v>
      </c>
      <c r="B4849" s="0" t="n">
        <v>0.183562908119909</v>
      </c>
      <c r="C4849" s="0" t="n">
        <v>0.284888638903061</v>
      </c>
      <c r="D4849" s="0" t="n">
        <f aca="false">A4849/SUM($A4849:$C4849)</f>
        <v>0.560817928989446</v>
      </c>
      <c r="E4849" s="0" t="n">
        <f aca="false">B4849/SUM($A4849:$C4849)</f>
        <v>0.172093653358922</v>
      </c>
      <c r="F4849" s="0" t="n">
        <f aca="false">C4849/SUM($A4849:$C4849)</f>
        <v>0.267088417651632</v>
      </c>
      <c r="G4849" s="0" t="n">
        <f aca="false">SUMPRODUCT(D4849:F4849,Stats!$B$6:$D$6)</f>
        <v>0.359020890145005</v>
      </c>
      <c r="H4849" s="0" t="n">
        <f aca="false">SQRT(SUMPRODUCT(MMULT(D4849:F4849,Stats!$B$12:$D$14),D4849:F4849))</f>
        <v>0.221801829069453</v>
      </c>
      <c r="I4849" s="0" t="n">
        <f aca="false">(G4849-Stats!$B$2)/H4849</f>
        <v>1.42929790739343</v>
      </c>
    </row>
    <row r="4850" customFormat="false" ht="15" hidden="false" customHeight="false" outlineLevel="0" collapsed="false">
      <c r="A4850" s="0" t="n">
        <v>0.416631850119412</v>
      </c>
      <c r="B4850" s="0" t="n">
        <v>0.35363786314011</v>
      </c>
      <c r="C4850" s="0" t="n">
        <v>0.524877218005582</v>
      </c>
      <c r="D4850" s="0" t="n">
        <f aca="false">A4850/SUM($A4850:$C4850)</f>
        <v>0.321686937645325</v>
      </c>
      <c r="E4850" s="0" t="n">
        <f aca="false">B4850/SUM($A4850:$C4850)</f>
        <v>0.273048450799845</v>
      </c>
      <c r="F4850" s="0" t="n">
        <f aca="false">C4850/SUM($A4850:$C4850)</f>
        <v>0.40526461155483</v>
      </c>
      <c r="G4850" s="0" t="n">
        <f aca="false">SUMPRODUCT(D4850:F4850,Stats!$B$6:$D$6)</f>
        <v>0.361019543124996</v>
      </c>
      <c r="H4850" s="0" t="n">
        <f aca="false">SQRT(SUMPRODUCT(MMULT(D4850:F4850,Stats!$B$12:$D$14),D4850:F4850))</f>
        <v>0.226576962501295</v>
      </c>
      <c r="I4850" s="0" t="n">
        <f aca="false">(G4850-Stats!$B$2)/H4850</f>
        <v>1.4079963805816</v>
      </c>
    </row>
    <row r="4851" customFormat="false" ht="15" hidden="false" customHeight="false" outlineLevel="0" collapsed="false">
      <c r="A4851" s="0" t="n">
        <v>0.599640144068966</v>
      </c>
      <c r="B4851" s="0" t="n">
        <v>0.566667453750165</v>
      </c>
      <c r="C4851" s="0" t="n">
        <v>0.654168311991932</v>
      </c>
      <c r="D4851" s="0" t="n">
        <f aca="false">A4851/SUM($A4851:$C4851)</f>
        <v>0.329386475721725</v>
      </c>
      <c r="E4851" s="0" t="n">
        <f aca="false">B4851/SUM($A4851:$C4851)</f>
        <v>0.311274349029412</v>
      </c>
      <c r="F4851" s="0" t="n">
        <f aca="false">C4851/SUM($A4851:$C4851)</f>
        <v>0.359339175248864</v>
      </c>
      <c r="G4851" s="0" t="n">
        <f aca="false">SUMPRODUCT(D4851:F4851,Stats!$B$6:$D$6)</f>
        <v>0.364485388076599</v>
      </c>
      <c r="H4851" s="0" t="n">
        <f aca="false">SQRT(SUMPRODUCT(MMULT(D4851:F4851,Stats!$B$12:$D$14),D4851:F4851))</f>
        <v>0.22632790163038</v>
      </c>
      <c r="I4851" s="0" t="n">
        <f aca="false">(G4851-Stats!$B$2)/H4851</f>
        <v>1.42485917888841</v>
      </c>
    </row>
    <row r="4852" customFormat="false" ht="15" hidden="false" customHeight="false" outlineLevel="0" collapsed="false">
      <c r="A4852" s="0" t="n">
        <v>0.30774951660782</v>
      </c>
      <c r="B4852" s="0" t="n">
        <v>0.126426227155028</v>
      </c>
      <c r="C4852" s="0" t="n">
        <v>0.760807541431077</v>
      </c>
      <c r="D4852" s="0" t="n">
        <f aca="false">A4852/SUM($A4852:$C4852)</f>
        <v>0.257534578450508</v>
      </c>
      <c r="E4852" s="0" t="n">
        <f aca="false">B4852/SUM($A4852:$C4852)</f>
        <v>0.105797485807102</v>
      </c>
      <c r="F4852" s="0" t="n">
        <f aca="false">C4852/SUM($A4852:$C4852)</f>
        <v>0.636667935742391</v>
      </c>
      <c r="G4852" s="0" t="n">
        <f aca="false">SUMPRODUCT(D4852:F4852,Stats!$B$6:$D$6)</f>
        <v>0.345015281405927</v>
      </c>
      <c r="H4852" s="0" t="n">
        <f aca="false">SQRT(SUMPRODUCT(MMULT(D4852:F4852,Stats!$B$12:$D$14),D4852:F4852))</f>
        <v>0.232422622644816</v>
      </c>
      <c r="I4852" s="0" t="n">
        <f aca="false">(G4852-Stats!$B$2)/H4852</f>
        <v>1.3037254203477</v>
      </c>
    </row>
    <row r="4853" customFormat="false" ht="15" hidden="false" customHeight="false" outlineLevel="0" collapsed="false">
      <c r="A4853" s="0" t="n">
        <v>0.850780382630682</v>
      </c>
      <c r="B4853" s="0" t="n">
        <v>0.257006232222432</v>
      </c>
      <c r="C4853" s="0" t="n">
        <v>0.40709195615802</v>
      </c>
      <c r="D4853" s="0" t="n">
        <f aca="false">A4853/SUM($A4853:$C4853)</f>
        <v>0.561616223842161</v>
      </c>
      <c r="E4853" s="0" t="n">
        <f aca="false">B4853/SUM($A4853:$C4853)</f>
        <v>0.169654675391499</v>
      </c>
      <c r="F4853" s="0" t="n">
        <f aca="false">C4853/SUM($A4853:$C4853)</f>
        <v>0.26872910076634</v>
      </c>
      <c r="G4853" s="0" t="n">
        <f aca="false">SUMPRODUCT(D4853:F4853,Stats!$B$6:$D$6)</f>
        <v>0.358835313303619</v>
      </c>
      <c r="H4853" s="0" t="n">
        <f aca="false">SQRT(SUMPRODUCT(MMULT(D4853:F4853,Stats!$B$12:$D$14),D4853:F4853))</f>
        <v>0.221780509359133</v>
      </c>
      <c r="I4853" s="0" t="n">
        <f aca="false">(G4853-Stats!$B$2)/H4853</f>
        <v>1.42859854646001</v>
      </c>
    </row>
    <row r="4854" customFormat="false" ht="15" hidden="false" customHeight="false" outlineLevel="0" collapsed="false">
      <c r="A4854" s="0" t="n">
        <v>0.498569216963555</v>
      </c>
      <c r="B4854" s="0" t="n">
        <v>0.533326842752936</v>
      </c>
      <c r="C4854" s="0" t="n">
        <v>0.659490171087652</v>
      </c>
      <c r="D4854" s="0" t="n">
        <f aca="false">A4854/SUM($A4854:$C4854)</f>
        <v>0.294769584784026</v>
      </c>
      <c r="E4854" s="0" t="n">
        <f aca="false">B4854/SUM($A4854:$C4854)</f>
        <v>0.315319371199666</v>
      </c>
      <c r="F4854" s="0" t="n">
        <f aca="false">C4854/SUM($A4854:$C4854)</f>
        <v>0.389911044016308</v>
      </c>
      <c r="G4854" s="0" t="n">
        <f aca="false">SUMPRODUCT(D4854:F4854,Stats!$B$6:$D$6)</f>
        <v>0.363875125894202</v>
      </c>
      <c r="H4854" s="0" t="n">
        <f aca="false">SQRT(SUMPRODUCT(MMULT(D4854:F4854,Stats!$B$12:$D$14),D4854:F4854))</f>
        <v>0.227534884179539</v>
      </c>
      <c r="I4854" s="0" t="n">
        <f aca="false">(G4854-Stats!$B$2)/H4854</f>
        <v>1.41461880473775</v>
      </c>
    </row>
    <row r="4855" customFormat="false" ht="15" hidden="false" customHeight="false" outlineLevel="0" collapsed="false">
      <c r="A4855" s="0" t="n">
        <v>0.0416032333553214</v>
      </c>
      <c r="B4855" s="0" t="n">
        <v>0.721477082734017</v>
      </c>
      <c r="C4855" s="0" t="n">
        <v>0.0619710069794103</v>
      </c>
      <c r="D4855" s="0" t="n">
        <f aca="false">A4855/SUM($A4855:$C4855)</f>
        <v>0.0504250247131047</v>
      </c>
      <c r="E4855" s="0" t="n">
        <f aca="false">B4855/SUM($A4855:$C4855)</f>
        <v>0.874463275872959</v>
      </c>
      <c r="F4855" s="0" t="n">
        <f aca="false">C4855/SUM($A4855:$C4855)</f>
        <v>0.0751116994139363</v>
      </c>
      <c r="G4855" s="0" t="n">
        <f aca="false">SUMPRODUCT(D4855:F4855,Stats!$B$6:$D$6)</f>
        <v>0.404728013332525</v>
      </c>
      <c r="H4855" s="0" t="n">
        <f aca="false">SQRT(SUMPRODUCT(MMULT(D4855:F4855,Stats!$B$12:$D$14),D4855:F4855))</f>
        <v>0.247594138797753</v>
      </c>
      <c r="I4855" s="0" t="n">
        <f aca="false">(G4855-Stats!$B$2)/H4855</f>
        <v>1.46501050103136</v>
      </c>
    </row>
    <row r="4856" customFormat="false" ht="15" hidden="false" customHeight="false" outlineLevel="0" collapsed="false">
      <c r="A4856" s="0" t="n">
        <v>0.468288567672868</v>
      </c>
      <c r="B4856" s="0" t="n">
        <v>0.827671135569194</v>
      </c>
      <c r="C4856" s="0" t="n">
        <v>0.451215313278396</v>
      </c>
      <c r="D4856" s="0" t="n">
        <f aca="false">A4856/SUM($A4856:$C4856)</f>
        <v>0.268026135472951</v>
      </c>
      <c r="E4856" s="0" t="n">
        <f aca="false">B4856/SUM($A4856:$C4856)</f>
        <v>0.473719649000889</v>
      </c>
      <c r="F4856" s="0" t="n">
        <f aca="false">C4856/SUM($A4856:$C4856)</f>
        <v>0.25825421552616</v>
      </c>
      <c r="G4856" s="0" t="n">
        <f aca="false">SUMPRODUCT(D4856:F4856,Stats!$B$6:$D$6)</f>
        <v>0.376619659273154</v>
      </c>
      <c r="H4856" s="0" t="n">
        <f aca="false">SQRT(SUMPRODUCT(MMULT(D4856:F4856,Stats!$B$12:$D$14),D4856:F4856))</f>
        <v>0.229757135977222</v>
      </c>
      <c r="I4856" s="0" t="n">
        <f aca="false">(G4856-Stats!$B$2)/H4856</f>
        <v>1.45640594730571</v>
      </c>
    </row>
    <row r="4857" customFormat="false" ht="15" hidden="false" customHeight="false" outlineLevel="0" collapsed="false">
      <c r="A4857" s="0" t="n">
        <v>0.149089748768248</v>
      </c>
      <c r="B4857" s="0" t="n">
        <v>0.98503384500596</v>
      </c>
      <c r="C4857" s="0" t="n">
        <v>0.889285462074263</v>
      </c>
      <c r="D4857" s="0" t="n">
        <f aca="false">A4857/SUM($A4857:$C4857)</f>
        <v>0.0736824560201103</v>
      </c>
      <c r="E4857" s="0" t="n">
        <f aca="false">B4857/SUM($A4857:$C4857)</f>
        <v>0.486818936664741</v>
      </c>
      <c r="F4857" s="0" t="n">
        <f aca="false">C4857/SUM($A4857:$C4857)</f>
        <v>0.439498607315149</v>
      </c>
      <c r="G4857" s="0" t="n">
        <f aca="false">SUMPRODUCT(D4857:F4857,Stats!$B$6:$D$6)</f>
        <v>0.372375630937932</v>
      </c>
      <c r="H4857" s="0" t="n">
        <f aca="false">SQRT(SUMPRODUCT(MMULT(D4857:F4857,Stats!$B$12:$D$14),D4857:F4857))</f>
        <v>0.238498810596889</v>
      </c>
      <c r="I4857" s="0" t="n">
        <f aca="false">(G4857-Stats!$B$2)/H4857</f>
        <v>1.38522967938961</v>
      </c>
    </row>
    <row r="4858" customFormat="false" ht="15" hidden="false" customHeight="false" outlineLevel="0" collapsed="false">
      <c r="A4858" s="0" t="n">
        <v>0.771313633225014</v>
      </c>
      <c r="B4858" s="0" t="n">
        <v>0.41151160289921</v>
      </c>
      <c r="C4858" s="0" t="n">
        <v>0.183845726889298</v>
      </c>
      <c r="D4858" s="0" t="n">
        <f aca="false">A4858/SUM($A4858:$C4858)</f>
        <v>0.564374054984135</v>
      </c>
      <c r="E4858" s="0" t="n">
        <f aca="false">B4858/SUM($A4858:$C4858)</f>
        <v>0.30110510432725</v>
      </c>
      <c r="F4858" s="0" t="n">
        <f aca="false">C4858/SUM($A4858:$C4858)</f>
        <v>0.134520840688615</v>
      </c>
      <c r="G4858" s="0" t="n">
        <f aca="false">SUMPRODUCT(D4858:F4858,Stats!$B$6:$D$6)</f>
        <v>0.370099542004053</v>
      </c>
      <c r="H4858" s="0" t="n">
        <f aca="false">SQRT(SUMPRODUCT(MMULT(D4858:F4858,Stats!$B$12:$D$14),D4858:F4858))</f>
        <v>0.224018729844948</v>
      </c>
      <c r="I4858" s="0" t="n">
        <f aca="false">(G4858-Stats!$B$2)/H4858</f>
        <v>1.46460763450959</v>
      </c>
    </row>
    <row r="4859" customFormat="false" ht="15" hidden="false" customHeight="false" outlineLevel="0" collapsed="false">
      <c r="A4859" s="0" t="n">
        <v>0.941411181418501</v>
      </c>
      <c r="B4859" s="0" t="n">
        <v>0.532351126517139</v>
      </c>
      <c r="C4859" s="0" t="n">
        <v>0.852355460387485</v>
      </c>
      <c r="D4859" s="0" t="n">
        <f aca="false">A4859/SUM($A4859:$C4859)</f>
        <v>0.404713464743083</v>
      </c>
      <c r="E4859" s="0" t="n">
        <f aca="false">B4859/SUM($A4859:$C4859)</f>
        <v>0.228858200460291</v>
      </c>
      <c r="F4859" s="0" t="n">
        <f aca="false">C4859/SUM($A4859:$C4859)</f>
        <v>0.366428334796625</v>
      </c>
      <c r="G4859" s="0" t="n">
        <f aca="false">SUMPRODUCT(D4859:F4859,Stats!$B$6:$D$6)</f>
        <v>0.35954778870917</v>
      </c>
      <c r="H4859" s="0" t="n">
        <f aca="false">SQRT(SUMPRODUCT(MMULT(D4859:F4859,Stats!$B$12:$D$14),D4859:F4859))</f>
        <v>0.224044763398337</v>
      </c>
      <c r="I4859" s="0" t="n">
        <f aca="false">(G4859-Stats!$B$2)/H4859</f>
        <v>1.41734082016722</v>
      </c>
    </row>
    <row r="4860" customFormat="false" ht="15" hidden="false" customHeight="false" outlineLevel="0" collapsed="false">
      <c r="A4860" s="0" t="n">
        <v>0.342095005759426</v>
      </c>
      <c r="B4860" s="0" t="n">
        <v>0.335288317079471</v>
      </c>
      <c r="C4860" s="0" t="n">
        <v>0.985540480674039</v>
      </c>
      <c r="D4860" s="0" t="n">
        <f aca="false">A4860/SUM($A4860:$C4860)</f>
        <v>0.205718990272885</v>
      </c>
      <c r="E4860" s="0" t="n">
        <f aca="false">B4860/SUM($A4860:$C4860)</f>
        <v>0.201625784880325</v>
      </c>
      <c r="F4860" s="0" t="n">
        <f aca="false">C4860/SUM($A4860:$C4860)</f>
        <v>0.592655224846791</v>
      </c>
      <c r="G4860" s="0" t="n">
        <f aca="false">SUMPRODUCT(D4860:F4860,Stats!$B$6:$D$6)</f>
        <v>0.351742751281228</v>
      </c>
      <c r="H4860" s="0" t="n">
        <f aca="false">SQRT(SUMPRODUCT(MMULT(D4860:F4860,Stats!$B$12:$D$14),D4860:F4860))</f>
        <v>0.233343518897412</v>
      </c>
      <c r="I4860" s="0" t="n">
        <f aca="false">(G4860-Stats!$B$2)/H4860</f>
        <v>1.32741098936373</v>
      </c>
    </row>
    <row r="4861" customFormat="false" ht="15" hidden="false" customHeight="false" outlineLevel="0" collapsed="false">
      <c r="A4861" s="0" t="n">
        <v>0.52183304849485</v>
      </c>
      <c r="B4861" s="0" t="n">
        <v>0.140695423860746</v>
      </c>
      <c r="C4861" s="0" t="n">
        <v>0.219674677994707</v>
      </c>
      <c r="D4861" s="0" t="n">
        <f aca="false">A4861/SUM($A4861:$C4861)</f>
        <v>0.591511204973187</v>
      </c>
      <c r="E4861" s="0" t="n">
        <f aca="false">B4861/SUM($A4861:$C4861)</f>
        <v>0.159481887822413</v>
      </c>
      <c r="F4861" s="0" t="n">
        <f aca="false">C4861/SUM($A4861:$C4861)</f>
        <v>0.2490069072044</v>
      </c>
      <c r="G4861" s="0" t="n">
        <f aca="false">SUMPRODUCT(D4861:F4861,Stats!$B$6:$D$6)</f>
        <v>0.358793816175191</v>
      </c>
      <c r="H4861" s="0" t="n">
        <f aca="false">SQRT(SUMPRODUCT(MMULT(D4861:F4861,Stats!$B$12:$D$14),D4861:F4861))</f>
        <v>0.22175335372818</v>
      </c>
      <c r="I4861" s="0" t="n">
        <f aca="false">(G4861-Stats!$B$2)/H4861</f>
        <v>1.42858635889453</v>
      </c>
    </row>
    <row r="4862" customFormat="false" ht="15" hidden="false" customHeight="false" outlineLevel="0" collapsed="false">
      <c r="A4862" s="0" t="n">
        <v>0.481944279392721</v>
      </c>
      <c r="B4862" s="0" t="n">
        <v>0.0424709104884113</v>
      </c>
      <c r="C4862" s="0" t="n">
        <v>0.462533985378301</v>
      </c>
      <c r="D4862" s="0" t="n">
        <f aca="false">A4862/SUM($A4862:$C4862)</f>
        <v>0.488317221873189</v>
      </c>
      <c r="E4862" s="0" t="n">
        <f aca="false">B4862/SUM($A4862:$C4862)</f>
        <v>0.0430325203699039</v>
      </c>
      <c r="F4862" s="0" t="n">
        <f aca="false">C4862/SUM($A4862:$C4862)</f>
        <v>0.468650257756908</v>
      </c>
      <c r="G4862" s="0" t="n">
        <f aca="false">SUMPRODUCT(D4862:F4862,Stats!$B$6:$D$6)</f>
        <v>0.346036889377229</v>
      </c>
      <c r="H4862" s="0" t="n">
        <f aca="false">SQRT(SUMPRODUCT(MMULT(D4862:F4862,Stats!$B$12:$D$14),D4862:F4862))</f>
        <v>0.223167783864652</v>
      </c>
      <c r="I4862" s="0" t="n">
        <f aca="false">(G4862-Stats!$B$2)/H4862</f>
        <v>1.36236908442673</v>
      </c>
    </row>
    <row r="4863" customFormat="false" ht="15" hidden="false" customHeight="false" outlineLevel="0" collapsed="false">
      <c r="A4863" s="0" t="n">
        <v>0.418940842080128</v>
      </c>
      <c r="B4863" s="0" t="n">
        <v>0.779336265319487</v>
      </c>
      <c r="C4863" s="0" t="n">
        <v>0.354941964489242</v>
      </c>
      <c r="D4863" s="0" t="n">
        <f aca="false">A4863/SUM($A4863:$C4863)</f>
        <v>0.269724245383272</v>
      </c>
      <c r="E4863" s="0" t="n">
        <f aca="false">B4863/SUM($A4863:$C4863)</f>
        <v>0.501755534312196</v>
      </c>
      <c r="F4863" s="0" t="n">
        <f aca="false">C4863/SUM($A4863:$C4863)</f>
        <v>0.228520220304532</v>
      </c>
      <c r="G4863" s="0" t="n">
        <f aca="false">SUMPRODUCT(D4863:F4863,Stats!$B$6:$D$6)</f>
        <v>0.379052711309771</v>
      </c>
      <c r="H4863" s="0" t="n">
        <f aca="false">SQRT(SUMPRODUCT(MMULT(D4863:F4863,Stats!$B$12:$D$14),D4863:F4863))</f>
        <v>0.230234071954413</v>
      </c>
      <c r="I4863" s="0" t="n">
        <f aca="false">(G4863-Stats!$B$2)/H4863</f>
        <v>1.46395669610755</v>
      </c>
    </row>
    <row r="4864" customFormat="false" ht="15" hidden="false" customHeight="false" outlineLevel="0" collapsed="false">
      <c r="A4864" s="0" t="n">
        <v>0.982548761539599</v>
      </c>
      <c r="B4864" s="0" t="n">
        <v>0.180769919300903</v>
      </c>
      <c r="C4864" s="0" t="n">
        <v>0.590986684968135</v>
      </c>
      <c r="D4864" s="0" t="n">
        <f aca="false">A4864/SUM($A4864:$C4864)</f>
        <v>0.560078524919006</v>
      </c>
      <c r="E4864" s="0" t="n">
        <f aca="false">B4864/SUM($A4864:$C4864)</f>
        <v>0.103043587977386</v>
      </c>
      <c r="F4864" s="0" t="n">
        <f aca="false">C4864/SUM($A4864:$C4864)</f>
        <v>0.336877887103607</v>
      </c>
      <c r="G4864" s="0" t="n">
        <f aca="false">SUMPRODUCT(D4864:F4864,Stats!$B$6:$D$6)</f>
        <v>0.353123420975005</v>
      </c>
      <c r="H4864" s="0" t="n">
        <f aca="false">SQRT(SUMPRODUCT(MMULT(D4864:F4864,Stats!$B$12:$D$14),D4864:F4864))</f>
        <v>0.221497210324221</v>
      </c>
      <c r="I4864" s="0" t="n">
        <f aca="false">(G4864-Stats!$B$2)/H4864</f>
        <v>1.40463810139907</v>
      </c>
    </row>
    <row r="4865" customFormat="false" ht="15" hidden="false" customHeight="false" outlineLevel="0" collapsed="false">
      <c r="A4865" s="0" t="n">
        <v>0.0896992970082546</v>
      </c>
      <c r="B4865" s="0" t="n">
        <v>0.733863983993982</v>
      </c>
      <c r="C4865" s="0" t="n">
        <v>0.994753688061972</v>
      </c>
      <c r="D4865" s="0" t="n">
        <f aca="false">A4865/SUM($A4865:$C4865)</f>
        <v>0.0493309464380229</v>
      </c>
      <c r="E4865" s="0" t="n">
        <f aca="false">B4865/SUM($A4865:$C4865)</f>
        <v>0.403595190761302</v>
      </c>
      <c r="F4865" s="0" t="n">
        <f aca="false">C4865/SUM($A4865:$C4865)</f>
        <v>0.547073862800675</v>
      </c>
      <c r="G4865" s="0" t="n">
        <f aca="false">SUMPRODUCT(D4865:F4865,Stats!$B$6:$D$6)</f>
        <v>0.36462069801864</v>
      </c>
      <c r="H4865" s="0" t="n">
        <f aca="false">SQRT(SUMPRODUCT(MMULT(D4865:F4865,Stats!$B$12:$D$14),D4865:F4865))</f>
        <v>0.240649071309881</v>
      </c>
      <c r="I4865" s="0" t="n">
        <f aca="false">(G4865-Stats!$B$2)/H4865</f>
        <v>1.34062723060836</v>
      </c>
    </row>
    <row r="4866" customFormat="false" ht="15" hidden="false" customHeight="false" outlineLevel="0" collapsed="false">
      <c r="A4866" s="0" t="n">
        <v>0.819138637751632</v>
      </c>
      <c r="B4866" s="0" t="n">
        <v>0.555703540720301</v>
      </c>
      <c r="C4866" s="0" t="n">
        <v>0.484741357399692</v>
      </c>
      <c r="D4866" s="0" t="n">
        <f aca="false">A4866/SUM($A4866:$C4866)</f>
        <v>0.440495746467063</v>
      </c>
      <c r="E4866" s="0" t="n">
        <f aca="false">B4866/SUM($A4866:$C4866)</f>
        <v>0.298832254642345</v>
      </c>
      <c r="F4866" s="0" t="n">
        <f aca="false">C4866/SUM($A4866:$C4866)</f>
        <v>0.260671998890592</v>
      </c>
      <c r="G4866" s="0" t="n">
        <f aca="false">SUMPRODUCT(D4866:F4866,Stats!$B$6:$D$6)</f>
        <v>0.366490195507743</v>
      </c>
      <c r="H4866" s="0" t="n">
        <f aca="false">SQRT(SUMPRODUCT(MMULT(D4866:F4866,Stats!$B$12:$D$14),D4866:F4866))</f>
        <v>0.22384394620598</v>
      </c>
      <c r="I4866" s="0" t="n">
        <f aca="false">(G4866-Stats!$B$2)/H4866</f>
        <v>1.44962685392058</v>
      </c>
    </row>
    <row r="4867" customFormat="false" ht="15" hidden="false" customHeight="false" outlineLevel="0" collapsed="false">
      <c r="A4867" s="0" t="n">
        <v>0.835029961266847</v>
      </c>
      <c r="B4867" s="0" t="n">
        <v>0.935974084710724</v>
      </c>
      <c r="C4867" s="0" t="n">
        <v>0.989206525798093</v>
      </c>
      <c r="D4867" s="0" t="n">
        <f aca="false">A4867/SUM($A4867:$C4867)</f>
        <v>0.302524006612172</v>
      </c>
      <c r="E4867" s="0" t="n">
        <f aca="false">B4867/SUM($A4867:$C4867)</f>
        <v>0.339095174216584</v>
      </c>
      <c r="F4867" s="0" t="n">
        <f aca="false">C4867/SUM($A4867:$C4867)</f>
        <v>0.358380819171245</v>
      </c>
      <c r="G4867" s="0" t="n">
        <f aca="false">SUMPRODUCT(D4867:F4867,Stats!$B$6:$D$6)</f>
        <v>0.366112588650316</v>
      </c>
      <c r="H4867" s="0" t="n">
        <f aca="false">SQRT(SUMPRODUCT(MMULT(D4867:F4867,Stats!$B$12:$D$14),D4867:F4867))</f>
        <v>0.22730533979159</v>
      </c>
      <c r="I4867" s="0" t="n">
        <f aca="false">(G4867-Stats!$B$2)/H4867</f>
        <v>1.42589078174532</v>
      </c>
    </row>
    <row r="4868" customFormat="false" ht="15" hidden="false" customHeight="false" outlineLevel="0" collapsed="false">
      <c r="A4868" s="0" t="n">
        <v>0.396539227564484</v>
      </c>
      <c r="B4868" s="0" t="n">
        <v>0.990917474794512</v>
      </c>
      <c r="C4868" s="0" t="n">
        <v>0.155926252173832</v>
      </c>
      <c r="D4868" s="0" t="n">
        <f aca="false">A4868/SUM($A4868:$C4868)</f>
        <v>0.25692860375312</v>
      </c>
      <c r="E4868" s="0" t="n">
        <f aca="false">B4868/SUM($A4868:$C4868)</f>
        <v>0.642042515685588</v>
      </c>
      <c r="F4868" s="0" t="n">
        <f aca="false">C4868/SUM($A4868:$C4868)</f>
        <v>0.101028880561292</v>
      </c>
      <c r="G4868" s="0" t="n">
        <f aca="false">SUMPRODUCT(D4868:F4868,Stats!$B$6:$D$6)</f>
        <v>0.390640167305781</v>
      </c>
      <c r="H4868" s="0" t="n">
        <f aca="false">SQRT(SUMPRODUCT(MMULT(D4868:F4868,Stats!$B$12:$D$14),D4868:F4868))</f>
        <v>0.234389286540852</v>
      </c>
      <c r="I4868" s="0" t="n">
        <f aca="false">(G4868-Stats!$B$2)/H4868</f>
        <v>1.487440712206</v>
      </c>
    </row>
    <row r="4869" customFormat="false" ht="15" hidden="false" customHeight="false" outlineLevel="0" collapsed="false">
      <c r="A4869" s="0" t="n">
        <v>0.253549775931909</v>
      </c>
      <c r="B4869" s="0" t="n">
        <v>0.0890161247338962</v>
      </c>
      <c r="C4869" s="0" t="n">
        <v>0.271738516484482</v>
      </c>
      <c r="D4869" s="0" t="n">
        <f aca="false">A4869/SUM($A4869:$C4869)</f>
        <v>0.412742882605513</v>
      </c>
      <c r="E4869" s="0" t="n">
        <f aca="false">B4869/SUM($A4869:$C4869)</f>
        <v>0.144905558626512</v>
      </c>
      <c r="F4869" s="0" t="n">
        <f aca="false">C4869/SUM($A4869:$C4869)</f>
        <v>0.442351558767975</v>
      </c>
      <c r="G4869" s="0" t="n">
        <f aca="false">SUMPRODUCT(D4869:F4869,Stats!$B$6:$D$6)</f>
        <v>0.35262370865643</v>
      </c>
      <c r="H4869" s="0" t="n">
        <f aca="false">SQRT(SUMPRODUCT(MMULT(D4869:F4869,Stats!$B$12:$D$14),D4869:F4869))</f>
        <v>0.224190847125376</v>
      </c>
      <c r="I4869" s="0" t="n">
        <f aca="false">(G4869-Stats!$B$2)/H4869</f>
        <v>1.38553251677896</v>
      </c>
    </row>
    <row r="4870" customFormat="false" ht="15" hidden="false" customHeight="false" outlineLevel="0" collapsed="false">
      <c r="A4870" s="0" t="n">
        <v>0.767937551618011</v>
      </c>
      <c r="B4870" s="0" t="n">
        <v>0.85292435817845</v>
      </c>
      <c r="C4870" s="0" t="n">
        <v>0.778892645102572</v>
      </c>
      <c r="D4870" s="0" t="n">
        <f aca="false">A4870/SUM($A4870:$C4870)</f>
        <v>0.32000670654017</v>
      </c>
      <c r="E4870" s="0" t="n">
        <f aca="false">B4870/SUM($A4870:$C4870)</f>
        <v>0.355421497768273</v>
      </c>
      <c r="F4870" s="0" t="n">
        <f aca="false">C4870/SUM($A4870:$C4870)</f>
        <v>0.324571795691557</v>
      </c>
      <c r="G4870" s="0" t="n">
        <f aca="false">SUMPRODUCT(D4870:F4870,Stats!$B$6:$D$6)</f>
        <v>0.367984254995552</v>
      </c>
      <c r="H4870" s="0" t="n">
        <f aca="false">SQRT(SUMPRODUCT(MMULT(D4870:F4870,Stats!$B$12:$D$14),D4870:F4870))</f>
        <v>0.226848224180272</v>
      </c>
      <c r="I4870" s="0" t="n">
        <f aca="false">(G4870-Stats!$B$2)/H4870</f>
        <v>1.43701479777289</v>
      </c>
    </row>
    <row r="4871" customFormat="false" ht="15" hidden="false" customHeight="false" outlineLevel="0" collapsed="false">
      <c r="A4871" s="0" t="n">
        <v>0.631065778167696</v>
      </c>
      <c r="B4871" s="0" t="n">
        <v>0.513966512522646</v>
      </c>
      <c r="C4871" s="0" t="n">
        <v>0.708704289213647</v>
      </c>
      <c r="D4871" s="0" t="n">
        <f aca="false">A4871/SUM($A4871:$C4871)</f>
        <v>0.340429047475765</v>
      </c>
      <c r="E4871" s="0" t="n">
        <f aca="false">B4871/SUM($A4871:$C4871)</f>
        <v>0.277259734794285</v>
      </c>
      <c r="F4871" s="0" t="n">
        <f aca="false">C4871/SUM($A4871:$C4871)</f>
        <v>0.38231121772995</v>
      </c>
      <c r="G4871" s="0" t="n">
        <f aca="false">SUMPRODUCT(D4871:F4871,Stats!$B$6:$D$6)</f>
        <v>0.361894785961859</v>
      </c>
      <c r="H4871" s="0" t="n">
        <f aca="false">SQRT(SUMPRODUCT(MMULT(D4871:F4871,Stats!$B$12:$D$14),D4871:F4871))</f>
        <v>0.22591957510274</v>
      </c>
      <c r="I4871" s="0" t="n">
        <f aca="false">(G4871-Stats!$B$2)/H4871</f>
        <v>1.41596754427492</v>
      </c>
    </row>
    <row r="4872" customFormat="false" ht="15" hidden="false" customHeight="false" outlineLevel="0" collapsed="false">
      <c r="A4872" s="0" t="n">
        <v>0.390833549267222</v>
      </c>
      <c r="B4872" s="0" t="n">
        <v>0.841308351499702</v>
      </c>
      <c r="C4872" s="0" t="n">
        <v>0.677190093976785</v>
      </c>
      <c r="D4872" s="0" t="n">
        <f aca="false">A4872/SUM($A4872:$C4872)</f>
        <v>0.204696485652137</v>
      </c>
      <c r="E4872" s="0" t="n">
        <f aca="false">B4872/SUM($A4872:$C4872)</f>
        <v>0.44062968295497</v>
      </c>
      <c r="F4872" s="0" t="n">
        <f aca="false">C4872/SUM($A4872:$C4872)</f>
        <v>0.354673831392893</v>
      </c>
      <c r="G4872" s="0" t="n">
        <f aca="false">SUMPRODUCT(D4872:F4872,Stats!$B$6:$D$6)</f>
        <v>0.372056971631786</v>
      </c>
      <c r="H4872" s="0" t="n">
        <f aca="false">SQRT(SUMPRODUCT(MMULT(D4872:F4872,Stats!$B$12:$D$14),D4872:F4872))</f>
        <v>0.231572744716182</v>
      </c>
      <c r="I4872" s="0" t="n">
        <f aca="false">(G4872-Stats!$B$2)/H4872</f>
        <v>1.42528418893297</v>
      </c>
    </row>
    <row r="4873" customFormat="false" ht="15" hidden="false" customHeight="false" outlineLevel="0" collapsed="false">
      <c r="A4873" s="0" t="n">
        <v>0.697804698494409</v>
      </c>
      <c r="B4873" s="0" t="n">
        <v>0.535935993129071</v>
      </c>
      <c r="C4873" s="0" t="n">
        <v>0.885228984211173</v>
      </c>
      <c r="D4873" s="0" t="n">
        <f aca="false">A4873/SUM($A4873:$C4873)</f>
        <v>0.329313206532579</v>
      </c>
      <c r="E4873" s="0" t="n">
        <f aca="false">B4873/SUM($A4873:$C4873)</f>
        <v>0.252922917793983</v>
      </c>
      <c r="F4873" s="0" t="n">
        <f aca="false">C4873/SUM($A4873:$C4873)</f>
        <v>0.417763875673438</v>
      </c>
      <c r="G4873" s="0" t="n">
        <f aca="false">SUMPRODUCT(D4873:F4873,Stats!$B$6:$D$6)</f>
        <v>0.359516883603205</v>
      </c>
      <c r="H4873" s="0" t="n">
        <f aca="false">SQRT(SUMPRODUCT(MMULT(D4873:F4873,Stats!$B$12:$D$14),D4873:F4873))</f>
        <v>0.22635914513122</v>
      </c>
      <c r="I4873" s="0" t="n">
        <f aca="false">(G4873-Stats!$B$2)/H4873</f>
        <v>1.40271285889131</v>
      </c>
    </row>
    <row r="4874" customFormat="false" ht="15" hidden="false" customHeight="false" outlineLevel="0" collapsed="false">
      <c r="A4874" s="0" t="n">
        <v>0.252014733679053</v>
      </c>
      <c r="B4874" s="0" t="n">
        <v>0.381147653361051</v>
      </c>
      <c r="C4874" s="0" t="n">
        <v>0.777642569677689</v>
      </c>
      <c r="D4874" s="0" t="n">
        <f aca="false">A4874/SUM($A4874:$C4874)</f>
        <v>0.178631874292078</v>
      </c>
      <c r="E4874" s="0" t="n">
        <f aca="false">B4874/SUM($A4874:$C4874)</f>
        <v>0.270163250806676</v>
      </c>
      <c r="F4874" s="0" t="n">
        <f aca="false">C4874/SUM($A4874:$C4874)</f>
        <v>0.551204874901247</v>
      </c>
      <c r="G4874" s="0" t="n">
        <f aca="false">SUMPRODUCT(D4874:F4874,Stats!$B$6:$D$6)</f>
        <v>0.356829285821429</v>
      </c>
      <c r="H4874" s="0" t="n">
        <f aca="false">SQRT(SUMPRODUCT(MMULT(D4874:F4874,Stats!$B$12:$D$14),D4874:F4874))</f>
        <v>0.23376714252394</v>
      </c>
      <c r="I4874" s="0" t="n">
        <f aca="false">(G4874-Stats!$B$2)/H4874</f>
        <v>1.34676448718274</v>
      </c>
    </row>
    <row r="4875" customFormat="false" ht="15" hidden="false" customHeight="false" outlineLevel="0" collapsed="false">
      <c r="A4875" s="0" t="n">
        <v>0.492748896129338</v>
      </c>
      <c r="B4875" s="0" t="n">
        <v>0.889214013424191</v>
      </c>
      <c r="C4875" s="0" t="n">
        <v>0.346399319762852</v>
      </c>
      <c r="D4875" s="0" t="n">
        <f aca="false">A4875/SUM($A4875:$C4875)</f>
        <v>0.285095848411496</v>
      </c>
      <c r="E4875" s="0" t="n">
        <f aca="false">B4875/SUM($A4875:$C4875)</f>
        <v>0.514483595129189</v>
      </c>
      <c r="F4875" s="0" t="n">
        <f aca="false">C4875/SUM($A4875:$C4875)</f>
        <v>0.200420556459316</v>
      </c>
      <c r="G4875" s="0" t="n">
        <f aca="false">SUMPRODUCT(D4875:F4875,Stats!$B$6:$D$6)</f>
        <v>0.380559904878407</v>
      </c>
      <c r="H4875" s="0" t="n">
        <f aca="false">SQRT(SUMPRODUCT(MMULT(D4875:F4875,Stats!$B$12:$D$14),D4875:F4875))</f>
        <v>0.230172571534252</v>
      </c>
      <c r="I4875" s="0" t="n">
        <f aca="false">(G4875-Stats!$B$2)/H4875</f>
        <v>1.47089595698428</v>
      </c>
    </row>
    <row r="4876" customFormat="false" ht="15" hidden="false" customHeight="false" outlineLevel="0" collapsed="false">
      <c r="A4876" s="0" t="n">
        <v>0.369330168819645</v>
      </c>
      <c r="B4876" s="0" t="n">
        <v>0.888735789386625</v>
      </c>
      <c r="C4876" s="0" t="n">
        <v>0.464370320182041</v>
      </c>
      <c r="D4876" s="0" t="n">
        <f aca="false">A4876/SUM($A4876:$C4876)</f>
        <v>0.21442312464832</v>
      </c>
      <c r="E4876" s="0" t="n">
        <f aca="false">B4876/SUM($A4876:$C4876)</f>
        <v>0.515976004765888</v>
      </c>
      <c r="F4876" s="0" t="n">
        <f aca="false">C4876/SUM($A4876:$C4876)</f>
        <v>0.269600870585792</v>
      </c>
      <c r="G4876" s="0" t="n">
        <f aca="false">SUMPRODUCT(D4876:F4876,Stats!$B$6:$D$6)</f>
        <v>0.378738155643424</v>
      </c>
      <c r="H4876" s="0" t="n">
        <f aca="false">SQRT(SUMPRODUCT(MMULT(D4876:F4876,Stats!$B$12:$D$14),D4876:F4876))</f>
        <v>0.232081751010554</v>
      </c>
      <c r="I4876" s="0" t="n">
        <f aca="false">(G4876-Stats!$B$2)/H4876</f>
        <v>1.45094629016355</v>
      </c>
    </row>
    <row r="4877" customFormat="false" ht="15" hidden="false" customHeight="false" outlineLevel="0" collapsed="false">
      <c r="A4877" s="0" t="n">
        <v>0.516124584202487</v>
      </c>
      <c r="B4877" s="0" t="n">
        <v>0.332763715335679</v>
      </c>
      <c r="C4877" s="0" t="n">
        <v>0.276669942179082</v>
      </c>
      <c r="D4877" s="0" t="n">
        <f aca="false">A4877/SUM($A4877:$C4877)</f>
        <v>0.458549868921081</v>
      </c>
      <c r="E4877" s="0" t="n">
        <f aca="false">B4877/SUM($A4877:$C4877)</f>
        <v>0.295643266605188</v>
      </c>
      <c r="F4877" s="0" t="n">
        <f aca="false">C4877/SUM($A4877:$C4877)</f>
        <v>0.24580686447373</v>
      </c>
      <c r="G4877" s="0" t="n">
        <f aca="false">SUMPRODUCT(D4877:F4877,Stats!$B$6:$D$6)</f>
        <v>0.366716605627625</v>
      </c>
      <c r="H4877" s="0" t="n">
        <f aca="false">SQRT(SUMPRODUCT(MMULT(D4877:F4877,Stats!$B$12:$D$14),D4877:F4877))</f>
        <v>0.223627488028246</v>
      </c>
      <c r="I4877" s="0" t="n">
        <f aca="false">(G4877-Stats!$B$2)/H4877</f>
        <v>1.45204245010618</v>
      </c>
    </row>
    <row r="4878" customFormat="false" ht="15" hidden="false" customHeight="false" outlineLevel="0" collapsed="false">
      <c r="A4878" s="0" t="n">
        <v>0.655948710838392</v>
      </c>
      <c r="B4878" s="0" t="n">
        <v>0.119840661541204</v>
      </c>
      <c r="C4878" s="0" t="n">
        <v>0.879272641182909</v>
      </c>
      <c r="D4878" s="0" t="n">
        <f aca="false">A4878/SUM($A4878:$C4878)</f>
        <v>0.396328781316459</v>
      </c>
      <c r="E4878" s="0" t="n">
        <f aca="false">B4878/SUM($A4878:$C4878)</f>
        <v>0.0724085626756958</v>
      </c>
      <c r="F4878" s="0" t="n">
        <f aca="false">C4878/SUM($A4878:$C4878)</f>
        <v>0.531262656007846</v>
      </c>
      <c r="G4878" s="0" t="n">
        <f aca="false">SUMPRODUCT(D4878:F4878,Stats!$B$6:$D$6)</f>
        <v>0.346000636031062</v>
      </c>
      <c r="H4878" s="0" t="n">
        <f aca="false">SQRT(SUMPRODUCT(MMULT(D4878:F4878,Stats!$B$12:$D$14),D4878:F4878))</f>
        <v>0.225851871030595</v>
      </c>
      <c r="I4878" s="0" t="n">
        <f aca="false">(G4878-Stats!$B$2)/H4878</f>
        <v>1.34601778875625</v>
      </c>
    </row>
    <row r="4879" customFormat="false" ht="15" hidden="false" customHeight="false" outlineLevel="0" collapsed="false">
      <c r="A4879" s="0" t="n">
        <v>0.779203136765108</v>
      </c>
      <c r="B4879" s="0" t="n">
        <v>0.190748263705803</v>
      </c>
      <c r="C4879" s="0" t="n">
        <v>0.694019945824565</v>
      </c>
      <c r="D4879" s="0" t="n">
        <f aca="false">A4879/SUM($A4879:$C4879)</f>
        <v>0.468279179506221</v>
      </c>
      <c r="E4879" s="0" t="n">
        <f aca="false">B4879/SUM($A4879:$C4879)</f>
        <v>0.114634343993043</v>
      </c>
      <c r="F4879" s="0" t="n">
        <f aca="false">C4879/SUM($A4879:$C4879)</f>
        <v>0.417086476500736</v>
      </c>
      <c r="G4879" s="0" t="n">
        <f aca="false">SUMPRODUCT(D4879:F4879,Stats!$B$6:$D$6)</f>
        <v>0.351578617071744</v>
      </c>
      <c r="H4879" s="0" t="n">
        <f aca="false">SQRT(SUMPRODUCT(MMULT(D4879:F4879,Stats!$B$12:$D$14),D4879:F4879))</f>
        <v>0.222889969731441</v>
      </c>
      <c r="I4879" s="0" t="n">
        <f aca="false">(G4879-Stats!$B$2)/H4879</f>
        <v>1.38893023066383</v>
      </c>
    </row>
    <row r="4880" customFormat="false" ht="15" hidden="false" customHeight="false" outlineLevel="0" collapsed="false">
      <c r="A4880" s="0" t="n">
        <v>0.602632921285635</v>
      </c>
      <c r="B4880" s="0" t="n">
        <v>0.184535050736644</v>
      </c>
      <c r="C4880" s="0" t="n">
        <v>0.273203506050233</v>
      </c>
      <c r="D4880" s="0" t="n">
        <f aca="false">A4880/SUM($A4880:$C4880)</f>
        <v>0.568322454675101</v>
      </c>
      <c r="E4880" s="0" t="n">
        <f aca="false">B4880/SUM($A4880:$C4880)</f>
        <v>0.174028681978586</v>
      </c>
      <c r="F4880" s="0" t="n">
        <f aca="false">C4880/SUM($A4880:$C4880)</f>
        <v>0.257648863346313</v>
      </c>
      <c r="G4880" s="0" t="n">
        <f aca="false">SUMPRODUCT(D4880:F4880,Stats!$B$6:$D$6)</f>
        <v>0.359392521266648</v>
      </c>
      <c r="H4880" s="0" t="n">
        <f aca="false">SQRT(SUMPRODUCT(MMULT(D4880:F4880,Stats!$B$12:$D$14),D4880:F4880))</f>
        <v>0.221825598025028</v>
      </c>
      <c r="I4880" s="0" t="n">
        <f aca="false">(G4880-Stats!$B$2)/H4880</f>
        <v>1.43082008610583</v>
      </c>
    </row>
    <row r="4881" customFormat="false" ht="15" hidden="false" customHeight="false" outlineLevel="0" collapsed="false">
      <c r="A4881" s="0" t="n">
        <v>0.408986503733834</v>
      </c>
      <c r="B4881" s="0" t="n">
        <v>0.699242735245474</v>
      </c>
      <c r="C4881" s="0" t="n">
        <v>0.638723408817006</v>
      </c>
      <c r="D4881" s="0" t="n">
        <f aca="false">A4881/SUM($A4881:$C4881)</f>
        <v>0.234114247028818</v>
      </c>
      <c r="E4881" s="0" t="n">
        <f aca="false">B4881/SUM($A4881:$C4881)</f>
        <v>0.400264275123616</v>
      </c>
      <c r="F4881" s="0" t="n">
        <f aca="false">C4881/SUM($A4881:$C4881)</f>
        <v>0.365621477847566</v>
      </c>
      <c r="G4881" s="0" t="n">
        <f aca="false">SUMPRODUCT(D4881:F4881,Stats!$B$6:$D$6)</f>
        <v>0.369432521168793</v>
      </c>
      <c r="H4881" s="0" t="n">
        <f aca="false">SQRT(SUMPRODUCT(MMULT(D4881:F4881,Stats!$B$12:$D$14),D4881:F4881))</f>
        <v>0.230123436073025</v>
      </c>
      <c r="I4881" s="0" t="n">
        <f aca="false">(G4881-Stats!$B$2)/H4881</f>
        <v>1.42285604089837</v>
      </c>
    </row>
    <row r="4882" customFormat="false" ht="15" hidden="false" customHeight="false" outlineLevel="0" collapsed="false">
      <c r="A4882" s="0" t="n">
        <v>0.532234847676698</v>
      </c>
      <c r="B4882" s="0" t="n">
        <v>0.768410543114034</v>
      </c>
      <c r="C4882" s="0" t="n">
        <v>0.757937739606166</v>
      </c>
      <c r="D4882" s="0" t="n">
        <f aca="false">A4882/SUM($A4882:$C4882)</f>
        <v>0.25854425785277</v>
      </c>
      <c r="E4882" s="0" t="n">
        <f aca="false">B4882/SUM($A4882:$C4882)</f>
        <v>0.373271563226054</v>
      </c>
      <c r="F4882" s="0" t="n">
        <f aca="false">C4882/SUM($A4882:$C4882)</f>
        <v>0.368184178921176</v>
      </c>
      <c r="G4882" s="0" t="n">
        <f aca="false">SUMPRODUCT(D4882:F4882,Stats!$B$6:$D$6)</f>
        <v>0.367808729965753</v>
      </c>
      <c r="H4882" s="0" t="n">
        <f aca="false">SQRT(SUMPRODUCT(MMULT(D4882:F4882,Stats!$B$12:$D$14),D4882:F4882))</f>
        <v>0.229037383328031</v>
      </c>
      <c r="I4882" s="0" t="n">
        <f aca="false">(G4882-Stats!$B$2)/H4882</f>
        <v>1.42251332612862</v>
      </c>
    </row>
    <row r="4883" customFormat="false" ht="15" hidden="false" customHeight="false" outlineLevel="0" collapsed="false">
      <c r="A4883" s="0" t="n">
        <v>0.617859154062256</v>
      </c>
      <c r="B4883" s="0" t="n">
        <v>0.786990083384825</v>
      </c>
      <c r="C4883" s="0" t="n">
        <v>0.334263374779209</v>
      </c>
      <c r="D4883" s="0" t="n">
        <f aca="false">A4883/SUM($A4883:$C4883)</f>
        <v>0.35527265440926</v>
      </c>
      <c r="E4883" s="0" t="n">
        <f aca="false">B4883/SUM($A4883:$C4883)</f>
        <v>0.452523935397936</v>
      </c>
      <c r="F4883" s="0" t="n">
        <f aca="false">C4883/SUM($A4883:$C4883)</f>
        <v>0.192203410192804</v>
      </c>
      <c r="G4883" s="0" t="n">
        <f aca="false">SUMPRODUCT(D4883:F4883,Stats!$B$6:$D$6)</f>
        <v>0.377221410898107</v>
      </c>
      <c r="H4883" s="0" t="n">
        <f aca="false">SQRT(SUMPRODUCT(MMULT(D4883:F4883,Stats!$B$12:$D$14),D4883:F4883))</f>
        <v>0.227593829224829</v>
      </c>
      <c r="I4883" s="0" t="n">
        <f aca="false">(G4883-Stats!$B$2)/H4883</f>
        <v>1.47289323282556</v>
      </c>
    </row>
    <row r="4884" customFormat="false" ht="15" hidden="false" customHeight="false" outlineLevel="0" collapsed="false">
      <c r="A4884" s="0" t="n">
        <v>0.881249528322606</v>
      </c>
      <c r="B4884" s="0" t="n">
        <v>0.614910085801941</v>
      </c>
      <c r="C4884" s="0" t="n">
        <v>0.822363513812431</v>
      </c>
      <c r="D4884" s="0" t="n">
        <f aca="false">A4884/SUM($A4884:$C4884)</f>
        <v>0.38009089394193</v>
      </c>
      <c r="E4884" s="0" t="n">
        <f aca="false">B4884/SUM($A4884:$C4884)</f>
        <v>0.265216282896901</v>
      </c>
      <c r="F4884" s="0" t="n">
        <f aca="false">C4884/SUM($A4884:$C4884)</f>
        <v>0.354692823161169</v>
      </c>
      <c r="G4884" s="0" t="n">
        <f aca="false">SUMPRODUCT(D4884:F4884,Stats!$B$6:$D$6)</f>
        <v>0.36196338793486</v>
      </c>
      <c r="H4884" s="0" t="n">
        <f aca="false">SQRT(SUMPRODUCT(MMULT(D4884:F4884,Stats!$B$12:$D$14),D4884:F4884))</f>
        <v>0.224730399126466</v>
      </c>
      <c r="I4884" s="0" t="n">
        <f aca="false">(G4884-Stats!$B$2)/H4884</f>
        <v>1.42376549491554</v>
      </c>
    </row>
    <row r="4885" customFormat="false" ht="15" hidden="false" customHeight="false" outlineLevel="0" collapsed="false">
      <c r="A4885" s="0" t="n">
        <v>0.546279104790284</v>
      </c>
      <c r="B4885" s="0" t="n">
        <v>0.21843824498868</v>
      </c>
      <c r="C4885" s="0" t="n">
        <v>0.542410128678309</v>
      </c>
      <c r="D4885" s="0" t="n">
        <f aca="false">A4885/SUM($A4885:$C4885)</f>
        <v>0.417923357739389</v>
      </c>
      <c r="E4885" s="0" t="n">
        <f aca="false">B4885/SUM($A4885:$C4885)</f>
        <v>0.167113191780262</v>
      </c>
      <c r="F4885" s="0" t="n">
        <f aca="false">C4885/SUM($A4885:$C4885)</f>
        <v>0.41496345048035</v>
      </c>
      <c r="G4885" s="0" t="n">
        <f aca="false">SUMPRODUCT(D4885:F4885,Stats!$B$6:$D$6)</f>
        <v>0.35465672367733</v>
      </c>
      <c r="H4885" s="0" t="n">
        <f aca="false">SQRT(SUMPRODUCT(MMULT(D4885:F4885,Stats!$B$12:$D$14),D4885:F4885))</f>
        <v>0.22386370547469</v>
      </c>
      <c r="I4885" s="0" t="n">
        <f aca="false">(G4885-Stats!$B$2)/H4885</f>
        <v>1.39663874058709</v>
      </c>
    </row>
    <row r="4886" customFormat="false" ht="15" hidden="false" customHeight="false" outlineLevel="0" collapsed="false">
      <c r="A4886" s="0" t="n">
        <v>0.371111663776588</v>
      </c>
      <c r="B4886" s="0" t="n">
        <v>0.697499036037095</v>
      </c>
      <c r="C4886" s="0" t="n">
        <v>0.475793791734736</v>
      </c>
      <c r="D4886" s="0" t="n">
        <f aca="false">A4886/SUM($A4886:$C4886)</f>
        <v>0.240294343747027</v>
      </c>
      <c r="E4886" s="0" t="n">
        <f aca="false">B4886/SUM($A4886:$C4886)</f>
        <v>0.451629763999056</v>
      </c>
      <c r="F4886" s="0" t="n">
        <f aca="false">C4886/SUM($A4886:$C4886)</f>
        <v>0.308075892253917</v>
      </c>
      <c r="G4886" s="0" t="n">
        <f aca="false">SUMPRODUCT(D4886:F4886,Stats!$B$6:$D$6)</f>
        <v>0.373974822307184</v>
      </c>
      <c r="H4886" s="0" t="n">
        <f aca="false">SQRT(SUMPRODUCT(MMULT(D4886:F4886,Stats!$B$12:$D$14),D4886:F4886))</f>
        <v>0.230303209148898</v>
      </c>
      <c r="I4886" s="0" t="n">
        <f aca="false">(G4886-Stats!$B$2)/H4886</f>
        <v>1.44146850377821</v>
      </c>
    </row>
    <row r="4887" customFormat="false" ht="15" hidden="false" customHeight="false" outlineLevel="0" collapsed="false">
      <c r="A4887" s="0" t="n">
        <v>0.836112804927688</v>
      </c>
      <c r="B4887" s="0" t="n">
        <v>0.678072512321917</v>
      </c>
      <c r="C4887" s="0" t="n">
        <v>0.684544433031324</v>
      </c>
      <c r="D4887" s="0" t="n">
        <f aca="false">A4887/SUM($A4887:$C4887)</f>
        <v>0.380270838114988</v>
      </c>
      <c r="E4887" s="0" t="n">
        <f aca="false">B4887/SUM($A4887:$C4887)</f>
        <v>0.308392840109286</v>
      </c>
      <c r="F4887" s="0" t="n">
        <f aca="false">C4887/SUM($A4887:$C4887)</f>
        <v>0.311336321775726</v>
      </c>
      <c r="G4887" s="0" t="n">
        <f aca="false">SUMPRODUCT(D4887:F4887,Stats!$B$6:$D$6)</f>
        <v>0.365643250004452</v>
      </c>
      <c r="H4887" s="0" t="n">
        <f aca="false">SQRT(SUMPRODUCT(MMULT(D4887:F4887,Stats!$B$12:$D$14),D4887:F4887))</f>
        <v>0.224946014723882</v>
      </c>
      <c r="I4887" s="0" t="n">
        <f aca="false">(G4887-Stats!$B$2)/H4887</f>
        <v>1.43875965262919</v>
      </c>
    </row>
    <row r="4888" customFormat="false" ht="15" hidden="false" customHeight="false" outlineLevel="0" collapsed="false">
      <c r="A4888" s="0" t="n">
        <v>0.217155333491065</v>
      </c>
      <c r="B4888" s="0" t="n">
        <v>0.98424976649129</v>
      </c>
      <c r="C4888" s="0" t="n">
        <v>0.841675209271489</v>
      </c>
      <c r="D4888" s="0" t="n">
        <f aca="false">A4888/SUM($A4888:$C4888)</f>
        <v>0.106288202430169</v>
      </c>
      <c r="E4888" s="0" t="n">
        <f aca="false">B4888/SUM($A4888:$C4888)</f>
        <v>0.481747957744622</v>
      </c>
      <c r="F4888" s="0" t="n">
        <f aca="false">C4888/SUM($A4888:$C4888)</f>
        <v>0.411963839825209</v>
      </c>
      <c r="G4888" s="0" t="n">
        <f aca="false">SUMPRODUCT(D4888:F4888,Stats!$B$6:$D$6)</f>
        <v>0.372843113997215</v>
      </c>
      <c r="H4888" s="0" t="n">
        <f aca="false">SQRT(SUMPRODUCT(MMULT(D4888:F4888,Stats!$B$12:$D$14),D4888:F4888))</f>
        <v>0.236588488840854</v>
      </c>
      <c r="I4888" s="0" t="n">
        <f aca="false">(G4888-Stats!$B$2)/H4888</f>
        <v>1.39839057943247</v>
      </c>
    </row>
    <row r="4889" customFormat="false" ht="15" hidden="false" customHeight="false" outlineLevel="0" collapsed="false">
      <c r="A4889" s="0" t="n">
        <v>0.789004884560695</v>
      </c>
      <c r="B4889" s="0" t="n">
        <v>0.330215225160027</v>
      </c>
      <c r="C4889" s="0" t="n">
        <v>0.535631652847232</v>
      </c>
      <c r="D4889" s="0" t="n">
        <f aca="false">A4889/SUM($A4889:$C4889)</f>
        <v>0.476782816689477</v>
      </c>
      <c r="E4889" s="0" t="n">
        <f aca="false">B4889/SUM($A4889:$C4889)</f>
        <v>0.199543688824193</v>
      </c>
      <c r="F4889" s="0" t="n">
        <f aca="false">C4889/SUM($A4889:$C4889)</f>
        <v>0.32367349448633</v>
      </c>
      <c r="G4889" s="0" t="n">
        <f aca="false">SUMPRODUCT(D4889:F4889,Stats!$B$6:$D$6)</f>
        <v>0.359040017927839</v>
      </c>
      <c r="H4889" s="0" t="n">
        <f aca="false">SQRT(SUMPRODUCT(MMULT(D4889:F4889,Stats!$B$12:$D$14),D4889:F4889))</f>
        <v>0.222568498563428</v>
      </c>
      <c r="I4889" s="0" t="n">
        <f aca="false">(G4889-Stats!$B$2)/H4889</f>
        <v>1.42446042442744</v>
      </c>
    </row>
    <row r="4890" customFormat="false" ht="15" hidden="false" customHeight="false" outlineLevel="0" collapsed="false">
      <c r="A4890" s="0" t="n">
        <v>0.137103188074329</v>
      </c>
      <c r="B4890" s="0" t="n">
        <v>0.538475976662706</v>
      </c>
      <c r="C4890" s="0" t="n">
        <v>0.145889246483287</v>
      </c>
      <c r="D4890" s="0" t="n">
        <f aca="false">A4890/SUM($A4890:$C4890)</f>
        <v>0.166900134200726</v>
      </c>
      <c r="E4890" s="0" t="n">
        <f aca="false">B4890/SUM($A4890:$C4890)</f>
        <v>0.655504179232869</v>
      </c>
      <c r="F4890" s="0" t="n">
        <f aca="false">C4890/SUM($A4890:$C4890)</f>
        <v>0.177595686566405</v>
      </c>
      <c r="G4890" s="0" t="n">
        <f aca="false">SUMPRODUCT(D4890:F4890,Stats!$B$6:$D$6)</f>
        <v>0.389303433776752</v>
      </c>
      <c r="H4890" s="0" t="n">
        <f aca="false">SQRT(SUMPRODUCT(MMULT(D4890:F4890,Stats!$B$12:$D$14),D4890:F4890))</f>
        <v>0.236674505625504</v>
      </c>
      <c r="I4890" s="0" t="n">
        <f aca="false">(G4890-Stats!$B$2)/H4890</f>
        <v>1.46743069287868</v>
      </c>
    </row>
    <row r="4891" customFormat="false" ht="15" hidden="false" customHeight="false" outlineLevel="0" collapsed="false">
      <c r="A4891" s="0" t="n">
        <v>0.553037843989601</v>
      </c>
      <c r="B4891" s="0" t="n">
        <v>0.648721880154906</v>
      </c>
      <c r="C4891" s="0" t="n">
        <v>0.390195967249902</v>
      </c>
      <c r="D4891" s="0" t="n">
        <f aca="false">A4891/SUM($A4891:$C4891)</f>
        <v>0.347395249113491</v>
      </c>
      <c r="E4891" s="0" t="n">
        <f aca="false">B4891/SUM($A4891:$C4891)</f>
        <v>0.4074999597424</v>
      </c>
      <c r="F4891" s="0" t="n">
        <f aca="false">C4891/SUM($A4891:$C4891)</f>
        <v>0.245104791144109</v>
      </c>
      <c r="G4891" s="0" t="n">
        <f aca="false">SUMPRODUCT(D4891:F4891,Stats!$B$6:$D$6)</f>
        <v>0.373172054379488</v>
      </c>
      <c r="H4891" s="0" t="n">
        <f aca="false">SQRT(SUMPRODUCT(MMULT(D4891:F4891,Stats!$B$12:$D$14),D4891:F4891))</f>
        <v>0.226826972919871</v>
      </c>
      <c r="I4891" s="0" t="n">
        <f aca="false">(G4891-Stats!$B$2)/H4891</f>
        <v>1.46002060564675</v>
      </c>
    </row>
    <row r="4892" customFormat="false" ht="15" hidden="false" customHeight="false" outlineLevel="0" collapsed="false">
      <c r="A4892" s="0" t="n">
        <v>0.498544878331293</v>
      </c>
      <c r="B4892" s="0" t="n">
        <v>0.875653387674586</v>
      </c>
      <c r="C4892" s="0" t="n">
        <v>0.108563144702809</v>
      </c>
      <c r="D4892" s="0" t="n">
        <f aca="false">A4892/SUM($A4892:$C4892)</f>
        <v>0.336227308541172</v>
      </c>
      <c r="E4892" s="0" t="n">
        <f aca="false">B4892/SUM($A4892:$C4892)</f>
        <v>0.590555824659657</v>
      </c>
      <c r="F4892" s="0" t="n">
        <f aca="false">C4892/SUM($A4892:$C4892)</f>
        <v>0.0732168667991713</v>
      </c>
      <c r="G4892" s="0" t="n">
        <f aca="false">SUMPRODUCT(D4892:F4892,Stats!$B$6:$D$6)</f>
        <v>0.388444595324497</v>
      </c>
      <c r="H4892" s="0" t="n">
        <f aca="false">SQRT(SUMPRODUCT(MMULT(D4892:F4892,Stats!$B$12:$D$14),D4892:F4892))</f>
        <v>0.231894525666424</v>
      </c>
      <c r="I4892" s="0" t="n">
        <f aca="false">(G4892-Stats!$B$2)/H4892</f>
        <v>1.49397487641796</v>
      </c>
    </row>
    <row r="4893" customFormat="false" ht="15" hidden="false" customHeight="false" outlineLevel="0" collapsed="false">
      <c r="A4893" s="0" t="n">
        <v>0.791732892999653</v>
      </c>
      <c r="B4893" s="0" t="n">
        <v>0.170754550996196</v>
      </c>
      <c r="C4893" s="0" t="n">
        <v>0.0367079828046284</v>
      </c>
      <c r="D4893" s="0" t="n">
        <f aca="false">A4893/SUM($A4893:$C4893)</f>
        <v>0.792370412998046</v>
      </c>
      <c r="E4893" s="0" t="n">
        <f aca="false">B4893/SUM($A4893:$C4893)</f>
        <v>0.170892046156546</v>
      </c>
      <c r="F4893" s="0" t="n">
        <f aca="false">C4893/SUM($A4893:$C4893)</f>
        <v>0.036737540845409</v>
      </c>
      <c r="G4893" s="0" t="n">
        <f aca="false">SUMPRODUCT(D4893:F4893,Stats!$B$6:$D$6)</f>
        <v>0.365303588052116</v>
      </c>
      <c r="H4893" s="0" t="n">
        <f aca="false">SQRT(SUMPRODUCT(MMULT(D4893:F4893,Stats!$B$12:$D$14),D4893:F4893))</f>
        <v>0.22701947717503</v>
      </c>
      <c r="I4893" s="0" t="n">
        <f aca="false">(G4893-Stats!$B$2)/H4893</f>
        <v>1.42412268795268</v>
      </c>
    </row>
    <row r="4894" customFormat="false" ht="15" hidden="false" customHeight="false" outlineLevel="0" collapsed="false">
      <c r="A4894" s="0" t="n">
        <v>0.185574602745048</v>
      </c>
      <c r="B4894" s="0" t="n">
        <v>0.76504318997049</v>
      </c>
      <c r="C4894" s="0" t="n">
        <v>0.40512607333686</v>
      </c>
      <c r="D4894" s="0" t="n">
        <f aca="false">A4894/SUM($A4894:$C4894)</f>
        <v>0.136880282029523</v>
      </c>
      <c r="E4894" s="0" t="n">
        <f aca="false">B4894/SUM($A4894:$C4894)</f>
        <v>0.564297732873476</v>
      </c>
      <c r="F4894" s="0" t="n">
        <f aca="false">C4894/SUM($A4894:$C4894)</f>
        <v>0.298821985097001</v>
      </c>
      <c r="G4894" s="0" t="n">
        <f aca="false">SUMPRODUCT(D4894:F4894,Stats!$B$6:$D$6)</f>
        <v>0.380712764343531</v>
      </c>
      <c r="H4894" s="0" t="n">
        <f aca="false">SQRT(SUMPRODUCT(MMULT(D4894:F4894,Stats!$B$12:$D$14),D4894:F4894))</f>
        <v>0.235777345675379</v>
      </c>
      <c r="I4894" s="0" t="n">
        <f aca="false">(G4894-Stats!$B$2)/H4894</f>
        <v>1.43657891886642</v>
      </c>
    </row>
    <row r="4895" customFormat="false" ht="15" hidden="false" customHeight="false" outlineLevel="0" collapsed="false">
      <c r="A4895" s="0" t="n">
        <v>0.872520516846182</v>
      </c>
      <c r="B4895" s="0" t="n">
        <v>0.524707541182266</v>
      </c>
      <c r="C4895" s="0" t="n">
        <v>0.022250351926331</v>
      </c>
      <c r="D4895" s="0" t="n">
        <f aca="false">A4895/SUM($A4895:$C4895)</f>
        <v>0.614676849416807</v>
      </c>
      <c r="E4895" s="0" t="n">
        <f aca="false">B4895/SUM($A4895:$C4895)</f>
        <v>0.369648130963106</v>
      </c>
      <c r="F4895" s="0" t="n">
        <f aca="false">C4895/SUM($A4895:$C4895)</f>
        <v>0.0156750196200869</v>
      </c>
      <c r="G4895" s="0" t="n">
        <f aca="false">SUMPRODUCT(D4895:F4895,Stats!$B$6:$D$6)</f>
        <v>0.377320546848636</v>
      </c>
      <c r="H4895" s="0" t="n">
        <f aca="false">SQRT(SUMPRODUCT(MMULT(D4895:F4895,Stats!$B$12:$D$14),D4895:F4895))</f>
        <v>0.227270875612302</v>
      </c>
      <c r="I4895" s="0" t="n">
        <f aca="false">(G4895-Stats!$B$2)/H4895</f>
        <v>1.4754224268518</v>
      </c>
    </row>
    <row r="4896" customFormat="false" ht="15" hidden="false" customHeight="false" outlineLevel="0" collapsed="false">
      <c r="A4896" s="0" t="n">
        <v>0.716713609601927</v>
      </c>
      <c r="B4896" s="0" t="n">
        <v>0.110232908721233</v>
      </c>
      <c r="C4896" s="0" t="n">
        <v>0.789379633461924</v>
      </c>
      <c r="D4896" s="0" t="n">
        <f aca="false">A4896/SUM($A4896:$C4896)</f>
        <v>0.443421402796943</v>
      </c>
      <c r="E4896" s="0" t="n">
        <f aca="false">B4896/SUM($A4896:$C4896)</f>
        <v>0.0681996691073089</v>
      </c>
      <c r="F4896" s="0" t="n">
        <f aca="false">C4896/SUM($A4896:$C4896)</f>
        <v>0.488378928095748</v>
      </c>
      <c r="G4896" s="0" t="n">
        <f aca="false">SUMPRODUCT(D4896:F4896,Stats!$B$6:$D$6)</f>
        <v>0.346940964045828</v>
      </c>
      <c r="H4896" s="0" t="n">
        <f aca="false">SQRT(SUMPRODUCT(MMULT(D4896:F4896,Stats!$B$12:$D$14),D4896:F4896))</f>
        <v>0.224149075268962</v>
      </c>
      <c r="I4896" s="0" t="n">
        <f aca="false">(G4896-Stats!$B$2)/H4896</f>
        <v>1.36043819801586</v>
      </c>
    </row>
    <row r="4897" customFormat="false" ht="15" hidden="false" customHeight="false" outlineLevel="0" collapsed="false">
      <c r="A4897" s="0" t="n">
        <v>0.16810254980518</v>
      </c>
      <c r="B4897" s="0" t="n">
        <v>0.345446385805514</v>
      </c>
      <c r="C4897" s="0" t="n">
        <v>0.76127142962536</v>
      </c>
      <c r="D4897" s="0" t="n">
        <f aca="false">A4897/SUM($A4897:$C4897)</f>
        <v>0.131863715382405</v>
      </c>
      <c r="E4897" s="0" t="n">
        <f aca="false">B4897/SUM($A4897:$C4897)</f>
        <v>0.270976519693069</v>
      </c>
      <c r="F4897" s="0" t="n">
        <f aca="false">C4897/SUM($A4897:$C4897)</f>
        <v>0.597159764924526</v>
      </c>
      <c r="G4897" s="0" t="n">
        <f aca="false">SUMPRODUCT(D4897:F4897,Stats!$B$6:$D$6)</f>
        <v>0.355608891843347</v>
      </c>
      <c r="H4897" s="0" t="n">
        <f aca="false">SQRT(SUMPRODUCT(MMULT(D4897:F4897,Stats!$B$12:$D$14),D4897:F4897))</f>
        <v>0.236880027653351</v>
      </c>
      <c r="I4897" s="0" t="n">
        <f aca="false">(G4897-Stats!$B$2)/H4897</f>
        <v>1.32391445133686</v>
      </c>
    </row>
    <row r="4898" customFormat="false" ht="15" hidden="false" customHeight="false" outlineLevel="0" collapsed="false">
      <c r="A4898" s="0" t="n">
        <v>0.954231357476422</v>
      </c>
      <c r="B4898" s="0" t="n">
        <v>0.371433950646732</v>
      </c>
      <c r="C4898" s="0" t="n">
        <v>0.829400220198936</v>
      </c>
      <c r="D4898" s="0" t="n">
        <f aca="false">A4898/SUM($A4898:$C4898)</f>
        <v>0.442785309743865</v>
      </c>
      <c r="E4898" s="0" t="n">
        <f aca="false">B4898/SUM($A4898:$C4898)</f>
        <v>0.172353900967423</v>
      </c>
      <c r="F4898" s="0" t="n">
        <f aca="false">C4898/SUM($A4898:$C4898)</f>
        <v>0.384860789288713</v>
      </c>
      <c r="G4898" s="0" t="n">
        <f aca="false">SUMPRODUCT(D4898:F4898,Stats!$B$6:$D$6)</f>
        <v>0.355788336605309</v>
      </c>
      <c r="H4898" s="0" t="n">
        <f aca="false">SQRT(SUMPRODUCT(MMULT(D4898:F4898,Stats!$B$12:$D$14),D4898:F4898))</f>
        <v>0.223192025720141</v>
      </c>
      <c r="I4898" s="0" t="n">
        <f aca="false">(G4898-Stats!$B$2)/H4898</f>
        <v>1.40591195224316</v>
      </c>
    </row>
    <row r="4899" customFormat="false" ht="15" hidden="false" customHeight="false" outlineLevel="0" collapsed="false">
      <c r="A4899" s="0" t="n">
        <v>0.190792265475839</v>
      </c>
      <c r="B4899" s="0" t="n">
        <v>0.807179770202491</v>
      </c>
      <c r="C4899" s="0" t="n">
        <v>0.657494059256251</v>
      </c>
      <c r="D4899" s="0" t="n">
        <f aca="false">A4899/SUM($A4899:$C4899)</f>
        <v>0.115249878000901</v>
      </c>
      <c r="E4899" s="0" t="n">
        <f aca="false">B4899/SUM($A4899:$C4899)</f>
        <v>0.487584597879903</v>
      </c>
      <c r="F4899" s="0" t="n">
        <f aca="false">C4899/SUM($A4899:$C4899)</f>
        <v>0.397165524119196</v>
      </c>
      <c r="G4899" s="0" t="n">
        <f aca="false">SUMPRODUCT(D4899:F4899,Stats!$B$6:$D$6)</f>
        <v>0.373587004580245</v>
      </c>
      <c r="H4899" s="0" t="n">
        <f aca="false">SQRT(SUMPRODUCT(MMULT(D4899:F4899,Stats!$B$12:$D$14),D4899:F4899))</f>
        <v>0.236114009847434</v>
      </c>
      <c r="I4899" s="0" t="n">
        <f aca="false">(G4899-Stats!$B$2)/H4899</f>
        <v>1.40435124876538</v>
      </c>
    </row>
    <row r="4900" customFormat="false" ht="15" hidden="false" customHeight="false" outlineLevel="0" collapsed="false">
      <c r="A4900" s="0" t="n">
        <v>0.192743507212368</v>
      </c>
      <c r="B4900" s="0" t="n">
        <v>0.302503960351412</v>
      </c>
      <c r="C4900" s="0" t="n">
        <v>0.131770888597036</v>
      </c>
      <c r="D4900" s="0" t="n">
        <f aca="false">A4900/SUM($A4900:$C4900)</f>
        <v>0.307396913214027</v>
      </c>
      <c r="E4900" s="0" t="n">
        <f aca="false">B4900/SUM($A4900:$C4900)</f>
        <v>0.482448332459706</v>
      </c>
      <c r="F4900" s="0" t="n">
        <f aca="false">C4900/SUM($A4900:$C4900)</f>
        <v>0.210154754326267</v>
      </c>
      <c r="G4900" s="0" t="n">
        <f aca="false">SUMPRODUCT(D4900:F4900,Stats!$B$6:$D$6)</f>
        <v>0.378448220564622</v>
      </c>
      <c r="H4900" s="0" t="n">
        <f aca="false">SQRT(SUMPRODUCT(MMULT(D4900:F4900,Stats!$B$12:$D$14),D4900:F4900))</f>
        <v>0.229016671156971</v>
      </c>
      <c r="I4900" s="0" t="n">
        <f aca="false">(G4900-Stats!$B$2)/H4900</f>
        <v>1.46909925318937</v>
      </c>
    </row>
    <row r="4901" customFormat="false" ht="15" hidden="false" customHeight="false" outlineLevel="0" collapsed="false">
      <c r="A4901" s="0" t="n">
        <v>0.382967011064313</v>
      </c>
      <c r="B4901" s="0" t="n">
        <v>0.203648641123277</v>
      </c>
      <c r="C4901" s="0" t="n">
        <v>0.643997953630474</v>
      </c>
      <c r="D4901" s="0" t="n">
        <f aca="false">A4901/SUM($A4901:$C4901)</f>
        <v>0.311200046264507</v>
      </c>
      <c r="E4901" s="0" t="n">
        <f aca="false">B4901/SUM($A4901:$C4901)</f>
        <v>0.165485445765001</v>
      </c>
      <c r="F4901" s="0" t="n">
        <f aca="false">C4901/SUM($A4901:$C4901)</f>
        <v>0.523314507970492</v>
      </c>
      <c r="G4901" s="0" t="n">
        <f aca="false">SUMPRODUCT(D4901:F4901,Stats!$B$6:$D$6)</f>
        <v>0.35157532654208</v>
      </c>
      <c r="H4901" s="0" t="n">
        <f aca="false">SQRT(SUMPRODUCT(MMULT(D4901:F4901,Stats!$B$12:$D$14),D4901:F4901))</f>
        <v>0.228042442470285</v>
      </c>
      <c r="I4901" s="0" t="n">
        <f aca="false">(G4901-Stats!$B$2)/H4901</f>
        <v>1.35753381339274</v>
      </c>
    </row>
    <row r="4902" customFormat="false" ht="15" hidden="false" customHeight="false" outlineLevel="0" collapsed="false">
      <c r="A4902" s="0" t="n">
        <v>0.994505104220559</v>
      </c>
      <c r="B4902" s="0" t="n">
        <v>0.0120091630842641</v>
      </c>
      <c r="C4902" s="0" t="n">
        <v>0.540919813287299</v>
      </c>
      <c r="D4902" s="0" t="n">
        <f aca="false">A4902/SUM($A4902:$C4902)</f>
        <v>0.64268010941055</v>
      </c>
      <c r="E4902" s="0" t="n">
        <f aca="false">B4902/SUM($A4902:$C4902)</f>
        <v>0.00776069445211448</v>
      </c>
      <c r="F4902" s="0" t="n">
        <f aca="false">C4902/SUM($A4902:$C4902)</f>
        <v>0.349559196137335</v>
      </c>
      <c r="G4902" s="0" t="n">
        <f aca="false">SUMPRODUCT(D4902:F4902,Stats!$B$6:$D$6)</f>
        <v>0.34729128438468</v>
      </c>
      <c r="H4902" s="0" t="n">
        <f aca="false">SQRT(SUMPRODUCT(MMULT(D4902:F4902,Stats!$B$12:$D$14),D4902:F4902))</f>
        <v>0.221363660930855</v>
      </c>
      <c r="I4902" s="0" t="n">
        <f aca="false">(G4902-Stats!$B$2)/H4902</f>
        <v>1.37913911931571</v>
      </c>
    </row>
    <row r="4903" customFormat="false" ht="15" hidden="false" customHeight="false" outlineLevel="0" collapsed="false">
      <c r="A4903" s="0" t="n">
        <v>0.57366659754901</v>
      </c>
      <c r="B4903" s="0" t="n">
        <v>0.914208789680812</v>
      </c>
      <c r="C4903" s="0" t="n">
        <v>0.506005334766938</v>
      </c>
      <c r="D4903" s="0" t="n">
        <f aca="false">A4903/SUM($A4903:$C4903)</f>
        <v>0.287713598521839</v>
      </c>
      <c r="E4903" s="0" t="n">
        <f aca="false">B4903/SUM($A4903:$C4903)</f>
        <v>0.458507261540341</v>
      </c>
      <c r="F4903" s="0" t="n">
        <f aca="false">C4903/SUM($A4903:$C4903)</f>
        <v>0.25377913993782</v>
      </c>
      <c r="G4903" s="0" t="n">
        <f aca="false">SUMPRODUCT(D4903:F4903,Stats!$B$6:$D$6)</f>
        <v>0.375867756675826</v>
      </c>
      <c r="H4903" s="0" t="n">
        <f aca="false">SQRT(SUMPRODUCT(MMULT(D4903:F4903,Stats!$B$12:$D$14),D4903:F4903))</f>
        <v>0.228986147585557</v>
      </c>
      <c r="I4903" s="0" t="n">
        <f aca="false">(G4903-Stats!$B$2)/H4903</f>
        <v>1.45802599937221</v>
      </c>
    </row>
    <row r="4904" customFormat="false" ht="15" hidden="false" customHeight="false" outlineLevel="0" collapsed="false">
      <c r="A4904" s="0" t="n">
        <v>0.543701419644918</v>
      </c>
      <c r="B4904" s="0" t="n">
        <v>0.471652801328389</v>
      </c>
      <c r="C4904" s="0" t="n">
        <v>0.268904304561481</v>
      </c>
      <c r="D4904" s="0" t="n">
        <f aca="false">A4904/SUM($A4904:$C4904)</f>
        <v>0.423358232656864</v>
      </c>
      <c r="E4904" s="0" t="n">
        <f aca="false">B4904/SUM($A4904:$C4904)</f>
        <v>0.367256897229461</v>
      </c>
      <c r="F4904" s="0" t="n">
        <f aca="false">C4904/SUM($A4904:$C4904)</f>
        <v>0.209384870113675</v>
      </c>
      <c r="G4904" s="0" t="n">
        <f aca="false">SUMPRODUCT(D4904:F4904,Stats!$B$6:$D$6)</f>
        <v>0.37184148373188</v>
      </c>
      <c r="H4904" s="0" t="n">
        <f aca="false">SQRT(SUMPRODUCT(MMULT(D4904:F4904,Stats!$B$12:$D$14),D4904:F4904))</f>
        <v>0.225098175650087</v>
      </c>
      <c r="I4904" s="0" t="n">
        <f aca="false">(G4904-Stats!$B$2)/H4904</f>
        <v>1.46532277651426</v>
      </c>
    </row>
    <row r="4905" customFormat="false" ht="15" hidden="false" customHeight="false" outlineLevel="0" collapsed="false">
      <c r="A4905" s="0" t="n">
        <v>0.0560291332489137</v>
      </c>
      <c r="B4905" s="0" t="n">
        <v>0.408657682209836</v>
      </c>
      <c r="C4905" s="0" t="n">
        <v>0.0525914712406785</v>
      </c>
      <c r="D4905" s="0" t="n">
        <f aca="false">A4905/SUM($A4905:$C4905)</f>
        <v>0.108315262189751</v>
      </c>
      <c r="E4905" s="0" t="n">
        <f aca="false">B4905/SUM($A4905:$C4905)</f>
        <v>0.79001514797255</v>
      </c>
      <c r="F4905" s="0" t="n">
        <f aca="false">C4905/SUM($A4905:$C4905)</f>
        <v>0.101669589837699</v>
      </c>
      <c r="G4905" s="0" t="n">
        <f aca="false">SUMPRODUCT(D4905:F4905,Stats!$B$6:$D$6)</f>
        <v>0.399136653738475</v>
      </c>
      <c r="H4905" s="0" t="n">
        <f aca="false">SQRT(SUMPRODUCT(MMULT(D4905:F4905,Stats!$B$12:$D$14),D4905:F4905))</f>
        <v>0.242697824175194</v>
      </c>
      <c r="I4905" s="0" t="n">
        <f aca="false">(G4905-Stats!$B$2)/H4905</f>
        <v>1.47152804089695</v>
      </c>
    </row>
    <row r="4906" customFormat="false" ht="15" hidden="false" customHeight="false" outlineLevel="0" collapsed="false">
      <c r="A4906" s="0" t="n">
        <v>0.550492469465918</v>
      </c>
      <c r="B4906" s="0" t="n">
        <v>0.307293643242293</v>
      </c>
      <c r="C4906" s="0" t="n">
        <v>0.533602401525428</v>
      </c>
      <c r="D4906" s="0" t="n">
        <f aca="false">A4906/SUM($A4906:$C4906)</f>
        <v>0.395642528189995</v>
      </c>
      <c r="E4906" s="0" t="n">
        <f aca="false">B4906/SUM($A4906:$C4906)</f>
        <v>0.220853945608101</v>
      </c>
      <c r="F4906" s="0" t="n">
        <f aca="false">C4906/SUM($A4906:$C4906)</f>
        <v>0.383503526201903</v>
      </c>
      <c r="G4906" s="0" t="n">
        <f aca="false">SUMPRODUCT(D4906:F4906,Stats!$B$6:$D$6)</f>
        <v>0.358616392409143</v>
      </c>
      <c r="H4906" s="0" t="n">
        <f aca="false">SQRT(SUMPRODUCT(MMULT(D4906:F4906,Stats!$B$12:$D$14),D4906:F4906))</f>
        <v>0.224289910998661</v>
      </c>
      <c r="I4906" s="0" t="n">
        <f aca="false">(G4906-Stats!$B$2)/H4906</f>
        <v>1.41163903003659</v>
      </c>
    </row>
    <row r="4907" customFormat="false" ht="15" hidden="false" customHeight="false" outlineLevel="0" collapsed="false">
      <c r="A4907" s="0" t="n">
        <v>0.134296964395187</v>
      </c>
      <c r="B4907" s="0" t="n">
        <v>0.93262996573936</v>
      </c>
      <c r="C4907" s="0" t="n">
        <v>0.894521243549935</v>
      </c>
      <c r="D4907" s="0" t="n">
        <f aca="false">A4907/SUM($A4907:$C4907)</f>
        <v>0.0684682706364434</v>
      </c>
      <c r="E4907" s="0" t="n">
        <f aca="false">B4907/SUM($A4907:$C4907)</f>
        <v>0.475480299837574</v>
      </c>
      <c r="F4907" s="0" t="n">
        <f aca="false">C4907/SUM($A4907:$C4907)</f>
        <v>0.456051429525982</v>
      </c>
      <c r="G4907" s="0" t="n">
        <f aca="false">SUMPRODUCT(D4907:F4907,Stats!$B$6:$D$6)</f>
        <v>0.371266782744294</v>
      </c>
      <c r="H4907" s="0" t="n">
        <f aca="false">SQRT(SUMPRODUCT(MMULT(D4907:F4907,Stats!$B$12:$D$14),D4907:F4907))</f>
        <v>0.23883587169889</v>
      </c>
      <c r="I4907" s="0" t="n">
        <f aca="false">(G4907-Stats!$B$2)/H4907</f>
        <v>1.37863203044899</v>
      </c>
    </row>
    <row r="4908" customFormat="false" ht="15" hidden="false" customHeight="false" outlineLevel="0" collapsed="false">
      <c r="A4908" s="0" t="n">
        <v>0.189996509202285</v>
      </c>
      <c r="B4908" s="0" t="n">
        <v>0.34344428329401</v>
      </c>
      <c r="C4908" s="0" t="n">
        <v>0.61349277185198</v>
      </c>
      <c r="D4908" s="0" t="n">
        <f aca="false">A4908/SUM($A4908:$C4908)</f>
        <v>0.165656072076195</v>
      </c>
      <c r="E4908" s="0" t="n">
        <f aca="false">B4908/SUM($A4908:$C4908)</f>
        <v>0.2994456644829</v>
      </c>
      <c r="F4908" s="0" t="n">
        <f aca="false">C4908/SUM($A4908:$C4908)</f>
        <v>0.534898263440905</v>
      </c>
      <c r="G4908" s="0" t="n">
        <f aca="false">SUMPRODUCT(D4908:F4908,Stats!$B$6:$D$6)</f>
        <v>0.358963806544039</v>
      </c>
      <c r="H4908" s="0" t="n">
        <f aca="false">SQRT(SUMPRODUCT(MMULT(D4908:F4908,Stats!$B$12:$D$14),D4908:F4908))</f>
        <v>0.234140771676728</v>
      </c>
      <c r="I4908" s="0" t="n">
        <f aca="false">(G4908-Stats!$B$2)/H4908</f>
        <v>1.35373179252037</v>
      </c>
    </row>
    <row r="4909" customFormat="false" ht="15" hidden="false" customHeight="false" outlineLevel="0" collapsed="false">
      <c r="A4909" s="0" t="n">
        <v>0.0956862073059063</v>
      </c>
      <c r="B4909" s="0" t="n">
        <v>0.354567821116151</v>
      </c>
      <c r="C4909" s="0" t="n">
        <v>0.251112286819006</v>
      </c>
      <c r="D4909" s="0" t="n">
        <f aca="false">A4909/SUM($A4909:$C4909)</f>
        <v>0.136428290362103</v>
      </c>
      <c r="E4909" s="0" t="n">
        <f aca="false">B4909/SUM($A4909:$C4909)</f>
        <v>0.505538708391326</v>
      </c>
      <c r="F4909" s="0" t="n">
        <f aca="false">C4909/SUM($A4909:$C4909)</f>
        <v>0.35803300124657</v>
      </c>
      <c r="G4909" s="0" t="n">
        <f aca="false">SUMPRODUCT(D4909:F4909,Stats!$B$6:$D$6)</f>
        <v>0.375699125128575</v>
      </c>
      <c r="H4909" s="0" t="n">
        <f aca="false">SQRT(SUMPRODUCT(MMULT(D4909:F4909,Stats!$B$12:$D$14),D4909:F4909))</f>
        <v>0.235135443205722</v>
      </c>
      <c r="I4909" s="0" t="n">
        <f aca="false">(G4909-Stats!$B$2)/H4909</f>
        <v>1.41917832794191</v>
      </c>
    </row>
    <row r="4910" customFormat="false" ht="15" hidden="false" customHeight="false" outlineLevel="0" collapsed="false">
      <c r="A4910" s="0" t="n">
        <v>0.915516728716697</v>
      </c>
      <c r="B4910" s="0" t="n">
        <v>0.852510636289205</v>
      </c>
      <c r="C4910" s="0" t="n">
        <v>0.579832741266864</v>
      </c>
      <c r="D4910" s="0" t="n">
        <f aca="false">A4910/SUM($A4910:$C4910)</f>
        <v>0.389936660310687</v>
      </c>
      <c r="E4910" s="0" t="n">
        <f aca="false">B4910/SUM($A4910:$C4910)</f>
        <v>0.363101120893684</v>
      </c>
      <c r="F4910" s="0" t="n">
        <f aca="false">C4910/SUM($A4910:$C4910)</f>
        <v>0.246962218795629</v>
      </c>
      <c r="G4910" s="0" t="n">
        <f aca="false">SUMPRODUCT(D4910:F4910,Stats!$B$6:$D$6)</f>
        <v>0.370566184803339</v>
      </c>
      <c r="H4910" s="0" t="n">
        <f aca="false">SQRT(SUMPRODUCT(MMULT(D4910:F4910,Stats!$B$12:$D$14),D4910:F4910))</f>
        <v>0.22540361840914</v>
      </c>
      <c r="I4910" s="0" t="n">
        <f aca="false">(G4910-Stats!$B$2)/H4910</f>
        <v>1.45767928271207</v>
      </c>
    </row>
    <row r="4911" customFormat="false" ht="15" hidden="false" customHeight="false" outlineLevel="0" collapsed="false">
      <c r="A4911" s="0" t="n">
        <v>0.520346336871574</v>
      </c>
      <c r="B4911" s="0" t="n">
        <v>0.930725794545397</v>
      </c>
      <c r="C4911" s="0" t="n">
        <v>0.932427782978815</v>
      </c>
      <c r="D4911" s="0" t="n">
        <f aca="false">A4911/SUM($A4911:$C4911)</f>
        <v>0.218311875628274</v>
      </c>
      <c r="E4911" s="0" t="n">
        <f aca="false">B4911/SUM($A4911:$C4911)</f>
        <v>0.390487026630053</v>
      </c>
      <c r="F4911" s="0" t="n">
        <f aca="false">C4911/SUM($A4911:$C4911)</f>
        <v>0.391201097741673</v>
      </c>
      <c r="G4911" s="0" t="n">
        <f aca="false">SUMPRODUCT(D4911:F4911,Stats!$B$6:$D$6)</f>
        <v>0.368164602764778</v>
      </c>
      <c r="H4911" s="0" t="n">
        <f aca="false">SQRT(SUMPRODUCT(MMULT(D4911:F4911,Stats!$B$12:$D$14),D4911:F4911))</f>
        <v>0.230766176012234</v>
      </c>
      <c r="I4911" s="0" t="n">
        <f aca="false">(G4911-Stats!$B$2)/H4911</f>
        <v>1.41339865486824</v>
      </c>
    </row>
    <row r="4912" customFormat="false" ht="15" hidden="false" customHeight="false" outlineLevel="0" collapsed="false">
      <c r="A4912" s="0" t="n">
        <v>0.96933012535166</v>
      </c>
      <c r="B4912" s="0" t="n">
        <v>0.125378884108188</v>
      </c>
      <c r="C4912" s="0" t="n">
        <v>0.16055781076317</v>
      </c>
      <c r="D4912" s="0" t="n">
        <f aca="false">A4912/SUM($A4912:$C4912)</f>
        <v>0.772210425492999</v>
      </c>
      <c r="E4912" s="0" t="n">
        <f aca="false">B4912/SUM($A4912:$C4912)</f>
        <v>0.0998822577704333</v>
      </c>
      <c r="F4912" s="0" t="n">
        <f aca="false">C4912/SUM($A4912:$C4912)</f>
        <v>0.127907316736568</v>
      </c>
      <c r="G4912" s="0" t="n">
        <f aca="false">SUMPRODUCT(D4912:F4912,Stats!$B$6:$D$6)</f>
        <v>0.358703805230091</v>
      </c>
      <c r="H4912" s="0" t="n">
        <f aca="false">SQRT(SUMPRODUCT(MMULT(D4912:F4912,Stats!$B$12:$D$14),D4912:F4912))</f>
        <v>0.224383125464942</v>
      </c>
      <c r="I4912" s="0" t="n">
        <f aca="false">(G4912-Stats!$B$2)/H4912</f>
        <v>1.41144216871858</v>
      </c>
    </row>
    <row r="4913" customFormat="false" ht="15" hidden="false" customHeight="false" outlineLevel="0" collapsed="false">
      <c r="A4913" s="0" t="n">
        <v>0.676736698679887</v>
      </c>
      <c r="B4913" s="0" t="n">
        <v>0.541434476609845</v>
      </c>
      <c r="C4913" s="0" t="n">
        <v>0.018465904893236</v>
      </c>
      <c r="D4913" s="0" t="n">
        <f aca="false">A4913/SUM($A4913:$C4913)</f>
        <v>0.547239533347779</v>
      </c>
      <c r="E4913" s="0" t="n">
        <f aca="false">B4913/SUM($A4913:$C4913)</f>
        <v>0.437828110838902</v>
      </c>
      <c r="F4913" s="0" t="n">
        <f aca="false">C4913/SUM($A4913:$C4913)</f>
        <v>0.014932355813319</v>
      </c>
      <c r="G4913" s="0" t="n">
        <f aca="false">SUMPRODUCT(D4913:F4913,Stats!$B$6:$D$6)</f>
        <v>0.381264013315896</v>
      </c>
      <c r="H4913" s="0" t="n">
        <f aca="false">SQRT(SUMPRODUCT(MMULT(D4913:F4913,Stats!$B$12:$D$14),D4913:F4913))</f>
        <v>0.22814180345599</v>
      </c>
      <c r="I4913" s="0" t="n">
        <f aca="false">(G4913-Stats!$B$2)/H4913</f>
        <v>1.48707517945672</v>
      </c>
    </row>
    <row r="4914" customFormat="false" ht="15" hidden="false" customHeight="false" outlineLevel="0" collapsed="false">
      <c r="A4914" s="0" t="n">
        <v>0.0619750359895194</v>
      </c>
      <c r="B4914" s="0" t="n">
        <v>0.888080382258805</v>
      </c>
      <c r="C4914" s="0" t="n">
        <v>0.868870795539386</v>
      </c>
      <c r="D4914" s="0" t="n">
        <f aca="false">A4914/SUM($A4914:$C4914)</f>
        <v>0.034072319987331</v>
      </c>
      <c r="E4914" s="0" t="n">
        <f aca="false">B4914/SUM($A4914:$C4914)</f>
        <v>0.488244314435096</v>
      </c>
      <c r="F4914" s="0" t="n">
        <f aca="false">C4914/SUM($A4914:$C4914)</f>
        <v>0.477683365577573</v>
      </c>
      <c r="G4914" s="0" t="n">
        <f aca="false">SUMPRODUCT(D4914:F4914,Stats!$B$6:$D$6)</f>
        <v>0.371404715307552</v>
      </c>
      <c r="H4914" s="0" t="n">
        <f aca="false">SQRT(SUMPRODUCT(MMULT(D4914:F4914,Stats!$B$12:$D$14),D4914:F4914))</f>
        <v>0.241040973301649</v>
      </c>
      <c r="I4914" s="0" t="n">
        <f aca="false">(G4914-Stats!$B$2)/H4914</f>
        <v>1.36659220544767</v>
      </c>
    </row>
    <row r="4915" customFormat="false" ht="15" hidden="false" customHeight="false" outlineLevel="0" collapsed="false">
      <c r="A4915" s="0" t="n">
        <v>0.357270921996045</v>
      </c>
      <c r="B4915" s="0" t="n">
        <v>0.891050616930535</v>
      </c>
      <c r="C4915" s="0" t="n">
        <v>0.593675074397902</v>
      </c>
      <c r="D4915" s="0" t="n">
        <f aca="false">A4915/SUM($A4915:$C4915)</f>
        <v>0.193958511873284</v>
      </c>
      <c r="E4915" s="0" t="n">
        <f aca="false">B4915/SUM($A4915:$C4915)</f>
        <v>0.483741723782187</v>
      </c>
      <c r="F4915" s="0" t="n">
        <f aca="false">C4915/SUM($A4915:$C4915)</f>
        <v>0.322299764344529</v>
      </c>
      <c r="G4915" s="0" t="n">
        <f aca="false">SUMPRODUCT(D4915:F4915,Stats!$B$6:$D$6)</f>
        <v>0.375430285109299</v>
      </c>
      <c r="H4915" s="0" t="n">
        <f aca="false">SQRT(SUMPRODUCT(MMULT(D4915:F4915,Stats!$B$12:$D$14),D4915:F4915))</f>
        <v>0.232389919014989</v>
      </c>
      <c r="I4915" s="0" t="n">
        <f aca="false">(G4915-Stats!$B$2)/H4915</f>
        <v>1.43478807739415</v>
      </c>
    </row>
    <row r="4916" customFormat="false" ht="15" hidden="false" customHeight="false" outlineLevel="0" collapsed="false">
      <c r="A4916" s="0" t="n">
        <v>0.805905647018902</v>
      </c>
      <c r="B4916" s="0" t="n">
        <v>0.427431071160214</v>
      </c>
      <c r="C4916" s="0" t="n">
        <v>0.113398327344909</v>
      </c>
      <c r="D4916" s="0" t="n">
        <f aca="false">A4916/SUM($A4916:$C4916)</f>
        <v>0.59841440207366</v>
      </c>
      <c r="E4916" s="0" t="n">
        <f aca="false">B4916/SUM($A4916:$C4916)</f>
        <v>0.317383194698032</v>
      </c>
      <c r="F4916" s="0" t="n">
        <f aca="false">C4916/SUM($A4916:$C4916)</f>
        <v>0.0842024032283088</v>
      </c>
      <c r="G4916" s="0" t="n">
        <f aca="false">SUMPRODUCT(D4916:F4916,Stats!$B$6:$D$6)</f>
        <v>0.372423673815147</v>
      </c>
      <c r="H4916" s="0" t="n">
        <f aca="false">SQRT(SUMPRODUCT(MMULT(D4916:F4916,Stats!$B$12:$D$14),D4916:F4916))</f>
        <v>0.225065830715721</v>
      </c>
      <c r="I4916" s="0" t="n">
        <f aca="false">(G4916-Stats!$B$2)/H4916</f>
        <v>1.46812011740913</v>
      </c>
    </row>
    <row r="4917" customFormat="false" ht="15" hidden="false" customHeight="false" outlineLevel="0" collapsed="false">
      <c r="A4917" s="0" t="n">
        <v>0.433727062646016</v>
      </c>
      <c r="B4917" s="0" t="n">
        <v>0.457299797996898</v>
      </c>
      <c r="C4917" s="0" t="n">
        <v>0.550944193840603</v>
      </c>
      <c r="D4917" s="0" t="n">
        <f aca="false">A4917/SUM($A4917:$C4917)</f>
        <v>0.300787634604335</v>
      </c>
      <c r="E4917" s="0" t="n">
        <f aca="false">B4917/SUM($A4917:$C4917)</f>
        <v>0.317135213342193</v>
      </c>
      <c r="F4917" s="0" t="n">
        <f aca="false">C4917/SUM($A4917:$C4917)</f>
        <v>0.382077152053471</v>
      </c>
      <c r="G4917" s="0" t="n">
        <f aca="false">SUMPRODUCT(D4917:F4917,Stats!$B$6:$D$6)</f>
        <v>0.364195623658687</v>
      </c>
      <c r="H4917" s="0" t="n">
        <f aca="false">SQRT(SUMPRODUCT(MMULT(D4917:F4917,Stats!$B$12:$D$14),D4917:F4917))</f>
        <v>0.22731278862389</v>
      </c>
      <c r="I4917" s="0" t="n">
        <f aca="false">(G4917-Stats!$B$2)/H4917</f>
        <v>1.41741089715717</v>
      </c>
    </row>
    <row r="4918" customFormat="false" ht="15" hidden="false" customHeight="false" outlineLevel="0" collapsed="false">
      <c r="A4918" s="0" t="n">
        <v>0.105582712904428</v>
      </c>
      <c r="B4918" s="0" t="n">
        <v>0.991401863049611</v>
      </c>
      <c r="C4918" s="0" t="n">
        <v>0.244136820806906</v>
      </c>
      <c r="D4918" s="0" t="n">
        <f aca="false">A4918/SUM($A4918:$C4918)</f>
        <v>0.0787271854430401</v>
      </c>
      <c r="E4918" s="0" t="n">
        <f aca="false">B4918/SUM($A4918:$C4918)</f>
        <v>0.739233499252214</v>
      </c>
      <c r="F4918" s="0" t="n">
        <f aca="false">C4918/SUM($A4918:$C4918)</f>
        <v>0.182039315304745</v>
      </c>
      <c r="G4918" s="0" t="n">
        <f aca="false">SUMPRODUCT(D4918:F4918,Stats!$B$6:$D$6)</f>
        <v>0.393998579128577</v>
      </c>
      <c r="H4918" s="0" t="n">
        <f aca="false">SQRT(SUMPRODUCT(MMULT(D4918:F4918,Stats!$B$12:$D$14),D4918:F4918))</f>
        <v>0.241920353102417</v>
      </c>
      <c r="I4918" s="0" t="n">
        <f aca="false">(G4918-Stats!$B$2)/H4918</f>
        <v>1.45501845799456</v>
      </c>
    </row>
    <row r="4919" customFormat="false" ht="15" hidden="false" customHeight="false" outlineLevel="0" collapsed="false">
      <c r="A4919" s="0" t="n">
        <v>0.198552403537093</v>
      </c>
      <c r="B4919" s="0" t="n">
        <v>0.526802918855937</v>
      </c>
      <c r="C4919" s="0" t="n">
        <v>0.537208179394889</v>
      </c>
      <c r="D4919" s="0" t="n">
        <f aca="false">A4919/SUM($A4919:$C4919)</f>
        <v>0.157261320524411</v>
      </c>
      <c r="E4919" s="0" t="n">
        <f aca="false">B4919/SUM($A4919:$C4919)</f>
        <v>0.417248651739045</v>
      </c>
      <c r="F4919" s="0" t="n">
        <f aca="false">C4919/SUM($A4919:$C4919)</f>
        <v>0.425490027736543</v>
      </c>
      <c r="G4919" s="0" t="n">
        <f aca="false">SUMPRODUCT(D4919:F4919,Stats!$B$6:$D$6)</f>
        <v>0.368758927980263</v>
      </c>
      <c r="H4919" s="0" t="n">
        <f aca="false">SQRT(SUMPRODUCT(MMULT(D4919:F4919,Stats!$B$12:$D$14),D4919:F4919))</f>
        <v>0.233765384767111</v>
      </c>
      <c r="I4919" s="0" t="n">
        <f aca="false">(G4919-Stats!$B$2)/H4919</f>
        <v>1.39780715740184</v>
      </c>
    </row>
    <row r="4920" customFormat="false" ht="15" hidden="false" customHeight="false" outlineLevel="0" collapsed="false">
      <c r="A4920" s="0" t="n">
        <v>0.439820737833244</v>
      </c>
      <c r="B4920" s="0" t="n">
        <v>0.771892146325255</v>
      </c>
      <c r="C4920" s="0" t="n">
        <v>0.516654400728603</v>
      </c>
      <c r="D4920" s="0" t="n">
        <f aca="false">A4920/SUM($A4920:$C4920)</f>
        <v>0.254471802191034</v>
      </c>
      <c r="E4920" s="0" t="n">
        <f aca="false">B4920/SUM($A4920:$C4920)</f>
        <v>0.446601919091332</v>
      </c>
      <c r="F4920" s="0" t="n">
        <f aca="false">C4920/SUM($A4920:$C4920)</f>
        <v>0.298926278717634</v>
      </c>
      <c r="G4920" s="0" t="n">
        <f aca="false">SUMPRODUCT(D4920:F4920,Stats!$B$6:$D$6)</f>
        <v>0.373937823692742</v>
      </c>
      <c r="H4920" s="0" t="n">
        <f aca="false">SQRT(SUMPRODUCT(MMULT(D4920:F4920,Stats!$B$12:$D$14),D4920:F4920))</f>
        <v>0.229768224325487</v>
      </c>
      <c r="I4920" s="0" t="n">
        <f aca="false">(G4920-Stats!$B$2)/H4920</f>
        <v>1.44466374611715</v>
      </c>
    </row>
    <row r="4921" customFormat="false" ht="15" hidden="false" customHeight="false" outlineLevel="0" collapsed="false">
      <c r="A4921" s="0" t="n">
        <v>0.609695455144984</v>
      </c>
      <c r="B4921" s="0" t="n">
        <v>0.723746385407786</v>
      </c>
      <c r="C4921" s="0" t="n">
        <v>0.0250251015638666</v>
      </c>
      <c r="D4921" s="0" t="n">
        <f aca="false">A4921/SUM($A4921:$C4921)</f>
        <v>0.448811403680544</v>
      </c>
      <c r="E4921" s="0" t="n">
        <f aca="false">B4921/SUM($A4921:$C4921)</f>
        <v>0.532767020653526</v>
      </c>
      <c r="F4921" s="0" t="n">
        <f aca="false">C4921/SUM($A4921:$C4921)</f>
        <v>0.0184215756659303</v>
      </c>
      <c r="G4921" s="0" t="n">
        <f aca="false">SUMPRODUCT(D4921:F4921,Stats!$B$6:$D$6)</f>
        <v>0.386630461414192</v>
      </c>
      <c r="H4921" s="0" t="n">
        <f aca="false">SQRT(SUMPRODUCT(MMULT(D4921:F4921,Stats!$B$12:$D$14),D4921:F4921))</f>
        <v>0.230203650387136</v>
      </c>
      <c r="I4921" s="0" t="n">
        <f aca="false">(G4921-Stats!$B$2)/H4921</f>
        <v>1.49706775211697</v>
      </c>
    </row>
    <row r="4922" customFormat="false" ht="15" hidden="false" customHeight="false" outlineLevel="0" collapsed="false">
      <c r="A4922" s="0" t="n">
        <v>0.570644182545045</v>
      </c>
      <c r="B4922" s="0" t="n">
        <v>0.884194471228369</v>
      </c>
      <c r="C4922" s="0" t="n">
        <v>0.0173887429254339</v>
      </c>
      <c r="D4922" s="0" t="n">
        <f aca="false">A4922/SUM($A4922:$C4922)</f>
        <v>0.387606006941992</v>
      </c>
      <c r="E4922" s="0" t="n">
        <f aca="false">B4922/SUM($A4922:$C4922)</f>
        <v>0.600582812961492</v>
      </c>
      <c r="F4922" s="0" t="n">
        <f aca="false">C4922/SUM($A4922:$C4922)</f>
        <v>0.0118111800965153</v>
      </c>
      <c r="G4922" s="0" t="n">
        <f aca="false">SUMPRODUCT(D4922:F4922,Stats!$B$6:$D$6)</f>
        <v>0.390714773446664</v>
      </c>
      <c r="H4922" s="0" t="n">
        <f aca="false">SQRT(SUMPRODUCT(MMULT(D4922:F4922,Stats!$B$12:$D$14),D4922:F4922))</f>
        <v>0.232426800659964</v>
      </c>
      <c r="I4922" s="0" t="n">
        <f aca="false">(G4922-Stats!$B$2)/H4922</f>
        <v>1.50032084276214</v>
      </c>
    </row>
    <row r="4923" customFormat="false" ht="15" hidden="false" customHeight="false" outlineLevel="0" collapsed="false">
      <c r="A4923" s="0" t="n">
        <v>0.405182103800961</v>
      </c>
      <c r="B4923" s="0" t="n">
        <v>0.92622745020583</v>
      </c>
      <c r="C4923" s="0" t="n">
        <v>0.353154402282538</v>
      </c>
      <c r="D4923" s="0" t="n">
        <f aca="false">A4923/SUM($A4923:$C4923)</f>
        <v>0.240526399896075</v>
      </c>
      <c r="E4923" s="0" t="n">
        <f aca="false">B4923/SUM($A4923:$C4923)</f>
        <v>0.549832166803614</v>
      </c>
      <c r="F4923" s="0" t="n">
        <f aca="false">C4923/SUM($A4923:$C4923)</f>
        <v>0.209641433300311</v>
      </c>
      <c r="G4923" s="0" t="n">
        <f aca="false">SUMPRODUCT(D4923:F4923,Stats!$B$6:$D$6)</f>
        <v>0.382339553809437</v>
      </c>
      <c r="H4923" s="0" t="n">
        <f aca="false">SQRT(SUMPRODUCT(MMULT(D4923:F4923,Stats!$B$12:$D$14),D4923:F4923))</f>
        <v>0.231996374962058</v>
      </c>
      <c r="I4923" s="0" t="n">
        <f aca="false">(G4923-Stats!$B$2)/H4923</f>
        <v>1.46700375755914</v>
      </c>
    </row>
    <row r="4924" customFormat="false" ht="15" hidden="false" customHeight="false" outlineLevel="0" collapsed="false">
      <c r="A4924" s="0" t="n">
        <v>0.458728824200241</v>
      </c>
      <c r="B4924" s="0" t="n">
        <v>0.981541393044313</v>
      </c>
      <c r="C4924" s="0" t="n">
        <v>0.199323858950574</v>
      </c>
      <c r="D4924" s="0" t="n">
        <f aca="false">A4924/SUM($A4924:$C4924)</f>
        <v>0.27978194777623</v>
      </c>
      <c r="E4924" s="0" t="n">
        <f aca="false">B4924/SUM($A4924:$C4924)</f>
        <v>0.59864902374013</v>
      </c>
      <c r="F4924" s="0" t="n">
        <f aca="false">C4924/SUM($A4924:$C4924)</f>
        <v>0.121569028483641</v>
      </c>
      <c r="G4924" s="0" t="n">
        <f aca="false">SUMPRODUCT(D4924:F4924,Stats!$B$6:$D$6)</f>
        <v>0.387576975263535</v>
      </c>
      <c r="H4924" s="0" t="n">
        <f aca="false">SQRT(SUMPRODUCT(MMULT(D4924:F4924,Stats!$B$12:$D$14),D4924:F4924))</f>
        <v>0.232618784138573</v>
      </c>
      <c r="I4924" s="0" t="n">
        <f aca="false">(G4924-Stats!$B$2)/H4924</f>
        <v>1.4855935927241</v>
      </c>
    </row>
    <row r="4925" customFormat="false" ht="15" hidden="false" customHeight="false" outlineLevel="0" collapsed="false">
      <c r="A4925" s="0" t="n">
        <v>0.0652551891250059</v>
      </c>
      <c r="B4925" s="0" t="n">
        <v>0.859422590861304</v>
      </c>
      <c r="C4925" s="0" t="n">
        <v>0.868465341212369</v>
      </c>
      <c r="D4925" s="0" t="n">
        <f aca="false">A4925/SUM($A4925:$C4925)</f>
        <v>0.0363915118394923</v>
      </c>
      <c r="E4925" s="0" t="n">
        <f aca="false">B4925/SUM($A4925:$C4925)</f>
        <v>0.479282763713138</v>
      </c>
      <c r="F4925" s="0" t="n">
        <f aca="false">C4925/SUM($A4925:$C4925)</f>
        <v>0.48432572444737</v>
      </c>
      <c r="G4925" s="0" t="n">
        <f aca="false">SUMPRODUCT(D4925:F4925,Stats!$B$6:$D$6)</f>
        <v>0.37070591878667</v>
      </c>
      <c r="H4925" s="0" t="n">
        <f aca="false">SQRT(SUMPRODUCT(MMULT(D4925:F4925,Stats!$B$12:$D$14),D4925:F4925))</f>
        <v>0.240921741994044</v>
      </c>
      <c r="I4925" s="0" t="n">
        <f aca="false">(G4925-Stats!$B$2)/H4925</f>
        <v>1.36436801455136</v>
      </c>
    </row>
    <row r="4926" customFormat="false" ht="15" hidden="false" customHeight="false" outlineLevel="0" collapsed="false">
      <c r="A4926" s="0" t="n">
        <v>0.472077834680013</v>
      </c>
      <c r="B4926" s="0" t="n">
        <v>0.514207174477286</v>
      </c>
      <c r="C4926" s="0" t="n">
        <v>0.835806369617836</v>
      </c>
      <c r="D4926" s="0" t="n">
        <f aca="false">A4926/SUM($A4926:$C4926)</f>
        <v>0.259085707873421</v>
      </c>
      <c r="E4926" s="0" t="n">
        <f aca="false">B4926/SUM($A4926:$C4926)</f>
        <v>0.282207127736344</v>
      </c>
      <c r="F4926" s="0" t="n">
        <f aca="false">C4926/SUM($A4926:$C4926)</f>
        <v>0.458707164390235</v>
      </c>
      <c r="G4926" s="0" t="n">
        <f aca="false">SUMPRODUCT(D4926:F4926,Stats!$B$6:$D$6)</f>
        <v>0.360072863702729</v>
      </c>
      <c r="H4926" s="0" t="n">
        <f aca="false">SQRT(SUMPRODUCT(MMULT(D4926:F4926,Stats!$B$12:$D$14),D4926:F4926))</f>
        <v>0.229174546637612</v>
      </c>
      <c r="I4926" s="0" t="n">
        <f aca="false">(G4926-Stats!$B$2)/H4926</f>
        <v>1.38790659071616</v>
      </c>
    </row>
    <row r="4927" customFormat="false" ht="15" hidden="false" customHeight="false" outlineLevel="0" collapsed="false">
      <c r="A4927" s="0" t="n">
        <v>0.738559498115795</v>
      </c>
      <c r="B4927" s="0" t="n">
        <v>0.265149002217011</v>
      </c>
      <c r="C4927" s="0" t="n">
        <v>0.0168933550715185</v>
      </c>
      <c r="D4927" s="0" t="n">
        <f aca="false">A4927/SUM($A4927:$C4927)</f>
        <v>0.723650945963846</v>
      </c>
      <c r="E4927" s="0" t="n">
        <f aca="false">B4927/SUM($A4927:$C4927)</f>
        <v>0.259796708004189</v>
      </c>
      <c r="F4927" s="0" t="n">
        <f aca="false">C4927/SUM($A4927:$C4927)</f>
        <v>0.0165523460319656</v>
      </c>
      <c r="G4927" s="0" t="n">
        <f aca="false">SUMPRODUCT(D4927:F4927,Stats!$B$6:$D$6)</f>
        <v>0.370975646211124</v>
      </c>
      <c r="H4927" s="0" t="n">
        <f aca="false">SQRT(SUMPRODUCT(MMULT(D4927:F4927,Stats!$B$12:$D$14),D4927:F4927))</f>
        <v>0.227047405525308</v>
      </c>
      <c r="I4927" s="0" t="n">
        <f aca="false">(G4927-Stats!$B$2)/H4927</f>
        <v>1.44892933460301</v>
      </c>
    </row>
    <row r="4928" customFormat="false" ht="15" hidden="false" customHeight="false" outlineLevel="0" collapsed="false">
      <c r="A4928" s="0" t="n">
        <v>0.479700162533546</v>
      </c>
      <c r="B4928" s="0" t="n">
        <v>0.858912326095641</v>
      </c>
      <c r="C4928" s="0" t="n">
        <v>0.895834676690162</v>
      </c>
      <c r="D4928" s="0" t="n">
        <f aca="false">A4928/SUM($A4928:$C4928)</f>
        <v>0.214684048018198</v>
      </c>
      <c r="E4928" s="0" t="n">
        <f aca="false">B4928/SUM($A4928:$C4928)</f>
        <v>0.384395898648552</v>
      </c>
      <c r="F4928" s="0" t="n">
        <f aca="false">C4928/SUM($A4928:$C4928)</f>
        <v>0.40092005333325</v>
      </c>
      <c r="G4928" s="0" t="n">
        <f aca="false">SUMPRODUCT(D4928:F4928,Stats!$B$6:$D$6)</f>
        <v>0.367546130681984</v>
      </c>
      <c r="H4928" s="0" t="n">
        <f aca="false">SQRT(SUMPRODUCT(MMULT(D4928:F4928,Stats!$B$12:$D$14),D4928:F4928))</f>
        <v>0.23092188915488</v>
      </c>
      <c r="I4928" s="0" t="n">
        <f aca="false">(G4928-Stats!$B$2)/H4928</f>
        <v>1.40976731081409</v>
      </c>
    </row>
    <row r="4929" customFormat="false" ht="15" hidden="false" customHeight="false" outlineLevel="0" collapsed="false">
      <c r="A4929" s="0" t="n">
        <v>0.956226197076154</v>
      </c>
      <c r="B4929" s="0" t="n">
        <v>0.879563237612781</v>
      </c>
      <c r="C4929" s="0" t="n">
        <v>0.580043555298098</v>
      </c>
      <c r="D4929" s="0" t="n">
        <f aca="false">A4929/SUM($A4929:$C4929)</f>
        <v>0.395816350318689</v>
      </c>
      <c r="E4929" s="0" t="n">
        <f aca="false">B4929/SUM($A4929:$C4929)</f>
        <v>0.364082799290485</v>
      </c>
      <c r="F4929" s="0" t="n">
        <f aca="false">C4929/SUM($A4929:$C4929)</f>
        <v>0.240100850390826</v>
      </c>
      <c r="G4929" s="0" t="n">
        <f aca="false">SUMPRODUCT(D4929:F4929,Stats!$B$6:$D$6)</f>
        <v>0.370811868902471</v>
      </c>
      <c r="H4929" s="0" t="n">
        <f aca="false">SQRT(SUMPRODUCT(MMULT(D4929:F4929,Stats!$B$12:$D$14),D4929:F4929))</f>
        <v>0.225335965091415</v>
      </c>
      <c r="I4929" s="0" t="n">
        <f aca="false">(G4929-Stats!$B$2)/H4929</f>
        <v>1.45920722761267</v>
      </c>
    </row>
    <row r="4930" customFormat="false" ht="15" hidden="false" customHeight="false" outlineLevel="0" collapsed="false">
      <c r="A4930" s="0" t="n">
        <v>0.444605599236101</v>
      </c>
      <c r="B4930" s="0" t="n">
        <v>0.774849846534099</v>
      </c>
      <c r="C4930" s="0" t="n">
        <v>0.739821634365596</v>
      </c>
      <c r="D4930" s="0" t="n">
        <f aca="false">A4930/SUM($A4930:$C4930)</f>
        <v>0.226923289076237</v>
      </c>
      <c r="E4930" s="0" t="n">
        <f aca="false">B4930/SUM($A4930:$C4930)</f>
        <v>0.395477420927312</v>
      </c>
      <c r="F4930" s="0" t="n">
        <f aca="false">C4930/SUM($A4930:$C4930)</f>
        <v>0.377599289996451</v>
      </c>
      <c r="G4930" s="0" t="n">
        <f aca="false">SUMPRODUCT(D4930:F4930,Stats!$B$6:$D$6)</f>
        <v>0.368826808210745</v>
      </c>
      <c r="H4930" s="0" t="n">
        <f aca="false">SQRT(SUMPRODUCT(MMULT(D4930:F4930,Stats!$B$12:$D$14),D4930:F4930))</f>
        <v>0.230403952841438</v>
      </c>
      <c r="I4930" s="0" t="n">
        <f aca="false">(G4930-Stats!$B$2)/H4930</f>
        <v>1.41849479655266</v>
      </c>
    </row>
    <row r="4931" customFormat="false" ht="15" hidden="false" customHeight="false" outlineLevel="0" collapsed="false">
      <c r="A4931" s="0" t="n">
        <v>0.538143430081454</v>
      </c>
      <c r="B4931" s="0" t="n">
        <v>0.0873273725584691</v>
      </c>
      <c r="C4931" s="0" t="n">
        <v>0.926081346786919</v>
      </c>
      <c r="D4931" s="0" t="n">
        <f aca="false">A4931/SUM($A4931:$C4931)</f>
        <v>0.346841986768056</v>
      </c>
      <c r="E4931" s="0" t="n">
        <f aca="false">B4931/SUM($A4931:$C4931)</f>
        <v>0.0562838784314976</v>
      </c>
      <c r="F4931" s="0" t="n">
        <f aca="false">C4931/SUM($A4931:$C4931)</f>
        <v>0.596874134800446</v>
      </c>
      <c r="G4931" s="0" t="n">
        <f aca="false">SUMPRODUCT(D4931:F4931,Stats!$B$6:$D$6)</f>
        <v>0.343263631277217</v>
      </c>
      <c r="H4931" s="0" t="n">
        <f aca="false">SQRT(SUMPRODUCT(MMULT(D4931:F4931,Stats!$B$12:$D$14),D4931:F4931))</f>
        <v>0.2285661740978</v>
      </c>
      <c r="I4931" s="0" t="n">
        <f aca="false">(G4931-Stats!$B$2)/H4931</f>
        <v>1.3180586867955</v>
      </c>
    </row>
    <row r="4932" customFormat="false" ht="15" hidden="false" customHeight="false" outlineLevel="0" collapsed="false">
      <c r="A4932" s="0" t="n">
        <v>0.455602537501662</v>
      </c>
      <c r="B4932" s="0" t="n">
        <v>0.363333781916264</v>
      </c>
      <c r="C4932" s="0" t="n">
        <v>0.629567395168772</v>
      </c>
      <c r="D4932" s="0" t="n">
        <f aca="false">A4932/SUM($A4932:$C4932)</f>
        <v>0.314533219979805</v>
      </c>
      <c r="E4932" s="0" t="n">
        <f aca="false">B4932/SUM($A4932:$C4932)</f>
        <v>0.250833862735336</v>
      </c>
      <c r="F4932" s="0" t="n">
        <f aca="false">C4932/SUM($A4932:$C4932)</f>
        <v>0.434632917284859</v>
      </c>
      <c r="G4932" s="0" t="n">
        <f aca="false">SUMPRODUCT(D4932:F4932,Stats!$B$6:$D$6)</f>
        <v>0.358931524744681</v>
      </c>
      <c r="H4932" s="0" t="n">
        <f aca="false">SQRT(SUMPRODUCT(MMULT(D4932:F4932,Stats!$B$12:$D$14),D4932:F4932))</f>
        <v>0.226942937559748</v>
      </c>
      <c r="I4932" s="0" t="n">
        <f aca="false">(G4932-Stats!$B$2)/H4932</f>
        <v>1.39652517127237</v>
      </c>
    </row>
    <row r="4933" customFormat="false" ht="15" hidden="false" customHeight="false" outlineLevel="0" collapsed="false">
      <c r="A4933" s="0" t="n">
        <v>0.673837961166977</v>
      </c>
      <c r="B4933" s="0" t="n">
        <v>0.210687917030301</v>
      </c>
      <c r="C4933" s="0" t="n">
        <v>0.836938844809956</v>
      </c>
      <c r="D4933" s="0" t="n">
        <f aca="false">A4933/SUM($A4933:$C4933)</f>
        <v>0.391432918816859</v>
      </c>
      <c r="E4933" s="0" t="n">
        <f aca="false">B4933/SUM($A4933:$C4933)</f>
        <v>0.122388750820435</v>
      </c>
      <c r="F4933" s="0" t="n">
        <f aca="false">C4933/SUM($A4933:$C4933)</f>
        <v>0.486178330362706</v>
      </c>
      <c r="G4933" s="0" t="n">
        <f aca="false">SUMPRODUCT(D4933:F4933,Stats!$B$6:$D$6)</f>
        <v>0.35011961430814</v>
      </c>
      <c r="H4933" s="0" t="n">
        <f aca="false">SQRT(SUMPRODUCT(MMULT(D4933:F4933,Stats!$B$12:$D$14),D4933:F4933))</f>
        <v>0.225201328976475</v>
      </c>
      <c r="I4933" s="0" t="n">
        <f aca="false">(G4933-Stats!$B$2)/H4933</f>
        <v>1.36819625225358</v>
      </c>
    </row>
    <row r="4934" customFormat="false" ht="15" hidden="false" customHeight="false" outlineLevel="0" collapsed="false">
      <c r="A4934" s="0" t="n">
        <v>0.289937093662378</v>
      </c>
      <c r="B4934" s="0" t="n">
        <v>0.186683925914317</v>
      </c>
      <c r="C4934" s="0" t="n">
        <v>0.406399852854497</v>
      </c>
      <c r="D4934" s="0" t="n">
        <f aca="false">A4934/SUM($A4934:$C4934)</f>
        <v>0.328346817968304</v>
      </c>
      <c r="E4934" s="0" t="n">
        <f aca="false">B4934/SUM($A4934:$C4934)</f>
        <v>0.211415077200073</v>
      </c>
      <c r="F4934" s="0" t="n">
        <f aca="false">C4934/SUM($A4934:$C4934)</f>
        <v>0.460238104831622</v>
      </c>
      <c r="G4934" s="0" t="n">
        <f aca="false">SUMPRODUCT(D4934:F4934,Stats!$B$6:$D$6)</f>
        <v>0.355957365645389</v>
      </c>
      <c r="H4934" s="0" t="n">
        <f aca="false">SQRT(SUMPRODUCT(MMULT(D4934:F4934,Stats!$B$12:$D$14),D4934:F4934))</f>
        <v>0.226674319729494</v>
      </c>
      <c r="I4934" s="0" t="n">
        <f aca="false">(G4934-Stats!$B$2)/H4934</f>
        <v>1.38505926044051</v>
      </c>
    </row>
    <row r="4935" customFormat="false" ht="15" hidden="false" customHeight="false" outlineLevel="0" collapsed="false">
      <c r="A4935" s="0" t="n">
        <v>0.730560080897465</v>
      </c>
      <c r="B4935" s="0" t="n">
        <v>0.965458178439803</v>
      </c>
      <c r="C4935" s="0" t="n">
        <v>0.809281264371433</v>
      </c>
      <c r="D4935" s="0" t="n">
        <f aca="false">A4935/SUM($A4935:$C4935)</f>
        <v>0.291605883441827</v>
      </c>
      <c r="E4935" s="0" t="n">
        <f aca="false">B4935/SUM($A4935:$C4935)</f>
        <v>0.385366368094221</v>
      </c>
      <c r="F4935" s="0" t="n">
        <f aca="false">C4935/SUM($A4935:$C4935)</f>
        <v>0.323027748463952</v>
      </c>
      <c r="G4935" s="0" t="n">
        <f aca="false">SUMPRODUCT(D4935:F4935,Stats!$B$6:$D$6)</f>
        <v>0.369749820585649</v>
      </c>
      <c r="H4935" s="0" t="n">
        <f aca="false">SQRT(SUMPRODUCT(MMULT(D4935:F4935,Stats!$B$12:$D$14),D4935:F4935))</f>
        <v>0.227947757513371</v>
      </c>
      <c r="I4935" s="0" t="n">
        <f aca="false">(G4935-Stats!$B$2)/H4935</f>
        <v>1.43782866811674</v>
      </c>
    </row>
    <row r="4936" customFormat="false" ht="15" hidden="false" customHeight="false" outlineLevel="0" collapsed="false">
      <c r="A4936" s="0" t="n">
        <v>0.940348377670192</v>
      </c>
      <c r="B4936" s="0" t="n">
        <v>0.140605804076527</v>
      </c>
      <c r="C4936" s="0" t="n">
        <v>0.0711767988636768</v>
      </c>
      <c r="D4936" s="0" t="n">
        <f aca="false">A4936/SUM($A4936:$C4936)</f>
        <v>0.816181834787568</v>
      </c>
      <c r="E4936" s="0" t="n">
        <f aca="false">B4936/SUM($A4936:$C4936)</f>
        <v>0.122039773639308</v>
      </c>
      <c r="F4936" s="0" t="n">
        <f aca="false">C4936/SUM($A4936:$C4936)</f>
        <v>0.0617783915731244</v>
      </c>
      <c r="G4936" s="0" t="n">
        <f aca="false">SUMPRODUCT(D4936:F4936,Stats!$B$6:$D$6)</f>
        <v>0.361802199692134</v>
      </c>
      <c r="H4936" s="0" t="n">
        <f aca="false">SQRT(SUMPRODUCT(MMULT(D4936:F4936,Stats!$B$12:$D$14),D4936:F4936))</f>
        <v>0.226657221126986</v>
      </c>
      <c r="I4936" s="0" t="n">
        <f aca="false">(G4936-Stats!$B$2)/H4936</f>
        <v>1.41095085390182</v>
      </c>
    </row>
    <row r="4937" customFormat="false" ht="15" hidden="false" customHeight="false" outlineLevel="0" collapsed="false">
      <c r="A4937" s="0" t="n">
        <v>0.557704761906671</v>
      </c>
      <c r="B4937" s="0" t="n">
        <v>0.290297483044034</v>
      </c>
      <c r="C4937" s="0" t="n">
        <v>0.828054972969273</v>
      </c>
      <c r="D4937" s="0" t="n">
        <f aca="false">A4937/SUM($A4937:$C4937)</f>
        <v>0.332748044603629</v>
      </c>
      <c r="E4937" s="0" t="n">
        <f aca="false">B4937/SUM($A4937:$C4937)</f>
        <v>0.173202609039982</v>
      </c>
      <c r="F4937" s="0" t="n">
        <f aca="false">C4937/SUM($A4937:$C4937)</f>
        <v>0.494049346356389</v>
      </c>
      <c r="G4937" s="0" t="n">
        <f aca="false">SUMPRODUCT(D4937:F4937,Stats!$B$6:$D$6)</f>
        <v>0.352826337704329</v>
      </c>
      <c r="H4937" s="0" t="n">
        <f aca="false">SQRT(SUMPRODUCT(MMULT(D4937:F4937,Stats!$B$12:$D$14),D4937:F4937))</f>
        <v>0.226920662409018</v>
      </c>
      <c r="I4937" s="0" t="n">
        <f aca="false">(G4937-Stats!$B$2)/H4937</f>
        <v>1.36975775764339</v>
      </c>
    </row>
    <row r="4938" customFormat="false" ht="15" hidden="false" customHeight="false" outlineLevel="0" collapsed="false">
      <c r="A4938" s="0" t="n">
        <v>0.671987871402326</v>
      </c>
      <c r="B4938" s="0" t="n">
        <v>0.970728163985794</v>
      </c>
      <c r="C4938" s="0" t="n">
        <v>0.254792355731304</v>
      </c>
      <c r="D4938" s="0" t="n">
        <f aca="false">A4938/SUM($A4938:$C4938)</f>
        <v>0.354142239658761</v>
      </c>
      <c r="E4938" s="0" t="n">
        <f aca="false">B4938/SUM($A4938:$C4938)</f>
        <v>0.511580432808057</v>
      </c>
      <c r="F4938" s="0" t="n">
        <f aca="false">C4938/SUM($A4938:$C4938)</f>
        <v>0.134277327533182</v>
      </c>
      <c r="G4938" s="0" t="n">
        <f aca="false">SUMPRODUCT(D4938:F4938,Stats!$B$6:$D$6)</f>
        <v>0.382216734773553</v>
      </c>
      <c r="H4938" s="0" t="n">
        <f aca="false">SQRT(SUMPRODUCT(MMULT(D4938:F4938,Stats!$B$12:$D$14),D4938:F4938))</f>
        <v>0.229160074216512</v>
      </c>
      <c r="I4938" s="0" t="n">
        <f aca="false">(G4938-Stats!$B$2)/H4938</f>
        <v>1.48462482365979</v>
      </c>
    </row>
    <row r="4939" customFormat="false" ht="15" hidden="false" customHeight="false" outlineLevel="0" collapsed="false">
      <c r="A4939" s="0" t="n">
        <v>0.485784114355232</v>
      </c>
      <c r="B4939" s="0" t="n">
        <v>0.501240477425353</v>
      </c>
      <c r="C4939" s="0" t="n">
        <v>0.239176794857376</v>
      </c>
      <c r="D4939" s="0" t="n">
        <f aca="false">A4939/SUM($A4939:$C4939)</f>
        <v>0.396169927426987</v>
      </c>
      <c r="E4939" s="0" t="n">
        <f aca="false">B4939/SUM($A4939:$C4939)</f>
        <v>0.408775004568924</v>
      </c>
      <c r="F4939" s="0" t="n">
        <f aca="false">C4939/SUM($A4939:$C4939)</f>
        <v>0.195055068004089</v>
      </c>
      <c r="G4939" s="0" t="n">
        <f aca="false">SUMPRODUCT(D4939:F4939,Stats!$B$6:$D$6)</f>
        <v>0.374625520673998</v>
      </c>
      <c r="H4939" s="0" t="n">
        <f aca="false">SQRT(SUMPRODUCT(MMULT(D4939:F4939,Stats!$B$12:$D$14),D4939:F4939))</f>
        <v>0.226176841500416</v>
      </c>
      <c r="I4939" s="0" t="n">
        <f aca="false">(G4939-Stats!$B$2)/H4939</f>
        <v>1.47064358343419</v>
      </c>
    </row>
    <row r="4940" customFormat="false" ht="15" hidden="false" customHeight="false" outlineLevel="0" collapsed="false">
      <c r="A4940" s="0" t="n">
        <v>0.590093399488008</v>
      </c>
      <c r="B4940" s="0" t="n">
        <v>0.44328598607924</v>
      </c>
      <c r="C4940" s="0" t="n">
        <v>0.446721555989874</v>
      </c>
      <c r="D4940" s="0" t="n">
        <f aca="false">A4940/SUM($A4940:$C4940)</f>
        <v>0.398684564626523</v>
      </c>
      <c r="E4940" s="0" t="n">
        <f aca="false">B4940/SUM($A4940:$C4940)</f>
        <v>0.299497131332736</v>
      </c>
      <c r="F4940" s="0" t="n">
        <f aca="false">C4940/SUM($A4940:$C4940)</f>
        <v>0.301818304040741</v>
      </c>
      <c r="G4940" s="0" t="n">
        <f aca="false">SUMPRODUCT(D4940:F4940,Stats!$B$6:$D$6)</f>
        <v>0.36539385811316</v>
      </c>
      <c r="H4940" s="0" t="n">
        <f aca="false">SQRT(SUMPRODUCT(MMULT(D4940:F4940,Stats!$B$12:$D$14),D4940:F4940))</f>
        <v>0.224491842754546</v>
      </c>
      <c r="I4940" s="0" t="n">
        <f aca="false">(G4940-Stats!$B$2)/H4940</f>
        <v>1.44055950606077</v>
      </c>
    </row>
    <row r="4941" customFormat="false" ht="15" hidden="false" customHeight="false" outlineLevel="0" collapsed="false">
      <c r="A4941" s="0" t="n">
        <v>0.362736647972484</v>
      </c>
      <c r="B4941" s="0" t="n">
        <v>0.0169293524255351</v>
      </c>
      <c r="C4941" s="0" t="n">
        <v>0.522095236914789</v>
      </c>
      <c r="D4941" s="0" t="n">
        <f aca="false">A4941/SUM($A4941:$C4941)</f>
        <v>0.402253537813863</v>
      </c>
      <c r="E4941" s="0" t="n">
        <f aca="false">B4941/SUM($A4941:$C4941)</f>
        <v>0.0187736528529253</v>
      </c>
      <c r="F4941" s="0" t="n">
        <f aca="false">C4941/SUM($A4941:$C4941)</f>
        <v>0.578972809333211</v>
      </c>
      <c r="G4941" s="0" t="n">
        <f aca="false">SUMPRODUCT(D4941:F4941,Stats!$B$6:$D$6)</f>
        <v>0.341598963610508</v>
      </c>
      <c r="H4941" s="0" t="n">
        <f aca="false">SQRT(SUMPRODUCT(MMULT(D4941:F4941,Stats!$B$12:$D$14),D4941:F4941))</f>
        <v>0.226810110220061</v>
      </c>
      <c r="I4941" s="0" t="n">
        <f aca="false">(G4941-Stats!$B$2)/H4941</f>
        <v>1.32092420095305</v>
      </c>
    </row>
    <row r="4942" customFormat="false" ht="15" hidden="false" customHeight="false" outlineLevel="0" collapsed="false">
      <c r="A4942" s="0" t="n">
        <v>0.335247835700331</v>
      </c>
      <c r="B4942" s="0" t="n">
        <v>0.00131986898432968</v>
      </c>
      <c r="C4942" s="0" t="n">
        <v>0.307943707661932</v>
      </c>
      <c r="D4942" s="0" t="n">
        <f aca="false">A4942/SUM($A4942:$C4942)</f>
        <v>0.520158106246299</v>
      </c>
      <c r="E4942" s="0" t="n">
        <f aca="false">B4942/SUM($A4942:$C4942)</f>
        <v>0.00204785975708977</v>
      </c>
      <c r="F4942" s="0" t="n">
        <f aca="false">C4942/SUM($A4942:$C4942)</f>
        <v>0.477794033996611</v>
      </c>
      <c r="G4942" s="0" t="n">
        <f aca="false">SUMPRODUCT(D4942:F4942,Stats!$B$6:$D$6)</f>
        <v>0.343426548938048</v>
      </c>
      <c r="H4942" s="0" t="n">
        <f aca="false">SQRT(SUMPRODUCT(MMULT(D4942:F4942,Stats!$B$12:$D$14),D4942:F4942))</f>
        <v>0.222971573359335</v>
      </c>
      <c r="I4942" s="0" t="n">
        <f aca="false">(G4942-Stats!$B$2)/H4942</f>
        <v>1.35186088700319</v>
      </c>
    </row>
    <row r="4943" customFormat="false" ht="15" hidden="false" customHeight="false" outlineLevel="0" collapsed="false">
      <c r="A4943" s="0" t="n">
        <v>0.278628333089757</v>
      </c>
      <c r="B4943" s="0" t="n">
        <v>0.393448153223636</v>
      </c>
      <c r="C4943" s="0" t="n">
        <v>0.131851989643397</v>
      </c>
      <c r="D4943" s="0" t="n">
        <f aca="false">A4943/SUM($A4943:$C4943)</f>
        <v>0.346583485251159</v>
      </c>
      <c r="E4943" s="0" t="n">
        <f aca="false">B4943/SUM($A4943:$C4943)</f>
        <v>0.489406912418889</v>
      </c>
      <c r="F4943" s="0" t="n">
        <f aca="false">C4943/SUM($A4943:$C4943)</f>
        <v>0.164009602329951</v>
      </c>
      <c r="G4943" s="0" t="n">
        <f aca="false">SUMPRODUCT(D4943:F4943,Stats!$B$6:$D$6)</f>
        <v>0.380121043067099</v>
      </c>
      <c r="H4943" s="0" t="n">
        <f aca="false">SQRT(SUMPRODUCT(MMULT(D4943:F4943,Stats!$B$12:$D$14),D4943:F4943))</f>
        <v>0.228604199424854</v>
      </c>
      <c r="I4943" s="0" t="n">
        <f aca="false">(G4943-Stats!$B$2)/H4943</f>
        <v>1.47906750583664</v>
      </c>
    </row>
    <row r="4944" customFormat="false" ht="15" hidden="false" customHeight="false" outlineLevel="0" collapsed="false">
      <c r="A4944" s="0" t="n">
        <v>0.507683824635084</v>
      </c>
      <c r="B4944" s="0" t="n">
        <v>0.69244035251813</v>
      </c>
      <c r="C4944" s="0" t="n">
        <v>0.630185569054573</v>
      </c>
      <c r="D4944" s="0" t="n">
        <f aca="false">A4944/SUM($A4944:$C4944)</f>
        <v>0.277375906284143</v>
      </c>
      <c r="E4944" s="0" t="n">
        <f aca="false">B4944/SUM($A4944:$C4944)</f>
        <v>0.378318671991336</v>
      </c>
      <c r="F4944" s="0" t="n">
        <f aca="false">C4944/SUM($A4944:$C4944)</f>
        <v>0.344305421724521</v>
      </c>
      <c r="G4944" s="0" t="n">
        <f aca="false">SUMPRODUCT(D4944:F4944,Stats!$B$6:$D$6)</f>
        <v>0.368757581617207</v>
      </c>
      <c r="H4944" s="0" t="n">
        <f aca="false">SQRT(SUMPRODUCT(MMULT(D4944:F4944,Stats!$B$12:$D$14),D4944:F4944))</f>
        <v>0.228368175733907</v>
      </c>
      <c r="I4944" s="0" t="n">
        <f aca="false">(G4944-Stats!$B$2)/H4944</f>
        <v>1.43083676421684</v>
      </c>
    </row>
    <row r="4945" customFormat="false" ht="15" hidden="false" customHeight="false" outlineLevel="0" collapsed="false">
      <c r="A4945" s="0" t="n">
        <v>0.803754947569191</v>
      </c>
      <c r="B4945" s="0" t="n">
        <v>0.452008287987081</v>
      </c>
      <c r="C4945" s="0" t="n">
        <v>0.519091730339728</v>
      </c>
      <c r="D4945" s="0" t="n">
        <f aca="false">A4945/SUM($A4945:$C4945)</f>
        <v>0.45285669139925</v>
      </c>
      <c r="E4945" s="0" t="n">
        <f aca="false">B4945/SUM($A4945:$C4945)</f>
        <v>0.254673365808735</v>
      </c>
      <c r="F4945" s="0" t="n">
        <f aca="false">C4945/SUM($A4945:$C4945)</f>
        <v>0.292469942792016</v>
      </c>
      <c r="G4945" s="0" t="n">
        <f aca="false">SUMPRODUCT(D4945:F4945,Stats!$B$6:$D$6)</f>
        <v>0.363072534125039</v>
      </c>
      <c r="H4945" s="0" t="n">
        <f aca="false">SQRT(SUMPRODUCT(MMULT(D4945:F4945,Stats!$B$12:$D$14),D4945:F4945))</f>
        <v>0.223230581433338</v>
      </c>
      <c r="I4945" s="0" t="n">
        <f aca="false">(G4945-Stats!$B$2)/H4945</f>
        <v>1.43829995004927</v>
      </c>
    </row>
    <row r="4946" customFormat="false" ht="15" hidden="false" customHeight="false" outlineLevel="0" collapsed="false">
      <c r="A4946" s="0" t="n">
        <v>0.810401940858983</v>
      </c>
      <c r="B4946" s="0" t="n">
        <v>0.427701170819239</v>
      </c>
      <c r="C4946" s="0" t="n">
        <v>0.701599349899597</v>
      </c>
      <c r="D4946" s="0" t="n">
        <f aca="false">A4946/SUM($A4946:$C4946)</f>
        <v>0.417797036871199</v>
      </c>
      <c r="E4946" s="0" t="n">
        <f aca="false">B4946/SUM($A4946:$C4946)</f>
        <v>0.220498338941805</v>
      </c>
      <c r="F4946" s="0" t="n">
        <f aca="false">C4946/SUM($A4946:$C4946)</f>
        <v>0.361704624186997</v>
      </c>
      <c r="G4946" s="0" t="n">
        <f aca="false">SUMPRODUCT(D4946:F4946,Stats!$B$6:$D$6)</f>
        <v>0.359197027600579</v>
      </c>
      <c r="H4946" s="0" t="n">
        <f aca="false">SQRT(SUMPRODUCT(MMULT(D4946:F4946,Stats!$B$12:$D$14),D4946:F4946))</f>
        <v>0.223722107182301</v>
      </c>
      <c r="I4946" s="0" t="n">
        <f aca="false">(G4946-Stats!$B$2)/H4946</f>
        <v>1.41781709280125</v>
      </c>
    </row>
    <row r="4947" customFormat="false" ht="15" hidden="false" customHeight="false" outlineLevel="0" collapsed="false">
      <c r="A4947" s="0" t="n">
        <v>0.434602368717992</v>
      </c>
      <c r="B4947" s="0" t="n">
        <v>0.417736194511563</v>
      </c>
      <c r="C4947" s="0" t="n">
        <v>0.76020562452916</v>
      </c>
      <c r="D4947" s="0" t="n">
        <f aca="false">A4947/SUM($A4947:$C4947)</f>
        <v>0.269513463269523</v>
      </c>
      <c r="E4947" s="0" t="n">
        <f aca="false">B4947/SUM($A4947:$C4947)</f>
        <v>0.25905410697128</v>
      </c>
      <c r="F4947" s="0" t="n">
        <f aca="false">C4947/SUM($A4947:$C4947)</f>
        <v>0.471432429759196</v>
      </c>
      <c r="G4947" s="0" t="n">
        <f aca="false">SUMPRODUCT(D4947:F4947,Stats!$B$6:$D$6)</f>
        <v>0.358389774556121</v>
      </c>
      <c r="H4947" s="0" t="n">
        <f aca="false">SQRT(SUMPRODUCT(MMULT(D4947:F4947,Stats!$B$12:$D$14),D4947:F4947))</f>
        <v>0.228866406436856</v>
      </c>
      <c r="I4947" s="0" t="n">
        <f aca="false">(G4947-Stats!$B$2)/H4947</f>
        <v>1.38242121018059</v>
      </c>
    </row>
    <row r="4948" customFormat="false" ht="15" hidden="false" customHeight="false" outlineLevel="0" collapsed="false">
      <c r="A4948" s="0" t="n">
        <v>0.174836915466211</v>
      </c>
      <c r="B4948" s="0" t="n">
        <v>0.338585971941574</v>
      </c>
      <c r="C4948" s="0" t="n">
        <v>0.224172276746902</v>
      </c>
      <c r="D4948" s="0" t="n">
        <f aca="false">A4948/SUM($A4948:$C4948)</f>
        <v>0.237036417757133</v>
      </c>
      <c r="E4948" s="0" t="n">
        <f aca="false">B4948/SUM($A4948:$C4948)</f>
        <v>0.459040390170679</v>
      </c>
      <c r="F4948" s="0" t="n">
        <f aca="false">C4948/SUM($A4948:$C4948)</f>
        <v>0.303923192072188</v>
      </c>
      <c r="G4948" s="0" t="n">
        <f aca="false">SUMPRODUCT(D4948:F4948,Stats!$B$6:$D$6)</f>
        <v>0.374515729256012</v>
      </c>
      <c r="H4948" s="0" t="n">
        <f aca="false">SQRT(SUMPRODUCT(MMULT(D4948:F4948,Stats!$B$12:$D$14),D4948:F4948))</f>
        <v>0.230502643496642</v>
      </c>
      <c r="I4948" s="0" t="n">
        <f aca="false">(G4948-Stats!$B$2)/H4948</f>
        <v>1.44256796456591</v>
      </c>
    </row>
    <row r="4949" customFormat="false" ht="15" hidden="false" customHeight="false" outlineLevel="0" collapsed="false">
      <c r="A4949" s="0" t="n">
        <v>0.359109942967597</v>
      </c>
      <c r="B4949" s="0" t="n">
        <v>0.230374822366024</v>
      </c>
      <c r="C4949" s="0" t="n">
        <v>0.579405631086655</v>
      </c>
      <c r="D4949" s="0" t="n">
        <f aca="false">A4949/SUM($A4949:$C4949)</f>
        <v>0.30722293900897</v>
      </c>
      <c r="E4949" s="0" t="n">
        <f aca="false">B4949/SUM($A4949:$C4949)</f>
        <v>0.197088472171169</v>
      </c>
      <c r="F4949" s="0" t="n">
        <f aca="false">C4949/SUM($A4949:$C4949)</f>
        <v>0.495688588819861</v>
      </c>
      <c r="G4949" s="0" t="n">
        <f aca="false">SUMPRODUCT(D4949:F4949,Stats!$B$6:$D$6)</f>
        <v>0.354155497873585</v>
      </c>
      <c r="H4949" s="0" t="n">
        <f aca="false">SQRT(SUMPRODUCT(MMULT(D4949:F4949,Stats!$B$12:$D$14),D4949:F4949))</f>
        <v>0.227766729945174</v>
      </c>
      <c r="I4949" s="0" t="n">
        <f aca="false">(G4949-Stats!$B$2)/H4949</f>
        <v>1.37050524432925</v>
      </c>
    </row>
    <row r="4950" customFormat="false" ht="15" hidden="false" customHeight="false" outlineLevel="0" collapsed="false">
      <c r="A4950" s="0" t="n">
        <v>0.798170802617845</v>
      </c>
      <c r="B4950" s="0" t="n">
        <v>0.786613061217902</v>
      </c>
      <c r="C4950" s="0" t="n">
        <v>0.364500964548792</v>
      </c>
      <c r="D4950" s="0" t="n">
        <f aca="false">A4950/SUM($A4950:$C4950)</f>
        <v>0.409468534816087</v>
      </c>
      <c r="E4950" s="0" t="n">
        <f aca="false">B4950/SUM($A4950:$C4950)</f>
        <v>0.403539313374641</v>
      </c>
      <c r="F4950" s="0" t="n">
        <f aca="false">C4950/SUM($A4950:$C4950)</f>
        <v>0.186992151809272</v>
      </c>
      <c r="G4950" s="0" t="n">
        <f aca="false">SUMPRODUCT(D4950:F4950,Stats!$B$6:$D$6)</f>
        <v>0.374546597592013</v>
      </c>
      <c r="H4950" s="0" t="n">
        <f aca="false">SQRT(SUMPRODUCT(MMULT(D4950:F4950,Stats!$B$12:$D$14),D4950:F4950))</f>
        <v>0.225955526878314</v>
      </c>
      <c r="I4950" s="0" t="n">
        <f aca="false">(G4950-Stats!$B$2)/H4950</f>
        <v>1.47173473553095</v>
      </c>
    </row>
    <row r="4951" customFormat="false" ht="15" hidden="false" customHeight="false" outlineLevel="0" collapsed="false">
      <c r="A4951" s="0" t="n">
        <v>0.988760405894262</v>
      </c>
      <c r="B4951" s="0" t="n">
        <v>0.593854364705801</v>
      </c>
      <c r="C4951" s="0" t="n">
        <v>0.399400301778295</v>
      </c>
      <c r="D4951" s="0" t="n">
        <f aca="false">A4951/SUM($A4951:$C4951)</f>
        <v>0.49886623955275</v>
      </c>
      <c r="E4951" s="0" t="n">
        <f aca="false">B4951/SUM($A4951:$C4951)</f>
        <v>0.299621518010554</v>
      </c>
      <c r="F4951" s="0" t="n">
        <f aca="false">C4951/SUM($A4951:$C4951)</f>
        <v>0.201512242436697</v>
      </c>
      <c r="G4951" s="0" t="n">
        <f aca="false">SUMPRODUCT(D4951:F4951,Stats!$B$6:$D$6)</f>
        <v>0.368166916230603</v>
      </c>
      <c r="H4951" s="0" t="n">
        <f aca="false">SQRT(SUMPRODUCT(MMULT(D4951:F4951,Stats!$B$12:$D$14),D4951:F4951))</f>
        <v>0.223536892452222</v>
      </c>
      <c r="I4951" s="0" t="n">
        <f aca="false">(G4951-Stats!$B$2)/H4951</f>
        <v>1.45911895192118</v>
      </c>
    </row>
    <row r="4952" customFormat="false" ht="15" hidden="false" customHeight="false" outlineLevel="0" collapsed="false">
      <c r="A4952" s="0" t="n">
        <v>0.835539279241426</v>
      </c>
      <c r="B4952" s="0" t="n">
        <v>0.729874012642641</v>
      </c>
      <c r="C4952" s="0" t="n">
        <v>0.749275336824104</v>
      </c>
      <c r="D4952" s="0" t="n">
        <f aca="false">A4952/SUM($A4952:$C4952)</f>
        <v>0.360972646116873</v>
      </c>
      <c r="E4952" s="0" t="n">
        <f aca="false">B4952/SUM($A4952:$C4952)</f>
        <v>0.315322762461569</v>
      </c>
      <c r="F4952" s="0" t="n">
        <f aca="false">C4952/SUM($A4952:$C4952)</f>
        <v>0.323704591421558</v>
      </c>
      <c r="G4952" s="0" t="n">
        <f aca="false">SUMPRODUCT(D4952:F4952,Stats!$B$6:$D$6)</f>
        <v>0.365700938488982</v>
      </c>
      <c r="H4952" s="0" t="n">
        <f aca="false">SQRT(SUMPRODUCT(MMULT(D4952:F4952,Stats!$B$12:$D$14),D4952:F4952))</f>
        <v>0.225451783836606</v>
      </c>
      <c r="I4952" s="0" t="n">
        <f aca="false">(G4952-Stats!$B$2)/H4952</f>
        <v>1.43578787881129</v>
      </c>
    </row>
    <row r="4953" customFormat="false" ht="15" hidden="false" customHeight="false" outlineLevel="0" collapsed="false">
      <c r="A4953" s="0" t="n">
        <v>0.196139349733872</v>
      </c>
      <c r="B4953" s="0" t="n">
        <v>0.468324307368555</v>
      </c>
      <c r="C4953" s="0" t="n">
        <v>0.861828130824603</v>
      </c>
      <c r="D4953" s="0" t="n">
        <f aca="false">A4953/SUM($A4953:$C4953)</f>
        <v>0.128507111998724</v>
      </c>
      <c r="E4953" s="0" t="n">
        <f aca="false">B4953/SUM($A4953:$C4953)</f>
        <v>0.306837991970475</v>
      </c>
      <c r="F4953" s="0" t="n">
        <f aca="false">C4953/SUM($A4953:$C4953)</f>
        <v>0.564654896030801</v>
      </c>
      <c r="G4953" s="0" t="n">
        <f aca="false">SUMPRODUCT(D4953:F4953,Stats!$B$6:$D$6)</f>
        <v>0.358568623801308</v>
      </c>
      <c r="H4953" s="0" t="n">
        <f aca="false">SQRT(SUMPRODUCT(MMULT(D4953:F4953,Stats!$B$12:$D$14),D4953:F4953))</f>
        <v>0.236456487216704</v>
      </c>
      <c r="I4953" s="0" t="n">
        <f aca="false">(G4953-Stats!$B$2)/H4953</f>
        <v>1.33880287036145</v>
      </c>
    </row>
    <row r="4954" customFormat="false" ht="15" hidden="false" customHeight="false" outlineLevel="0" collapsed="false">
      <c r="A4954" s="0" t="n">
        <v>0.504038007628757</v>
      </c>
      <c r="B4954" s="0" t="n">
        <v>0.68345274342105</v>
      </c>
      <c r="C4954" s="0" t="n">
        <v>0.587933733034265</v>
      </c>
      <c r="D4954" s="0" t="n">
        <f aca="false">A4954/SUM($A4954:$C4954)</f>
        <v>0.283897181855519</v>
      </c>
      <c r="E4954" s="0" t="n">
        <f aca="false">B4954/SUM($A4954:$C4954)</f>
        <v>0.384951739456065</v>
      </c>
      <c r="F4954" s="0" t="n">
        <f aca="false">C4954/SUM($A4954:$C4954)</f>
        <v>0.331151078688416</v>
      </c>
      <c r="G4954" s="0" t="n">
        <f aca="false">SUMPRODUCT(D4954:F4954,Stats!$B$6:$D$6)</f>
        <v>0.36950196568391</v>
      </c>
      <c r="H4954" s="0" t="n">
        <f aca="false">SQRT(SUMPRODUCT(MMULT(D4954:F4954,Stats!$B$12:$D$14),D4954:F4954))</f>
        <v>0.228192870514666</v>
      </c>
      <c r="I4954" s="0" t="n">
        <f aca="false">(G4954-Stats!$B$2)/H4954</f>
        <v>1.43519806269698</v>
      </c>
    </row>
    <row r="4955" customFormat="false" ht="15" hidden="false" customHeight="false" outlineLevel="0" collapsed="false">
      <c r="A4955" s="0" t="n">
        <v>0.842356787718382</v>
      </c>
      <c r="B4955" s="0" t="n">
        <v>0.284560839761603</v>
      </c>
      <c r="C4955" s="0" t="n">
        <v>0.575475277886365</v>
      </c>
      <c r="D4955" s="0" t="n">
        <f aca="false">A4955/SUM($A4955:$C4955)</f>
        <v>0.494807505989406</v>
      </c>
      <c r="E4955" s="0" t="n">
        <f aca="false">B4955/SUM($A4955:$C4955)</f>
        <v>0.167153445520478</v>
      </c>
      <c r="F4955" s="0" t="n">
        <f aca="false">C4955/SUM($A4955:$C4955)</f>
        <v>0.338039048490116</v>
      </c>
      <c r="G4955" s="0" t="n">
        <f aca="false">SUMPRODUCT(D4955:F4955,Stats!$B$6:$D$6)</f>
        <v>0.356780200623643</v>
      </c>
      <c r="H4955" s="0" t="n">
        <f aca="false">SQRT(SUMPRODUCT(MMULT(D4955:F4955,Stats!$B$12:$D$14),D4955:F4955))</f>
        <v>0.222230609619993</v>
      </c>
      <c r="I4955" s="0" t="n">
        <f aca="false">(G4955-Stats!$B$2)/H4955</f>
        <v>1.41645744104247</v>
      </c>
    </row>
    <row r="4956" customFormat="false" ht="15" hidden="false" customHeight="false" outlineLevel="0" collapsed="false">
      <c r="A4956" s="0" t="n">
        <v>0.123234668009804</v>
      </c>
      <c r="B4956" s="0" t="n">
        <v>0.690210776699468</v>
      </c>
      <c r="C4956" s="0" t="n">
        <v>0.731967838352712</v>
      </c>
      <c r="D4956" s="0" t="n">
        <f aca="false">A4956/SUM($A4956:$C4956)</f>
        <v>0.0797422083532469</v>
      </c>
      <c r="E4956" s="0" t="n">
        <f aca="false">B4956/SUM($A4956:$C4956)</f>
        <v>0.446618897523598</v>
      </c>
      <c r="F4956" s="0" t="n">
        <f aca="false">C4956/SUM($A4956:$C4956)</f>
        <v>0.473638894123155</v>
      </c>
      <c r="G4956" s="0" t="n">
        <f aca="false">SUMPRODUCT(D4956:F4956,Stats!$B$6:$D$6)</f>
        <v>0.369121167437958</v>
      </c>
      <c r="H4956" s="0" t="n">
        <f aca="false">SQRT(SUMPRODUCT(MMULT(D4956:F4956,Stats!$B$12:$D$14),D4956:F4956))</f>
        <v>0.238217316011741</v>
      </c>
      <c r="I4956" s="0" t="n">
        <f aca="false">(G4956-Stats!$B$2)/H4956</f>
        <v>1.37320482370742</v>
      </c>
    </row>
    <row r="4957" customFormat="false" ht="15" hidden="false" customHeight="false" outlineLevel="0" collapsed="false">
      <c r="A4957" s="0" t="n">
        <v>0.0428373211889984</v>
      </c>
      <c r="B4957" s="0" t="n">
        <v>0.675790963627985</v>
      </c>
      <c r="C4957" s="0" t="n">
        <v>0.414690154165786</v>
      </c>
      <c r="D4957" s="0" t="n">
        <f aca="false">A4957/SUM($A4957:$C4957)</f>
        <v>0.037798133089097</v>
      </c>
      <c r="E4957" s="0" t="n">
        <f aca="false">B4957/SUM($A4957:$C4957)</f>
        <v>0.596293980917273</v>
      </c>
      <c r="F4957" s="0" t="n">
        <f aca="false">C4957/SUM($A4957:$C4957)</f>
        <v>0.36590788599363</v>
      </c>
      <c r="G4957" s="0" t="n">
        <f aca="false">SUMPRODUCT(D4957:F4957,Stats!$B$6:$D$6)</f>
        <v>0.380703919129407</v>
      </c>
      <c r="H4957" s="0" t="n">
        <f aca="false">SQRT(SUMPRODUCT(MMULT(D4957:F4957,Stats!$B$12:$D$14),D4957:F4957))</f>
        <v>0.241090839133749</v>
      </c>
      <c r="I4957" s="0" t="n">
        <f aca="false">(G4957-Stats!$B$2)/H4957</f>
        <v>1.40488091686265</v>
      </c>
    </row>
    <row r="4958" customFormat="false" ht="15" hidden="false" customHeight="false" outlineLevel="0" collapsed="false">
      <c r="A4958" s="0" t="n">
        <v>0.124096876109682</v>
      </c>
      <c r="B4958" s="0" t="n">
        <v>0.419907547698468</v>
      </c>
      <c r="C4958" s="0" t="n">
        <v>0.194232929695582</v>
      </c>
      <c r="D4958" s="0" t="n">
        <f aca="false">A4958/SUM($A4958:$C4958)</f>
        <v>0.168098885163029</v>
      </c>
      <c r="E4958" s="0" t="n">
        <f aca="false">B4958/SUM($A4958:$C4958)</f>
        <v>0.568797481874297</v>
      </c>
      <c r="F4958" s="0" t="n">
        <f aca="false">C4958/SUM($A4958:$C4958)</f>
        <v>0.263103632962674</v>
      </c>
      <c r="G4958" s="0" t="n">
        <f aca="false">SUMPRODUCT(D4958:F4958,Stats!$B$6:$D$6)</f>
        <v>0.381956593899231</v>
      </c>
      <c r="H4958" s="0" t="n">
        <f aca="false">SQRT(SUMPRODUCT(MMULT(D4958:F4958,Stats!$B$12:$D$14),D4958:F4958))</f>
        <v>0.234616838345471</v>
      </c>
      <c r="I4958" s="0" t="n">
        <f aca="false">(G4958-Stats!$B$2)/H4958</f>
        <v>1.44898634001132</v>
      </c>
    </row>
    <row r="4959" customFormat="false" ht="15" hidden="false" customHeight="false" outlineLevel="0" collapsed="false">
      <c r="A4959" s="0" t="n">
        <v>0.415559532123317</v>
      </c>
      <c r="B4959" s="0" t="n">
        <v>0.384339027958528</v>
      </c>
      <c r="C4959" s="0" t="n">
        <v>0.738391636936058</v>
      </c>
      <c r="D4959" s="0" t="n">
        <f aca="false">A4959/SUM($A4959:$C4959)</f>
        <v>0.270143782316829</v>
      </c>
      <c r="E4959" s="0" t="n">
        <f aca="false">B4959/SUM($A4959:$C4959)</f>
        <v>0.249848194250733</v>
      </c>
      <c r="F4959" s="0" t="n">
        <f aca="false">C4959/SUM($A4959:$C4959)</f>
        <v>0.480008023432437</v>
      </c>
      <c r="G4959" s="0" t="n">
        <f aca="false">SUMPRODUCT(D4959:F4959,Stats!$B$6:$D$6)</f>
        <v>0.357623609555967</v>
      </c>
      <c r="H4959" s="0" t="n">
        <f aca="false">SQRT(SUMPRODUCT(MMULT(D4959:F4959,Stats!$B$12:$D$14),D4959:F4959))</f>
        <v>0.228924459811932</v>
      </c>
      <c r="I4959" s="0" t="n">
        <f aca="false">(G4959-Stats!$B$2)/H4959</f>
        <v>1.37872383674187</v>
      </c>
    </row>
    <row r="4960" customFormat="false" ht="15" hidden="false" customHeight="false" outlineLevel="0" collapsed="false">
      <c r="A4960" s="0" t="n">
        <v>0.774215558166359</v>
      </c>
      <c r="B4960" s="0" t="n">
        <v>0.607028654384547</v>
      </c>
      <c r="C4960" s="0" t="n">
        <v>0.0226868421824475</v>
      </c>
      <c r="D4960" s="0" t="n">
        <f aca="false">A4960/SUM($A4960:$C4960)</f>
        <v>0.551462663038966</v>
      </c>
      <c r="E4960" s="0" t="n">
        <f aca="false">B4960/SUM($A4960:$C4960)</f>
        <v>0.432377823923725</v>
      </c>
      <c r="F4960" s="0" t="n">
        <f aca="false">C4960/SUM($A4960:$C4960)</f>
        <v>0.0161595130373097</v>
      </c>
      <c r="G4960" s="0" t="n">
        <f aca="false">SUMPRODUCT(D4960:F4960,Stats!$B$6:$D$6)</f>
        <v>0.380916572472503</v>
      </c>
      <c r="H4960" s="0" t="n">
        <f aca="false">SQRT(SUMPRODUCT(MMULT(D4960:F4960,Stats!$B$12:$D$14),D4960:F4960))</f>
        <v>0.228024468942887</v>
      </c>
      <c r="I4960" s="0" t="n">
        <f aca="false">(G4960-Stats!$B$2)/H4960</f>
        <v>1.48631668365991</v>
      </c>
    </row>
    <row r="4961" customFormat="false" ht="15" hidden="false" customHeight="false" outlineLevel="0" collapsed="false">
      <c r="A4961" s="0" t="n">
        <v>0.931022279070994</v>
      </c>
      <c r="B4961" s="0" t="n">
        <v>0.686233280096448</v>
      </c>
      <c r="C4961" s="0" t="n">
        <v>0.0341954499211888</v>
      </c>
      <c r="D4961" s="0" t="n">
        <f aca="false">A4961/SUM($A4961:$C4961)</f>
        <v>0.563760156339598</v>
      </c>
      <c r="E4961" s="0" t="n">
        <f aca="false">B4961/SUM($A4961:$C4961)</f>
        <v>0.415533537670701</v>
      </c>
      <c r="F4961" s="0" t="n">
        <f aca="false">C4961/SUM($A4961:$C4961)</f>
        <v>0.0207063059897005</v>
      </c>
      <c r="G4961" s="0" t="n">
        <f aca="false">SUMPRODUCT(D4961:F4961,Stats!$B$6:$D$6)</f>
        <v>0.379821997975763</v>
      </c>
      <c r="H4961" s="0" t="n">
        <f aca="false">SQRT(SUMPRODUCT(MMULT(D4961:F4961,Stats!$B$12:$D$14),D4961:F4961))</f>
        <v>0.227659659797206</v>
      </c>
      <c r="I4961" s="0" t="n">
        <f aca="false">(G4961-Stats!$B$2)/H4961</f>
        <v>1.48389046296866</v>
      </c>
    </row>
    <row r="4962" customFormat="false" ht="15" hidden="false" customHeight="false" outlineLevel="0" collapsed="false">
      <c r="A4962" s="0" t="n">
        <v>0.818832899214118</v>
      </c>
      <c r="B4962" s="0" t="n">
        <v>0.200266154717996</v>
      </c>
      <c r="C4962" s="0" t="n">
        <v>0.579221189571107</v>
      </c>
      <c r="D4962" s="0" t="n">
        <f aca="false">A4962/SUM($A4962:$C4962)</f>
        <v>0.512308407869119</v>
      </c>
      <c r="E4962" s="0" t="n">
        <f aca="false">B4962/SUM($A4962:$C4962)</f>
        <v>0.125297890414658</v>
      </c>
      <c r="F4962" s="0" t="n">
        <f aca="false">C4962/SUM($A4962:$C4962)</f>
        <v>0.362393701716223</v>
      </c>
      <c r="G4962" s="0" t="n">
        <f aca="false">SUMPRODUCT(D4962:F4962,Stats!$B$6:$D$6)</f>
        <v>0.353700315960021</v>
      </c>
      <c r="H4962" s="0" t="n">
        <f aca="false">SQRT(SUMPRODUCT(MMULT(D4962:F4962,Stats!$B$12:$D$14),D4962:F4962))</f>
        <v>0.221991180131199</v>
      </c>
      <c r="I4962" s="0" t="n">
        <f aca="false">(G4962-Stats!$B$2)/H4962</f>
        <v>1.40411126142851</v>
      </c>
    </row>
    <row r="4963" customFormat="false" ht="15" hidden="false" customHeight="false" outlineLevel="0" collapsed="false">
      <c r="A4963" s="0" t="n">
        <v>0.466634369950187</v>
      </c>
      <c r="B4963" s="0" t="n">
        <v>0.419838782355077</v>
      </c>
      <c r="C4963" s="0" t="n">
        <v>0.889713720124398</v>
      </c>
      <c r="D4963" s="0" t="n">
        <f aca="false">A4963/SUM($A4963:$C4963)</f>
        <v>0.262716934345919</v>
      </c>
      <c r="E4963" s="0" t="n">
        <f aca="false">B4963/SUM($A4963:$C4963)</f>
        <v>0.23637083961823</v>
      </c>
      <c r="F4963" s="0" t="n">
        <f aca="false">C4963/SUM($A4963:$C4963)</f>
        <v>0.500912226035851</v>
      </c>
      <c r="G4963" s="0" t="n">
        <f aca="false">SUMPRODUCT(D4963:F4963,Stats!$B$6:$D$6)</f>
        <v>0.356271714667202</v>
      </c>
      <c r="H4963" s="0" t="n">
        <f aca="false">SQRT(SUMPRODUCT(MMULT(D4963:F4963,Stats!$B$12:$D$14),D4963:F4963))</f>
        <v>0.229447427374327</v>
      </c>
      <c r="I4963" s="0" t="n">
        <f aca="false">(G4963-Stats!$B$2)/H4963</f>
        <v>1.36968942412455</v>
      </c>
    </row>
    <row r="4964" customFormat="false" ht="15" hidden="false" customHeight="false" outlineLevel="0" collapsed="false">
      <c r="A4964" s="0" t="n">
        <v>0.437361291562615</v>
      </c>
      <c r="B4964" s="0" t="n">
        <v>0.0753441175731507</v>
      </c>
      <c r="C4964" s="0" t="n">
        <v>0.946638727214953</v>
      </c>
      <c r="D4964" s="0" t="n">
        <f aca="false">A4964/SUM($A4964:$C4964)</f>
        <v>0.299697158928047</v>
      </c>
      <c r="E4964" s="0" t="n">
        <f aca="false">B4964/SUM($A4964:$C4964)</f>
        <v>0.0516287527365263</v>
      </c>
      <c r="F4964" s="0" t="n">
        <f aca="false">C4964/SUM($A4964:$C4964)</f>
        <v>0.648674088335427</v>
      </c>
      <c r="G4964" s="0" t="n">
        <f aca="false">SUMPRODUCT(D4964:F4964,Stats!$B$6:$D$6)</f>
        <v>0.341567417574322</v>
      </c>
      <c r="H4964" s="0" t="n">
        <f aca="false">SQRT(SUMPRODUCT(MMULT(D4964:F4964,Stats!$B$12:$D$14),D4964:F4964))</f>
        <v>0.231389092897062</v>
      </c>
      <c r="I4964" s="0" t="n">
        <f aca="false">(G4964-Stats!$B$2)/H4964</f>
        <v>1.29464796211285</v>
      </c>
    </row>
    <row r="4965" customFormat="false" ht="15" hidden="false" customHeight="false" outlineLevel="0" collapsed="false">
      <c r="A4965" s="0" t="n">
        <v>0.920535231239628</v>
      </c>
      <c r="B4965" s="0" t="n">
        <v>0.684432689581599</v>
      </c>
      <c r="C4965" s="0" t="n">
        <v>0.467892528132025</v>
      </c>
      <c r="D4965" s="0" t="n">
        <f aca="false">A4965/SUM($A4965:$C4965)</f>
        <v>0.444089341231089</v>
      </c>
      <c r="E4965" s="0" t="n">
        <f aca="false">B4965/SUM($A4965:$C4965)</f>
        <v>0.330187538638803</v>
      </c>
      <c r="F4965" s="0" t="n">
        <f aca="false">C4965/SUM($A4965:$C4965)</f>
        <v>0.225723120130108</v>
      </c>
      <c r="G4965" s="0" t="n">
        <f aca="false">SUMPRODUCT(D4965:F4965,Stats!$B$6:$D$6)</f>
        <v>0.369258039856324</v>
      </c>
      <c r="H4965" s="0" t="n">
        <f aca="false">SQRT(SUMPRODUCT(MMULT(D4965:F4965,Stats!$B$12:$D$14),D4965:F4965))</f>
        <v>0.224271085333558</v>
      </c>
      <c r="I4965" s="0" t="n">
        <f aca="false">(G4965-Stats!$B$2)/H4965</f>
        <v>1.45920745587686</v>
      </c>
    </row>
    <row r="4966" customFormat="false" ht="15" hidden="false" customHeight="false" outlineLevel="0" collapsed="false">
      <c r="A4966" s="0" t="n">
        <v>0.0928594729435213</v>
      </c>
      <c r="B4966" s="0" t="n">
        <v>0.790748118577476</v>
      </c>
      <c r="C4966" s="0" t="n">
        <v>0.075477914424029</v>
      </c>
      <c r="D4966" s="0" t="n">
        <f aca="false">A4966/SUM($A4966:$C4966)</f>
        <v>0.0968208489940873</v>
      </c>
      <c r="E4966" s="0" t="n">
        <f aca="false">B4966/SUM($A4966:$C4966)</f>
        <v>0.824481356120922</v>
      </c>
      <c r="F4966" s="0" t="n">
        <f aca="false">C4966/SUM($A4966:$C4966)</f>
        <v>0.0786977948849904</v>
      </c>
      <c r="G4966" s="0" t="n">
        <f aca="false">SUMPRODUCT(D4966:F4966,Stats!$B$6:$D$6)</f>
        <v>0.401753233156996</v>
      </c>
      <c r="H4966" s="0" t="n">
        <f aca="false">SQRT(SUMPRODUCT(MMULT(D4966:F4966,Stats!$B$12:$D$14),D4966:F4966))</f>
        <v>0.244330596278392</v>
      </c>
      <c r="I4966" s="0" t="n">
        <f aca="false">(G4966-Stats!$B$2)/H4966</f>
        <v>1.47240353290462</v>
      </c>
    </row>
    <row r="4967" customFormat="false" ht="15" hidden="false" customHeight="false" outlineLevel="0" collapsed="false">
      <c r="A4967" s="0" t="n">
        <v>0.0686009848951457</v>
      </c>
      <c r="B4967" s="0" t="n">
        <v>0.537383842439368</v>
      </c>
      <c r="C4967" s="0" t="n">
        <v>0.16012824018464</v>
      </c>
      <c r="D4967" s="0" t="n">
        <f aca="false">A4967/SUM($A4967:$C4967)</f>
        <v>0.0895442041176651</v>
      </c>
      <c r="E4967" s="0" t="n">
        <f aca="false">B4967/SUM($A4967:$C4967)</f>
        <v>0.701441947961464</v>
      </c>
      <c r="F4967" s="0" t="n">
        <f aca="false">C4967/SUM($A4967:$C4967)</f>
        <v>0.209013847920871</v>
      </c>
      <c r="G4967" s="0" t="n">
        <f aca="false">SUMPRODUCT(D4967:F4967,Stats!$B$6:$D$6)</f>
        <v>0.391080289818016</v>
      </c>
      <c r="H4967" s="0" t="n">
        <f aca="false">SQRT(SUMPRODUCT(MMULT(D4967:F4967,Stats!$B$12:$D$14),D4967:F4967))</f>
        <v>0.240478632554232</v>
      </c>
      <c r="I4967" s="0" t="n">
        <f aca="false">(G4967-Stats!$B$2)/H4967</f>
        <v>1.4516062658469</v>
      </c>
    </row>
    <row r="4968" customFormat="false" ht="15" hidden="false" customHeight="false" outlineLevel="0" collapsed="false">
      <c r="A4968" s="0" t="n">
        <v>0.00773026734034898</v>
      </c>
      <c r="B4968" s="0" t="n">
        <v>0.423113430995786</v>
      </c>
      <c r="C4968" s="0" t="n">
        <v>0.137217231610066</v>
      </c>
      <c r="D4968" s="0" t="n">
        <f aca="false">A4968/SUM($A4968:$C4968)</f>
        <v>0.0136081658372124</v>
      </c>
      <c r="E4968" s="0" t="n">
        <f aca="false">B4968/SUM($A4968:$C4968)</f>
        <v>0.744838112763463</v>
      </c>
      <c r="F4968" s="0" t="n">
        <f aca="false">C4968/SUM($A4968:$C4968)</f>
        <v>0.241553721399325</v>
      </c>
      <c r="G4968" s="0" t="n">
        <f aca="false">SUMPRODUCT(D4968:F4968,Stats!$B$6:$D$6)</f>
        <v>0.392679974478491</v>
      </c>
      <c r="H4968" s="0" t="n">
        <f aca="false">SQRT(SUMPRODUCT(MMULT(D4968:F4968,Stats!$B$12:$D$14),D4968:F4968))</f>
        <v>0.244773179913341</v>
      </c>
      <c r="I4968" s="0" t="n">
        <f aca="false">(G4968-Stats!$B$2)/H4968</f>
        <v>1.432673198112</v>
      </c>
    </row>
    <row r="4969" customFormat="false" ht="15" hidden="false" customHeight="false" outlineLevel="0" collapsed="false">
      <c r="A4969" s="0" t="n">
        <v>0.160515415280691</v>
      </c>
      <c r="B4969" s="0" t="n">
        <v>0.0769106387353347</v>
      </c>
      <c r="C4969" s="0" t="n">
        <v>0.20509375372361</v>
      </c>
      <c r="D4969" s="0" t="n">
        <f aca="false">A4969/SUM($A4969:$C4969)</f>
        <v>0.362730464203612</v>
      </c>
      <c r="E4969" s="0" t="n">
        <f aca="false">B4969/SUM($A4969:$C4969)</f>
        <v>0.17380157315034</v>
      </c>
      <c r="F4969" s="0" t="n">
        <f aca="false">C4969/SUM($A4969:$C4969)</f>
        <v>0.463467962646048</v>
      </c>
      <c r="G4969" s="0" t="n">
        <f aca="false">SUMPRODUCT(D4969:F4969,Stats!$B$6:$D$6)</f>
        <v>0.353704071217609</v>
      </c>
      <c r="H4969" s="0" t="n">
        <f aca="false">SQRT(SUMPRODUCT(MMULT(D4969:F4969,Stats!$B$12:$D$14),D4969:F4969))</f>
        <v>0.225669180592996</v>
      </c>
      <c r="I4969" s="0" t="n">
        <f aca="false">(G4969-Stats!$B$2)/H4969</f>
        <v>1.381243421891</v>
      </c>
    </row>
    <row r="4970" customFormat="false" ht="15" hidden="false" customHeight="false" outlineLevel="0" collapsed="false">
      <c r="A4970" s="0" t="n">
        <v>0.715484179774389</v>
      </c>
      <c r="B4970" s="0" t="n">
        <v>0.808927307217791</v>
      </c>
      <c r="C4970" s="0" t="n">
        <v>0.452533644029301</v>
      </c>
      <c r="D4970" s="0" t="n">
        <f aca="false">A4970/SUM($A4970:$C4970)</f>
        <v>0.361914030160615</v>
      </c>
      <c r="E4970" s="0" t="n">
        <f aca="false">B4970/SUM($A4970:$C4970)</f>
        <v>0.409180454492342</v>
      </c>
      <c r="F4970" s="0" t="n">
        <f aca="false">C4970/SUM($A4970:$C4970)</f>
        <v>0.228905515347043</v>
      </c>
      <c r="G4970" s="0" t="n">
        <f aca="false">SUMPRODUCT(D4970:F4970,Stats!$B$6:$D$6)</f>
        <v>0.373715436671913</v>
      </c>
      <c r="H4970" s="0" t="n">
        <f aca="false">SQRT(SUMPRODUCT(MMULT(D4970:F4970,Stats!$B$12:$D$14),D4970:F4970))</f>
        <v>0.226607610626069</v>
      </c>
      <c r="I4970" s="0" t="n">
        <f aca="false">(G4970-Stats!$B$2)/H4970</f>
        <v>1.46383184463864</v>
      </c>
    </row>
    <row r="4971" customFormat="false" ht="15" hidden="false" customHeight="false" outlineLevel="0" collapsed="false">
      <c r="A4971" s="0" t="n">
        <v>0.506553815881418</v>
      </c>
      <c r="B4971" s="0" t="n">
        <v>0.0326550345942026</v>
      </c>
      <c r="C4971" s="0" t="n">
        <v>0.0693162613713169</v>
      </c>
      <c r="D4971" s="0" t="n">
        <f aca="false">A4971/SUM($A4971:$C4971)</f>
        <v>0.832428779058886</v>
      </c>
      <c r="E4971" s="0" t="n">
        <f aca="false">B4971/SUM($A4971:$C4971)</f>
        <v>0.0536625916637872</v>
      </c>
      <c r="F4971" s="0" t="n">
        <f aca="false">C4971/SUM($A4971:$C4971)</f>
        <v>0.113908629277327</v>
      </c>
      <c r="G4971" s="0" t="n">
        <f aca="false">SUMPRODUCT(D4971:F4971,Stats!$B$6:$D$6)</f>
        <v>0.356430393885768</v>
      </c>
      <c r="H4971" s="0" t="n">
        <f aca="false">SQRT(SUMPRODUCT(MMULT(D4971:F4971,Stats!$B$12:$D$14),D4971:F4971))</f>
        <v>0.225710457273805</v>
      </c>
      <c r="I4971" s="0" t="n">
        <f aca="false">(G4971-Stats!$B$2)/H4971</f>
        <v>1.39306967733595</v>
      </c>
    </row>
    <row r="4972" customFormat="false" ht="15" hidden="false" customHeight="false" outlineLevel="0" collapsed="false">
      <c r="A4972" s="0" t="n">
        <v>0.257567725649517</v>
      </c>
      <c r="B4972" s="0" t="n">
        <v>0.543898420713148</v>
      </c>
      <c r="C4972" s="0" t="n">
        <v>0.739551148734993</v>
      </c>
      <c r="D4972" s="0" t="n">
        <f aca="false">A4972/SUM($A4972:$C4972)</f>
        <v>0.167141359457094</v>
      </c>
      <c r="E4972" s="0" t="n">
        <f aca="false">B4972/SUM($A4972:$C4972)</f>
        <v>0.35294764208255</v>
      </c>
      <c r="F4972" s="0" t="n">
        <f aca="false">C4972/SUM($A4972:$C4972)</f>
        <v>0.479910998460355</v>
      </c>
      <c r="G4972" s="0" t="n">
        <f aca="false">SUMPRODUCT(D4972:F4972,Stats!$B$6:$D$6)</f>
        <v>0.363558493771493</v>
      </c>
      <c r="H4972" s="0" t="n">
        <f aca="false">SQRT(SUMPRODUCT(MMULT(D4972:F4972,Stats!$B$12:$D$14),D4972:F4972))</f>
        <v>0.233481056852997</v>
      </c>
      <c r="I4972" s="0" t="n">
        <f aca="false">(G4972-Stats!$B$2)/H4972</f>
        <v>1.37723590130034</v>
      </c>
    </row>
    <row r="4973" customFormat="false" ht="15" hidden="false" customHeight="false" outlineLevel="0" collapsed="false">
      <c r="A4973" s="0" t="n">
        <v>0.605003061338033</v>
      </c>
      <c r="B4973" s="0" t="n">
        <v>0.392127854986788</v>
      </c>
      <c r="C4973" s="0" t="n">
        <v>0.118324073003138</v>
      </c>
      <c r="D4973" s="0" t="n">
        <f aca="false">A4973/SUM($A4973:$C4973)</f>
        <v>0.542382316746403</v>
      </c>
      <c r="E4973" s="0" t="n">
        <f aca="false">B4973/SUM($A4973:$C4973)</f>
        <v>0.351540724402549</v>
      </c>
      <c r="F4973" s="0" t="n">
        <f aca="false">C4973/SUM($A4973:$C4973)</f>
        <v>0.106076958851048</v>
      </c>
      <c r="G4973" s="0" t="n">
        <f aca="false">SUMPRODUCT(D4973:F4973,Stats!$B$6:$D$6)</f>
        <v>0.373785871407219</v>
      </c>
      <c r="H4973" s="0" t="n">
        <f aca="false">SQRT(SUMPRODUCT(MMULT(D4973:F4973,Stats!$B$12:$D$14),D4973:F4973))</f>
        <v>0.225083938892429</v>
      </c>
      <c r="I4973" s="0" t="n">
        <f aca="false">(G4973-Stats!$B$2)/H4973</f>
        <v>1.4740539597798</v>
      </c>
    </row>
    <row r="4974" customFormat="false" ht="15" hidden="false" customHeight="false" outlineLevel="0" collapsed="false">
      <c r="A4974" s="0" t="n">
        <v>0.780773234887189</v>
      </c>
      <c r="B4974" s="0" t="n">
        <v>0.363786051599057</v>
      </c>
      <c r="C4974" s="0" t="n">
        <v>0.73605401448279</v>
      </c>
      <c r="D4974" s="0" t="n">
        <f aca="false">A4974/SUM($A4974:$C4974)</f>
        <v>0.415169473960902</v>
      </c>
      <c r="E4974" s="0" t="n">
        <f aca="false">B4974/SUM($A4974:$C4974)</f>
        <v>0.193440114143406</v>
      </c>
      <c r="F4974" s="0" t="n">
        <f aca="false">C4974/SUM($A4974:$C4974)</f>
        <v>0.391390411895693</v>
      </c>
      <c r="G4974" s="0" t="n">
        <f aca="false">SUMPRODUCT(D4974:F4974,Stats!$B$6:$D$6)</f>
        <v>0.356821558188141</v>
      </c>
      <c r="H4974" s="0" t="n">
        <f aca="false">SQRT(SUMPRODUCT(MMULT(D4974:F4974,Stats!$B$12:$D$14),D4974:F4974))</f>
        <v>0.223820894428952</v>
      </c>
      <c r="I4974" s="0" t="n">
        <f aca="false">(G4974-Stats!$B$2)/H4974</f>
        <v>1.40657805425791</v>
      </c>
    </row>
    <row r="4975" customFormat="false" ht="15" hidden="false" customHeight="false" outlineLevel="0" collapsed="false">
      <c r="A4975" s="0" t="n">
        <v>0.512978841914342</v>
      </c>
      <c r="B4975" s="0" t="n">
        <v>0.738662053561825</v>
      </c>
      <c r="C4975" s="0" t="n">
        <v>0.907289561452572</v>
      </c>
      <c r="D4975" s="0" t="n">
        <f aca="false">A4975/SUM($A4975:$C4975)</f>
        <v>0.237607858218878</v>
      </c>
      <c r="E4975" s="0" t="n">
        <f aca="false">B4975/SUM($A4975:$C4975)</f>
        <v>0.342142587868548</v>
      </c>
      <c r="F4975" s="0" t="n">
        <f aca="false">C4975/SUM($A4975:$C4975)</f>
        <v>0.420249553912574</v>
      </c>
      <c r="G4975" s="0" t="n">
        <f aca="false">SUMPRODUCT(D4975:F4975,Stats!$B$6:$D$6)</f>
        <v>0.364581926323134</v>
      </c>
      <c r="H4975" s="0" t="n">
        <f aca="false">SQRT(SUMPRODUCT(MMULT(D4975:F4975,Stats!$B$12:$D$14),D4975:F4975))</f>
        <v>0.229897271572227</v>
      </c>
      <c r="I4975" s="0" t="n">
        <f aca="false">(G4975-Stats!$B$2)/H4975</f>
        <v>1.40315682790428</v>
      </c>
    </row>
    <row r="4976" customFormat="false" ht="15" hidden="false" customHeight="false" outlineLevel="0" collapsed="false">
      <c r="A4976" s="0" t="n">
        <v>0.921029516053802</v>
      </c>
      <c r="B4976" s="0" t="n">
        <v>0.535106780000603</v>
      </c>
      <c r="C4976" s="0" t="n">
        <v>0.511508364765639</v>
      </c>
      <c r="D4976" s="0" t="n">
        <f aca="false">A4976/SUM($A4976:$C4976)</f>
        <v>0.468087320029598</v>
      </c>
      <c r="E4976" s="0" t="n">
        <f aca="false">B4976/SUM($A4976:$C4976)</f>
        <v>0.271952955051137</v>
      </c>
      <c r="F4976" s="0" t="n">
        <f aca="false">C4976/SUM($A4976:$C4976)</f>
        <v>0.259959724919265</v>
      </c>
      <c r="G4976" s="0" t="n">
        <f aca="false">SUMPRODUCT(D4976:F4976,Stats!$B$6:$D$6)</f>
        <v>0.364963236079266</v>
      </c>
      <c r="H4976" s="0" t="n">
        <f aca="false">SQRT(SUMPRODUCT(MMULT(D4976:F4976,Stats!$B$12:$D$14),D4976:F4976))</f>
        <v>0.223240828097086</v>
      </c>
      <c r="I4976" s="0" t="n">
        <f aca="false">(G4976-Stats!$B$2)/H4976</f>
        <v>1.44670327033015</v>
      </c>
    </row>
    <row r="4977" customFormat="false" ht="15" hidden="false" customHeight="false" outlineLevel="0" collapsed="false">
      <c r="A4977" s="0" t="n">
        <v>0.265678465502837</v>
      </c>
      <c r="B4977" s="0" t="n">
        <v>0.935799831529291</v>
      </c>
      <c r="C4977" s="0" t="n">
        <v>0.457919167199621</v>
      </c>
      <c r="D4977" s="0" t="n">
        <f aca="false">A4977/SUM($A4977:$C4977)</f>
        <v>0.160105382362892</v>
      </c>
      <c r="E4977" s="0" t="n">
        <f aca="false">B4977/SUM($A4977:$C4977)</f>
        <v>0.563939533294718</v>
      </c>
      <c r="F4977" s="0" t="n">
        <f aca="false">C4977/SUM($A4977:$C4977)</f>
        <v>0.27595508434239</v>
      </c>
      <c r="G4977" s="0" t="n">
        <f aca="false">SUMPRODUCT(D4977:F4977,Stats!$B$6:$D$6)</f>
        <v>0.381322699996614</v>
      </c>
      <c r="H4977" s="0" t="n">
        <f aca="false">SQRT(SUMPRODUCT(MMULT(D4977:F4977,Stats!$B$12:$D$14),D4977:F4977))</f>
        <v>0.234830701619299</v>
      </c>
      <c r="I4977" s="0" t="n">
        <f aca="false">(G4977-Stats!$B$2)/H4977</f>
        <v>1.44496736438967</v>
      </c>
    </row>
    <row r="4978" customFormat="false" ht="15" hidden="false" customHeight="false" outlineLevel="0" collapsed="false">
      <c r="A4978" s="0" t="n">
        <v>0.127591239287377</v>
      </c>
      <c r="B4978" s="0" t="n">
        <v>0.43270491462655</v>
      </c>
      <c r="C4978" s="0" t="n">
        <v>0.127053250238004</v>
      </c>
      <c r="D4978" s="0" t="n">
        <f aca="false">A4978/SUM($A4978:$C4978)</f>
        <v>0.185627918663583</v>
      </c>
      <c r="E4978" s="0" t="n">
        <f aca="false">B4978/SUM($A4978:$C4978)</f>
        <v>0.629526863648674</v>
      </c>
      <c r="F4978" s="0" t="n">
        <f aca="false">C4978/SUM($A4978:$C4978)</f>
        <v>0.184845217687743</v>
      </c>
      <c r="G4978" s="0" t="n">
        <f aca="false">SUMPRODUCT(D4978:F4978,Stats!$B$6:$D$6)</f>
        <v>0.387608829627465</v>
      </c>
      <c r="H4978" s="0" t="n">
        <f aca="false">SQRT(SUMPRODUCT(MMULT(D4978:F4978,Stats!$B$12:$D$14),D4978:F4978))</f>
        <v>0.235435050508923</v>
      </c>
      <c r="I4978" s="0" t="n">
        <f aca="false">(G4978-Stats!$B$2)/H4978</f>
        <v>1.46795827078588</v>
      </c>
    </row>
    <row r="4979" customFormat="false" ht="15" hidden="false" customHeight="false" outlineLevel="0" collapsed="false">
      <c r="A4979" s="0" t="n">
        <v>0.502531684257075</v>
      </c>
      <c r="B4979" s="0" t="n">
        <v>0.561275514856212</v>
      </c>
      <c r="C4979" s="0" t="n">
        <v>0.337755761493585</v>
      </c>
      <c r="D4979" s="0" t="n">
        <f aca="false">A4979/SUM($A4979:$C4979)</f>
        <v>0.358550916642004</v>
      </c>
      <c r="E4979" s="0" t="n">
        <f aca="false">B4979/SUM($A4979:$C4979)</f>
        <v>0.400464003852657</v>
      </c>
      <c r="F4979" s="0" t="n">
        <f aca="false">C4979/SUM($A4979:$C4979)</f>
        <v>0.240985079505339</v>
      </c>
      <c r="G4979" s="0" t="n">
        <f aca="false">SUMPRODUCT(D4979:F4979,Stats!$B$6:$D$6)</f>
        <v>0.372880814047966</v>
      </c>
      <c r="H4979" s="0" t="n">
        <f aca="false">SQRT(SUMPRODUCT(MMULT(D4979:F4979,Stats!$B$12:$D$14),D4979:F4979))</f>
        <v>0.226509362334959</v>
      </c>
      <c r="I4979" s="0" t="n">
        <f aca="false">(G4979-Stats!$B$2)/H4979</f>
        <v>1.46078206497559</v>
      </c>
    </row>
    <row r="4980" customFormat="false" ht="15" hidden="false" customHeight="false" outlineLevel="0" collapsed="false">
      <c r="A4980" s="0" t="n">
        <v>0.0716506142314847</v>
      </c>
      <c r="B4980" s="0" t="n">
        <v>0.943503535633239</v>
      </c>
      <c r="C4980" s="0" t="n">
        <v>0.77335311348343</v>
      </c>
      <c r="D4980" s="0" t="n">
        <f aca="false">A4980/SUM($A4980:$C4980)</f>
        <v>0.0400616847914568</v>
      </c>
      <c r="E4980" s="0" t="n">
        <f aca="false">B4980/SUM($A4980:$C4980)</f>
        <v>0.527536876683948</v>
      </c>
      <c r="F4980" s="0" t="n">
        <f aca="false">C4980/SUM($A4980:$C4980)</f>
        <v>0.432401438524596</v>
      </c>
      <c r="G4980" s="0" t="n">
        <f aca="false">SUMPRODUCT(D4980:F4980,Stats!$B$6:$D$6)</f>
        <v>0.374914190206124</v>
      </c>
      <c r="H4980" s="0" t="n">
        <f aca="false">SQRT(SUMPRODUCT(MMULT(D4980:F4980,Stats!$B$12:$D$14),D4980:F4980))</f>
        <v>0.240601057329954</v>
      </c>
      <c r="I4980" s="0" t="n">
        <f aca="false">(G4980-Stats!$B$2)/H4980</f>
        <v>1.38367717041897</v>
      </c>
    </row>
    <row r="4981" customFormat="false" ht="15" hidden="false" customHeight="false" outlineLevel="0" collapsed="false">
      <c r="A4981" s="0" t="n">
        <v>0.838881080505121</v>
      </c>
      <c r="B4981" s="0" t="n">
        <v>0.366868394286229</v>
      </c>
      <c r="C4981" s="0" t="n">
        <v>0.760831030019451</v>
      </c>
      <c r="D4981" s="0" t="n">
        <f aca="false">A4981/SUM($A4981:$C4981)</f>
        <v>0.426568390387775</v>
      </c>
      <c r="E4981" s="0" t="n">
        <f aca="false">B4981/SUM($A4981:$C4981)</f>
        <v>0.186551424357542</v>
      </c>
      <c r="F4981" s="0" t="n">
        <f aca="false">C4981/SUM($A4981:$C4981)</f>
        <v>0.386880185254683</v>
      </c>
      <c r="G4981" s="0" t="n">
        <f aca="false">SUMPRODUCT(D4981:F4981,Stats!$B$6:$D$6)</f>
        <v>0.356549559658621</v>
      </c>
      <c r="H4981" s="0" t="n">
        <f aca="false">SQRT(SUMPRODUCT(MMULT(D4981:F4981,Stats!$B$12:$D$14),D4981:F4981))</f>
        <v>0.223545352420397</v>
      </c>
      <c r="I4981" s="0" t="n">
        <f aca="false">(G4981-Stats!$B$2)/H4981</f>
        <v>1.40709505365642</v>
      </c>
    </row>
    <row r="4982" customFormat="false" ht="15" hidden="false" customHeight="false" outlineLevel="0" collapsed="false">
      <c r="A4982" s="0" t="n">
        <v>0.485372895169194</v>
      </c>
      <c r="B4982" s="0" t="n">
        <v>0.201083488406046</v>
      </c>
      <c r="C4982" s="0" t="n">
        <v>0.124423376907213</v>
      </c>
      <c r="D4982" s="0" t="n">
        <f aca="false">A4982/SUM($A4982:$C4982)</f>
        <v>0.598575669073809</v>
      </c>
      <c r="E4982" s="0" t="n">
        <f aca="false">B4982/SUM($A4982:$C4982)</f>
        <v>0.247981881168678</v>
      </c>
      <c r="F4982" s="0" t="n">
        <f aca="false">C4982/SUM($A4982:$C4982)</f>
        <v>0.153442449757513</v>
      </c>
      <c r="G4982" s="0" t="n">
        <f aca="false">SUMPRODUCT(D4982:F4982,Stats!$B$6:$D$6)</f>
        <v>0.36652114440711</v>
      </c>
      <c r="H4982" s="0" t="n">
        <f aca="false">SQRT(SUMPRODUCT(MMULT(D4982:F4982,Stats!$B$12:$D$14),D4982:F4982))</f>
        <v>0.223252380538891</v>
      </c>
      <c r="I4982" s="0" t="n">
        <f aca="false">(G4982-Stats!$B$2)/H4982</f>
        <v>1.4536066474354</v>
      </c>
    </row>
    <row r="4983" customFormat="false" ht="15" hidden="false" customHeight="false" outlineLevel="0" collapsed="false">
      <c r="A4983" s="0" t="n">
        <v>0.345050869322057</v>
      </c>
      <c r="B4983" s="0" t="n">
        <v>0.13755211147514</v>
      </c>
      <c r="C4983" s="0" t="n">
        <v>0.998268976204069</v>
      </c>
      <c r="D4983" s="0" t="n">
        <f aca="false">A4983/SUM($A4983:$C4983)</f>
        <v>0.233005201895225</v>
      </c>
      <c r="E4983" s="0" t="n">
        <f aca="false">B4983/SUM($A4983:$C4983)</f>
        <v>0.0928858911972915</v>
      </c>
      <c r="F4983" s="0" t="n">
        <f aca="false">C4983/SUM($A4983:$C4983)</f>
        <v>0.674108906907483</v>
      </c>
      <c r="G4983" s="0" t="n">
        <f aca="false">SUMPRODUCT(D4983:F4983,Stats!$B$6:$D$6)</f>
        <v>0.343239944583906</v>
      </c>
      <c r="H4983" s="0" t="n">
        <f aca="false">SQRT(SUMPRODUCT(MMULT(D4983:F4983,Stats!$B$12:$D$14),D4983:F4983))</f>
        <v>0.234447789749989</v>
      </c>
      <c r="I4983" s="0" t="n">
        <f aca="false">(G4983-Stats!$B$2)/H4983</f>
        <v>1.28489138202217</v>
      </c>
    </row>
    <row r="4984" customFormat="false" ht="15" hidden="false" customHeight="false" outlineLevel="0" collapsed="false">
      <c r="A4984" s="0" t="n">
        <v>0.0491889902320221</v>
      </c>
      <c r="B4984" s="0" t="n">
        <v>0.441143599369077</v>
      </c>
      <c r="C4984" s="0" t="n">
        <v>0.452093522390384</v>
      </c>
      <c r="D4984" s="0" t="n">
        <f aca="false">A4984/SUM($A4984:$C4984)</f>
        <v>0.0521940018492045</v>
      </c>
      <c r="E4984" s="0" t="n">
        <f aca="false">B4984/SUM($A4984:$C4984)</f>
        <v>0.468093565910304</v>
      </c>
      <c r="F4984" s="0" t="n">
        <f aca="false">C4984/SUM($A4984:$C4984)</f>
        <v>0.479712432240492</v>
      </c>
      <c r="G4984" s="0" t="n">
        <f aca="false">SUMPRODUCT(D4984:F4984,Stats!$B$6:$D$6)</f>
        <v>0.370189316585229</v>
      </c>
      <c r="H4984" s="0" t="n">
        <f aca="false">SQRT(SUMPRODUCT(MMULT(D4984:F4984,Stats!$B$12:$D$14),D4984:F4984))</f>
        <v>0.239912097593139</v>
      </c>
      <c r="I4984" s="0" t="n">
        <f aca="false">(G4984-Stats!$B$2)/H4984</f>
        <v>1.36795651356355</v>
      </c>
    </row>
    <row r="4985" customFormat="false" ht="15" hidden="false" customHeight="false" outlineLevel="0" collapsed="false">
      <c r="A4985" s="0" t="n">
        <v>0.300631928581676</v>
      </c>
      <c r="B4985" s="0" t="n">
        <v>0.571351565706945</v>
      </c>
      <c r="C4985" s="0" t="n">
        <v>0.149977024151545</v>
      </c>
      <c r="D4985" s="0" t="n">
        <f aca="false">A4985/SUM($A4985:$C4985)</f>
        <v>0.294171764130903</v>
      </c>
      <c r="E4985" s="0" t="n">
        <f aca="false">B4985/SUM($A4985:$C4985)</f>
        <v>0.55907401058801</v>
      </c>
      <c r="F4985" s="0" t="n">
        <f aca="false">C4985/SUM($A4985:$C4985)</f>
        <v>0.146754225281087</v>
      </c>
      <c r="G4985" s="0" t="n">
        <f aca="false">SUMPRODUCT(D4985:F4985,Stats!$B$6:$D$6)</f>
        <v>0.384605408112745</v>
      </c>
      <c r="H4985" s="0" t="n">
        <f aca="false">SQRT(SUMPRODUCT(MMULT(D4985:F4985,Stats!$B$12:$D$14),D4985:F4985))</f>
        <v>0.231196919167039</v>
      </c>
      <c r="I4985" s="0" t="n">
        <f aca="false">(G4985-Stats!$B$2)/H4985</f>
        <v>1.48187704813322</v>
      </c>
    </row>
    <row r="4986" customFormat="false" ht="15" hidden="false" customHeight="false" outlineLevel="0" collapsed="false">
      <c r="A4986" s="0" t="n">
        <v>0.783912380587234</v>
      </c>
      <c r="B4986" s="0" t="n">
        <v>0.332447718247638</v>
      </c>
      <c r="C4986" s="0" t="n">
        <v>0.591342589798642</v>
      </c>
      <c r="D4986" s="0" t="n">
        <f aca="false">A4986/SUM($A4986:$C4986)</f>
        <v>0.459044999931758</v>
      </c>
      <c r="E4986" s="0" t="n">
        <f aca="false">B4986/SUM($A4986:$C4986)</f>
        <v>0.194675408348545</v>
      </c>
      <c r="F4986" s="0" t="n">
        <f aca="false">C4986/SUM($A4986:$C4986)</f>
        <v>0.346279591719697</v>
      </c>
      <c r="G4986" s="0" t="n">
        <f aca="false">SUMPRODUCT(D4986:F4986,Stats!$B$6:$D$6)</f>
        <v>0.358136548933714</v>
      </c>
      <c r="H4986" s="0" t="n">
        <f aca="false">SQRT(SUMPRODUCT(MMULT(D4986:F4986,Stats!$B$12:$D$14),D4986:F4986))</f>
        <v>0.222839370970238</v>
      </c>
      <c r="I4986" s="0" t="n">
        <f aca="false">(G4986-Stats!$B$2)/H4986</f>
        <v>1.4186745706437</v>
      </c>
    </row>
    <row r="4987" customFormat="false" ht="15" hidden="false" customHeight="false" outlineLevel="0" collapsed="false">
      <c r="A4987" s="0" t="n">
        <v>0.715639236066959</v>
      </c>
      <c r="B4987" s="0" t="n">
        <v>0.889042117690161</v>
      </c>
      <c r="C4987" s="0" t="n">
        <v>0.8357874364522</v>
      </c>
      <c r="D4987" s="0" t="n">
        <f aca="false">A4987/SUM($A4987:$C4987)</f>
        <v>0.293238429820518</v>
      </c>
      <c r="E4987" s="0" t="n">
        <f aca="false">B4987/SUM($A4987:$C4987)</f>
        <v>0.364291533354912</v>
      </c>
      <c r="F4987" s="0" t="n">
        <f aca="false">C4987/SUM($A4987:$C4987)</f>
        <v>0.34247003682457</v>
      </c>
      <c r="G4987" s="0" t="n">
        <f aca="false">SUMPRODUCT(D4987:F4987,Stats!$B$6:$D$6)</f>
        <v>0.368001088247727</v>
      </c>
      <c r="H4987" s="0" t="n">
        <f aca="false">SQRT(SUMPRODUCT(MMULT(D4987:F4987,Stats!$B$12:$D$14),D4987:F4987))</f>
        <v>0.227742242203715</v>
      </c>
      <c r="I4987" s="0" t="n">
        <f aca="false">(G4987-Stats!$B$2)/H4987</f>
        <v>1.43144760977684</v>
      </c>
    </row>
    <row r="4988" customFormat="false" ht="15" hidden="false" customHeight="false" outlineLevel="0" collapsed="false">
      <c r="A4988" s="0" t="n">
        <v>0.60830902810356</v>
      </c>
      <c r="B4988" s="0" t="n">
        <v>0.388393180383887</v>
      </c>
      <c r="C4988" s="0" t="n">
        <v>0.503204670074964</v>
      </c>
      <c r="D4988" s="0" t="n">
        <f aca="false">A4988/SUM($A4988:$C4988)</f>
        <v>0.405564529903746</v>
      </c>
      <c r="E4988" s="0" t="n">
        <f aca="false">B4988/SUM($A4988:$C4988)</f>
        <v>0.258944862467824</v>
      </c>
      <c r="F4988" s="0" t="n">
        <f aca="false">C4988/SUM($A4988:$C4988)</f>
        <v>0.335490607628429</v>
      </c>
      <c r="G4988" s="0" t="n">
        <f aca="false">SUMPRODUCT(D4988:F4988,Stats!$B$6:$D$6)</f>
        <v>0.362132032228066</v>
      </c>
      <c r="H4988" s="0" t="n">
        <f aca="false">SQRT(SUMPRODUCT(MMULT(D4988:F4988,Stats!$B$12:$D$14),D4988:F4988))</f>
        <v>0.224092400404885</v>
      </c>
      <c r="I4988" s="0" t="n">
        <f aca="false">(G4988-Stats!$B$2)/H4988</f>
        <v>1.42857156980629</v>
      </c>
    </row>
    <row r="4989" customFormat="false" ht="15" hidden="false" customHeight="false" outlineLevel="0" collapsed="false">
      <c r="A4989" s="0" t="n">
        <v>0.768734793378803</v>
      </c>
      <c r="B4989" s="0" t="n">
        <v>0.877545542559473</v>
      </c>
      <c r="C4989" s="0" t="n">
        <v>0.103781928176672</v>
      </c>
      <c r="D4989" s="0" t="n">
        <f aca="false">A4989/SUM($A4989:$C4989)</f>
        <v>0.439261396089568</v>
      </c>
      <c r="E4989" s="0" t="n">
        <f aca="false">B4989/SUM($A4989:$C4989)</f>
        <v>0.50143675488213</v>
      </c>
      <c r="F4989" s="0" t="n">
        <f aca="false">C4989/SUM($A4989:$C4989)</f>
        <v>0.0593018490283014</v>
      </c>
      <c r="G4989" s="0" t="n">
        <f aca="false">SUMPRODUCT(D4989:F4989,Stats!$B$6:$D$6)</f>
        <v>0.383700500657087</v>
      </c>
      <c r="H4989" s="0" t="n">
        <f aca="false">SQRT(SUMPRODUCT(MMULT(D4989:F4989,Stats!$B$12:$D$14),D4989:F4989))</f>
        <v>0.228876842385421</v>
      </c>
      <c r="I4989" s="0" t="n">
        <f aca="false">(G4989-Stats!$B$2)/H4989</f>
        <v>1.49294483922351</v>
      </c>
    </row>
    <row r="4990" customFormat="false" ht="15" hidden="false" customHeight="false" outlineLevel="0" collapsed="false">
      <c r="A4990" s="0" t="n">
        <v>0.384856262493054</v>
      </c>
      <c r="B4990" s="0" t="n">
        <v>0.776116598413501</v>
      </c>
      <c r="C4990" s="0" t="n">
        <v>0.431651762593961</v>
      </c>
      <c r="D4990" s="0" t="n">
        <f aca="false">A4990/SUM($A4990:$C4990)</f>
        <v>0.241649072112898</v>
      </c>
      <c r="E4990" s="0" t="n">
        <f aca="false">B4990/SUM($A4990:$C4990)</f>
        <v>0.487319225736717</v>
      </c>
      <c r="F4990" s="0" t="n">
        <f aca="false">C4990/SUM($A4990:$C4990)</f>
        <v>0.271031702150385</v>
      </c>
      <c r="G4990" s="0" t="n">
        <f aca="false">SUMPRODUCT(D4990:F4990,Stats!$B$6:$D$6)</f>
        <v>0.377049827037762</v>
      </c>
      <c r="H4990" s="0" t="n">
        <f aca="false">SQRT(SUMPRODUCT(MMULT(D4990:F4990,Stats!$B$12:$D$14),D4990:F4990))</f>
        <v>0.230745665792188</v>
      </c>
      <c r="I4990" s="0" t="n">
        <f aca="false">(G4990-Stats!$B$2)/H4990</f>
        <v>1.4520308578169</v>
      </c>
    </row>
    <row r="4991" customFormat="false" ht="15" hidden="false" customHeight="false" outlineLevel="0" collapsed="false">
      <c r="A4991" s="0" t="n">
        <v>0.332227764066284</v>
      </c>
      <c r="B4991" s="0" t="n">
        <v>0.41132269682327</v>
      </c>
      <c r="C4991" s="0" t="n">
        <v>0.602844746786351</v>
      </c>
      <c r="D4991" s="0" t="n">
        <f aca="false">A4991/SUM($A4991:$C4991)</f>
        <v>0.24675352539301</v>
      </c>
      <c r="E4991" s="0" t="n">
        <f aca="false">B4991/SUM($A4991:$C4991)</f>
        <v>0.305499228219387</v>
      </c>
      <c r="F4991" s="0" t="n">
        <f aca="false">C4991/SUM($A4991:$C4991)</f>
        <v>0.447747246387603</v>
      </c>
      <c r="G4991" s="0" t="n">
        <f aca="false">SUMPRODUCT(D4991:F4991,Stats!$B$6:$D$6)</f>
        <v>0.361715276541664</v>
      </c>
      <c r="H4991" s="0" t="n">
        <f aca="false">SQRT(SUMPRODUCT(MMULT(D4991:F4991,Stats!$B$12:$D$14),D4991:F4991))</f>
        <v>0.229611094833644</v>
      </c>
      <c r="I4991" s="0" t="n">
        <f aca="false">(G4991-Stats!$B$2)/H4991</f>
        <v>1.39242085306593</v>
      </c>
    </row>
    <row r="4992" customFormat="false" ht="15" hidden="false" customHeight="false" outlineLevel="0" collapsed="false">
      <c r="A4992" s="0" t="n">
        <v>0.999805144133802</v>
      </c>
      <c r="B4992" s="0" t="n">
        <v>0.492992429104532</v>
      </c>
      <c r="C4992" s="0" t="n">
        <v>0.208494474954261</v>
      </c>
      <c r="D4992" s="0" t="n">
        <f aca="false">A4992/SUM($A4992:$C4992)</f>
        <v>0.587674024101839</v>
      </c>
      <c r="E4992" s="0" t="n">
        <f aca="false">B4992/SUM($A4992:$C4992)</f>
        <v>0.289775309082455</v>
      </c>
      <c r="F4992" s="0" t="n">
        <f aca="false">C4992/SUM($A4992:$C4992)</f>
        <v>0.122550666815706</v>
      </c>
      <c r="G4992" s="0" t="n">
        <f aca="false">SUMPRODUCT(D4992:F4992,Stats!$B$6:$D$6)</f>
        <v>0.369777713190109</v>
      </c>
      <c r="H4992" s="0" t="n">
        <f aca="false">SQRT(SUMPRODUCT(MMULT(D4992:F4992,Stats!$B$12:$D$14),D4992:F4992))</f>
        <v>0.224081453596864</v>
      </c>
      <c r="I4992" s="0" t="n">
        <f aca="false">(G4992-Stats!$B$2)/H4992</f>
        <v>1.46276145539381</v>
      </c>
    </row>
    <row r="4993" customFormat="false" ht="15" hidden="false" customHeight="false" outlineLevel="0" collapsed="false">
      <c r="A4993" s="0" t="n">
        <v>0.162846575279095</v>
      </c>
      <c r="B4993" s="0" t="n">
        <v>0.0423497474764143</v>
      </c>
      <c r="C4993" s="0" t="n">
        <v>0.558817234918322</v>
      </c>
      <c r="D4993" s="0" t="n">
        <f aca="false">A4993/SUM($A4993:$C4993)</f>
        <v>0.213146185225965</v>
      </c>
      <c r="E4993" s="0" t="n">
        <f aca="false">B4993/SUM($A4993:$C4993)</f>
        <v>0.0554306229922874</v>
      </c>
      <c r="F4993" s="0" t="n">
        <f aca="false">C4993/SUM($A4993:$C4993)</f>
        <v>0.731423191781748</v>
      </c>
      <c r="G4993" s="0" t="n">
        <f aca="false">SUMPRODUCT(D4993:F4993,Stats!$B$6:$D$6)</f>
        <v>0.33950439756762</v>
      </c>
      <c r="H4993" s="0" t="n">
        <f aca="false">SQRT(SUMPRODUCT(MMULT(D4993:F4993,Stats!$B$12:$D$14),D4993:F4993))</f>
        <v>0.237197869886345</v>
      </c>
      <c r="I4993" s="0" t="n">
        <f aca="false">(G4993-Stats!$B$2)/H4993</f>
        <v>1.25424565452536</v>
      </c>
    </row>
    <row r="4994" customFormat="false" ht="15" hidden="false" customHeight="false" outlineLevel="0" collapsed="false">
      <c r="A4994" s="0" t="n">
        <v>0.544572091488834</v>
      </c>
      <c r="B4994" s="0" t="n">
        <v>0.205233926780309</v>
      </c>
      <c r="C4994" s="0" t="n">
        <v>0.695329406452567</v>
      </c>
      <c r="D4994" s="0" t="n">
        <f aca="false">A4994/SUM($A4994:$C4994)</f>
        <v>0.37683118285866</v>
      </c>
      <c r="E4994" s="0" t="n">
        <f aca="false">B4994/SUM($A4994:$C4994)</f>
        <v>0.14201708938097</v>
      </c>
      <c r="F4994" s="0" t="n">
        <f aca="false">C4994/SUM($A4994:$C4994)</f>
        <v>0.48115172776037</v>
      </c>
      <c r="G4994" s="0" t="n">
        <f aca="false">SUMPRODUCT(D4994:F4994,Stats!$B$6:$D$6)</f>
        <v>0.351387610137878</v>
      </c>
      <c r="H4994" s="0" t="n">
        <f aca="false">SQRT(SUMPRODUCT(MMULT(D4994:F4994,Stats!$B$12:$D$14),D4994:F4994))</f>
        <v>0.2254977536339</v>
      </c>
      <c r="I4994" s="0" t="n">
        <f aca="false">(G4994-Stats!$B$2)/H4994</f>
        <v>1.37202080797742</v>
      </c>
    </row>
    <row r="4995" customFormat="false" ht="15" hidden="false" customHeight="false" outlineLevel="0" collapsed="false">
      <c r="A4995" s="0" t="n">
        <v>0.741107041629681</v>
      </c>
      <c r="B4995" s="0" t="n">
        <v>0.259098205382111</v>
      </c>
      <c r="C4995" s="0" t="n">
        <v>0.344099764029737</v>
      </c>
      <c r="D4995" s="0" t="n">
        <f aca="false">A4995/SUM($A4995:$C4995)</f>
        <v>0.551293817654888</v>
      </c>
      <c r="E4995" s="0" t="n">
        <f aca="false">B4995/SUM($A4995:$C4995)</f>
        <v>0.192737662401012</v>
      </c>
      <c r="F4995" s="0" t="n">
        <f aca="false">C4995/SUM($A4995:$C4995)</f>
        <v>0.2559685199441</v>
      </c>
      <c r="G4995" s="0" t="n">
        <f aca="false">SUMPRODUCT(D4995:F4995,Stats!$B$6:$D$6)</f>
        <v>0.360515346608616</v>
      </c>
      <c r="H4995" s="0" t="n">
        <f aca="false">SQRT(SUMPRODUCT(MMULT(D4995:F4995,Stats!$B$12:$D$14),D4995:F4995))</f>
        <v>0.222000567590922</v>
      </c>
      <c r="I4995" s="0" t="n">
        <f aca="false">(G4995-Stats!$B$2)/H4995</f>
        <v>1.43475014530387</v>
      </c>
    </row>
    <row r="4996" customFormat="false" ht="15" hidden="false" customHeight="false" outlineLevel="0" collapsed="false">
      <c r="A4996" s="0" t="n">
        <v>0.990471672347257</v>
      </c>
      <c r="B4996" s="0" t="n">
        <v>0.374264467850734</v>
      </c>
      <c r="C4996" s="0" t="n">
        <v>0.760801671756102</v>
      </c>
      <c r="D4996" s="0" t="n">
        <f aca="false">A4996/SUM($A4996:$C4996)</f>
        <v>0.46598638084762</v>
      </c>
      <c r="E4996" s="0" t="n">
        <f aca="false">B4996/SUM($A4996:$C4996)</f>
        <v>0.176079891755328</v>
      </c>
      <c r="F4996" s="0" t="n">
        <f aca="false">C4996/SUM($A4996:$C4996)</f>
        <v>0.357933727397052</v>
      </c>
      <c r="G4996" s="0" t="n">
        <f aca="false">SUMPRODUCT(D4996:F4996,Stats!$B$6:$D$6)</f>
        <v>0.35674522866776</v>
      </c>
      <c r="H4996" s="0" t="n">
        <f aca="false">SQRT(SUMPRODUCT(MMULT(D4996:F4996,Stats!$B$12:$D$14),D4996:F4996))</f>
        <v>0.222700513236585</v>
      </c>
      <c r="I4996" s="0" t="n">
        <f aca="false">(G4996-Stats!$B$2)/H4996</f>
        <v>1.41331164483394</v>
      </c>
    </row>
    <row r="4997" customFormat="false" ht="15" hidden="false" customHeight="false" outlineLevel="0" collapsed="false">
      <c r="A4997" s="0" t="n">
        <v>0.45272542662994</v>
      </c>
      <c r="B4997" s="0" t="n">
        <v>0.793344827860976</v>
      </c>
      <c r="C4997" s="0" t="n">
        <v>0.769023238782648</v>
      </c>
      <c r="D4997" s="0" t="n">
        <f aca="false">A4997/SUM($A4997:$C4997)</f>
        <v>0.22466720682745</v>
      </c>
      <c r="E4997" s="0" t="n">
        <f aca="false">B4997/SUM($A4997:$C4997)</f>
        <v>0.393701250343561</v>
      </c>
      <c r="F4997" s="0" t="n">
        <f aca="false">C4997/SUM($A4997:$C4997)</f>
        <v>0.381631542828989</v>
      </c>
      <c r="G4997" s="0" t="n">
        <f aca="false">SUMPRODUCT(D4997:F4997,Stats!$B$6:$D$6)</f>
        <v>0.368613421833237</v>
      </c>
      <c r="H4997" s="0" t="n">
        <f aca="false">SQRT(SUMPRODUCT(MMULT(D4997:F4997,Stats!$B$12:$D$14),D4997:F4997))</f>
        <v>0.230495057896522</v>
      </c>
      <c r="I4997" s="0" t="n">
        <f aca="false">(G4997-Stats!$B$2)/H4997</f>
        <v>1.41700835069473</v>
      </c>
    </row>
    <row r="4998" customFormat="false" ht="15" hidden="false" customHeight="false" outlineLevel="0" collapsed="false">
      <c r="A4998" s="0" t="n">
        <v>0.667756025198536</v>
      </c>
      <c r="B4998" s="0" t="n">
        <v>0.854778346295579</v>
      </c>
      <c r="C4998" s="0" t="n">
        <v>0.939218494877685</v>
      </c>
      <c r="D4998" s="0" t="n">
        <f aca="false">A4998/SUM($A4998:$C4998)</f>
        <v>0.271252258632563</v>
      </c>
      <c r="E4998" s="0" t="n">
        <f aca="false">B4998/SUM($A4998:$C4998)</f>
        <v>0.347223459337482</v>
      </c>
      <c r="F4998" s="0" t="n">
        <f aca="false">C4998/SUM($A4998:$C4998)</f>
        <v>0.381524282029955</v>
      </c>
      <c r="G4998" s="0" t="n">
        <f aca="false">SUMPRODUCT(D4998:F4998,Stats!$B$6:$D$6)</f>
        <v>0.365942107569054</v>
      </c>
      <c r="H4998" s="0" t="n">
        <f aca="false">SQRT(SUMPRODUCT(MMULT(D4998:F4998,Stats!$B$12:$D$14),D4998:F4998))</f>
        <v>0.228469995767089</v>
      </c>
      <c r="I4998" s="0" t="n">
        <f aca="false">(G4998-Stats!$B$2)/H4998</f>
        <v>1.41787592931587</v>
      </c>
    </row>
    <row r="4999" customFormat="false" ht="15" hidden="false" customHeight="false" outlineLevel="0" collapsed="false">
      <c r="A4999" s="0" t="n">
        <v>0.579983320452084</v>
      </c>
      <c r="B4999" s="0" t="n">
        <v>0.237468907222746</v>
      </c>
      <c r="C4999" s="0" t="n">
        <v>0.398628961644075</v>
      </c>
      <c r="D4999" s="0" t="n">
        <f aca="false">A4999/SUM($A4999:$C4999)</f>
        <v>0.476928124163254</v>
      </c>
      <c r="E4999" s="0" t="n">
        <f aca="false">B4999/SUM($A4999:$C4999)</f>
        <v>0.19527389232601</v>
      </c>
      <c r="F4999" s="0" t="n">
        <f aca="false">C4999/SUM($A4999:$C4999)</f>
        <v>0.327797983510736</v>
      </c>
      <c r="G4999" s="0" t="n">
        <f aca="false">SUMPRODUCT(D4999:F4999,Stats!$B$6:$D$6)</f>
        <v>0.358680608165137</v>
      </c>
      <c r="H4999" s="0" t="n">
        <f aca="false">SQRT(SUMPRODUCT(MMULT(D4999:F4999,Stats!$B$12:$D$14),D4999:F4999))</f>
        <v>0.222551092523435</v>
      </c>
      <c r="I4999" s="0" t="n">
        <f aca="false">(G4999-Stats!$B$2)/H4999</f>
        <v>1.42295687958391</v>
      </c>
    </row>
    <row r="5000" customFormat="false" ht="15" hidden="false" customHeight="false" outlineLevel="0" collapsed="false">
      <c r="A5000" s="0" t="n">
        <v>0.758305713513293</v>
      </c>
      <c r="B5000" s="0" t="n">
        <v>0.65088348512387</v>
      </c>
      <c r="C5000" s="0" t="n">
        <v>0.177798338565249</v>
      </c>
      <c r="D5000" s="0" t="n">
        <f aca="false">A5000/SUM($A5000:$C5000)</f>
        <v>0.477827138359295</v>
      </c>
      <c r="E5000" s="0" t="n">
        <f aca="false">B5000/SUM($A5000:$C5000)</f>
        <v>0.410137742021129</v>
      </c>
      <c r="F5000" s="0" t="n">
        <f aca="false">C5000/SUM($A5000:$C5000)</f>
        <v>0.112035119619576</v>
      </c>
      <c r="G5000" s="0" t="n">
        <f aca="false">SUMPRODUCT(D5000:F5000,Stats!$B$6:$D$6)</f>
        <v>0.376993173968793</v>
      </c>
      <c r="H5000" s="0" t="n">
        <f aca="false">SQRT(SUMPRODUCT(MMULT(D5000:F5000,Stats!$B$12:$D$14),D5000:F5000))</f>
        <v>0.226130808213337</v>
      </c>
      <c r="I5000" s="0" t="n">
        <f aca="false">(G5000-Stats!$B$2)/H5000</f>
        <v>1.48141324313825</v>
      </c>
    </row>
    <row r="5001" customFormat="false" ht="15" hidden="false" customHeight="false" outlineLevel="0" collapsed="false">
      <c r="A5001" s="0" t="n">
        <v>0.0512395411464247</v>
      </c>
      <c r="B5001" s="0" t="n">
        <v>0.682961593542065</v>
      </c>
      <c r="C5001" s="0" t="n">
        <v>0.251079024029345</v>
      </c>
      <c r="D5001" s="0" t="n">
        <f aca="false">A5001/SUM($A5001:$C5001)</f>
        <v>0.0520050471868872</v>
      </c>
      <c r="E5001" s="0" t="n">
        <f aca="false">B5001/SUM($A5001:$C5001)</f>
        <v>0.693164870416975</v>
      </c>
      <c r="F5001" s="0" t="n">
        <f aca="false">C5001/SUM($A5001:$C5001)</f>
        <v>0.254830082396138</v>
      </c>
      <c r="G5001" s="0" t="n">
        <f aca="false">SUMPRODUCT(D5001:F5001,Stats!$B$6:$D$6)</f>
        <v>0.389340672445113</v>
      </c>
      <c r="H5001" s="0" t="n">
        <f aca="false">SQRT(SUMPRODUCT(MMULT(D5001:F5001,Stats!$B$12:$D$14),D5001:F5001))</f>
        <v>0.241841272888957</v>
      </c>
      <c r="I5001" s="0" t="n">
        <f aca="false">(G5001-Stats!$B$2)/H5001</f>
        <v>1.43623405672611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2026-10-02T20:47:43Z</dcterms:created>
  <dc:creator>Deepak Chaudhary</dc:creator>
  <dc:description/>
  <dc:language>en-IN</dc:language>
  <cp:lastModifiedBy>Deepak Chaudhary</cp:lastModifiedBy>
  <dcterms:modified xsi:type="dcterms:W3CDTF">2026-10-02T20:47:44Z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