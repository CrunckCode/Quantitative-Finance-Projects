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wap_Valuation" sheetId="2" state="visible" r:id="rId4"/>
    <sheet name="CrossCurrenc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<sst xmlns="http://schemas.openxmlformats.org/spreadsheetml/2006/main" count="48" uniqueCount="47">
  <si>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Interest rate swap valuation, curve date 2024-12-31</t>
  </si>
  <si>
    <t xml:space="preserve">Pillar (years)</t>
  </si>
  <si>
    <t xml:space="preserve">Treasury par yield (%)</t>
  </si>
  <si>
    <t xml:space="preserve">Zero rate used (decimal)</t>
  </si>
  <si>
    <t xml:space="preserve">Notional (USD)</t>
  </si>
  <si>
    <t xml:space="preserve">Swap fixed rate K (pay fixed)</t>
  </si>
  <si>
    <t xml:space="preserve">Payment frequency tau (years)</t>
  </si>
  <si>
    <t xml:space="preserve">Parallel bump for DV01 (bp)</t>
  </si>
  <si>
    <t xml:space="preserve">USD/JPY spot (FRED DEXJPUS)</t>
  </si>
  <si>
    <t xml:space="preserve">USD leg fixed rate (cross-currency)</t>
  </si>
  <si>
    <t xml:space="preserve">JPY leg fixed rate (cross-currency)</t>
  </si>
  <si>
    <t xml:space="preserve">JPY flat discount rate (assumption)</t>
  </si>
  <si>
    <t xml:space="preserve">Treasury par yields are used as a continuously compounded zero-curve proxy (a simplification). SOFR OIS pillars would be the production input.</t>
  </si>
  <si>
    <t xml:space="preserve">The 1.5Y and 2.5Y points are linear averages of neighbouring pillars. The JPY discount rate and JPY coupon are illustrative assumptions.</t>
  </si>
  <si>
    <t xml:space="preserve">3-year semiannual pay-fixed swap on SOFR-style floating, curve-discounted</t>
  </si>
  <si>
    <t xml:space="preserve">Period</t>
  </si>
  <si>
    <t xml:space="preserve">Time t</t>
  </si>
  <si>
    <t xml:space="preserve">Zero rate</t>
  </si>
  <si>
    <t xml:space="preserve">Discount factor</t>
  </si>
  <si>
    <t xml:space="preserve">Fixed CF</t>
  </si>
  <si>
    <t xml:space="preserve">Forward rate</t>
  </si>
  <si>
    <t xml:space="preserve">Floating CF</t>
  </si>
  <si>
    <t xml:space="preserve">Zero (bumped)</t>
  </si>
  <si>
    <t xml:space="preserve">DF (bumped)</t>
  </si>
  <si>
    <t xml:space="preserve">Fixed CF (bumped)</t>
  </si>
  <si>
    <t xml:space="preserve">Forward (bumped)</t>
  </si>
  <si>
    <t xml:space="preserve">Floating CF (bumped)</t>
  </si>
  <si>
    <t xml:space="preserve">PV fixed leg</t>
  </si>
  <si>
    <t xml:space="preserve">PV floating leg (forward-rate method)</t>
  </si>
  <si>
    <t xml:space="preserve">PV floating leg (bond method: N x (1 - DF_N))</t>
  </si>
  <si>
    <t xml:space="preserve">Method check (should be 0)</t>
  </si>
  <si>
    <t xml:space="preserve">Par swap rate</t>
  </si>
  <si>
    <t xml:space="preserve">Swap value to fixed payer (floating minus fixed)</t>
  </si>
  <si>
    <t xml:space="preserve">Swap value (bumped curve)</t>
  </si>
  <si>
    <t xml:space="preserve">DV01 (value change per +1bp parallel)</t>
  </si>
  <si>
    <t xml:space="preserve">Annuity (sum tau x DF)</t>
  </si>
  <si>
    <t xml:space="preserve">Fixed-for-fixed USD/JPY cross-currency swap: pay USD fixed, receive JPY fixed, with final notional exchange</t>
  </si>
  <si>
    <t xml:space="preserve">USD notional</t>
  </si>
  <si>
    <t xml:space="preserve">JPY notional (USD notional x spot)</t>
  </si>
  <si>
    <t xml:space="preserve">USD DF (curve)</t>
  </si>
  <si>
    <t xml:space="preserve">USD cash flow</t>
  </si>
  <si>
    <t xml:space="preserve">JPY DF (flat)</t>
  </si>
  <si>
    <t xml:space="preserve">JPY cash flow (yen)</t>
  </si>
  <si>
    <t xml:space="preserve">PV of USD bond (USD)</t>
  </si>
  <si>
    <t xml:space="preserve">PV of JPY bond (yen)</t>
  </si>
  <si>
    <t xml:space="preserve">PV of JPY bond converted to USD</t>
  </si>
  <si>
    <t xml:space="preserve">Swap value (pay USD, receive JPY), USD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</si>
</sst>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</row>
    <row r="4" customFormat="false" ht="15" hidden="false" customHeight="false" outlineLevel="0" collapsed="false">
      <c r="A4" s="0" t="n">
        <v>0.5</v>
      </c>
      <c r="B4" s="0" t="n">
        <v>4.24</v>
      </c>
      <c r="C4" s="0" t="n">
        <f aca="false">B4/100</f>
        <v>0.0424</v>
      </c>
    </row>
    <row r="5" customFormat="false" ht="15" hidden="false" customHeight="false" outlineLevel="0" collapsed="false">
      <c r="A5" s="0" t="n">
        <v>1</v>
      </c>
      <c r="B5" s="0" t="n">
        <v>4.16</v>
      </c>
      <c r="C5" s="0" t="n">
        <f aca="false">B5/100</f>
        <v>0.0416</v>
      </c>
    </row>
    <row r="6" customFormat="false" ht="15" hidden="false" customHeight="false" outlineLevel="0" collapsed="false">
      <c r="A6" s="0" t="n">
        <v>2</v>
      </c>
      <c r="B6" s="0" t="n">
        <v>4.25</v>
      </c>
      <c r="C6" s="0" t="n">
        <f aca="false">B6/100</f>
        <v>0.0425</v>
      </c>
    </row>
    <row r="7" customFormat="false" ht="15" hidden="false" customHeight="false" outlineLevel="0" collapsed="false">
      <c r="A7" s="0" t="n">
        <v>3</v>
      </c>
      <c r="B7" s="0" t="n">
        <v>4.27</v>
      </c>
      <c r="C7" s="0" t="n">
        <f aca="false">B7/100</f>
        <v>0.0427</v>
      </c>
    </row>
    <row r="9" customFormat="false" ht="15" hidden="false" customHeight="false" outlineLevel="0" collapsed="false">
      <c r="A9" s="0" t="s">
        <v>4</v>
      </c>
      <c r="B9" s="0" t="n">
        <v>10000000</v>
      </c>
    </row>
    <row r="10" customFormat="false" ht="15" hidden="false" customHeight="false" outlineLevel="0" collapsed="false">
      <c r="A10" s="0" t="s">
        <v>5</v>
      </c>
      <c r="B10" s="0" t="n">
        <v>0.04</v>
      </c>
    </row>
    <row r="11" customFormat="false" ht="15" hidden="false" customHeight="false" outlineLevel="0" collapsed="false">
      <c r="A11" s="0" t="s">
        <v>6</v>
      </c>
      <c r="B11" s="0" t="n">
        <v>0.5</v>
      </c>
    </row>
    <row r="12" customFormat="false" ht="15" hidden="false" customHeight="false" outlineLevel="0" collapsed="false">
      <c r="A12" s="0" t="s">
        <v>7</v>
      </c>
      <c r="B12" s="0" t="n">
        <v>1</v>
      </c>
    </row>
    <row r="13" customFormat="false" ht="15" hidden="false" customHeight="false" outlineLevel="0" collapsed="false">
      <c r="A13" s="0" t="s">
        <v>8</v>
      </c>
      <c r="B13" s="0" t="n">
        <v>157.37</v>
      </c>
    </row>
    <row r="14" customFormat="false" ht="15" hidden="false" customHeight="false" outlineLevel="0" collapsed="false">
      <c r="A14" s="0" t="s">
        <v>9</v>
      </c>
      <c r="B14" s="0" t="n">
        <v>0.04</v>
      </c>
    </row>
    <row r="15" customFormat="false" ht="15" hidden="false" customHeight="false" outlineLevel="0" collapsed="false">
      <c r="A15" s="0" t="s">
        <v>10</v>
      </c>
      <c r="B15" s="0" t="n">
        <v>0.01</v>
      </c>
    </row>
    <row r="16" customFormat="false" ht="15" hidden="false" customHeight="false" outlineLevel="0" collapsed="false">
      <c r="A16" s="0" t="s">
        <v>11</v>
      </c>
      <c r="B16" s="0" t="n">
        <v>0.007</v>
      </c>
    </row>
    <row r="18" customFormat="false" ht="15" hidden="false" customHeight="false" outlineLevel="0" collapsed="false">
      <c r="A18" s="0" t="s">
        <v>12</v>
      </c>
    </row>
    <row r="19" customFormat="false" ht="15" hidden="false" customHeight="false" outlineLevel="0" collapsed="false">
      <c r="A19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</row>
    <row r="4" customFormat="false" ht="15" hidden="false" customHeight="false" outlineLevel="0" collapsed="false">
      <c r="A4" s="0" t="n">
        <v>1</v>
      </c>
      <c r="B4" s="0" t="n">
        <v>0.5</v>
      </c>
      <c r="C4" s="0" t="n">
        <f aca="false">Inputs!C4</f>
        <v>0.0424</v>
      </c>
      <c r="D4" s="0" t="n">
        <f aca="false">EXP(-C4*B4)</f>
        <v>0.97902314035962</v>
      </c>
      <c r="E4" s="0" t="n">
        <f aca="false">Inputs!$B$10*Inputs!$B$11*Inputs!$B$9</f>
        <v>200000</v>
      </c>
      <c r="F4" s="0" t="n">
        <f aca="false">(1/D4-1)/Inputs!$B$11</f>
        <v>0.0428526329473176</v>
      </c>
      <c r="G4" s="0" t="n">
        <f aca="false">F4*Inputs!$B$11*Inputs!$B$9</f>
        <v>214263.164736588</v>
      </c>
      <c r="H4" s="0" t="n">
        <f aca="false">C4+Inputs!$B$12/10000</f>
        <v>0.0425</v>
      </c>
      <c r="I4" s="0" t="n">
        <f aca="false">EXP(-H4*B4)</f>
        <v>0.97897419042636</v>
      </c>
      <c r="J4" s="0" t="n">
        <f aca="false">Inputs!$B$10*Inputs!$B$11*Inputs!$B$9</f>
        <v>200000</v>
      </c>
      <c r="K4" s="0" t="n">
        <f aca="false">(1/I4-1)/Inputs!$B$11</f>
        <v>0.0429547781325734</v>
      </c>
      <c r="L4" s="0" t="n">
        <f aca="false">K4*Inputs!$B$11*Inputs!$B$9</f>
        <v>214773.890662867</v>
      </c>
    </row>
    <row r="5" customFormat="false" ht="15" hidden="false" customHeight="false" outlineLevel="0" collapsed="false">
      <c r="A5" s="0" t="n">
        <v>2</v>
      </c>
      <c r="B5" s="0" t="n">
        <v>1</v>
      </c>
      <c r="C5" s="0" t="n">
        <f aca="false">Inputs!C5</f>
        <v>0.0416</v>
      </c>
      <c r="D5" s="0" t="n">
        <f aca="false">EXP(-C5*B5)</f>
        <v>0.959253405204525</v>
      </c>
      <c r="E5" s="0" t="n">
        <f aca="false">Inputs!$B$10*Inputs!$B$11*Inputs!$B$9</f>
        <v>200000</v>
      </c>
      <c r="F5" s="0" t="n">
        <f aca="false">(D4/D5-1)/Inputs!$B$11</f>
        <v>0.041219004379514</v>
      </c>
      <c r="G5" s="0" t="n">
        <f aca="false">F5*Inputs!$B$11*Inputs!$B$9</f>
        <v>206095.02189757</v>
      </c>
      <c r="H5" s="0" t="n">
        <f aca="false">C5+Inputs!$B$12/10000</f>
        <v>0.0417</v>
      </c>
      <c r="I5" s="0" t="n">
        <f aca="false">EXP(-H5*B5)</f>
        <v>0.959157484660112</v>
      </c>
      <c r="J5" s="0" t="n">
        <f aca="false">Inputs!$B$10*Inputs!$B$11*Inputs!$B$9</f>
        <v>200000</v>
      </c>
      <c r="K5" s="0" t="n">
        <f aca="false">(I4/I5-1)/Inputs!$B$11</f>
        <v>0.0413210678812992</v>
      </c>
      <c r="L5" s="0" t="n">
        <f aca="false">K5*Inputs!$B$11*Inputs!$B$9</f>
        <v>206605.339406496</v>
      </c>
    </row>
    <row r="6" customFormat="false" ht="15" hidden="false" customHeight="false" outlineLevel="0" collapsed="false">
      <c r="A6" s="0" t="n">
        <v>3</v>
      </c>
      <c r="B6" s="0" t="n">
        <v>1.5</v>
      </c>
      <c r="C6" s="0" t="n">
        <f aca="false">(Inputs!C5+Inputs!C6)/2</f>
        <v>0.04205</v>
      </c>
      <c r="D6" s="0" t="n">
        <f aca="false">EXP(-C6*B6)</f>
        <v>0.938873055569319</v>
      </c>
      <c r="E6" s="0" t="n">
        <f aca="false">Inputs!$B$10*Inputs!$B$11*Inputs!$B$9</f>
        <v>200000</v>
      </c>
      <c r="F6" s="0" t="n">
        <f aca="false">(D5/D6-1)/Inputs!$B$11</f>
        <v>0.0434144946738249</v>
      </c>
      <c r="G6" s="0" t="n">
        <f aca="false">F6*Inputs!$B$11*Inputs!$B$9</f>
        <v>217072.473369124</v>
      </c>
      <c r="H6" s="0" t="n">
        <f aca="false">C6+Inputs!$B$12/10000</f>
        <v>0.04215</v>
      </c>
      <c r="I6" s="0" t="n">
        <f aca="false">EXP(-H6*B6)</f>
        <v>0.938732235172778</v>
      </c>
      <c r="J6" s="0" t="n">
        <f aca="false">Inputs!$B$10*Inputs!$B$11*Inputs!$B$9</f>
        <v>200000</v>
      </c>
      <c r="K6" s="0" t="n">
        <f aca="false">(I5/I6-1)/Inputs!$B$11</f>
        <v>0.0435166679528689</v>
      </c>
      <c r="L6" s="0" t="n">
        <f aca="false">K6*Inputs!$B$11*Inputs!$B$9</f>
        <v>217583.339764345</v>
      </c>
    </row>
    <row r="7" customFormat="false" ht="15" hidden="false" customHeight="false" outlineLevel="0" collapsed="false">
      <c r="A7" s="0" t="n">
        <v>4</v>
      </c>
      <c r="B7" s="0" t="n">
        <v>2</v>
      </c>
      <c r="C7" s="0" t="n">
        <f aca="false">Inputs!C6</f>
        <v>0.0425</v>
      </c>
      <c r="D7" s="0" t="n">
        <f aca="false">EXP(-C7*B7)</f>
        <v>0.918512284401457</v>
      </c>
      <c r="E7" s="0" t="n">
        <f aca="false">Inputs!$B$10*Inputs!$B$11*Inputs!$B$9</f>
        <v>200000</v>
      </c>
      <c r="F7" s="0" t="n">
        <f aca="false">(D6/D7-1)/Inputs!$B$11</f>
        <v>0.0443342381231835</v>
      </c>
      <c r="G7" s="0" t="n">
        <f aca="false">F7*Inputs!$B$11*Inputs!$B$9</f>
        <v>221671.190615917</v>
      </c>
      <c r="H7" s="0" t="n">
        <f aca="false">C7+Inputs!$B$12/10000</f>
        <v>0.0426</v>
      </c>
      <c r="I7" s="0" t="n">
        <f aca="false">EXP(-H7*B7)</f>
        <v>0.918328600313598</v>
      </c>
      <c r="J7" s="0" t="n">
        <f aca="false">Inputs!$B$10*Inputs!$B$11*Inputs!$B$9</f>
        <v>200000</v>
      </c>
      <c r="K7" s="0" t="n">
        <f aca="false">(I6/I7-1)/Inputs!$B$11</f>
        <v>0.04443645739055</v>
      </c>
      <c r="L7" s="0" t="n">
        <f aca="false">K7*Inputs!$B$11*Inputs!$B$9</f>
        <v>222182.28695275</v>
      </c>
    </row>
    <row r="8" customFormat="false" ht="15" hidden="false" customHeight="false" outlineLevel="0" collapsed="false">
      <c r="A8" s="0" t="n">
        <v>5</v>
      </c>
      <c r="B8" s="0" t="n">
        <v>2.5</v>
      </c>
      <c r="C8" s="0" t="n">
        <f aca="false">(Inputs!C6+Inputs!C7)/2</f>
        <v>0.0426</v>
      </c>
      <c r="D8" s="0" t="n">
        <f aca="false">EXP(-C8*B8)</f>
        <v>0.898975048161231</v>
      </c>
      <c r="E8" s="0" t="n">
        <f aca="false">Inputs!$B$10*Inputs!$B$11*Inputs!$B$9</f>
        <v>200000</v>
      </c>
      <c r="F8" s="0" t="n">
        <f aca="false">(D7/D8-1)/Inputs!$B$11</f>
        <v>0.0434655806747641</v>
      </c>
      <c r="G8" s="0" t="n">
        <f aca="false">F8*Inputs!$B$11*Inputs!$B$9</f>
        <v>217327.903373821</v>
      </c>
      <c r="H8" s="0" t="n">
        <f aca="false">C8+Inputs!$B$12/10000</f>
        <v>0.0427</v>
      </c>
      <c r="I8" s="0" t="n">
        <f aca="false">EXP(-H8*B8)</f>
        <v>0.89875033248982</v>
      </c>
      <c r="J8" s="0" t="n">
        <f aca="false">Inputs!$B$10*Inputs!$B$11*Inputs!$B$9</f>
        <v>200000</v>
      </c>
      <c r="K8" s="0" t="n">
        <f aca="false">(I7/I8-1)/Inputs!$B$11</f>
        <v>0.0435677565081725</v>
      </c>
      <c r="L8" s="0" t="n">
        <f aca="false">K8*Inputs!$B$11*Inputs!$B$9</f>
        <v>217838.782540862</v>
      </c>
    </row>
    <row r="9" customFormat="false" ht="15" hidden="false" customHeight="false" outlineLevel="0" collapsed="false">
      <c r="A9" s="0" t="n">
        <v>6</v>
      </c>
      <c r="B9" s="0" t="n">
        <v>3</v>
      </c>
      <c r="C9" s="0" t="n">
        <f aca="false">Inputs!C7</f>
        <v>0.0427</v>
      </c>
      <c r="D9" s="0" t="n">
        <f aca="false">EXP(-C9*B9)</f>
        <v>0.87976539820585</v>
      </c>
      <c r="E9" s="0" t="n">
        <f aca="false">Inputs!$B$10*Inputs!$B$11*Inputs!$B$9</f>
        <v>200000</v>
      </c>
      <c r="F9" s="0" t="n">
        <f aca="false">(D8/D9-1)/Inputs!$B$11</f>
        <v>0.0436699374504999</v>
      </c>
      <c r="G9" s="0" t="n">
        <f aca="false">F9*Inputs!$B$11*Inputs!$B$9</f>
        <v>218349.687252499</v>
      </c>
      <c r="H9" s="0" t="n">
        <f aca="false">C9+Inputs!$B$12/10000</f>
        <v>0.0428</v>
      </c>
      <c r="I9" s="0" t="n">
        <f aca="false">EXP(-H9*B9)</f>
        <v>0.879501508171872</v>
      </c>
      <c r="J9" s="0" t="n">
        <f aca="false">Inputs!$B$10*Inputs!$B$11*Inputs!$B$9</f>
        <v>200000</v>
      </c>
      <c r="K9" s="0" t="n">
        <f aca="false">(I8/I9-1)/Inputs!$B$11</f>
        <v>0.0437721235020026</v>
      </c>
      <c r="L9" s="0" t="n">
        <f aca="false">K9*Inputs!$B$11*Inputs!$B$9</f>
        <v>218860.617510013</v>
      </c>
    </row>
    <row r="12" customFormat="false" ht="15" hidden="false" customHeight="false" outlineLevel="0" collapsed="false">
      <c r="A12" s="0" t="s">
        <v>27</v>
      </c>
      <c r="B12" s="0" t="n">
        <f aca="false">SUMPRODUCT(D4:D9,E4:E9)</f>
        <v>1114880.4663804</v>
      </c>
    </row>
    <row r="13" customFormat="false" ht="15" hidden="false" customHeight="false" outlineLevel="0" collapsed="false">
      <c r="A13" s="0" t="s">
        <v>28</v>
      </c>
      <c r="B13" s="0" t="n">
        <f aca="false">SUMPRODUCT(D4:D9,G4:G9)</f>
        <v>1202346.0179415</v>
      </c>
    </row>
    <row r="14" customFormat="false" ht="15" hidden="false" customHeight="false" outlineLevel="0" collapsed="false">
      <c r="A14" s="0" t="s">
        <v>29</v>
      </c>
      <c r="B14" s="0" t="n">
        <f aca="false">Inputs!B9*(1-D9)</f>
        <v>1202346.0179415</v>
      </c>
    </row>
    <row r="15" customFormat="false" ht="15" hidden="false" customHeight="false" outlineLevel="0" collapsed="false">
      <c r="A15" s="0" t="s">
        <v>30</v>
      </c>
      <c r="B15" s="0" t="n">
        <f aca="false">B13-B14</f>
        <v>0</v>
      </c>
    </row>
    <row r="16" customFormat="false" ht="15" hidden="false" customHeight="false" outlineLevel="0" collapsed="false">
      <c r="A16" s="0" t="s">
        <v>31</v>
      </c>
      <c r="B16" s="0" t="n">
        <f aca="false">(1-D9)/(Inputs!B11*SUM(D4:D9))</f>
        <v>0.0431381140561219</v>
      </c>
    </row>
    <row r="17" customFormat="false" ht="15" hidden="false" customHeight="false" outlineLevel="0" collapsed="false">
      <c r="A17" s="0" t="s">
        <v>32</v>
      </c>
      <c r="B17" s="0" t="n">
        <f aca="false">B13-B12</f>
        <v>87465.5515611037</v>
      </c>
    </row>
    <row r="18" customFormat="false" ht="15" hidden="false" customHeight="false" outlineLevel="0" collapsed="false">
      <c r="A18" s="0" t="s">
        <v>33</v>
      </c>
      <c r="B18" s="0" t="n">
        <f aca="false">SUMPRODUCT(I4:I9,L4:L9)-SUMPRODUCT(I4:I9,J4:J9)</f>
        <v>90296.0480343706</v>
      </c>
    </row>
    <row r="19" customFormat="false" ht="15" hidden="false" customHeight="false" outlineLevel="0" collapsed="false">
      <c r="A19" s="0" t="s">
        <v>34</v>
      </c>
      <c r="B19" s="0" t="n">
        <f aca="false">B18-B17</f>
        <v>2830.49647326698</v>
      </c>
    </row>
    <row r="20" customFormat="false" ht="15" hidden="false" customHeight="false" outlineLevel="0" collapsed="false">
      <c r="A20" s="0" t="s">
        <v>35</v>
      </c>
      <c r="B20" s="0" t="n">
        <f aca="false">Inputs!B11*SUM(D4:D9)</f>
        <v>2.787201165951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0"/>
  </cols>
  <sheetData>
    <row r="1" customFormat="false" ht="15" hidden="false" customHeight="false" outlineLevel="0" collapsed="false">
      <c r="A1" s="1" t="s">
        <v>36</v>
      </c>
    </row>
    <row r="3" customFormat="false" ht="15" hidden="false" customHeight="false" outlineLevel="0" collapsed="false">
      <c r="A3" s="0" t="s">
        <v>37</v>
      </c>
      <c r="B3" s="0" t="n">
        <f aca="false">Inputs!B9</f>
        <v>10000000</v>
      </c>
    </row>
    <row r="4" customFormat="false" ht="15" hidden="false" customHeight="false" outlineLevel="0" collapsed="false">
      <c r="A4" s="0" t="s">
        <v>38</v>
      </c>
      <c r="B4" s="0" t="n">
        <f aca="false">B3*Inputs!B13</f>
        <v>1573700000</v>
      </c>
    </row>
    <row r="6" customFormat="false" ht="15" hidden="false" customHeight="false" outlineLevel="0" collapsed="false">
      <c r="A6" s="1" t="s">
        <v>16</v>
      </c>
      <c r="B6" s="1" t="s">
        <v>39</v>
      </c>
      <c r="C6" s="1" t="s">
        <v>40</v>
      </c>
      <c r="D6" s="1" t="s">
        <v>41</v>
      </c>
      <c r="E6" s="1" t="s">
        <v>42</v>
      </c>
    </row>
    <row r="7" customFormat="false" ht="15" hidden="false" customHeight="false" outlineLevel="0" collapsed="false">
      <c r="A7" s="0" t="n">
        <f aca="false">Swap_Valuation!B4</f>
        <v>0.5</v>
      </c>
      <c r="B7" s="0" t="n">
        <f aca="false">Swap_Valuation!D4</f>
        <v>0.97902314035962</v>
      </c>
      <c r="C7" s="0" t="n">
        <f aca="false">$B$3*Inputs!$B$14*Inputs!$B$11</f>
        <v>200000</v>
      </c>
      <c r="D7" s="0" t="n">
        <f aca="false">EXP(-Inputs!$B$16*A7)</f>
        <v>0.996506117860415</v>
      </c>
      <c r="E7" s="0" t="n">
        <f aca="false">$B$4*Inputs!$B$15*Inputs!$B$11</f>
        <v>7868500</v>
      </c>
    </row>
    <row r="8" customFormat="false" ht="15" hidden="false" customHeight="false" outlineLevel="0" collapsed="false">
      <c r="A8" s="0" t="n">
        <f aca="false">Swap_Valuation!B5</f>
        <v>1</v>
      </c>
      <c r="B8" s="0" t="n">
        <f aca="false">Swap_Valuation!D5</f>
        <v>0.959253405204525</v>
      </c>
      <c r="C8" s="0" t="n">
        <f aca="false">$B$3*Inputs!$B$14*Inputs!$B$11</f>
        <v>200000</v>
      </c>
      <c r="D8" s="0" t="n">
        <f aca="false">EXP(-Inputs!$B$16*A8)</f>
        <v>0.993024442933235</v>
      </c>
      <c r="E8" s="0" t="n">
        <f aca="false">$B$4*Inputs!$B$15*Inputs!$B$11</f>
        <v>7868500</v>
      </c>
    </row>
    <row r="9" customFormat="false" ht="15" hidden="false" customHeight="false" outlineLevel="0" collapsed="false">
      <c r="A9" s="0" t="n">
        <f aca="false">Swap_Valuation!B6</f>
        <v>1.5</v>
      </c>
      <c r="B9" s="0" t="n">
        <f aca="false">Swap_Valuation!D6</f>
        <v>0.938873055569319</v>
      </c>
      <c r="C9" s="0" t="n">
        <f aca="false">$B$3*Inputs!$B$14*Inputs!$B$11</f>
        <v>200000</v>
      </c>
      <c r="D9" s="0" t="n">
        <f aca="false">EXP(-Inputs!$B$16*A9)</f>
        <v>0.989554932567899</v>
      </c>
      <c r="E9" s="0" t="n">
        <f aca="false">$B$4*Inputs!$B$15*Inputs!$B$11</f>
        <v>7868500</v>
      </c>
    </row>
    <row r="10" customFormat="false" ht="15" hidden="false" customHeight="false" outlineLevel="0" collapsed="false">
      <c r="A10" s="0" t="n">
        <f aca="false">Swap_Valuation!B7</f>
        <v>2</v>
      </c>
      <c r="B10" s="0" t="n">
        <f aca="false">Swap_Valuation!D7</f>
        <v>0.918512284401457</v>
      </c>
      <c r="C10" s="0" t="n">
        <f aca="false">$B$3*Inputs!$B$14*Inputs!$B$11</f>
        <v>200000</v>
      </c>
      <c r="D10" s="0" t="n">
        <f aca="false">EXP(-Inputs!$B$16*A10)</f>
        <v>0.986097544262862</v>
      </c>
      <c r="E10" s="0" t="n">
        <f aca="false">$B$4*Inputs!$B$15*Inputs!$B$11</f>
        <v>7868500</v>
      </c>
    </row>
    <row r="11" customFormat="false" ht="15" hidden="false" customHeight="false" outlineLevel="0" collapsed="false">
      <c r="A11" s="0" t="n">
        <f aca="false">Swap_Valuation!B8</f>
        <v>2.5</v>
      </c>
      <c r="B11" s="0" t="n">
        <f aca="false">Swap_Valuation!D8</f>
        <v>0.898975048161231</v>
      </c>
      <c r="C11" s="0" t="n">
        <f aca="false">$B$3*Inputs!$B$14*Inputs!$B$11</f>
        <v>200000</v>
      </c>
      <c r="D11" s="0" t="n">
        <f aca="false">EXP(-Inputs!$B$16*A11)</f>
        <v>0.982652235665073</v>
      </c>
      <c r="E11" s="0" t="n">
        <f aca="false">$B$4*Inputs!$B$15*Inputs!$B$11</f>
        <v>7868500</v>
      </c>
    </row>
    <row r="12" customFormat="false" ht="15" hidden="false" customHeight="false" outlineLevel="0" collapsed="false">
      <c r="A12" s="0" t="n">
        <f aca="false">Swap_Valuation!B9</f>
        <v>3</v>
      </c>
      <c r="B12" s="0" t="n">
        <f aca="false">Swap_Valuation!D9</f>
        <v>0.87976539820585</v>
      </c>
      <c r="C12" s="0" t="n">
        <f aca="false">$B$3*Inputs!$B$14*Inputs!$B$11+$B$3</f>
        <v>10200000</v>
      </c>
      <c r="D12" s="0" t="n">
        <f aca="false">EXP(-Inputs!$B$16*A12)</f>
        <v>0.97921896456946</v>
      </c>
      <c r="E12" s="0" t="n">
        <f aca="false">$B$4*Inputs!$B$15*Inputs!$B$11+$B$4</f>
        <v>1581568500</v>
      </c>
    </row>
    <row r="14" customFormat="false" ht="15" hidden="false" customHeight="false" outlineLevel="0" collapsed="false">
      <c r="A14" s="0" t="s">
        <v>43</v>
      </c>
      <c r="B14" s="0" t="n">
        <f aca="false">SUMPRODUCT(B7:B12,C7:C12)</f>
        <v>9912534.4484389</v>
      </c>
    </row>
    <row r="15" customFormat="false" ht="15" hidden="false" customHeight="false" outlineLevel="0" collapsed="false">
      <c r="A15" s="0" t="s">
        <v>44</v>
      </c>
      <c r="B15" s="0" t="n">
        <f aca="false">SUMPRODUCT(D7:D12,E7:E12)</f>
        <v>1587633910.81355</v>
      </c>
    </row>
    <row r="16" customFormat="false" ht="15" hidden="false" customHeight="false" outlineLevel="0" collapsed="false">
      <c r="A16" s="0" t="s">
        <v>45</v>
      </c>
      <c r="B16" s="0" t="n">
        <f aca="false">B15/Inputs!B13</f>
        <v>10088542.3575875</v>
      </c>
    </row>
    <row r="17" customFormat="false" ht="15" hidden="false" customHeight="false" outlineLevel="0" collapsed="false">
      <c r="A17" s="0" t="s">
        <v>46</v>
      </c>
      <c r="B17" s="0" t="n">
        <f aca="false">B16-B14</f>
        <v>176007.909148645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2026-10-02T20:47:43Z</dcterms:created>
  <dc:creator>Deepak Chaudhary</dc:creator>
  <dc:description/>
  <dc:language>en-IN</dc:language>
  <cp:lastModifiedBy>Deepak Chaudhary</cp:lastModifiedBy>
  <dcterms:modified xsi:type="dcterms:W3CDTF">2026-10-02T20:47:43Z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