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Prices" sheetId="3" state="visible" r:id="rId5"/>
    <sheet name="Returns" sheetId="4" state="visible" r:id="rId6"/>
    <sheet name="Parametric" sheetId="5" state="visible" r:id="rId7"/>
    <sheet name="Historical" sheetId="6" state="visible" r:id="rId8"/>
    <sheet name="MC_Shocks" sheetId="7" state="visible" r:id="rId9"/>
    <sheet name="MonteCarlo" sheetId="8" state="visible" r:id="rId10"/>
    <sheet name="Backte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<sst xmlns="http://schemas.openxmlformats.org/spreadsheetml/2006/main" count="87" uniqueCount="62">
  <si>
    <t xml:space="preserve">1-day VaR summary (USD, 1,000,000 portfolio)</t>
  </si>
  <si>
    <t xml:space="preserve">Confidence</t>
  </si>
  <si>
    <t xml:space="preserve">Variance-covariance</t>
  </si>
  <si>
    <t xml:space="preserve">Historical simulation</t>
  </si>
  <si>
    <t xml:space="preserve">Monte Carlo</t>
  </si>
  <si>
    <t xml:space="preserve">99% backtest (250 days)</t>
  </si>
  <si>
    <t xml:space="preserve">Historical</t>
  </si>
  <si>
    <t xml:space="preserve">Parametric</t>
  </si>
  <si>
    <t xml:space="preserve">Exceptions</t>
  </si>
  <si>
    <t xml:space="preserve">Expected</t>
  </si>
  <si>
    <t xml:space="preserve">Kupiec LR</t>
  </si>
  <si>
    <t xml:space="preserve">Kupiec result</t>
  </si>
  <si>
    <t xml:space="preserve">Basel zone</t>
  </si>
  <si>
    <t xml:space="preserve">Market risk VaR engine: inputs</t>
  </si>
  <si>
    <t xml:space="preserve">Portfolio notional (USD)</t>
  </si>
  <si>
    <t xml:space="preserve">Weights</t>
  </si>
  <si>
    <t xml:space="preserve">JPM</t>
  </si>
  <si>
    <t xml:space="preserve">MS</t>
  </si>
  <si>
    <t xml:space="preserve">BAC</t>
  </si>
  <si>
    <t xml:space="preserve">Weight</t>
  </si>
  <si>
    <t xml:space="preserve">Weights sum check</t>
  </si>
  <si>
    <t xml:space="preserve">Estimation window (days)</t>
  </si>
  <si>
    <t xml:space="preserve">Data: Yahoo Finance adjusted closes. Log returns. Portfolio weights are held constant (daily rebalanced).</t>
  </si>
  <si>
    <t xml:space="preserve">Parametric and Monte Carlo VaR assume zero mean. Latest window = most recent 250 returns.</t>
  </si>
  <si>
    <t xml:space="preserve">Date</t>
  </si>
  <si>
    <t xml:space="preserve">JPM log ret</t>
  </si>
  <si>
    <t xml:space="preserve">MS log ret</t>
  </si>
  <si>
    <t xml:space="preserve">BAC log ret</t>
  </si>
  <si>
    <t xml:space="preserve">Portfolio return</t>
  </si>
  <si>
    <t xml:space="preserve">Portfolio P&amp;L (USD)</t>
  </si>
  <si>
    <t xml:space="preserve">Variance-covariance VaR (latest 250-day window)</t>
  </si>
  <si>
    <t xml:space="preserve">Covariance (daily)</t>
  </si>
  <si>
    <t xml:space="preserve">Portfolio variance (w'Sigma w)</t>
  </si>
  <si>
    <t xml:space="preserve">Portfolio daily sigma</t>
  </si>
  <si>
    <t xml:space="preserve">z-score</t>
  </si>
  <si>
    <t xml:space="preserve">1-day VaR (USD)</t>
  </si>
  <si>
    <t xml:space="preserve">VaR % of notional</t>
  </si>
  <si>
    <t xml:space="preserve">Historical simulation VaR (latest 250-day window)</t>
  </si>
  <si>
    <t xml:space="preserve">Percentile</t>
  </si>
  <si>
    <t xml:space="preserve">Worst daily P&amp;L in window</t>
  </si>
  <si>
    <t xml:space="preserve">Fixed standard-normal draws (seed 42) so results are reproducible</t>
  </si>
  <si>
    <t xml:space="preserve">Monte Carlo VaR: Cholesky of the Parametric covariance matrix, 1,000 simulated days</t>
  </si>
  <si>
    <t xml:space="preserve">Cholesky L (rows: assets, lower triangular)</t>
  </si>
  <si>
    <t xml:space="preserve">z1</t>
  </si>
  <si>
    <t xml:space="preserve">z2</t>
  </si>
  <si>
    <t xml:space="preserve">z3</t>
  </si>
  <si>
    <t xml:space="preserve">ret1</t>
  </si>
  <si>
    <t xml:space="preserve">ret2</t>
  </si>
  <si>
    <t xml:space="preserve">ret3</t>
  </si>
  <si>
    <t xml:space="preserve">Rolling 250-day backtest at 99%: 250 out-of-sample days. VaR for day t uses the 250 returns before t.</t>
  </si>
  <si>
    <t xml:space="preserve">Actual loss (USD)</t>
  </si>
  <si>
    <t xml:space="preserve">Historical VaR 99%</t>
  </si>
  <si>
    <t xml:space="preserve">Parametric VaR 99%</t>
  </si>
  <si>
    <t xml:space="preserve">HS exception</t>
  </si>
  <si>
    <t xml:space="preserve">Param exception</t>
  </si>
  <si>
    <t xml:space="preserve">Test</t>
  </si>
  <si>
    <t xml:space="preserve">Observations n</t>
  </si>
  <si>
    <t xml:space="preserve">Exceptions x</t>
  </si>
  <si>
    <t xml:space="preserve">Expected exceptions n*p</t>
  </si>
  <si>
    <t xml:space="preserve">Kupiec POF LR statistic</t>
  </si>
  <si>
    <t xml:space="preserve">Chi-square critical (5%, 1 df)</t>
  </si>
  <si>
    <t xml:space="preserve">Basel traffic light (250 days)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</si>
</sst>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</row>
    <row r="4" customFormat="false" ht="15" hidden="false" customHeight="false" outlineLevel="0" collapsed="false">
      <c r="A4" s="0" t="n">
        <v>0.99</v>
      </c>
      <c r="B4" s="0" t="n">
        <f aca="false">Parametric!C11</f>
        <v>31215.5759582268</v>
      </c>
      <c r="C4" s="0" t="n">
        <f aca="false">Historical!C4</f>
        <v>31363.0233332898</v>
      </c>
      <c r="D4" s="0" t="n">
        <f aca="false">MonteCarlo!B8</f>
        <v>29875.3305613068</v>
      </c>
    </row>
    <row r="5" customFormat="false" ht="15" hidden="false" customHeight="false" outlineLevel="0" collapsed="false">
      <c r="A5" s="0" t="n">
        <v>0.95</v>
      </c>
      <c r="B5" s="0" t="n">
        <f aca="false">Parametric!C12</f>
        <v>22071.0986113537</v>
      </c>
      <c r="C5" s="0" t="n">
        <f aca="false">Historical!C5</f>
        <v>19926.395086684</v>
      </c>
      <c r="D5" s="0" t="n">
        <f aca="false">MonteCarlo!B9</f>
        <v>19594.8806395555</v>
      </c>
    </row>
    <row r="6" customFormat="false" ht="15" hidden="false" customHeight="false" outlineLevel="0" collapsed="false">
      <c r="A6" s="0" t="n">
        <v>0.9</v>
      </c>
      <c r="B6" s="0" t="n">
        <f aca="false">Parametric!C13</f>
        <v>17196.2115748213</v>
      </c>
      <c r="C6" s="0" t="n">
        <f aca="false">Historical!C6</f>
        <v>11828.8565843164</v>
      </c>
      <c r="D6" s="0" t="n">
        <f aca="false">MonteCarlo!B10</f>
        <v>15355.6350858194</v>
      </c>
    </row>
    <row r="8" customFormat="false" ht="15" hidden="false" customHeight="false" outlineLevel="0" collapsed="false">
      <c r="A8" s="1" t="s">
        <v>5</v>
      </c>
      <c r="B8" s="1" t="s">
        <v>6</v>
      </c>
      <c r="C8" s="1" t="s">
        <v>7</v>
      </c>
    </row>
    <row r="9" customFormat="false" ht="15" hidden="false" customHeight="false" outlineLevel="0" collapsed="false">
      <c r="A9" s="0" t="s">
        <v>8</v>
      </c>
      <c r="B9" s="0" t="n">
        <f aca="false">Backtest!I5</f>
        <v>4</v>
      </c>
      <c r="C9" s="0" t="n">
        <f aca="false">Backtest!J5</f>
        <v>4</v>
      </c>
    </row>
    <row r="10" customFormat="false" ht="15" hidden="false" customHeight="false" outlineLevel="0" collapsed="false">
      <c r="A10" s="0" t="s">
        <v>9</v>
      </c>
      <c r="B10" s="0" t="n">
        <f aca="false">Backtest!I6</f>
        <v>2.5</v>
      </c>
      <c r="C10" s="0" t="n">
        <f aca="false">Backtest!J6</f>
        <v>2.5</v>
      </c>
    </row>
    <row r="11" customFormat="false" ht="15" hidden="false" customHeight="false" outlineLevel="0" collapsed="false">
      <c r="A11" s="0" t="s">
        <v>10</v>
      </c>
      <c r="B11" s="0" t="n">
        <f aca="false">Backtest!I7</f>
        <v>0.769138364385846</v>
      </c>
      <c r="C11" s="0" t="n">
        <f aca="false">Backtest!J7</f>
        <v>0.769138364385846</v>
      </c>
    </row>
    <row r="12" customFormat="false" ht="15" hidden="false" customHeight="false" outlineLevel="0" collapsed="false">
      <c r="A12" s="0" t="s">
        <v>11</v>
      </c>
      <c r="B12" s="0" t="str">
        <f aca="false">Backtest!I9</f>
        <v>Do not reject</v>
      </c>
      <c r="C12" s="0" t="str">
        <f aca="false">Backtest!J9</f>
        <v>Do not reject</v>
      </c>
    </row>
    <row r="13" customFormat="false" ht="15" hidden="false" customHeight="false" outlineLevel="0" collapsed="false">
      <c r="A13" s="0" t="s">
        <v>12</v>
      </c>
      <c r="B13" s="0" t="str">
        <f aca="false">Backtest!I10</f>
        <v>Green</v>
      </c>
      <c r="C13" s="0" t="str">
        <f aca="false">Backtest!J10</f>
        <v>Green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0" t="s">
        <v>14</v>
      </c>
      <c r="B2" s="0" t="n">
        <v>1000000</v>
      </c>
    </row>
    <row r="3" customFormat="false" ht="15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</row>
    <row r="4" customFormat="false" ht="15" hidden="false" customHeight="false" outlineLevel="0" collapsed="false">
      <c r="A4" s="0" t="s">
        <v>19</v>
      </c>
      <c r="B4" s="0" t="n">
        <v>0.4</v>
      </c>
      <c r="C4" s="0" t="n">
        <v>0.3</v>
      </c>
      <c r="D4" s="0" t="n">
        <v>0.3</v>
      </c>
    </row>
    <row r="5" customFormat="false" ht="15" hidden="false" customHeight="false" outlineLevel="0" collapsed="false">
      <c r="A5" s="0" t="s">
        <v>20</v>
      </c>
      <c r="B5" s="0" t="n">
        <f aca="false">SUM(B4:D4)</f>
        <v>1</v>
      </c>
    </row>
    <row r="6" customFormat="false" ht="15" hidden="false" customHeight="false" outlineLevel="0" collapsed="false">
      <c r="A6" s="0" t="s">
        <v>21</v>
      </c>
      <c r="B6" s="0" t="n">
        <v>250</v>
      </c>
    </row>
    <row r="8" customFormat="false" ht="15" hidden="false" customHeight="false" outlineLevel="0" collapsed="false">
      <c r="A8" s="0" t="s">
        <v>22</v>
      </c>
    </row>
    <row r="9" customFormat="false" ht="15" hidden="false" customHeight="false" outlineLevel="0" collapsed="false">
      <c r="A9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24</v>
      </c>
      <c r="B1" s="1" t="s">
        <v>16</v>
      </c>
      <c r="C1" s="1" t="s">
        <v>17</v>
      </c>
      <c r="D1" s="1" t="s">
        <v>18</v>
      </c>
    </row>
    <row r="2" customFormat="false" ht="15" hidden="false" customHeight="false" outlineLevel="0" collapsed="false">
      <c r="A2" s="2" t="n">
        <v>44930</v>
      </c>
      <c r="B2" s="0" t="n">
        <v>124.889045715332</v>
      </c>
      <c r="C2" s="0" t="n">
        <v>77.0246887207031</v>
      </c>
      <c r="D2" s="0" t="n">
        <v>31.0585441589356</v>
      </c>
    </row>
    <row r="3" customFormat="false" ht="15" hidden="false" customHeight="false" outlineLevel="0" collapsed="false">
      <c r="A3" s="2" t="n">
        <v>44931</v>
      </c>
      <c r="B3" s="0" t="n">
        <v>124.861351013184</v>
      </c>
      <c r="C3" s="0" t="n">
        <v>76.3757858276367</v>
      </c>
      <c r="D3" s="0" t="n">
        <v>30.9948673248291</v>
      </c>
    </row>
    <row r="4" customFormat="false" ht="15" hidden="false" customHeight="false" outlineLevel="0" collapsed="false">
      <c r="A4" s="2" t="n">
        <v>44932</v>
      </c>
      <c r="B4" s="0" t="n">
        <v>127.250633239746</v>
      </c>
      <c r="C4" s="0" t="n">
        <v>77.8336029052734</v>
      </c>
      <c r="D4" s="0" t="n">
        <v>31.3041725158691</v>
      </c>
    </row>
    <row r="5" customFormat="false" ht="15" hidden="false" customHeight="false" outlineLevel="0" collapsed="false">
      <c r="A5" s="2" t="n">
        <v>44935</v>
      </c>
      <c r="B5" s="0" t="n">
        <v>126.724807739258</v>
      </c>
      <c r="C5" s="0" t="n">
        <v>77.9047317504883</v>
      </c>
      <c r="D5" s="0" t="n">
        <v>30.8311042785645</v>
      </c>
    </row>
    <row r="6" customFormat="false" ht="15" hidden="false" customHeight="false" outlineLevel="0" collapsed="false">
      <c r="A6" s="2" t="n">
        <v>44936</v>
      </c>
      <c r="B6" s="0" t="n">
        <v>127.859512329102</v>
      </c>
      <c r="C6" s="0" t="n">
        <v>79.0425338745117</v>
      </c>
      <c r="D6" s="0" t="n">
        <v>31.0403575897217</v>
      </c>
    </row>
    <row r="7" customFormat="false" ht="15" hidden="false" customHeight="false" outlineLevel="0" collapsed="false">
      <c r="A7" s="2" t="n">
        <v>44937</v>
      </c>
      <c r="B7" s="0" t="n">
        <v>128.809692382813</v>
      </c>
      <c r="C7" s="0" t="n">
        <v>79.4958877563477</v>
      </c>
      <c r="D7" s="0" t="n">
        <v>31.2768840789795</v>
      </c>
    </row>
    <row r="8" customFormat="false" ht="15" hidden="false" customHeight="false" outlineLevel="0" collapsed="false">
      <c r="A8" s="2" t="n">
        <v>44938</v>
      </c>
      <c r="B8" s="0" t="n">
        <v>128.680557250977</v>
      </c>
      <c r="C8" s="0" t="n">
        <v>80.4736862182617</v>
      </c>
      <c r="D8" s="0" t="n">
        <v>31.3587589263916</v>
      </c>
    </row>
    <row r="9" customFormat="false" ht="15" hidden="false" customHeight="false" outlineLevel="0" collapsed="false">
      <c r="A9" s="2" t="n">
        <v>44939</v>
      </c>
      <c r="B9" s="0" t="n">
        <v>131.927749633789</v>
      </c>
      <c r="C9" s="0" t="n">
        <v>81.4781799316406</v>
      </c>
      <c r="D9" s="0" t="n">
        <v>32.0501708984375</v>
      </c>
    </row>
    <row r="10" customFormat="false" ht="15" hidden="false" customHeight="false" outlineLevel="0" collapsed="false">
      <c r="A10" s="2" t="n">
        <v>44943</v>
      </c>
      <c r="B10" s="0" t="n">
        <v>129.889038085938</v>
      </c>
      <c r="C10" s="0" t="n">
        <v>86.2961196899414</v>
      </c>
      <c r="D10" s="0" t="n">
        <v>31.4042510986328</v>
      </c>
    </row>
    <row r="11" customFormat="false" ht="15" hidden="false" customHeight="false" outlineLevel="0" collapsed="false">
      <c r="A11" s="2" t="n">
        <v>44944</v>
      </c>
      <c r="B11" s="0" t="n">
        <v>125.986808776856</v>
      </c>
      <c r="C11" s="0" t="n">
        <v>85.8516464233398</v>
      </c>
      <c r="D11" s="0" t="n">
        <v>30.6764545440674</v>
      </c>
    </row>
    <row r="12" customFormat="false" ht="15" hidden="false" customHeight="false" outlineLevel="0" collapsed="false">
      <c r="A12" s="2" t="n">
        <v>44945</v>
      </c>
      <c r="B12" s="0" t="n">
        <v>124.307846069336</v>
      </c>
      <c r="C12" s="0" t="n">
        <v>83.6915817260742</v>
      </c>
      <c r="D12" s="0" t="n">
        <v>30.2306842803955</v>
      </c>
    </row>
    <row r="13" customFormat="false" ht="15" hidden="false" customHeight="false" outlineLevel="0" collapsed="false">
      <c r="A13" s="2" t="n">
        <v>44946</v>
      </c>
      <c r="B13" s="0" t="n">
        <v>124.612258911133</v>
      </c>
      <c r="C13" s="0" t="n">
        <v>85.5494079589844</v>
      </c>
      <c r="D13" s="0" t="n">
        <v>30.794713973999</v>
      </c>
    </row>
    <row r="14" customFormat="false" ht="15" hidden="false" customHeight="false" outlineLevel="0" collapsed="false">
      <c r="A14" s="2" t="n">
        <v>44949</v>
      </c>
      <c r="B14" s="0" t="n">
        <v>126.63257598877</v>
      </c>
      <c r="C14" s="0" t="n">
        <v>86.3405456542969</v>
      </c>
      <c r="D14" s="0" t="n">
        <v>31.2223014831543</v>
      </c>
    </row>
    <row r="15" customFormat="false" ht="15" hidden="false" customHeight="false" outlineLevel="0" collapsed="false">
      <c r="A15" s="2" t="n">
        <v>44950</v>
      </c>
      <c r="B15" s="0" t="n">
        <v>127.721084594727</v>
      </c>
      <c r="C15" s="0" t="n">
        <v>84.900505065918</v>
      </c>
      <c r="D15" s="0" t="n">
        <v>31.449728012085</v>
      </c>
    </row>
    <row r="16" customFormat="false" ht="15" hidden="false" customHeight="false" outlineLevel="0" collapsed="false">
      <c r="A16" s="2" t="n">
        <v>44951</v>
      </c>
      <c r="B16" s="0" t="n">
        <v>128.339218139648</v>
      </c>
      <c r="C16" s="0" t="n">
        <v>85.0160598754883</v>
      </c>
      <c r="D16" s="0" t="n">
        <v>31.7226543426514</v>
      </c>
    </row>
    <row r="17" customFormat="false" ht="15" hidden="false" customHeight="false" outlineLevel="0" collapsed="false">
      <c r="A17" s="2" t="n">
        <v>44952</v>
      </c>
      <c r="B17" s="0" t="n">
        <v>129.132553100586</v>
      </c>
      <c r="C17" s="0" t="n">
        <v>85.7805328369141</v>
      </c>
      <c r="D17" s="0" t="n">
        <v>32.1502342224121</v>
      </c>
    </row>
    <row r="18" customFormat="false" ht="15" hidden="false" customHeight="false" outlineLevel="0" collapsed="false">
      <c r="A18" s="2" t="n">
        <v>44953</v>
      </c>
      <c r="B18" s="0" t="n">
        <v>129.446212768555</v>
      </c>
      <c r="C18" s="0" t="n">
        <v>86.1005477905273</v>
      </c>
      <c r="D18" s="0" t="n">
        <v>32.2503051757813</v>
      </c>
    </row>
    <row r="19" customFormat="false" ht="15" hidden="false" customHeight="false" outlineLevel="0" collapsed="false">
      <c r="A19" s="2" t="n">
        <v>44956</v>
      </c>
      <c r="B19" s="0" t="n">
        <v>128.348419189453</v>
      </c>
      <c r="C19" s="0" t="n">
        <v>85.9885330200195</v>
      </c>
      <c r="D19" s="0" t="n">
        <v>32.1138496398926</v>
      </c>
    </row>
    <row r="20" customFormat="false" ht="15" hidden="false" customHeight="false" outlineLevel="0" collapsed="false">
      <c r="A20" s="2" t="n">
        <v>44957</v>
      </c>
      <c r="B20" s="0" t="n">
        <v>129.114135742188</v>
      </c>
      <c r="C20" s="0" t="n">
        <v>87.216178894043</v>
      </c>
      <c r="D20" s="0" t="n">
        <v>32.2776069641113</v>
      </c>
    </row>
    <row r="21" customFormat="false" ht="15" hidden="false" customHeight="false" outlineLevel="0" collapsed="false">
      <c r="A21" s="2" t="n">
        <v>44958</v>
      </c>
      <c r="B21" s="0" t="n">
        <v>128.77278137207</v>
      </c>
      <c r="C21" s="0" t="n">
        <v>87.9868240356445</v>
      </c>
      <c r="D21" s="0" t="n">
        <v>32.6778831481934</v>
      </c>
    </row>
    <row r="22" customFormat="false" ht="15" hidden="false" customHeight="false" outlineLevel="0" collapsed="false">
      <c r="A22" s="2" t="n">
        <v>44959</v>
      </c>
      <c r="B22" s="0" t="n">
        <v>128.173141479492</v>
      </c>
      <c r="C22" s="0" t="n">
        <v>88.9008102416992</v>
      </c>
      <c r="D22" s="0" t="n">
        <v>32.8689308166504</v>
      </c>
    </row>
    <row r="23" customFormat="false" ht="15" hidden="false" customHeight="false" outlineLevel="0" collapsed="false">
      <c r="A23" s="2" t="n">
        <v>44960</v>
      </c>
      <c r="B23" s="0" t="n">
        <v>130.156539916992</v>
      </c>
      <c r="C23" s="0" t="n">
        <v>89.0979537963867</v>
      </c>
      <c r="D23" s="0" t="n">
        <v>33.1418533325195</v>
      </c>
    </row>
    <row r="24" customFormat="false" ht="15" hidden="false" customHeight="false" outlineLevel="0" collapsed="false">
      <c r="A24" s="2" t="n">
        <v>44963</v>
      </c>
      <c r="B24" s="0" t="n">
        <v>130.92219543457</v>
      </c>
      <c r="C24" s="0" t="n">
        <v>88.6230392456055</v>
      </c>
      <c r="D24" s="0" t="n">
        <v>33.0872650146484</v>
      </c>
    </row>
    <row r="25" customFormat="false" ht="15" hidden="false" customHeight="false" outlineLevel="0" collapsed="false">
      <c r="A25" s="2" t="n">
        <v>44964</v>
      </c>
      <c r="B25" s="0" t="n">
        <v>132.518157958984</v>
      </c>
      <c r="C25" s="0" t="n">
        <v>88.9097747802734</v>
      </c>
      <c r="D25" s="0" t="n">
        <v>33.4511566162109</v>
      </c>
    </row>
    <row r="26" customFormat="false" ht="15" hidden="false" customHeight="false" outlineLevel="0" collapsed="false">
      <c r="A26" s="2" t="n">
        <v>44965</v>
      </c>
      <c r="B26" s="0" t="n">
        <v>131.586410522461</v>
      </c>
      <c r="C26" s="0" t="n">
        <v>88.6767883300781</v>
      </c>
      <c r="D26" s="0" t="n">
        <v>33.2055320739746</v>
      </c>
    </row>
    <row r="27" customFormat="false" ht="15" hidden="false" customHeight="false" outlineLevel="0" collapsed="false">
      <c r="A27" s="2" t="n">
        <v>44966</v>
      </c>
      <c r="B27" s="0" t="n">
        <v>129.538452148438</v>
      </c>
      <c r="C27" s="0" t="n">
        <v>87.8613510131836</v>
      </c>
      <c r="D27" s="0" t="n">
        <v>32.4959411621094</v>
      </c>
    </row>
    <row r="28" customFormat="false" ht="15" hidden="false" customHeight="false" outlineLevel="0" collapsed="false">
      <c r="A28" s="2" t="n">
        <v>44967</v>
      </c>
      <c r="B28" s="0" t="n">
        <v>130.110443115234</v>
      </c>
      <c r="C28" s="0" t="n">
        <v>88.210823059082</v>
      </c>
      <c r="D28" s="0" t="n">
        <v>32.3685722351074</v>
      </c>
    </row>
    <row r="29" customFormat="false" ht="15" hidden="false" customHeight="false" outlineLevel="0" collapsed="false">
      <c r="A29" s="2" t="n">
        <v>44970</v>
      </c>
      <c r="B29" s="0" t="n">
        <v>131.521835327148</v>
      </c>
      <c r="C29" s="0" t="n">
        <v>89.0979537963867</v>
      </c>
      <c r="D29" s="0" t="n">
        <v>32.4322547912598</v>
      </c>
    </row>
    <row r="30" customFormat="false" ht="15" hidden="false" customHeight="false" outlineLevel="0" collapsed="false">
      <c r="A30" s="2" t="n">
        <v>44971</v>
      </c>
      <c r="B30" s="0" t="n">
        <v>132.103057861328</v>
      </c>
      <c r="C30" s="0" t="n">
        <v>90.1105346679688</v>
      </c>
      <c r="D30" s="0" t="n">
        <v>32.404956817627</v>
      </c>
    </row>
    <row r="31" customFormat="false" ht="15" hidden="false" customHeight="false" outlineLevel="0" collapsed="false">
      <c r="A31" s="2" t="n">
        <v>44972</v>
      </c>
      <c r="B31" s="0" t="n">
        <v>132.656524658203</v>
      </c>
      <c r="C31" s="0" t="n">
        <v>90.3524856567383</v>
      </c>
      <c r="D31" s="0" t="n">
        <v>32.3503837585449</v>
      </c>
    </row>
    <row r="32" customFormat="false" ht="15" hidden="false" customHeight="false" outlineLevel="0" collapsed="false">
      <c r="A32" s="2" t="n">
        <v>44973</v>
      </c>
      <c r="B32" s="0" t="n">
        <v>130.829986572266</v>
      </c>
      <c r="C32" s="0" t="n">
        <v>89.2234115600586</v>
      </c>
      <c r="D32" s="0" t="n">
        <v>32.0956497192383</v>
      </c>
    </row>
    <row r="33" customFormat="false" ht="15" hidden="false" customHeight="false" outlineLevel="0" collapsed="false">
      <c r="A33" s="2" t="n">
        <v>44974</v>
      </c>
      <c r="B33" s="0" t="n">
        <v>131.217407226563</v>
      </c>
      <c r="C33" s="0" t="n">
        <v>89.1696395874023</v>
      </c>
      <c r="D33" s="0" t="n">
        <v>32.1593284606934</v>
      </c>
    </row>
    <row r="34" customFormat="false" ht="15" hidden="false" customHeight="false" outlineLevel="0" collapsed="false">
      <c r="A34" s="2" t="n">
        <v>44978</v>
      </c>
      <c r="B34" s="0" t="n">
        <v>128.809692382813</v>
      </c>
      <c r="C34" s="0" t="n">
        <v>87.4760513305664</v>
      </c>
      <c r="D34" s="0" t="n">
        <v>31.4042510986328</v>
      </c>
    </row>
    <row r="35" customFormat="false" ht="15" hidden="false" customHeight="false" outlineLevel="0" collapsed="false">
      <c r="A35" s="2" t="n">
        <v>44979</v>
      </c>
      <c r="B35" s="0" t="n">
        <v>127.82258605957</v>
      </c>
      <c r="C35" s="0" t="n">
        <v>87.1623992919922</v>
      </c>
      <c r="D35" s="0" t="n">
        <v>31.1950130462647</v>
      </c>
    </row>
    <row r="36" customFormat="false" ht="15" hidden="false" customHeight="false" outlineLevel="0" collapsed="false">
      <c r="A36" s="2" t="n">
        <v>44980</v>
      </c>
      <c r="B36" s="0" t="n">
        <v>128.846572875977</v>
      </c>
      <c r="C36" s="0" t="n">
        <v>87.7627792358398</v>
      </c>
      <c r="D36" s="0" t="n">
        <v>31.1677131652832</v>
      </c>
    </row>
    <row r="37" customFormat="false" ht="15" hidden="false" customHeight="false" outlineLevel="0" collapsed="false">
      <c r="A37" s="2" t="n">
        <v>44981</v>
      </c>
      <c r="B37" s="0" t="n">
        <v>130.008941650391</v>
      </c>
      <c r="C37" s="0" t="n">
        <v>87.547721862793</v>
      </c>
      <c r="D37" s="0" t="n">
        <v>31.1222248077393</v>
      </c>
    </row>
    <row r="38" customFormat="false" ht="15" hidden="false" customHeight="false" outlineLevel="0" collapsed="false">
      <c r="A38" s="2" t="n">
        <v>44984</v>
      </c>
      <c r="B38" s="0" t="n">
        <v>131.143646240234</v>
      </c>
      <c r="C38" s="0" t="n">
        <v>86.6516265869141</v>
      </c>
      <c r="D38" s="0" t="n">
        <v>31.1222248077393</v>
      </c>
    </row>
    <row r="39" customFormat="false" ht="15" hidden="false" customHeight="false" outlineLevel="0" collapsed="false">
      <c r="A39" s="2" t="n">
        <v>44985</v>
      </c>
      <c r="B39" s="0" t="n">
        <v>132.241394042969</v>
      </c>
      <c r="C39" s="0" t="n">
        <v>86.4724197387695</v>
      </c>
      <c r="D39" s="0" t="n">
        <v>31.2040996551514</v>
      </c>
    </row>
    <row r="40" customFormat="false" ht="15" hidden="false" customHeight="false" outlineLevel="0" collapsed="false">
      <c r="A40" s="2" t="n">
        <v>44986</v>
      </c>
      <c r="B40" s="0" t="n">
        <v>131.50341796875</v>
      </c>
      <c r="C40" s="0" t="n">
        <v>86.1946411132813</v>
      </c>
      <c r="D40" s="0" t="n">
        <v>31.0585441589356</v>
      </c>
    </row>
    <row r="41" customFormat="false" ht="15" hidden="false" customHeight="false" outlineLevel="0" collapsed="false">
      <c r="A41" s="2" t="n">
        <v>44987</v>
      </c>
      <c r="B41" s="0" t="n">
        <v>130.138092041016</v>
      </c>
      <c r="C41" s="0" t="n">
        <v>86.0960540771484</v>
      </c>
      <c r="D41" s="0" t="n">
        <v>30.66481590271</v>
      </c>
    </row>
    <row r="42" customFormat="false" ht="15" hidden="false" customHeight="false" outlineLevel="0" collapsed="false">
      <c r="A42" s="2" t="n">
        <v>44988</v>
      </c>
      <c r="B42" s="0" t="n">
        <v>132.527389526367</v>
      </c>
      <c r="C42" s="0" t="n">
        <v>88.1122589111328</v>
      </c>
      <c r="D42" s="0" t="n">
        <v>31.2783031463623</v>
      </c>
    </row>
    <row r="43" customFormat="false" ht="15" hidden="false" customHeight="false" outlineLevel="0" collapsed="false">
      <c r="A43" s="2" t="n">
        <v>44991</v>
      </c>
      <c r="B43" s="0" t="n">
        <v>131.752487182617</v>
      </c>
      <c r="C43" s="0" t="n">
        <v>88.1570587158203</v>
      </c>
      <c r="D43" s="0" t="n">
        <v>31.2141990661621</v>
      </c>
    </row>
    <row r="44" customFormat="false" ht="15" hidden="false" customHeight="false" outlineLevel="0" collapsed="false">
      <c r="A44" s="2" t="n">
        <v>44992</v>
      </c>
      <c r="B44" s="0" t="n">
        <v>127.877960205078</v>
      </c>
      <c r="C44" s="0" t="n">
        <v>86.0781402587891</v>
      </c>
      <c r="D44" s="0" t="n">
        <v>30.216157913208</v>
      </c>
    </row>
    <row r="45" customFormat="false" ht="15" hidden="false" customHeight="false" outlineLevel="0" collapsed="false">
      <c r="A45" s="2" t="n">
        <v>44993</v>
      </c>
      <c r="B45" s="0" t="n">
        <v>127.121482849121</v>
      </c>
      <c r="C45" s="0" t="n">
        <v>85.9347686767578</v>
      </c>
      <c r="D45" s="0" t="n">
        <v>29.8132743835449</v>
      </c>
    </row>
    <row r="46" customFormat="false" ht="15" hidden="false" customHeight="false" outlineLevel="0" collapsed="false">
      <c r="A46" s="2" t="n">
        <v>44994</v>
      </c>
      <c r="B46" s="0" t="n">
        <v>120.239585876465</v>
      </c>
      <c r="C46" s="0" t="n">
        <v>82.6192474365234</v>
      </c>
      <c r="D46" s="0" t="n">
        <v>27.963680267334</v>
      </c>
    </row>
    <row r="47" customFormat="false" ht="15" hidden="false" customHeight="false" outlineLevel="0" collapsed="false">
      <c r="A47" s="2" t="n">
        <v>44995</v>
      </c>
      <c r="B47" s="0" t="n">
        <v>123.293106079102</v>
      </c>
      <c r="C47" s="0" t="n">
        <v>80.6926651000977</v>
      </c>
      <c r="D47" s="0" t="n">
        <v>27.7164554595947</v>
      </c>
    </row>
    <row r="48" customFormat="false" ht="15" hidden="false" customHeight="false" outlineLevel="0" collapsed="false">
      <c r="A48" s="2" t="n">
        <v>44998</v>
      </c>
      <c r="B48" s="0" t="n">
        <v>121.079071044922</v>
      </c>
      <c r="C48" s="0" t="n">
        <v>78.8467254638672</v>
      </c>
      <c r="D48" s="0" t="n">
        <v>26.1049289703369</v>
      </c>
    </row>
    <row r="49" customFormat="false" ht="15" hidden="false" customHeight="false" outlineLevel="0" collapsed="false">
      <c r="A49" s="2" t="n">
        <v>44999</v>
      </c>
      <c r="B49" s="0" t="n">
        <v>124.187919616699</v>
      </c>
      <c r="C49" s="0" t="n">
        <v>80.6209564208984</v>
      </c>
      <c r="D49" s="0" t="n">
        <v>26.3338413238525</v>
      </c>
    </row>
    <row r="50" customFormat="false" ht="15" hidden="false" customHeight="false" outlineLevel="0" collapsed="false">
      <c r="A50" s="2" t="n">
        <v>45000</v>
      </c>
      <c r="B50" s="0" t="n">
        <v>118.320755004883</v>
      </c>
      <c r="C50" s="0" t="n">
        <v>76.5168914794922</v>
      </c>
      <c r="D50" s="0" t="n">
        <v>26.0866165161133</v>
      </c>
    </row>
    <row r="51" customFormat="false" ht="15" hidden="false" customHeight="false" outlineLevel="0" collapsed="false">
      <c r="A51" s="2" t="n">
        <v>45001</v>
      </c>
      <c r="B51" s="0" t="n">
        <v>120.617813110352</v>
      </c>
      <c r="C51" s="0" t="n">
        <v>77.9685440063477</v>
      </c>
      <c r="D51" s="0" t="n">
        <v>26.5261249542236</v>
      </c>
    </row>
    <row r="52" customFormat="false" ht="15" hidden="false" customHeight="false" outlineLevel="0" collapsed="false">
      <c r="A52" s="2" t="n">
        <v>45002</v>
      </c>
      <c r="B52" s="0" t="n">
        <v>116.060623168945</v>
      </c>
      <c r="C52" s="0" t="n">
        <v>75.4326248168945</v>
      </c>
      <c r="D52" s="0" t="n">
        <v>25.4731349945068</v>
      </c>
    </row>
    <row r="53" customFormat="false" ht="15" hidden="false" customHeight="false" outlineLevel="0" collapsed="false">
      <c r="A53" s="2" t="n">
        <v>45005</v>
      </c>
      <c r="B53" s="0" t="n">
        <v>117.287567138672</v>
      </c>
      <c r="C53" s="0" t="n">
        <v>76.7409133911133</v>
      </c>
      <c r="D53" s="0" t="n">
        <v>25.4090404510498</v>
      </c>
    </row>
    <row r="54" customFormat="false" ht="15" hidden="false" customHeight="false" outlineLevel="0" collapsed="false">
      <c r="A54" s="2" t="n">
        <v>45006</v>
      </c>
      <c r="B54" s="0" t="n">
        <v>120.433326721191</v>
      </c>
      <c r="C54" s="0" t="n">
        <v>79.5366897583008</v>
      </c>
      <c r="D54" s="0" t="n">
        <v>26.1781768798828</v>
      </c>
    </row>
    <row r="55" customFormat="false" ht="15" hidden="false" customHeight="false" outlineLevel="0" collapsed="false">
      <c r="A55" s="2" t="n">
        <v>45007</v>
      </c>
      <c r="B55" s="0" t="n">
        <v>117.32447052002</v>
      </c>
      <c r="C55" s="0" t="n">
        <v>78.4524307250977</v>
      </c>
      <c r="D55" s="0" t="n">
        <v>25.3083190917969</v>
      </c>
    </row>
    <row r="56" customFormat="false" ht="15" hidden="false" customHeight="false" outlineLevel="0" collapsed="false">
      <c r="A56" s="2" t="n">
        <v>45008</v>
      </c>
      <c r="B56" s="0" t="n">
        <v>117.010818481445</v>
      </c>
      <c r="C56" s="0" t="n">
        <v>76.9201278686523</v>
      </c>
      <c r="D56" s="0" t="n">
        <v>24.6948375701904</v>
      </c>
    </row>
    <row r="57" customFormat="false" ht="15" hidden="false" customHeight="false" outlineLevel="0" collapsed="false">
      <c r="A57" s="2" t="n">
        <v>45009</v>
      </c>
      <c r="B57" s="0" t="n">
        <v>115.23038482666</v>
      </c>
      <c r="C57" s="0" t="n">
        <v>75.2265319824219</v>
      </c>
      <c r="D57" s="0" t="n">
        <v>24.8504981994629</v>
      </c>
    </row>
    <row r="58" customFormat="false" ht="15" hidden="false" customHeight="false" outlineLevel="0" collapsed="false">
      <c r="A58" s="2" t="n">
        <v>45012</v>
      </c>
      <c r="B58" s="0" t="n">
        <v>118.53296661377</v>
      </c>
      <c r="C58" s="0" t="n">
        <v>75.8448257446289</v>
      </c>
      <c r="D58" s="0" t="n">
        <v>26.0866165161133</v>
      </c>
    </row>
    <row r="59" customFormat="false" ht="15" hidden="false" customHeight="false" outlineLevel="0" collapsed="false">
      <c r="A59" s="2" t="n">
        <v>45013</v>
      </c>
      <c r="B59" s="0" t="n">
        <v>118.892730712891</v>
      </c>
      <c r="C59" s="0" t="n">
        <v>76.0598831176758</v>
      </c>
      <c r="D59" s="0" t="n">
        <v>25.74782371521</v>
      </c>
    </row>
    <row r="60" customFormat="false" ht="15" hidden="false" customHeight="false" outlineLevel="0" collapsed="false">
      <c r="A60" s="2" t="n">
        <v>45014</v>
      </c>
      <c r="B60" s="0" t="n">
        <v>119.132568359375</v>
      </c>
      <c r="C60" s="0" t="n">
        <v>77.278564453125</v>
      </c>
      <c r="D60" s="0" t="n">
        <v>26.251428604126</v>
      </c>
    </row>
    <row r="61" customFormat="false" ht="15" hidden="false" customHeight="false" outlineLevel="0" collapsed="false">
      <c r="A61" s="2" t="n">
        <v>45015</v>
      </c>
      <c r="B61" s="0" t="n">
        <v>118.772804260254</v>
      </c>
      <c r="C61" s="0" t="n">
        <v>77.1620712280273</v>
      </c>
      <c r="D61" s="0" t="n">
        <v>25.9126415252686</v>
      </c>
    </row>
    <row r="62" customFormat="false" ht="15" hidden="false" customHeight="false" outlineLevel="0" collapsed="false">
      <c r="A62" s="2" t="n">
        <v>45016</v>
      </c>
      <c r="B62" s="0" t="n">
        <v>120.211906433106</v>
      </c>
      <c r="C62" s="0" t="n">
        <v>78.6764602661133</v>
      </c>
      <c r="D62" s="0" t="n">
        <v>26.187334060669</v>
      </c>
    </row>
    <row r="63" customFormat="false" ht="15" hidden="false" customHeight="false" outlineLevel="0" collapsed="false">
      <c r="A63" s="2" t="n">
        <v>45019</v>
      </c>
      <c r="B63" s="0" t="n">
        <v>120.073554992676</v>
      </c>
      <c r="C63" s="0" t="n">
        <v>78.1029739379883</v>
      </c>
      <c r="D63" s="0" t="n">
        <v>26.1781768798828</v>
      </c>
    </row>
    <row r="64" customFormat="false" ht="15" hidden="false" customHeight="false" outlineLevel="0" collapsed="false">
      <c r="A64" s="2" t="n">
        <v>45020</v>
      </c>
      <c r="B64" s="0" t="n">
        <v>118.468360900879</v>
      </c>
      <c r="C64" s="0" t="n">
        <v>76.0061264038086</v>
      </c>
      <c r="D64" s="0" t="n">
        <v>25.6196384429932</v>
      </c>
    </row>
    <row r="65" customFormat="false" ht="15" hidden="false" customHeight="false" outlineLevel="0" collapsed="false">
      <c r="A65" s="2" t="n">
        <v>45021</v>
      </c>
      <c r="B65" s="0" t="n">
        <v>118.645034790039</v>
      </c>
      <c r="C65" s="0" t="n">
        <v>75.1100311279297</v>
      </c>
      <c r="D65" s="0" t="n">
        <v>25.3083190917969</v>
      </c>
    </row>
    <row r="66" customFormat="false" ht="15" hidden="false" customHeight="false" outlineLevel="0" collapsed="false">
      <c r="A66" s="2" t="n">
        <v>45022</v>
      </c>
      <c r="B66" s="0" t="n">
        <v>118.514854431152</v>
      </c>
      <c r="C66" s="0" t="n">
        <v>75.4415817260742</v>
      </c>
      <c r="D66" s="0" t="n">
        <v>25.4914436340332</v>
      </c>
    </row>
    <row r="67" customFormat="false" ht="15" hidden="false" customHeight="false" outlineLevel="0" collapsed="false">
      <c r="A67" s="2" t="n">
        <v>45026</v>
      </c>
      <c r="B67" s="0" t="n">
        <v>118.905364990234</v>
      </c>
      <c r="C67" s="0" t="n">
        <v>75.2713241577148</v>
      </c>
      <c r="D67" s="0" t="n">
        <v>25.5830135345459</v>
      </c>
    </row>
    <row r="68" customFormat="false" ht="15" hidden="false" customHeight="false" outlineLevel="0" collapsed="false">
      <c r="A68" s="2" t="n">
        <v>45027</v>
      </c>
      <c r="B68" s="0" t="n">
        <v>119.491088867188</v>
      </c>
      <c r="C68" s="0" t="n">
        <v>76.2480545043945</v>
      </c>
      <c r="D68" s="0" t="n">
        <v>26.2880516052246</v>
      </c>
    </row>
    <row r="69" customFormat="false" ht="15" hidden="false" customHeight="false" outlineLevel="0" collapsed="false">
      <c r="A69" s="2" t="n">
        <v>45028</v>
      </c>
      <c r="B69" s="0" t="n">
        <v>119.472496032715</v>
      </c>
      <c r="C69" s="0" t="n">
        <v>76.5885543823242</v>
      </c>
      <c r="D69" s="0" t="n">
        <v>26.0774574279785</v>
      </c>
    </row>
    <row r="70" customFormat="false" ht="15" hidden="false" customHeight="false" outlineLevel="0" collapsed="false">
      <c r="A70" s="2" t="n">
        <v>45029</v>
      </c>
      <c r="B70" s="0" t="n">
        <v>119.928077697754</v>
      </c>
      <c r="C70" s="0" t="n">
        <v>76.7857208251953</v>
      </c>
      <c r="D70" s="0" t="n">
        <v>26.1507053375244</v>
      </c>
    </row>
    <row r="71" customFormat="false" ht="15" hidden="false" customHeight="false" outlineLevel="0" collapsed="false">
      <c r="A71" s="2" t="n">
        <v>45030</v>
      </c>
      <c r="B71" s="0" t="n">
        <v>128.983810424805</v>
      </c>
      <c r="C71" s="0" t="n">
        <v>77.6997146606445</v>
      </c>
      <c r="D71" s="0" t="n">
        <v>27.0297203063965</v>
      </c>
    </row>
    <row r="72" customFormat="false" ht="15" hidden="false" customHeight="false" outlineLevel="0" collapsed="false">
      <c r="A72" s="2" t="n">
        <v>45033</v>
      </c>
      <c r="B72" s="0" t="n">
        <v>130.00651550293</v>
      </c>
      <c r="C72" s="0" t="n">
        <v>80.0116195678711</v>
      </c>
      <c r="D72" s="0" t="n">
        <v>27.8080215454102</v>
      </c>
    </row>
    <row r="73" customFormat="false" ht="15" hidden="false" customHeight="false" outlineLevel="0" collapsed="false">
      <c r="A73" s="2" t="n">
        <v>45034</v>
      </c>
      <c r="B73" s="0" t="n">
        <v>131.466232299805</v>
      </c>
      <c r="C73" s="0" t="n">
        <v>80.5134429931641</v>
      </c>
      <c r="D73" s="0" t="n">
        <v>27.9819927215576</v>
      </c>
    </row>
    <row r="74" customFormat="false" ht="15" hidden="false" customHeight="false" outlineLevel="0" collapsed="false">
      <c r="A74" s="2" t="n">
        <v>45035</v>
      </c>
      <c r="B74" s="0" t="n">
        <v>131.298858642578</v>
      </c>
      <c r="C74" s="0" t="n">
        <v>81.0510940551758</v>
      </c>
      <c r="D74" s="0" t="n">
        <v>27.5241718292236</v>
      </c>
    </row>
    <row r="75" customFormat="false" ht="15" hidden="false" customHeight="false" outlineLevel="0" collapsed="false">
      <c r="A75" s="2" t="n">
        <v>45036</v>
      </c>
      <c r="B75" s="0" t="n">
        <v>130.917678833008</v>
      </c>
      <c r="C75" s="0" t="n">
        <v>81.0331726074219</v>
      </c>
      <c r="D75" s="0" t="n">
        <v>27.3776683807373</v>
      </c>
    </row>
    <row r="76" customFormat="false" ht="15" hidden="false" customHeight="false" outlineLevel="0" collapsed="false">
      <c r="A76" s="2" t="n">
        <v>45037</v>
      </c>
      <c r="B76" s="0" t="n">
        <v>130.666641235352</v>
      </c>
      <c r="C76" s="0" t="n">
        <v>81.6514739990234</v>
      </c>
      <c r="D76" s="0" t="n">
        <v>27.3501968383789</v>
      </c>
    </row>
    <row r="77" customFormat="false" ht="15" hidden="false" customHeight="false" outlineLevel="0" collapsed="false">
      <c r="A77" s="2" t="n">
        <v>45040</v>
      </c>
      <c r="B77" s="0" t="n">
        <v>130.843292236328</v>
      </c>
      <c r="C77" s="0" t="n">
        <v>80.8270645141602</v>
      </c>
      <c r="D77" s="0" t="n">
        <v>27.2494773864746</v>
      </c>
    </row>
    <row r="78" customFormat="false" ht="15" hidden="false" customHeight="false" outlineLevel="0" collapsed="false">
      <c r="A78" s="2" t="n">
        <v>45041</v>
      </c>
      <c r="B78" s="0" t="n">
        <v>127.998275756836</v>
      </c>
      <c r="C78" s="0" t="n">
        <v>78.9094390869141</v>
      </c>
      <c r="D78" s="0" t="n">
        <v>26.4070911407471</v>
      </c>
    </row>
    <row r="79" customFormat="false" ht="15" hidden="false" customHeight="false" outlineLevel="0" collapsed="false">
      <c r="A79" s="2" t="n">
        <v>45042</v>
      </c>
      <c r="B79" s="0" t="n">
        <v>125.729690551758</v>
      </c>
      <c r="C79" s="0" t="n">
        <v>79.2499542236328</v>
      </c>
      <c r="D79" s="0" t="n">
        <v>26.0408344268799</v>
      </c>
    </row>
    <row r="80" customFormat="false" ht="15" hidden="false" customHeight="false" outlineLevel="0" collapsed="false">
      <c r="A80" s="2" t="n">
        <v>45043</v>
      </c>
      <c r="B80" s="0" t="n">
        <v>127.421836853027</v>
      </c>
      <c r="C80" s="0" t="n">
        <v>80.8808441162109</v>
      </c>
      <c r="D80" s="0" t="n">
        <v>26.4528675079346</v>
      </c>
    </row>
    <row r="81" customFormat="false" ht="15" hidden="false" customHeight="false" outlineLevel="0" collapsed="false">
      <c r="A81" s="2" t="n">
        <v>45044</v>
      </c>
      <c r="B81" s="0" t="n">
        <v>128.528228759766</v>
      </c>
      <c r="C81" s="0" t="n">
        <v>81.3191909790039</v>
      </c>
      <c r="D81" s="0" t="n">
        <v>26.8099689483643</v>
      </c>
    </row>
    <row r="82" customFormat="false" ht="15" hidden="false" customHeight="false" outlineLevel="0" collapsed="false">
      <c r="A82" s="2" t="n">
        <v>45047</v>
      </c>
      <c r="B82" s="0" t="n">
        <v>131.280288696289</v>
      </c>
      <c r="C82" s="0" t="n">
        <v>79.4753494262695</v>
      </c>
      <c r="D82" s="0" t="n">
        <v>26.590217590332</v>
      </c>
    </row>
    <row r="83" customFormat="false" ht="15" hidden="false" customHeight="false" outlineLevel="0" collapsed="false">
      <c r="A83" s="2" t="n">
        <v>45048</v>
      </c>
      <c r="B83" s="0" t="n">
        <v>129.160461425781</v>
      </c>
      <c r="C83" s="0" t="n">
        <v>77.993034362793</v>
      </c>
      <c r="D83" s="0" t="n">
        <v>25.7844505310059</v>
      </c>
    </row>
    <row r="84" customFormat="false" ht="15" hidden="false" customHeight="false" outlineLevel="0" collapsed="false">
      <c r="A84" s="2" t="n">
        <v>45049</v>
      </c>
      <c r="B84" s="0" t="n">
        <v>126.426986694336</v>
      </c>
      <c r="C84" s="0" t="n">
        <v>76.6011047363281</v>
      </c>
      <c r="D84" s="0" t="n">
        <v>25.5097579956055</v>
      </c>
    </row>
    <row r="85" customFormat="false" ht="15" hidden="false" customHeight="false" outlineLevel="0" collapsed="false">
      <c r="A85" s="2" t="n">
        <v>45050</v>
      </c>
      <c r="B85" s="0" t="n">
        <v>124.697692871094</v>
      </c>
      <c r="C85" s="0" t="n">
        <v>74.666877746582</v>
      </c>
      <c r="D85" s="0" t="n">
        <v>24.7131519317627</v>
      </c>
    </row>
    <row r="86" customFormat="false" ht="15" hidden="false" customHeight="false" outlineLevel="0" collapsed="false">
      <c r="A86" s="2" t="n">
        <v>45051</v>
      </c>
      <c r="B86" s="0" t="n">
        <v>127.133644104004</v>
      </c>
      <c r="C86" s="0" t="n">
        <v>76.7186126708984</v>
      </c>
      <c r="D86" s="0" t="n">
        <v>25.3724136352539</v>
      </c>
    </row>
    <row r="87" customFormat="false" ht="15" hidden="false" customHeight="false" outlineLevel="0" collapsed="false">
      <c r="A87" s="2" t="n">
        <v>45054</v>
      </c>
      <c r="B87" s="0" t="n">
        <v>127.4404296875</v>
      </c>
      <c r="C87" s="0" t="n">
        <v>76.311882019043</v>
      </c>
      <c r="D87" s="0" t="n">
        <v>25.3541011810303</v>
      </c>
    </row>
    <row r="88" customFormat="false" ht="15" hidden="false" customHeight="false" outlineLevel="0" collapsed="false">
      <c r="A88" s="2" t="n">
        <v>45055</v>
      </c>
      <c r="B88" s="0" t="n">
        <v>126.826805114746</v>
      </c>
      <c r="C88" s="0" t="n">
        <v>76.2576599121094</v>
      </c>
      <c r="D88" s="0" t="n">
        <v>25.3266334533691</v>
      </c>
    </row>
    <row r="89" customFormat="false" ht="15" hidden="false" customHeight="false" outlineLevel="0" collapsed="false">
      <c r="A89" s="2" t="n">
        <v>45056</v>
      </c>
      <c r="B89" s="0" t="n">
        <v>126.891891479492</v>
      </c>
      <c r="C89" s="0" t="n">
        <v>75.6701507568359</v>
      </c>
      <c r="D89" s="0" t="n">
        <v>25.0153160095215</v>
      </c>
    </row>
    <row r="90" customFormat="false" ht="15" hidden="false" customHeight="false" outlineLevel="0" collapsed="false">
      <c r="A90" s="2" t="n">
        <v>45057</v>
      </c>
      <c r="B90" s="0" t="n">
        <v>126.492088317871</v>
      </c>
      <c r="C90" s="0" t="n">
        <v>74.6849594116211</v>
      </c>
      <c r="D90" s="0" t="n">
        <v>25.0794124603272</v>
      </c>
    </row>
    <row r="91" customFormat="false" ht="15" hidden="false" customHeight="false" outlineLevel="0" collapsed="false">
      <c r="A91" s="2" t="n">
        <v>45058</v>
      </c>
      <c r="B91" s="0" t="n">
        <v>124.679084777832</v>
      </c>
      <c r="C91" s="0" t="n">
        <v>74.4680252075195</v>
      </c>
      <c r="D91" s="0" t="n">
        <v>24.8047199249268</v>
      </c>
    </row>
    <row r="92" customFormat="false" ht="15" hidden="false" customHeight="false" outlineLevel="0" collapsed="false">
      <c r="A92" s="2" t="n">
        <v>45061</v>
      </c>
      <c r="B92" s="0" t="n">
        <v>125.729690551758</v>
      </c>
      <c r="C92" s="0" t="n">
        <v>74.9741897583008</v>
      </c>
      <c r="D92" s="0" t="n">
        <v>25.3174724578857</v>
      </c>
    </row>
    <row r="93" customFormat="false" ht="15" hidden="false" customHeight="false" outlineLevel="0" collapsed="false">
      <c r="A93" s="2" t="n">
        <v>45062</v>
      </c>
      <c r="B93" s="0" t="n">
        <v>124.883644104004</v>
      </c>
      <c r="C93" s="0" t="n">
        <v>73.9889984130859</v>
      </c>
      <c r="D93" s="0" t="n">
        <v>25.0519390106201</v>
      </c>
    </row>
    <row r="94" customFormat="false" ht="15" hidden="false" customHeight="false" outlineLevel="0" collapsed="false">
      <c r="A94" s="2" t="n">
        <v>45063</v>
      </c>
      <c r="B94" s="0" t="n">
        <v>128.723480224609</v>
      </c>
      <c r="C94" s="0" t="n">
        <v>75.8418884277344</v>
      </c>
      <c r="D94" s="0" t="n">
        <v>26.1598644256592</v>
      </c>
    </row>
    <row r="95" customFormat="false" ht="15" hidden="false" customHeight="false" outlineLevel="0" collapsed="false">
      <c r="A95" s="2" t="n">
        <v>45064</v>
      </c>
      <c r="B95" s="0" t="n">
        <v>129.69970703125</v>
      </c>
      <c r="C95" s="0" t="n">
        <v>76.3661193847656</v>
      </c>
      <c r="D95" s="0" t="n">
        <v>26.0682983398438</v>
      </c>
    </row>
    <row r="96" customFormat="false" ht="15" hidden="false" customHeight="false" outlineLevel="0" collapsed="false">
      <c r="A96" s="2" t="n">
        <v>45065</v>
      </c>
      <c r="B96" s="0" t="n">
        <v>129.402145385742</v>
      </c>
      <c r="C96" s="0" t="n">
        <v>74.3324584960938</v>
      </c>
      <c r="D96" s="0" t="n">
        <v>25.7386722564697</v>
      </c>
    </row>
    <row r="97" customFormat="false" ht="15" hidden="false" customHeight="false" outlineLevel="0" collapsed="false">
      <c r="A97" s="2" t="n">
        <v>45068</v>
      </c>
      <c r="B97" s="0" t="n">
        <v>128.3330078125</v>
      </c>
      <c r="C97" s="0" t="n">
        <v>74.3595809936523</v>
      </c>
      <c r="D97" s="0" t="n">
        <v>25.9492645263672</v>
      </c>
    </row>
    <row r="98" customFormat="false" ht="15" hidden="false" customHeight="false" outlineLevel="0" collapsed="false">
      <c r="A98" s="2" t="n">
        <v>45069</v>
      </c>
      <c r="B98" s="0" t="n">
        <v>126.994132995606</v>
      </c>
      <c r="C98" s="0" t="n">
        <v>74.6939926147461</v>
      </c>
      <c r="D98" s="0" t="n">
        <v>26.1690196990967</v>
      </c>
    </row>
    <row r="99" customFormat="false" ht="15" hidden="false" customHeight="false" outlineLevel="0" collapsed="false">
      <c r="A99" s="2" t="n">
        <v>45070</v>
      </c>
      <c r="B99" s="0" t="n">
        <v>125.831970214844</v>
      </c>
      <c r="C99" s="0" t="n">
        <v>73.4105377197266</v>
      </c>
      <c r="D99" s="0" t="n">
        <v>25.729513168335</v>
      </c>
    </row>
    <row r="100" customFormat="false" ht="15" hidden="false" customHeight="false" outlineLevel="0" collapsed="false">
      <c r="A100" s="2" t="n">
        <v>45071</v>
      </c>
      <c r="B100" s="0" t="n">
        <v>126.138786315918</v>
      </c>
      <c r="C100" s="0" t="n">
        <v>75.0193710327148</v>
      </c>
      <c r="D100" s="0" t="n">
        <v>25.7936115264893</v>
      </c>
    </row>
    <row r="101" customFormat="false" ht="15" hidden="false" customHeight="false" outlineLevel="0" collapsed="false">
      <c r="A101" s="2" t="n">
        <v>45072</v>
      </c>
      <c r="B101" s="0" t="n">
        <v>127.31958770752</v>
      </c>
      <c r="C101" s="0" t="n">
        <v>75.8328475952148</v>
      </c>
      <c r="D101" s="0" t="n">
        <v>25.9217987060547</v>
      </c>
    </row>
    <row r="102" customFormat="false" ht="15" hidden="false" customHeight="false" outlineLevel="0" collapsed="false">
      <c r="A102" s="2" t="n">
        <v>45076</v>
      </c>
      <c r="B102" s="0" t="n">
        <v>127.803031921387</v>
      </c>
      <c r="C102" s="0" t="n">
        <v>75.3989868164063</v>
      </c>
      <c r="D102" s="0" t="n">
        <v>25.8760166168213</v>
      </c>
    </row>
    <row r="103" customFormat="false" ht="15" hidden="false" customHeight="false" outlineLevel="0" collapsed="false">
      <c r="A103" s="2" t="n">
        <v>45077</v>
      </c>
      <c r="B103" s="0" t="n">
        <v>126.175971984863</v>
      </c>
      <c r="C103" s="0" t="n">
        <v>73.8986129760742</v>
      </c>
      <c r="D103" s="0" t="n">
        <v>25.4456653594971</v>
      </c>
    </row>
    <row r="104" customFormat="false" ht="15" hidden="false" customHeight="false" outlineLevel="0" collapsed="false">
      <c r="A104" s="2" t="n">
        <v>45078</v>
      </c>
      <c r="B104" s="0" t="n">
        <v>127.914596557617</v>
      </c>
      <c r="C104" s="0" t="n">
        <v>74.1788024902344</v>
      </c>
      <c r="D104" s="0" t="n">
        <v>25.6394863128662</v>
      </c>
    </row>
    <row r="105" customFormat="false" ht="15" hidden="false" customHeight="false" outlineLevel="0" collapsed="false">
      <c r="A105" s="2" t="n">
        <v>45079</v>
      </c>
      <c r="B105" s="0" t="n">
        <v>130.601593017578</v>
      </c>
      <c r="C105" s="0" t="n">
        <v>76.2395782470703</v>
      </c>
      <c r="D105" s="0" t="n">
        <v>26.49782371521</v>
      </c>
    </row>
    <row r="106" customFormat="false" ht="15" hidden="false" customHeight="false" outlineLevel="0" collapsed="false">
      <c r="A106" s="2" t="n">
        <v>45082</v>
      </c>
      <c r="B106" s="0" t="n">
        <v>129.31852722168</v>
      </c>
      <c r="C106" s="0" t="n">
        <v>75.6882171630859</v>
      </c>
      <c r="D106" s="0" t="n">
        <v>26.3409214019775</v>
      </c>
    </row>
    <row r="107" customFormat="false" ht="15" hidden="false" customHeight="false" outlineLevel="0" collapsed="false">
      <c r="A107" s="2" t="n">
        <v>45083</v>
      </c>
      <c r="B107" s="0" t="n">
        <v>129.55094909668</v>
      </c>
      <c r="C107" s="0" t="n">
        <v>77.6043853759766</v>
      </c>
      <c r="D107" s="0" t="n">
        <v>26.9777584075928</v>
      </c>
    </row>
    <row r="108" customFormat="false" ht="15" hidden="false" customHeight="false" outlineLevel="0" collapsed="false">
      <c r="A108" s="2" t="n">
        <v>45084</v>
      </c>
      <c r="B108" s="0" t="n">
        <v>130.806137084961</v>
      </c>
      <c r="C108" s="0" t="n">
        <v>78.1828460693359</v>
      </c>
      <c r="D108" s="0" t="n">
        <v>27.20849609375</v>
      </c>
    </row>
    <row r="109" customFormat="false" ht="15" hidden="false" customHeight="false" outlineLevel="0" collapsed="false">
      <c r="A109" s="2" t="n">
        <v>45085</v>
      </c>
      <c r="B109" s="0" t="n">
        <v>130.843292236328</v>
      </c>
      <c r="C109" s="0" t="n">
        <v>78.0111083984375</v>
      </c>
      <c r="D109" s="0" t="n">
        <v>26.9777584075928</v>
      </c>
    </row>
    <row r="110" customFormat="false" ht="15" hidden="false" customHeight="false" outlineLevel="0" collapsed="false">
      <c r="A110" s="2" t="n">
        <v>45086</v>
      </c>
      <c r="B110" s="0" t="n">
        <v>131.103668212891</v>
      </c>
      <c r="C110" s="0" t="n">
        <v>77.9207229614258</v>
      </c>
      <c r="D110" s="0" t="n">
        <v>27.0146789550781</v>
      </c>
    </row>
    <row r="111" customFormat="false" ht="15" hidden="false" customHeight="false" outlineLevel="0" collapsed="false">
      <c r="A111" s="2" t="n">
        <v>45089</v>
      </c>
      <c r="B111" s="0" t="n">
        <v>131.094314575195</v>
      </c>
      <c r="C111" s="0" t="n">
        <v>79.0324630737305</v>
      </c>
      <c r="D111" s="0" t="n">
        <v>26.8854637145996</v>
      </c>
    </row>
    <row r="112" customFormat="false" ht="15" hidden="false" customHeight="false" outlineLevel="0" collapsed="false">
      <c r="A112" s="2" t="n">
        <v>45090</v>
      </c>
      <c r="B112" s="0" t="n">
        <v>132.042678833008</v>
      </c>
      <c r="C112" s="0" t="n">
        <v>79.7916870117188</v>
      </c>
      <c r="D112" s="0" t="n">
        <v>27.1346607208252</v>
      </c>
    </row>
    <row r="113" customFormat="false" ht="15" hidden="false" customHeight="false" outlineLevel="0" collapsed="false">
      <c r="A113" s="2" t="n">
        <v>45091</v>
      </c>
      <c r="B113" s="0" t="n">
        <v>131.549926757813</v>
      </c>
      <c r="C113" s="0" t="n">
        <v>79.5205307006836</v>
      </c>
      <c r="D113" s="0" t="n">
        <v>26.8762359619141</v>
      </c>
    </row>
    <row r="114" customFormat="false" ht="15" hidden="false" customHeight="false" outlineLevel="0" collapsed="false">
      <c r="A114" s="2" t="n">
        <v>45092</v>
      </c>
      <c r="B114" s="0" t="n">
        <v>133.037490844727</v>
      </c>
      <c r="C114" s="0" t="n">
        <v>80.4876708984375</v>
      </c>
      <c r="D114" s="0" t="n">
        <v>27.1069717407227</v>
      </c>
    </row>
    <row r="115" customFormat="false" ht="15" hidden="false" customHeight="false" outlineLevel="0" collapsed="false">
      <c r="A115" s="2" t="n">
        <v>45093</v>
      </c>
      <c r="B115" s="0" t="n">
        <v>133.195587158203</v>
      </c>
      <c r="C115" s="0" t="n">
        <v>79.6199493408203</v>
      </c>
      <c r="D115" s="0" t="n">
        <v>26.9408416748047</v>
      </c>
    </row>
    <row r="116" customFormat="false" ht="15" hidden="false" customHeight="false" outlineLevel="0" collapsed="false">
      <c r="A116" s="2" t="n">
        <v>45097</v>
      </c>
      <c r="B116" s="0" t="n">
        <v>132.516845703125</v>
      </c>
      <c r="C116" s="0" t="n">
        <v>78.3907318115234</v>
      </c>
      <c r="D116" s="0" t="n">
        <v>26.6455020904541</v>
      </c>
    </row>
    <row r="117" customFormat="false" ht="15" hidden="false" customHeight="false" outlineLevel="0" collapsed="false">
      <c r="A117" s="2" t="n">
        <v>45098</v>
      </c>
      <c r="B117" s="0" t="n">
        <v>132.32160949707</v>
      </c>
      <c r="C117" s="0" t="n">
        <v>78.038215637207</v>
      </c>
      <c r="D117" s="0" t="n">
        <v>26.3686122894287</v>
      </c>
    </row>
    <row r="118" customFormat="false" ht="15" hidden="false" customHeight="false" outlineLevel="0" collapsed="false">
      <c r="A118" s="2" t="n">
        <v>45099</v>
      </c>
      <c r="B118" s="0" t="n">
        <v>129.774108886719</v>
      </c>
      <c r="C118" s="0" t="n">
        <v>76.3751525878906</v>
      </c>
      <c r="D118" s="0" t="n">
        <v>25.8056144714356</v>
      </c>
    </row>
    <row r="119" customFormat="false" ht="15" hidden="false" customHeight="false" outlineLevel="0" collapsed="false">
      <c r="A119" s="2" t="n">
        <v>45100</v>
      </c>
      <c r="B119" s="0" t="n">
        <v>129.095413208008</v>
      </c>
      <c r="C119" s="0" t="n">
        <v>75.5436096191406</v>
      </c>
      <c r="D119" s="0" t="n">
        <v>25.611795425415</v>
      </c>
    </row>
    <row r="120" customFormat="false" ht="15" hidden="false" customHeight="false" outlineLevel="0" collapsed="false">
      <c r="A120" s="2" t="n">
        <v>45103</v>
      </c>
      <c r="B120" s="0" t="n">
        <v>129.411514282227</v>
      </c>
      <c r="C120" s="0" t="n">
        <v>75.5526351928711</v>
      </c>
      <c r="D120" s="0" t="n">
        <v>25.9256000518799</v>
      </c>
    </row>
    <row r="121" customFormat="false" ht="15" hidden="false" customHeight="false" outlineLevel="0" collapsed="false">
      <c r="A121" s="2" t="n">
        <v>45104</v>
      </c>
      <c r="B121" s="0" t="n">
        <v>129.420806884766</v>
      </c>
      <c r="C121" s="0" t="n">
        <v>76.311882019043</v>
      </c>
      <c r="D121" s="0" t="n">
        <v>26.0640373229981</v>
      </c>
    </row>
    <row r="122" customFormat="false" ht="15" hidden="false" customHeight="false" outlineLevel="0" collapsed="false">
      <c r="A122" s="2" t="n">
        <v>45105</v>
      </c>
      <c r="B122" s="0" t="n">
        <v>128.853652954102</v>
      </c>
      <c r="C122" s="0" t="n">
        <v>75.914192199707</v>
      </c>
      <c r="D122" s="0" t="n">
        <v>25.9071407318115</v>
      </c>
    </row>
    <row r="123" customFormat="false" ht="15" hidden="false" customHeight="false" outlineLevel="0" collapsed="false">
      <c r="A123" s="2" t="n">
        <v>45106</v>
      </c>
      <c r="B123" s="0" t="n">
        <v>133.353652954102</v>
      </c>
      <c r="C123" s="0" t="n">
        <v>77.0439987182617</v>
      </c>
      <c r="D123" s="0" t="n">
        <v>26.4516754150391</v>
      </c>
    </row>
    <row r="124" customFormat="false" ht="15" hidden="false" customHeight="false" outlineLevel="0" collapsed="false">
      <c r="A124" s="2" t="n">
        <v>45107</v>
      </c>
      <c r="B124" s="0" t="n">
        <v>135.222427368164</v>
      </c>
      <c r="C124" s="0" t="n">
        <v>77.1886138916016</v>
      </c>
      <c r="D124" s="0" t="n">
        <v>26.4793682098389</v>
      </c>
    </row>
    <row r="125" customFormat="false" ht="15" hidden="false" customHeight="false" outlineLevel="0" collapsed="false">
      <c r="A125" s="2" t="n">
        <v>45110</v>
      </c>
      <c r="B125" s="0" t="n">
        <v>136.310211181641</v>
      </c>
      <c r="C125" s="0" t="n">
        <v>78.1015090942383</v>
      </c>
      <c r="D125" s="0" t="n">
        <v>26.9500713348389</v>
      </c>
    </row>
    <row r="126" customFormat="false" ht="15" hidden="false" customHeight="false" outlineLevel="0" collapsed="false">
      <c r="A126" s="2" t="n">
        <v>45112</v>
      </c>
      <c r="B126" s="0" t="n">
        <v>135.402191162109</v>
      </c>
      <c r="C126" s="0" t="n">
        <v>77.6586151123047</v>
      </c>
      <c r="D126" s="0" t="n">
        <v>26.839319229126</v>
      </c>
    </row>
    <row r="127" customFormat="false" ht="15" hidden="false" customHeight="false" outlineLevel="0" collapsed="false">
      <c r="A127" s="2" t="n">
        <v>45113</v>
      </c>
      <c r="B127" s="0" t="n">
        <v>134.0634765625</v>
      </c>
      <c r="C127" s="0" t="n">
        <v>75.3176651000977</v>
      </c>
      <c r="D127" s="0" t="n">
        <v>26.100959777832</v>
      </c>
    </row>
    <row r="128" customFormat="false" ht="15" hidden="false" customHeight="false" outlineLevel="0" collapsed="false">
      <c r="A128" s="2" t="n">
        <v>45114</v>
      </c>
      <c r="B128" s="0" t="n">
        <v>135.121322631836</v>
      </c>
      <c r="C128" s="0" t="n">
        <v>75.3447723388672</v>
      </c>
      <c r="D128" s="0" t="n">
        <v>26.3316974639893</v>
      </c>
    </row>
    <row r="129" customFormat="false" ht="15" hidden="false" customHeight="false" outlineLevel="0" collapsed="false">
      <c r="A129" s="2" t="n">
        <v>45117</v>
      </c>
      <c r="B129" s="0" t="n">
        <v>135.879577636719</v>
      </c>
      <c r="C129" s="0" t="n">
        <v>75.3809051513672</v>
      </c>
      <c r="D129" s="0" t="n">
        <v>26.4516754150391</v>
      </c>
    </row>
    <row r="130" customFormat="false" ht="15" hidden="false" customHeight="false" outlineLevel="0" collapsed="false">
      <c r="A130" s="2" t="n">
        <v>45118</v>
      </c>
      <c r="B130" s="0" t="n">
        <v>138.004638671875</v>
      </c>
      <c r="C130" s="0" t="n">
        <v>76.7909164428711</v>
      </c>
      <c r="D130" s="0" t="n">
        <v>26.7839374542236</v>
      </c>
    </row>
    <row r="131" customFormat="false" ht="15" hidden="false" customHeight="false" outlineLevel="0" collapsed="false">
      <c r="A131" s="2" t="n">
        <v>45119</v>
      </c>
      <c r="B131" s="0" t="n">
        <v>138.68798828125</v>
      </c>
      <c r="C131" s="0" t="n">
        <v>77.5230331420898</v>
      </c>
      <c r="D131" s="0" t="n">
        <v>27.0977439880371</v>
      </c>
    </row>
    <row r="132" customFormat="false" ht="15" hidden="false" customHeight="false" outlineLevel="0" collapsed="false">
      <c r="A132" s="2" t="n">
        <v>45120</v>
      </c>
      <c r="B132" s="0" t="n">
        <v>139.361999511719</v>
      </c>
      <c r="C132" s="0" t="n">
        <v>77.9207229614258</v>
      </c>
      <c r="D132" s="0" t="n">
        <v>27.3838615417481</v>
      </c>
    </row>
    <row r="133" customFormat="false" ht="15" hidden="false" customHeight="false" outlineLevel="0" collapsed="false">
      <c r="A133" s="2" t="n">
        <v>45121</v>
      </c>
      <c r="B133" s="0" t="n">
        <v>140.204513549805</v>
      </c>
      <c r="C133" s="0" t="n">
        <v>77.5320739746094</v>
      </c>
      <c r="D133" s="0" t="n">
        <v>26.8670082092285</v>
      </c>
    </row>
    <row r="134" customFormat="false" ht="15" hidden="false" customHeight="false" outlineLevel="0" collapsed="false">
      <c r="A134" s="2" t="n">
        <v>45124</v>
      </c>
      <c r="B134" s="0" t="n">
        <v>143.583969116211</v>
      </c>
      <c r="C134" s="0" t="n">
        <v>78.0653305053711</v>
      </c>
      <c r="D134" s="0" t="n">
        <v>27.1346607208252</v>
      </c>
    </row>
    <row r="135" customFormat="false" ht="15" hidden="false" customHeight="false" outlineLevel="0" collapsed="false">
      <c r="A135" s="2" t="n">
        <v>45125</v>
      </c>
      <c r="B135" s="0" t="n">
        <v>143.846099853516</v>
      </c>
      <c r="C135" s="0" t="n">
        <v>83.0997772216797</v>
      </c>
      <c r="D135" s="0" t="n">
        <v>28.3344898223877</v>
      </c>
    </row>
    <row r="136" customFormat="false" ht="15" hidden="false" customHeight="false" outlineLevel="0" collapsed="false">
      <c r="A136" s="2" t="n">
        <v>45126</v>
      </c>
      <c r="B136" s="0" t="n">
        <v>144.398391723633</v>
      </c>
      <c r="C136" s="0" t="n">
        <v>84.2024688720703</v>
      </c>
      <c r="D136" s="0" t="n">
        <v>29.1005382537842</v>
      </c>
    </row>
    <row r="137" customFormat="false" ht="15" hidden="false" customHeight="false" outlineLevel="0" collapsed="false">
      <c r="A137" s="2" t="n">
        <v>45127</v>
      </c>
      <c r="B137" s="0" t="n">
        <v>146.177032470703</v>
      </c>
      <c r="C137" s="0" t="n">
        <v>84.7809371948242</v>
      </c>
      <c r="D137" s="0" t="n">
        <v>29.2482089996338</v>
      </c>
    </row>
    <row r="138" customFormat="false" ht="15" hidden="false" customHeight="false" outlineLevel="0" collapsed="false">
      <c r="A138" s="2" t="n">
        <v>45128</v>
      </c>
      <c r="B138" s="0" t="n">
        <v>145.053680419922</v>
      </c>
      <c r="C138" s="0" t="n">
        <v>84.9707412719727</v>
      </c>
      <c r="D138" s="0" t="n">
        <v>29.5158672332764</v>
      </c>
    </row>
    <row r="139" customFormat="false" ht="15" hidden="false" customHeight="false" outlineLevel="0" collapsed="false">
      <c r="A139" s="2" t="n">
        <v>45131</v>
      </c>
      <c r="B139" s="0" t="n">
        <v>147.908889770508</v>
      </c>
      <c r="C139" s="0" t="n">
        <v>85.567268371582</v>
      </c>
      <c r="D139" s="0" t="n">
        <v>30.1342372894287</v>
      </c>
    </row>
    <row r="140" customFormat="false" ht="15" hidden="false" customHeight="false" outlineLevel="0" collapsed="false">
      <c r="A140" s="2" t="n">
        <v>45132</v>
      </c>
      <c r="B140" s="0" t="n">
        <v>146.804275512695</v>
      </c>
      <c r="C140" s="0" t="n">
        <v>85.34130859375</v>
      </c>
      <c r="D140" s="0" t="n">
        <v>29.6727676391602</v>
      </c>
    </row>
    <row r="141" customFormat="false" ht="15" hidden="false" customHeight="false" outlineLevel="0" collapsed="false">
      <c r="A141" s="2" t="n">
        <v>45133</v>
      </c>
      <c r="B141" s="0" t="n">
        <v>147.684188842773</v>
      </c>
      <c r="C141" s="0" t="n">
        <v>84.5459365844727</v>
      </c>
      <c r="D141" s="0" t="n">
        <v>29.9127292633057</v>
      </c>
    </row>
    <row r="142" customFormat="false" ht="15" hidden="false" customHeight="false" outlineLevel="0" collapsed="false">
      <c r="A142" s="2" t="n">
        <v>45134</v>
      </c>
      <c r="B142" s="0" t="n">
        <v>146.055358886719</v>
      </c>
      <c r="C142" s="0" t="n">
        <v>83.831901550293</v>
      </c>
      <c r="D142" s="0" t="n">
        <v>29.4881763458252</v>
      </c>
    </row>
    <row r="143" customFormat="false" ht="15" hidden="false" customHeight="false" outlineLevel="0" collapsed="false">
      <c r="A143" s="2" t="n">
        <v>45135</v>
      </c>
      <c r="B143" s="0" t="n">
        <v>146.88850402832</v>
      </c>
      <c r="C143" s="0" t="n">
        <v>83.5308685302734</v>
      </c>
      <c r="D143" s="0" t="n">
        <v>29.4420280456543</v>
      </c>
    </row>
    <row r="144" customFormat="false" ht="15" hidden="false" customHeight="false" outlineLevel="0" collapsed="false">
      <c r="A144" s="2" t="n">
        <v>45138</v>
      </c>
      <c r="B144" s="0" t="n">
        <v>147.871459960938</v>
      </c>
      <c r="C144" s="0" t="n">
        <v>83.5217361450195</v>
      </c>
      <c r="D144" s="0" t="n">
        <v>29.5343227386475</v>
      </c>
    </row>
    <row r="145" customFormat="false" ht="15" hidden="false" customHeight="false" outlineLevel="0" collapsed="false">
      <c r="A145" s="2" t="n">
        <v>45139</v>
      </c>
      <c r="B145" s="0" t="n">
        <v>147.141265869141</v>
      </c>
      <c r="C145" s="0" t="n">
        <v>82.9561767578125</v>
      </c>
      <c r="D145" s="0" t="n">
        <v>29.1836032867432</v>
      </c>
    </row>
    <row r="146" customFormat="false" ht="15" hidden="false" customHeight="false" outlineLevel="0" collapsed="false">
      <c r="A146" s="2" t="n">
        <v>45140</v>
      </c>
      <c r="B146" s="0" t="n">
        <v>145.474960327148</v>
      </c>
      <c r="C146" s="0" t="n">
        <v>81.4784088134766</v>
      </c>
      <c r="D146" s="0" t="n">
        <v>28.7867393493652</v>
      </c>
    </row>
    <row r="147" customFormat="false" ht="15" hidden="false" customHeight="false" outlineLevel="0" collapsed="false">
      <c r="A147" s="2" t="n">
        <v>45141</v>
      </c>
      <c r="B147" s="0" t="n">
        <v>146.364288330078</v>
      </c>
      <c r="C147" s="0" t="n">
        <v>81.3142013549805</v>
      </c>
      <c r="D147" s="0" t="n">
        <v>28.9897842407227</v>
      </c>
    </row>
    <row r="148" customFormat="false" ht="15" hidden="false" customHeight="false" outlineLevel="0" collapsed="false">
      <c r="A148" s="2" t="n">
        <v>45142</v>
      </c>
      <c r="B148" s="0" t="n">
        <v>146.055358886719</v>
      </c>
      <c r="C148" s="0" t="n">
        <v>80.9949340820313</v>
      </c>
      <c r="D148" s="0" t="n">
        <v>28.8882598876953</v>
      </c>
    </row>
    <row r="149" customFormat="false" ht="15" hidden="false" customHeight="false" outlineLevel="0" collapsed="false">
      <c r="A149" s="2" t="n">
        <v>45145</v>
      </c>
      <c r="B149" s="0" t="n">
        <v>146.748077392578</v>
      </c>
      <c r="C149" s="0" t="n">
        <v>81.2594833374023</v>
      </c>
      <c r="D149" s="0" t="n">
        <v>29.4235687255859</v>
      </c>
    </row>
    <row r="150" customFormat="false" ht="15" hidden="false" customHeight="false" outlineLevel="0" collapsed="false">
      <c r="A150" s="2" t="n">
        <v>45146</v>
      </c>
      <c r="B150" s="0" t="n">
        <v>145.924285888672</v>
      </c>
      <c r="C150" s="0" t="n">
        <v>80.7030181884766</v>
      </c>
      <c r="D150" s="0" t="n">
        <v>28.86057472229</v>
      </c>
    </row>
    <row r="151" customFormat="false" ht="15" hidden="false" customHeight="false" outlineLevel="0" collapsed="false">
      <c r="A151" s="2" t="n">
        <v>45147</v>
      </c>
      <c r="B151" s="0" t="n">
        <v>143.967758178711</v>
      </c>
      <c r="C151" s="0" t="n">
        <v>79.8729019165039</v>
      </c>
      <c r="D151" s="0" t="n">
        <v>28.4821643829346</v>
      </c>
    </row>
    <row r="152" customFormat="false" ht="15" hidden="false" customHeight="false" outlineLevel="0" collapsed="false">
      <c r="A152" s="2" t="n">
        <v>45148</v>
      </c>
      <c r="B152" s="0" t="n">
        <v>143.752471923828</v>
      </c>
      <c r="C152" s="0" t="n">
        <v>79.9458847045898</v>
      </c>
      <c r="D152" s="0" t="n">
        <v>28.5559959411621</v>
      </c>
    </row>
    <row r="153" customFormat="false" ht="15" hidden="false" customHeight="false" outlineLevel="0" collapsed="false">
      <c r="A153" s="2" t="n">
        <v>45149</v>
      </c>
      <c r="B153" s="0" t="n">
        <v>144.585647583008</v>
      </c>
      <c r="C153" s="0" t="n">
        <v>80.000617980957</v>
      </c>
      <c r="D153" s="0" t="n">
        <v>28.8790302276611</v>
      </c>
    </row>
    <row r="154" customFormat="false" ht="15" hidden="false" customHeight="false" outlineLevel="0" collapsed="false">
      <c r="A154" s="2" t="n">
        <v>45152</v>
      </c>
      <c r="B154" s="0" t="n">
        <v>144.885192871094</v>
      </c>
      <c r="C154" s="0" t="n">
        <v>79.6631088256836</v>
      </c>
      <c r="D154" s="0" t="n">
        <v>28.5467700958252</v>
      </c>
    </row>
    <row r="155" customFormat="false" ht="15" hidden="false" customHeight="false" outlineLevel="0" collapsed="false">
      <c r="A155" s="2" t="n">
        <v>45153</v>
      </c>
      <c r="B155" s="0" t="n">
        <v>141.196838378906</v>
      </c>
      <c r="C155" s="0" t="n">
        <v>78.595817565918</v>
      </c>
      <c r="D155" s="0" t="n">
        <v>27.6330509185791</v>
      </c>
    </row>
    <row r="156" customFormat="false" ht="15" hidden="false" customHeight="false" outlineLevel="0" collapsed="false">
      <c r="A156" s="2" t="n">
        <v>45154</v>
      </c>
      <c r="B156" s="0" t="n">
        <v>140.597671508789</v>
      </c>
      <c r="C156" s="0" t="n">
        <v>78.4407501220703</v>
      </c>
      <c r="D156" s="0" t="n">
        <v>27.0331382751465</v>
      </c>
    </row>
    <row r="157" customFormat="false" ht="15" hidden="false" customHeight="false" outlineLevel="0" collapsed="false">
      <c r="A157" s="2" t="n">
        <v>45155</v>
      </c>
      <c r="B157" s="0" t="n">
        <v>139.137344360352</v>
      </c>
      <c r="C157" s="0" t="n">
        <v>78.25830078125</v>
      </c>
      <c r="D157" s="0" t="n">
        <v>27.023904800415</v>
      </c>
    </row>
    <row r="158" customFormat="false" ht="15" hidden="false" customHeight="false" outlineLevel="0" collapsed="false">
      <c r="A158" s="2" t="n">
        <v>45156</v>
      </c>
      <c r="B158" s="0" t="n">
        <v>139.455612182617</v>
      </c>
      <c r="C158" s="0" t="n">
        <v>77.4373245239258</v>
      </c>
      <c r="D158" s="0" t="n">
        <v>26.8670082092285</v>
      </c>
    </row>
    <row r="159" customFormat="false" ht="15" hidden="false" customHeight="false" outlineLevel="0" collapsed="false">
      <c r="A159" s="2" t="n">
        <v>45159</v>
      </c>
      <c r="B159" s="0" t="n">
        <v>139.933013916016</v>
      </c>
      <c r="C159" s="0" t="n">
        <v>76.8535079956055</v>
      </c>
      <c r="D159" s="0" t="n">
        <v>26.9039249420166</v>
      </c>
    </row>
    <row r="160" customFormat="false" ht="15" hidden="false" customHeight="false" outlineLevel="0" collapsed="false">
      <c r="A160" s="2" t="n">
        <v>45160</v>
      </c>
      <c r="B160" s="0" t="n">
        <v>137.031051635742</v>
      </c>
      <c r="C160" s="0" t="n">
        <v>75.6949996948242</v>
      </c>
      <c r="D160" s="0" t="n">
        <v>26.2486324310303</v>
      </c>
    </row>
    <row r="161" customFormat="false" ht="15" hidden="false" customHeight="false" outlineLevel="0" collapsed="false">
      <c r="A161" s="2" t="n">
        <v>45161</v>
      </c>
      <c r="B161" s="0" t="n">
        <v>137.957824707031</v>
      </c>
      <c r="C161" s="0" t="n">
        <v>76.0690002441406</v>
      </c>
      <c r="D161" s="0" t="n">
        <v>26.2578601837158</v>
      </c>
    </row>
    <row r="162" customFormat="false" ht="15" hidden="false" customHeight="false" outlineLevel="0" collapsed="false">
      <c r="A162" s="2" t="n">
        <v>45162</v>
      </c>
      <c r="B162" s="0" t="n">
        <v>137.826736450195</v>
      </c>
      <c r="C162" s="0" t="n">
        <v>76.1146087646484</v>
      </c>
      <c r="D162" s="0" t="n">
        <v>26.4147605895996</v>
      </c>
    </row>
    <row r="163" customFormat="false" ht="15" hidden="false" customHeight="false" outlineLevel="0" collapsed="false">
      <c r="A163" s="2" t="n">
        <v>45163</v>
      </c>
      <c r="B163" s="0" t="n">
        <v>137.658248901367</v>
      </c>
      <c r="C163" s="0" t="n">
        <v>75.913932800293</v>
      </c>
      <c r="D163" s="0" t="n">
        <v>26.3040065765381</v>
      </c>
    </row>
    <row r="164" customFormat="false" ht="15" hidden="false" customHeight="false" outlineLevel="0" collapsed="false">
      <c r="A164" s="2" t="n">
        <v>45166</v>
      </c>
      <c r="B164" s="0" t="n">
        <v>138.135696411133</v>
      </c>
      <c r="C164" s="0" t="n">
        <v>76.9720916748047</v>
      </c>
      <c r="D164" s="0" t="n">
        <v>26.5439758300781</v>
      </c>
    </row>
    <row r="165" customFormat="false" ht="15" hidden="false" customHeight="false" outlineLevel="0" collapsed="false">
      <c r="A165" s="2" t="n">
        <v>45167</v>
      </c>
      <c r="B165" s="0" t="n">
        <v>139.259017944336</v>
      </c>
      <c r="C165" s="0" t="n">
        <v>78.0393829345703</v>
      </c>
      <c r="D165" s="0" t="n">
        <v>26.9223785400391</v>
      </c>
    </row>
    <row r="166" customFormat="false" ht="15" hidden="false" customHeight="false" outlineLevel="0" collapsed="false">
      <c r="A166" s="2" t="n">
        <v>45168</v>
      </c>
      <c r="B166" s="0" t="n">
        <v>138.697357177734</v>
      </c>
      <c r="C166" s="0" t="n">
        <v>77.7748336791992</v>
      </c>
      <c r="D166" s="0" t="n">
        <v>26.8023986816406</v>
      </c>
    </row>
    <row r="167" customFormat="false" ht="15" hidden="false" customHeight="false" outlineLevel="0" collapsed="false">
      <c r="A167" s="2" t="n">
        <v>45169</v>
      </c>
      <c r="B167" s="0" t="n">
        <v>136.984237670898</v>
      </c>
      <c r="C167" s="0" t="n">
        <v>77.6744995117188</v>
      </c>
      <c r="D167" s="0" t="n">
        <v>26.6814117431641</v>
      </c>
    </row>
    <row r="168" customFormat="false" ht="15" hidden="false" customHeight="false" outlineLevel="0" collapsed="false">
      <c r="A168" s="2" t="n">
        <v>45170</v>
      </c>
      <c r="B168" s="0" t="n">
        <v>137.442932128906</v>
      </c>
      <c r="C168" s="0" t="n">
        <v>78.2218246459961</v>
      </c>
      <c r="D168" s="0" t="n">
        <v>26.969913482666</v>
      </c>
    </row>
    <row r="169" customFormat="false" ht="15" hidden="false" customHeight="false" outlineLevel="0" collapsed="false">
      <c r="A169" s="2" t="n">
        <v>45174</v>
      </c>
      <c r="B169" s="0" t="n">
        <v>135.926391601563</v>
      </c>
      <c r="C169" s="0" t="n">
        <v>77.3917007446289</v>
      </c>
      <c r="D169" s="0" t="n">
        <v>26.662805557251</v>
      </c>
    </row>
    <row r="170" customFormat="false" ht="15" hidden="false" customHeight="false" outlineLevel="0" collapsed="false">
      <c r="A170" s="2" t="n">
        <v>45175</v>
      </c>
      <c r="B170" s="0" t="n">
        <v>135.701736450195</v>
      </c>
      <c r="C170" s="0" t="n">
        <v>76.7714080810547</v>
      </c>
      <c r="D170" s="0" t="n">
        <v>26.4208393096924</v>
      </c>
    </row>
    <row r="171" customFormat="false" ht="15" hidden="false" customHeight="false" outlineLevel="0" collapsed="false">
      <c r="A171" s="2" t="n">
        <v>45176</v>
      </c>
      <c r="B171" s="0" t="n">
        <v>134.540924072266</v>
      </c>
      <c r="C171" s="0" t="n">
        <v>76.4795074462891</v>
      </c>
      <c r="D171" s="0" t="n">
        <v>26.1788692474365</v>
      </c>
    </row>
    <row r="172" customFormat="false" ht="15" hidden="false" customHeight="false" outlineLevel="0" collapsed="false">
      <c r="A172" s="2" t="n">
        <v>45177</v>
      </c>
      <c r="B172" s="0" t="n">
        <v>134.643890380859</v>
      </c>
      <c r="C172" s="0" t="n">
        <v>77.4646759033203</v>
      </c>
      <c r="D172" s="0" t="n">
        <v>26.3929214477539</v>
      </c>
    </row>
    <row r="173" customFormat="false" ht="15" hidden="false" customHeight="false" outlineLevel="0" collapsed="false">
      <c r="A173" s="2" t="n">
        <v>45180</v>
      </c>
      <c r="B173" s="0" t="n">
        <v>135.233673095703</v>
      </c>
      <c r="C173" s="0" t="n">
        <v>76.1784744262695</v>
      </c>
      <c r="D173" s="0" t="n">
        <v>26.5045986175537</v>
      </c>
    </row>
    <row r="174" customFormat="false" ht="15" hidden="false" customHeight="false" outlineLevel="0" collapsed="false">
      <c r="A174" s="2" t="n">
        <v>45181</v>
      </c>
      <c r="B174" s="0" t="n">
        <v>136.993576049805</v>
      </c>
      <c r="C174" s="0" t="n">
        <v>78.0393829345703</v>
      </c>
      <c r="D174" s="0" t="n">
        <v>26.9606075286865</v>
      </c>
    </row>
    <row r="175" customFormat="false" ht="15" hidden="false" customHeight="false" outlineLevel="0" collapsed="false">
      <c r="A175" s="2" t="n">
        <v>45182</v>
      </c>
      <c r="B175" s="0" t="n">
        <v>137.059112548828</v>
      </c>
      <c r="C175" s="0" t="n">
        <v>79.5901260375977</v>
      </c>
      <c r="D175" s="0" t="n">
        <v>26.8768482208252</v>
      </c>
    </row>
    <row r="176" customFormat="false" ht="15" hidden="false" customHeight="false" outlineLevel="0" collapsed="false">
      <c r="A176" s="2" t="n">
        <v>45183</v>
      </c>
      <c r="B176" s="0" t="n">
        <v>139.717712402344</v>
      </c>
      <c r="C176" s="0" t="n">
        <v>81.2503356933594</v>
      </c>
      <c r="D176" s="0" t="n">
        <v>27.1746559143066</v>
      </c>
    </row>
    <row r="177" customFormat="false" ht="15" hidden="false" customHeight="false" outlineLevel="0" collapsed="false">
      <c r="A177" s="2" t="n">
        <v>45184</v>
      </c>
      <c r="B177" s="0" t="n">
        <v>139.305847167969</v>
      </c>
      <c r="C177" s="0" t="n">
        <v>80.6482849121094</v>
      </c>
      <c r="D177" s="0" t="n">
        <v>26.8396263122559</v>
      </c>
    </row>
    <row r="178" customFormat="false" ht="15" hidden="false" customHeight="false" outlineLevel="0" collapsed="false">
      <c r="A178" s="2" t="n">
        <v>45187</v>
      </c>
      <c r="B178" s="0" t="n">
        <v>139.59602355957</v>
      </c>
      <c r="C178" s="0" t="n">
        <v>80.9219512939453</v>
      </c>
      <c r="D178" s="0" t="n">
        <v>26.765172958374</v>
      </c>
    </row>
    <row r="179" customFormat="false" ht="15" hidden="false" customHeight="false" outlineLevel="0" collapsed="false">
      <c r="A179" s="2" t="n">
        <v>45188</v>
      </c>
      <c r="B179" s="0" t="n">
        <v>139.418151855469</v>
      </c>
      <c r="C179" s="0" t="n">
        <v>80.7395095825195</v>
      </c>
      <c r="D179" s="0" t="n">
        <v>26.662805557251</v>
      </c>
    </row>
    <row r="180" customFormat="false" ht="15" hidden="false" customHeight="false" outlineLevel="0" collapsed="false">
      <c r="A180" s="2" t="n">
        <v>45189</v>
      </c>
      <c r="B180" s="0" t="n">
        <v>138.82844543457</v>
      </c>
      <c r="C180" s="0" t="n">
        <v>79.4897918701172</v>
      </c>
      <c r="D180" s="0" t="n">
        <v>26.5697364807129</v>
      </c>
    </row>
    <row r="181" customFormat="false" ht="15" hidden="false" customHeight="false" outlineLevel="0" collapsed="false">
      <c r="A181" s="2" t="n">
        <v>45190</v>
      </c>
      <c r="B181" s="0" t="n">
        <v>137.74250793457</v>
      </c>
      <c r="C181" s="0" t="n">
        <v>77.4281921386719</v>
      </c>
      <c r="D181" s="0" t="n">
        <v>26.104419708252</v>
      </c>
    </row>
    <row r="182" customFormat="false" ht="15" hidden="false" customHeight="false" outlineLevel="0" collapsed="false">
      <c r="A182" s="2" t="n">
        <v>45191</v>
      </c>
      <c r="B182" s="0" t="n">
        <v>136.42253112793</v>
      </c>
      <c r="C182" s="0" t="n">
        <v>75.9777755737305</v>
      </c>
      <c r="D182" s="0" t="n">
        <v>25.7228584289551</v>
      </c>
    </row>
    <row r="183" customFormat="false" ht="15" hidden="false" customHeight="false" outlineLevel="0" collapsed="false">
      <c r="A183" s="2" t="n">
        <v>45194</v>
      </c>
      <c r="B183" s="0" t="n">
        <v>137.096603393555</v>
      </c>
      <c r="C183" s="0" t="n">
        <v>75.740608215332</v>
      </c>
      <c r="D183" s="0" t="n">
        <v>25.6856327056885</v>
      </c>
    </row>
    <row r="184" customFormat="false" ht="15" hidden="false" customHeight="false" outlineLevel="0" collapsed="false">
      <c r="A184" s="2" t="n">
        <v>45195</v>
      </c>
      <c r="B184" s="0" t="n">
        <v>135.673645019531</v>
      </c>
      <c r="C184" s="0" t="n">
        <v>74.9561004638672</v>
      </c>
      <c r="D184" s="0" t="n">
        <v>25.285457611084</v>
      </c>
    </row>
    <row r="185" customFormat="false" ht="15" hidden="false" customHeight="false" outlineLevel="0" collapsed="false">
      <c r="A185" s="2" t="n">
        <v>45196</v>
      </c>
      <c r="B185" s="0" t="n">
        <v>136.469360351563</v>
      </c>
      <c r="C185" s="0" t="n">
        <v>74.4817657470703</v>
      </c>
      <c r="D185" s="0" t="n">
        <v>25.3785209655762</v>
      </c>
    </row>
    <row r="186" customFormat="false" ht="15" hidden="false" customHeight="false" outlineLevel="0" collapsed="false">
      <c r="A186" s="2" t="n">
        <v>45197</v>
      </c>
      <c r="B186" s="0" t="n">
        <v>138.163757324219</v>
      </c>
      <c r="C186" s="0" t="n">
        <v>74.9743576049805</v>
      </c>
      <c r="D186" s="0" t="n">
        <v>25.6484088897705</v>
      </c>
    </row>
    <row r="187" customFormat="false" ht="15" hidden="false" customHeight="false" outlineLevel="0" collapsed="false">
      <c r="A187" s="2" t="n">
        <v>45198</v>
      </c>
      <c r="B187" s="0" t="n">
        <v>135.757919311523</v>
      </c>
      <c r="C187" s="0" t="n">
        <v>74.5</v>
      </c>
      <c r="D187" s="0" t="n">
        <v>25.4808921813965</v>
      </c>
    </row>
    <row r="188" customFormat="false" ht="15" hidden="false" customHeight="false" outlineLevel="0" collapsed="false">
      <c r="A188" s="2" t="n">
        <v>45201</v>
      </c>
      <c r="B188" s="0" t="n">
        <v>134.587753295898</v>
      </c>
      <c r="C188" s="0" t="n">
        <v>73.3506393432617</v>
      </c>
      <c r="D188" s="0" t="n">
        <v>24.8480567932129</v>
      </c>
    </row>
    <row r="189" customFormat="false" ht="15" hidden="false" customHeight="false" outlineLevel="0" collapsed="false">
      <c r="A189" s="2" t="n">
        <v>45202</v>
      </c>
      <c r="B189" s="0" t="n">
        <v>133.595443725586</v>
      </c>
      <c r="C189" s="0" t="n">
        <v>71.1704406738281</v>
      </c>
      <c r="D189" s="0" t="n">
        <v>24.1128520965576</v>
      </c>
    </row>
    <row r="190" customFormat="false" ht="15" hidden="false" customHeight="false" outlineLevel="0" collapsed="false">
      <c r="A190" s="2" t="n">
        <v>45203</v>
      </c>
      <c r="B190" s="0" t="n">
        <v>134.194519042969</v>
      </c>
      <c r="C190" s="0" t="n">
        <v>72.1465072631836</v>
      </c>
      <c r="D190" s="0" t="n">
        <v>24.1407718658447</v>
      </c>
    </row>
    <row r="191" customFormat="false" ht="15" hidden="false" customHeight="false" outlineLevel="0" collapsed="false">
      <c r="A191" s="2" t="n">
        <v>45204</v>
      </c>
      <c r="B191" s="0" t="n">
        <v>134.760360717773</v>
      </c>
      <c r="C191" s="0" t="n">
        <v>72.2012405395508</v>
      </c>
      <c r="D191" s="0" t="n">
        <v>24.2524471282959</v>
      </c>
    </row>
    <row r="192" customFormat="false" ht="15" hidden="false" customHeight="false" outlineLevel="0" collapsed="false">
      <c r="A192" s="2" t="n">
        <v>45205</v>
      </c>
      <c r="B192" s="0" t="n">
        <v>136.835067749023</v>
      </c>
      <c r="C192" s="0" t="n">
        <v>73.2776565551758</v>
      </c>
      <c r="D192" s="0" t="n">
        <v>24.2617568969727</v>
      </c>
    </row>
    <row r="193" customFormat="false" ht="15" hidden="false" customHeight="false" outlineLevel="0" collapsed="false">
      <c r="A193" s="2" t="n">
        <v>45208</v>
      </c>
      <c r="B193" s="0" t="n">
        <v>136.523910522461</v>
      </c>
      <c r="C193" s="0" t="n">
        <v>72.8945236206055</v>
      </c>
      <c r="D193" s="0" t="n">
        <v>24.4851093292236</v>
      </c>
    </row>
    <row r="194" customFormat="false" ht="15" hidden="false" customHeight="false" outlineLevel="0" collapsed="false">
      <c r="A194" s="2" t="n">
        <v>45209</v>
      </c>
      <c r="B194" s="0" t="n">
        <v>137.353713989258</v>
      </c>
      <c r="C194" s="0" t="n">
        <v>73.0951919555664</v>
      </c>
      <c r="D194" s="0" t="n">
        <v>25.1365604400635</v>
      </c>
    </row>
    <row r="195" customFormat="false" ht="15" hidden="false" customHeight="false" outlineLevel="0" collapsed="false">
      <c r="A195" s="2" t="n">
        <v>45210</v>
      </c>
      <c r="B195" s="0" t="n">
        <v>137.825256347656</v>
      </c>
      <c r="C195" s="0" t="n">
        <v>71.9731979370117</v>
      </c>
      <c r="D195" s="0" t="n">
        <v>25.1458644866943</v>
      </c>
    </row>
    <row r="196" customFormat="false" ht="15" hidden="false" customHeight="false" outlineLevel="0" collapsed="false">
      <c r="A196" s="2" t="n">
        <v>45211</v>
      </c>
      <c r="B196" s="0" t="n">
        <v>137.504638671875</v>
      </c>
      <c r="C196" s="0" t="n">
        <v>70.978874206543</v>
      </c>
      <c r="D196" s="0" t="n">
        <v>25.0341854095459</v>
      </c>
    </row>
    <row r="197" customFormat="false" ht="15" hidden="false" customHeight="false" outlineLevel="0" collapsed="false">
      <c r="A197" s="2" t="n">
        <v>45212</v>
      </c>
      <c r="B197" s="0" t="n">
        <v>139.569885253906</v>
      </c>
      <c r="C197" s="0" t="n">
        <v>70.9606399536133</v>
      </c>
      <c r="D197" s="0" t="n">
        <v>24.9038982391357</v>
      </c>
    </row>
    <row r="198" customFormat="false" ht="15" hidden="false" customHeight="false" outlineLevel="0" collapsed="false">
      <c r="A198" s="2" t="n">
        <v>45215</v>
      </c>
      <c r="B198" s="0" t="n">
        <v>139.428421020508</v>
      </c>
      <c r="C198" s="0" t="n">
        <v>71.8181076049805</v>
      </c>
      <c r="D198" s="0" t="n">
        <v>25.1179428100586</v>
      </c>
    </row>
    <row r="199" customFormat="false" ht="15" hidden="false" customHeight="false" outlineLevel="0" collapsed="false">
      <c r="A199" s="2" t="n">
        <v>45216</v>
      </c>
      <c r="B199" s="0" t="n">
        <v>139.126663208008</v>
      </c>
      <c r="C199" s="0" t="n">
        <v>73.2776565551758</v>
      </c>
      <c r="D199" s="0" t="n">
        <v>25.7042465209961</v>
      </c>
    </row>
    <row r="200" customFormat="false" ht="15" hidden="false" customHeight="false" outlineLevel="0" collapsed="false">
      <c r="A200" s="2" t="n">
        <v>45217</v>
      </c>
      <c r="B200" s="0" t="n">
        <v>137.598937988281</v>
      </c>
      <c r="C200" s="0" t="n">
        <v>68.3060989379883</v>
      </c>
      <c r="D200" s="0" t="n">
        <v>25.4157447814941</v>
      </c>
    </row>
    <row r="201" customFormat="false" ht="15" hidden="false" customHeight="false" outlineLevel="0" collapsed="false">
      <c r="A201" s="2" t="n">
        <v>45218</v>
      </c>
      <c r="B201" s="0" t="n">
        <v>137.014251708984</v>
      </c>
      <c r="C201" s="0" t="n">
        <v>66.5181884765625</v>
      </c>
      <c r="D201" s="0" t="n">
        <v>25.0900211334229</v>
      </c>
    </row>
    <row r="202" customFormat="false" ht="15" hidden="false" customHeight="false" outlineLevel="0" collapsed="false">
      <c r="A202" s="2" t="n">
        <v>45219</v>
      </c>
      <c r="B202" s="0" t="n">
        <v>134.807556152344</v>
      </c>
      <c r="C202" s="0" t="n">
        <v>66.7097625732422</v>
      </c>
      <c r="D202" s="0" t="n">
        <v>24.4851093292236</v>
      </c>
    </row>
    <row r="203" customFormat="false" ht="15" hidden="false" customHeight="false" outlineLevel="0" collapsed="false">
      <c r="A203" s="2" t="n">
        <v>45222</v>
      </c>
      <c r="B203" s="0" t="n">
        <v>132.968597412109</v>
      </c>
      <c r="C203" s="0" t="n">
        <v>65.4053039550781</v>
      </c>
      <c r="D203" s="0" t="n">
        <v>23.7964363098145</v>
      </c>
    </row>
    <row r="204" customFormat="false" ht="15" hidden="false" customHeight="false" outlineLevel="0" collapsed="false">
      <c r="A204" s="2" t="n">
        <v>45223</v>
      </c>
      <c r="B204" s="0" t="n">
        <v>133.128936767578</v>
      </c>
      <c r="C204" s="0" t="n">
        <v>65.2775726318359</v>
      </c>
      <c r="D204" s="0" t="n">
        <v>23.703369140625</v>
      </c>
    </row>
    <row r="205" customFormat="false" ht="15" hidden="false" customHeight="false" outlineLevel="0" collapsed="false">
      <c r="A205" s="2" t="n">
        <v>45224</v>
      </c>
      <c r="B205" s="0" t="n">
        <v>132.402786254883</v>
      </c>
      <c r="C205" s="0" t="n">
        <v>65.1316452026367</v>
      </c>
      <c r="D205" s="0" t="n">
        <v>23.7778224945068</v>
      </c>
    </row>
    <row r="206" customFormat="false" ht="15" hidden="false" customHeight="false" outlineLevel="0" collapsed="false">
      <c r="A206" s="2" t="n">
        <v>45225</v>
      </c>
      <c r="B206" s="0" t="n">
        <v>132.742263793945</v>
      </c>
      <c r="C206" s="0" t="n">
        <v>65.742805480957</v>
      </c>
      <c r="D206" s="0" t="n">
        <v>24.3082885742188</v>
      </c>
    </row>
    <row r="207" customFormat="false" ht="15" hidden="false" customHeight="false" outlineLevel="0" collapsed="false">
      <c r="A207" s="2" t="n">
        <v>45226</v>
      </c>
      <c r="B207" s="0" t="n">
        <v>127.961059570313</v>
      </c>
      <c r="C207" s="0" t="n">
        <v>64.2194519042969</v>
      </c>
      <c r="D207" s="0" t="n">
        <v>23.4241790771484</v>
      </c>
    </row>
    <row r="208" customFormat="false" ht="15" hidden="false" customHeight="false" outlineLevel="0" collapsed="false">
      <c r="A208" s="2" t="n">
        <v>45229</v>
      </c>
      <c r="B208" s="0" t="n">
        <v>129.592514038086</v>
      </c>
      <c r="C208" s="0" t="n">
        <v>65.1797027587891</v>
      </c>
      <c r="D208" s="0" t="n">
        <v>23.908109664917</v>
      </c>
    </row>
    <row r="209" customFormat="false" ht="15" hidden="false" customHeight="false" outlineLevel="0" collapsed="false">
      <c r="A209" s="2" t="n">
        <v>45230</v>
      </c>
      <c r="B209" s="0" t="n">
        <v>131.139099121094</v>
      </c>
      <c r="C209" s="0" t="n">
        <v>65.39208984375</v>
      </c>
      <c r="D209" s="0" t="n">
        <v>24.5130290985107</v>
      </c>
    </row>
    <row r="210" customFormat="false" ht="15" hidden="false" customHeight="false" outlineLevel="0" collapsed="false">
      <c r="A210" s="2" t="n">
        <v>45231</v>
      </c>
      <c r="B210" s="0" t="n">
        <v>131.025939941406</v>
      </c>
      <c r="C210" s="0" t="n">
        <v>65.5121154785156</v>
      </c>
      <c r="D210" s="0" t="n">
        <v>24.5688667297363</v>
      </c>
    </row>
    <row r="211" customFormat="false" ht="15" hidden="false" customHeight="false" outlineLevel="0" collapsed="false">
      <c r="A211" s="2" t="n">
        <v>45232</v>
      </c>
      <c r="B211" s="0" t="n">
        <v>133.364669799805</v>
      </c>
      <c r="C211" s="0" t="n">
        <v>67.8297424316406</v>
      </c>
      <c r="D211" s="0" t="n">
        <v>25.7042465209961</v>
      </c>
    </row>
    <row r="212" customFormat="false" ht="15" hidden="false" customHeight="false" outlineLevel="0" collapsed="false">
      <c r="A212" s="2" t="n">
        <v>45233</v>
      </c>
      <c r="B212" s="0" t="n">
        <v>134.854690551758</v>
      </c>
      <c r="C212" s="0" t="n">
        <v>70.4151458740234</v>
      </c>
      <c r="D212" s="0" t="n">
        <v>26.4487552642822</v>
      </c>
    </row>
    <row r="213" customFormat="false" ht="15" hidden="false" customHeight="false" outlineLevel="0" collapsed="false">
      <c r="A213" s="2" t="n">
        <v>45236</v>
      </c>
      <c r="B213" s="0" t="n">
        <v>135.873168945313</v>
      </c>
      <c r="C213" s="0" t="n">
        <v>70.1012115478516</v>
      </c>
      <c r="D213" s="0" t="n">
        <v>26.3649959564209</v>
      </c>
    </row>
    <row r="214" customFormat="false" ht="15" hidden="false" customHeight="false" outlineLevel="0" collapsed="false">
      <c r="A214" s="2" t="n">
        <v>45237</v>
      </c>
      <c r="B214" s="0" t="n">
        <v>135.807159423828</v>
      </c>
      <c r="C214" s="0" t="n">
        <v>69.7226257324219</v>
      </c>
      <c r="D214" s="0" t="n">
        <v>26.2067890167236</v>
      </c>
    </row>
    <row r="215" customFormat="false" ht="15" hidden="false" customHeight="false" outlineLevel="0" collapsed="false">
      <c r="A215" s="2" t="n">
        <v>45238</v>
      </c>
      <c r="B215" s="0" t="n">
        <v>136.47673034668</v>
      </c>
      <c r="C215" s="0" t="n">
        <v>70.1473770141602</v>
      </c>
      <c r="D215" s="0" t="n">
        <v>25.9555168151856</v>
      </c>
    </row>
    <row r="216" customFormat="false" ht="15" hidden="false" customHeight="false" outlineLevel="0" collapsed="false">
      <c r="A216" s="2" t="n">
        <v>45239</v>
      </c>
      <c r="B216" s="0" t="n">
        <v>136.071197509766</v>
      </c>
      <c r="C216" s="0" t="n">
        <v>68.5037994384766</v>
      </c>
      <c r="D216" s="0" t="n">
        <v>25.6204891204834</v>
      </c>
    </row>
    <row r="217" customFormat="false" ht="15" hidden="false" customHeight="false" outlineLevel="0" collapsed="false">
      <c r="A217" s="2" t="n">
        <v>45240</v>
      </c>
      <c r="B217" s="0" t="n">
        <v>138.089309692383</v>
      </c>
      <c r="C217" s="0" t="n">
        <v>69.5564422607422</v>
      </c>
      <c r="D217" s="0" t="n">
        <v>25.7600841522217</v>
      </c>
    </row>
    <row r="218" customFormat="false" ht="15" hidden="false" customHeight="false" outlineLevel="0" collapsed="false">
      <c r="A218" s="2" t="n">
        <v>45243</v>
      </c>
      <c r="B218" s="0" t="n">
        <v>137.476333618164</v>
      </c>
      <c r="C218" s="0" t="n">
        <v>69.2886581420898</v>
      </c>
      <c r="D218" s="0" t="n">
        <v>25.7786979675293</v>
      </c>
    </row>
    <row r="219" customFormat="false" ht="15" hidden="false" customHeight="false" outlineLevel="0" collapsed="false">
      <c r="A219" s="2" t="n">
        <v>45244</v>
      </c>
      <c r="B219" s="0" t="n">
        <v>139.984832763672</v>
      </c>
      <c r="C219" s="0" t="n">
        <v>72.3080215454102</v>
      </c>
      <c r="D219" s="0" t="n">
        <v>27.193265914917</v>
      </c>
    </row>
    <row r="220" customFormat="false" ht="15" hidden="false" customHeight="false" outlineLevel="0" collapsed="false">
      <c r="A220" s="2" t="n">
        <v>45245</v>
      </c>
      <c r="B220" s="0" t="n">
        <v>141.210784912109</v>
      </c>
      <c r="C220" s="0" t="n">
        <v>73.5730056762695</v>
      </c>
      <c r="D220" s="0" t="n">
        <v>27.5655250549316</v>
      </c>
    </row>
    <row r="221" customFormat="false" ht="15" hidden="false" customHeight="false" outlineLevel="0" collapsed="false">
      <c r="A221" s="2" t="n">
        <v>45246</v>
      </c>
      <c r="B221" s="0" t="n">
        <v>142.823394775391</v>
      </c>
      <c r="C221" s="0" t="n">
        <v>73.554557800293</v>
      </c>
      <c r="D221" s="0" t="n">
        <v>27.4910736083984</v>
      </c>
    </row>
    <row r="222" customFormat="false" ht="15" hidden="false" customHeight="false" outlineLevel="0" collapsed="false">
      <c r="A222" s="2" t="n">
        <v>45247</v>
      </c>
      <c r="B222" s="0" t="n">
        <v>144.115325927734</v>
      </c>
      <c r="C222" s="0" t="n">
        <v>74.1270217895508</v>
      </c>
      <c r="D222" s="0" t="n">
        <v>27.9005546569824</v>
      </c>
    </row>
    <row r="223" customFormat="false" ht="15" hidden="false" customHeight="false" outlineLevel="0" collapsed="false">
      <c r="A223" s="2" t="n">
        <v>45250</v>
      </c>
      <c r="B223" s="0" t="n">
        <v>144.558563232422</v>
      </c>
      <c r="C223" s="0" t="n">
        <v>73.5914916992188</v>
      </c>
      <c r="D223" s="0" t="n">
        <v>27.9284706115723</v>
      </c>
    </row>
    <row r="224" customFormat="false" ht="15" hidden="false" customHeight="false" outlineLevel="0" collapsed="false">
      <c r="A224" s="2" t="n">
        <v>45251</v>
      </c>
      <c r="B224" s="0" t="n">
        <v>144.256790161133</v>
      </c>
      <c r="C224" s="0" t="n">
        <v>72.4557800292969</v>
      </c>
      <c r="D224" s="0" t="n">
        <v>27.6027507781982</v>
      </c>
    </row>
    <row r="225" customFormat="false" ht="15" hidden="false" customHeight="false" outlineLevel="0" collapsed="false">
      <c r="A225" s="2" t="n">
        <v>45252</v>
      </c>
      <c r="B225" s="0" t="n">
        <v>144.596298217773</v>
      </c>
      <c r="C225" s="0" t="n">
        <v>72.4742279052734</v>
      </c>
      <c r="D225" s="0" t="n">
        <v>27.5748291015625</v>
      </c>
    </row>
    <row r="226" customFormat="false" ht="15" hidden="false" customHeight="false" outlineLevel="0" collapsed="false">
      <c r="A226" s="2" t="n">
        <v>45254</v>
      </c>
      <c r="B226" s="0" t="n">
        <v>144.794311523438</v>
      </c>
      <c r="C226" s="0" t="n">
        <v>72.6219787597656</v>
      </c>
      <c r="D226" s="0" t="n">
        <v>27.6678943634033</v>
      </c>
    </row>
    <row r="227" customFormat="false" ht="15" hidden="false" customHeight="false" outlineLevel="0" collapsed="false">
      <c r="A227" s="2" t="n">
        <v>45257</v>
      </c>
      <c r="B227" s="0" t="n">
        <v>144.464263916016</v>
      </c>
      <c r="C227" s="0" t="n">
        <v>71.9756240844727</v>
      </c>
      <c r="D227" s="0" t="n">
        <v>27.5096836090088</v>
      </c>
    </row>
    <row r="228" customFormat="false" ht="15" hidden="false" customHeight="false" outlineLevel="0" collapsed="false">
      <c r="A228" s="2" t="n">
        <v>45258</v>
      </c>
      <c r="B228" s="0" t="n">
        <v>144.794311523438</v>
      </c>
      <c r="C228" s="0" t="n">
        <v>70.9876251220703</v>
      </c>
      <c r="D228" s="0" t="n">
        <v>27.4817638397217</v>
      </c>
    </row>
    <row r="229" customFormat="false" ht="15" hidden="false" customHeight="false" outlineLevel="0" collapsed="false">
      <c r="A229" s="2" t="n">
        <v>45259</v>
      </c>
      <c r="B229" s="0" t="n">
        <v>145.529937744141</v>
      </c>
      <c r="C229" s="0" t="n">
        <v>72.5296325683594</v>
      </c>
      <c r="D229" s="0" t="n">
        <v>28.2076644897461</v>
      </c>
    </row>
    <row r="230" customFormat="false" ht="15" hidden="false" customHeight="false" outlineLevel="0" collapsed="false">
      <c r="A230" s="2" t="n">
        <v>45260</v>
      </c>
      <c r="B230" s="0" t="n">
        <v>147.189636230469</v>
      </c>
      <c r="C230" s="0" t="n">
        <v>73.2590789794922</v>
      </c>
      <c r="D230" s="0" t="n">
        <v>28.6016540527344</v>
      </c>
    </row>
    <row r="231" customFormat="false" ht="15" hidden="false" customHeight="false" outlineLevel="0" collapsed="false">
      <c r="A231" s="2" t="n">
        <v>45261</v>
      </c>
      <c r="B231" s="0" t="n">
        <v>147.906356811523</v>
      </c>
      <c r="C231" s="0" t="n">
        <v>74.6902847290039</v>
      </c>
      <c r="D231" s="0" t="n">
        <v>29.0425434112549</v>
      </c>
    </row>
    <row r="232" customFormat="false" ht="15" hidden="false" customHeight="false" outlineLevel="0" collapsed="false">
      <c r="A232" s="2" t="n">
        <v>45264</v>
      </c>
      <c r="B232" s="0" t="n">
        <v>148.990844726563</v>
      </c>
      <c r="C232" s="0" t="n">
        <v>74.9857711791992</v>
      </c>
      <c r="D232" s="0" t="n">
        <v>28.9112148284912</v>
      </c>
    </row>
    <row r="233" customFormat="false" ht="15" hidden="false" customHeight="false" outlineLevel="0" collapsed="false">
      <c r="A233" s="2" t="n">
        <v>45265</v>
      </c>
      <c r="B233" s="0" t="n">
        <v>148.97200012207</v>
      </c>
      <c r="C233" s="0" t="n">
        <v>74.0254669189453</v>
      </c>
      <c r="D233" s="0" t="n">
        <v>28.6860771179199</v>
      </c>
    </row>
    <row r="234" customFormat="false" ht="15" hidden="false" customHeight="false" outlineLevel="0" collapsed="false">
      <c r="A234" s="2" t="n">
        <v>45266</v>
      </c>
      <c r="B234" s="0" t="n">
        <v>147.40657043457</v>
      </c>
      <c r="C234" s="0" t="n">
        <v>73.3237228393555</v>
      </c>
      <c r="D234" s="0" t="n">
        <v>28.6391754150391</v>
      </c>
    </row>
    <row r="235" customFormat="false" ht="15" hidden="false" customHeight="false" outlineLevel="0" collapsed="false">
      <c r="A235" s="2" t="n">
        <v>45267</v>
      </c>
      <c r="B235" s="0" t="n">
        <v>147.859176635742</v>
      </c>
      <c r="C235" s="0" t="n">
        <v>74.1916732788086</v>
      </c>
      <c r="D235" s="0" t="n">
        <v>28.7611236572266</v>
      </c>
    </row>
    <row r="236" customFormat="false" ht="15" hidden="false" customHeight="false" outlineLevel="0" collapsed="false">
      <c r="A236" s="2" t="n">
        <v>45268</v>
      </c>
      <c r="B236" s="0" t="n">
        <v>149.490676879883</v>
      </c>
      <c r="C236" s="0" t="n">
        <v>75.9737548828125</v>
      </c>
      <c r="D236" s="0" t="n">
        <v>29.0425434112549</v>
      </c>
    </row>
    <row r="237" customFormat="false" ht="15" hidden="false" customHeight="false" outlineLevel="0" collapsed="false">
      <c r="A237" s="2" t="n">
        <v>45271</v>
      </c>
      <c r="B237" s="0" t="n">
        <v>150.037643432617</v>
      </c>
      <c r="C237" s="0" t="n">
        <v>76.4723663330078</v>
      </c>
      <c r="D237" s="0" t="n">
        <v>28.9393577575684</v>
      </c>
    </row>
    <row r="238" customFormat="false" ht="15" hidden="false" customHeight="false" outlineLevel="0" collapsed="false">
      <c r="A238" s="2" t="n">
        <v>45272</v>
      </c>
      <c r="B238" s="0" t="n">
        <v>151.376754760742</v>
      </c>
      <c r="C238" s="0" t="n">
        <v>77.1925888061523</v>
      </c>
      <c r="D238" s="0" t="n">
        <v>28.8361663818359</v>
      </c>
    </row>
    <row r="239" customFormat="false" ht="15" hidden="false" customHeight="false" outlineLevel="0" collapsed="false">
      <c r="A239" s="2" t="n">
        <v>45273</v>
      </c>
      <c r="B239" s="0" t="n">
        <v>151.885986328125</v>
      </c>
      <c r="C239" s="0" t="n">
        <v>79.0669860839844</v>
      </c>
      <c r="D239" s="0" t="n">
        <v>30.0556564331055</v>
      </c>
    </row>
    <row r="240" customFormat="false" ht="15" hidden="false" customHeight="false" outlineLevel="0" collapsed="false">
      <c r="A240" s="2" t="n">
        <v>45274</v>
      </c>
      <c r="B240" s="0" t="n">
        <v>154.64909362793</v>
      </c>
      <c r="C240" s="0" t="n">
        <v>84.0623626708984</v>
      </c>
      <c r="D240" s="0" t="n">
        <v>31.8379859924316</v>
      </c>
    </row>
    <row r="241" customFormat="false" ht="15" hidden="false" customHeight="false" outlineLevel="0" collapsed="false">
      <c r="A241" s="2" t="n">
        <v>45275</v>
      </c>
      <c r="B241" s="0" t="n">
        <v>155.818466186523</v>
      </c>
      <c r="C241" s="0" t="n">
        <v>84.5609664916992</v>
      </c>
      <c r="D241" s="0" t="n">
        <v>31.5190334320068</v>
      </c>
    </row>
    <row r="242" customFormat="false" ht="15" hidden="false" customHeight="false" outlineLevel="0" collapsed="false">
      <c r="A242" s="2" t="n">
        <v>45278</v>
      </c>
      <c r="B242" s="0" t="n">
        <v>156.761505126953</v>
      </c>
      <c r="C242" s="0" t="n">
        <v>83.8038024902344</v>
      </c>
      <c r="D242" s="0" t="n">
        <v>31.3595676422119</v>
      </c>
    </row>
    <row r="243" customFormat="false" ht="15" hidden="false" customHeight="false" outlineLevel="0" collapsed="false">
      <c r="A243" s="2" t="n">
        <v>45279</v>
      </c>
      <c r="B243" s="0" t="n">
        <v>158.855072021484</v>
      </c>
      <c r="C243" s="0" t="n">
        <v>84.8749084472656</v>
      </c>
      <c r="D243" s="0" t="n">
        <v>31.4346141815186</v>
      </c>
    </row>
    <row r="244" customFormat="false" ht="15" hidden="false" customHeight="false" outlineLevel="0" collapsed="false">
      <c r="A244" s="2" t="n">
        <v>45280</v>
      </c>
      <c r="B244" s="0" t="n">
        <v>157.063293457031</v>
      </c>
      <c r="C244" s="0" t="n">
        <v>84.1546783447266</v>
      </c>
      <c r="D244" s="0" t="n">
        <v>30.9374370574951</v>
      </c>
    </row>
    <row r="245" customFormat="false" ht="15" hidden="false" customHeight="false" outlineLevel="0" collapsed="false">
      <c r="A245" s="2" t="n">
        <v>45281</v>
      </c>
      <c r="B245" s="0" t="n">
        <v>157.95915222168</v>
      </c>
      <c r="C245" s="0" t="n">
        <v>85.5305023193359</v>
      </c>
      <c r="D245" s="0" t="n">
        <v>31.1438083648682</v>
      </c>
    </row>
    <row r="246" customFormat="false" ht="15" hidden="false" customHeight="false" outlineLevel="0" collapsed="false">
      <c r="A246" s="2" t="n">
        <v>45282</v>
      </c>
      <c r="B246" s="0" t="n">
        <v>157.864837646484</v>
      </c>
      <c r="C246" s="0" t="n">
        <v>85.3273468017578</v>
      </c>
      <c r="D246" s="0" t="n">
        <v>31.3595676422119</v>
      </c>
    </row>
    <row r="247" customFormat="false" ht="15" hidden="false" customHeight="false" outlineLevel="0" collapsed="false">
      <c r="A247" s="2" t="n">
        <v>45286</v>
      </c>
      <c r="B247" s="0" t="n">
        <v>158.798461914063</v>
      </c>
      <c r="C247" s="0" t="n">
        <v>85.7243881225586</v>
      </c>
      <c r="D247" s="0" t="n">
        <v>31.7629356384277</v>
      </c>
    </row>
    <row r="248" customFormat="false" ht="15" hidden="false" customHeight="false" outlineLevel="0" collapsed="false">
      <c r="A248" s="2" t="n">
        <v>45287</v>
      </c>
      <c r="B248" s="0" t="n">
        <v>159.750946044922</v>
      </c>
      <c r="C248" s="0" t="n">
        <v>86.481559753418</v>
      </c>
      <c r="D248" s="0" t="n">
        <v>31.7441730499268</v>
      </c>
    </row>
    <row r="249" customFormat="false" ht="15" hidden="false" customHeight="false" outlineLevel="0" collapsed="false">
      <c r="A249" s="2" t="n">
        <v>45288</v>
      </c>
      <c r="B249" s="0" t="n">
        <v>160.599670410156</v>
      </c>
      <c r="C249" s="0" t="n">
        <v>86.4630813598633</v>
      </c>
      <c r="D249" s="0" t="n">
        <v>31.7816963195801</v>
      </c>
    </row>
    <row r="250" customFormat="false" ht="15" hidden="false" customHeight="false" outlineLevel="0" collapsed="false">
      <c r="A250" s="2" t="n">
        <v>45289</v>
      </c>
      <c r="B250" s="0" t="n">
        <v>160.411087036133</v>
      </c>
      <c r="C250" s="0" t="n">
        <v>86.1029663085938</v>
      </c>
      <c r="D250" s="0" t="n">
        <v>31.5847053527832</v>
      </c>
    </row>
    <row r="251" customFormat="false" ht="15" hidden="false" customHeight="false" outlineLevel="0" collapsed="false">
      <c r="A251" s="2" t="n">
        <v>45293</v>
      </c>
      <c r="B251" s="0" t="n">
        <v>162.278274536133</v>
      </c>
      <c r="C251" s="0" t="n">
        <v>86.7031707763672</v>
      </c>
      <c r="D251" s="0" t="n">
        <v>31.800464630127</v>
      </c>
    </row>
    <row r="252" customFormat="false" ht="15" hidden="false" customHeight="false" outlineLevel="0" collapsed="false">
      <c r="A252" s="2" t="n">
        <v>45294</v>
      </c>
      <c r="B252" s="0" t="n">
        <v>161.570999145508</v>
      </c>
      <c r="C252" s="0" t="n">
        <v>84.8656692504883</v>
      </c>
      <c r="D252" s="0" t="n">
        <v>31.4533786773682</v>
      </c>
    </row>
    <row r="253" customFormat="false" ht="15" hidden="false" customHeight="false" outlineLevel="0" collapsed="false">
      <c r="A253" s="2" t="n">
        <v>45295</v>
      </c>
      <c r="B253" s="0" t="n">
        <v>162.643218994141</v>
      </c>
      <c r="C253" s="0" t="n">
        <v>85.087287902832</v>
      </c>
      <c r="D253" s="0" t="n">
        <v>31.7066516876221</v>
      </c>
    </row>
    <row r="254" customFormat="false" ht="15" hidden="false" customHeight="false" outlineLevel="0" collapsed="false">
      <c r="A254" s="2" t="n">
        <v>45296</v>
      </c>
      <c r="B254" s="0" t="n">
        <v>163.459243774414</v>
      </c>
      <c r="C254" s="0" t="n">
        <v>86.0937194824219</v>
      </c>
      <c r="D254" s="0" t="n">
        <v>32.2976379394531</v>
      </c>
    </row>
    <row r="255" customFormat="false" ht="15" hidden="false" customHeight="false" outlineLevel="0" collapsed="false">
      <c r="A255" s="2" t="n">
        <v>45299</v>
      </c>
      <c r="B255" s="0" t="n">
        <v>163.222030639648</v>
      </c>
      <c r="C255" s="0" t="n">
        <v>86.3430404663086</v>
      </c>
      <c r="D255" s="0" t="n">
        <v>32.0443534851074</v>
      </c>
    </row>
    <row r="256" customFormat="false" ht="15" hidden="false" customHeight="false" outlineLevel="0" collapsed="false">
      <c r="A256" s="2" t="n">
        <v>45300</v>
      </c>
      <c r="B256" s="0" t="n">
        <v>161.931610107422</v>
      </c>
      <c r="C256" s="0" t="n">
        <v>85.0041580200195</v>
      </c>
      <c r="D256" s="0" t="n">
        <v>31.5471839904785</v>
      </c>
    </row>
    <row r="257" customFormat="false" ht="15" hidden="false" customHeight="false" outlineLevel="0" collapsed="false">
      <c r="A257" s="2" t="n">
        <v>45301</v>
      </c>
      <c r="B257" s="0" t="n">
        <v>162.273178100586</v>
      </c>
      <c r="C257" s="0" t="n">
        <v>84.4686431884766</v>
      </c>
      <c r="D257" s="0" t="n">
        <v>31.5190334320068</v>
      </c>
    </row>
    <row r="258" customFormat="false" ht="15" hidden="false" customHeight="false" outlineLevel="0" collapsed="false">
      <c r="A258" s="2" t="n">
        <v>45302</v>
      </c>
      <c r="B258" s="0" t="n">
        <v>161.589996337891</v>
      </c>
      <c r="C258" s="0" t="n">
        <v>83.5729751586914</v>
      </c>
      <c r="D258" s="0" t="n">
        <v>31.0969104766846</v>
      </c>
    </row>
    <row r="259" customFormat="false" ht="15" hidden="false" customHeight="false" outlineLevel="0" collapsed="false">
      <c r="A259" s="2" t="n">
        <v>45303</v>
      </c>
      <c r="B259" s="0" t="n">
        <v>160.403915405273</v>
      </c>
      <c r="C259" s="0" t="n">
        <v>82.8250579833984</v>
      </c>
      <c r="D259" s="0" t="n">
        <v>30.7685813903809</v>
      </c>
    </row>
    <row r="260" customFormat="false" ht="15" hidden="false" customHeight="false" outlineLevel="0" collapsed="false">
      <c r="A260" s="2" t="n">
        <v>45307</v>
      </c>
      <c r="B260" s="0" t="n">
        <v>159.398132324219</v>
      </c>
      <c r="C260" s="0" t="n">
        <v>79.3809204101563</v>
      </c>
      <c r="D260" s="0" t="n">
        <v>30.1306991577148</v>
      </c>
    </row>
    <row r="261" customFormat="false" ht="15" hidden="false" customHeight="false" outlineLevel="0" collapsed="false">
      <c r="A261" s="2" t="n">
        <v>45308</v>
      </c>
      <c r="B261" s="0" t="n">
        <v>158.544158935547</v>
      </c>
      <c r="C261" s="0" t="n">
        <v>77.9405136108398</v>
      </c>
      <c r="D261" s="0" t="n">
        <v>29.8305206298828</v>
      </c>
    </row>
    <row r="262" customFormat="false" ht="15" hidden="false" customHeight="false" outlineLevel="0" collapsed="false">
      <c r="A262" s="2" t="n">
        <v>45309</v>
      </c>
      <c r="B262" s="0" t="n">
        <v>158.857284545898</v>
      </c>
      <c r="C262" s="0" t="n">
        <v>77.469596862793</v>
      </c>
      <c r="D262" s="0" t="n">
        <v>29.7648544311523</v>
      </c>
    </row>
    <row r="263" customFormat="false" ht="15" hidden="false" customHeight="false" outlineLevel="0" collapsed="false">
      <c r="A263" s="2" t="n">
        <v>45310</v>
      </c>
      <c r="B263" s="0" t="n">
        <v>161.599456787109</v>
      </c>
      <c r="C263" s="0" t="n">
        <v>78.7992172241211</v>
      </c>
      <c r="D263" s="0" t="n">
        <v>30.2245044708252</v>
      </c>
    </row>
    <row r="264" customFormat="false" ht="15" hidden="false" customHeight="false" outlineLevel="0" collapsed="false">
      <c r="A264" s="2" t="n">
        <v>45313</v>
      </c>
      <c r="B264" s="0" t="n">
        <v>161.409683227539</v>
      </c>
      <c r="C264" s="0" t="n">
        <v>79.1593246459961</v>
      </c>
      <c r="D264" s="0" t="n">
        <v>30.5340690612793</v>
      </c>
    </row>
    <row r="265" customFormat="false" ht="15" hidden="false" customHeight="false" outlineLevel="0" collapsed="false">
      <c r="A265" s="2" t="n">
        <v>45314</v>
      </c>
      <c r="B265" s="0" t="n">
        <v>160.34700012207</v>
      </c>
      <c r="C265" s="0" t="n">
        <v>80.091926574707</v>
      </c>
      <c r="D265" s="0" t="n">
        <v>30.7404441833496</v>
      </c>
    </row>
    <row r="266" customFormat="false" ht="15" hidden="false" customHeight="false" outlineLevel="0" collapsed="false">
      <c r="A266" s="2" t="n">
        <v>45315</v>
      </c>
      <c r="B266" s="0" t="n">
        <v>161.77978515625</v>
      </c>
      <c r="C266" s="0" t="n">
        <v>80.8583145141602</v>
      </c>
      <c r="D266" s="0" t="n">
        <v>30.9374370574951</v>
      </c>
    </row>
    <row r="267" customFormat="false" ht="15" hidden="false" customHeight="false" outlineLevel="0" collapsed="false">
      <c r="A267" s="2" t="n">
        <v>45316</v>
      </c>
      <c r="B267" s="0" t="n">
        <v>164.094985961914</v>
      </c>
      <c r="C267" s="0" t="n">
        <v>81.273811340332</v>
      </c>
      <c r="D267" s="0" t="n">
        <v>31.3220462799072</v>
      </c>
    </row>
    <row r="268" customFormat="false" ht="15" hidden="false" customHeight="false" outlineLevel="0" collapsed="false">
      <c r="A268" s="2" t="n">
        <v>45317</v>
      </c>
      <c r="B268" s="0" t="n">
        <v>163.468734741211</v>
      </c>
      <c r="C268" s="0" t="n">
        <v>81.0060424804688</v>
      </c>
      <c r="D268" s="0" t="n">
        <v>31.3595676422119</v>
      </c>
    </row>
    <row r="269" customFormat="false" ht="15" hidden="false" customHeight="false" outlineLevel="0" collapsed="false">
      <c r="A269" s="2" t="n">
        <v>45320</v>
      </c>
      <c r="B269" s="0" t="n">
        <v>163.895690917969</v>
      </c>
      <c r="C269" s="0" t="n">
        <v>80.9044799804688</v>
      </c>
      <c r="D269" s="0" t="n">
        <v>31.5284194946289</v>
      </c>
    </row>
    <row r="270" customFormat="false" ht="15" hidden="false" customHeight="false" outlineLevel="0" collapsed="false">
      <c r="A270" s="2" t="n">
        <v>45321</v>
      </c>
      <c r="B270" s="0" t="n">
        <v>167.254653930664</v>
      </c>
      <c r="C270" s="0" t="n">
        <v>81.6970138549805</v>
      </c>
      <c r="D270" s="0" t="n">
        <v>32.6353378295898</v>
      </c>
    </row>
    <row r="271" customFormat="false" ht="15" hidden="false" customHeight="false" outlineLevel="0" collapsed="false">
      <c r="A271" s="2" t="n">
        <v>45322</v>
      </c>
      <c r="B271" s="0" t="n">
        <v>165.442352294922</v>
      </c>
      <c r="C271" s="0" t="n">
        <v>81.3426895141602</v>
      </c>
      <c r="D271" s="0" t="n">
        <v>31.9036464691162</v>
      </c>
    </row>
    <row r="272" customFormat="false" ht="15" hidden="false" customHeight="false" outlineLevel="0" collapsed="false">
      <c r="A272" s="2" t="n">
        <v>45323</v>
      </c>
      <c r="B272" s="0" t="n">
        <v>164.844573974609</v>
      </c>
      <c r="C272" s="0" t="n">
        <v>80.9510955810547</v>
      </c>
      <c r="D272" s="0" t="n">
        <v>31.4721336364746</v>
      </c>
    </row>
    <row r="273" customFormat="false" ht="15" hidden="false" customHeight="false" outlineLevel="0" collapsed="false">
      <c r="A273" s="2" t="n">
        <v>45324</v>
      </c>
      <c r="B273" s="0" t="n">
        <v>165.793411254883</v>
      </c>
      <c r="C273" s="0" t="n">
        <v>81.3706665039063</v>
      </c>
      <c r="D273" s="0" t="n">
        <v>31.3970947265625</v>
      </c>
    </row>
    <row r="274" customFormat="false" ht="15" hidden="false" customHeight="false" outlineLevel="0" collapsed="false">
      <c r="A274" s="2" t="n">
        <v>45327</v>
      </c>
      <c r="B274" s="0" t="n">
        <v>165.5751953125</v>
      </c>
      <c r="C274" s="0" t="n">
        <v>80.0839614868164</v>
      </c>
      <c r="D274" s="0" t="n">
        <v>30.9468231201172</v>
      </c>
    </row>
    <row r="275" customFormat="false" ht="15" hidden="false" customHeight="false" outlineLevel="0" collapsed="false">
      <c r="A275" s="2" t="n">
        <v>45328</v>
      </c>
      <c r="B275" s="0" t="n">
        <v>166.144500732422</v>
      </c>
      <c r="C275" s="0" t="n">
        <v>80.2797546386719</v>
      </c>
      <c r="D275" s="0" t="n">
        <v>30.9937191009522</v>
      </c>
    </row>
    <row r="276" customFormat="false" ht="15" hidden="false" customHeight="false" outlineLevel="0" collapsed="false">
      <c r="A276" s="2" t="n">
        <v>45329</v>
      </c>
      <c r="B276" s="0" t="n">
        <v>166.457611083984</v>
      </c>
      <c r="C276" s="0" t="n">
        <v>80.1865234375</v>
      </c>
      <c r="D276" s="0" t="n">
        <v>31.1250495910645</v>
      </c>
    </row>
    <row r="277" customFormat="false" ht="15" hidden="false" customHeight="false" outlineLevel="0" collapsed="false">
      <c r="A277" s="2" t="n">
        <v>45330</v>
      </c>
      <c r="B277" s="0" t="n">
        <v>165.859832763672</v>
      </c>
      <c r="C277" s="0" t="n">
        <v>79.8601913452148</v>
      </c>
      <c r="D277" s="0" t="n">
        <v>31.0687675476074</v>
      </c>
    </row>
    <row r="278" customFormat="false" ht="15" hidden="false" customHeight="false" outlineLevel="0" collapsed="false">
      <c r="A278" s="2" t="n">
        <v>45331</v>
      </c>
      <c r="B278" s="0" t="n">
        <v>166.05908203125</v>
      </c>
      <c r="C278" s="0" t="n">
        <v>80.0839614868164</v>
      </c>
      <c r="D278" s="0" t="n">
        <v>31.0218620300293</v>
      </c>
    </row>
    <row r="279" customFormat="false" ht="15" hidden="false" customHeight="false" outlineLevel="0" collapsed="false">
      <c r="A279" s="2" t="n">
        <v>45334</v>
      </c>
      <c r="B279" s="0" t="n">
        <v>166.799209594727</v>
      </c>
      <c r="C279" s="0" t="n">
        <v>80.9977035522461</v>
      </c>
      <c r="D279" s="0" t="n">
        <v>31.5378017425537</v>
      </c>
    </row>
    <row r="280" customFormat="false" ht="15" hidden="false" customHeight="false" outlineLevel="0" collapsed="false">
      <c r="A280" s="2" t="n">
        <v>45335</v>
      </c>
      <c r="B280" s="0" t="n">
        <v>165.347442626953</v>
      </c>
      <c r="C280" s="0" t="n">
        <v>78.2937469482422</v>
      </c>
      <c r="D280" s="0" t="n">
        <v>30.7216854095459</v>
      </c>
    </row>
    <row r="281" customFormat="false" ht="15" hidden="false" customHeight="false" outlineLevel="0" collapsed="false">
      <c r="A281" s="2" t="n">
        <v>45336</v>
      </c>
      <c r="B281" s="0" t="n">
        <v>167.026901245117</v>
      </c>
      <c r="C281" s="0" t="n">
        <v>78.3217239379883</v>
      </c>
      <c r="D281" s="0" t="n">
        <v>31.078145980835</v>
      </c>
    </row>
    <row r="282" customFormat="false" ht="15" hidden="false" customHeight="false" outlineLevel="0" collapsed="false">
      <c r="A282" s="2" t="n">
        <v>45337</v>
      </c>
      <c r="B282" s="0" t="n">
        <v>170.670516967773</v>
      </c>
      <c r="C282" s="0" t="n">
        <v>79.8788375854492</v>
      </c>
      <c r="D282" s="0" t="n">
        <v>31.9599361419678</v>
      </c>
    </row>
    <row r="283" customFormat="false" ht="15" hidden="false" customHeight="false" outlineLevel="0" collapsed="false">
      <c r="A283" s="2" t="n">
        <v>45338</v>
      </c>
      <c r="B283" s="0" t="n">
        <v>169.873504638672</v>
      </c>
      <c r="C283" s="0" t="n">
        <v>80.652717590332</v>
      </c>
      <c r="D283" s="0" t="n">
        <v>31.9786891937256</v>
      </c>
    </row>
    <row r="284" customFormat="false" ht="15" hidden="false" customHeight="false" outlineLevel="0" collapsed="false">
      <c r="A284" s="2" t="n">
        <v>45342</v>
      </c>
      <c r="B284" s="0" t="n">
        <v>170.537689208984</v>
      </c>
      <c r="C284" s="0" t="n">
        <v>79.5804595947266</v>
      </c>
      <c r="D284" s="0" t="n">
        <v>31.8567390441895</v>
      </c>
    </row>
    <row r="285" customFormat="false" ht="15" hidden="false" customHeight="false" outlineLevel="0" collapsed="false">
      <c r="A285" s="2" t="n">
        <v>45343</v>
      </c>
      <c r="B285" s="0" t="n">
        <v>171.647857666016</v>
      </c>
      <c r="C285" s="0" t="n">
        <v>79.6830291748047</v>
      </c>
      <c r="D285" s="0" t="n">
        <v>31.6128463745117</v>
      </c>
    </row>
    <row r="286" customFormat="false" ht="15" hidden="false" customHeight="false" outlineLevel="0" collapsed="false">
      <c r="A286" s="2" t="n">
        <v>45344</v>
      </c>
      <c r="B286" s="0" t="n">
        <v>173.70686340332</v>
      </c>
      <c r="C286" s="0" t="n">
        <v>80.0466613769531</v>
      </c>
      <c r="D286" s="0" t="n">
        <v>31.5284194946289</v>
      </c>
    </row>
    <row r="287" customFormat="false" ht="15" hidden="false" customHeight="false" outlineLevel="0" collapsed="false">
      <c r="A287" s="2" t="n">
        <v>45345</v>
      </c>
      <c r="B287" s="0" t="n">
        <v>174.579818725586</v>
      </c>
      <c r="C287" s="0" t="n">
        <v>80.699348449707</v>
      </c>
      <c r="D287" s="0" t="n">
        <v>31.819221496582</v>
      </c>
    </row>
    <row r="288" customFormat="false" ht="15" hidden="false" customHeight="false" outlineLevel="0" collapsed="false">
      <c r="A288" s="2" t="n">
        <v>45348</v>
      </c>
      <c r="B288" s="0" t="n">
        <v>173.982040405273</v>
      </c>
      <c r="C288" s="0" t="n">
        <v>79.8788375854492</v>
      </c>
      <c r="D288" s="0" t="n">
        <v>31.5284194946289</v>
      </c>
    </row>
    <row r="289" customFormat="false" ht="15" hidden="false" customHeight="false" outlineLevel="0" collapsed="false">
      <c r="A289" s="2" t="n">
        <v>45349</v>
      </c>
      <c r="B289" s="0" t="n">
        <v>174.067443847656</v>
      </c>
      <c r="C289" s="0" t="n">
        <v>79.7109909057617</v>
      </c>
      <c r="D289" s="0" t="n">
        <v>32.1569175720215</v>
      </c>
    </row>
    <row r="290" customFormat="false" ht="15" hidden="false" customHeight="false" outlineLevel="0" collapsed="false">
      <c r="A290" s="2" t="n">
        <v>45350</v>
      </c>
      <c r="B290" s="0" t="n">
        <v>174.949844360352</v>
      </c>
      <c r="C290" s="0" t="n">
        <v>80.2331466674805</v>
      </c>
      <c r="D290" s="0" t="n">
        <v>32.1850738525391</v>
      </c>
    </row>
    <row r="291" customFormat="false" ht="15" hidden="false" customHeight="false" outlineLevel="0" collapsed="false">
      <c r="A291" s="2" t="n">
        <v>45351</v>
      </c>
      <c r="B291" s="0" t="n">
        <v>176.5439453125</v>
      </c>
      <c r="C291" s="0" t="n">
        <v>80.2238159179688</v>
      </c>
      <c r="D291" s="0" t="n">
        <v>32.6101684570313</v>
      </c>
    </row>
    <row r="292" customFormat="false" ht="15" hidden="false" customHeight="false" outlineLevel="0" collapsed="false">
      <c r="A292" s="2" t="n">
        <v>45352</v>
      </c>
      <c r="B292" s="0" t="n">
        <v>175.81330871582</v>
      </c>
      <c r="C292" s="0" t="n">
        <v>80.6340866088867</v>
      </c>
      <c r="D292" s="0" t="n">
        <v>32.4495811462402</v>
      </c>
    </row>
    <row r="293" customFormat="false" ht="15" hidden="false" customHeight="false" outlineLevel="0" collapsed="false">
      <c r="A293" s="2" t="n">
        <v>45355</v>
      </c>
      <c r="B293" s="0" t="n">
        <v>177.132202148438</v>
      </c>
      <c r="C293" s="0" t="n">
        <v>83.9534301757813</v>
      </c>
      <c r="D293" s="0" t="n">
        <v>33.2053184509277</v>
      </c>
    </row>
    <row r="294" customFormat="false" ht="15" hidden="false" customHeight="false" outlineLevel="0" collapsed="false">
      <c r="A294" s="2" t="n">
        <v>45356</v>
      </c>
      <c r="B294" s="0" t="n">
        <v>178.906616210938</v>
      </c>
      <c r="C294" s="0" t="n">
        <v>83.1049346923828</v>
      </c>
      <c r="D294" s="0" t="n">
        <v>33.4320335388184</v>
      </c>
    </row>
    <row r="295" customFormat="false" ht="15" hidden="false" customHeight="false" outlineLevel="0" collapsed="false">
      <c r="A295" s="2" t="n">
        <v>45357</v>
      </c>
      <c r="B295" s="0" t="n">
        <v>179.836456298828</v>
      </c>
      <c r="C295" s="0" t="n">
        <v>79.869514465332</v>
      </c>
      <c r="D295" s="0" t="n">
        <v>33.460376739502</v>
      </c>
    </row>
    <row r="296" customFormat="false" ht="15" hidden="false" customHeight="false" outlineLevel="0" collapsed="false">
      <c r="A296" s="2" t="n">
        <v>45358</v>
      </c>
      <c r="B296" s="0" t="n">
        <v>178.261352539063</v>
      </c>
      <c r="C296" s="0" t="n">
        <v>80.3170471191406</v>
      </c>
      <c r="D296" s="0" t="n">
        <v>33.6587638854981</v>
      </c>
    </row>
    <row r="297" customFormat="false" ht="15" hidden="false" customHeight="false" outlineLevel="0" collapsed="false">
      <c r="A297" s="2" t="n">
        <v>45359</v>
      </c>
      <c r="B297" s="0" t="n">
        <v>178.593475341797</v>
      </c>
      <c r="C297" s="0" t="n">
        <v>81.1562194824219</v>
      </c>
      <c r="D297" s="0" t="n">
        <v>33.6304206848145</v>
      </c>
    </row>
    <row r="298" customFormat="false" ht="15" hidden="false" customHeight="false" outlineLevel="0" collapsed="false">
      <c r="A298" s="2" t="n">
        <v>45362</v>
      </c>
      <c r="B298" s="0" t="n">
        <v>178.659896850586</v>
      </c>
      <c r="C298" s="0" t="n">
        <v>81.0629806518555</v>
      </c>
      <c r="D298" s="0" t="n">
        <v>33.9043693542481</v>
      </c>
    </row>
    <row r="299" customFormat="false" ht="15" hidden="false" customHeight="false" outlineLevel="0" collapsed="false">
      <c r="A299" s="2" t="n">
        <v>45363</v>
      </c>
      <c r="B299" s="0" t="n">
        <v>180.130615234375</v>
      </c>
      <c r="C299" s="0" t="n">
        <v>81.1655502319336</v>
      </c>
      <c r="D299" s="0" t="n">
        <v>33.9705047607422</v>
      </c>
    </row>
    <row r="300" customFormat="false" ht="15" hidden="false" customHeight="false" outlineLevel="0" collapsed="false">
      <c r="A300" s="2" t="n">
        <v>45364</v>
      </c>
      <c r="B300" s="0" t="n">
        <v>181.591842651367</v>
      </c>
      <c r="C300" s="0" t="n">
        <v>83.3100814819336</v>
      </c>
      <c r="D300" s="0" t="n">
        <v>34.0838661193848</v>
      </c>
    </row>
    <row r="301" customFormat="false" ht="15" hidden="false" customHeight="false" outlineLevel="0" collapsed="false">
      <c r="A301" s="2" t="n">
        <v>45365</v>
      </c>
      <c r="B301" s="0" t="n">
        <v>178.356231689453</v>
      </c>
      <c r="C301" s="0" t="n">
        <v>83.0769653320313</v>
      </c>
      <c r="D301" s="0" t="n">
        <v>33.7154388427734</v>
      </c>
    </row>
    <row r="302" customFormat="false" ht="15" hidden="false" customHeight="false" outlineLevel="0" collapsed="false">
      <c r="A302" s="2" t="n">
        <v>45366</v>
      </c>
      <c r="B302" s="0" t="n">
        <v>180.567108154297</v>
      </c>
      <c r="C302" s="0" t="n">
        <v>82.4056396484375</v>
      </c>
      <c r="D302" s="0" t="n">
        <v>33.4509239196777</v>
      </c>
    </row>
    <row r="303" customFormat="false" ht="15" hidden="false" customHeight="false" outlineLevel="0" collapsed="false">
      <c r="A303" s="2" t="n">
        <v>45369</v>
      </c>
      <c r="B303" s="0" t="n">
        <v>182.806381225586</v>
      </c>
      <c r="C303" s="0" t="n">
        <v>82.0140228271484</v>
      </c>
      <c r="D303" s="0" t="n">
        <v>34.0177307128906</v>
      </c>
    </row>
    <row r="304" customFormat="false" ht="15" hidden="false" customHeight="false" outlineLevel="0" collapsed="false">
      <c r="A304" s="2" t="n">
        <v>45370</v>
      </c>
      <c r="B304" s="0" t="n">
        <v>183.878570556641</v>
      </c>
      <c r="C304" s="0" t="n">
        <v>82.4429244995117</v>
      </c>
      <c r="D304" s="0" t="n">
        <v>34.0366287231445</v>
      </c>
    </row>
    <row r="305" customFormat="false" ht="15" hidden="false" customHeight="false" outlineLevel="0" collapsed="false">
      <c r="A305" s="2" t="n">
        <v>45371</v>
      </c>
      <c r="B305" s="0" t="n">
        <v>186.288681030273</v>
      </c>
      <c r="C305" s="0" t="n">
        <v>85.1748733520508</v>
      </c>
      <c r="D305" s="0" t="n">
        <v>34.7167892456055</v>
      </c>
    </row>
    <row r="306" customFormat="false" ht="15" hidden="false" customHeight="false" outlineLevel="0" collapsed="false">
      <c r="A306" s="2" t="n">
        <v>45372</v>
      </c>
      <c r="B306" s="0" t="n">
        <v>188.879058837891</v>
      </c>
      <c r="C306" s="0" t="n">
        <v>87.0862884521484</v>
      </c>
      <c r="D306" s="0" t="n">
        <v>35.4347496032715</v>
      </c>
    </row>
    <row r="307" customFormat="false" ht="15" hidden="false" customHeight="false" outlineLevel="0" collapsed="false">
      <c r="A307" s="2" t="n">
        <v>45373</v>
      </c>
      <c r="B307" s="0" t="n">
        <v>186.563858032227</v>
      </c>
      <c r="C307" s="0" t="n">
        <v>85.7343063354492</v>
      </c>
      <c r="D307" s="0" t="n">
        <v>35.0001945495606</v>
      </c>
    </row>
    <row r="308" customFormat="false" ht="15" hidden="false" customHeight="false" outlineLevel="0" collapsed="false">
      <c r="A308" s="2" t="n">
        <v>45376</v>
      </c>
      <c r="B308" s="0" t="n">
        <v>184.855911254883</v>
      </c>
      <c r="C308" s="0" t="n">
        <v>84.9790573120117</v>
      </c>
      <c r="D308" s="0" t="n">
        <v>34.8207092285156</v>
      </c>
    </row>
    <row r="309" customFormat="false" ht="15" hidden="false" customHeight="false" outlineLevel="0" collapsed="false">
      <c r="A309" s="2" t="n">
        <v>45377</v>
      </c>
      <c r="B309" s="0" t="n">
        <v>185.719375610352</v>
      </c>
      <c r="C309" s="0" t="n">
        <v>85.1095962524414</v>
      </c>
      <c r="D309" s="0" t="n">
        <v>35.0379829406738</v>
      </c>
    </row>
    <row r="310" customFormat="false" ht="15" hidden="false" customHeight="false" outlineLevel="0" collapsed="false">
      <c r="A310" s="2" t="n">
        <v>45378</v>
      </c>
      <c r="B310" s="0" t="n">
        <v>189.315551757813</v>
      </c>
      <c r="C310" s="0" t="n">
        <v>87.1795196533203</v>
      </c>
      <c r="D310" s="0" t="n">
        <v>35.7181510925293</v>
      </c>
    </row>
    <row r="311" customFormat="false" ht="15" hidden="false" customHeight="false" outlineLevel="0" collapsed="false">
      <c r="A311" s="2" t="n">
        <v>45379</v>
      </c>
      <c r="B311" s="0" t="n">
        <v>190.055648803711</v>
      </c>
      <c r="C311" s="0" t="n">
        <v>87.7949371337891</v>
      </c>
      <c r="D311" s="0" t="n">
        <v>35.8220596313477</v>
      </c>
    </row>
    <row r="312" customFormat="false" ht="15" hidden="false" customHeight="false" outlineLevel="0" collapsed="false">
      <c r="A312" s="2" t="n">
        <v>45383</v>
      </c>
      <c r="B312" s="0" t="n">
        <v>188.765167236328</v>
      </c>
      <c r="C312" s="0" t="n">
        <v>87.20751953125</v>
      </c>
      <c r="D312" s="0" t="n">
        <v>35.4441947937012</v>
      </c>
    </row>
    <row r="313" customFormat="false" ht="15" hidden="false" customHeight="false" outlineLevel="0" collapsed="false">
      <c r="A313" s="2" t="n">
        <v>45384</v>
      </c>
      <c r="B313" s="0" t="n">
        <v>188.68928527832</v>
      </c>
      <c r="C313" s="0" t="n">
        <v>86.4429397583008</v>
      </c>
      <c r="D313" s="0" t="n">
        <v>35.2363662719727</v>
      </c>
    </row>
    <row r="314" customFormat="false" ht="15" hidden="false" customHeight="false" outlineLevel="0" collapsed="false">
      <c r="A314" s="2" t="n">
        <v>45385</v>
      </c>
      <c r="B314" s="0" t="n">
        <v>188.157928466797</v>
      </c>
      <c r="C314" s="0" t="n">
        <v>86.7133407592773</v>
      </c>
      <c r="D314" s="0" t="n">
        <v>35.3686141967773</v>
      </c>
    </row>
    <row r="315" customFormat="false" ht="15" hidden="false" customHeight="false" outlineLevel="0" collapsed="false">
      <c r="A315" s="2" t="n">
        <v>45386</v>
      </c>
      <c r="B315" s="0" t="n">
        <v>186.726348876953</v>
      </c>
      <c r="C315" s="0" t="n">
        <v>86.0419998168945</v>
      </c>
      <c r="D315" s="0" t="n">
        <v>34.8773918151856</v>
      </c>
    </row>
    <row r="316" customFormat="false" ht="15" hidden="false" customHeight="false" outlineLevel="0" collapsed="false">
      <c r="A316" s="2" t="n">
        <v>45387</v>
      </c>
      <c r="B316" s="0" t="n">
        <v>188.444259643555</v>
      </c>
      <c r="C316" s="0" t="n">
        <v>86.2191619873047</v>
      </c>
      <c r="D316" s="0" t="n">
        <v>35.0568695068359</v>
      </c>
    </row>
    <row r="317" customFormat="false" ht="15" hidden="false" customHeight="false" outlineLevel="0" collapsed="false">
      <c r="A317" s="2" t="n">
        <v>45390</v>
      </c>
      <c r="B317" s="0" t="n">
        <v>189.42724609375</v>
      </c>
      <c r="C317" s="0" t="n">
        <v>86.9091415405273</v>
      </c>
      <c r="D317" s="0" t="n">
        <v>35.4253005981445</v>
      </c>
    </row>
    <row r="318" customFormat="false" ht="15" hidden="false" customHeight="false" outlineLevel="0" collapsed="false">
      <c r="A318" s="2" t="n">
        <v>45391</v>
      </c>
      <c r="B318" s="0" t="n">
        <v>188.157913208008</v>
      </c>
      <c r="C318" s="0" t="n">
        <v>87.720329284668</v>
      </c>
      <c r="D318" s="0" t="n">
        <v>35.642578125</v>
      </c>
    </row>
    <row r="319" customFormat="false" ht="15" hidden="false" customHeight="false" outlineLevel="0" collapsed="false">
      <c r="A319" s="2" t="n">
        <v>45392</v>
      </c>
      <c r="B319" s="0" t="n">
        <v>186.554534912109</v>
      </c>
      <c r="C319" s="0" t="n">
        <v>85.4545822143555</v>
      </c>
      <c r="D319" s="0" t="n">
        <v>34.6223297119141</v>
      </c>
    </row>
    <row r="320" customFormat="false" ht="15" hidden="false" customHeight="false" outlineLevel="0" collapsed="false">
      <c r="A320" s="2" t="n">
        <v>45393</v>
      </c>
      <c r="B320" s="0" t="n">
        <v>186.516357421875</v>
      </c>
      <c r="C320" s="0" t="n">
        <v>80.9697418212891</v>
      </c>
      <c r="D320" s="0" t="n">
        <v>34.338924407959</v>
      </c>
    </row>
    <row r="321" customFormat="false" ht="15" hidden="false" customHeight="false" outlineLevel="0" collapsed="false">
      <c r="A321" s="2" t="n">
        <v>45394</v>
      </c>
      <c r="B321" s="0" t="n">
        <v>174.452896118164</v>
      </c>
      <c r="C321" s="0" t="n">
        <v>80.3636856079102</v>
      </c>
      <c r="D321" s="0" t="n">
        <v>33.8099060058594</v>
      </c>
    </row>
    <row r="322" customFormat="false" ht="15" hidden="false" customHeight="false" outlineLevel="0" collapsed="false">
      <c r="A322" s="2" t="n">
        <v>45397</v>
      </c>
      <c r="B322" s="0" t="n">
        <v>174.54833984375</v>
      </c>
      <c r="C322" s="0" t="n">
        <v>81.1095886230469</v>
      </c>
      <c r="D322" s="0" t="n">
        <v>33.9610557556152</v>
      </c>
    </row>
    <row r="323" customFormat="false" ht="15" hidden="false" customHeight="false" outlineLevel="0" collapsed="false">
      <c r="A323" s="2" t="n">
        <v>45398</v>
      </c>
      <c r="B323" s="0" t="n">
        <v>172.553634643555</v>
      </c>
      <c r="C323" s="0" t="n">
        <v>83.1142578125</v>
      </c>
      <c r="D323" s="0" t="n">
        <v>32.7613143920898</v>
      </c>
    </row>
    <row r="324" customFormat="false" ht="15" hidden="false" customHeight="false" outlineLevel="0" collapsed="false">
      <c r="A324" s="2" t="n">
        <v>45399</v>
      </c>
      <c r="B324" s="0" t="n">
        <v>171.866485595703</v>
      </c>
      <c r="C324" s="0" t="n">
        <v>83.9907302856445</v>
      </c>
      <c r="D324" s="0" t="n">
        <v>33.2808837890625</v>
      </c>
    </row>
    <row r="325" customFormat="false" ht="15" hidden="false" customHeight="false" outlineLevel="0" collapsed="false">
      <c r="A325" s="2" t="n">
        <v>45400</v>
      </c>
      <c r="B325" s="0" t="n">
        <v>172.983123779297</v>
      </c>
      <c r="C325" s="0" t="n">
        <v>84.1585540771484</v>
      </c>
      <c r="D325" s="0" t="n">
        <v>33.7910118103027</v>
      </c>
    </row>
    <row r="326" customFormat="false" ht="15" hidden="false" customHeight="false" outlineLevel="0" collapsed="false">
      <c r="A326" s="2" t="n">
        <v>45401</v>
      </c>
      <c r="B326" s="0" t="n">
        <v>177.325607299805</v>
      </c>
      <c r="C326" s="0" t="n">
        <v>84.5315093994141</v>
      </c>
      <c r="D326" s="0" t="n">
        <v>34.9246253967285</v>
      </c>
    </row>
    <row r="327" customFormat="false" ht="15" hidden="false" customHeight="false" outlineLevel="0" collapsed="false">
      <c r="A327" s="2" t="n">
        <v>45404</v>
      </c>
      <c r="B327" s="0" t="n">
        <v>180.770935058594</v>
      </c>
      <c r="C327" s="0" t="n">
        <v>85.8648452758789</v>
      </c>
      <c r="D327" s="0" t="n">
        <v>35.642578125</v>
      </c>
    </row>
    <row r="328" customFormat="false" ht="15" hidden="false" customHeight="false" outlineLevel="0" collapsed="false">
      <c r="A328" s="2" t="n">
        <v>45405</v>
      </c>
      <c r="B328" s="0" t="n">
        <v>183.376403808594</v>
      </c>
      <c r="C328" s="0" t="n">
        <v>87.4219512939453</v>
      </c>
      <c r="D328" s="0" t="n">
        <v>36.2471733093262</v>
      </c>
    </row>
    <row r="329" customFormat="false" ht="15" hidden="false" customHeight="false" outlineLevel="0" collapsed="false">
      <c r="A329" s="2" t="n">
        <v>45406</v>
      </c>
      <c r="B329" s="0" t="n">
        <v>184.273574829102</v>
      </c>
      <c r="C329" s="0" t="n">
        <v>87.5058746337891</v>
      </c>
      <c r="D329" s="0" t="n">
        <v>36.1999320983887</v>
      </c>
    </row>
    <row r="330" customFormat="false" ht="15" hidden="false" customHeight="false" outlineLevel="0" collapsed="false">
      <c r="A330" s="2" t="n">
        <v>45407</v>
      </c>
      <c r="B330" s="0" t="n">
        <v>184.550323486328</v>
      </c>
      <c r="C330" s="0" t="n">
        <v>86.3030700683594</v>
      </c>
      <c r="D330" s="0" t="n">
        <v>35.8126182556152</v>
      </c>
    </row>
    <row r="331" customFormat="false" ht="15" hidden="false" customHeight="false" outlineLevel="0" collapsed="false">
      <c r="A331" s="2" t="n">
        <v>45408</v>
      </c>
      <c r="B331" s="0" t="n">
        <v>184.664886474609</v>
      </c>
      <c r="C331" s="0" t="n">
        <v>86.5548248291016</v>
      </c>
      <c r="D331" s="0" t="n">
        <v>35.7370414733887</v>
      </c>
    </row>
    <row r="332" customFormat="false" ht="15" hidden="false" customHeight="false" outlineLevel="0" collapsed="false">
      <c r="A332" s="2" t="n">
        <v>45411</v>
      </c>
      <c r="B332" s="0" t="n">
        <v>184.464431762695</v>
      </c>
      <c r="C332" s="0" t="n">
        <v>86.6771621704102</v>
      </c>
      <c r="D332" s="0" t="n">
        <v>35.4725341796875</v>
      </c>
    </row>
    <row r="333" customFormat="false" ht="15" hidden="false" customHeight="false" outlineLevel="0" collapsed="false">
      <c r="A333" s="2" t="n">
        <v>45412</v>
      </c>
      <c r="B333" s="0" t="n">
        <v>182.994674682617</v>
      </c>
      <c r="C333" s="0" t="n">
        <v>85.4820556640625</v>
      </c>
      <c r="D333" s="0" t="n">
        <v>34.9624099731445</v>
      </c>
    </row>
    <row r="334" customFormat="false" ht="15" hidden="false" customHeight="false" outlineLevel="0" collapsed="false">
      <c r="A334" s="2" t="n">
        <v>45413</v>
      </c>
      <c r="B334" s="0" t="n">
        <v>183.109237670898</v>
      </c>
      <c r="C334" s="0" t="n">
        <v>86.1407852172852</v>
      </c>
      <c r="D334" s="0" t="n">
        <v>34.9057273864746</v>
      </c>
    </row>
    <row r="335" customFormat="false" ht="15" hidden="false" customHeight="false" outlineLevel="0" collapsed="false">
      <c r="A335" s="2" t="n">
        <v>45414</v>
      </c>
      <c r="B335" s="0" t="n">
        <v>182.918319702148</v>
      </c>
      <c r="C335" s="0" t="n">
        <v>87.1853103637695</v>
      </c>
      <c r="D335" s="0" t="n">
        <v>34.8396072387695</v>
      </c>
    </row>
    <row r="336" customFormat="false" ht="15" hidden="false" customHeight="false" outlineLevel="0" collapsed="false">
      <c r="A336" s="2" t="n">
        <v>45415</v>
      </c>
      <c r="B336" s="0" t="n">
        <v>181.820755004883</v>
      </c>
      <c r="C336" s="0" t="n">
        <v>88.1169052124023</v>
      </c>
      <c r="D336" s="0" t="n">
        <v>35.1891326904297</v>
      </c>
    </row>
    <row r="337" customFormat="false" ht="15" hidden="false" customHeight="false" outlineLevel="0" collapsed="false">
      <c r="A337" s="2" t="n">
        <v>45418</v>
      </c>
      <c r="B337" s="0" t="n">
        <v>183.242813110352</v>
      </c>
      <c r="C337" s="0" t="n">
        <v>89.1990814208984</v>
      </c>
      <c r="D337" s="0" t="n">
        <v>35.6047897338867</v>
      </c>
    </row>
    <row r="338" customFormat="false" ht="15" hidden="false" customHeight="false" outlineLevel="0" collapsed="false">
      <c r="A338" s="2" t="n">
        <v>45419</v>
      </c>
      <c r="B338" s="0" t="n">
        <v>183.004211425781</v>
      </c>
      <c r="C338" s="0" t="n">
        <v>90.1400985717773</v>
      </c>
      <c r="D338" s="0" t="n">
        <v>35.7464904785156</v>
      </c>
    </row>
    <row r="339" customFormat="false" ht="15" hidden="false" customHeight="false" outlineLevel="0" collapsed="false">
      <c r="A339" s="2" t="n">
        <v>45420</v>
      </c>
      <c r="B339" s="0" t="n">
        <v>186.726348876953</v>
      </c>
      <c r="C339" s="0" t="n">
        <v>89.9989547729492</v>
      </c>
      <c r="D339" s="0" t="n">
        <v>35.6236763000488</v>
      </c>
    </row>
    <row r="340" customFormat="false" ht="15" hidden="false" customHeight="false" outlineLevel="0" collapsed="false">
      <c r="A340" s="2" t="n">
        <v>45421</v>
      </c>
      <c r="B340" s="0" t="n">
        <v>188.491973876953</v>
      </c>
      <c r="C340" s="0" t="n">
        <v>92.3232650756836</v>
      </c>
      <c r="D340" s="0" t="n">
        <v>36.1621398925781</v>
      </c>
    </row>
    <row r="341" customFormat="false" ht="15" hidden="false" customHeight="false" outlineLevel="0" collapsed="false">
      <c r="A341" s="2" t="n">
        <v>45422</v>
      </c>
      <c r="B341" s="0" t="n">
        <v>189.704040527344</v>
      </c>
      <c r="C341" s="0" t="n">
        <v>92.4832458496094</v>
      </c>
      <c r="D341" s="0" t="n">
        <v>36.3227462768555</v>
      </c>
    </row>
    <row r="342" customFormat="false" ht="15" hidden="false" customHeight="false" outlineLevel="0" collapsed="false">
      <c r="A342" s="2" t="n">
        <v>45425</v>
      </c>
      <c r="B342" s="0" t="n">
        <v>189.665863037109</v>
      </c>
      <c r="C342" s="0" t="n">
        <v>92.7467193603516</v>
      </c>
      <c r="D342" s="0" t="n">
        <v>36.0960235595703</v>
      </c>
    </row>
    <row r="343" customFormat="false" ht="15" hidden="false" customHeight="false" outlineLevel="0" collapsed="false">
      <c r="A343" s="2" t="n">
        <v>45426</v>
      </c>
      <c r="B343" s="0" t="n">
        <v>192.319061279297</v>
      </c>
      <c r="C343" s="0" t="n">
        <v>93.5183563232422</v>
      </c>
      <c r="D343" s="0" t="n">
        <v>36.3605346679688</v>
      </c>
    </row>
    <row r="344" customFormat="false" ht="15" hidden="false" customHeight="false" outlineLevel="0" collapsed="false">
      <c r="A344" s="2" t="n">
        <v>45427</v>
      </c>
      <c r="B344" s="0" t="n">
        <v>192.891708374023</v>
      </c>
      <c r="C344" s="0" t="n">
        <v>94.5911102294922</v>
      </c>
      <c r="D344" s="0" t="n">
        <v>36.7572937011719</v>
      </c>
    </row>
    <row r="345" customFormat="false" ht="15" hidden="false" customHeight="false" outlineLevel="0" collapsed="false">
      <c r="A345" s="2" t="n">
        <v>45428</v>
      </c>
      <c r="B345" s="0" t="n">
        <v>193.235290527344</v>
      </c>
      <c r="C345" s="0" t="n">
        <v>93.7065582275391</v>
      </c>
      <c r="D345" s="0" t="n">
        <v>37.0501441955566</v>
      </c>
    </row>
    <row r="346" customFormat="false" ht="15" hidden="false" customHeight="false" outlineLevel="0" collapsed="false">
      <c r="A346" s="2" t="n">
        <v>45429</v>
      </c>
      <c r="B346" s="0" t="n">
        <v>195.449478149414</v>
      </c>
      <c r="C346" s="0" t="n">
        <v>94.3088073730469</v>
      </c>
      <c r="D346" s="0" t="n">
        <v>37.1162719726563</v>
      </c>
    </row>
    <row r="347" customFormat="false" ht="15" hidden="false" customHeight="false" outlineLevel="0" collapsed="false">
      <c r="A347" s="2" t="n">
        <v>45432</v>
      </c>
      <c r="B347" s="0" t="n">
        <v>186.659530639648</v>
      </c>
      <c r="C347" s="0" t="n">
        <v>94.4123153686523</v>
      </c>
      <c r="D347" s="0" t="n">
        <v>36.6722679138184</v>
      </c>
    </row>
    <row r="348" customFormat="false" ht="15" hidden="false" customHeight="false" outlineLevel="0" collapsed="false">
      <c r="A348" s="2" t="n">
        <v>45433</v>
      </c>
      <c r="B348" s="0" t="n">
        <v>190.419845581055</v>
      </c>
      <c r="C348" s="0" t="n">
        <v>95.5415573120117</v>
      </c>
      <c r="D348" s="0" t="n">
        <v>37.4563522338867</v>
      </c>
    </row>
    <row r="349" customFormat="false" ht="15" hidden="false" customHeight="false" outlineLevel="0" collapsed="false">
      <c r="A349" s="2" t="n">
        <v>45434</v>
      </c>
      <c r="B349" s="0" t="n">
        <v>189.265029907227</v>
      </c>
      <c r="C349" s="0" t="n">
        <v>94.7981414794922</v>
      </c>
      <c r="D349" s="0" t="n">
        <v>37.5602645874023</v>
      </c>
    </row>
    <row r="350" customFormat="false" ht="15" hidden="false" customHeight="false" outlineLevel="0" collapsed="false">
      <c r="A350" s="2" t="n">
        <v>45435</v>
      </c>
      <c r="B350" s="0" t="n">
        <v>187.938415527344</v>
      </c>
      <c r="C350" s="0" t="n">
        <v>93.0854949951172</v>
      </c>
      <c r="D350" s="0" t="n">
        <v>37.0029067993164</v>
      </c>
    </row>
    <row r="351" customFormat="false" ht="15" hidden="false" customHeight="false" outlineLevel="0" collapsed="false">
      <c r="A351" s="2" t="n">
        <v>45436</v>
      </c>
      <c r="B351" s="0" t="n">
        <v>191.555557250977</v>
      </c>
      <c r="C351" s="0" t="n">
        <v>93.1325378417969</v>
      </c>
      <c r="D351" s="0" t="n">
        <v>37.5035858154297</v>
      </c>
    </row>
    <row r="352" customFormat="false" ht="15" hidden="false" customHeight="false" outlineLevel="0" collapsed="false">
      <c r="A352" s="2" t="n">
        <v>45440</v>
      </c>
      <c r="B352" s="0" t="n">
        <v>190.40071105957</v>
      </c>
      <c r="C352" s="0" t="n">
        <v>92.850227355957</v>
      </c>
      <c r="D352" s="0" t="n">
        <v>37.1446075439453</v>
      </c>
    </row>
    <row r="353" customFormat="false" ht="15" hidden="false" customHeight="false" outlineLevel="0" collapsed="false">
      <c r="A353" s="2" t="n">
        <v>45441</v>
      </c>
      <c r="B353" s="0" t="n">
        <v>189.074142456055</v>
      </c>
      <c r="C353" s="0" t="n">
        <v>91.5328063964844</v>
      </c>
      <c r="D353" s="0" t="n">
        <v>36.577808380127</v>
      </c>
    </row>
    <row r="354" customFormat="false" ht="15" hidden="false" customHeight="false" outlineLevel="0" collapsed="false">
      <c r="A354" s="2" t="n">
        <v>45442</v>
      </c>
      <c r="B354" s="0" t="n">
        <v>190.238510131836</v>
      </c>
      <c r="C354" s="0" t="n">
        <v>91.4951629638672</v>
      </c>
      <c r="D354" s="0" t="n">
        <v>36.4927864074707</v>
      </c>
    </row>
    <row r="355" customFormat="false" ht="15" hidden="false" customHeight="false" outlineLevel="0" collapsed="false">
      <c r="A355" s="2" t="n">
        <v>45443</v>
      </c>
      <c r="B355" s="0" t="n">
        <v>193.388000488281</v>
      </c>
      <c r="C355" s="0" t="n">
        <v>92.0691909790039</v>
      </c>
      <c r="D355" s="0" t="n">
        <v>37.7775421142578</v>
      </c>
    </row>
    <row r="356" customFormat="false" ht="15" hidden="false" customHeight="false" outlineLevel="0" collapsed="false">
      <c r="A356" s="2" t="n">
        <v>45446</v>
      </c>
      <c r="B356" s="0" t="n">
        <v>192.614944458008</v>
      </c>
      <c r="C356" s="0" t="n">
        <v>91.6645660400391</v>
      </c>
      <c r="D356" s="0" t="n">
        <v>37.6736259460449</v>
      </c>
    </row>
    <row r="357" customFormat="false" ht="15" hidden="false" customHeight="false" outlineLevel="0" collapsed="false">
      <c r="A357" s="2" t="n">
        <v>45447</v>
      </c>
      <c r="B357" s="0" t="n">
        <v>190.076232910156</v>
      </c>
      <c r="C357" s="0" t="n">
        <v>90.8835067749023</v>
      </c>
      <c r="D357" s="0" t="n">
        <v>37.4846954345703</v>
      </c>
    </row>
    <row r="358" customFormat="false" ht="15" hidden="false" customHeight="false" outlineLevel="0" collapsed="false">
      <c r="A358" s="2" t="n">
        <v>45448</v>
      </c>
      <c r="B358" s="0" t="n">
        <v>188.262893676758</v>
      </c>
      <c r="C358" s="0" t="n">
        <v>90.9587936401367</v>
      </c>
      <c r="D358" s="0" t="n">
        <v>37.7491989135742</v>
      </c>
    </row>
    <row r="359" customFormat="false" ht="15" hidden="false" customHeight="false" outlineLevel="0" collapsed="false">
      <c r="A359" s="2" t="n">
        <v>45449</v>
      </c>
      <c r="B359" s="0" t="n">
        <v>187.92887878418</v>
      </c>
      <c r="C359" s="0" t="n">
        <v>91.1375732421875</v>
      </c>
      <c r="D359" s="0" t="n">
        <v>37.5035858154297</v>
      </c>
    </row>
    <row r="360" customFormat="false" ht="15" hidden="false" customHeight="false" outlineLevel="0" collapsed="false">
      <c r="A360" s="2" t="n">
        <v>45450</v>
      </c>
      <c r="B360" s="0" t="n">
        <v>190.830215454102</v>
      </c>
      <c r="C360" s="0" t="n">
        <v>91.4104766845703</v>
      </c>
      <c r="D360" s="0" t="n">
        <v>37.8077201843262</v>
      </c>
    </row>
    <row r="361" customFormat="false" ht="15" hidden="false" customHeight="false" outlineLevel="0" collapsed="false">
      <c r="A361" s="2" t="n">
        <v>45453</v>
      </c>
      <c r="B361" s="0" t="n">
        <v>190.505752563477</v>
      </c>
      <c r="C361" s="0" t="n">
        <v>90.704719543457</v>
      </c>
      <c r="D361" s="0" t="n">
        <v>37.7031707763672</v>
      </c>
    </row>
    <row r="362" customFormat="false" ht="15" hidden="false" customHeight="false" outlineLevel="0" collapsed="false">
      <c r="A362" s="2" t="n">
        <v>45454</v>
      </c>
      <c r="B362" s="0" t="n">
        <v>185.495193481445</v>
      </c>
      <c r="C362" s="0" t="n">
        <v>89.8013534545898</v>
      </c>
      <c r="D362" s="0" t="n">
        <v>36.9333381652832</v>
      </c>
    </row>
    <row r="363" customFormat="false" ht="15" hidden="false" customHeight="false" outlineLevel="0" collapsed="false">
      <c r="A363" s="2" t="n">
        <v>45455</v>
      </c>
      <c r="B363" s="0" t="n">
        <v>182.794281005859</v>
      </c>
      <c r="C363" s="0" t="n">
        <v>90.0083694458008</v>
      </c>
      <c r="D363" s="0" t="n">
        <v>37.4560546875</v>
      </c>
    </row>
    <row r="364" customFormat="false" ht="15" hidden="false" customHeight="false" outlineLevel="0" collapsed="false">
      <c r="A364" s="2" t="n">
        <v>45456</v>
      </c>
      <c r="B364" s="0" t="n">
        <v>184.827102661133</v>
      </c>
      <c r="C364" s="0" t="n">
        <v>89.5943069458008</v>
      </c>
      <c r="D364" s="0" t="n">
        <v>37.3134994506836</v>
      </c>
    </row>
    <row r="365" customFormat="false" ht="15" hidden="false" customHeight="false" outlineLevel="0" collapsed="false">
      <c r="A365" s="2" t="n">
        <v>45457</v>
      </c>
      <c r="B365" s="0" t="n">
        <v>184.941619873047</v>
      </c>
      <c r="C365" s="0" t="n">
        <v>89.8672027587891</v>
      </c>
      <c r="D365" s="0" t="n">
        <v>37.2944946289063</v>
      </c>
    </row>
    <row r="366" customFormat="false" ht="15" hidden="false" customHeight="false" outlineLevel="0" collapsed="false">
      <c r="A366" s="2" t="n">
        <v>45460</v>
      </c>
      <c r="B366" s="0" t="n">
        <v>186.086883544922</v>
      </c>
      <c r="C366" s="0" t="n">
        <v>91.3163757324219</v>
      </c>
      <c r="D366" s="0" t="n">
        <v>37.5511054992676</v>
      </c>
    </row>
    <row r="367" customFormat="false" ht="15" hidden="false" customHeight="false" outlineLevel="0" collapsed="false">
      <c r="A367" s="2" t="n">
        <v>45461</v>
      </c>
      <c r="B367" s="0" t="n">
        <v>188.014770507813</v>
      </c>
      <c r="C367" s="0" t="n">
        <v>91.8151245117188</v>
      </c>
      <c r="D367" s="0" t="n">
        <v>38.0073089599609</v>
      </c>
    </row>
    <row r="368" customFormat="false" ht="15" hidden="false" customHeight="false" outlineLevel="0" collapsed="false">
      <c r="A368" s="2" t="n">
        <v>45463</v>
      </c>
      <c r="B368" s="0" t="n">
        <v>189.608612060547</v>
      </c>
      <c r="C368" s="0" t="n">
        <v>91.6927795410156</v>
      </c>
      <c r="D368" s="0" t="n">
        <v>38.0073089599609</v>
      </c>
    </row>
    <row r="369" customFormat="false" ht="15" hidden="false" customHeight="false" outlineLevel="0" collapsed="false">
      <c r="A369" s="2" t="n">
        <v>45464</v>
      </c>
      <c r="B369" s="0" t="n">
        <v>187.346694946289</v>
      </c>
      <c r="C369" s="0" t="n">
        <v>90.48828125</v>
      </c>
      <c r="D369" s="0" t="n">
        <v>37.532096862793</v>
      </c>
    </row>
    <row r="370" customFormat="false" ht="15" hidden="false" customHeight="false" outlineLevel="0" collapsed="false">
      <c r="A370" s="2" t="n">
        <v>45467</v>
      </c>
      <c r="B370" s="0" t="n">
        <v>189.809020996094</v>
      </c>
      <c r="C370" s="0" t="n">
        <v>91.3728485107422</v>
      </c>
      <c r="D370" s="0" t="n">
        <v>38.035816192627</v>
      </c>
    </row>
    <row r="371" customFormat="false" ht="15" hidden="false" customHeight="false" outlineLevel="0" collapsed="false">
      <c r="A371" s="2" t="n">
        <v>45468</v>
      </c>
      <c r="B371" s="0" t="n">
        <v>189.03596496582</v>
      </c>
      <c r="C371" s="0" t="n">
        <v>92.0315475463867</v>
      </c>
      <c r="D371" s="0" t="n">
        <v>37.4275512695313</v>
      </c>
    </row>
    <row r="372" customFormat="false" ht="15" hidden="false" customHeight="false" outlineLevel="0" collapsed="false">
      <c r="A372" s="2" t="n">
        <v>45469</v>
      </c>
      <c r="B372" s="0" t="n">
        <v>188.425140380859</v>
      </c>
      <c r="C372" s="0" t="n">
        <v>91.1752166748047</v>
      </c>
      <c r="D372" s="0" t="n">
        <v>37.0663909912109</v>
      </c>
    </row>
    <row r="373" customFormat="false" ht="15" hidden="false" customHeight="false" outlineLevel="0" collapsed="false">
      <c r="A373" s="2" t="n">
        <v>45470</v>
      </c>
      <c r="B373" s="0" t="n">
        <v>190.085800170898</v>
      </c>
      <c r="C373" s="0" t="n">
        <v>90.1212768554688</v>
      </c>
      <c r="D373" s="0" t="n">
        <v>37.3039970397949</v>
      </c>
    </row>
    <row r="374" customFormat="false" ht="15" hidden="false" customHeight="false" outlineLevel="0" collapsed="false">
      <c r="A374" s="2" t="n">
        <v>45471</v>
      </c>
      <c r="B374" s="0" t="n">
        <v>193.034851074219</v>
      </c>
      <c r="C374" s="0" t="n">
        <v>91.4575271606445</v>
      </c>
      <c r="D374" s="0" t="n">
        <v>37.7982139587402</v>
      </c>
    </row>
    <row r="375" customFormat="false" ht="15" hidden="false" customHeight="false" outlineLevel="0" collapsed="false">
      <c r="A375" s="2" t="n">
        <v>45474</v>
      </c>
      <c r="B375" s="0" t="n">
        <v>196.079376220703</v>
      </c>
      <c r="C375" s="0" t="n">
        <v>93.3113327026367</v>
      </c>
      <c r="D375" s="0" t="n">
        <v>38.0263137817383</v>
      </c>
    </row>
    <row r="376" customFormat="false" ht="15" hidden="false" customHeight="false" outlineLevel="0" collapsed="false">
      <c r="A376" s="2" t="n">
        <v>45475</v>
      </c>
      <c r="B376" s="0" t="n">
        <v>199.305191040039</v>
      </c>
      <c r="C376" s="0" t="n">
        <v>93.7724304199219</v>
      </c>
      <c r="D376" s="0" t="n">
        <v>38.9007034301758</v>
      </c>
    </row>
    <row r="377" customFormat="false" ht="15" hidden="false" customHeight="false" outlineLevel="0" collapsed="false">
      <c r="A377" s="2" t="n">
        <v>45476</v>
      </c>
      <c r="B377" s="0" t="n">
        <v>199.171600341797</v>
      </c>
      <c r="C377" s="0" t="n">
        <v>94.2899856567383</v>
      </c>
      <c r="D377" s="0" t="n">
        <v>38.8721885681152</v>
      </c>
    </row>
    <row r="378" customFormat="false" ht="15" hidden="false" customHeight="false" outlineLevel="0" collapsed="false">
      <c r="A378" s="2" t="n">
        <v>45478</v>
      </c>
      <c r="B378" s="0" t="n">
        <v>196.532470703125</v>
      </c>
      <c r="C378" s="0" t="n">
        <v>93.7159576416016</v>
      </c>
      <c r="D378" s="0" t="n">
        <v>38.4064826965332</v>
      </c>
    </row>
    <row r="379" customFormat="false" ht="15" hidden="false" customHeight="false" outlineLevel="0" collapsed="false">
      <c r="A379" s="2" t="n">
        <v>45481</v>
      </c>
      <c r="B379" s="0" t="n">
        <v>196.897155761719</v>
      </c>
      <c r="C379" s="0" t="n">
        <v>94.6569900512695</v>
      </c>
      <c r="D379" s="0" t="n">
        <v>38.6060676574707</v>
      </c>
    </row>
    <row r="380" customFormat="false" ht="15" hidden="false" customHeight="false" outlineLevel="0" collapsed="false">
      <c r="A380" s="2" t="n">
        <v>45482</v>
      </c>
      <c r="B380" s="0" t="n">
        <v>199.257949829102</v>
      </c>
      <c r="C380" s="0" t="n">
        <v>96.5578460693359</v>
      </c>
      <c r="D380" s="0" t="n">
        <v>39.3664093017578</v>
      </c>
    </row>
    <row r="381" customFormat="false" ht="15" hidden="false" customHeight="false" outlineLevel="0" collapsed="false">
      <c r="A381" s="2" t="n">
        <v>45483</v>
      </c>
      <c r="B381" s="0" t="n">
        <v>199.421096801758</v>
      </c>
      <c r="C381" s="0" t="n">
        <v>97.3577117919922</v>
      </c>
      <c r="D381" s="0" t="n">
        <v>39.6705474853516</v>
      </c>
    </row>
    <row r="382" customFormat="false" ht="15" hidden="false" customHeight="false" outlineLevel="0" collapsed="false">
      <c r="A382" s="2" t="n">
        <v>45484</v>
      </c>
      <c r="B382" s="0" t="n">
        <v>199.085189819336</v>
      </c>
      <c r="C382" s="0" t="n">
        <v>98.4681167602539</v>
      </c>
      <c r="D382" s="0" t="n">
        <v>39.7370719909668</v>
      </c>
    </row>
    <row r="383" customFormat="false" ht="15" hidden="false" customHeight="false" outlineLevel="0" collapsed="false">
      <c r="A383" s="2" t="n">
        <v>45485</v>
      </c>
      <c r="B383" s="0" t="n">
        <v>196.676406860352</v>
      </c>
      <c r="C383" s="0" t="n">
        <v>97.950553894043</v>
      </c>
      <c r="D383" s="0" t="n">
        <v>39.5279808044434</v>
      </c>
    </row>
    <row r="384" customFormat="false" ht="15" hidden="false" customHeight="false" outlineLevel="0" collapsed="false">
      <c r="A384" s="2" t="n">
        <v>45488</v>
      </c>
      <c r="B384" s="0" t="n">
        <v>201.580383300781</v>
      </c>
      <c r="C384" s="0" t="n">
        <v>99.0515441894531</v>
      </c>
      <c r="D384" s="0" t="n">
        <v>39.813102722168</v>
      </c>
    </row>
    <row r="385" customFormat="false" ht="15" hidden="false" customHeight="false" outlineLevel="0" collapsed="false">
      <c r="A385" s="2" t="n">
        <v>45489</v>
      </c>
      <c r="B385" s="0" t="n">
        <v>205.006439208984</v>
      </c>
      <c r="C385" s="0" t="n">
        <v>99.9549331665039</v>
      </c>
      <c r="D385" s="0" t="n">
        <v>41.9420471191406</v>
      </c>
    </row>
    <row r="386" customFormat="false" ht="15" hidden="false" customHeight="false" outlineLevel="0" collapsed="false">
      <c r="A386" s="2" t="n">
        <v>45490</v>
      </c>
      <c r="B386" s="0" t="n">
        <v>208.125366210938</v>
      </c>
      <c r="C386" s="0" t="n">
        <v>100.651268005371</v>
      </c>
      <c r="D386" s="0" t="n">
        <v>41.799488067627</v>
      </c>
    </row>
    <row r="387" customFormat="false" ht="15" hidden="false" customHeight="false" outlineLevel="0" collapsed="false">
      <c r="A387" s="2" t="n">
        <v>45491</v>
      </c>
      <c r="B387" s="0" t="n">
        <v>201.513168334961</v>
      </c>
      <c r="C387" s="0" t="n">
        <v>98.6280822753906</v>
      </c>
      <c r="D387" s="0" t="n">
        <v>40.8775787353516</v>
      </c>
    </row>
    <row r="388" customFormat="false" ht="15" hidden="false" customHeight="false" outlineLevel="0" collapsed="false">
      <c r="A388" s="2" t="n">
        <v>45492</v>
      </c>
      <c r="B388" s="0" t="n">
        <v>201.321273803711</v>
      </c>
      <c r="C388" s="0" t="n">
        <v>96.0685272216797</v>
      </c>
      <c r="D388" s="0" t="n">
        <v>40.7730331420898</v>
      </c>
    </row>
    <row r="389" customFormat="false" ht="15" hidden="false" customHeight="false" outlineLevel="0" collapsed="false">
      <c r="A389" s="2" t="n">
        <v>45495</v>
      </c>
      <c r="B389" s="0" t="n">
        <v>201.80110168457</v>
      </c>
      <c r="C389" s="0" t="n">
        <v>96.3978729248047</v>
      </c>
      <c r="D389" s="0" t="n">
        <v>40.2027740478516</v>
      </c>
    </row>
    <row r="390" customFormat="false" ht="15" hidden="false" customHeight="false" outlineLevel="0" collapsed="false">
      <c r="A390" s="2" t="n">
        <v>45496</v>
      </c>
      <c r="B390" s="0" t="n">
        <v>201.849075317383</v>
      </c>
      <c r="C390" s="0" t="n">
        <v>97.3953552246094</v>
      </c>
      <c r="D390" s="0" t="n">
        <v>40.3073196411133</v>
      </c>
    </row>
    <row r="391" customFormat="false" ht="15" hidden="false" customHeight="false" outlineLevel="0" collapsed="false">
      <c r="A391" s="2" t="n">
        <v>45497</v>
      </c>
      <c r="B391" s="0" t="n">
        <v>200.179260253906</v>
      </c>
      <c r="C391" s="0" t="n">
        <v>95.9556045532227</v>
      </c>
      <c r="D391" s="0" t="n">
        <v>40.0982284545898</v>
      </c>
    </row>
    <row r="392" customFormat="false" ht="15" hidden="false" customHeight="false" outlineLevel="0" collapsed="false">
      <c r="A392" s="2" t="n">
        <v>45498</v>
      </c>
      <c r="B392" s="0" t="n">
        <v>200.255996704102</v>
      </c>
      <c r="C392" s="0" t="n">
        <v>97.4518127441406</v>
      </c>
      <c r="D392" s="0" t="n">
        <v>39.6135177612305</v>
      </c>
    </row>
    <row r="393" customFormat="false" ht="15" hidden="false" customHeight="false" outlineLevel="0" collapsed="false">
      <c r="A393" s="2" t="n">
        <v>45499</v>
      </c>
      <c r="B393" s="0" t="n">
        <v>203.682067871094</v>
      </c>
      <c r="C393" s="0" t="n">
        <v>98.0446624755859</v>
      </c>
      <c r="D393" s="0" t="n">
        <v>39.6040115356445</v>
      </c>
    </row>
    <row r="394" customFormat="false" ht="15" hidden="false" customHeight="false" outlineLevel="0" collapsed="false">
      <c r="A394" s="2" t="n">
        <v>45502</v>
      </c>
      <c r="B394" s="0" t="n">
        <v>202.348129272461</v>
      </c>
      <c r="C394" s="0" t="n">
        <v>96.4355239868164</v>
      </c>
      <c r="D394" s="0" t="n">
        <v>39.0527687072754</v>
      </c>
    </row>
    <row r="395" customFormat="false" ht="15" hidden="false" customHeight="false" outlineLevel="0" collapsed="false">
      <c r="A395" s="2" t="n">
        <v>45503</v>
      </c>
      <c r="B395" s="0" t="n">
        <v>206.513122558594</v>
      </c>
      <c r="C395" s="0" t="n">
        <v>97.640022277832</v>
      </c>
      <c r="D395" s="0" t="n">
        <v>39.2333488464356</v>
      </c>
    </row>
    <row r="396" customFormat="false" ht="15" hidden="false" customHeight="false" outlineLevel="0" collapsed="false">
      <c r="A396" s="2" t="n">
        <v>45504</v>
      </c>
      <c r="B396" s="0" t="n">
        <v>204.219497680664</v>
      </c>
      <c r="C396" s="0" t="n">
        <v>97.9960708618164</v>
      </c>
      <c r="D396" s="0" t="n">
        <v>38.3114471435547</v>
      </c>
    </row>
    <row r="397" customFormat="false" ht="15" hidden="false" customHeight="false" outlineLevel="0" collapsed="false">
      <c r="A397" s="2" t="n">
        <v>45505</v>
      </c>
      <c r="B397" s="0" t="n">
        <v>199.574615478516</v>
      </c>
      <c r="C397" s="0" t="n">
        <v>96.6193161010742</v>
      </c>
      <c r="D397" s="0" t="n">
        <v>37.5415992736816</v>
      </c>
    </row>
    <row r="398" customFormat="false" ht="15" hidden="false" customHeight="false" outlineLevel="0" collapsed="false">
      <c r="A398" s="2" t="n">
        <v>45506</v>
      </c>
      <c r="B398" s="0" t="n">
        <v>191.110290527344</v>
      </c>
      <c r="C398" s="0" t="n">
        <v>91.0078811645508</v>
      </c>
      <c r="D398" s="0" t="n">
        <v>35.7167930603027</v>
      </c>
    </row>
    <row r="399" customFormat="false" ht="15" hidden="false" customHeight="false" outlineLevel="0" collapsed="false">
      <c r="A399" s="2" t="n">
        <v>45509</v>
      </c>
      <c r="B399" s="0" t="n">
        <v>187.041244506836</v>
      </c>
      <c r="C399" s="0" t="n">
        <v>87.4188385009766</v>
      </c>
      <c r="D399" s="0" t="n">
        <v>34.8329010009766</v>
      </c>
    </row>
    <row r="400" customFormat="false" ht="15" hidden="false" customHeight="false" outlineLevel="0" collapsed="false">
      <c r="A400" s="2" t="n">
        <v>45510</v>
      </c>
      <c r="B400" s="0" t="n">
        <v>192.26188659668</v>
      </c>
      <c r="C400" s="0" t="n">
        <v>88.2733688354492</v>
      </c>
      <c r="D400" s="0" t="n">
        <v>35.0895118713379</v>
      </c>
    </row>
    <row r="401" customFormat="false" ht="15" hidden="false" customHeight="false" outlineLevel="0" collapsed="false">
      <c r="A401" s="2" t="n">
        <v>45511</v>
      </c>
      <c r="B401" s="0" t="n">
        <v>192.319488525391</v>
      </c>
      <c r="C401" s="0" t="n">
        <v>87.4568176269531</v>
      </c>
      <c r="D401" s="0" t="n">
        <v>35.4506759643555</v>
      </c>
    </row>
    <row r="402" customFormat="false" ht="15" hidden="false" customHeight="false" outlineLevel="0" collapsed="false">
      <c r="A402" s="2" t="n">
        <v>45512</v>
      </c>
      <c r="B402" s="0" t="n">
        <v>195.831893920898</v>
      </c>
      <c r="C402" s="0" t="n">
        <v>89.8495254516602</v>
      </c>
      <c r="D402" s="0" t="n">
        <v>36.315559387207</v>
      </c>
    </row>
    <row r="403" customFormat="false" ht="15" hidden="false" customHeight="false" outlineLevel="0" collapsed="false">
      <c r="A403" s="2" t="n">
        <v>45513</v>
      </c>
      <c r="B403" s="0" t="n">
        <v>197.501724243164</v>
      </c>
      <c r="C403" s="0" t="n">
        <v>89.9349670410156</v>
      </c>
      <c r="D403" s="0" t="n">
        <v>36.3820877075195</v>
      </c>
    </row>
    <row r="404" customFormat="false" ht="15" hidden="false" customHeight="false" outlineLevel="0" collapsed="false">
      <c r="A404" s="2" t="n">
        <v>45516</v>
      </c>
      <c r="B404" s="0" t="n">
        <v>197.876022338867</v>
      </c>
      <c r="C404" s="0" t="n">
        <v>90.0489120483398</v>
      </c>
      <c r="D404" s="0" t="n">
        <v>36.2775421142578</v>
      </c>
    </row>
    <row r="405" customFormat="false" ht="15" hidden="false" customHeight="false" outlineLevel="0" collapsed="false">
      <c r="A405" s="2" t="n">
        <v>45517</v>
      </c>
      <c r="B405" s="0" t="n">
        <v>199.555465698242</v>
      </c>
      <c r="C405" s="0" t="n">
        <v>91.8244323730469</v>
      </c>
      <c r="D405" s="0" t="n">
        <v>36.5531616210938</v>
      </c>
    </row>
    <row r="406" customFormat="false" ht="15" hidden="false" customHeight="false" outlineLevel="0" collapsed="false">
      <c r="A406" s="2" t="n">
        <v>45518</v>
      </c>
      <c r="B406" s="0" t="n">
        <v>201.762710571289</v>
      </c>
      <c r="C406" s="0" t="n">
        <v>94.4165344238281</v>
      </c>
      <c r="D406" s="0" t="n">
        <v>36.8858108520508</v>
      </c>
    </row>
    <row r="407" customFormat="false" ht="15" hidden="false" customHeight="false" outlineLevel="0" collapsed="false">
      <c r="A407" s="2" t="n">
        <v>45519</v>
      </c>
      <c r="B407" s="0" t="n">
        <v>203.019882202148</v>
      </c>
      <c r="C407" s="0" t="n">
        <v>95.555908203125</v>
      </c>
      <c r="D407" s="0" t="n">
        <v>37.0949058532715</v>
      </c>
    </row>
    <row r="408" customFormat="false" ht="15" hidden="false" customHeight="false" outlineLevel="0" collapsed="false">
      <c r="A408" s="2" t="n">
        <v>45520</v>
      </c>
      <c r="B408" s="0" t="n">
        <v>205.342300415039</v>
      </c>
      <c r="C408" s="0" t="n">
        <v>96.3154983520508</v>
      </c>
      <c r="D408" s="0" t="n">
        <v>37.389533996582</v>
      </c>
    </row>
    <row r="409" customFormat="false" ht="15" hidden="false" customHeight="false" outlineLevel="0" collapsed="false">
      <c r="A409" s="2" t="n">
        <v>45523</v>
      </c>
      <c r="B409" s="0" t="n">
        <v>206.762649536133</v>
      </c>
      <c r="C409" s="0" t="n">
        <v>96.6098403930664</v>
      </c>
      <c r="D409" s="0" t="n">
        <v>37.7031707763672</v>
      </c>
    </row>
    <row r="410" customFormat="false" ht="15" hidden="false" customHeight="false" outlineLevel="0" collapsed="false">
      <c r="A410" s="2" t="n">
        <v>45524</v>
      </c>
      <c r="B410" s="0" t="n">
        <v>205.870132446289</v>
      </c>
      <c r="C410" s="0" t="n">
        <v>95.6888198852539</v>
      </c>
      <c r="D410" s="0" t="n">
        <v>36.7717552185059</v>
      </c>
    </row>
    <row r="411" customFormat="false" ht="15" hidden="false" customHeight="false" outlineLevel="0" collapsed="false">
      <c r="A411" s="2" t="n">
        <v>45525</v>
      </c>
      <c r="B411" s="0" t="n">
        <v>205.946929931641</v>
      </c>
      <c r="C411" s="0" t="n">
        <v>95.603385925293</v>
      </c>
      <c r="D411" s="0" t="n">
        <v>36.8287811279297</v>
      </c>
    </row>
    <row r="412" customFormat="false" ht="15" hidden="false" customHeight="false" outlineLevel="0" collapsed="false">
      <c r="A412" s="2" t="n">
        <v>45526</v>
      </c>
      <c r="B412" s="0" t="n">
        <v>207.895050048828</v>
      </c>
      <c r="C412" s="0" t="n">
        <v>95.4799499511719</v>
      </c>
      <c r="D412" s="0" t="n">
        <v>37.2944946289063</v>
      </c>
    </row>
    <row r="413" customFormat="false" ht="15" hidden="false" customHeight="false" outlineLevel="0" collapsed="false">
      <c r="A413" s="2" t="n">
        <v>45527</v>
      </c>
      <c r="B413" s="0" t="n">
        <v>209.507293701172</v>
      </c>
      <c r="C413" s="0" t="n">
        <v>96.7427520751953</v>
      </c>
      <c r="D413" s="0" t="n">
        <v>37.7982139587402</v>
      </c>
    </row>
    <row r="414" customFormat="false" ht="15" hidden="false" customHeight="false" outlineLevel="0" collapsed="false">
      <c r="A414" s="2" t="n">
        <v>45530</v>
      </c>
      <c r="B414" s="0" t="n">
        <v>210.332641601563</v>
      </c>
      <c r="C414" s="0" t="n">
        <v>97.1605224609375</v>
      </c>
      <c r="D414" s="0" t="n">
        <v>37.9407730102539</v>
      </c>
    </row>
    <row r="415" customFormat="false" ht="15" hidden="false" customHeight="false" outlineLevel="0" collapsed="false">
      <c r="A415" s="2" t="n">
        <v>45531</v>
      </c>
      <c r="B415" s="0" t="n">
        <v>211.301910400391</v>
      </c>
      <c r="C415" s="0" t="n">
        <v>96.9231491088867</v>
      </c>
      <c r="D415" s="0" t="n">
        <v>37.7031707763672</v>
      </c>
    </row>
    <row r="416" customFormat="false" ht="15" hidden="false" customHeight="false" outlineLevel="0" collapsed="false">
      <c r="A416" s="2" t="n">
        <v>45532</v>
      </c>
      <c r="B416" s="0" t="n">
        <v>212.367156982422</v>
      </c>
      <c r="C416" s="0" t="n">
        <v>97.0370864868164</v>
      </c>
      <c r="D416" s="0" t="n">
        <v>37.9692916870117</v>
      </c>
    </row>
    <row r="417" customFormat="false" ht="15" hidden="false" customHeight="false" outlineLevel="0" collapsed="false">
      <c r="A417" s="2" t="n">
        <v>45533</v>
      </c>
      <c r="B417" s="0" t="n">
        <v>213.250076293945</v>
      </c>
      <c r="C417" s="0" t="n">
        <v>97.4168853759766</v>
      </c>
      <c r="D417" s="0" t="n">
        <v>38.1783828735352</v>
      </c>
    </row>
    <row r="418" customFormat="false" ht="15" hidden="false" customHeight="false" outlineLevel="0" collapsed="false">
      <c r="A418" s="2" t="n">
        <v>45534</v>
      </c>
      <c r="B418" s="0" t="n">
        <v>215.735641479492</v>
      </c>
      <c r="C418" s="0" t="n">
        <v>98.3758773803711</v>
      </c>
      <c r="D418" s="0" t="n">
        <v>38.7296333312988</v>
      </c>
    </row>
    <row r="419" customFormat="false" ht="15" hidden="false" customHeight="false" outlineLevel="0" collapsed="false">
      <c r="A419" s="2" t="n">
        <v>45538</v>
      </c>
      <c r="B419" s="0" t="n">
        <v>211.417068481445</v>
      </c>
      <c r="C419" s="0" t="n">
        <v>94.2551116943359</v>
      </c>
      <c r="D419" s="0" t="n">
        <v>38.6821022033691</v>
      </c>
    </row>
    <row r="420" customFormat="false" ht="15" hidden="false" customHeight="false" outlineLevel="0" collapsed="false">
      <c r="A420" s="2" t="n">
        <v>45539</v>
      </c>
      <c r="B420" s="0" t="n">
        <v>210.486175537109</v>
      </c>
      <c r="C420" s="0" t="n">
        <v>95.0906600952148</v>
      </c>
      <c r="D420" s="0" t="n">
        <v>38.4920196533203</v>
      </c>
    </row>
    <row r="421" customFormat="false" ht="15" hidden="false" customHeight="false" outlineLevel="0" collapsed="false">
      <c r="A421" s="2" t="n">
        <v>45540</v>
      </c>
      <c r="B421" s="0" t="n">
        <v>208.854736328125</v>
      </c>
      <c r="C421" s="0" t="n">
        <v>94.5304718017578</v>
      </c>
      <c r="D421" s="0" t="n">
        <v>38.1498641967773</v>
      </c>
    </row>
    <row r="422" customFormat="false" ht="15" hidden="false" customHeight="false" outlineLevel="0" collapsed="false">
      <c r="A422" s="2" t="n">
        <v>45541</v>
      </c>
      <c r="B422" s="0" t="n">
        <v>203.893218994141</v>
      </c>
      <c r="C422" s="0" t="n">
        <v>91.7105026245117</v>
      </c>
      <c r="D422" s="0" t="n">
        <v>37.0784568786621</v>
      </c>
    </row>
    <row r="423" customFormat="false" ht="15" hidden="false" customHeight="false" outlineLevel="0" collapsed="false">
      <c r="A423" s="2" t="n">
        <v>45544</v>
      </c>
      <c r="B423" s="0" t="n">
        <v>208.067794799805</v>
      </c>
      <c r="C423" s="0" t="n">
        <v>93.2201614379883</v>
      </c>
      <c r="D423" s="0" t="n">
        <v>37.7576599121094</v>
      </c>
    </row>
    <row r="424" customFormat="false" ht="15" hidden="false" customHeight="false" outlineLevel="0" collapsed="false">
      <c r="A424" s="2" t="n">
        <v>45545</v>
      </c>
      <c r="B424" s="0" t="n">
        <v>197.271408081055</v>
      </c>
      <c r="C424" s="0" t="n">
        <v>91.7389831542969</v>
      </c>
      <c r="D424" s="0" t="n">
        <v>37.5758972167969</v>
      </c>
    </row>
    <row r="425" customFormat="false" ht="15" hidden="false" customHeight="false" outlineLevel="0" collapsed="false">
      <c r="A425" s="2" t="n">
        <v>45546</v>
      </c>
      <c r="B425" s="0" t="n">
        <v>198.874099731445</v>
      </c>
      <c r="C425" s="0" t="n">
        <v>92.1282730102539</v>
      </c>
      <c r="D425" s="0" t="n">
        <v>37.308048248291</v>
      </c>
    </row>
    <row r="426" customFormat="false" ht="15" hidden="false" customHeight="false" outlineLevel="0" collapsed="false">
      <c r="A426" s="2" t="n">
        <v>45547</v>
      </c>
      <c r="B426" s="0" t="n">
        <v>198.269500732422</v>
      </c>
      <c r="C426" s="0" t="n">
        <v>91.7579803466797</v>
      </c>
      <c r="D426" s="0" t="n">
        <v>37.097599029541</v>
      </c>
    </row>
    <row r="427" customFormat="false" ht="15" hidden="false" customHeight="false" outlineLevel="0" collapsed="false">
      <c r="A427" s="2" t="n">
        <v>45548</v>
      </c>
      <c r="B427" s="0" t="n">
        <v>196.081420898438</v>
      </c>
      <c r="C427" s="0" t="n">
        <v>93.2866439819336</v>
      </c>
      <c r="D427" s="0" t="n">
        <v>36.9732360839844</v>
      </c>
    </row>
    <row r="428" customFormat="false" ht="15" hidden="false" customHeight="false" outlineLevel="0" collapsed="false">
      <c r="A428" s="2" t="n">
        <v>45551</v>
      </c>
      <c r="B428" s="0" t="n">
        <v>199.478668212891</v>
      </c>
      <c r="C428" s="0" t="n">
        <v>95.03369140625</v>
      </c>
      <c r="D428" s="0" t="n">
        <v>37.4037055969238</v>
      </c>
    </row>
    <row r="429" customFormat="false" ht="15" hidden="false" customHeight="false" outlineLevel="0" collapsed="false">
      <c r="A429" s="2" t="n">
        <v>45552</v>
      </c>
      <c r="B429" s="0" t="n">
        <v>200.812606811523</v>
      </c>
      <c r="C429" s="0" t="n">
        <v>94.7963256835938</v>
      </c>
      <c r="D429" s="0" t="n">
        <v>37.8341827392578</v>
      </c>
    </row>
    <row r="430" customFormat="false" ht="15" hidden="false" customHeight="false" outlineLevel="0" collapsed="false">
      <c r="A430" s="2" t="n">
        <v>45553</v>
      </c>
      <c r="B430" s="0" t="n">
        <v>199.161987304688</v>
      </c>
      <c r="C430" s="0" t="n">
        <v>94.2835998535156</v>
      </c>
      <c r="D430" s="0" t="n">
        <v>37.9011535644531</v>
      </c>
    </row>
    <row r="431" customFormat="false" ht="15" hidden="false" customHeight="false" outlineLevel="0" collapsed="false">
      <c r="A431" s="2" t="n">
        <v>45554</v>
      </c>
      <c r="B431" s="0" t="n">
        <v>201.993026733398</v>
      </c>
      <c r="C431" s="0" t="n">
        <v>95.641357421875</v>
      </c>
      <c r="D431" s="0" t="n">
        <v>39.0969200134277</v>
      </c>
    </row>
    <row r="432" customFormat="false" ht="15" hidden="false" customHeight="false" outlineLevel="0" collapsed="false">
      <c r="A432" s="2" t="n">
        <v>45555</v>
      </c>
      <c r="B432" s="0" t="n">
        <v>202.578430175781</v>
      </c>
      <c r="C432" s="0" t="n">
        <v>97.29345703125</v>
      </c>
      <c r="D432" s="0" t="n">
        <v>38.5229530334473</v>
      </c>
    </row>
    <row r="433" customFormat="false" ht="15" hidden="false" customHeight="false" outlineLevel="0" collapsed="false">
      <c r="A433" s="2" t="n">
        <v>45558</v>
      </c>
      <c r="B433" s="0" t="n">
        <v>202.914337158203</v>
      </c>
      <c r="C433" s="0" t="n">
        <v>97.29345703125</v>
      </c>
      <c r="D433" s="0" t="n">
        <v>38.1403045654297</v>
      </c>
    </row>
    <row r="434" customFormat="false" ht="15" hidden="false" customHeight="false" outlineLevel="0" collapsed="false">
      <c r="A434" s="2" t="n">
        <v>45559</v>
      </c>
      <c r="B434" s="0" t="n">
        <v>203.058288574219</v>
      </c>
      <c r="C434" s="0" t="n">
        <v>97.3979034423828</v>
      </c>
      <c r="D434" s="0" t="n">
        <v>37.7385292053223</v>
      </c>
    </row>
    <row r="435" customFormat="false" ht="15" hidden="false" customHeight="false" outlineLevel="0" collapsed="false">
      <c r="A435" s="2" t="n">
        <v>45560</v>
      </c>
      <c r="B435" s="0" t="n">
        <v>201.714736938477</v>
      </c>
      <c r="C435" s="0" t="n">
        <v>97.1700210571289</v>
      </c>
      <c r="D435" s="0" t="n">
        <v>37.5471992492676</v>
      </c>
    </row>
    <row r="436" customFormat="false" ht="15" hidden="false" customHeight="false" outlineLevel="0" collapsed="false">
      <c r="A436" s="2" t="n">
        <v>45561</v>
      </c>
      <c r="B436" s="0" t="n">
        <v>201.321273803711</v>
      </c>
      <c r="C436" s="0" t="n">
        <v>99.3158569335938</v>
      </c>
      <c r="D436" s="0" t="n">
        <v>37.8054924011231</v>
      </c>
    </row>
    <row r="437" customFormat="false" ht="15" hidden="false" customHeight="false" outlineLevel="0" collapsed="false">
      <c r="A437" s="2" t="n">
        <v>45562</v>
      </c>
      <c r="B437" s="0" t="n">
        <v>202.012237548828</v>
      </c>
      <c r="C437" s="0" t="n">
        <v>98.8506011962891</v>
      </c>
      <c r="D437" s="0" t="n">
        <v>37.6906967163086</v>
      </c>
    </row>
    <row r="438" customFormat="false" ht="15" hidden="false" customHeight="false" outlineLevel="0" collapsed="false">
      <c r="A438" s="2" t="n">
        <v>45565</v>
      </c>
      <c r="B438" s="0" t="n">
        <v>202.357727050781</v>
      </c>
      <c r="C438" s="0" t="n">
        <v>98.9740371704102</v>
      </c>
      <c r="D438" s="0" t="n">
        <v>37.9585494995117</v>
      </c>
    </row>
    <row r="439" customFormat="false" ht="15" hidden="false" customHeight="false" outlineLevel="0" collapsed="false">
      <c r="A439" s="2" t="n">
        <v>45566</v>
      </c>
      <c r="B439" s="0" t="n">
        <v>198.691741943359</v>
      </c>
      <c r="C439" s="0" t="n">
        <v>99.1449356079102</v>
      </c>
      <c r="D439" s="0" t="n">
        <v>37.5185050964356</v>
      </c>
    </row>
    <row r="440" customFormat="false" ht="15" hidden="false" customHeight="false" outlineLevel="0" collapsed="false">
      <c r="A440" s="2" t="n">
        <v>45567</v>
      </c>
      <c r="B440" s="0" t="n">
        <v>198.931671142578</v>
      </c>
      <c r="C440" s="0" t="n">
        <v>99.2398986816406</v>
      </c>
      <c r="D440" s="0" t="n">
        <v>37.5280723571777</v>
      </c>
    </row>
    <row r="441" customFormat="false" ht="15" hidden="false" customHeight="false" outlineLevel="0" collapsed="false">
      <c r="A441" s="2" t="n">
        <v>45568</v>
      </c>
      <c r="B441" s="0" t="n">
        <v>196.954727172852</v>
      </c>
      <c r="C441" s="0" t="n">
        <v>99.2873687744141</v>
      </c>
      <c r="D441" s="0" t="n">
        <v>37.5471992492676</v>
      </c>
    </row>
    <row r="442" customFormat="false" ht="15" hidden="false" customHeight="false" outlineLevel="0" collapsed="false">
      <c r="A442" s="2" t="n">
        <v>45569</v>
      </c>
      <c r="B442" s="0" t="n">
        <v>203.945358276367</v>
      </c>
      <c r="C442" s="0" t="n">
        <v>102.430152893066</v>
      </c>
      <c r="D442" s="0" t="n">
        <v>38.3698921203613</v>
      </c>
    </row>
    <row r="443" customFormat="false" ht="15" hidden="false" customHeight="false" outlineLevel="0" collapsed="false">
      <c r="A443" s="2" t="n">
        <v>45572</v>
      </c>
      <c r="B443" s="0" t="n">
        <v>203.66535949707</v>
      </c>
      <c r="C443" s="0" t="n">
        <v>102.202278137207</v>
      </c>
      <c r="D443" s="0" t="n">
        <v>38.2263984680176</v>
      </c>
    </row>
    <row r="444" customFormat="false" ht="15" hidden="false" customHeight="false" outlineLevel="0" collapsed="false">
      <c r="A444" s="2" t="n">
        <v>45573</v>
      </c>
      <c r="B444" s="0" t="n">
        <v>203.491577148438</v>
      </c>
      <c r="C444" s="0" t="n">
        <v>102.059852600098</v>
      </c>
      <c r="D444" s="0" t="n">
        <v>38.1977005004883</v>
      </c>
    </row>
    <row r="445" customFormat="false" ht="15" hidden="false" customHeight="false" outlineLevel="0" collapsed="false">
      <c r="A445" s="2" t="n">
        <v>45574</v>
      </c>
      <c r="B445" s="0" t="n">
        <v>206.069580078125</v>
      </c>
      <c r="C445" s="0" t="n">
        <v>103.531555175781</v>
      </c>
      <c r="D445" s="0" t="n">
        <v>38.4464225769043</v>
      </c>
    </row>
    <row r="446" customFormat="false" ht="15" hidden="false" customHeight="false" outlineLevel="0" collapsed="false">
      <c r="A446" s="2" t="n">
        <v>45575</v>
      </c>
      <c r="B446" s="0" t="n">
        <v>205.509582519531</v>
      </c>
      <c r="C446" s="0" t="n">
        <v>102.620048522949</v>
      </c>
      <c r="D446" s="0" t="n">
        <v>38.235969543457</v>
      </c>
    </row>
    <row r="447" customFormat="false" ht="15" hidden="false" customHeight="false" outlineLevel="0" collapsed="false">
      <c r="A447" s="2" t="n">
        <v>45576</v>
      </c>
      <c r="B447" s="0" t="n">
        <v>214.63410949707</v>
      </c>
      <c r="C447" s="0" t="n">
        <v>104.879821777344</v>
      </c>
      <c r="D447" s="0" t="n">
        <v>40.130069732666</v>
      </c>
    </row>
    <row r="448" customFormat="false" ht="15" hidden="false" customHeight="false" outlineLevel="0" collapsed="false">
      <c r="A448" s="2" t="n">
        <v>45579</v>
      </c>
      <c r="B448" s="0" t="n">
        <v>213.852005004883</v>
      </c>
      <c r="C448" s="0" t="n">
        <v>106.607879638672</v>
      </c>
      <c r="D448" s="0" t="n">
        <v>40.0918045043945</v>
      </c>
    </row>
    <row r="449" customFormat="false" ht="15" hidden="false" customHeight="false" outlineLevel="0" collapsed="false">
      <c r="A449" s="2" t="n">
        <v>45580</v>
      </c>
      <c r="B449" s="0" t="n">
        <v>214.730651855469</v>
      </c>
      <c r="C449" s="0" t="n">
        <v>106.550910949707</v>
      </c>
      <c r="D449" s="0" t="n">
        <v>40.3118171691895</v>
      </c>
    </row>
    <row r="450" customFormat="false" ht="15" hidden="false" customHeight="false" outlineLevel="0" collapsed="false">
      <c r="A450" s="2" t="n">
        <v>45581</v>
      </c>
      <c r="B450" s="0" t="n">
        <v>215.937606811523</v>
      </c>
      <c r="C450" s="0" t="n">
        <v>113.472633361816</v>
      </c>
      <c r="D450" s="0" t="n">
        <v>40.9431915283203</v>
      </c>
    </row>
    <row r="451" customFormat="false" ht="15" hidden="false" customHeight="false" outlineLevel="0" collapsed="false">
      <c r="A451" s="2" t="n">
        <v>45582</v>
      </c>
      <c r="B451" s="0" t="n">
        <v>216.69075012207</v>
      </c>
      <c r="C451" s="0" t="n">
        <v>113.406173706055</v>
      </c>
      <c r="D451" s="0" t="n">
        <v>40.7518615722656</v>
      </c>
    </row>
    <row r="452" customFormat="false" ht="15" hidden="false" customHeight="false" outlineLevel="0" collapsed="false">
      <c r="A452" s="2" t="n">
        <v>45583</v>
      </c>
      <c r="B452" s="0" t="n">
        <v>217.608032226563</v>
      </c>
      <c r="C452" s="0" t="n">
        <v>114.944320678711</v>
      </c>
      <c r="D452" s="0" t="n">
        <v>40.484016418457</v>
      </c>
    </row>
    <row r="453" customFormat="false" ht="15" hidden="false" customHeight="false" outlineLevel="0" collapsed="false">
      <c r="A453" s="2" t="n">
        <v>45586</v>
      </c>
      <c r="B453" s="0" t="n">
        <v>215.31965637207</v>
      </c>
      <c r="C453" s="0" t="n">
        <v>112.304779052734</v>
      </c>
      <c r="D453" s="0" t="n">
        <v>39.9483108520508</v>
      </c>
    </row>
    <row r="454" customFormat="false" ht="15" hidden="false" customHeight="false" outlineLevel="0" collapsed="false">
      <c r="A454" s="2" t="n">
        <v>45587</v>
      </c>
      <c r="B454" s="0" t="n">
        <v>216.40104675293</v>
      </c>
      <c r="C454" s="0" t="n">
        <v>112.342758178711</v>
      </c>
      <c r="D454" s="0" t="n">
        <v>40.4648780822754</v>
      </c>
    </row>
    <row r="455" customFormat="false" ht="15" hidden="false" customHeight="false" outlineLevel="0" collapsed="false">
      <c r="A455" s="2" t="n">
        <v>45588</v>
      </c>
      <c r="B455" s="0" t="n">
        <v>215.715560913086</v>
      </c>
      <c r="C455" s="0" t="n">
        <v>112.304779052734</v>
      </c>
      <c r="D455" s="0" t="n">
        <v>40.5031471252441</v>
      </c>
    </row>
    <row r="456" customFormat="false" ht="15" hidden="false" customHeight="false" outlineLevel="0" collapsed="false">
      <c r="A456" s="2" t="n">
        <v>45589</v>
      </c>
      <c r="B456" s="0" t="n">
        <v>217.231460571289</v>
      </c>
      <c r="C456" s="0" t="n">
        <v>113.149810791016</v>
      </c>
      <c r="D456" s="0" t="n">
        <v>40.7997016906738</v>
      </c>
    </row>
    <row r="457" customFormat="false" ht="15" hidden="false" customHeight="false" outlineLevel="0" collapsed="false">
      <c r="A457" s="2" t="n">
        <v>45590</v>
      </c>
      <c r="B457" s="0" t="n">
        <v>214.653411865234</v>
      </c>
      <c r="C457" s="0" t="n">
        <v>110.97550201416</v>
      </c>
      <c r="D457" s="0" t="n">
        <v>40.0726699829102</v>
      </c>
    </row>
    <row r="458" customFormat="false" ht="15" hidden="false" customHeight="false" outlineLevel="0" collapsed="false">
      <c r="A458" s="2" t="n">
        <v>45593</v>
      </c>
      <c r="B458" s="0" t="n">
        <v>217.733551025391</v>
      </c>
      <c r="C458" s="0" t="n">
        <v>113.111824035645</v>
      </c>
      <c r="D458" s="0" t="n">
        <v>40.7709999084473</v>
      </c>
    </row>
    <row r="459" customFormat="false" ht="15" hidden="false" customHeight="false" outlineLevel="0" collapsed="false">
      <c r="A459" s="2" t="n">
        <v>45594</v>
      </c>
      <c r="B459" s="0" t="n">
        <v>215.223083496094</v>
      </c>
      <c r="C459" s="0" t="n">
        <v>113.273254394531</v>
      </c>
      <c r="D459" s="0" t="n">
        <v>40.6849060058594</v>
      </c>
    </row>
    <row r="460" customFormat="false" ht="15" hidden="false" customHeight="false" outlineLevel="0" collapsed="false">
      <c r="A460" s="2" t="n">
        <v>45595</v>
      </c>
      <c r="B460" s="0" t="n">
        <v>216.681060791016</v>
      </c>
      <c r="C460" s="0" t="n">
        <v>111.962944030762</v>
      </c>
      <c r="D460" s="0" t="n">
        <v>40.4744491577148</v>
      </c>
    </row>
    <row r="461" customFormat="false" ht="15" hidden="false" customHeight="false" outlineLevel="0" collapsed="false">
      <c r="A461" s="2" t="n">
        <v>45596</v>
      </c>
      <c r="B461" s="0" t="n">
        <v>214.27685546875</v>
      </c>
      <c r="C461" s="0" t="n">
        <v>111.249992370606</v>
      </c>
      <c r="D461" s="0" t="n">
        <v>40.0057106018066</v>
      </c>
    </row>
    <row r="462" customFormat="false" ht="15" hidden="false" customHeight="false" outlineLevel="0" collapsed="false">
      <c r="A462" s="2" t="n">
        <v>45597</v>
      </c>
      <c r="B462" s="0" t="n">
        <v>215.261749267578</v>
      </c>
      <c r="C462" s="0" t="n">
        <v>111.824195861816</v>
      </c>
      <c r="D462" s="0" t="n">
        <v>39.9483108520508</v>
      </c>
    </row>
    <row r="463" customFormat="false" ht="15" hidden="false" customHeight="false" outlineLevel="0" collapsed="false">
      <c r="A463" s="2" t="n">
        <v>45600</v>
      </c>
      <c r="B463" s="0" t="n">
        <v>212.210540771484</v>
      </c>
      <c r="C463" s="0" t="n">
        <v>111.144729614258</v>
      </c>
      <c r="D463" s="0" t="n">
        <v>39.5369682312012</v>
      </c>
    </row>
    <row r="464" customFormat="false" ht="15" hidden="false" customHeight="false" outlineLevel="0" collapsed="false">
      <c r="A464" s="2" t="n">
        <v>45601</v>
      </c>
      <c r="B464" s="0" t="n">
        <v>213.861663818359</v>
      </c>
      <c r="C464" s="0" t="n">
        <v>112.742904663086</v>
      </c>
      <c r="D464" s="0" t="n">
        <v>40.0631103515625</v>
      </c>
    </row>
    <row r="465" customFormat="false" ht="15" hidden="false" customHeight="false" outlineLevel="0" collapsed="false">
      <c r="A465" s="2" t="n">
        <v>45602</v>
      </c>
      <c r="B465" s="0" t="n">
        <v>238.551010131836</v>
      </c>
      <c r="C465" s="0" t="n">
        <v>125.834533691406</v>
      </c>
      <c r="D465" s="0" t="n">
        <v>43.4399642944336</v>
      </c>
    </row>
    <row r="466" customFormat="false" ht="15" hidden="false" customHeight="false" outlineLevel="0" collapsed="false">
      <c r="A466" s="2" t="n">
        <v>45603</v>
      </c>
      <c r="B466" s="0" t="n">
        <v>228.238861083984</v>
      </c>
      <c r="C466" s="0" t="n">
        <v>122.915718078613</v>
      </c>
      <c r="D466" s="0" t="n">
        <v>42.8277282714844</v>
      </c>
    </row>
    <row r="467" customFormat="false" ht="15" hidden="false" customHeight="false" outlineLevel="0" collapsed="false">
      <c r="A467" s="2" t="n">
        <v>45604</v>
      </c>
      <c r="B467" s="0" t="n">
        <v>228.818176269531</v>
      </c>
      <c r="C467" s="0" t="n">
        <v>123.958824157715</v>
      </c>
      <c r="D467" s="0" t="n">
        <v>43.1721076965332</v>
      </c>
    </row>
    <row r="468" customFormat="false" ht="15" hidden="false" customHeight="false" outlineLevel="0" collapsed="false">
      <c r="A468" s="2" t="n">
        <v>45607</v>
      </c>
      <c r="B468" s="0" t="n">
        <v>231.048583984375</v>
      </c>
      <c r="C468" s="0" t="n">
        <v>127.777236938477</v>
      </c>
      <c r="D468" s="0" t="n">
        <v>44.0808906555176</v>
      </c>
    </row>
    <row r="469" customFormat="false" ht="15" hidden="false" customHeight="false" outlineLevel="0" collapsed="false">
      <c r="A469" s="2" t="n">
        <v>45608</v>
      </c>
      <c r="B469" s="0" t="n">
        <v>231.309310913086</v>
      </c>
      <c r="C469" s="0" t="n">
        <v>126.619232177734</v>
      </c>
      <c r="D469" s="0" t="n">
        <v>43.8704414367676</v>
      </c>
    </row>
    <row r="470" customFormat="false" ht="15" hidden="false" customHeight="false" outlineLevel="0" collapsed="false">
      <c r="A470" s="2" t="n">
        <v>45609</v>
      </c>
      <c r="B470" s="0" t="n">
        <v>232.854187011719</v>
      </c>
      <c r="C470" s="0" t="n">
        <v>127.049896240234</v>
      </c>
      <c r="D470" s="0" t="n">
        <v>43.8800010681152</v>
      </c>
    </row>
    <row r="471" customFormat="false" ht="15" hidden="false" customHeight="false" outlineLevel="0" collapsed="false">
      <c r="A471" s="2" t="n">
        <v>45610</v>
      </c>
      <c r="B471" s="0" t="n">
        <v>233.539733886719</v>
      </c>
      <c r="C471" s="0" t="n">
        <v>126.734092712402</v>
      </c>
      <c r="D471" s="0" t="n">
        <v>43.9087028503418</v>
      </c>
    </row>
    <row r="472" customFormat="false" ht="15" hidden="false" customHeight="false" outlineLevel="0" collapsed="false">
      <c r="A472" s="2" t="n">
        <v>45611</v>
      </c>
      <c r="B472" s="0" t="n">
        <v>236.861282348633</v>
      </c>
      <c r="C472" s="0" t="n">
        <v>128.294006347656</v>
      </c>
      <c r="D472" s="0" t="n">
        <v>44.7218246459961</v>
      </c>
    </row>
    <row r="473" customFormat="false" ht="15" hidden="false" customHeight="false" outlineLevel="0" collapsed="false">
      <c r="A473" s="2" t="n">
        <v>45614</v>
      </c>
      <c r="B473" s="0" t="n">
        <v>236.590911865234</v>
      </c>
      <c r="C473" s="0" t="n">
        <v>128.026016235352</v>
      </c>
      <c r="D473" s="0" t="n">
        <v>44.6931266784668</v>
      </c>
    </row>
    <row r="474" customFormat="false" ht="15" hidden="false" customHeight="false" outlineLevel="0" collapsed="false">
      <c r="A474" s="2" t="n">
        <v>45615</v>
      </c>
      <c r="B474" s="0" t="n">
        <v>234.717727661133</v>
      </c>
      <c r="C474" s="0" t="n">
        <v>126.552276611328</v>
      </c>
      <c r="D474" s="0" t="n">
        <v>44.3965797424316</v>
      </c>
    </row>
    <row r="475" customFormat="false" ht="15" hidden="false" customHeight="false" outlineLevel="0" collapsed="false">
      <c r="A475" s="2" t="n">
        <v>45616</v>
      </c>
      <c r="B475" s="0" t="n">
        <v>232.487274169922</v>
      </c>
      <c r="C475" s="0" t="n">
        <v>126.025924682617</v>
      </c>
      <c r="D475" s="0" t="n">
        <v>44.061767578125</v>
      </c>
    </row>
    <row r="476" customFormat="false" ht="15" hidden="false" customHeight="false" outlineLevel="0" collapsed="false">
      <c r="A476" s="2" t="n">
        <v>45617</v>
      </c>
      <c r="B476" s="0" t="n">
        <v>236.330215454102</v>
      </c>
      <c r="C476" s="0" t="n">
        <v>129.183990478516</v>
      </c>
      <c r="D476" s="0" t="n">
        <v>44.4444084167481</v>
      </c>
    </row>
    <row r="477" customFormat="false" ht="15" hidden="false" customHeight="false" outlineLevel="0" collapsed="false">
      <c r="A477" s="2" t="n">
        <v>45618</v>
      </c>
      <c r="B477" s="0" t="n">
        <v>239.989669799805</v>
      </c>
      <c r="C477" s="0" t="n">
        <v>128.896881103516</v>
      </c>
      <c r="D477" s="0" t="n">
        <v>44.9609832763672</v>
      </c>
    </row>
    <row r="478" customFormat="false" ht="15" hidden="false" customHeight="false" outlineLevel="0" collapsed="false">
      <c r="A478" s="2" t="n">
        <v>45621</v>
      </c>
      <c r="B478" s="0" t="n">
        <v>241.669738769531</v>
      </c>
      <c r="C478" s="0" t="n">
        <v>127.911193847656</v>
      </c>
      <c r="D478" s="0" t="n">
        <v>45.4392929077148</v>
      </c>
    </row>
    <row r="479" customFormat="false" ht="15" hidden="false" customHeight="false" outlineLevel="0" collapsed="false">
      <c r="A479" s="2" t="n">
        <v>45622</v>
      </c>
      <c r="B479" s="0" t="n">
        <v>241.360778808594</v>
      </c>
      <c r="C479" s="0" t="n">
        <v>125.633560180664</v>
      </c>
      <c r="D479" s="0" t="n">
        <v>45.6784477233887</v>
      </c>
    </row>
    <row r="480" customFormat="false" ht="15" hidden="false" customHeight="false" outlineLevel="0" collapsed="false">
      <c r="A480" s="2" t="n">
        <v>45623</v>
      </c>
      <c r="B480" s="0" t="n">
        <v>241.186950683594</v>
      </c>
      <c r="C480" s="0" t="n">
        <v>125.56657409668</v>
      </c>
      <c r="D480" s="0" t="n">
        <v>45.6975822448731</v>
      </c>
    </row>
    <row r="481" customFormat="false" ht="15" hidden="false" customHeight="false" outlineLevel="0" collapsed="false">
      <c r="A481" s="2" t="n">
        <v>45625</v>
      </c>
      <c r="B481" s="0" t="n">
        <v>241.119384765625</v>
      </c>
      <c r="C481" s="0" t="n">
        <v>125.949363708496</v>
      </c>
      <c r="D481" s="0" t="n">
        <v>45.448860168457</v>
      </c>
    </row>
    <row r="482" customFormat="false" ht="15" hidden="false" customHeight="false" outlineLevel="0" collapsed="false">
      <c r="A482" s="2" t="n">
        <v>45628</v>
      </c>
      <c r="B482" s="0" t="n">
        <v>237.768905639648</v>
      </c>
      <c r="C482" s="0" t="n">
        <v>125.394309997559</v>
      </c>
      <c r="D482" s="0" t="n">
        <v>44.9992446899414</v>
      </c>
    </row>
    <row r="483" customFormat="false" ht="15" hidden="false" customHeight="false" outlineLevel="0" collapsed="false">
      <c r="A483" s="2" t="n">
        <v>45629</v>
      </c>
      <c r="B483" s="0" t="n">
        <v>236.388168334961</v>
      </c>
      <c r="C483" s="0" t="n">
        <v>124.829689025879</v>
      </c>
      <c r="D483" s="0" t="n">
        <v>44.7887954711914</v>
      </c>
    </row>
    <row r="484" customFormat="false" ht="15" hidden="false" customHeight="false" outlineLevel="0" collapsed="false">
      <c r="A484" s="2" t="n">
        <v>45630</v>
      </c>
      <c r="B484" s="0" t="n">
        <v>235.017044067383</v>
      </c>
      <c r="C484" s="0" t="n">
        <v>124.399047851563</v>
      </c>
      <c r="D484" s="0" t="n">
        <v>44.3583145141602</v>
      </c>
    </row>
    <row r="485" customFormat="false" ht="15" hidden="false" customHeight="false" outlineLevel="0" collapsed="false">
      <c r="A485" s="2" t="n">
        <v>45631</v>
      </c>
      <c r="B485" s="0" t="n">
        <v>237.025405883789</v>
      </c>
      <c r="C485" s="0" t="n">
        <v>124.71484375</v>
      </c>
      <c r="D485" s="0" t="n">
        <v>44.9609832763672</v>
      </c>
    </row>
    <row r="486" customFormat="false" ht="15" hidden="false" customHeight="false" outlineLevel="0" collapsed="false">
      <c r="A486" s="2" t="n">
        <v>45632</v>
      </c>
      <c r="B486" s="0" t="n">
        <v>238.840682983398</v>
      </c>
      <c r="C486" s="0" t="n">
        <v>124.370346069336</v>
      </c>
      <c r="D486" s="0" t="n">
        <v>44.9706001281738</v>
      </c>
    </row>
    <row r="487" customFormat="false" ht="15" hidden="false" customHeight="false" outlineLevel="0" collapsed="false">
      <c r="A487" s="2" t="n">
        <v>45635</v>
      </c>
      <c r="B487" s="0" t="n">
        <v>235.412933349609</v>
      </c>
      <c r="C487" s="0" t="n">
        <v>123.049690246582</v>
      </c>
      <c r="D487" s="0" t="n">
        <v>44.1625747680664</v>
      </c>
    </row>
    <row r="488" customFormat="false" ht="15" hidden="false" customHeight="false" outlineLevel="0" collapsed="false">
      <c r="A488" s="2" t="n">
        <v>45636</v>
      </c>
      <c r="B488" s="0" t="n">
        <v>234.495651245117</v>
      </c>
      <c r="C488" s="0" t="n">
        <v>121.336662292481</v>
      </c>
      <c r="D488" s="0" t="n">
        <v>44.0086631774902</v>
      </c>
    </row>
    <row r="489" customFormat="false" ht="15" hidden="false" customHeight="false" outlineLevel="0" collapsed="false">
      <c r="A489" s="2" t="n">
        <v>45637</v>
      </c>
      <c r="B489" s="0" t="n">
        <v>235.142578125</v>
      </c>
      <c r="C489" s="0" t="n">
        <v>122.102256774902</v>
      </c>
      <c r="D489" s="0" t="n">
        <v>44.326099395752</v>
      </c>
    </row>
    <row r="490" customFormat="false" ht="15" hidden="false" customHeight="false" outlineLevel="0" collapsed="false">
      <c r="A490" s="2" t="n">
        <v>45638</v>
      </c>
      <c r="B490" s="0" t="n">
        <v>233.211441040039</v>
      </c>
      <c r="C490" s="0" t="n">
        <v>122.408508300781</v>
      </c>
      <c r="D490" s="0" t="n">
        <v>44.326099395752</v>
      </c>
    </row>
    <row r="491" customFormat="false" ht="15" hidden="false" customHeight="false" outlineLevel="0" collapsed="false">
      <c r="A491" s="2" t="n">
        <v>45639</v>
      </c>
      <c r="B491" s="0" t="n">
        <v>231.676223754883</v>
      </c>
      <c r="C491" s="0" t="n">
        <v>121.920440673828</v>
      </c>
      <c r="D491" s="0" t="n">
        <v>43.9317054748535</v>
      </c>
    </row>
    <row r="492" customFormat="false" ht="15" hidden="false" customHeight="false" outlineLevel="0" collapsed="false">
      <c r="A492" s="2" t="n">
        <v>45642</v>
      </c>
      <c r="B492" s="0" t="n">
        <v>231.32861328125</v>
      </c>
      <c r="C492" s="0" t="n">
        <v>123.480331420898</v>
      </c>
      <c r="D492" s="0" t="n">
        <v>43.7393188476563</v>
      </c>
    </row>
    <row r="493" customFormat="false" ht="15" hidden="false" customHeight="false" outlineLevel="0" collapsed="false">
      <c r="A493" s="2" t="n">
        <v>45643</v>
      </c>
      <c r="B493" s="0" t="n">
        <v>230.150650024414</v>
      </c>
      <c r="C493" s="0" t="n">
        <v>122.245811462402</v>
      </c>
      <c r="D493" s="0" t="n">
        <v>43.3353080749512</v>
      </c>
    </row>
    <row r="494" customFormat="false" ht="15" hidden="false" customHeight="false" outlineLevel="0" collapsed="false">
      <c r="A494" s="2" t="n">
        <v>45644</v>
      </c>
      <c r="B494" s="0" t="n">
        <v>222.435836791992</v>
      </c>
      <c r="C494" s="0" t="n">
        <v>115.833976745606</v>
      </c>
      <c r="D494" s="0" t="n">
        <v>41.8443031311035</v>
      </c>
    </row>
    <row r="495" customFormat="false" ht="15" hidden="false" customHeight="false" outlineLevel="0" collapsed="false">
      <c r="A495" s="2" t="n">
        <v>45645</v>
      </c>
      <c r="B495" s="0" t="n">
        <v>224.936599731445</v>
      </c>
      <c r="C495" s="0" t="n">
        <v>115.317207336426</v>
      </c>
      <c r="D495" s="0" t="n">
        <v>41.7288703918457</v>
      </c>
    </row>
    <row r="496" customFormat="false" ht="15" hidden="false" customHeight="false" outlineLevel="0" collapsed="false">
      <c r="A496" s="2" t="n">
        <v>45646</v>
      </c>
      <c r="B496" s="0" t="n">
        <v>229.41682434082</v>
      </c>
      <c r="C496" s="0" t="n">
        <v>118.13077545166</v>
      </c>
      <c r="D496" s="0" t="n">
        <v>42.4888000488281</v>
      </c>
    </row>
    <row r="497" customFormat="false" ht="15" hidden="false" customHeight="false" outlineLevel="0" collapsed="false">
      <c r="A497" s="2" t="n">
        <v>45649</v>
      </c>
      <c r="B497" s="0" t="n">
        <v>230.179611206055</v>
      </c>
      <c r="C497" s="0" t="n">
        <v>119.097320556641</v>
      </c>
      <c r="D497" s="0" t="n">
        <v>42.2194557189941</v>
      </c>
    </row>
    <row r="498" customFormat="false" ht="15" hidden="false" customHeight="false" outlineLevel="0" collapsed="false">
      <c r="A498" s="2" t="n">
        <v>45650</v>
      </c>
      <c r="B498" s="0" t="n">
        <v>233.964584350586</v>
      </c>
      <c r="C498" s="0" t="n">
        <v>121.59504699707</v>
      </c>
      <c r="D498" s="0" t="n">
        <v>42.6908073425293</v>
      </c>
    </row>
    <row r="499" customFormat="false" ht="15" hidden="false" customHeight="false" outlineLevel="0" collapsed="false">
      <c r="A499" s="2" t="n">
        <v>45652</v>
      </c>
      <c r="B499" s="0" t="n">
        <v>234.766021728516</v>
      </c>
      <c r="C499" s="0" t="n">
        <v>122.523330688477</v>
      </c>
      <c r="D499" s="0" t="n">
        <v>42.8543395996094</v>
      </c>
    </row>
    <row r="500" customFormat="false" ht="15" hidden="false" customHeight="false" outlineLevel="0" collapsed="false">
      <c r="A500" s="2" t="n">
        <v>45653</v>
      </c>
      <c r="B500" s="0" t="n">
        <v>232.863861083984</v>
      </c>
      <c r="C500" s="0" t="n">
        <v>121.307968139648</v>
      </c>
      <c r="D500" s="0" t="n">
        <v>42.6523323059082</v>
      </c>
    </row>
    <row r="501" customFormat="false" ht="15" hidden="false" customHeight="false" outlineLevel="0" collapsed="false">
      <c r="A501" s="2" t="n">
        <v>45656</v>
      </c>
      <c r="B501" s="0" t="n">
        <v>231.077575683594</v>
      </c>
      <c r="C501" s="0" t="n">
        <v>120.341407775879</v>
      </c>
      <c r="D501" s="0" t="n">
        <v>42.2387008666992</v>
      </c>
    </row>
    <row r="502" customFormat="false" ht="15" hidden="false" customHeight="false" outlineLevel="0" collapsed="false">
      <c r="A502" s="2" t="n">
        <v>45657</v>
      </c>
      <c r="B502" s="0" t="n">
        <v>231.454147338867</v>
      </c>
      <c r="C502" s="0" t="n">
        <v>120.312698364258</v>
      </c>
      <c r="D502" s="0" t="n">
        <v>42.2771759033203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5" hidden="false" customHeight="false" outlineLevel="0" collapsed="false">
      <c r="A2" s="3" t="n">
        <f aca="false">Prices!A3</f>
        <v>44931</v>
      </c>
      <c r="B2" s="0" t="n">
        <f aca="false">LN(Prices!B3/Prices!B2)</f>
        <v>-0.000221779045196299</v>
      </c>
      <c r="C2" s="0" t="n">
        <f aca="false">LN(Prices!C3/Prices!C2)</f>
        <v>-0.00846029669067665</v>
      </c>
      <c r="D2" s="0" t="n">
        <f aca="false">LN(Prices!D3/Prices!D2)</f>
        <v>-0.00205232411674446</v>
      </c>
      <c r="E2" s="0" t="n">
        <f aca="false">SUMPRODUCT(B2:D2,Inputs!$B$4:$D$4)</f>
        <v>-0.00324249786030485</v>
      </c>
      <c r="F2" s="0" t="n">
        <f aca="false">E2*Inputs!$B$2</f>
        <v>-3242.49786030485</v>
      </c>
    </row>
    <row r="3" customFormat="false" ht="15" hidden="false" customHeight="false" outlineLevel="0" collapsed="false">
      <c r="A3" s="3" t="n">
        <f aca="false">Prices!A4</f>
        <v>44932</v>
      </c>
      <c r="B3" s="0" t="n">
        <f aca="false">LN(Prices!B4/Prices!B3)</f>
        <v>0.0189547019628511</v>
      </c>
      <c r="C3" s="0" t="n">
        <f aca="false">LN(Prices!C4/Prices!C3)</f>
        <v>0.0189075453781748</v>
      </c>
      <c r="D3" s="0" t="n">
        <f aca="false">LN(Prices!D4/Prices!D3)</f>
        <v>0.00992977526766688</v>
      </c>
      <c r="E3" s="0" t="n">
        <f aca="false">SUMPRODUCT(B3:D3,Inputs!$B$4:$D$4)</f>
        <v>0.0162330769788929</v>
      </c>
      <c r="F3" s="0" t="n">
        <f aca="false">E3*Inputs!$B$2</f>
        <v>16233.0769788929</v>
      </c>
    </row>
    <row r="4" customFormat="false" ht="15" hidden="false" customHeight="false" outlineLevel="0" collapsed="false">
      <c r="A4" s="3" t="n">
        <f aca="false">Prices!A5</f>
        <v>44935</v>
      </c>
      <c r="B4" s="0" t="n">
        <f aca="false">LN(Prices!B5/Prices!B4)</f>
        <v>-0.00414076455404623</v>
      </c>
      <c r="C4" s="0" t="n">
        <f aca="false">LN(Prices!C5/Prices!C4)</f>
        <v>0.000913440487439815</v>
      </c>
      <c r="D4" s="0" t="n">
        <f aca="false">LN(Prices!D5/Prices!D4)</f>
        <v>-0.01522733630898</v>
      </c>
      <c r="E4" s="0" t="n">
        <f aca="false">SUMPRODUCT(B4:D4,Inputs!$B$4:$D$4)</f>
        <v>-0.00595047456808055</v>
      </c>
      <c r="F4" s="0" t="n">
        <f aca="false">E4*Inputs!$B$2</f>
        <v>-5950.47456808055</v>
      </c>
    </row>
    <row r="5" customFormat="false" ht="15" hidden="false" customHeight="false" outlineLevel="0" collapsed="false">
      <c r="A5" s="3" t="n">
        <f aca="false">Prices!A6</f>
        <v>44936</v>
      </c>
      <c r="B5" s="0" t="n">
        <f aca="false">LN(Prices!B6/Prices!B5)</f>
        <v>0.00891423402275617</v>
      </c>
      <c r="C5" s="0" t="n">
        <f aca="false">LN(Prices!C6/Prices!C5)</f>
        <v>0.0144994186813703</v>
      </c>
      <c r="D5" s="0" t="n">
        <f aca="false">LN(Prices!D6/Prices!D5)</f>
        <v>0.00676415596730856</v>
      </c>
      <c r="E5" s="0" t="n">
        <f aca="false">SUMPRODUCT(B5:D5,Inputs!$B$4:$D$4)</f>
        <v>0.00994476600370612</v>
      </c>
      <c r="F5" s="0" t="n">
        <f aca="false">E5*Inputs!$B$2</f>
        <v>9944.76600370612</v>
      </c>
    </row>
    <row r="6" customFormat="false" ht="15" hidden="false" customHeight="false" outlineLevel="0" collapsed="false">
      <c r="A6" s="3" t="n">
        <f aca="false">Prices!A7</f>
        <v>44937</v>
      </c>
      <c r="B6" s="0" t="n">
        <f aca="false">LN(Prices!B7/Prices!B6)</f>
        <v>0.00740396102761814</v>
      </c>
      <c r="C6" s="0" t="n">
        <f aca="false">LN(Prices!C7/Prices!C6)</f>
        <v>0.00571918293247828</v>
      </c>
      <c r="D6" s="0" t="n">
        <f aca="false">LN(Prices!D7/Prices!D6)</f>
        <v>0.00759108133586995</v>
      </c>
      <c r="E6" s="0" t="n">
        <f aca="false">SUMPRODUCT(B6:D6,Inputs!$B$4:$D$4)</f>
        <v>0.00695466369155172</v>
      </c>
      <c r="F6" s="0" t="n">
        <f aca="false">E6*Inputs!$B$2</f>
        <v>6954.66369155172</v>
      </c>
    </row>
    <row r="7" customFormat="false" ht="15" hidden="false" customHeight="false" outlineLevel="0" collapsed="false">
      <c r="A7" s="3" t="n">
        <f aca="false">Prices!A8</f>
        <v>44938</v>
      </c>
      <c r="B7" s="0" t="n">
        <f aca="false">LN(Prices!B8/Prices!B7)</f>
        <v>-0.00100302937952901</v>
      </c>
      <c r="C7" s="0" t="n">
        <f aca="false">LN(Prices!C8/Prices!C7)</f>
        <v>0.0122249577244062</v>
      </c>
      <c r="D7" s="0" t="n">
        <f aca="false">LN(Prices!D8/Prices!D7)</f>
        <v>0.00261432277585072</v>
      </c>
      <c r="E7" s="0" t="n">
        <f aca="false">SUMPRODUCT(B7:D7,Inputs!$B$4:$D$4)</f>
        <v>0.00405057239826548</v>
      </c>
      <c r="F7" s="0" t="n">
        <f aca="false">E7*Inputs!$B$2</f>
        <v>4050.57239826548</v>
      </c>
    </row>
    <row r="8" customFormat="false" ht="15" hidden="false" customHeight="false" outlineLevel="0" collapsed="false">
      <c r="A8" s="3" t="n">
        <f aca="false">Prices!A9</f>
        <v>44939</v>
      </c>
      <c r="B8" s="0" t="n">
        <f aca="false">LN(Prices!B9/Prices!B8)</f>
        <v>0.0249213885969835</v>
      </c>
      <c r="C8" s="0" t="n">
        <f aca="false">LN(Prices!C9/Prices!C8)</f>
        <v>0.0124050017887964</v>
      </c>
      <c r="D8" s="0" t="n">
        <f aca="false">LN(Prices!D9/Prices!D8)</f>
        <v>0.0218088959491965</v>
      </c>
      <c r="E8" s="0" t="n">
        <f aca="false">SUMPRODUCT(B8:D8,Inputs!$B$4:$D$4)</f>
        <v>0.0202327247601912</v>
      </c>
      <c r="F8" s="0" t="n">
        <f aca="false">E8*Inputs!$B$2</f>
        <v>20232.7247601912</v>
      </c>
    </row>
    <row r="9" customFormat="false" ht="15" hidden="false" customHeight="false" outlineLevel="0" collapsed="false">
      <c r="A9" s="3" t="n">
        <f aca="false">Prices!A10</f>
        <v>44943</v>
      </c>
      <c r="B9" s="0" t="n">
        <f aca="false">LN(Prices!B10/Prices!B9)</f>
        <v>-0.0155738886892662</v>
      </c>
      <c r="C9" s="0" t="n">
        <f aca="false">LN(Prices!C10/Prices!C9)</f>
        <v>0.0574493805415281</v>
      </c>
      <c r="D9" s="0" t="n">
        <f aca="false">LN(Prices!D10/Prices!D9)</f>
        <v>-0.020359246539781</v>
      </c>
      <c r="E9" s="0" t="n">
        <f aca="false">SUMPRODUCT(B9:D9,Inputs!$B$4:$D$4)</f>
        <v>0.00489748472481767</v>
      </c>
      <c r="F9" s="0" t="n">
        <f aca="false">E9*Inputs!$B$2</f>
        <v>4897.48472481767</v>
      </c>
    </row>
    <row r="10" customFormat="false" ht="15" hidden="false" customHeight="false" outlineLevel="0" collapsed="false">
      <c r="A10" s="3" t="n">
        <f aca="false">Prices!A11</f>
        <v>44944</v>
      </c>
      <c r="B10" s="0" t="n">
        <f aca="false">LN(Prices!B11/Prices!B10)</f>
        <v>-0.0305033235628638</v>
      </c>
      <c r="C10" s="0" t="n">
        <f aca="false">LN(Prices!C11/Prices!C10)</f>
        <v>-0.00516386897504538</v>
      </c>
      <c r="D10" s="0" t="n">
        <f aca="false">LN(Prices!D11/Prices!D10)</f>
        <v>-0.0234478616849324</v>
      </c>
      <c r="E10" s="0" t="n">
        <f aca="false">SUMPRODUCT(B10:D10,Inputs!$B$4:$D$4)</f>
        <v>-0.0207848486231388</v>
      </c>
      <c r="F10" s="0" t="n">
        <f aca="false">E10*Inputs!$B$2</f>
        <v>-20784.8486231388</v>
      </c>
    </row>
    <row r="11" customFormat="false" ht="15" hidden="false" customHeight="false" outlineLevel="0" collapsed="false">
      <c r="A11" s="3" t="n">
        <f aca="false">Prices!A12</f>
        <v>44945</v>
      </c>
      <c r="B11" s="0" t="n">
        <f aca="false">LN(Prices!B12/Prices!B11)</f>
        <v>-0.0134160906610297</v>
      </c>
      <c r="C11" s="0" t="n">
        <f aca="false">LN(Prices!C12/Prices!C11)</f>
        <v>-0.0254823693790319</v>
      </c>
      <c r="D11" s="0" t="n">
        <f aca="false">LN(Prices!D12/Prices!D11)</f>
        <v>-0.0146379630317656</v>
      </c>
      <c r="E11" s="0" t="n">
        <f aca="false">SUMPRODUCT(B11:D11,Inputs!$B$4:$D$4)</f>
        <v>-0.0174025359876511</v>
      </c>
      <c r="F11" s="0" t="n">
        <f aca="false">E11*Inputs!$B$2</f>
        <v>-17402.5359876511</v>
      </c>
    </row>
    <row r="12" customFormat="false" ht="15" hidden="false" customHeight="false" outlineLevel="0" collapsed="false">
      <c r="A12" s="3" t="n">
        <f aca="false">Prices!A13</f>
        <v>44946</v>
      </c>
      <c r="B12" s="0" t="n">
        <f aca="false">LN(Prices!B13/Prices!B12)</f>
        <v>0.00244586907576273</v>
      </c>
      <c r="C12" s="0" t="n">
        <f aca="false">LN(Prices!C13/Prices!C12)</f>
        <v>0.0219556842171189</v>
      </c>
      <c r="D12" s="0" t="n">
        <f aca="false">LN(Prices!D13/Prices!D12)</f>
        <v>0.0184856066890724</v>
      </c>
      <c r="E12" s="0" t="n">
        <f aca="false">SUMPRODUCT(B12:D12,Inputs!$B$4:$D$4)</f>
        <v>0.0131107349021625</v>
      </c>
      <c r="F12" s="0" t="n">
        <f aca="false">E12*Inputs!$B$2</f>
        <v>13110.7349021625</v>
      </c>
    </row>
    <row r="13" customFormat="false" ht="15" hidden="false" customHeight="false" outlineLevel="0" collapsed="false">
      <c r="A13" s="3" t="n">
        <f aca="false">Prices!A14</f>
        <v>44949</v>
      </c>
      <c r="B13" s="0" t="n">
        <f aca="false">LN(Prices!B14/Prices!B13)</f>
        <v>0.0160828032592945</v>
      </c>
      <c r="C13" s="0" t="n">
        <f aca="false">LN(Prices!C14/Prices!C13)</f>
        <v>0.00920523003442822</v>
      </c>
      <c r="D13" s="0" t="n">
        <f aca="false">LN(Prices!D14/Prices!D13)</f>
        <v>0.0137895795710738</v>
      </c>
      <c r="E13" s="0" t="n">
        <f aca="false">SUMPRODUCT(B13:D13,Inputs!$B$4:$D$4)</f>
        <v>0.0133315641853684</v>
      </c>
      <c r="F13" s="0" t="n">
        <f aca="false">E13*Inputs!$B$2</f>
        <v>13331.5641853684</v>
      </c>
    </row>
    <row r="14" customFormat="false" ht="15" hidden="false" customHeight="false" outlineLevel="0" collapsed="false">
      <c r="A14" s="3" t="n">
        <f aca="false">Prices!A15</f>
        <v>44950</v>
      </c>
      <c r="B14" s="0" t="n">
        <f aca="false">LN(Prices!B15/Prices!B14)</f>
        <v>0.00855906888530477</v>
      </c>
      <c r="C14" s="0" t="n">
        <f aca="false">LN(Prices!C15/Prices!C14)</f>
        <v>-0.0168192676890361</v>
      </c>
      <c r="D14" s="0" t="n">
        <f aca="false">LN(Prices!D15/Prices!D14)</f>
        <v>0.00725770424399425</v>
      </c>
      <c r="E14" s="0" t="n">
        <f aca="false">SUMPRODUCT(B14:D14,Inputs!$B$4:$D$4)</f>
        <v>0.000555158520609353</v>
      </c>
      <c r="F14" s="0" t="n">
        <f aca="false">E14*Inputs!$B$2</f>
        <v>555.158520609353</v>
      </c>
    </row>
    <row r="15" customFormat="false" ht="15" hidden="false" customHeight="false" outlineLevel="0" collapsed="false">
      <c r="A15" s="3" t="n">
        <f aca="false">Prices!A16</f>
        <v>44951</v>
      </c>
      <c r="B15" s="0" t="n">
        <f aca="false">LN(Prices!B16/Prices!B15)</f>
        <v>0.00482804041894494</v>
      </c>
      <c r="C15" s="0" t="n">
        <f aca="false">LN(Prices!C16/Prices!C15)</f>
        <v>0.00136013610473555</v>
      </c>
      <c r="D15" s="0" t="n">
        <f aca="false">LN(Prices!D16/Prices!D15)</f>
        <v>0.00864073883242851</v>
      </c>
      <c r="E15" s="0" t="n">
        <f aca="false">SUMPRODUCT(B15:D15,Inputs!$B$4:$D$4)</f>
        <v>0.00493147864872719</v>
      </c>
      <c r="F15" s="0" t="n">
        <f aca="false">E15*Inputs!$B$2</f>
        <v>4931.47864872719</v>
      </c>
    </row>
    <row r="16" customFormat="false" ht="15" hidden="false" customHeight="false" outlineLevel="0" collapsed="false">
      <c r="A16" s="3" t="n">
        <f aca="false">Prices!A17</f>
        <v>44952</v>
      </c>
      <c r="B16" s="0" t="n">
        <f aca="false">LN(Prices!B17/Prices!B16)</f>
        <v>0.00616252001373432</v>
      </c>
      <c r="C16" s="0" t="n">
        <f aca="false">LN(Prices!C17/Prices!C16)</f>
        <v>0.00895191238274315</v>
      </c>
      <c r="D16" s="0" t="n">
        <f aca="false">LN(Prices!D17/Prices!D16)</f>
        <v>0.0133886622805304</v>
      </c>
      <c r="E16" s="0" t="n">
        <f aca="false">SUMPRODUCT(B16:D16,Inputs!$B$4:$D$4)</f>
        <v>0.0091671804044758</v>
      </c>
      <c r="F16" s="0" t="n">
        <f aca="false">E16*Inputs!$B$2</f>
        <v>9167.1804044758</v>
      </c>
    </row>
    <row r="17" customFormat="false" ht="15" hidden="false" customHeight="false" outlineLevel="0" collapsed="false">
      <c r="A17" s="3" t="n">
        <f aca="false">Prices!A18</f>
        <v>44953</v>
      </c>
      <c r="B17" s="0" t="n">
        <f aca="false">LN(Prices!B18/Prices!B17)</f>
        <v>0.00242602922753204</v>
      </c>
      <c r="C17" s="0" t="n">
        <f aca="false">LN(Prices!C18/Prices!C17)</f>
        <v>0.00372368293493781</v>
      </c>
      <c r="D17" s="0" t="n">
        <f aca="false">LN(Prices!D18/Prices!D17)</f>
        <v>0.00310777005430904</v>
      </c>
      <c r="E17" s="0" t="n">
        <f aca="false">SUMPRODUCT(B17:D17,Inputs!$B$4:$D$4)</f>
        <v>0.00301984758778687</v>
      </c>
      <c r="F17" s="0" t="n">
        <f aca="false">E17*Inputs!$B$2</f>
        <v>3019.84758778687</v>
      </c>
    </row>
    <row r="18" customFormat="false" ht="15" hidden="false" customHeight="false" outlineLevel="0" collapsed="false">
      <c r="A18" s="3" t="n">
        <f aca="false">Prices!A19</f>
        <v>44956</v>
      </c>
      <c r="B18" s="0" t="n">
        <f aca="false">LN(Prices!B19/Prices!B18)</f>
        <v>-0.00851685860665394</v>
      </c>
      <c r="C18" s="0" t="n">
        <f aca="false">LN(Prices!C19/Prices!C18)</f>
        <v>-0.00130182328593902</v>
      </c>
      <c r="D18" s="0" t="n">
        <f aca="false">LN(Prices!D19/Prices!D18)</f>
        <v>-0.00424011596887005</v>
      </c>
      <c r="E18" s="0" t="n">
        <f aca="false">SUMPRODUCT(B18:D18,Inputs!$B$4:$D$4)</f>
        <v>-0.0050693252191043</v>
      </c>
      <c r="F18" s="0" t="n">
        <f aca="false">E18*Inputs!$B$2</f>
        <v>-5069.3252191043</v>
      </c>
    </row>
    <row r="19" customFormat="false" ht="15" hidden="false" customHeight="false" outlineLevel="0" collapsed="false">
      <c r="A19" s="3" t="n">
        <f aca="false">Prices!A20</f>
        <v>44957</v>
      </c>
      <c r="B19" s="0" t="n">
        <f aca="false">LN(Prices!B20/Prices!B19)</f>
        <v>0.00594819553926776</v>
      </c>
      <c r="C19" s="0" t="n">
        <f aca="false">LN(Prices!C20/Prices!C19)</f>
        <v>0.014175901093826</v>
      </c>
      <c r="D19" s="0" t="n">
        <f aca="false">LN(Prices!D20/Prices!D19)</f>
        <v>0.00508631690901578</v>
      </c>
      <c r="E19" s="0" t="n">
        <f aca="false">SUMPRODUCT(B19:D19,Inputs!$B$4:$D$4)</f>
        <v>0.00815794361655963</v>
      </c>
      <c r="F19" s="0" t="n">
        <f aca="false">E19*Inputs!$B$2</f>
        <v>8157.94361655963</v>
      </c>
    </row>
    <row r="20" customFormat="false" ht="15" hidden="false" customHeight="false" outlineLevel="0" collapsed="false">
      <c r="A20" s="3" t="n">
        <f aca="false">Prices!A21</f>
        <v>44958</v>
      </c>
      <c r="B20" s="0" t="n">
        <f aca="false">LN(Prices!B21/Prices!B20)</f>
        <v>-0.00264731978881638</v>
      </c>
      <c r="C20" s="0" t="n">
        <f aca="false">LN(Prices!C21/Prices!C20)</f>
        <v>0.00879722491969261</v>
      </c>
      <c r="D20" s="0" t="n">
        <f aca="false">LN(Prices!D21/Prices!D20)</f>
        <v>0.0123247857946421</v>
      </c>
      <c r="E20" s="0" t="n">
        <f aca="false">SUMPRODUCT(B20:D20,Inputs!$B$4:$D$4)</f>
        <v>0.00527767529877384</v>
      </c>
      <c r="F20" s="0" t="n">
        <f aca="false">E20*Inputs!$B$2</f>
        <v>5277.67529877384</v>
      </c>
    </row>
    <row r="21" customFormat="false" ht="15" hidden="false" customHeight="false" outlineLevel="0" collapsed="false">
      <c r="A21" s="3" t="n">
        <f aca="false">Prices!A22</f>
        <v>44959</v>
      </c>
      <c r="B21" s="0" t="n">
        <f aca="false">LN(Prices!B22/Prices!B21)</f>
        <v>-0.00466744888981449</v>
      </c>
      <c r="C21" s="0" t="n">
        <f aca="false">LN(Prices!C22/Prices!C21)</f>
        <v>0.0103341801578379</v>
      </c>
      <c r="D21" s="0" t="n">
        <f aca="false">LN(Prices!D22/Prices!D21)</f>
        <v>0.00582936676576413</v>
      </c>
      <c r="E21" s="0" t="n">
        <f aca="false">SUMPRODUCT(B21:D21,Inputs!$B$4:$D$4)</f>
        <v>0.00298208452115481</v>
      </c>
      <c r="F21" s="0" t="n">
        <f aca="false">E21*Inputs!$B$2</f>
        <v>2982.08452115481</v>
      </c>
    </row>
    <row r="22" customFormat="false" ht="15" hidden="false" customHeight="false" outlineLevel="0" collapsed="false">
      <c r="A22" s="3" t="n">
        <f aca="false">Prices!A23</f>
        <v>44960</v>
      </c>
      <c r="B22" s="0" t="n">
        <f aca="false">LN(Prices!B23/Prices!B22)</f>
        <v>0.0153558615550068</v>
      </c>
      <c r="C22" s="0" t="n">
        <f aca="false">LN(Prices!C23/Prices!C22)</f>
        <v>0.00221511240669114</v>
      </c>
      <c r="D22" s="0" t="n">
        <f aca="false">LN(Prices!D23/Prices!D22)</f>
        <v>0.00826907525896477</v>
      </c>
      <c r="E22" s="0" t="n">
        <f aca="false">SUMPRODUCT(B22:D22,Inputs!$B$4:$D$4)</f>
        <v>0.00928760092169948</v>
      </c>
      <c r="F22" s="0" t="n">
        <f aca="false">E22*Inputs!$B$2</f>
        <v>9287.60092169948</v>
      </c>
    </row>
    <row r="23" customFormat="false" ht="15" hidden="false" customHeight="false" outlineLevel="0" collapsed="false">
      <c r="A23" s="3" t="n">
        <f aca="false">Prices!A24</f>
        <v>44963</v>
      </c>
      <c r="B23" s="0" t="n">
        <f aca="false">LN(Prices!B24/Prices!B23)</f>
        <v>0.00586533952346495</v>
      </c>
      <c r="C23" s="0" t="n">
        <f aca="false">LN(Prices!C24/Prices!C23)</f>
        <v>-0.00534450852538719</v>
      </c>
      <c r="D23" s="0" t="n">
        <f aca="false">LN(Prices!D24/Prices!D23)</f>
        <v>-0.0016484691807824</v>
      </c>
      <c r="E23" s="0" t="n">
        <f aca="false">SUMPRODUCT(B23:D23,Inputs!$B$4:$D$4)</f>
        <v>0.000248242497535104</v>
      </c>
      <c r="F23" s="0" t="n">
        <f aca="false">E23*Inputs!$B$2</f>
        <v>248.242497535104</v>
      </c>
    </row>
    <row r="24" customFormat="false" ht="15" hidden="false" customHeight="false" outlineLevel="0" collapsed="false">
      <c r="A24" s="3" t="n">
        <f aca="false">Prices!A25</f>
        <v>44964</v>
      </c>
      <c r="B24" s="0" t="n">
        <f aca="false">LN(Prices!B25/Prices!B24)</f>
        <v>0.0121164584611897</v>
      </c>
      <c r="C24" s="0" t="n">
        <f aca="false">LN(Prices!C25/Prices!C24)</f>
        <v>0.00323022857004539</v>
      </c>
      <c r="D24" s="0" t="n">
        <f aca="false">LN(Prices!D25/Prices!D24)</f>
        <v>0.0109378978509845</v>
      </c>
      <c r="E24" s="0" t="n">
        <f aca="false">SUMPRODUCT(B24:D24,Inputs!$B$4:$D$4)</f>
        <v>0.00909702131078484</v>
      </c>
      <c r="F24" s="0" t="n">
        <f aca="false">E24*Inputs!$B$2</f>
        <v>9097.02131078484</v>
      </c>
    </row>
    <row r="25" customFormat="false" ht="15" hidden="false" customHeight="false" outlineLevel="0" collapsed="false">
      <c r="A25" s="3" t="n">
        <f aca="false">Prices!A26</f>
        <v>44965</v>
      </c>
      <c r="B25" s="0" t="n">
        <f aca="false">LN(Prices!B26/Prices!B25)</f>
        <v>-0.00705592718483392</v>
      </c>
      <c r="C25" s="0" t="n">
        <f aca="false">LN(Prices!C26/Prices!C25)</f>
        <v>-0.00262392131239991</v>
      </c>
      <c r="D25" s="0" t="n">
        <f aca="false">LN(Prices!D26/Prices!D25)</f>
        <v>-0.00736987266605835</v>
      </c>
      <c r="E25" s="0" t="n">
        <f aca="false">SUMPRODUCT(B25:D25,Inputs!$B$4:$D$4)</f>
        <v>-0.00582050906747105</v>
      </c>
      <c r="F25" s="0" t="n">
        <f aca="false">E25*Inputs!$B$2</f>
        <v>-5820.50906747105</v>
      </c>
    </row>
    <row r="26" customFormat="false" ht="15" hidden="false" customHeight="false" outlineLevel="0" collapsed="false">
      <c r="A26" s="3" t="n">
        <f aca="false">Prices!A27</f>
        <v>44966</v>
      </c>
      <c r="B26" s="0" t="n">
        <f aca="false">LN(Prices!B27/Prices!B26)</f>
        <v>-0.0156859851996142</v>
      </c>
      <c r="C26" s="0" t="n">
        <f aca="false">LN(Prices!C27/Prices!C26)</f>
        <v>-0.00923815238195297</v>
      </c>
      <c r="D26" s="0" t="n">
        <f aca="false">LN(Prices!D27/Prices!D26)</f>
        <v>-0.0216012965586825</v>
      </c>
      <c r="E26" s="0" t="n">
        <f aca="false">SUMPRODUCT(B26:D26,Inputs!$B$4:$D$4)</f>
        <v>-0.0155262287620363</v>
      </c>
      <c r="F26" s="0" t="n">
        <f aca="false">E26*Inputs!$B$2</f>
        <v>-15526.2287620363</v>
      </c>
    </row>
    <row r="27" customFormat="false" ht="15" hidden="false" customHeight="false" outlineLevel="0" collapsed="false">
      <c r="A27" s="3" t="n">
        <f aca="false">Prices!A28</f>
        <v>44967</v>
      </c>
      <c r="B27" s="0" t="n">
        <f aca="false">LN(Prices!B28/Prices!B27)</f>
        <v>0.00440588735414414</v>
      </c>
      <c r="C27" s="0" t="n">
        <f aca="false">LN(Prices!C28/Prices!C27)</f>
        <v>0.00396965058969052</v>
      </c>
      <c r="D27" s="0" t="n">
        <f aca="false">LN(Prices!D28/Prices!D27)</f>
        <v>-0.00392723490962449</v>
      </c>
      <c r="E27" s="0" t="n">
        <f aca="false">SUMPRODUCT(B27:D27,Inputs!$B$4:$D$4)</f>
        <v>0.00177507964567747</v>
      </c>
      <c r="F27" s="0" t="n">
        <f aca="false">E27*Inputs!$B$2</f>
        <v>1775.07964567747</v>
      </c>
    </row>
    <row r="28" customFormat="false" ht="15" hidden="false" customHeight="false" outlineLevel="0" collapsed="false">
      <c r="A28" s="3" t="n">
        <f aca="false">Prices!A29</f>
        <v>44970</v>
      </c>
      <c r="B28" s="0" t="n">
        <f aca="false">LN(Prices!B29/Prices!B28)</f>
        <v>0.0107892337419862</v>
      </c>
      <c r="C28" s="0" t="n">
        <f aca="false">LN(Prices!C29/Prices!C28)</f>
        <v>0.0100067030600043</v>
      </c>
      <c r="D28" s="0" t="n">
        <f aca="false">LN(Prices!D29/Prices!D28)</f>
        <v>0.00196548654009132</v>
      </c>
      <c r="E28" s="0" t="n">
        <f aca="false">SUMPRODUCT(B28:D28,Inputs!$B$4:$D$4)</f>
        <v>0.00790735037682316</v>
      </c>
      <c r="F28" s="0" t="n">
        <f aca="false">E28*Inputs!$B$2</f>
        <v>7907.35037682316</v>
      </c>
    </row>
    <row r="29" customFormat="false" ht="15" hidden="false" customHeight="false" outlineLevel="0" collapsed="false">
      <c r="A29" s="3" t="n">
        <f aca="false">Prices!A30</f>
        <v>44971</v>
      </c>
      <c r="B29" s="0" t="n">
        <f aca="false">LN(Prices!B30/Prices!B29)</f>
        <v>0.00440947339151094</v>
      </c>
      <c r="C29" s="0" t="n">
        <f aca="false">LN(Prices!C30/Prices!C29)</f>
        <v>0.0113007107676184</v>
      </c>
      <c r="D29" s="0" t="n">
        <f aca="false">LN(Prices!D30/Prices!D29)</f>
        <v>-0.0008420465522311</v>
      </c>
      <c r="E29" s="0" t="n">
        <f aca="false">SUMPRODUCT(B29:D29,Inputs!$B$4:$D$4)</f>
        <v>0.00490138862122058</v>
      </c>
      <c r="F29" s="0" t="n">
        <f aca="false">E29*Inputs!$B$2</f>
        <v>4901.38862122058</v>
      </c>
    </row>
    <row r="30" customFormat="false" ht="15" hidden="false" customHeight="false" outlineLevel="0" collapsed="false">
      <c r="A30" s="3" t="n">
        <f aca="false">Prices!A31</f>
        <v>44972</v>
      </c>
      <c r="B30" s="0" t="n">
        <f aca="false">LN(Prices!B31/Prices!B30)</f>
        <v>0.0041809070540427</v>
      </c>
      <c r="C30" s="0" t="n">
        <f aca="false">LN(Prices!C31/Prices!C30)</f>
        <v>0.00268144834666369</v>
      </c>
      <c r="D30" s="0" t="n">
        <f aca="false">LN(Prices!D31/Prices!D30)</f>
        <v>-0.00168551571241724</v>
      </c>
      <c r="E30" s="0" t="n">
        <f aca="false">SUMPRODUCT(B30:D30,Inputs!$B$4:$D$4)</f>
        <v>0.00197114261189102</v>
      </c>
      <c r="F30" s="0" t="n">
        <f aca="false">E30*Inputs!$B$2</f>
        <v>1971.14261189102</v>
      </c>
    </row>
    <row r="31" customFormat="false" ht="15" hidden="false" customHeight="false" outlineLevel="0" collapsed="false">
      <c r="A31" s="3" t="n">
        <f aca="false">Prices!A32</f>
        <v>44973</v>
      </c>
      <c r="B31" s="0" t="n">
        <f aca="false">LN(Prices!B32/Prices!B31)</f>
        <v>-0.0138645985063078</v>
      </c>
      <c r="C31" s="0" t="n">
        <f aca="false">LN(Prices!C32/Prices!C31)</f>
        <v>-0.0125750614945344</v>
      </c>
      <c r="D31" s="0" t="n">
        <f aca="false">LN(Prices!D32/Prices!D31)</f>
        <v>-0.00790538539596033</v>
      </c>
      <c r="E31" s="0" t="n">
        <f aca="false">SUMPRODUCT(B31:D31,Inputs!$B$4:$D$4)</f>
        <v>-0.0116899734696715</v>
      </c>
      <c r="F31" s="0" t="n">
        <f aca="false">E31*Inputs!$B$2</f>
        <v>-11689.9734696715</v>
      </c>
    </row>
    <row r="32" customFormat="false" ht="15" hidden="false" customHeight="false" outlineLevel="0" collapsed="false">
      <c r="A32" s="3" t="n">
        <f aca="false">Prices!A33</f>
        <v>44974</v>
      </c>
      <c r="B32" s="0" t="n">
        <f aca="false">LN(Prices!B33/Prices!B32)</f>
        <v>0.00295687685309647</v>
      </c>
      <c r="C32" s="0" t="n">
        <f aca="false">LN(Prices!C33/Prices!C32)</f>
        <v>-0.000602848305344695</v>
      </c>
      <c r="D32" s="0" t="n">
        <f aca="false">LN(Prices!D33/Prices!D32)</f>
        <v>0.00198206470863679</v>
      </c>
      <c r="E32" s="0" t="n">
        <f aca="false">SUMPRODUCT(B32:D32,Inputs!$B$4:$D$4)</f>
        <v>0.00159651566222622</v>
      </c>
      <c r="F32" s="0" t="n">
        <f aca="false">E32*Inputs!$B$2</f>
        <v>1596.51566222622</v>
      </c>
    </row>
    <row r="33" customFormat="false" ht="15" hidden="false" customHeight="false" outlineLevel="0" collapsed="false">
      <c r="A33" s="3" t="n">
        <f aca="false">Prices!A34</f>
        <v>44978</v>
      </c>
      <c r="B33" s="0" t="n">
        <f aca="false">LN(Prices!B34/Prices!B33)</f>
        <v>-0.0185194824825372</v>
      </c>
      <c r="C33" s="0" t="n">
        <f aca="false">LN(Prices!C34/Prices!C33)</f>
        <v>-0.0191755614573773</v>
      </c>
      <c r="D33" s="0" t="n">
        <f aca="false">LN(Prices!D34/Prices!D33)</f>
        <v>-0.0237592938381831</v>
      </c>
      <c r="E33" s="0" t="n">
        <f aca="false">SUMPRODUCT(B33:D33,Inputs!$B$4:$D$4)</f>
        <v>-0.020288249581683</v>
      </c>
      <c r="F33" s="0" t="n">
        <f aca="false">E33*Inputs!$B$2</f>
        <v>-20288.249581683</v>
      </c>
    </row>
    <row r="34" customFormat="false" ht="15" hidden="false" customHeight="false" outlineLevel="0" collapsed="false">
      <c r="A34" s="3" t="n">
        <f aca="false">Prices!A35</f>
        <v>44979</v>
      </c>
      <c r="B34" s="0" t="n">
        <f aca="false">LN(Prices!B35/Prices!B34)</f>
        <v>-0.00769280619918656</v>
      </c>
      <c r="C34" s="0" t="n">
        <f aca="false">LN(Prices!C35/Prices!C34)</f>
        <v>-0.00359201968066103</v>
      </c>
      <c r="D34" s="0" t="n">
        <f aca="false">LN(Prices!D35/Prices!D34)</f>
        <v>-0.00668502527802944</v>
      </c>
      <c r="E34" s="0" t="n">
        <f aca="false">SUMPRODUCT(B34:D34,Inputs!$B$4:$D$4)</f>
        <v>-0.00616023596728177</v>
      </c>
      <c r="F34" s="0" t="n">
        <f aca="false">E34*Inputs!$B$2</f>
        <v>-6160.23596728177</v>
      </c>
    </row>
    <row r="35" customFormat="false" ht="15" hidden="false" customHeight="false" outlineLevel="0" collapsed="false">
      <c r="A35" s="3" t="n">
        <f aca="false">Prices!A36</f>
        <v>44980</v>
      </c>
      <c r="B35" s="0" t="n">
        <f aca="false">LN(Prices!B36/Prices!B35)</f>
        <v>0.00797908290492815</v>
      </c>
      <c r="C35" s="0" t="n">
        <f aca="false">LN(Prices!C36/Prices!C35)</f>
        <v>0.00686444691864399</v>
      </c>
      <c r="D35" s="0" t="n">
        <f aca="false">LN(Prices!D36/Prices!D35)</f>
        <v>-0.000875519220654287</v>
      </c>
      <c r="E35" s="0" t="n">
        <f aca="false">SUMPRODUCT(B35:D35,Inputs!$B$4:$D$4)</f>
        <v>0.00498831147136817</v>
      </c>
      <c r="F35" s="0" t="n">
        <f aca="false">E35*Inputs!$B$2</f>
        <v>4988.31147136817</v>
      </c>
    </row>
    <row r="36" customFormat="false" ht="15" hidden="false" customHeight="false" outlineLevel="0" collapsed="false">
      <c r="A36" s="3" t="n">
        <f aca="false">Prices!A37</f>
        <v>44981</v>
      </c>
      <c r="B36" s="0" t="n">
        <f aca="false">LN(Prices!B37/Prices!B36)</f>
        <v>0.00898089105219528</v>
      </c>
      <c r="C36" s="0" t="n">
        <f aca="false">LN(Prices!C37/Prices!C36)</f>
        <v>-0.0024534466512333</v>
      </c>
      <c r="D36" s="0" t="n">
        <f aca="false">LN(Prices!D37/Prices!D36)</f>
        <v>-0.00146053655246299</v>
      </c>
      <c r="E36" s="0" t="n">
        <f aca="false">SUMPRODUCT(B36:D36,Inputs!$B$4:$D$4)</f>
        <v>0.00241816145976922</v>
      </c>
      <c r="F36" s="0" t="n">
        <f aca="false">E36*Inputs!$B$2</f>
        <v>2418.16145976922</v>
      </c>
    </row>
    <row r="37" customFormat="false" ht="15" hidden="false" customHeight="false" outlineLevel="0" collapsed="false">
      <c r="A37" s="3" t="n">
        <f aca="false">Prices!A38</f>
        <v>44984</v>
      </c>
      <c r="B37" s="0" t="n">
        <f aca="false">LN(Prices!B38/Prices!B37)</f>
        <v>0.00869002861317621</v>
      </c>
      <c r="C37" s="0" t="n">
        <f aca="false">LN(Prices!C38/Prices!C37)</f>
        <v>-0.0102882495026922</v>
      </c>
      <c r="D37" s="0" t="n">
        <f aca="false">LN(Prices!D38/Prices!D37)</f>
        <v>0</v>
      </c>
      <c r="E37" s="0" t="n">
        <f aca="false">SUMPRODUCT(B37:D37,Inputs!$B$4:$D$4)</f>
        <v>0.000389536594462832</v>
      </c>
      <c r="F37" s="0" t="n">
        <f aca="false">E37*Inputs!$B$2</f>
        <v>389.536594462832</v>
      </c>
    </row>
    <row r="38" customFormat="false" ht="15" hidden="false" customHeight="false" outlineLevel="0" collapsed="false">
      <c r="A38" s="3" t="n">
        <f aca="false">Prices!A39</f>
        <v>44985</v>
      </c>
      <c r="B38" s="0" t="n">
        <f aca="false">LN(Prices!B39/Prices!B38)</f>
        <v>0.00833573659246971</v>
      </c>
      <c r="C38" s="0" t="n">
        <f aca="false">LN(Prices!C39/Prices!C38)</f>
        <v>-0.00207027176126056</v>
      </c>
      <c r="D38" s="0" t="n">
        <f aca="false">LN(Prices!D39/Prices!D38)</f>
        <v>0.00262729738081229</v>
      </c>
      <c r="E38" s="0" t="n">
        <f aca="false">SUMPRODUCT(B38:D38,Inputs!$B$4:$D$4)</f>
        <v>0.0035014023228534</v>
      </c>
      <c r="F38" s="0" t="n">
        <f aca="false">E38*Inputs!$B$2</f>
        <v>3501.4023228534</v>
      </c>
    </row>
    <row r="39" customFormat="false" ht="15" hidden="false" customHeight="false" outlineLevel="0" collapsed="false">
      <c r="A39" s="3" t="n">
        <f aca="false">Prices!A40</f>
        <v>44986</v>
      </c>
      <c r="B39" s="0" t="n">
        <f aca="false">LN(Prices!B40/Prices!B39)</f>
        <v>-0.00559615178411799</v>
      </c>
      <c r="C39" s="0" t="n">
        <f aca="false">LN(Prices!C40/Prices!C39)</f>
        <v>-0.00321750846694452</v>
      </c>
      <c r="D39" s="0" t="n">
        <f aca="false">LN(Prices!D40/Prices!D39)</f>
        <v>-0.00467554066005279</v>
      </c>
      <c r="E39" s="0" t="n">
        <f aca="false">SUMPRODUCT(B39:D39,Inputs!$B$4:$D$4)</f>
        <v>-0.00460637545174639</v>
      </c>
      <c r="F39" s="0" t="n">
        <f aca="false">E39*Inputs!$B$2</f>
        <v>-4606.37545174639</v>
      </c>
    </row>
    <row r="40" customFormat="false" ht="15" hidden="false" customHeight="false" outlineLevel="0" collapsed="false">
      <c r="A40" s="3" t="n">
        <f aca="false">Prices!A41</f>
        <v>44987</v>
      </c>
      <c r="B40" s="0" t="n">
        <f aca="false">LN(Prices!B41/Prices!B40)</f>
        <v>-0.0104367102974546</v>
      </c>
      <c r="C40" s="0" t="n">
        <f aca="false">LN(Prices!C41/Prices!C40)</f>
        <v>-0.00114442682797123</v>
      </c>
      <c r="D40" s="0" t="n">
        <f aca="false">LN(Prices!D41/Prices!D40)</f>
        <v>-0.0127580091656867</v>
      </c>
      <c r="E40" s="0" t="n">
        <f aca="false">SUMPRODUCT(B40:D40,Inputs!$B$4:$D$4)</f>
        <v>-0.00834541491707919</v>
      </c>
      <c r="F40" s="0" t="n">
        <f aca="false">E40*Inputs!$B$2</f>
        <v>-8345.41491707919</v>
      </c>
    </row>
    <row r="41" customFormat="false" ht="15" hidden="false" customHeight="false" outlineLevel="0" collapsed="false">
      <c r="A41" s="3" t="n">
        <f aca="false">Prices!A42</f>
        <v>44988</v>
      </c>
      <c r="B41" s="0" t="n">
        <f aca="false">LN(Prices!B42/Prices!B41)</f>
        <v>0.0181932043301801</v>
      </c>
      <c r="C41" s="0" t="n">
        <f aca="false">LN(Prices!C42/Prices!C41)</f>
        <v>0.0231480900981696</v>
      </c>
      <c r="D41" s="0" t="n">
        <f aca="false">LN(Prices!D42/Prices!D41)</f>
        <v>0.0198087314054713</v>
      </c>
      <c r="E41" s="0" t="n">
        <f aca="false">SUMPRODUCT(B41:D41,Inputs!$B$4:$D$4)</f>
        <v>0.0201643281831643</v>
      </c>
      <c r="F41" s="0" t="n">
        <f aca="false">E41*Inputs!$B$2</f>
        <v>20164.3281831643</v>
      </c>
    </row>
    <row r="42" customFormat="false" ht="15" hidden="false" customHeight="false" outlineLevel="0" collapsed="false">
      <c r="A42" s="3" t="n">
        <f aca="false">Prices!A43</f>
        <v>44991</v>
      </c>
      <c r="B42" s="0" t="n">
        <f aca="false">LN(Prices!B43/Prices!B42)</f>
        <v>-0.00586427218083545</v>
      </c>
      <c r="C42" s="0" t="n">
        <f aca="false">LN(Prices!C43/Prices!C42)</f>
        <v>0.000508310876280068</v>
      </c>
      <c r="D42" s="0" t="n">
        <f aca="false">LN(Prices!D43/Prices!D42)</f>
        <v>-0.00205157740256679</v>
      </c>
      <c r="E42" s="0" t="n">
        <f aca="false">SUMPRODUCT(B42:D42,Inputs!$B$4:$D$4)</f>
        <v>-0.0028086888302202</v>
      </c>
      <c r="F42" s="0" t="n">
        <f aca="false">E42*Inputs!$B$2</f>
        <v>-2808.6888302202</v>
      </c>
    </row>
    <row r="43" customFormat="false" ht="15" hidden="false" customHeight="false" outlineLevel="0" collapsed="false">
      <c r="A43" s="3" t="n">
        <f aca="false">Prices!A44</f>
        <v>44992</v>
      </c>
      <c r="B43" s="0" t="n">
        <f aca="false">LN(Prices!B44/Prices!B43)</f>
        <v>-0.0298486920770403</v>
      </c>
      <c r="C43" s="0" t="n">
        <f aca="false">LN(Prices!C44/Prices!C43)</f>
        <v>-0.0238644904444552</v>
      </c>
      <c r="D43" s="0" t="n">
        <f aca="false">LN(Prices!D44/Prices!D43)</f>
        <v>-0.0324962780221987</v>
      </c>
      <c r="E43" s="0" t="n">
        <f aca="false">SUMPRODUCT(B43:D43,Inputs!$B$4:$D$4)</f>
        <v>-0.0288477073708123</v>
      </c>
      <c r="F43" s="0" t="n">
        <f aca="false">E43*Inputs!$B$2</f>
        <v>-28847.7073708123</v>
      </c>
    </row>
    <row r="44" customFormat="false" ht="15" hidden="false" customHeight="false" outlineLevel="0" collapsed="false">
      <c r="A44" s="3" t="n">
        <f aca="false">Prices!A45</f>
        <v>44993</v>
      </c>
      <c r="B44" s="0" t="n">
        <f aca="false">LN(Prices!B45/Prices!B44)</f>
        <v>-0.00593318609692177</v>
      </c>
      <c r="C44" s="0" t="n">
        <f aca="false">LN(Prices!C45/Prices!C44)</f>
        <v>-0.0016669866944182</v>
      </c>
      <c r="D44" s="0" t="n">
        <f aca="false">LN(Prices!D45/Prices!D44)</f>
        <v>-0.0134230681012519</v>
      </c>
      <c r="E44" s="0" t="n">
        <f aca="false">SUMPRODUCT(B44:D44,Inputs!$B$4:$D$4)</f>
        <v>-0.00690029087746973</v>
      </c>
      <c r="F44" s="0" t="n">
        <f aca="false">E44*Inputs!$B$2</f>
        <v>-6900.29087746973</v>
      </c>
    </row>
    <row r="45" customFormat="false" ht="15" hidden="false" customHeight="false" outlineLevel="0" collapsed="false">
      <c r="A45" s="3" t="n">
        <f aca="false">Prices!A46</f>
        <v>44994</v>
      </c>
      <c r="B45" s="0" t="n">
        <f aca="false">LN(Prices!B46/Prices!B45)</f>
        <v>-0.0556568858181416</v>
      </c>
      <c r="C45" s="0" t="n">
        <f aca="false">LN(Prices!C46/Prices!C45)</f>
        <v>-0.0393458314906911</v>
      </c>
      <c r="D45" s="0" t="n">
        <f aca="false">LN(Prices!D46/Prices!D45)</f>
        <v>-0.0640472085805173</v>
      </c>
      <c r="E45" s="0" t="n">
        <f aca="false">SUMPRODUCT(B45:D45,Inputs!$B$4:$D$4)</f>
        <v>-0.0532806663486192</v>
      </c>
      <c r="F45" s="0" t="n">
        <f aca="false">E45*Inputs!$B$2</f>
        <v>-53280.6663486192</v>
      </c>
    </row>
    <row r="46" customFormat="false" ht="15" hidden="false" customHeight="false" outlineLevel="0" collapsed="false">
      <c r="A46" s="3" t="n">
        <f aca="false">Prices!A47</f>
        <v>44995</v>
      </c>
      <c r="B46" s="0" t="n">
        <f aca="false">LN(Prices!B47/Prices!B46)</f>
        <v>0.0250781955423458</v>
      </c>
      <c r="C46" s="0" t="n">
        <f aca="false">LN(Prices!C47/Prices!C46)</f>
        <v>-0.0235949930025359</v>
      </c>
      <c r="D46" s="0" t="n">
        <f aca="false">LN(Prices!D47/Prices!D46)</f>
        <v>-0.00888023813736289</v>
      </c>
      <c r="E46" s="0" t="n">
        <f aca="false">SUMPRODUCT(B46:D46,Inputs!$B$4:$D$4)</f>
        <v>0.000288708874968679</v>
      </c>
      <c r="F46" s="0" t="n">
        <f aca="false">E46*Inputs!$B$2</f>
        <v>288.708874968679</v>
      </c>
    </row>
    <row r="47" customFormat="false" ht="15" hidden="false" customHeight="false" outlineLevel="0" collapsed="false">
      <c r="A47" s="3" t="n">
        <f aca="false">Prices!A48</f>
        <v>44998</v>
      </c>
      <c r="B47" s="0" t="n">
        <f aca="false">LN(Prices!B48/Prices!B47)</f>
        <v>-0.0181206849580082</v>
      </c>
      <c r="C47" s="0" t="n">
        <f aca="false">LN(Prices!C48/Prices!C47)</f>
        <v>-0.0231418963218042</v>
      </c>
      <c r="D47" s="0" t="n">
        <f aca="false">LN(Prices!D48/Prices!D47)</f>
        <v>-0.0599021507856882</v>
      </c>
      <c r="E47" s="0" t="n">
        <f aca="false">SUMPRODUCT(B47:D47,Inputs!$B$4:$D$4)</f>
        <v>-0.032161488115451</v>
      </c>
      <c r="F47" s="0" t="n">
        <f aca="false">E47*Inputs!$B$2</f>
        <v>-32161.488115451</v>
      </c>
    </row>
    <row r="48" customFormat="false" ht="15" hidden="false" customHeight="false" outlineLevel="0" collapsed="false">
      <c r="A48" s="3" t="n">
        <f aca="false">Prices!A49</f>
        <v>44999</v>
      </c>
      <c r="B48" s="0" t="n">
        <f aca="false">LN(Prices!B49/Prices!B48)</f>
        <v>0.0253520873207997</v>
      </c>
      <c r="C48" s="0" t="n">
        <f aca="false">LN(Prices!C49/Prices!C48)</f>
        <v>0.0222528370688229</v>
      </c>
      <c r="D48" s="0" t="n">
        <f aca="false">LN(Prices!D49/Prices!D48)</f>
        <v>0.00873070845502436</v>
      </c>
      <c r="E48" s="0" t="n">
        <f aca="false">SUMPRODUCT(B48:D48,Inputs!$B$4:$D$4)</f>
        <v>0.019435898585474</v>
      </c>
      <c r="F48" s="0" t="n">
        <f aca="false">E48*Inputs!$B$2</f>
        <v>19435.898585474</v>
      </c>
    </row>
    <row r="49" customFormat="false" ht="15" hidden="false" customHeight="false" outlineLevel="0" collapsed="false">
      <c r="A49" s="3" t="n">
        <f aca="false">Prices!A50</f>
        <v>45000</v>
      </c>
      <c r="B49" s="0" t="n">
        <f aca="false">LN(Prices!B50/Prices!B49)</f>
        <v>-0.048396699778618</v>
      </c>
      <c r="C49" s="0" t="n">
        <f aca="false">LN(Prices!C50/Prices!C49)</f>
        <v>-0.0522471008267038</v>
      </c>
      <c r="D49" s="0" t="n">
        <f aca="false">LN(Prices!D50/Prices!D49)</f>
        <v>-0.00943244873898911</v>
      </c>
      <c r="E49" s="0" t="n">
        <f aca="false">SUMPRODUCT(B49:D49,Inputs!$B$4:$D$4)</f>
        <v>-0.0378625447811551</v>
      </c>
      <c r="F49" s="0" t="n">
        <f aca="false">E49*Inputs!$B$2</f>
        <v>-37862.5447811551</v>
      </c>
    </row>
    <row r="50" customFormat="false" ht="15" hidden="false" customHeight="false" outlineLevel="0" collapsed="false">
      <c r="A50" s="3" t="n">
        <f aca="false">Prices!A51</f>
        <v>45001</v>
      </c>
      <c r="B50" s="0" t="n">
        <f aca="false">LN(Prices!B51/Prices!B50)</f>
        <v>0.0192277780277177</v>
      </c>
      <c r="C50" s="0" t="n">
        <f aca="false">LN(Prices!C51/Prices!C50)</f>
        <v>0.018793943267203</v>
      </c>
      <c r="D50" s="0" t="n">
        <f aca="false">LN(Prices!D51/Prices!D50)</f>
        <v>0.0167076890399676</v>
      </c>
      <c r="E50" s="0" t="n">
        <f aca="false">SUMPRODUCT(B50:D50,Inputs!$B$4:$D$4)</f>
        <v>0.0183416009032382</v>
      </c>
      <c r="F50" s="0" t="n">
        <f aca="false">E50*Inputs!$B$2</f>
        <v>18341.6009032382</v>
      </c>
    </row>
    <row r="51" customFormat="false" ht="15" hidden="false" customHeight="false" outlineLevel="0" collapsed="false">
      <c r="A51" s="3" t="n">
        <f aca="false">Prices!A52</f>
        <v>45002</v>
      </c>
      <c r="B51" s="0" t="n">
        <f aca="false">LN(Prices!B52/Prices!B51)</f>
        <v>-0.0385143093349796</v>
      </c>
      <c r="C51" s="0" t="n">
        <f aca="false">LN(Prices!C52/Prices!C51)</f>
        <v>-0.0330655920697705</v>
      </c>
      <c r="D51" s="0" t="n">
        <f aca="false">LN(Prices!D52/Prices!D51)</f>
        <v>-0.0405057275082636</v>
      </c>
      <c r="E51" s="0" t="n">
        <f aca="false">SUMPRODUCT(B51:D51,Inputs!$B$4:$D$4)</f>
        <v>-0.0374771196074021</v>
      </c>
      <c r="F51" s="0" t="n">
        <f aca="false">E51*Inputs!$B$2</f>
        <v>-37477.1196074021</v>
      </c>
    </row>
    <row r="52" customFormat="false" ht="15" hidden="false" customHeight="false" outlineLevel="0" collapsed="false">
      <c r="A52" s="3" t="n">
        <f aca="false">Prices!A53</f>
        <v>45005</v>
      </c>
      <c r="B52" s="0" t="n">
        <f aca="false">LN(Prices!B53/Prices!B52)</f>
        <v>0.0105160899273315</v>
      </c>
      <c r="C52" s="0" t="n">
        <f aca="false">LN(Prices!C53/Prices!C52)</f>
        <v>0.0171951158503105</v>
      </c>
      <c r="D52" s="0" t="n">
        <f aca="false">LN(Prices!D53/Prices!D52)</f>
        <v>-0.00251933321626545</v>
      </c>
      <c r="E52" s="0" t="n">
        <f aca="false">SUMPRODUCT(B52:D52,Inputs!$B$4:$D$4)</f>
        <v>0.00860917076114611</v>
      </c>
      <c r="F52" s="0" t="n">
        <f aca="false">E52*Inputs!$B$2</f>
        <v>8609.17076114611</v>
      </c>
    </row>
    <row r="53" customFormat="false" ht="15" hidden="false" customHeight="false" outlineLevel="0" collapsed="false">
      <c r="A53" s="3" t="n">
        <f aca="false">Prices!A54</f>
        <v>45006</v>
      </c>
      <c r="B53" s="0" t="n">
        <f aca="false">LN(Prices!B54/Prices!B53)</f>
        <v>0.0264675365383621</v>
      </c>
      <c r="C53" s="0" t="n">
        <f aca="false">LN(Prices!C54/Prices!C53)</f>
        <v>0.035783434432498</v>
      </c>
      <c r="D53" s="0" t="n">
        <f aca="false">LN(Prices!D54/Prices!D53)</f>
        <v>0.0298210861924196</v>
      </c>
      <c r="E53" s="0" t="n">
        <f aca="false">SUMPRODUCT(B53:D53,Inputs!$B$4:$D$4)</f>
        <v>0.0302683708028201</v>
      </c>
      <c r="F53" s="0" t="n">
        <f aca="false">E53*Inputs!$B$2</f>
        <v>30268.3708028201</v>
      </c>
    </row>
    <row r="54" customFormat="false" ht="15" hidden="false" customHeight="false" outlineLevel="0" collapsed="false">
      <c r="A54" s="3" t="n">
        <f aca="false">Prices!A55</f>
        <v>45007</v>
      </c>
      <c r="B54" s="0" t="n">
        <f aca="false">LN(Prices!B55/Prices!B54)</f>
        <v>-0.0261529458462542</v>
      </c>
      <c r="C54" s="0" t="n">
        <f aca="false">LN(Prices!C55/Prices!C54)</f>
        <v>-0.013725958507446</v>
      </c>
      <c r="D54" s="0" t="n">
        <f aca="false">LN(Prices!D55/Prices!D54)</f>
        <v>-0.0337929606186116</v>
      </c>
      <c r="E54" s="0" t="n">
        <f aca="false">SUMPRODUCT(B54:D54,Inputs!$B$4:$D$4)</f>
        <v>-0.024716854076319</v>
      </c>
      <c r="F54" s="0" t="n">
        <f aca="false">E54*Inputs!$B$2</f>
        <v>-24716.854076319</v>
      </c>
    </row>
    <row r="55" customFormat="false" ht="15" hidden="false" customHeight="false" outlineLevel="0" collapsed="false">
      <c r="A55" s="3" t="n">
        <f aca="false">Prices!A56</f>
        <v>45008</v>
      </c>
      <c r="B55" s="0" t="n">
        <f aca="false">LN(Prices!B56/Prices!B55)</f>
        <v>-0.00267695255985735</v>
      </c>
      <c r="C55" s="0" t="n">
        <f aca="false">LN(Prices!C56/Prices!C55)</f>
        <v>-0.0197248800070667</v>
      </c>
      <c r="D55" s="0" t="n">
        <f aca="false">LN(Prices!D56/Prices!D55)</f>
        <v>-0.0245389430084736</v>
      </c>
      <c r="E55" s="0" t="n">
        <f aca="false">SUMPRODUCT(B55:D55,Inputs!$B$4:$D$4)</f>
        <v>-0.014349927928605</v>
      </c>
      <c r="F55" s="0" t="n">
        <f aca="false">E55*Inputs!$B$2</f>
        <v>-14349.927928605</v>
      </c>
    </row>
    <row r="56" customFormat="false" ht="15" hidden="false" customHeight="false" outlineLevel="0" collapsed="false">
      <c r="A56" s="3" t="n">
        <f aca="false">Prices!A57</f>
        <v>45009</v>
      </c>
      <c r="B56" s="0" t="n">
        <f aca="false">LN(Prices!B57/Prices!B56)</f>
        <v>-0.0153329255165978</v>
      </c>
      <c r="C56" s="0" t="n">
        <f aca="false">LN(Prices!C57/Prices!C56)</f>
        <v>-0.022263595433151</v>
      </c>
      <c r="D56" s="0" t="n">
        <f aca="false">LN(Prices!D57/Prices!D56)</f>
        <v>0.00628358407595706</v>
      </c>
      <c r="E56" s="0" t="n">
        <f aca="false">SUMPRODUCT(B56:D56,Inputs!$B$4:$D$4)</f>
        <v>-0.0109271736137973</v>
      </c>
      <c r="F56" s="0" t="n">
        <f aca="false">E56*Inputs!$B$2</f>
        <v>-10927.1736137973</v>
      </c>
    </row>
    <row r="57" customFormat="false" ht="15" hidden="false" customHeight="false" outlineLevel="0" collapsed="false">
      <c r="A57" s="3" t="n">
        <f aca="false">Prices!A58</f>
        <v>45012</v>
      </c>
      <c r="B57" s="0" t="n">
        <f aca="false">LN(Prices!B58/Prices!B57)</f>
        <v>0.0282576504974085</v>
      </c>
      <c r="C57" s="0" t="n">
        <f aca="false">LN(Prices!C58/Prices!C57)</f>
        <v>0.00818549887641441</v>
      </c>
      <c r="D57" s="0" t="n">
        <f aca="false">LN(Prices!D58/Prices!D57)</f>
        <v>0.0485446050432701</v>
      </c>
      <c r="E57" s="0" t="n">
        <f aca="false">SUMPRODUCT(B57:D57,Inputs!$B$4:$D$4)</f>
        <v>0.0283220913748688</v>
      </c>
      <c r="F57" s="0" t="n">
        <f aca="false">E57*Inputs!$B$2</f>
        <v>28322.0913748688</v>
      </c>
    </row>
    <row r="58" customFormat="false" ht="15" hidden="false" customHeight="false" outlineLevel="0" collapsed="false">
      <c r="A58" s="3" t="n">
        <f aca="false">Prices!A59</f>
        <v>45013</v>
      </c>
      <c r="B58" s="0" t="n">
        <f aca="false">LN(Prices!B59/Prices!B58)</f>
        <v>0.00303054284786382</v>
      </c>
      <c r="C58" s="0" t="n">
        <f aca="false">LN(Prices!C59/Prices!C58)</f>
        <v>0.00283147926537254</v>
      </c>
      <c r="D58" s="0" t="n">
        <f aca="false">LN(Prices!D59/Prices!D58)</f>
        <v>-0.0130722980291705</v>
      </c>
      <c r="E58" s="0" t="n">
        <f aca="false">SUMPRODUCT(B58:D58,Inputs!$B$4:$D$4)</f>
        <v>-0.00186002848999388</v>
      </c>
      <c r="F58" s="0" t="n">
        <f aca="false">E58*Inputs!$B$2</f>
        <v>-1860.02848999388</v>
      </c>
    </row>
    <row r="59" customFormat="false" ht="15" hidden="false" customHeight="false" outlineLevel="0" collapsed="false">
      <c r="A59" s="3" t="n">
        <f aca="false">Prices!A60</f>
        <v>45014</v>
      </c>
      <c r="B59" s="0" t="n">
        <f aca="false">LN(Prices!B60/Prices!B59)</f>
        <v>0.00201522887346185</v>
      </c>
      <c r="C59" s="0" t="n">
        <f aca="false">LN(Prices!C60/Prices!C59)</f>
        <v>0.0158956480278005</v>
      </c>
      <c r="D59" s="0" t="n">
        <f aca="false">LN(Prices!D60/Prices!D59)</f>
        <v>0.0193703029471794</v>
      </c>
      <c r="E59" s="0" t="n">
        <f aca="false">SUMPRODUCT(B59:D59,Inputs!$B$4:$D$4)</f>
        <v>0.0113858768418787</v>
      </c>
      <c r="F59" s="0" t="n">
        <f aca="false">E59*Inputs!$B$2</f>
        <v>11385.8768418787</v>
      </c>
    </row>
    <row r="60" customFormat="false" ht="15" hidden="false" customHeight="false" outlineLevel="0" collapsed="false">
      <c r="A60" s="3" t="n">
        <f aca="false">Prices!A61</f>
        <v>45015</v>
      </c>
      <c r="B60" s="0" t="n">
        <f aca="false">LN(Prices!B61/Prices!B60)</f>
        <v>-0.00302443252454155</v>
      </c>
      <c r="C60" s="0" t="n">
        <f aca="false">LN(Prices!C61/Prices!C60)</f>
        <v>-0.00150858285032334</v>
      </c>
      <c r="D60" s="0" t="n">
        <f aca="false">LN(Prices!D61/Prices!D60)</f>
        <v>-0.0129894711639474</v>
      </c>
      <c r="E60" s="0" t="n">
        <f aca="false">SUMPRODUCT(B60:D60,Inputs!$B$4:$D$4)</f>
        <v>-0.00555918921409785</v>
      </c>
      <c r="F60" s="0" t="n">
        <f aca="false">E60*Inputs!$B$2</f>
        <v>-5559.18921409785</v>
      </c>
    </row>
    <row r="61" customFormat="false" ht="15" hidden="false" customHeight="false" outlineLevel="0" collapsed="false">
      <c r="A61" s="3" t="n">
        <f aca="false">Prices!A62</f>
        <v>45016</v>
      </c>
      <c r="B61" s="0" t="n">
        <f aca="false">LN(Prices!B62/Prices!B61)</f>
        <v>0.0120436120253279</v>
      </c>
      <c r="C61" s="0" t="n">
        <f aca="false">LN(Prices!C62/Prices!C61)</f>
        <v>0.0194359725525869</v>
      </c>
      <c r="D61" s="0" t="n">
        <f aca="false">LN(Prices!D62/Prices!D61)</f>
        <v>0.0105449216697166</v>
      </c>
      <c r="E61" s="0" t="n">
        <f aca="false">SUMPRODUCT(B61:D61,Inputs!$B$4:$D$4)</f>
        <v>0.0138117130768222</v>
      </c>
      <c r="F61" s="0" t="n">
        <f aca="false">E61*Inputs!$B$2</f>
        <v>13811.7130768222</v>
      </c>
    </row>
    <row r="62" customFormat="false" ht="15" hidden="false" customHeight="false" outlineLevel="0" collapsed="false">
      <c r="A62" s="3" t="n">
        <f aca="false">Prices!A63</f>
        <v>45019</v>
      </c>
      <c r="B62" s="0" t="n">
        <f aca="false">LN(Prices!B63/Prices!B62)</f>
        <v>-0.00115155910721867</v>
      </c>
      <c r="C62" s="0" t="n">
        <f aca="false">LN(Prices!C63/Prices!C62)</f>
        <v>-0.00731586880480368</v>
      </c>
      <c r="D62" s="0" t="n">
        <f aca="false">LN(Prices!D63/Prices!D62)</f>
        <v>-0.000349740915919936</v>
      </c>
      <c r="E62" s="0" t="n">
        <f aca="false">SUMPRODUCT(B62:D62,Inputs!$B$4:$D$4)</f>
        <v>-0.00276030655910455</v>
      </c>
      <c r="F62" s="0" t="n">
        <f aca="false">E62*Inputs!$B$2</f>
        <v>-2760.30655910455</v>
      </c>
    </row>
    <row r="63" customFormat="false" ht="15" hidden="false" customHeight="false" outlineLevel="0" collapsed="false">
      <c r="A63" s="3" t="n">
        <f aca="false">Prices!A64</f>
        <v>45020</v>
      </c>
      <c r="B63" s="0" t="n">
        <f aca="false">LN(Prices!B64/Prices!B63)</f>
        <v>-0.013458584963966</v>
      </c>
      <c r="C63" s="0" t="n">
        <f aca="false">LN(Prices!C64/Prices!C63)</f>
        <v>-0.0272141870981664</v>
      </c>
      <c r="D63" s="0" t="n">
        <f aca="false">LN(Prices!D64/Prices!D63)</f>
        <v>-0.0215669360872665</v>
      </c>
      <c r="E63" s="0" t="n">
        <f aca="false">SUMPRODUCT(B63:D63,Inputs!$B$4:$D$4)</f>
        <v>-0.0200177709412162</v>
      </c>
      <c r="F63" s="0" t="n">
        <f aca="false">E63*Inputs!$B$2</f>
        <v>-20017.7709412162</v>
      </c>
    </row>
    <row r="64" customFormat="false" ht="15" hidden="false" customHeight="false" outlineLevel="0" collapsed="false">
      <c r="A64" s="3" t="n">
        <f aca="false">Prices!A65</f>
        <v>45021</v>
      </c>
      <c r="B64" s="0" t="n">
        <f aca="false">LN(Prices!B65/Prices!B64)</f>
        <v>0.00149020616351581</v>
      </c>
      <c r="C64" s="0" t="n">
        <f aca="false">LN(Prices!C65/Prices!C64)</f>
        <v>-0.0118598274848375</v>
      </c>
      <c r="D64" s="0" t="n">
        <f aca="false">LN(Prices!D65/Prices!D64)</f>
        <v>-0.0122260245313451</v>
      </c>
      <c r="E64" s="0" t="n">
        <f aca="false">SUMPRODUCT(B64:D64,Inputs!$B$4:$D$4)</f>
        <v>-0.00662967313944847</v>
      </c>
      <c r="F64" s="0" t="n">
        <f aca="false">E64*Inputs!$B$2</f>
        <v>-6629.67313944847</v>
      </c>
    </row>
    <row r="65" customFormat="false" ht="15" hidden="false" customHeight="false" outlineLevel="0" collapsed="false">
      <c r="A65" s="3" t="n">
        <f aca="false">Prices!A66</f>
        <v>45022</v>
      </c>
      <c r="B65" s="0" t="n">
        <f aca="false">LN(Prices!B66/Prices!B65)</f>
        <v>-0.00109782790326845</v>
      </c>
      <c r="C65" s="0" t="n">
        <f aca="false">LN(Prices!C66/Prices!C65)</f>
        <v>0.00440448465282738</v>
      </c>
      <c r="D65" s="0" t="n">
        <f aca="false">LN(Prices!D66/Prices!D65)</f>
        <v>0.00720969255125716</v>
      </c>
      <c r="E65" s="0" t="n">
        <f aca="false">SUMPRODUCT(B65:D65,Inputs!$B$4:$D$4)</f>
        <v>0.00304512199991798</v>
      </c>
      <c r="F65" s="0" t="n">
        <f aca="false">E65*Inputs!$B$2</f>
        <v>3045.12199991798</v>
      </c>
    </row>
    <row r="66" customFormat="false" ht="15" hidden="false" customHeight="false" outlineLevel="0" collapsed="false">
      <c r="A66" s="3" t="n">
        <f aca="false">Prices!A67</f>
        <v>45026</v>
      </c>
      <c r="B66" s="0" t="n">
        <f aca="false">LN(Prices!B67/Prices!B66)</f>
        <v>0.00328961797942665</v>
      </c>
      <c r="C66" s="0" t="n">
        <f aca="false">LN(Prices!C67/Prices!C66)</f>
        <v>-0.00225936378556924</v>
      </c>
      <c r="D66" s="0" t="n">
        <f aca="false">LN(Prices!D67/Prices!D66)</f>
        <v>0.00358574534915971</v>
      </c>
      <c r="E66" s="0" t="n">
        <f aca="false">SUMPRODUCT(B66:D66,Inputs!$B$4:$D$4)</f>
        <v>0.0017137616608478</v>
      </c>
      <c r="F66" s="0" t="n">
        <f aca="false">E66*Inputs!$B$2</f>
        <v>1713.7616608478</v>
      </c>
    </row>
    <row r="67" customFormat="false" ht="15" hidden="false" customHeight="false" outlineLevel="0" collapsed="false">
      <c r="A67" s="3" t="n">
        <f aca="false">Prices!A68</f>
        <v>45027</v>
      </c>
      <c r="B67" s="0" t="n">
        <f aca="false">LN(Prices!B68/Prices!B67)</f>
        <v>0.00491387389415304</v>
      </c>
      <c r="C67" s="0" t="n">
        <f aca="false">LN(Prices!C68/Prices!C67)</f>
        <v>0.0128926594692279</v>
      </c>
      <c r="D67" s="0" t="n">
        <f aca="false">LN(Prices!D68/Prices!D67)</f>
        <v>0.0271859269217926</v>
      </c>
      <c r="E67" s="0" t="n">
        <f aca="false">SUMPRODUCT(B67:D67,Inputs!$B$4:$D$4)</f>
        <v>0.0139891254749674</v>
      </c>
      <c r="F67" s="0" t="n">
        <f aca="false">E67*Inputs!$B$2</f>
        <v>13989.1254749674</v>
      </c>
    </row>
    <row r="68" customFormat="false" ht="15" hidden="false" customHeight="false" outlineLevel="0" collapsed="false">
      <c r="A68" s="3" t="n">
        <f aca="false">Prices!A69</f>
        <v>45028</v>
      </c>
      <c r="B68" s="0" t="n">
        <f aca="false">LN(Prices!B69/Prices!B68)</f>
        <v>-0.000155612283084913</v>
      </c>
      <c r="C68" s="0" t="n">
        <f aca="false">LN(Prices!C69/Prices!C68)</f>
        <v>0.00445574452033616</v>
      </c>
      <c r="D68" s="0" t="n">
        <f aca="false">LN(Prices!D69/Prices!D68)</f>
        <v>-0.00804328331714592</v>
      </c>
      <c r="E68" s="0" t="n">
        <f aca="false">SUMPRODUCT(B68:D68,Inputs!$B$4:$D$4)</f>
        <v>-0.00113850655227689</v>
      </c>
      <c r="F68" s="0" t="n">
        <f aca="false">E68*Inputs!$B$2</f>
        <v>-1138.50655227689</v>
      </c>
    </row>
    <row r="69" customFormat="false" ht="15" hidden="false" customHeight="false" outlineLevel="0" collapsed="false">
      <c r="A69" s="3" t="n">
        <f aca="false">Prices!A70</f>
        <v>45029</v>
      </c>
      <c r="B69" s="0" t="n">
        <f aca="false">LN(Prices!B70/Prices!B69)</f>
        <v>0.00380602442087818</v>
      </c>
      <c r="C69" s="0" t="n">
        <f aca="false">LN(Prices!C70/Prices!C69)</f>
        <v>0.00257105112594871</v>
      </c>
      <c r="D69" s="0" t="n">
        <f aca="false">LN(Prices!D70/Prices!D69)</f>
        <v>0.00280492185407503</v>
      </c>
      <c r="E69" s="0" t="n">
        <f aca="false">SUMPRODUCT(B69:D69,Inputs!$B$4:$D$4)</f>
        <v>0.0031352016623584</v>
      </c>
      <c r="F69" s="0" t="n">
        <f aca="false">E69*Inputs!$B$2</f>
        <v>3135.2016623584</v>
      </c>
    </row>
    <row r="70" customFormat="false" ht="15" hidden="false" customHeight="false" outlineLevel="0" collapsed="false">
      <c r="A70" s="3" t="n">
        <f aca="false">Prices!A71</f>
        <v>45030</v>
      </c>
      <c r="B70" s="0" t="n">
        <f aca="false">LN(Prices!B71/Prices!B70)</f>
        <v>0.0727946853230973</v>
      </c>
      <c r="C70" s="0" t="n">
        <f aca="false">LN(Prices!C71/Prices!C70)</f>
        <v>0.0118328889338463</v>
      </c>
      <c r="D70" s="0" t="n">
        <f aca="false">LN(Prices!D71/Prices!D70)</f>
        <v>0.0330608498082645</v>
      </c>
      <c r="E70" s="0" t="n">
        <f aca="false">SUMPRODUCT(B70:D70,Inputs!$B$4:$D$4)</f>
        <v>0.0425859957518722</v>
      </c>
      <c r="F70" s="0" t="n">
        <f aca="false">E70*Inputs!$B$2</f>
        <v>42585.9957518722</v>
      </c>
    </row>
    <row r="71" customFormat="false" ht="15" hidden="false" customHeight="false" outlineLevel="0" collapsed="false">
      <c r="A71" s="3" t="n">
        <f aca="false">Prices!A72</f>
        <v>45033</v>
      </c>
      <c r="B71" s="0" t="n">
        <f aca="false">LN(Prices!B72/Prices!B71)</f>
        <v>0.00789767255005435</v>
      </c>
      <c r="C71" s="0" t="n">
        <f aca="false">LN(Prices!C72/Prices!C71)</f>
        <v>0.0293202836796132</v>
      </c>
      <c r="D71" s="0" t="n">
        <f aca="false">LN(Prices!D72/Prices!D71)</f>
        <v>0.0283875111647558</v>
      </c>
      <c r="E71" s="0" t="n">
        <f aca="false">SUMPRODUCT(B71:D71,Inputs!$B$4:$D$4)</f>
        <v>0.0204714074733324</v>
      </c>
      <c r="F71" s="0" t="n">
        <f aca="false">E71*Inputs!$B$2</f>
        <v>20471.4074733324</v>
      </c>
    </row>
    <row r="72" customFormat="false" ht="15" hidden="false" customHeight="false" outlineLevel="0" collapsed="false">
      <c r="A72" s="3" t="n">
        <f aca="false">Prices!A73</f>
        <v>45034</v>
      </c>
      <c r="B72" s="0" t="n">
        <f aca="false">LN(Prices!B73/Prices!B72)</f>
        <v>0.0111654615943818</v>
      </c>
      <c r="C72" s="0" t="n">
        <f aca="false">LN(Prices!C73/Prices!C72)</f>
        <v>0.0062522954612277</v>
      </c>
      <c r="D72" s="0" t="n">
        <f aca="false">LN(Prices!D73/Prices!D72)</f>
        <v>0.00623666232500128</v>
      </c>
      <c r="E72" s="0" t="n">
        <f aca="false">SUMPRODUCT(B72:D72,Inputs!$B$4:$D$4)</f>
        <v>0.0082128719736214</v>
      </c>
      <c r="F72" s="0" t="n">
        <f aca="false">E72*Inputs!$B$2</f>
        <v>8212.8719736214</v>
      </c>
    </row>
    <row r="73" customFormat="false" ht="15" hidden="false" customHeight="false" outlineLevel="0" collapsed="false">
      <c r="A73" s="3" t="n">
        <f aca="false">Prices!A74</f>
        <v>45035</v>
      </c>
      <c r="B73" s="0" t="n">
        <f aca="false">LN(Prices!B74/Prices!B73)</f>
        <v>-0.0012739415213991</v>
      </c>
      <c r="C73" s="0" t="n">
        <f aca="false">LN(Prices!C74/Prices!C73)</f>
        <v>0.00665558242565946</v>
      </c>
      <c r="D73" s="0" t="n">
        <f aca="false">LN(Prices!D74/Prices!D73)</f>
        <v>-0.0164965919916615</v>
      </c>
      <c r="E73" s="0" t="n">
        <f aca="false">SUMPRODUCT(B73:D73,Inputs!$B$4:$D$4)</f>
        <v>-0.00346187947836024</v>
      </c>
      <c r="F73" s="0" t="n">
        <f aca="false">E73*Inputs!$B$2</f>
        <v>-3461.87947836024</v>
      </c>
    </row>
    <row r="74" customFormat="false" ht="15" hidden="false" customHeight="false" outlineLevel="0" collapsed="false">
      <c r="A74" s="3" t="n">
        <f aca="false">Prices!A75</f>
        <v>45036</v>
      </c>
      <c r="B74" s="0" t="n">
        <f aca="false">LN(Prices!B75/Prices!B74)</f>
        <v>-0.00290736870940927</v>
      </c>
      <c r="C74" s="0" t="n">
        <f aca="false">LN(Prices!C75/Prices!C74)</f>
        <v>-0.000221137414456655</v>
      </c>
      <c r="D74" s="0" t="n">
        <f aca="false">LN(Prices!D75/Prices!D74)</f>
        <v>-0.00533693572611055</v>
      </c>
      <c r="E74" s="0" t="n">
        <f aca="false">SUMPRODUCT(B74:D74,Inputs!$B$4:$D$4)</f>
        <v>-0.00283036942593387</v>
      </c>
      <c r="F74" s="0" t="n">
        <f aca="false">E74*Inputs!$B$2</f>
        <v>-2830.36942593387</v>
      </c>
    </row>
    <row r="75" customFormat="false" ht="15" hidden="false" customHeight="false" outlineLevel="0" collapsed="false">
      <c r="A75" s="3" t="n">
        <f aca="false">Prices!A76</f>
        <v>45037</v>
      </c>
      <c r="B75" s="0" t="n">
        <f aca="false">LN(Prices!B76/Prices!B75)</f>
        <v>-0.00191936332161062</v>
      </c>
      <c r="C75" s="0" t="n">
        <f aca="false">LN(Prices!C76/Prices!C75)</f>
        <v>0.00760126270765008</v>
      </c>
      <c r="D75" s="0" t="n">
        <f aca="false">LN(Prices!D76/Prices!D75)</f>
        <v>-0.00100393262392893</v>
      </c>
      <c r="E75" s="0" t="n">
        <f aca="false">SUMPRODUCT(B75:D75,Inputs!$B$4:$D$4)</f>
        <v>0.0012114536964721</v>
      </c>
      <c r="F75" s="0" t="n">
        <f aca="false">E75*Inputs!$B$2</f>
        <v>1211.4536964721</v>
      </c>
    </row>
    <row r="76" customFormat="false" ht="15" hidden="false" customHeight="false" outlineLevel="0" collapsed="false">
      <c r="A76" s="3" t="n">
        <f aca="false">Prices!A77</f>
        <v>45040</v>
      </c>
      <c r="B76" s="0" t="n">
        <f aca="false">LN(Prices!B77/Prices!B76)</f>
        <v>0.001351008166308</v>
      </c>
      <c r="C76" s="0" t="n">
        <f aca="false">LN(Prices!C77/Prices!C76)</f>
        <v>-0.0101480056054327</v>
      </c>
      <c r="D76" s="0" t="n">
        <f aca="false">LN(Prices!D77/Prices!D76)</f>
        <v>-0.00368938341042629</v>
      </c>
      <c r="E76" s="0" t="n">
        <f aca="false">SUMPRODUCT(B76:D76,Inputs!$B$4:$D$4)</f>
        <v>-0.00361081343823451</v>
      </c>
      <c r="F76" s="0" t="n">
        <f aca="false">E76*Inputs!$B$2</f>
        <v>-3610.81343823451</v>
      </c>
    </row>
    <row r="77" customFormat="false" ht="15" hidden="false" customHeight="false" outlineLevel="0" collapsed="false">
      <c r="A77" s="3" t="n">
        <f aca="false">Prices!A78</f>
        <v>45041</v>
      </c>
      <c r="B77" s="0" t="n">
        <f aca="false">LN(Prices!B78/Prices!B77)</f>
        <v>-0.0219835714820631</v>
      </c>
      <c r="C77" s="0" t="n">
        <f aca="false">LN(Prices!C78/Prices!C77)</f>
        <v>-0.0240110120559297</v>
      </c>
      <c r="D77" s="0" t="n">
        <f aca="false">LN(Prices!D78/Prices!D77)</f>
        <v>-0.031401764546447</v>
      </c>
      <c r="E77" s="0" t="n">
        <f aca="false">SUMPRODUCT(B77:D77,Inputs!$B$4:$D$4)</f>
        <v>-0.0254172615735382</v>
      </c>
      <c r="F77" s="0" t="n">
        <f aca="false">E77*Inputs!$B$2</f>
        <v>-25417.2615735382</v>
      </c>
    </row>
    <row r="78" customFormat="false" ht="15" hidden="false" customHeight="false" outlineLevel="0" collapsed="false">
      <c r="A78" s="3" t="n">
        <f aca="false">Prices!A79</f>
        <v>45042</v>
      </c>
      <c r="B78" s="0" t="n">
        <f aca="false">LN(Prices!B79/Prices!B78)</f>
        <v>-0.0178825037895634</v>
      </c>
      <c r="C78" s="0" t="n">
        <f aca="false">LN(Prices!C79/Prices!C78)</f>
        <v>0.00430598089343471</v>
      </c>
      <c r="D78" s="0" t="n">
        <f aca="false">LN(Prices!D79/Prices!D78)</f>
        <v>-0.0139667170309256</v>
      </c>
      <c r="E78" s="0" t="n">
        <f aca="false">SUMPRODUCT(B78:D78,Inputs!$B$4:$D$4)</f>
        <v>-0.0100512223570726</v>
      </c>
      <c r="F78" s="0" t="n">
        <f aca="false">E78*Inputs!$B$2</f>
        <v>-10051.2223570726</v>
      </c>
    </row>
    <row r="79" customFormat="false" ht="15" hidden="false" customHeight="false" outlineLevel="0" collapsed="false">
      <c r="A79" s="3" t="n">
        <f aca="false">Prices!A80</f>
        <v>45043</v>
      </c>
      <c r="B79" s="0" t="n">
        <f aca="false">LN(Prices!B80/Prices!B79)</f>
        <v>0.0133688429304099</v>
      </c>
      <c r="C79" s="0" t="n">
        <f aca="false">LN(Prices!C80/Prices!C79)</f>
        <v>0.020370176169799</v>
      </c>
      <c r="D79" s="0" t="n">
        <f aca="false">LN(Prices!D80/Prices!D79)</f>
        <v>0.0156987039564162</v>
      </c>
      <c r="E79" s="0" t="n">
        <f aca="false">SUMPRODUCT(B79:D79,Inputs!$B$4:$D$4)</f>
        <v>0.0161682012100285</v>
      </c>
      <c r="F79" s="0" t="n">
        <f aca="false">E79*Inputs!$B$2</f>
        <v>16168.2012100285</v>
      </c>
    </row>
    <row r="80" customFormat="false" ht="15" hidden="false" customHeight="false" outlineLevel="0" collapsed="false">
      <c r="A80" s="3" t="n">
        <f aca="false">Prices!A81</f>
        <v>45044</v>
      </c>
      <c r="B80" s="0" t="n">
        <f aca="false">LN(Prices!B81/Prices!B80)</f>
        <v>0.00864542695367167</v>
      </c>
      <c r="C80" s="0" t="n">
        <f aca="false">LN(Prices!C81/Prices!C80)</f>
        <v>0.00540502879303137</v>
      </c>
      <c r="D80" s="0" t="n">
        <f aca="false">LN(Prices!D81/Prices!D80)</f>
        <v>0.0134092292098494</v>
      </c>
      <c r="E80" s="0" t="n">
        <f aca="false">SUMPRODUCT(B80:D80,Inputs!$B$4:$D$4)</f>
        <v>0.00910244818233291</v>
      </c>
      <c r="F80" s="0" t="n">
        <f aca="false">E80*Inputs!$B$2</f>
        <v>9102.44818233291</v>
      </c>
    </row>
    <row r="81" customFormat="false" ht="15" hidden="false" customHeight="false" outlineLevel="0" collapsed="false">
      <c r="A81" s="3" t="n">
        <f aca="false">Prices!A82</f>
        <v>45047</v>
      </c>
      <c r="B81" s="0" t="n">
        <f aca="false">LN(Prices!B82/Prices!B81)</f>
        <v>0.0211860865938571</v>
      </c>
      <c r="C81" s="0" t="n">
        <f aca="false">LN(Prices!C82/Prices!C81)</f>
        <v>-0.0229351366314851</v>
      </c>
      <c r="D81" s="0" t="n">
        <f aca="false">LN(Prices!D82/Prices!D81)</f>
        <v>-0.00823040565074649</v>
      </c>
      <c r="E81" s="0" t="n">
        <f aca="false">SUMPRODUCT(B81:D81,Inputs!$B$4:$D$4)</f>
        <v>-0.000875228047126665</v>
      </c>
      <c r="F81" s="0" t="n">
        <f aca="false">E81*Inputs!$B$2</f>
        <v>-875.228047126665</v>
      </c>
    </row>
    <row r="82" customFormat="false" ht="15" hidden="false" customHeight="false" outlineLevel="0" collapsed="false">
      <c r="A82" s="3" t="n">
        <f aca="false">Prices!A83</f>
        <v>45048</v>
      </c>
      <c r="B82" s="0" t="n">
        <f aca="false">LN(Prices!B83/Prices!B82)</f>
        <v>-0.0162791274708334</v>
      </c>
      <c r="C82" s="0" t="n">
        <f aca="false">LN(Prices!C83/Prices!C82)</f>
        <v>-0.0188273838080711</v>
      </c>
      <c r="D82" s="0" t="n">
        <f aca="false">LN(Prices!D83/Prices!D82)</f>
        <v>-0.0307717707467845</v>
      </c>
      <c r="E82" s="0" t="n">
        <f aca="false">SUMPRODUCT(B82:D82,Inputs!$B$4:$D$4)</f>
        <v>-0.02139139735479</v>
      </c>
      <c r="F82" s="0" t="n">
        <f aca="false">E82*Inputs!$B$2</f>
        <v>-21391.39735479</v>
      </c>
    </row>
    <row r="83" customFormat="false" ht="15" hidden="false" customHeight="false" outlineLevel="0" collapsed="false">
      <c r="A83" s="3" t="n">
        <f aca="false">Prices!A84</f>
        <v>45049</v>
      </c>
      <c r="B83" s="0" t="n">
        <f aca="false">LN(Prices!B84/Prices!B83)</f>
        <v>-0.0213905571437242</v>
      </c>
      <c r="C83" s="0" t="n">
        <f aca="false">LN(Prices!C84/Prices!C83)</f>
        <v>-0.0180080208728987</v>
      </c>
      <c r="D83" s="0" t="n">
        <f aca="false">LN(Prices!D84/Prices!D83)</f>
        <v>-0.0107105721781472</v>
      </c>
      <c r="E83" s="0" t="n">
        <f aca="false">SUMPRODUCT(B83:D83,Inputs!$B$4:$D$4)</f>
        <v>-0.0171718007728035</v>
      </c>
      <c r="F83" s="0" t="n">
        <f aca="false">E83*Inputs!$B$2</f>
        <v>-17171.8007728035</v>
      </c>
    </row>
    <row r="84" customFormat="false" ht="15" hidden="false" customHeight="false" outlineLevel="0" collapsed="false">
      <c r="A84" s="3" t="n">
        <f aca="false">Prices!A85</f>
        <v>45050</v>
      </c>
      <c r="B84" s="0" t="n">
        <f aca="false">LN(Prices!B85/Prices!B84)</f>
        <v>-0.0137726101728409</v>
      </c>
      <c r="C84" s="0" t="n">
        <f aca="false">LN(Prices!C85/Prices!C84)</f>
        <v>-0.0255749086417367</v>
      </c>
      <c r="D84" s="0" t="n">
        <f aca="false">LN(Prices!D85/Prices!D84)</f>
        <v>-0.031725476663831</v>
      </c>
      <c r="E84" s="0" t="n">
        <f aca="false">SUMPRODUCT(B84:D84,Inputs!$B$4:$D$4)</f>
        <v>-0.0226991596608067</v>
      </c>
      <c r="F84" s="0" t="n">
        <f aca="false">E84*Inputs!$B$2</f>
        <v>-22699.1596608067</v>
      </c>
    </row>
    <row r="85" customFormat="false" ht="15" hidden="false" customHeight="false" outlineLevel="0" collapsed="false">
      <c r="A85" s="3" t="n">
        <f aca="false">Prices!A86</f>
        <v>45051</v>
      </c>
      <c r="B85" s="0" t="n">
        <f aca="false">LN(Prices!B86/Prices!B85)</f>
        <v>0.0193464978618827</v>
      </c>
      <c r="C85" s="0" t="n">
        <f aca="false">LN(Prices!C86/Prices!C85)</f>
        <v>0.0271077572481101</v>
      </c>
      <c r="D85" s="0" t="n">
        <f aca="false">LN(Prices!D86/Prices!D85)</f>
        <v>0.0263269376661629</v>
      </c>
      <c r="E85" s="0" t="n">
        <f aca="false">SUMPRODUCT(B85:D85,Inputs!$B$4:$D$4)</f>
        <v>0.023769007619035</v>
      </c>
      <c r="F85" s="0" t="n">
        <f aca="false">E85*Inputs!$B$2</f>
        <v>23769.007619035</v>
      </c>
    </row>
    <row r="86" customFormat="false" ht="15" hidden="false" customHeight="false" outlineLevel="0" collapsed="false">
      <c r="A86" s="3" t="n">
        <f aca="false">Prices!A87</f>
        <v>45054</v>
      </c>
      <c r="B86" s="0" t="n">
        <f aca="false">LN(Prices!B87/Prices!B86)</f>
        <v>0.00241018833879617</v>
      </c>
      <c r="C86" s="0" t="n">
        <f aca="false">LN(Prices!C87/Prices!C86)</f>
        <v>-0.00531569358662131</v>
      </c>
      <c r="D86" s="0" t="n">
        <f aca="false">LN(Prices!D87/Prices!D86)</f>
        <v>-0.000722007221882934</v>
      </c>
      <c r="E86" s="0" t="n">
        <f aca="false">SUMPRODUCT(B86:D86,Inputs!$B$4:$D$4)</f>
        <v>-0.000847234907032806</v>
      </c>
      <c r="F86" s="0" t="n">
        <f aca="false">E86*Inputs!$B$2</f>
        <v>-847.234907032806</v>
      </c>
    </row>
    <row r="87" customFormat="false" ht="15" hidden="false" customHeight="false" outlineLevel="0" collapsed="false">
      <c r="A87" s="3" t="n">
        <f aca="false">Prices!A88</f>
        <v>45055</v>
      </c>
      <c r="B87" s="0" t="n">
        <f aca="false">LN(Prices!B88/Prices!B87)</f>
        <v>-0.00482662081486233</v>
      </c>
      <c r="C87" s="0" t="n">
        <f aca="false">LN(Prices!C88/Prices!C87)</f>
        <v>-0.000710785501878038</v>
      </c>
      <c r="D87" s="0" t="n">
        <f aca="false">LN(Prices!D88/Prices!D87)</f>
        <v>-0.00108395154682395</v>
      </c>
      <c r="E87" s="0" t="n">
        <f aca="false">SUMPRODUCT(B87:D87,Inputs!$B$4:$D$4)</f>
        <v>-0.00246906944055553</v>
      </c>
      <c r="F87" s="0" t="n">
        <f aca="false">E87*Inputs!$B$2</f>
        <v>-2469.06944055553</v>
      </c>
    </row>
    <row r="88" customFormat="false" ht="15" hidden="false" customHeight="false" outlineLevel="0" collapsed="false">
      <c r="A88" s="3" t="n">
        <f aca="false">Prices!A89</f>
        <v>45056</v>
      </c>
      <c r="B88" s="0" t="n">
        <f aca="false">LN(Prices!B89/Prices!B88)</f>
        <v>0.000513059282169637</v>
      </c>
      <c r="C88" s="0" t="n">
        <f aca="false">LN(Prices!C89/Prices!C88)</f>
        <v>-0.00773409530792619</v>
      </c>
      <c r="D88" s="0" t="n">
        <f aca="false">LN(Prices!D89/Prices!D88)</f>
        <v>-0.0123682700326338</v>
      </c>
      <c r="E88" s="0" t="n">
        <f aca="false">SUMPRODUCT(B88:D88,Inputs!$B$4:$D$4)</f>
        <v>-0.00582548588930013</v>
      </c>
      <c r="F88" s="0" t="n">
        <f aca="false">E88*Inputs!$B$2</f>
        <v>-5825.48588930013</v>
      </c>
    </row>
    <row r="89" customFormat="false" ht="15" hidden="false" customHeight="false" outlineLevel="0" collapsed="false">
      <c r="A89" s="3" t="n">
        <f aca="false">Prices!A90</f>
        <v>45057</v>
      </c>
      <c r="B89" s="0" t="n">
        <f aca="false">LN(Prices!B90/Prices!B89)</f>
        <v>-0.00315571247817752</v>
      </c>
      <c r="C89" s="0" t="n">
        <f aca="false">LN(Prices!C90/Prices!C89)</f>
        <v>-0.0131050476965843</v>
      </c>
      <c r="D89" s="0" t="n">
        <f aca="false">LN(Prices!D90/Prices!D89)</f>
        <v>0.00255901120703418</v>
      </c>
      <c r="E89" s="0" t="n">
        <f aca="false">SUMPRODUCT(B89:D89,Inputs!$B$4:$D$4)</f>
        <v>-0.00442609593813603</v>
      </c>
      <c r="F89" s="0" t="n">
        <f aca="false">E89*Inputs!$B$2</f>
        <v>-4426.09593813603</v>
      </c>
    </row>
    <row r="90" customFormat="false" ht="15" hidden="false" customHeight="false" outlineLevel="0" collapsed="false">
      <c r="A90" s="3" t="n">
        <f aca="false">Prices!A91</f>
        <v>45058</v>
      </c>
      <c r="B90" s="0" t="n">
        <f aca="false">LN(Prices!B91/Prices!B90)</f>
        <v>-0.01443664896696</v>
      </c>
      <c r="C90" s="0" t="n">
        <f aca="false">LN(Prices!C91/Prices!C90)</f>
        <v>-0.00290888389023009</v>
      </c>
      <c r="D90" s="0" t="n">
        <f aca="false">LN(Prices!D91/Prices!D90)</f>
        <v>-0.0110133342526215</v>
      </c>
      <c r="E90" s="0" t="n">
        <f aca="false">SUMPRODUCT(B90:D90,Inputs!$B$4:$D$4)</f>
        <v>-0.00995132502963948</v>
      </c>
      <c r="F90" s="0" t="n">
        <f aca="false">E90*Inputs!$B$2</f>
        <v>-9951.32502963947</v>
      </c>
    </row>
    <row r="91" customFormat="false" ht="15" hidden="false" customHeight="false" outlineLevel="0" collapsed="false">
      <c r="A91" s="3" t="n">
        <f aca="false">Prices!A92</f>
        <v>45061</v>
      </c>
      <c r="B91" s="0" t="n">
        <f aca="false">LN(Prices!B92/Prices!B91)</f>
        <v>0.00839117508661119</v>
      </c>
      <c r="C91" s="0" t="n">
        <f aca="false">LN(Prices!C92/Prices!C91)</f>
        <v>0.00677407634079079</v>
      </c>
      <c r="D91" s="0" t="n">
        <f aca="false">LN(Prices!D92/Prices!D91)</f>
        <v>0.0204608137391063</v>
      </c>
      <c r="E91" s="0" t="n">
        <f aca="false">SUMPRODUCT(B91:D91,Inputs!$B$4:$D$4)</f>
        <v>0.0115269370586136</v>
      </c>
      <c r="F91" s="0" t="n">
        <f aca="false">E91*Inputs!$B$2</f>
        <v>11526.9370586136</v>
      </c>
    </row>
    <row r="92" customFormat="false" ht="15" hidden="false" customHeight="false" outlineLevel="0" collapsed="false">
      <c r="A92" s="3" t="n">
        <f aca="false">Prices!A93</f>
        <v>45062</v>
      </c>
      <c r="B92" s="0" t="n">
        <f aca="false">LN(Prices!B93/Prices!B92)</f>
        <v>-0.00675183276253713</v>
      </c>
      <c r="C92" s="0" t="n">
        <f aca="false">LN(Prices!C93/Prices!C92)</f>
        <v>-0.0132275056935047</v>
      </c>
      <c r="D92" s="0" t="n">
        <f aca="false">LN(Prices!D93/Prices!D92)</f>
        <v>-0.010543538206281</v>
      </c>
      <c r="E92" s="0" t="n">
        <f aca="false">SUMPRODUCT(B92:D92,Inputs!$B$4:$D$4)</f>
        <v>-0.00983204627495057</v>
      </c>
      <c r="F92" s="0" t="n">
        <f aca="false">E92*Inputs!$B$2</f>
        <v>-9832.04627495057</v>
      </c>
    </row>
    <row r="93" customFormat="false" ht="15" hidden="false" customHeight="false" outlineLevel="0" collapsed="false">
      <c r="A93" s="3" t="n">
        <f aca="false">Prices!A94</f>
        <v>45063</v>
      </c>
      <c r="B93" s="0" t="n">
        <f aca="false">LN(Prices!B94/Prices!B93)</f>
        <v>0.0302840828622389</v>
      </c>
      <c r="C93" s="0" t="n">
        <f aca="false">LN(Prices!C94/Prices!C93)</f>
        <v>0.0247343457332454</v>
      </c>
      <c r="D93" s="0" t="n">
        <f aca="false">LN(Prices!D94/Prices!D93)</f>
        <v>0.0432751139213941</v>
      </c>
      <c r="E93" s="0" t="n">
        <f aca="false">SUMPRODUCT(B93:D93,Inputs!$B$4:$D$4)</f>
        <v>0.0325164710412874</v>
      </c>
      <c r="F93" s="0" t="n">
        <f aca="false">E93*Inputs!$B$2</f>
        <v>32516.4710412874</v>
      </c>
    </row>
    <row r="94" customFormat="false" ht="15" hidden="false" customHeight="false" outlineLevel="0" collapsed="false">
      <c r="A94" s="3" t="n">
        <f aca="false">Prices!A95</f>
        <v>45064</v>
      </c>
      <c r="B94" s="0" t="n">
        <f aca="false">LN(Prices!B95/Prices!B94)</f>
        <v>0.00755529301211398</v>
      </c>
      <c r="C94" s="0" t="n">
        <f aca="false">LN(Prices!C95/Prices!C94)</f>
        <v>0.0068883764717583</v>
      </c>
      <c r="D94" s="0" t="n">
        <f aca="false">LN(Prices!D95/Prices!D94)</f>
        <v>-0.00350639098839907</v>
      </c>
      <c r="E94" s="0" t="n">
        <f aca="false">SUMPRODUCT(B94:D94,Inputs!$B$4:$D$4)</f>
        <v>0.00403671284985336</v>
      </c>
      <c r="F94" s="0" t="n">
        <f aca="false">E94*Inputs!$B$2</f>
        <v>4036.71284985336</v>
      </c>
    </row>
    <row r="95" customFormat="false" ht="15" hidden="false" customHeight="false" outlineLevel="0" collapsed="false">
      <c r="A95" s="3" t="n">
        <f aca="false">Prices!A96</f>
        <v>45065</v>
      </c>
      <c r="B95" s="0" t="n">
        <f aca="false">LN(Prices!B96/Prices!B95)</f>
        <v>-0.00229687108409667</v>
      </c>
      <c r="C95" s="0" t="n">
        <f aca="false">LN(Prices!C96/Prices!C95)</f>
        <v>-0.0269914206513402</v>
      </c>
      <c r="D95" s="0" t="n">
        <f aca="false">LN(Prices!D96/Prices!D95)</f>
        <v>-0.0127253351319828</v>
      </c>
      <c r="E95" s="0" t="n">
        <f aca="false">SUMPRODUCT(B95:D95,Inputs!$B$4:$D$4)</f>
        <v>-0.0128337751686355</v>
      </c>
      <c r="F95" s="0" t="n">
        <f aca="false">E95*Inputs!$B$2</f>
        <v>-12833.7751686355</v>
      </c>
    </row>
    <row r="96" customFormat="false" ht="15" hidden="false" customHeight="false" outlineLevel="0" collapsed="false">
      <c r="A96" s="3" t="n">
        <f aca="false">Prices!A97</f>
        <v>45068</v>
      </c>
      <c r="B96" s="0" t="n">
        <f aca="false">LN(Prices!B97/Prices!B96)</f>
        <v>-0.00829645232683976</v>
      </c>
      <c r="C96" s="0" t="n">
        <f aca="false">LN(Prices!C97/Prices!C96)</f>
        <v>0.000364814390231942</v>
      </c>
      <c r="D96" s="0" t="n">
        <f aca="false">LN(Prices!D97/Prices!D96)</f>
        <v>0.00814864930928524</v>
      </c>
      <c r="E96" s="0" t="n">
        <f aca="false">SUMPRODUCT(B96:D96,Inputs!$B$4:$D$4)</f>
        <v>-0.000764541820880749</v>
      </c>
      <c r="F96" s="0" t="n">
        <f aca="false">E96*Inputs!$B$2</f>
        <v>-764.541820880749</v>
      </c>
    </row>
    <row r="97" customFormat="false" ht="15" hidden="false" customHeight="false" outlineLevel="0" collapsed="false">
      <c r="A97" s="3" t="n">
        <f aca="false">Prices!A98</f>
        <v>45069</v>
      </c>
      <c r="B97" s="0" t="n">
        <f aca="false">LN(Prices!B98/Prices!B97)</f>
        <v>-0.0104876205839973</v>
      </c>
      <c r="C97" s="0" t="n">
        <f aca="false">LN(Prices!C98/Prices!C97)</f>
        <v>0.00448714075210518</v>
      </c>
      <c r="D97" s="0" t="n">
        <f aca="false">LN(Prices!D98/Prices!D97)</f>
        <v>0.00843298962441358</v>
      </c>
      <c r="E97" s="0" t="n">
        <f aca="false">SUMPRODUCT(B97:D97,Inputs!$B$4:$D$4)</f>
        <v>-0.000319009120643289</v>
      </c>
      <c r="F97" s="0" t="n">
        <f aca="false">E97*Inputs!$B$2</f>
        <v>-319.009120643289</v>
      </c>
    </row>
    <row r="98" customFormat="false" ht="15" hidden="false" customHeight="false" outlineLevel="0" collapsed="false">
      <c r="A98" s="3" t="n">
        <f aca="false">Prices!A99</f>
        <v>45070</v>
      </c>
      <c r="B98" s="0" t="n">
        <f aca="false">LN(Prices!B99/Prices!B98)</f>
        <v>-0.0091934412739091</v>
      </c>
      <c r="C98" s="0" t="n">
        <f aca="false">LN(Prices!C99/Prices!C98)</f>
        <v>-0.0173321777744874</v>
      </c>
      <c r="D98" s="0" t="n">
        <f aca="false">LN(Prices!D99/Prices!D98)</f>
        <v>-0.0169375515486805</v>
      </c>
      <c r="E98" s="0" t="n">
        <f aca="false">SUMPRODUCT(B98:D98,Inputs!$B$4:$D$4)</f>
        <v>-0.013958295306514</v>
      </c>
      <c r="F98" s="0" t="n">
        <f aca="false">E98*Inputs!$B$2</f>
        <v>-13958.295306514</v>
      </c>
    </row>
    <row r="99" customFormat="false" ht="15" hidden="false" customHeight="false" outlineLevel="0" collapsed="false">
      <c r="A99" s="3" t="n">
        <f aca="false">Prices!A100</f>
        <v>45071</v>
      </c>
      <c r="B99" s="0" t="n">
        <f aca="false">LN(Prices!B100/Prices!B99)</f>
        <v>0.00243533223409242</v>
      </c>
      <c r="C99" s="0" t="n">
        <f aca="false">LN(Prices!C100/Prices!C99)</f>
        <v>0.0216788696441026</v>
      </c>
      <c r="D99" s="0" t="n">
        <f aca="false">LN(Prices!D100/Prices!D99)</f>
        <v>0.00248814067867724</v>
      </c>
      <c r="E99" s="0" t="n">
        <f aca="false">SUMPRODUCT(B99:D99,Inputs!$B$4:$D$4)</f>
        <v>0.00822423599047093</v>
      </c>
      <c r="F99" s="0" t="n">
        <f aca="false">E99*Inputs!$B$2</f>
        <v>8224.23599047093</v>
      </c>
    </row>
    <row r="100" customFormat="false" ht="15" hidden="false" customHeight="false" outlineLevel="0" collapsed="false">
      <c r="A100" s="3" t="n">
        <f aca="false">Prices!A101</f>
        <v>45072</v>
      </c>
      <c r="B100" s="0" t="n">
        <f aca="false">LN(Prices!B101/Prices!B100)</f>
        <v>0.00931758470383525</v>
      </c>
      <c r="C100" s="0" t="n">
        <f aca="false">LN(Prices!C101/Prices!C100)</f>
        <v>0.0107851837406962</v>
      </c>
      <c r="D100" s="0" t="n">
        <f aca="false">LN(Prices!D101/Prices!D100)</f>
        <v>0.00495741758660104</v>
      </c>
      <c r="E100" s="0" t="n">
        <f aca="false">SUMPRODUCT(B100:D100,Inputs!$B$4:$D$4)</f>
        <v>0.00844981427972328</v>
      </c>
      <c r="F100" s="0" t="n">
        <f aca="false">E100*Inputs!$B$2</f>
        <v>8449.81427972328</v>
      </c>
    </row>
    <row r="101" customFormat="false" ht="15" hidden="false" customHeight="false" outlineLevel="0" collapsed="false">
      <c r="A101" s="3" t="n">
        <f aca="false">Prices!A102</f>
        <v>45076</v>
      </c>
      <c r="B101" s="0" t="n">
        <f aca="false">LN(Prices!B102/Prices!B101)</f>
        <v>0.00378990144603341</v>
      </c>
      <c r="C101" s="0" t="n">
        <f aca="false">LN(Prices!C102/Prices!C101)</f>
        <v>-0.00573770688912078</v>
      </c>
      <c r="D101" s="0" t="n">
        <f aca="false">LN(Prices!D102/Prices!D101)</f>
        <v>-0.00176772324739382</v>
      </c>
      <c r="E101" s="0" t="n">
        <f aca="false">SUMPRODUCT(B101:D101,Inputs!$B$4:$D$4)</f>
        <v>-0.000735668462541016</v>
      </c>
      <c r="F101" s="0" t="n">
        <f aca="false">E101*Inputs!$B$2</f>
        <v>-735.668462541016</v>
      </c>
    </row>
    <row r="102" customFormat="false" ht="15" hidden="false" customHeight="false" outlineLevel="0" collapsed="false">
      <c r="A102" s="3" t="n">
        <f aca="false">Prices!A103</f>
        <v>45077</v>
      </c>
      <c r="B102" s="0" t="n">
        <f aca="false">LN(Prices!B103/Prices!B102)</f>
        <v>-0.012812729953561</v>
      </c>
      <c r="C102" s="0" t="n">
        <f aca="false">LN(Prices!C103/Prices!C102)</f>
        <v>-0.0200997786274001</v>
      </c>
      <c r="D102" s="0" t="n">
        <f aca="false">LN(Prices!D103/Prices!D102)</f>
        <v>-0.0167711317248402</v>
      </c>
      <c r="E102" s="0" t="n">
        <f aca="false">SUMPRODUCT(B102:D102,Inputs!$B$4:$D$4)</f>
        <v>-0.0161863650870965</v>
      </c>
      <c r="F102" s="0" t="n">
        <f aca="false">E102*Inputs!$B$2</f>
        <v>-16186.3650870965</v>
      </c>
    </row>
    <row r="103" customFormat="false" ht="15" hidden="false" customHeight="false" outlineLevel="0" collapsed="false">
      <c r="A103" s="3" t="n">
        <f aca="false">Prices!A104</f>
        <v>45078</v>
      </c>
      <c r="B103" s="0" t="n">
        <f aca="false">LN(Prices!B104/Prices!B103)</f>
        <v>0.0136852911764419</v>
      </c>
      <c r="C103" s="0" t="n">
        <f aca="false">LN(Prices!C104/Prices!C103)</f>
        <v>0.00378436978618493</v>
      </c>
      <c r="D103" s="0" t="n">
        <f aca="false">LN(Prices!D104/Prices!D103)</f>
        <v>0.00758818862430598</v>
      </c>
      <c r="E103" s="0" t="n">
        <f aca="false">SUMPRODUCT(B103:D103,Inputs!$B$4:$D$4)</f>
        <v>0.00888588399372404</v>
      </c>
      <c r="F103" s="0" t="n">
        <f aca="false">E103*Inputs!$B$2</f>
        <v>8885.88399372404</v>
      </c>
    </row>
    <row r="104" customFormat="false" ht="15" hidden="false" customHeight="false" outlineLevel="0" collapsed="false">
      <c r="A104" s="3" t="n">
        <f aca="false">Prices!A105</f>
        <v>45079</v>
      </c>
      <c r="B104" s="0" t="n">
        <f aca="false">LN(Prices!B105/Prices!B104)</f>
        <v>0.0207885876128853</v>
      </c>
      <c r="C104" s="0" t="n">
        <f aca="false">LN(Prices!C105/Prices!C104)</f>
        <v>0.027402298784967</v>
      </c>
      <c r="D104" s="0" t="n">
        <f aca="false">LN(Prices!D105/Prices!D104)</f>
        <v>0.0329290084133065</v>
      </c>
      <c r="E104" s="0" t="n">
        <f aca="false">SUMPRODUCT(B104:D104,Inputs!$B$4:$D$4)</f>
        <v>0.0264148272046362</v>
      </c>
      <c r="F104" s="0" t="n">
        <f aca="false">E104*Inputs!$B$2</f>
        <v>26414.8272046362</v>
      </c>
    </row>
    <row r="105" customFormat="false" ht="15" hidden="false" customHeight="false" outlineLevel="0" collapsed="false">
      <c r="A105" s="3" t="n">
        <f aca="false">Prices!A106</f>
        <v>45082</v>
      </c>
      <c r="B105" s="0" t="n">
        <f aca="false">LN(Prices!B106/Prices!B105)</f>
        <v>-0.00987285029524903</v>
      </c>
      <c r="C105" s="0" t="n">
        <f aca="false">LN(Prices!C106/Prices!C105)</f>
        <v>-0.00725823083336244</v>
      </c>
      <c r="D105" s="0" t="n">
        <f aca="false">LN(Prices!D106/Prices!D105)</f>
        <v>-0.00593892886962669</v>
      </c>
      <c r="E105" s="0" t="n">
        <f aca="false">SUMPRODUCT(B105:D105,Inputs!$B$4:$D$4)</f>
        <v>-0.00790828802899635</v>
      </c>
      <c r="F105" s="0" t="n">
        <f aca="false">E105*Inputs!$B$2</f>
        <v>-7908.28802899635</v>
      </c>
    </row>
    <row r="106" customFormat="false" ht="15" hidden="false" customHeight="false" outlineLevel="0" collapsed="false">
      <c r="A106" s="3" t="n">
        <f aca="false">Prices!A107</f>
        <v>45083</v>
      </c>
      <c r="B106" s="0" t="n">
        <f aca="false">LN(Prices!B107/Prices!B106)</f>
        <v>0.0017956689275058</v>
      </c>
      <c r="C106" s="0" t="n">
        <f aca="false">LN(Prices!C107/Prices!C106)</f>
        <v>0.0250014415835916</v>
      </c>
      <c r="D106" s="0" t="n">
        <f aca="false">LN(Prices!D107/Prices!D106)</f>
        <v>0.0238890870478035</v>
      </c>
      <c r="E106" s="0" t="n">
        <f aca="false">SUMPRODUCT(B106:D106,Inputs!$B$4:$D$4)</f>
        <v>0.0153854261604208</v>
      </c>
      <c r="F106" s="0" t="n">
        <f aca="false">E106*Inputs!$B$2</f>
        <v>15385.4261604208</v>
      </c>
    </row>
    <row r="107" customFormat="false" ht="15" hidden="false" customHeight="false" outlineLevel="0" collapsed="false">
      <c r="A107" s="3" t="n">
        <f aca="false">Prices!A108</f>
        <v>45084</v>
      </c>
      <c r="B107" s="0" t="n">
        <f aca="false">LN(Prices!B108/Prices!B107)</f>
        <v>0.00964212444763932</v>
      </c>
      <c r="C107" s="0" t="n">
        <f aca="false">LN(Prices!C108/Prices!C107)</f>
        <v>0.00742632559182448</v>
      </c>
      <c r="D107" s="0" t="n">
        <f aca="false">LN(Prices!D108/Prices!D107)</f>
        <v>0.00851651707306315</v>
      </c>
      <c r="E107" s="0" t="n">
        <f aca="false">SUMPRODUCT(B107:D107,Inputs!$B$4:$D$4)</f>
        <v>0.00863970257852202</v>
      </c>
      <c r="F107" s="0" t="n">
        <f aca="false">E107*Inputs!$B$2</f>
        <v>8639.70257852202</v>
      </c>
    </row>
    <row r="108" customFormat="false" ht="15" hidden="false" customHeight="false" outlineLevel="0" collapsed="false">
      <c r="A108" s="3" t="n">
        <f aca="false">Prices!A109</f>
        <v>45085</v>
      </c>
      <c r="B108" s="0" t="n">
        <f aca="false">LN(Prices!B109/Prices!B108)</f>
        <v>0.00028400712902997</v>
      </c>
      <c r="C108" s="0" t="n">
        <f aca="false">LN(Prices!C109/Prices!C108)</f>
        <v>-0.00219903184716972</v>
      </c>
      <c r="D108" s="0" t="n">
        <f aca="false">LN(Prices!D109/Prices!D108)</f>
        <v>-0.00851651707306321</v>
      </c>
      <c r="E108" s="0" t="n">
        <f aca="false">SUMPRODUCT(B108:D108,Inputs!$B$4:$D$4)</f>
        <v>-0.00310106182445789</v>
      </c>
      <c r="F108" s="0" t="n">
        <f aca="false">E108*Inputs!$B$2</f>
        <v>-3101.06182445789</v>
      </c>
    </row>
    <row r="109" customFormat="false" ht="15" hidden="false" customHeight="false" outlineLevel="0" collapsed="false">
      <c r="A109" s="3" t="n">
        <f aca="false">Prices!A110</f>
        <v>45086</v>
      </c>
      <c r="B109" s="0" t="n">
        <f aca="false">LN(Prices!B110/Prices!B109)</f>
        <v>0.00198800598312043</v>
      </c>
      <c r="C109" s="0" t="n">
        <f aca="false">LN(Prices!C110/Prices!C109)</f>
        <v>-0.0011592943704486</v>
      </c>
      <c r="D109" s="0" t="n">
        <f aca="false">LN(Prices!D110/Prices!D109)</f>
        <v>0.00136761943129128</v>
      </c>
      <c r="E109" s="0" t="n">
        <f aca="false">SUMPRODUCT(B109:D109,Inputs!$B$4:$D$4)</f>
        <v>0.000857699911500977</v>
      </c>
      <c r="F109" s="0" t="n">
        <f aca="false">E109*Inputs!$B$2</f>
        <v>857.699911500977</v>
      </c>
    </row>
    <row r="110" customFormat="false" ht="15" hidden="false" customHeight="false" outlineLevel="0" collapsed="false">
      <c r="A110" s="3" t="n">
        <f aca="false">Prices!A111</f>
        <v>45089</v>
      </c>
      <c r="B110" s="0" t="n">
        <f aca="false">LN(Prices!B111/Prices!B110)</f>
        <v>-7.13478997800694E-005</v>
      </c>
      <c r="C110" s="0" t="n">
        <f aca="false">LN(Prices!C111/Prices!C110)</f>
        <v>0.0141667555007814</v>
      </c>
      <c r="D110" s="0" t="n">
        <f aca="false">LN(Prices!D111/Prices!D110)</f>
        <v>-0.00479462508321209</v>
      </c>
      <c r="E110" s="0" t="n">
        <f aca="false">SUMPRODUCT(B110:D110,Inputs!$B$4:$D$4)</f>
        <v>0.00278309996535877</v>
      </c>
      <c r="F110" s="0" t="n">
        <f aca="false">E110*Inputs!$B$2</f>
        <v>2783.09996535877</v>
      </c>
    </row>
    <row r="111" customFormat="false" ht="15" hidden="false" customHeight="false" outlineLevel="0" collapsed="false">
      <c r="A111" s="3" t="n">
        <f aca="false">Prices!A112</f>
        <v>45090</v>
      </c>
      <c r="B111" s="0" t="n">
        <f aca="false">LN(Prices!B112/Prices!B111)</f>
        <v>0.00720817207618356</v>
      </c>
      <c r="C111" s="0" t="n">
        <f aca="false">LN(Prices!C112/Prices!C111)</f>
        <v>0.00956063319951959</v>
      </c>
      <c r="D111" s="0" t="n">
        <f aca="false">LN(Prices!D112/Prices!D111)</f>
        <v>0.00922614586699469</v>
      </c>
      <c r="E111" s="0" t="n">
        <f aca="false">SUMPRODUCT(B111:D111,Inputs!$B$4:$D$4)</f>
        <v>0.00851930255042771</v>
      </c>
      <c r="F111" s="0" t="n">
        <f aca="false">E111*Inputs!$B$2</f>
        <v>8519.30255042771</v>
      </c>
    </row>
    <row r="112" customFormat="false" ht="15" hidden="false" customHeight="false" outlineLevel="0" collapsed="false">
      <c r="A112" s="3" t="n">
        <f aca="false">Prices!A113</f>
        <v>45091</v>
      </c>
      <c r="B112" s="0" t="n">
        <f aca="false">LN(Prices!B113/Prices!B112)</f>
        <v>-0.00373874409772067</v>
      </c>
      <c r="C112" s="0" t="n">
        <f aca="false">LN(Prices!C113/Prices!C112)</f>
        <v>-0.00340409011652037</v>
      </c>
      <c r="D112" s="0" t="n">
        <f aca="false">LN(Prices!D113/Prices!D112)</f>
        <v>-0.0095694293878542</v>
      </c>
      <c r="E112" s="0" t="n">
        <f aca="false">SUMPRODUCT(B112:D112,Inputs!$B$4:$D$4)</f>
        <v>-0.00538755349040064</v>
      </c>
      <c r="F112" s="0" t="n">
        <f aca="false">E112*Inputs!$B$2</f>
        <v>-5387.55349040064</v>
      </c>
    </row>
    <row r="113" customFormat="false" ht="15" hidden="false" customHeight="false" outlineLevel="0" collapsed="false">
      <c r="A113" s="3" t="n">
        <f aca="false">Prices!A114</f>
        <v>45092</v>
      </c>
      <c r="B113" s="0" t="n">
        <f aca="false">LN(Prices!B114/Prices!B113)</f>
        <v>0.0112445238268877</v>
      </c>
      <c r="C113" s="0" t="n">
        <f aca="false">LN(Prices!C114/Prices!C113)</f>
        <v>0.0120887800263059</v>
      </c>
      <c r="D113" s="0" t="n">
        <f aca="false">LN(Prices!D114/Prices!D113)</f>
        <v>0.00854847993441447</v>
      </c>
      <c r="E113" s="0" t="n">
        <f aca="false">SUMPRODUCT(B113:D113,Inputs!$B$4:$D$4)</f>
        <v>0.0106889875189712</v>
      </c>
      <c r="F113" s="0" t="n">
        <f aca="false">E113*Inputs!$B$2</f>
        <v>10688.9875189712</v>
      </c>
    </row>
    <row r="114" customFormat="false" ht="15" hidden="false" customHeight="false" outlineLevel="0" collapsed="false">
      <c r="A114" s="3" t="n">
        <f aca="false">Prices!A115</f>
        <v>45093</v>
      </c>
      <c r="B114" s="0" t="n">
        <f aca="false">LN(Prices!B115/Prices!B114)</f>
        <v>0.00118765356465537</v>
      </c>
      <c r="C114" s="0" t="n">
        <f aca="false">LN(Prices!C115/Prices!C114)</f>
        <v>-0.0108393348437298</v>
      </c>
      <c r="D114" s="0" t="n">
        <f aca="false">LN(Prices!D115/Prices!D114)</f>
        <v>-0.00614754154226575</v>
      </c>
      <c r="E114" s="0" t="n">
        <f aca="false">SUMPRODUCT(B114:D114,Inputs!$B$4:$D$4)</f>
        <v>-0.0046210014899365</v>
      </c>
      <c r="F114" s="0" t="n">
        <f aca="false">E114*Inputs!$B$2</f>
        <v>-4621.0014899365</v>
      </c>
    </row>
    <row r="115" customFormat="false" ht="15" hidden="false" customHeight="false" outlineLevel="0" collapsed="false">
      <c r="A115" s="3" t="n">
        <f aca="false">Prices!A116</f>
        <v>45097</v>
      </c>
      <c r="B115" s="0" t="n">
        <f aca="false">LN(Prices!B116/Prices!B115)</f>
        <v>-0.00510885338749654</v>
      </c>
      <c r="C115" s="0" t="n">
        <f aca="false">LN(Prices!C116/Prices!C115)</f>
        <v>-0.0155589776315117</v>
      </c>
      <c r="D115" s="0" t="n">
        <f aca="false">LN(Prices!D116/Prices!D115)</f>
        <v>-0.0110230537892819</v>
      </c>
      <c r="E115" s="0" t="n">
        <f aca="false">SUMPRODUCT(B115:D115,Inputs!$B$4:$D$4)</f>
        <v>-0.0100181507812367</v>
      </c>
      <c r="F115" s="0" t="n">
        <f aca="false">E115*Inputs!$B$2</f>
        <v>-10018.1507812367</v>
      </c>
    </row>
    <row r="116" customFormat="false" ht="15" hidden="false" customHeight="false" outlineLevel="0" collapsed="false">
      <c r="A116" s="3" t="n">
        <f aca="false">Prices!A117</f>
        <v>45098</v>
      </c>
      <c r="B116" s="0" t="n">
        <f aca="false">LN(Prices!B117/Prices!B116)</f>
        <v>-0.00147437985374203</v>
      </c>
      <c r="C116" s="0" t="n">
        <f aca="false">LN(Prices!C117/Prices!C116)</f>
        <v>-0.00450705290552375</v>
      </c>
      <c r="D116" s="0" t="n">
        <f aca="false">LN(Prices!D117/Prices!D116)</f>
        <v>-0.0104459848883128</v>
      </c>
      <c r="E116" s="0" t="n">
        <f aca="false">SUMPRODUCT(B116:D116,Inputs!$B$4:$D$4)</f>
        <v>-0.00507566327964777</v>
      </c>
      <c r="F116" s="0" t="n">
        <f aca="false">E116*Inputs!$B$2</f>
        <v>-5075.66327964777</v>
      </c>
    </row>
    <row r="117" customFormat="false" ht="15" hidden="false" customHeight="false" outlineLevel="0" collapsed="false">
      <c r="A117" s="3" t="n">
        <f aca="false">Prices!A118</f>
        <v>45099</v>
      </c>
      <c r="B117" s="0" t="n">
        <f aca="false">LN(Prices!B118/Prices!B117)</f>
        <v>-0.019440079785672</v>
      </c>
      <c r="C117" s="0" t="n">
        <f aca="false">LN(Prices!C118/Prices!C117)</f>
        <v>-0.0215412354057242</v>
      </c>
      <c r="D117" s="0" t="n">
        <f aca="false">LN(Prices!D118/Prices!D117)</f>
        <v>-0.0215822909606842</v>
      </c>
      <c r="E117" s="0" t="n">
        <f aca="false">SUMPRODUCT(B117:D117,Inputs!$B$4:$D$4)</f>
        <v>-0.0207130898241913</v>
      </c>
      <c r="F117" s="0" t="n">
        <f aca="false">E117*Inputs!$B$2</f>
        <v>-20713.0898241913</v>
      </c>
    </row>
    <row r="118" customFormat="false" ht="15" hidden="false" customHeight="false" outlineLevel="0" collapsed="false">
      <c r="A118" s="3" t="n">
        <f aca="false">Prices!A119</f>
        <v>45100</v>
      </c>
      <c r="B118" s="0" t="n">
        <f aca="false">LN(Prices!B119/Prices!B118)</f>
        <v>-0.00524354685146107</v>
      </c>
      <c r="C118" s="0" t="n">
        <f aca="false">LN(Prices!C119/Prices!C118)</f>
        <v>-0.0109473150156326</v>
      </c>
      <c r="D118" s="0" t="n">
        <f aca="false">LN(Prices!D119/Prices!D118)</f>
        <v>-0.00753907925069705</v>
      </c>
      <c r="E118" s="0" t="n">
        <f aca="false">SUMPRODUCT(B118:D118,Inputs!$B$4:$D$4)</f>
        <v>-0.00764333702048332</v>
      </c>
      <c r="F118" s="0" t="n">
        <f aca="false">E118*Inputs!$B$2</f>
        <v>-7643.33702048331</v>
      </c>
    </row>
    <row r="119" customFormat="false" ht="15" hidden="false" customHeight="false" outlineLevel="0" collapsed="false">
      <c r="A119" s="3" t="n">
        <f aca="false">Prices!A120</f>
        <v>45103</v>
      </c>
      <c r="B119" s="0" t="n">
        <f aca="false">LN(Prices!B120/Prices!B119)</f>
        <v>0.00244559196022819</v>
      </c>
      <c r="C119" s="0" t="n">
        <f aca="false">LN(Prices!C120/Prices!C119)</f>
        <v>0.000119467876285436</v>
      </c>
      <c r="D119" s="0" t="n">
        <f aca="false">LN(Prices!D120/Prices!D119)</f>
        <v>0.012177895358541</v>
      </c>
      <c r="E119" s="0" t="n">
        <f aca="false">SUMPRODUCT(B119:D119,Inputs!$B$4:$D$4)</f>
        <v>0.00466744575453919</v>
      </c>
      <c r="F119" s="0" t="n">
        <f aca="false">E119*Inputs!$B$2</f>
        <v>4667.44575453919</v>
      </c>
    </row>
    <row r="120" customFormat="false" ht="15" hidden="false" customHeight="false" outlineLevel="0" collapsed="false">
      <c r="A120" s="3" t="n">
        <f aca="false">Prices!A121</f>
        <v>45104</v>
      </c>
      <c r="B120" s="0" t="n">
        <f aca="false">LN(Prices!B121/Prices!B120)</f>
        <v>7.18040351459081E-005</v>
      </c>
      <c r="C120" s="0" t="n">
        <f aca="false">LN(Prices!C121/Prices!C120)</f>
        <v>0.00999908557970363</v>
      </c>
      <c r="D120" s="0" t="n">
        <f aca="false">LN(Prices!D121/Prices!D120)</f>
        <v>0.005325584301138</v>
      </c>
      <c r="E120" s="0" t="n">
        <f aca="false">SUMPRODUCT(B120:D120,Inputs!$B$4:$D$4)</f>
        <v>0.00462612257831085</v>
      </c>
      <c r="F120" s="0" t="n">
        <f aca="false">E120*Inputs!$B$2</f>
        <v>4626.12257831085</v>
      </c>
    </row>
    <row r="121" customFormat="false" ht="15" hidden="false" customHeight="false" outlineLevel="0" collapsed="false">
      <c r="A121" s="3" t="n">
        <f aca="false">Prices!A122</f>
        <v>45105</v>
      </c>
      <c r="B121" s="0" t="n">
        <f aca="false">LN(Prices!B122/Prices!B121)</f>
        <v>-0.00439187709578869</v>
      </c>
      <c r="C121" s="0" t="n">
        <f aca="false">LN(Prices!C122/Prices!C121)</f>
        <v>-0.00522500138221487</v>
      </c>
      <c r="D121" s="0" t="n">
        <f aca="false">LN(Prices!D122/Prices!D121)</f>
        <v>-0.0060378491966331</v>
      </c>
      <c r="E121" s="0" t="n">
        <f aca="false">SUMPRODUCT(B121:D121,Inputs!$B$4:$D$4)</f>
        <v>-0.00513560601196987</v>
      </c>
      <c r="F121" s="0" t="n">
        <f aca="false">E121*Inputs!$B$2</f>
        <v>-5135.60601196987</v>
      </c>
    </row>
    <row r="122" customFormat="false" ht="15" hidden="false" customHeight="false" outlineLevel="0" collapsed="false">
      <c r="A122" s="3" t="n">
        <f aca="false">Prices!A123</f>
        <v>45106</v>
      </c>
      <c r="B122" s="0" t="n">
        <f aca="false">LN(Prices!B123/Prices!B122)</f>
        <v>0.0343273568485766</v>
      </c>
      <c r="C122" s="0" t="n">
        <f aca="false">LN(Prices!C123/Prices!C122)</f>
        <v>0.0147730181601703</v>
      </c>
      <c r="D122" s="0" t="n">
        <f aca="false">LN(Prices!D123/Prices!D122)</f>
        <v>0.0208008643847424</v>
      </c>
      <c r="E122" s="0" t="n">
        <f aca="false">SUMPRODUCT(B122:D122,Inputs!$B$4:$D$4)</f>
        <v>0.0244031075029044</v>
      </c>
      <c r="F122" s="0" t="n">
        <f aca="false">E122*Inputs!$B$2</f>
        <v>24403.1075029044</v>
      </c>
    </row>
    <row r="123" customFormat="false" ht="15" hidden="false" customHeight="false" outlineLevel="0" collapsed="false">
      <c r="A123" s="3" t="n">
        <f aca="false">Prices!A124</f>
        <v>45107</v>
      </c>
      <c r="B123" s="0" t="n">
        <f aca="false">LN(Prices!B124/Prices!B123)</f>
        <v>0.0139163887680713</v>
      </c>
      <c r="C123" s="0" t="n">
        <f aca="false">LN(Prices!C124/Prices!C123)</f>
        <v>0.00187528711695185</v>
      </c>
      <c r="D123" s="0" t="n">
        <f aca="false">LN(Prices!D124/Prices!D123)</f>
        <v>0.00104637261727912</v>
      </c>
      <c r="E123" s="0" t="n">
        <f aca="false">SUMPRODUCT(B123:D123,Inputs!$B$4:$D$4)</f>
        <v>0.0064430534274978</v>
      </c>
      <c r="F123" s="0" t="n">
        <f aca="false">E123*Inputs!$B$2</f>
        <v>6443.0534274978</v>
      </c>
    </row>
    <row r="124" customFormat="false" ht="15" hidden="false" customHeight="false" outlineLevel="0" collapsed="false">
      <c r="A124" s="3" t="n">
        <f aca="false">Prices!A125</f>
        <v>45110</v>
      </c>
      <c r="B124" s="0" t="n">
        <f aca="false">LN(Prices!B125/Prices!B124)</f>
        <v>0.00801222010385856</v>
      </c>
      <c r="C124" s="0" t="n">
        <f aca="false">LN(Prices!C125/Prices!C124)</f>
        <v>0.0117574215459576</v>
      </c>
      <c r="D124" s="0" t="n">
        <f aca="false">LN(Prices!D125/Prices!D124)</f>
        <v>0.0176200726451839</v>
      </c>
      <c r="E124" s="0" t="n">
        <f aca="false">SUMPRODUCT(B124:D124,Inputs!$B$4:$D$4)</f>
        <v>0.0120181362988858</v>
      </c>
      <c r="F124" s="0" t="n">
        <f aca="false">E124*Inputs!$B$2</f>
        <v>12018.1362988859</v>
      </c>
    </row>
    <row r="125" customFormat="false" ht="15" hidden="false" customHeight="false" outlineLevel="0" collapsed="false">
      <c r="A125" s="3" t="n">
        <f aca="false">Prices!A126</f>
        <v>45112</v>
      </c>
      <c r="B125" s="0" t="n">
        <f aca="false">LN(Prices!B126/Prices!B125)</f>
        <v>-0.00668370962790165</v>
      </c>
      <c r="C125" s="0" t="n">
        <f aca="false">LN(Prices!C126/Prices!C125)</f>
        <v>-0.00568688780667012</v>
      </c>
      <c r="D125" s="0" t="n">
        <f aca="false">LN(Prices!D126/Prices!D125)</f>
        <v>-0.00411799654399743</v>
      </c>
      <c r="E125" s="0" t="n">
        <f aca="false">SUMPRODUCT(B125:D125,Inputs!$B$4:$D$4)</f>
        <v>-0.00561494915636093</v>
      </c>
      <c r="F125" s="0" t="n">
        <f aca="false">E125*Inputs!$B$2</f>
        <v>-5614.94915636093</v>
      </c>
    </row>
    <row r="126" customFormat="false" ht="15" hidden="false" customHeight="false" outlineLevel="0" collapsed="false">
      <c r="A126" s="3" t="n">
        <f aca="false">Prices!A127</f>
        <v>45113</v>
      </c>
      <c r="B126" s="0" t="n">
        <f aca="false">LN(Prices!B127/Prices!B126)</f>
        <v>-0.00993614975030618</v>
      </c>
      <c r="C126" s="0" t="n">
        <f aca="false">LN(Prices!C127/Prices!C126)</f>
        <v>-0.0306077878664897</v>
      </c>
      <c r="D126" s="0" t="n">
        <f aca="false">LN(Prices!D127/Prices!D126)</f>
        <v>-0.0278958609907557</v>
      </c>
      <c r="E126" s="0" t="n">
        <f aca="false">SUMPRODUCT(B126:D126,Inputs!$B$4:$D$4)</f>
        <v>-0.0215255545572961</v>
      </c>
      <c r="F126" s="0" t="n">
        <f aca="false">E126*Inputs!$B$2</f>
        <v>-21525.5545572961</v>
      </c>
    </row>
    <row r="127" customFormat="false" ht="15" hidden="false" customHeight="false" outlineLevel="0" collapsed="false">
      <c r="A127" s="3" t="n">
        <f aca="false">Prices!A128</f>
        <v>45114</v>
      </c>
      <c r="B127" s="0" t="n">
        <f aca="false">LN(Prices!B128/Prices!B127)</f>
        <v>0.00785966754545319</v>
      </c>
      <c r="C127" s="0" t="n">
        <f aca="false">LN(Prices!C128/Prices!C127)</f>
        <v>0.000359840707780979</v>
      </c>
      <c r="D127" s="0" t="n">
        <f aca="false">LN(Prices!D128/Prices!D127)</f>
        <v>0.00880135349907649</v>
      </c>
      <c r="E127" s="0" t="n">
        <f aca="false">SUMPRODUCT(B127:D127,Inputs!$B$4:$D$4)</f>
        <v>0.00589222528023852</v>
      </c>
      <c r="F127" s="0" t="n">
        <f aca="false">E127*Inputs!$B$2</f>
        <v>5892.22528023852</v>
      </c>
    </row>
    <row r="128" customFormat="false" ht="15" hidden="false" customHeight="false" outlineLevel="0" collapsed="false">
      <c r="A128" s="3" t="n">
        <f aca="false">Prices!A129</f>
        <v>45117</v>
      </c>
      <c r="B128" s="0" t="n">
        <f aca="false">LN(Prices!B129/Prices!B128)</f>
        <v>0.00559597390898161</v>
      </c>
      <c r="C128" s="0" t="n">
        <f aca="false">LN(Prices!C129/Prices!C128)</f>
        <v>0.000479451328981533</v>
      </c>
      <c r="D128" s="0" t="n">
        <f aca="false">LN(Prices!D129/Prices!D128)</f>
        <v>0.0045460587732137</v>
      </c>
      <c r="E128" s="0" t="n">
        <f aca="false">SUMPRODUCT(B128:D128,Inputs!$B$4:$D$4)</f>
        <v>0.00374604259425121</v>
      </c>
      <c r="F128" s="0" t="n">
        <f aca="false">E128*Inputs!$B$2</f>
        <v>3746.04259425121</v>
      </c>
    </row>
    <row r="129" customFormat="false" ht="15" hidden="false" customHeight="false" outlineLevel="0" collapsed="false">
      <c r="A129" s="3" t="n">
        <f aca="false">Prices!A130</f>
        <v>45118</v>
      </c>
      <c r="B129" s="0" t="n">
        <f aca="false">LN(Prices!B130/Prices!B129)</f>
        <v>0.0155182632240688</v>
      </c>
      <c r="C129" s="0" t="n">
        <f aca="false">LN(Prices!C130/Prices!C129)</f>
        <v>0.0185323620630377</v>
      </c>
      <c r="D129" s="0" t="n">
        <f aca="false">LN(Prices!D130/Prices!D129)</f>
        <v>0.0124828600907315</v>
      </c>
      <c r="E129" s="0" t="n">
        <f aca="false">SUMPRODUCT(B129:D129,Inputs!$B$4:$D$4)</f>
        <v>0.0155118719357583</v>
      </c>
      <c r="F129" s="0" t="n">
        <f aca="false">E129*Inputs!$B$2</f>
        <v>15511.8719357583</v>
      </c>
    </row>
    <row r="130" customFormat="false" ht="15" hidden="false" customHeight="false" outlineLevel="0" collapsed="false">
      <c r="A130" s="3" t="n">
        <f aca="false">Prices!A131</f>
        <v>45119</v>
      </c>
      <c r="B130" s="0" t="n">
        <f aca="false">LN(Prices!B131/Prices!B130)</f>
        <v>0.00493942326008031</v>
      </c>
      <c r="C130" s="0" t="n">
        <f aca="false">LN(Prices!C131/Prices!C130)</f>
        <v>0.0094887363619217</v>
      </c>
      <c r="D130" s="0" t="n">
        <f aca="false">LN(Prices!D131/Prices!D130)</f>
        <v>0.0116481176338998</v>
      </c>
      <c r="E130" s="0" t="n">
        <f aca="false">SUMPRODUCT(B130:D130,Inputs!$B$4:$D$4)</f>
        <v>0.00831682550277857</v>
      </c>
      <c r="F130" s="0" t="n">
        <f aca="false">E130*Inputs!$B$2</f>
        <v>8316.82550277857</v>
      </c>
    </row>
    <row r="131" customFormat="false" ht="15" hidden="false" customHeight="false" outlineLevel="0" collapsed="false">
      <c r="A131" s="3" t="n">
        <f aca="false">Prices!A132</f>
        <v>45120</v>
      </c>
      <c r="B131" s="0" t="n">
        <f aca="false">LN(Prices!B132/Prices!B131)</f>
        <v>0.00484813940117189</v>
      </c>
      <c r="C131" s="0" t="n">
        <f aca="false">LN(Prices!C132/Prices!C131)</f>
        <v>0.00511684350661881</v>
      </c>
      <c r="D131" s="0" t="n">
        <f aca="false">LN(Prices!D132/Prices!D131)</f>
        <v>0.0105033682952497</v>
      </c>
      <c r="E131" s="0" t="n">
        <f aca="false">SUMPRODUCT(B131:D131,Inputs!$B$4:$D$4)</f>
        <v>0.00662531930102931</v>
      </c>
      <c r="F131" s="0" t="n">
        <f aca="false">E131*Inputs!$B$2</f>
        <v>6625.31930102931</v>
      </c>
    </row>
    <row r="132" customFormat="false" ht="15" hidden="false" customHeight="false" outlineLevel="0" collapsed="false">
      <c r="A132" s="3" t="n">
        <f aca="false">Prices!A133</f>
        <v>45121</v>
      </c>
      <c r="B132" s="0" t="n">
        <f aca="false">LN(Prices!B133/Prices!B132)</f>
        <v>0.00602730691497276</v>
      </c>
      <c r="C132" s="0" t="n">
        <f aca="false">LN(Prices!C133/Prices!C132)</f>
        <v>-0.00500022906291702</v>
      </c>
      <c r="D132" s="0" t="n">
        <f aca="false">LN(Prices!D133/Prices!D132)</f>
        <v>-0.0190547717757457</v>
      </c>
      <c r="E132" s="0" t="n">
        <f aca="false">SUMPRODUCT(B132:D132,Inputs!$B$4:$D$4)</f>
        <v>-0.00480557748560971</v>
      </c>
      <c r="F132" s="0" t="n">
        <f aca="false">E132*Inputs!$B$2</f>
        <v>-4805.57748560971</v>
      </c>
    </row>
    <row r="133" customFormat="false" ht="15" hidden="false" customHeight="false" outlineLevel="0" collapsed="false">
      <c r="A133" s="3" t="n">
        <f aca="false">Prices!A134</f>
        <v>45124</v>
      </c>
      <c r="B133" s="0" t="n">
        <f aca="false">LN(Prices!B134/Prices!B133)</f>
        <v>0.0238178469685969</v>
      </c>
      <c r="C133" s="0" t="n">
        <f aca="false">LN(Prices!C134/Prices!C133)</f>
        <v>0.00685433822406446</v>
      </c>
      <c r="D133" s="0" t="n">
        <f aca="false">LN(Prices!D134/Prices!D133)</f>
        <v>0.00991283079275765</v>
      </c>
      <c r="E133" s="0" t="n">
        <f aca="false">SUMPRODUCT(B133:D133,Inputs!$B$4:$D$4)</f>
        <v>0.0145572894924854</v>
      </c>
      <c r="F133" s="0" t="n">
        <f aca="false">E133*Inputs!$B$2</f>
        <v>14557.2894924854</v>
      </c>
    </row>
    <row r="134" customFormat="false" ht="15" hidden="false" customHeight="false" outlineLevel="0" collapsed="false">
      <c r="A134" s="3" t="n">
        <f aca="false">Prices!A135</f>
        <v>45125</v>
      </c>
      <c r="B134" s="0" t="n">
        <f aca="false">LN(Prices!B135/Prices!B134)</f>
        <v>0.00182396233571864</v>
      </c>
      <c r="C134" s="0" t="n">
        <f aca="false">LN(Prices!C135/Prices!C134)</f>
        <v>0.0624959743068274</v>
      </c>
      <c r="D134" s="0" t="n">
        <f aca="false">LN(Prices!D135/Prices!D134)</f>
        <v>0.0432678801912178</v>
      </c>
      <c r="E134" s="0" t="n">
        <f aca="false">SUMPRODUCT(B134:D134,Inputs!$B$4:$D$4)</f>
        <v>0.032458741283701</v>
      </c>
      <c r="F134" s="0" t="n">
        <f aca="false">E134*Inputs!$B$2</f>
        <v>32458.741283701</v>
      </c>
    </row>
    <row r="135" customFormat="false" ht="15" hidden="false" customHeight="false" outlineLevel="0" collapsed="false">
      <c r="A135" s="3" t="n">
        <f aca="false">Prices!A136</f>
        <v>45126</v>
      </c>
      <c r="B135" s="0" t="n">
        <f aca="false">LN(Prices!B136/Prices!B135)</f>
        <v>0.00383211171159595</v>
      </c>
      <c r="C135" s="0" t="n">
        <f aca="false">LN(Prices!C136/Prices!C135)</f>
        <v>0.0131822213278429</v>
      </c>
      <c r="D135" s="0" t="n">
        <f aca="false">LN(Prices!D136/Prices!D135)</f>
        <v>0.0266768864500521</v>
      </c>
      <c r="E135" s="0" t="n">
        <f aca="false">SUMPRODUCT(B135:D135,Inputs!$B$4:$D$4)</f>
        <v>0.0134905770180069</v>
      </c>
      <c r="F135" s="0" t="n">
        <f aca="false">E135*Inputs!$B$2</f>
        <v>13490.5770180069</v>
      </c>
    </row>
    <row r="136" customFormat="false" ht="15" hidden="false" customHeight="false" outlineLevel="0" collapsed="false">
      <c r="A136" s="3" t="n">
        <f aca="false">Prices!A137</f>
        <v>45127</v>
      </c>
      <c r="B136" s="0" t="n">
        <f aca="false">LN(Prices!B137/Prices!B136)</f>
        <v>0.0122423495823607</v>
      </c>
      <c r="C136" s="0" t="n">
        <f aca="false">LN(Prices!C137/Prices!C136)</f>
        <v>0.00684647795688742</v>
      </c>
      <c r="D136" s="0" t="n">
        <f aca="false">LN(Prices!D137/Prices!D136)</f>
        <v>0.00506167032143432</v>
      </c>
      <c r="E136" s="0" t="n">
        <f aca="false">SUMPRODUCT(B136:D136,Inputs!$B$4:$D$4)</f>
        <v>0.00846938431644081</v>
      </c>
      <c r="F136" s="0" t="n">
        <f aca="false">E136*Inputs!$B$2</f>
        <v>8469.38431644081</v>
      </c>
    </row>
    <row r="137" customFormat="false" ht="15" hidden="false" customHeight="false" outlineLevel="0" collapsed="false">
      <c r="A137" s="3" t="n">
        <f aca="false">Prices!A138</f>
        <v>45128</v>
      </c>
      <c r="B137" s="0" t="n">
        <f aca="false">LN(Prices!B138/Prices!B137)</f>
        <v>-0.00771455462868785</v>
      </c>
      <c r="C137" s="0" t="n">
        <f aca="false">LN(Prices!C138/Prices!C137)</f>
        <v>0.00223625660684029</v>
      </c>
      <c r="D137" s="0" t="n">
        <f aca="false">LN(Prices!D138/Prices!D137)</f>
        <v>0.00910965003732924</v>
      </c>
      <c r="E137" s="0" t="n">
        <f aca="false">SUMPRODUCT(B137:D137,Inputs!$B$4:$D$4)</f>
        <v>0.000317950141775718</v>
      </c>
      <c r="F137" s="0" t="n">
        <f aca="false">E137*Inputs!$B$2</f>
        <v>317.950141775718</v>
      </c>
    </row>
    <row r="138" customFormat="false" ht="15" hidden="false" customHeight="false" outlineLevel="0" collapsed="false">
      <c r="A138" s="3" t="n">
        <f aca="false">Prices!A139</f>
        <v>45131</v>
      </c>
      <c r="B138" s="0" t="n">
        <f aca="false">LN(Prices!B139/Prices!B138)</f>
        <v>0.0194925908375528</v>
      </c>
      <c r="C138" s="0" t="n">
        <f aca="false">LN(Prices!C139/Prices!C138)</f>
        <v>0.00699585428244236</v>
      </c>
      <c r="D138" s="0" t="n">
        <f aca="false">LN(Prices!D139/Prices!D138)</f>
        <v>0.0207339857642988</v>
      </c>
      <c r="E138" s="0" t="n">
        <f aca="false">SUMPRODUCT(B138:D138,Inputs!$B$4:$D$4)</f>
        <v>0.0161159883490435</v>
      </c>
      <c r="F138" s="0" t="n">
        <f aca="false">E138*Inputs!$B$2</f>
        <v>16115.9883490435</v>
      </c>
    </row>
    <row r="139" customFormat="false" ht="15" hidden="false" customHeight="false" outlineLevel="0" collapsed="false">
      <c r="A139" s="3" t="n">
        <f aca="false">Prices!A140</f>
        <v>45132</v>
      </c>
      <c r="B139" s="0" t="n">
        <f aca="false">LN(Prices!B140/Prices!B139)</f>
        <v>-0.00749623403777629</v>
      </c>
      <c r="C139" s="0" t="n">
        <f aca="false">LN(Prices!C140/Prices!C139)</f>
        <v>-0.00264421965826974</v>
      </c>
      <c r="D139" s="0" t="n">
        <f aca="false">LN(Prices!D140/Prices!D139)</f>
        <v>-0.0154322661440427</v>
      </c>
      <c r="E139" s="0" t="n">
        <f aca="false">SUMPRODUCT(B139:D139,Inputs!$B$4:$D$4)</f>
        <v>-0.00842143935580424</v>
      </c>
      <c r="F139" s="0" t="n">
        <f aca="false">E139*Inputs!$B$2</f>
        <v>-8421.43935580424</v>
      </c>
    </row>
    <row r="140" customFormat="false" ht="15" hidden="false" customHeight="false" outlineLevel="0" collapsed="false">
      <c r="A140" s="3" t="n">
        <f aca="false">Prices!A141</f>
        <v>45133</v>
      </c>
      <c r="B140" s="0" t="n">
        <f aca="false">LN(Prices!B141/Prices!B140)</f>
        <v>0.00597589417007511</v>
      </c>
      <c r="C140" s="0" t="n">
        <f aca="false">LN(Prices!C141/Prices!C140)</f>
        <v>-0.00936359665788844</v>
      </c>
      <c r="D140" s="0" t="n">
        <f aca="false">LN(Prices!D141/Prices!D140)</f>
        <v>0.00805440699097837</v>
      </c>
      <c r="E140" s="0" t="n">
        <f aca="false">SUMPRODUCT(B140:D140,Inputs!$B$4:$D$4)</f>
        <v>0.00199760076795702</v>
      </c>
      <c r="F140" s="0" t="n">
        <f aca="false">E140*Inputs!$B$2</f>
        <v>1997.60076795702</v>
      </c>
    </row>
    <row r="141" customFormat="false" ht="15" hidden="false" customHeight="false" outlineLevel="0" collapsed="false">
      <c r="A141" s="3" t="n">
        <f aca="false">Prices!A142</f>
        <v>45134</v>
      </c>
      <c r="B141" s="0" t="n">
        <f aca="false">LN(Prices!B142/Prices!B141)</f>
        <v>-0.0110904143738912</v>
      </c>
      <c r="C141" s="0" t="n">
        <f aca="false">LN(Prices!C142/Prices!C141)</f>
        <v>-0.00848139306655968</v>
      </c>
      <c r="D141" s="0" t="n">
        <f aca="false">LN(Prices!D142/Prices!D141)</f>
        <v>-0.014294736503182</v>
      </c>
      <c r="E141" s="0" t="n">
        <f aca="false">SUMPRODUCT(B141:D141,Inputs!$B$4:$D$4)</f>
        <v>-0.011269004620479</v>
      </c>
      <c r="F141" s="0" t="n">
        <f aca="false">E141*Inputs!$B$2</f>
        <v>-11269.004620479</v>
      </c>
    </row>
    <row r="142" customFormat="false" ht="15" hidden="false" customHeight="false" outlineLevel="0" collapsed="false">
      <c r="A142" s="3" t="n">
        <f aca="false">Prices!A143</f>
        <v>45135</v>
      </c>
      <c r="B142" s="0" t="n">
        <f aca="false">LN(Prices!B143/Prices!B142)</f>
        <v>0.00568810269410322</v>
      </c>
      <c r="C142" s="0" t="n">
        <f aca="false">LN(Prices!C143/Prices!C142)</f>
        <v>-0.00359737526471748</v>
      </c>
      <c r="D142" s="0" t="n">
        <f aca="false">LN(Prices!D143/Prices!D142)</f>
        <v>-0.00156620225844706</v>
      </c>
      <c r="E142" s="0" t="n">
        <f aca="false">SUMPRODUCT(B142:D142,Inputs!$B$4:$D$4)</f>
        <v>0.000726167820691927</v>
      </c>
      <c r="F142" s="0" t="n">
        <f aca="false">E142*Inputs!$B$2</f>
        <v>726.167820691927</v>
      </c>
    </row>
    <row r="143" customFormat="false" ht="15" hidden="false" customHeight="false" outlineLevel="0" collapsed="false">
      <c r="A143" s="3" t="n">
        <f aca="false">Prices!A144</f>
        <v>45138</v>
      </c>
      <c r="B143" s="0" t="n">
        <f aca="false">LN(Prices!B144/Prices!B143)</f>
        <v>0.00666955961758845</v>
      </c>
      <c r="C143" s="0" t="n">
        <f aca="false">LN(Prices!C144/Prices!C143)</f>
        <v>-0.0001093354429373</v>
      </c>
      <c r="D143" s="0" t="n">
        <f aca="false">LN(Prices!D144/Prices!D143)</f>
        <v>0.00312989078200523</v>
      </c>
      <c r="E143" s="0" t="n">
        <f aca="false">SUMPRODUCT(B143:D143,Inputs!$B$4:$D$4)</f>
        <v>0.00357399044875576</v>
      </c>
      <c r="F143" s="0" t="n">
        <f aca="false">E143*Inputs!$B$2</f>
        <v>3573.99044875576</v>
      </c>
    </row>
    <row r="144" customFormat="false" ht="15" hidden="false" customHeight="false" outlineLevel="0" collapsed="false">
      <c r="A144" s="3" t="n">
        <f aca="false">Prices!A145</f>
        <v>45139</v>
      </c>
      <c r="B144" s="0" t="n">
        <f aca="false">LN(Prices!B145/Prices!B144)</f>
        <v>-0.00495026498173208</v>
      </c>
      <c r="C144" s="0" t="n">
        <f aca="false">LN(Prices!C145/Prices!C144)</f>
        <v>-0.00679443360462934</v>
      </c>
      <c r="D144" s="0" t="n">
        <f aca="false">LN(Prices!D145/Prices!D144)</f>
        <v>-0.0119460494097891</v>
      </c>
      <c r="E144" s="0" t="n">
        <f aca="false">SUMPRODUCT(B144:D144,Inputs!$B$4:$D$4)</f>
        <v>-0.00760225089701838</v>
      </c>
      <c r="F144" s="0" t="n">
        <f aca="false">E144*Inputs!$B$2</f>
        <v>-7602.25089701838</v>
      </c>
    </row>
    <row r="145" customFormat="false" ht="15" hidden="false" customHeight="false" outlineLevel="0" collapsed="false">
      <c r="A145" s="3" t="n">
        <f aca="false">Prices!A146</f>
        <v>45140</v>
      </c>
      <c r="B145" s="0" t="n">
        <f aca="false">LN(Prices!B146/Prices!B145)</f>
        <v>-0.0113891397981305</v>
      </c>
      <c r="C145" s="0" t="n">
        <f aca="false">LN(Prices!C146/Prices!C145)</f>
        <v>-0.0179744148759932</v>
      </c>
      <c r="D145" s="0" t="n">
        <f aca="false">LN(Prices!D146/Prices!D145)</f>
        <v>-0.0136921784315413</v>
      </c>
      <c r="E145" s="0" t="n">
        <f aca="false">SUMPRODUCT(B145:D145,Inputs!$B$4:$D$4)</f>
        <v>-0.0140556339115126</v>
      </c>
      <c r="F145" s="0" t="n">
        <f aca="false">E145*Inputs!$B$2</f>
        <v>-14055.6339115126</v>
      </c>
    </row>
    <row r="146" customFormat="false" ht="15" hidden="false" customHeight="false" outlineLevel="0" collapsed="false">
      <c r="A146" s="3" t="n">
        <f aca="false">Prices!A147</f>
        <v>45141</v>
      </c>
      <c r="B146" s="0" t="n">
        <f aca="false">LN(Prices!B147/Prices!B146)</f>
        <v>0.00609466176913034</v>
      </c>
      <c r="C146" s="0" t="n">
        <f aca="false">LN(Prices!C147/Prices!C146)</f>
        <v>-0.00201738290230236</v>
      </c>
      <c r="D146" s="0" t="n">
        <f aca="false">LN(Prices!D147/Prices!D146)</f>
        <v>0.00702865851535034</v>
      </c>
      <c r="E146" s="0" t="n">
        <f aca="false">SUMPRODUCT(B146:D146,Inputs!$B$4:$D$4)</f>
        <v>0.00394124739156653</v>
      </c>
      <c r="F146" s="0" t="n">
        <f aca="false">E146*Inputs!$B$2</f>
        <v>3941.24739156653</v>
      </c>
    </row>
    <row r="147" customFormat="false" ht="15" hidden="false" customHeight="false" outlineLevel="0" collapsed="false">
      <c r="A147" s="3" t="n">
        <f aca="false">Prices!A148</f>
        <v>45142</v>
      </c>
      <c r="B147" s="0" t="n">
        <f aca="false">LN(Prices!B148/Prices!B147)</f>
        <v>-0.00211291930095939</v>
      </c>
      <c r="C147" s="0" t="n">
        <f aca="false">LN(Prices!C148/Prices!C147)</f>
        <v>-0.00393406919286223</v>
      </c>
      <c r="D147" s="0" t="n">
        <f aca="false">LN(Prices!D148/Prices!D147)</f>
        <v>-0.00350822004036267</v>
      </c>
      <c r="E147" s="0" t="n">
        <f aca="false">SUMPRODUCT(B147:D147,Inputs!$B$4:$D$4)</f>
        <v>-0.00307785449035123</v>
      </c>
      <c r="F147" s="0" t="n">
        <f aca="false">E147*Inputs!$B$2</f>
        <v>-3077.85449035123</v>
      </c>
    </row>
    <row r="148" customFormat="false" ht="15" hidden="false" customHeight="false" outlineLevel="0" collapsed="false">
      <c r="A148" s="3" t="n">
        <f aca="false">Prices!A149</f>
        <v>45145</v>
      </c>
      <c r="B148" s="0" t="n">
        <f aca="false">LN(Prices!B149/Prices!B148)</f>
        <v>0.00473163708094151</v>
      </c>
      <c r="C148" s="0" t="n">
        <f aca="false">LN(Prices!C149/Prices!C148)</f>
        <v>0.00326092187818027</v>
      </c>
      <c r="D148" s="0" t="n">
        <f aca="false">LN(Prices!D149/Prices!D148)</f>
        <v>0.0183607301978466</v>
      </c>
      <c r="E148" s="0" t="n">
        <f aca="false">SUMPRODUCT(B148:D148,Inputs!$B$4:$D$4)</f>
        <v>0.00837915045518465</v>
      </c>
      <c r="F148" s="0" t="n">
        <f aca="false">E148*Inputs!$B$2</f>
        <v>8379.15045518465</v>
      </c>
    </row>
    <row r="149" customFormat="false" ht="15" hidden="false" customHeight="false" outlineLevel="0" collapsed="false">
      <c r="A149" s="3" t="n">
        <f aca="false">Prices!A150</f>
        <v>45146</v>
      </c>
      <c r="B149" s="0" t="n">
        <f aca="false">LN(Prices!B150/Prices!B149)</f>
        <v>-0.00562945998878436</v>
      </c>
      <c r="C149" s="0" t="n">
        <f aca="false">LN(Prices!C150/Prices!C149)</f>
        <v>-0.00687155771605468</v>
      </c>
      <c r="D149" s="0" t="n">
        <f aca="false">LN(Prices!D150/Prices!D149)</f>
        <v>-0.019319543227173</v>
      </c>
      <c r="E149" s="0" t="n">
        <f aca="false">SUMPRODUCT(B149:D149,Inputs!$B$4:$D$4)</f>
        <v>-0.010109114278482</v>
      </c>
      <c r="F149" s="0" t="n">
        <f aca="false">E149*Inputs!$B$2</f>
        <v>-10109.114278482</v>
      </c>
    </row>
    <row r="150" customFormat="false" ht="15" hidden="false" customHeight="false" outlineLevel="0" collapsed="false">
      <c r="A150" s="3" t="n">
        <f aca="false">Prices!A151</f>
        <v>45147</v>
      </c>
      <c r="B150" s="0" t="n">
        <f aca="false">LN(Prices!B151/Prices!B150)</f>
        <v>-0.0134985244209405</v>
      </c>
      <c r="C150" s="0" t="n">
        <f aca="false">LN(Prices!C151/Prices!C150)</f>
        <v>-0.0103393294148848</v>
      </c>
      <c r="D150" s="0" t="n">
        <f aca="false">LN(Prices!D151/Prices!D150)</f>
        <v>-0.0131983870467207</v>
      </c>
      <c r="E150" s="0" t="n">
        <f aca="false">SUMPRODUCT(B150:D150,Inputs!$B$4:$D$4)</f>
        <v>-0.0124607247068578</v>
      </c>
      <c r="F150" s="0" t="n">
        <f aca="false">E150*Inputs!$B$2</f>
        <v>-12460.7247068578</v>
      </c>
    </row>
    <row r="151" customFormat="false" ht="15" hidden="false" customHeight="false" outlineLevel="0" collapsed="false">
      <c r="A151" s="3" t="n">
        <f aca="false">Prices!A152</f>
        <v>45148</v>
      </c>
      <c r="B151" s="0" t="n">
        <f aca="false">LN(Prices!B152/Prices!B151)</f>
        <v>-0.00149649744812155</v>
      </c>
      <c r="C151" s="0" t="n">
        <f aca="false">LN(Prices!C152/Prices!C151)</f>
        <v>0.000913319324995313</v>
      </c>
      <c r="D151" s="0" t="n">
        <f aca="false">LN(Prices!D152/Prices!D151)</f>
        <v>0.00258884925614028</v>
      </c>
      <c r="E151" s="0" t="n">
        <f aca="false">SUMPRODUCT(B151:D151,Inputs!$B$4:$D$4)</f>
        <v>0.00045205159509206</v>
      </c>
      <c r="F151" s="0" t="n">
        <f aca="false">E151*Inputs!$B$2</f>
        <v>452.05159509206</v>
      </c>
    </row>
    <row r="152" customFormat="false" ht="15" hidden="false" customHeight="false" outlineLevel="0" collapsed="false">
      <c r="A152" s="3" t="n">
        <f aca="false">Prices!A153</f>
        <v>45149</v>
      </c>
      <c r="B152" s="0" t="n">
        <f aca="false">LN(Prices!B153/Prices!B152)</f>
        <v>0.00577917328120722</v>
      </c>
      <c r="C152" s="0" t="n">
        <f aca="false">LN(Prices!C153/Prices!C152)</f>
        <v>0.000684394814323654</v>
      </c>
      <c r="D152" s="0" t="n">
        <f aca="false">LN(Prices!D153/Prices!D152)</f>
        <v>0.0112488045820867</v>
      </c>
      <c r="E152" s="0" t="n">
        <f aca="false">SUMPRODUCT(B152:D152,Inputs!$B$4:$D$4)</f>
        <v>0.00589162913140598</v>
      </c>
      <c r="F152" s="0" t="n">
        <f aca="false">E152*Inputs!$B$2</f>
        <v>5891.62913140598</v>
      </c>
    </row>
    <row r="153" customFormat="false" ht="15" hidden="false" customHeight="false" outlineLevel="0" collapsed="false">
      <c r="A153" s="3" t="n">
        <f aca="false">Prices!A154</f>
        <v>45152</v>
      </c>
      <c r="B153" s="0" t="n">
        <f aca="false">LN(Prices!B154/Prices!B153)</f>
        <v>0.0020696066970722</v>
      </c>
      <c r="C153" s="0" t="n">
        <f aca="false">LN(Prices!C154/Prices!C153)</f>
        <v>-0.00422775623169234</v>
      </c>
      <c r="D153" s="0" t="n">
        <f aca="false">LN(Prices!D154/Prices!D153)</f>
        <v>-0.0115719358787811</v>
      </c>
      <c r="E153" s="0" t="n">
        <f aca="false">SUMPRODUCT(B153:D153,Inputs!$B$4:$D$4)</f>
        <v>-0.00391206495431316</v>
      </c>
      <c r="F153" s="0" t="n">
        <f aca="false">E153*Inputs!$B$2</f>
        <v>-3912.06495431316</v>
      </c>
    </row>
    <row r="154" customFormat="false" ht="15" hidden="false" customHeight="false" outlineLevel="0" collapsed="false">
      <c r="A154" s="3" t="n">
        <f aca="false">Prices!A155</f>
        <v>45153</v>
      </c>
      <c r="B154" s="0" t="n">
        <f aca="false">LN(Prices!B155/Prices!B154)</f>
        <v>-0.0257867217755138</v>
      </c>
      <c r="C154" s="0" t="n">
        <f aca="false">LN(Prices!C155/Prices!C154)</f>
        <v>-0.0134881167844868</v>
      </c>
      <c r="D154" s="0" t="n">
        <f aca="false">LN(Prices!D155/Prices!D154)</f>
        <v>-0.0325312448620608</v>
      </c>
      <c r="E154" s="0" t="n">
        <f aca="false">SUMPRODUCT(B154:D154,Inputs!$B$4:$D$4)</f>
        <v>-0.0241204972041698</v>
      </c>
      <c r="F154" s="0" t="n">
        <f aca="false">E154*Inputs!$B$2</f>
        <v>-24120.4972041698</v>
      </c>
    </row>
    <row r="155" customFormat="false" ht="15" hidden="false" customHeight="false" outlineLevel="0" collapsed="false">
      <c r="A155" s="3" t="n">
        <f aca="false">Prices!A156</f>
        <v>45154</v>
      </c>
      <c r="B155" s="0" t="n">
        <f aca="false">LN(Prices!B156/Prices!B155)</f>
        <v>-0.00425251558871416</v>
      </c>
      <c r="C155" s="0" t="n">
        <f aca="false">LN(Prices!C156/Prices!C155)</f>
        <v>-0.00197492210294318</v>
      </c>
      <c r="D155" s="0" t="n">
        <f aca="false">LN(Prices!D156/Prices!D155)</f>
        <v>-0.0219490963874472</v>
      </c>
      <c r="E155" s="0" t="n">
        <f aca="false">SUMPRODUCT(B155:D155,Inputs!$B$4:$D$4)</f>
        <v>-0.00887821178260278</v>
      </c>
      <c r="F155" s="0" t="n">
        <f aca="false">E155*Inputs!$B$2</f>
        <v>-8878.21178260278</v>
      </c>
    </row>
    <row r="156" customFormat="false" ht="15" hidden="false" customHeight="false" outlineLevel="0" collapsed="false">
      <c r="A156" s="3" t="n">
        <f aca="false">Prices!A157</f>
        <v>45155</v>
      </c>
      <c r="B156" s="0" t="n">
        <f aca="false">LN(Prices!B157/Prices!B156)</f>
        <v>-0.01044088391996</v>
      </c>
      <c r="C156" s="0" t="n">
        <f aca="false">LN(Prices!C157/Prices!C156)</f>
        <v>-0.00232866022117228</v>
      </c>
      <c r="D156" s="0" t="n">
        <f aca="false">LN(Prices!D157/Prices!D156)</f>
        <v>-0.000341619677877495</v>
      </c>
      <c r="E156" s="0" t="n">
        <f aca="false">SUMPRODUCT(B156:D156,Inputs!$B$4:$D$4)</f>
        <v>-0.00497743753769893</v>
      </c>
      <c r="F156" s="0" t="n">
        <f aca="false">E156*Inputs!$B$2</f>
        <v>-4977.43753769893</v>
      </c>
    </row>
    <row r="157" customFormat="false" ht="15" hidden="false" customHeight="false" outlineLevel="0" collapsed="false">
      <c r="A157" s="3" t="n">
        <f aca="false">Prices!A158</f>
        <v>45156</v>
      </c>
      <c r="B157" s="0" t="n">
        <f aca="false">LN(Prices!B158/Prices!B157)</f>
        <v>0.00228482417267555</v>
      </c>
      <c r="C157" s="0" t="n">
        <f aca="false">LN(Prices!C158/Prices!C157)</f>
        <v>-0.010546010713777</v>
      </c>
      <c r="D157" s="0" t="n">
        <f aca="false">LN(Prices!D158/Prices!D157)</f>
        <v>-0.00582276401407249</v>
      </c>
      <c r="E157" s="0" t="n">
        <f aca="false">SUMPRODUCT(B157:D157,Inputs!$B$4:$D$4)</f>
        <v>-0.00399670274928463</v>
      </c>
      <c r="F157" s="0" t="n">
        <f aca="false">E157*Inputs!$B$2</f>
        <v>-3996.70274928463</v>
      </c>
    </row>
    <row r="158" customFormat="false" ht="15" hidden="false" customHeight="false" outlineLevel="0" collapsed="false">
      <c r="A158" s="3" t="n">
        <f aca="false">Prices!A159</f>
        <v>45159</v>
      </c>
      <c r="B158" s="0" t="n">
        <f aca="false">LN(Prices!B159/Prices!B158)</f>
        <v>0.00341747768835186</v>
      </c>
      <c r="C158" s="0" t="n">
        <f aca="false">LN(Prices!C159/Prices!C158)</f>
        <v>-0.00756777710132526</v>
      </c>
      <c r="D158" s="0" t="n">
        <f aca="false">LN(Prices!D159/Prices!D158)</f>
        <v>0.00137311132334581</v>
      </c>
      <c r="E158" s="0" t="n">
        <f aca="false">SUMPRODUCT(B158:D158,Inputs!$B$4:$D$4)</f>
        <v>-0.00049140865805309</v>
      </c>
      <c r="F158" s="0" t="n">
        <f aca="false">E158*Inputs!$B$2</f>
        <v>-491.40865805309</v>
      </c>
    </row>
    <row r="159" customFormat="false" ht="15" hidden="false" customHeight="false" outlineLevel="0" collapsed="false">
      <c r="A159" s="3" t="n">
        <f aca="false">Prices!A160</f>
        <v>45160</v>
      </c>
      <c r="B159" s="0" t="n">
        <f aca="false">LN(Prices!B160/Prices!B159)</f>
        <v>-0.0209562816551614</v>
      </c>
      <c r="C159" s="0" t="n">
        <f aca="false">LN(Prices!C160/Prices!C159)</f>
        <v>-0.0151890122184201</v>
      </c>
      <c r="D159" s="0" t="n">
        <f aca="false">LN(Prices!D160/Prices!D159)</f>
        <v>-0.0246582947743395</v>
      </c>
      <c r="E159" s="0" t="n">
        <f aca="false">SUMPRODUCT(B159:D159,Inputs!$B$4:$D$4)</f>
        <v>-0.0203367047598924</v>
      </c>
      <c r="F159" s="0" t="n">
        <f aca="false">E159*Inputs!$B$2</f>
        <v>-20336.7047598924</v>
      </c>
    </row>
    <row r="160" customFormat="false" ht="15" hidden="false" customHeight="false" outlineLevel="0" collapsed="false">
      <c r="A160" s="3" t="n">
        <f aca="false">Prices!A161</f>
        <v>45161</v>
      </c>
      <c r="B160" s="0" t="n">
        <f aca="false">LN(Prices!B161/Prices!B160)</f>
        <v>0.0067404659600795</v>
      </c>
      <c r="C160" s="0" t="n">
        <f aca="false">LN(Prices!C161/Prices!C160)</f>
        <v>0.00492872231329911</v>
      </c>
      <c r="D160" s="0" t="n">
        <f aca="false">LN(Prices!D161/Prices!D160)</f>
        <v>0.000351489970897817</v>
      </c>
      <c r="E160" s="0" t="n">
        <f aca="false">SUMPRODUCT(B160:D160,Inputs!$B$4:$D$4)</f>
        <v>0.00428025006929088</v>
      </c>
      <c r="F160" s="0" t="n">
        <f aca="false">E160*Inputs!$B$2</f>
        <v>4280.25006929088</v>
      </c>
    </row>
    <row r="161" customFormat="false" ht="15" hidden="false" customHeight="false" outlineLevel="0" collapsed="false">
      <c r="A161" s="3" t="n">
        <f aca="false">Prices!A162</f>
        <v>45162</v>
      </c>
      <c r="B161" s="0" t="n">
        <f aca="false">LN(Prices!B162/Prices!B161)</f>
        <v>-0.000950657035755711</v>
      </c>
      <c r="C161" s="0" t="n">
        <f aca="false">LN(Prices!C162/Prices!C161)</f>
        <v>0.00059938809665955</v>
      </c>
      <c r="D161" s="0" t="n">
        <f aca="false">LN(Prices!D162/Prices!D161)</f>
        <v>0.00595758736323144</v>
      </c>
      <c r="E161" s="0" t="n">
        <f aca="false">SUMPRODUCT(B161:D161,Inputs!$B$4:$D$4)</f>
        <v>0.00158682982366501</v>
      </c>
      <c r="F161" s="0" t="n">
        <f aca="false">E161*Inputs!$B$2</f>
        <v>1586.82982366501</v>
      </c>
    </row>
    <row r="162" customFormat="false" ht="15" hidden="false" customHeight="false" outlineLevel="0" collapsed="false">
      <c r="A162" s="3" t="n">
        <f aca="false">Prices!A163</f>
        <v>45163</v>
      </c>
      <c r="B162" s="0" t="n">
        <f aca="false">LN(Prices!B163/Prices!B162)</f>
        <v>-0.00122320691722052</v>
      </c>
      <c r="C162" s="0" t="n">
        <f aca="false">LN(Prices!C163/Prices!C162)</f>
        <v>-0.00263997903078591</v>
      </c>
      <c r="D162" s="0" t="n">
        <f aca="false">LN(Prices!D163/Prices!D162)</f>
        <v>-0.00420169825491285</v>
      </c>
      <c r="E162" s="0" t="n">
        <f aca="false">SUMPRODUCT(B162:D162,Inputs!$B$4:$D$4)</f>
        <v>-0.00254178595259784</v>
      </c>
      <c r="F162" s="0" t="n">
        <f aca="false">E162*Inputs!$B$2</f>
        <v>-2541.78595259784</v>
      </c>
    </row>
    <row r="163" customFormat="false" ht="15" hidden="false" customHeight="false" outlineLevel="0" collapsed="false">
      <c r="A163" s="3" t="n">
        <f aca="false">Prices!A164</f>
        <v>45166</v>
      </c>
      <c r="B163" s="0" t="n">
        <f aca="false">LN(Prices!B164/Prices!B163)</f>
        <v>0.00346235292576957</v>
      </c>
      <c r="C163" s="0" t="n">
        <f aca="false">LN(Prices!C164/Prices!C163)</f>
        <v>0.0138426749612144</v>
      </c>
      <c r="D163" s="0" t="n">
        <f aca="false">LN(Prices!D164/Prices!D163)</f>
        <v>0.00908155399283006</v>
      </c>
      <c r="E163" s="0" t="n">
        <f aca="false">SUMPRODUCT(B163:D163,Inputs!$B$4:$D$4)</f>
        <v>0.00826220985652116</v>
      </c>
      <c r="F163" s="0" t="n">
        <f aca="false">E163*Inputs!$B$2</f>
        <v>8262.20985652116</v>
      </c>
    </row>
    <row r="164" customFormat="false" ht="15" hidden="false" customHeight="false" outlineLevel="0" collapsed="false">
      <c r="A164" s="3" t="n">
        <f aca="false">Prices!A165</f>
        <v>45167</v>
      </c>
      <c r="B164" s="0" t="n">
        <f aca="false">LN(Prices!B165/Prices!B164)</f>
        <v>0.00809912817729716</v>
      </c>
      <c r="C164" s="0" t="n">
        <f aca="false">LN(Prices!C165/Prices!C164)</f>
        <v>0.0137706983107111</v>
      </c>
      <c r="D164" s="0" t="n">
        <f aca="false">LN(Prices!D165/Prices!D164)</f>
        <v>0.0141550338570455</v>
      </c>
      <c r="E164" s="0" t="n">
        <f aca="false">SUMPRODUCT(B164:D164,Inputs!$B$4:$D$4)</f>
        <v>0.0116173709212458</v>
      </c>
      <c r="F164" s="0" t="n">
        <f aca="false">E164*Inputs!$B$2</f>
        <v>11617.3709212458</v>
      </c>
    </row>
    <row r="165" customFormat="false" ht="15" hidden="false" customHeight="false" outlineLevel="0" collapsed="false">
      <c r="A165" s="3" t="n">
        <f aca="false">Prices!A166</f>
        <v>45168</v>
      </c>
      <c r="B165" s="0" t="n">
        <f aca="false">LN(Prices!B166/Prices!B165)</f>
        <v>-0.0040413646264046</v>
      </c>
      <c r="C165" s="0" t="n">
        <f aca="false">LN(Prices!C166/Prices!C165)</f>
        <v>-0.00339570438854584</v>
      </c>
      <c r="D165" s="0" t="n">
        <f aca="false">LN(Prices!D166/Prices!D165)</f>
        <v>-0.004466470186126</v>
      </c>
      <c r="E165" s="0" t="n">
        <f aca="false">SUMPRODUCT(B165:D165,Inputs!$B$4:$D$4)</f>
        <v>-0.00397519822296339</v>
      </c>
      <c r="F165" s="0" t="n">
        <f aca="false">E165*Inputs!$B$2</f>
        <v>-3975.19822296339</v>
      </c>
    </row>
    <row r="166" customFormat="false" ht="15" hidden="false" customHeight="false" outlineLevel="0" collapsed="false">
      <c r="A166" s="3" t="n">
        <f aca="false">Prices!A167</f>
        <v>45169</v>
      </c>
      <c r="B166" s="0" t="n">
        <f aca="false">LN(Prices!B167/Prices!B166)</f>
        <v>-0.0124284071933093</v>
      </c>
      <c r="C166" s="0" t="n">
        <f aca="false">LN(Prices!C167/Prices!C166)</f>
        <v>-0.00129089240016668</v>
      </c>
      <c r="D166" s="0" t="n">
        <f aca="false">LN(Prices!D167/Prices!D166)</f>
        <v>-0.00452425299871649</v>
      </c>
      <c r="E166" s="0" t="n">
        <f aca="false">SUMPRODUCT(B166:D166,Inputs!$B$4:$D$4)</f>
        <v>-0.00671590649698867</v>
      </c>
      <c r="F166" s="0" t="n">
        <f aca="false">E166*Inputs!$B$2</f>
        <v>-6715.90649698867</v>
      </c>
    </row>
    <row r="167" customFormat="false" ht="15" hidden="false" customHeight="false" outlineLevel="0" collapsed="false">
      <c r="A167" s="3" t="n">
        <f aca="false">Prices!A168</f>
        <v>45170</v>
      </c>
      <c r="B167" s="0" t="n">
        <f aca="false">LN(Prices!B168/Prices!B167)</f>
        <v>0.00334292617970364</v>
      </c>
      <c r="C167" s="0" t="n">
        <f aca="false">LN(Prices!C168/Prices!C167)</f>
        <v>0.00702168426371092</v>
      </c>
      <c r="D167" s="0" t="n">
        <f aca="false">LN(Prices!D168/Prices!D167)</f>
        <v>0.0107547956772181</v>
      </c>
      <c r="E167" s="0" t="n">
        <f aca="false">SUMPRODUCT(B167:D167,Inputs!$B$4:$D$4)</f>
        <v>0.00667011445416018</v>
      </c>
      <c r="F167" s="0" t="n">
        <f aca="false">E167*Inputs!$B$2</f>
        <v>6670.11445416018</v>
      </c>
    </row>
    <row r="168" customFormat="false" ht="15" hidden="false" customHeight="false" outlineLevel="0" collapsed="false">
      <c r="A168" s="3" t="n">
        <f aca="false">Prices!A169</f>
        <v>45174</v>
      </c>
      <c r="B168" s="0" t="n">
        <f aca="false">LN(Prices!B169/Prices!B168)</f>
        <v>-0.0110952909016073</v>
      </c>
      <c r="C168" s="0" t="n">
        <f aca="false">LN(Prices!C169/Prices!C168)</f>
        <v>-0.0106691468332644</v>
      </c>
      <c r="D168" s="0" t="n">
        <f aca="false">LN(Prices!D169/Prices!D168)</f>
        <v>-0.0114523853170781</v>
      </c>
      <c r="E168" s="0" t="n">
        <f aca="false">SUMPRODUCT(B168:D168,Inputs!$B$4:$D$4)</f>
        <v>-0.0110745760057457</v>
      </c>
      <c r="F168" s="0" t="n">
        <f aca="false">E168*Inputs!$B$2</f>
        <v>-11074.5760057457</v>
      </c>
    </row>
    <row r="169" customFormat="false" ht="15" hidden="false" customHeight="false" outlineLevel="0" collapsed="false">
      <c r="A169" s="3" t="n">
        <f aca="false">Prices!A170</f>
        <v>45175</v>
      </c>
      <c r="B169" s="0" t="n">
        <f aca="false">LN(Prices!B170/Prices!B169)</f>
        <v>-0.00165413798786688</v>
      </c>
      <c r="C169" s="0" t="n">
        <f aca="false">LN(Prices!C170/Prices!C169)</f>
        <v>-0.00804726910001878</v>
      </c>
      <c r="D169" s="0" t="n">
        <f aca="false">LN(Prices!D170/Prices!D169)</f>
        <v>-0.00911647736261899</v>
      </c>
      <c r="E169" s="0" t="n">
        <f aca="false">SUMPRODUCT(B169:D169,Inputs!$B$4:$D$4)</f>
        <v>-0.00581077913393809</v>
      </c>
      <c r="F169" s="0" t="n">
        <f aca="false">E169*Inputs!$B$2</f>
        <v>-5810.77913393809</v>
      </c>
    </row>
    <row r="170" customFormat="false" ht="15" hidden="false" customHeight="false" outlineLevel="0" collapsed="false">
      <c r="A170" s="3" t="n">
        <f aca="false">Prices!A171</f>
        <v>45176</v>
      </c>
      <c r="B170" s="0" t="n">
        <f aca="false">LN(Prices!B171/Prices!B170)</f>
        <v>-0.00859094204510397</v>
      </c>
      <c r="C170" s="0" t="n">
        <f aca="false">LN(Prices!C171/Prices!C170)</f>
        <v>-0.00380945179693561</v>
      </c>
      <c r="D170" s="0" t="n">
        <f aca="false">LN(Prices!D171/Prices!D170)</f>
        <v>-0.00920049847314648</v>
      </c>
      <c r="E170" s="0" t="n">
        <f aca="false">SUMPRODUCT(B170:D170,Inputs!$B$4:$D$4)</f>
        <v>-0.00733936189906622</v>
      </c>
      <c r="F170" s="0" t="n">
        <f aca="false">E170*Inputs!$B$2</f>
        <v>-7339.36189906622</v>
      </c>
    </row>
    <row r="171" customFormat="false" ht="15" hidden="false" customHeight="false" outlineLevel="0" collapsed="false">
      <c r="A171" s="3" t="n">
        <f aca="false">Prices!A172</f>
        <v>45177</v>
      </c>
      <c r="B171" s="0" t="n">
        <f aca="false">LN(Prices!B172/Prices!B171)</f>
        <v>0.000765023196608169</v>
      </c>
      <c r="C171" s="0" t="n">
        <f aca="false">LN(Prices!C172/Prices!C171)</f>
        <v>0.0127992092293426</v>
      </c>
      <c r="D171" s="0" t="n">
        <f aca="false">LN(Prices!D172/Prices!D171)</f>
        <v>0.00814327913718473</v>
      </c>
      <c r="E171" s="0" t="n">
        <f aca="false">SUMPRODUCT(B171:D171,Inputs!$B$4:$D$4)</f>
        <v>0.00658875578860147</v>
      </c>
      <c r="F171" s="0" t="n">
        <f aca="false">E171*Inputs!$B$2</f>
        <v>6588.75578860147</v>
      </c>
    </row>
    <row r="172" customFormat="false" ht="15" hidden="false" customHeight="false" outlineLevel="0" collapsed="false">
      <c r="A172" s="3" t="n">
        <f aca="false">Prices!A173</f>
        <v>45180</v>
      </c>
      <c r="B172" s="0" t="n">
        <f aca="false">LN(Prices!B173/Prices!B172)</f>
        <v>0.00437074980337786</v>
      </c>
      <c r="C172" s="0" t="n">
        <f aca="false">LN(Prices!C173/Prices!C172)</f>
        <v>-0.01674310271625</v>
      </c>
      <c r="D172" s="0" t="n">
        <f aca="false">LN(Prices!D173/Prices!D172)</f>
        <v>0.00422240345420184</v>
      </c>
      <c r="E172" s="0" t="n">
        <f aca="false">SUMPRODUCT(B172:D172,Inputs!$B$4:$D$4)</f>
        <v>-0.00200790985726332</v>
      </c>
      <c r="F172" s="0" t="n">
        <f aca="false">E172*Inputs!$B$2</f>
        <v>-2007.90985726332</v>
      </c>
    </row>
    <row r="173" customFormat="false" ht="15" hidden="false" customHeight="false" outlineLevel="0" collapsed="false">
      <c r="A173" s="3" t="n">
        <f aca="false">Prices!A174</f>
        <v>45181</v>
      </c>
      <c r="B173" s="0" t="n">
        <f aca="false">LN(Prices!B174/Prices!B173)</f>
        <v>0.0129298406243534</v>
      </c>
      <c r="C173" s="0" t="n">
        <f aca="false">LN(Prices!C174/Prices!C173)</f>
        <v>0.0241346737421279</v>
      </c>
      <c r="D173" s="0" t="n">
        <f aca="false">LN(Prices!D174/Prices!D173)</f>
        <v>0.0170585695620504</v>
      </c>
      <c r="E173" s="0" t="n">
        <f aca="false">SUMPRODUCT(B173:D173,Inputs!$B$4:$D$4)</f>
        <v>0.0175299092409948</v>
      </c>
      <c r="F173" s="0" t="n">
        <f aca="false">E173*Inputs!$B$2</f>
        <v>17529.9092409948</v>
      </c>
    </row>
    <row r="174" customFormat="false" ht="15" hidden="false" customHeight="false" outlineLevel="0" collapsed="false">
      <c r="A174" s="3" t="n">
        <f aca="false">Prices!A175</f>
        <v>45182</v>
      </c>
      <c r="B174" s="0" t="n">
        <f aca="false">LN(Prices!B175/Prices!B174)</f>
        <v>0.00047827664532544</v>
      </c>
      <c r="C174" s="0" t="n">
        <f aca="false">LN(Prices!C175/Prices!C174)</f>
        <v>0.0196764317190626</v>
      </c>
      <c r="D174" s="0" t="n">
        <f aca="false">LN(Prices!D175/Prices!D174)</f>
        <v>-0.00311156514638007</v>
      </c>
      <c r="E174" s="0" t="n">
        <f aca="false">SUMPRODUCT(B174:D174,Inputs!$B$4:$D$4)</f>
        <v>0.00516077062993494</v>
      </c>
      <c r="F174" s="0" t="n">
        <f aca="false">E174*Inputs!$B$2</f>
        <v>5160.77062993494</v>
      </c>
    </row>
    <row r="175" customFormat="false" ht="15" hidden="false" customHeight="false" outlineLevel="0" collapsed="false">
      <c r="A175" s="3" t="n">
        <f aca="false">Prices!A176</f>
        <v>45183</v>
      </c>
      <c r="B175" s="0" t="n">
        <f aca="false">LN(Prices!B176/Prices!B175)</f>
        <v>0.0192117358492187</v>
      </c>
      <c r="C175" s="0" t="n">
        <f aca="false">LN(Prices!C176/Prices!C175)</f>
        <v>0.0206449124095365</v>
      </c>
      <c r="D175" s="0" t="n">
        <f aca="false">LN(Prices!D176/Prices!D175)</f>
        <v>0.0110195159894106</v>
      </c>
      <c r="E175" s="0" t="n">
        <f aca="false">SUMPRODUCT(B175:D175,Inputs!$B$4:$D$4)</f>
        <v>0.0171840228593716</v>
      </c>
      <c r="F175" s="0" t="n">
        <f aca="false">E175*Inputs!$B$2</f>
        <v>17184.0228593716</v>
      </c>
    </row>
    <row r="176" customFormat="false" ht="15" hidden="false" customHeight="false" outlineLevel="0" collapsed="false">
      <c r="A176" s="3" t="n">
        <f aca="false">Prices!A177</f>
        <v>45184</v>
      </c>
      <c r="B176" s="0" t="n">
        <f aca="false">LN(Prices!B177/Prices!B176)</f>
        <v>-0.00295219180875852</v>
      </c>
      <c r="C176" s="0" t="n">
        <f aca="false">LN(Prices!C177/Prices!C176)</f>
        <v>-0.00743741428068637</v>
      </c>
      <c r="D176" s="0" t="n">
        <f aca="false">LN(Prices!D177/Prices!D176)</f>
        <v>-0.012405381865767</v>
      </c>
      <c r="E176" s="0" t="n">
        <f aca="false">SUMPRODUCT(B176:D176,Inputs!$B$4:$D$4)</f>
        <v>-0.00713371556743943</v>
      </c>
      <c r="F176" s="0" t="n">
        <f aca="false">E176*Inputs!$B$2</f>
        <v>-7133.71556743943</v>
      </c>
    </row>
    <row r="177" customFormat="false" ht="15" hidden="false" customHeight="false" outlineLevel="0" collapsed="false">
      <c r="A177" s="3" t="n">
        <f aca="false">Prices!A178</f>
        <v>45187</v>
      </c>
      <c r="B177" s="0" t="n">
        <f aca="false">LN(Prices!B178/Prices!B177)</f>
        <v>0.0020808501251593</v>
      </c>
      <c r="C177" s="0" t="n">
        <f aca="false">LN(Prices!C178/Prices!C177)</f>
        <v>0.00338758734247814</v>
      </c>
      <c r="D177" s="0" t="n">
        <f aca="false">LN(Prices!D178/Prices!D177)</f>
        <v>-0.00277786327984201</v>
      </c>
      <c r="E177" s="0" t="n">
        <f aca="false">SUMPRODUCT(B177:D177,Inputs!$B$4:$D$4)</f>
        <v>0.00101525726885456</v>
      </c>
      <c r="F177" s="0" t="n">
        <f aca="false">E177*Inputs!$B$2</f>
        <v>1015.25726885456</v>
      </c>
    </row>
    <row r="178" customFormat="false" ht="15" hidden="false" customHeight="false" outlineLevel="0" collapsed="false">
      <c r="A178" s="3" t="n">
        <f aca="false">Prices!A179</f>
        <v>45188</v>
      </c>
      <c r="B178" s="0" t="n">
        <f aca="false">LN(Prices!B179/Prices!B178)</f>
        <v>-0.00127500137176201</v>
      </c>
      <c r="C178" s="0" t="n">
        <f aca="false">LN(Prices!C179/Prices!C178)</f>
        <v>-0.00225708450102699</v>
      </c>
      <c r="D178" s="0" t="n">
        <f aca="false">LN(Prices!D179/Prices!D178)</f>
        <v>-0.00383198201509287</v>
      </c>
      <c r="E178" s="0" t="n">
        <f aca="false">SUMPRODUCT(B178:D178,Inputs!$B$4:$D$4)</f>
        <v>-0.00233672050354076</v>
      </c>
      <c r="F178" s="0" t="n">
        <f aca="false">E178*Inputs!$B$2</f>
        <v>-2336.72050354076</v>
      </c>
    </row>
    <row r="179" customFormat="false" ht="15" hidden="false" customHeight="false" outlineLevel="0" collapsed="false">
      <c r="A179" s="3" t="n">
        <f aca="false">Prices!A180</f>
        <v>45189</v>
      </c>
      <c r="B179" s="0" t="n">
        <f aca="false">LN(Prices!B180/Prices!B179)</f>
        <v>-0.00423873865538645</v>
      </c>
      <c r="C179" s="0" t="n">
        <f aca="false">LN(Prices!C180/Prices!C179)</f>
        <v>-0.0155994321063553</v>
      </c>
      <c r="D179" s="0" t="n">
        <f aca="false">LN(Prices!D180/Prices!D179)</f>
        <v>-0.00349670212257578</v>
      </c>
      <c r="E179" s="0" t="n">
        <f aca="false">SUMPRODUCT(B179:D179,Inputs!$B$4:$D$4)</f>
        <v>-0.00742433573083389</v>
      </c>
      <c r="F179" s="0" t="n">
        <f aca="false">E179*Inputs!$B$2</f>
        <v>-7424.33573083389</v>
      </c>
    </row>
    <row r="180" customFormat="false" ht="15" hidden="false" customHeight="false" outlineLevel="0" collapsed="false">
      <c r="A180" s="3" t="n">
        <f aca="false">Prices!A181</f>
        <v>45190</v>
      </c>
      <c r="B180" s="0" t="n">
        <f aca="false">LN(Prices!B181/Prices!B180)</f>
        <v>-0.00785290767098052</v>
      </c>
      <c r="C180" s="0" t="n">
        <f aca="false">LN(Prices!C181/Prices!C180)</f>
        <v>-0.0262776554720021</v>
      </c>
      <c r="D180" s="0" t="n">
        <f aca="false">LN(Prices!D181/Prices!D180)</f>
        <v>-0.0176682043231993</v>
      </c>
      <c r="E180" s="0" t="n">
        <f aca="false">SUMPRODUCT(B180:D180,Inputs!$B$4:$D$4)</f>
        <v>-0.0163249210069526</v>
      </c>
      <c r="F180" s="0" t="n">
        <f aca="false">E180*Inputs!$B$2</f>
        <v>-16324.9210069526</v>
      </c>
    </row>
    <row r="181" customFormat="false" ht="15" hidden="false" customHeight="false" outlineLevel="0" collapsed="false">
      <c r="A181" s="3" t="n">
        <f aca="false">Prices!A182</f>
        <v>45191</v>
      </c>
      <c r="B181" s="0" t="n">
        <f aca="false">LN(Prices!B182/Prices!B181)</f>
        <v>-0.00962914170384389</v>
      </c>
      <c r="C181" s="0" t="n">
        <f aca="false">LN(Prices!C182/Prices!C181)</f>
        <v>-0.0189100829344199</v>
      </c>
      <c r="D181" s="0" t="n">
        <f aca="false">LN(Prices!D182/Prices!D181)</f>
        <v>-0.0147246078503226</v>
      </c>
      <c r="E181" s="0" t="n">
        <f aca="false">SUMPRODUCT(B181:D181,Inputs!$B$4:$D$4)</f>
        <v>-0.0139420639169603</v>
      </c>
      <c r="F181" s="0" t="n">
        <f aca="false">E181*Inputs!$B$2</f>
        <v>-13942.0639169603</v>
      </c>
    </row>
    <row r="182" customFormat="false" ht="15" hidden="false" customHeight="false" outlineLevel="0" collapsed="false">
      <c r="A182" s="3" t="n">
        <f aca="false">Prices!A183</f>
        <v>45194</v>
      </c>
      <c r="B182" s="0" t="n">
        <f aca="false">LN(Prices!B183/Prices!B182)</f>
        <v>0.00492889560698329</v>
      </c>
      <c r="C182" s="0" t="n">
        <f aca="false">LN(Prices!C183/Prices!C182)</f>
        <v>-0.00312641811305668</v>
      </c>
      <c r="D182" s="0" t="n">
        <f aca="false">LN(Prices!D183/Prices!D182)</f>
        <v>-0.00144823273165013</v>
      </c>
      <c r="E182" s="0" t="n">
        <f aca="false">SUMPRODUCT(B182:D182,Inputs!$B$4:$D$4)</f>
        <v>0.000599162989381273</v>
      </c>
      <c r="F182" s="0" t="n">
        <f aca="false">E182*Inputs!$B$2</f>
        <v>599.162989381273</v>
      </c>
    </row>
    <row r="183" customFormat="false" ht="15" hidden="false" customHeight="false" outlineLevel="0" collapsed="false">
      <c r="A183" s="3" t="n">
        <f aca="false">Prices!A184</f>
        <v>45195</v>
      </c>
      <c r="B183" s="0" t="n">
        <f aca="false">LN(Prices!B184/Prices!B183)</f>
        <v>-0.0104334786552672</v>
      </c>
      <c r="C183" s="0" t="n">
        <f aca="false">LN(Prices!C184/Prices!C183)</f>
        <v>-0.0104118377297573</v>
      </c>
      <c r="D183" s="0" t="n">
        <f aca="false">LN(Prices!D184/Prices!D183)</f>
        <v>-0.0157023643987053</v>
      </c>
      <c r="E183" s="0" t="n">
        <f aca="false">SUMPRODUCT(B183:D183,Inputs!$B$4:$D$4)</f>
        <v>-0.0120076521006457</v>
      </c>
      <c r="F183" s="0" t="n">
        <f aca="false">E183*Inputs!$B$2</f>
        <v>-12007.6521006457</v>
      </c>
    </row>
    <row r="184" customFormat="false" ht="15" hidden="false" customHeight="false" outlineLevel="0" collapsed="false">
      <c r="A184" s="3" t="n">
        <f aca="false">Prices!A185</f>
        <v>45196</v>
      </c>
      <c r="B184" s="0" t="n">
        <f aca="false">LN(Prices!B185/Prices!B184)</f>
        <v>0.00584779019774206</v>
      </c>
      <c r="C184" s="0" t="n">
        <f aca="false">LN(Prices!C185/Prices!C184)</f>
        <v>-0.00634827466184135</v>
      </c>
      <c r="D184" s="0" t="n">
        <f aca="false">LN(Prices!D185/Prices!D184)</f>
        <v>0.0036737525072237</v>
      </c>
      <c r="E184" s="0" t="n">
        <f aca="false">SUMPRODUCT(B184:D184,Inputs!$B$4:$D$4)</f>
        <v>0.00153675943271153</v>
      </c>
      <c r="F184" s="0" t="n">
        <f aca="false">E184*Inputs!$B$2</f>
        <v>1536.75943271153</v>
      </c>
    </row>
    <row r="185" customFormat="false" ht="15" hidden="false" customHeight="false" outlineLevel="0" collapsed="false">
      <c r="A185" s="3" t="n">
        <f aca="false">Prices!A186</f>
        <v>45197</v>
      </c>
      <c r="B185" s="0" t="n">
        <f aca="false">LN(Prices!B186/Prices!B185)</f>
        <v>0.0123395057849955</v>
      </c>
      <c r="C185" s="0" t="n">
        <f aca="false">LN(Prices!C186/Prices!C185)</f>
        <v>0.00659181612017709</v>
      </c>
      <c r="D185" s="0" t="n">
        <f aca="false">LN(Prices!D186/Prices!D185)</f>
        <v>0.0105783531047075</v>
      </c>
      <c r="E185" s="0" t="n">
        <f aca="false">SUMPRODUCT(B185:D185,Inputs!$B$4:$D$4)</f>
        <v>0.0100868530814636</v>
      </c>
      <c r="F185" s="0" t="n">
        <f aca="false">E185*Inputs!$B$2</f>
        <v>10086.8530814636</v>
      </c>
    </row>
    <row r="186" customFormat="false" ht="15" hidden="false" customHeight="false" outlineLevel="0" collapsed="false">
      <c r="A186" s="3" t="n">
        <f aca="false">Prices!A187</f>
        <v>45198</v>
      </c>
      <c r="B186" s="0" t="n">
        <f aca="false">LN(Prices!B187/Prices!B186)</f>
        <v>-0.0175663343424962</v>
      </c>
      <c r="C186" s="0" t="n">
        <f aca="false">LN(Prices!C187/Prices!C186)</f>
        <v>-0.00634703108988431</v>
      </c>
      <c r="D186" s="0" t="n">
        <f aca="false">LN(Prices!D187/Prices!D186)</f>
        <v>-0.00655269304542815</v>
      </c>
      <c r="E186" s="0" t="n">
        <f aca="false">SUMPRODUCT(B186:D186,Inputs!$B$4:$D$4)</f>
        <v>-0.0108964509775922</v>
      </c>
      <c r="F186" s="0" t="n">
        <f aca="false">E186*Inputs!$B$2</f>
        <v>-10896.4509775922</v>
      </c>
    </row>
    <row r="187" customFormat="false" ht="15" hidden="false" customHeight="false" outlineLevel="0" collapsed="false">
      <c r="A187" s="3" t="n">
        <f aca="false">Prices!A188</f>
        <v>45201</v>
      </c>
      <c r="B187" s="0" t="n">
        <f aca="false">LN(Prices!B188/Prices!B187)</f>
        <v>-0.00865686742568197</v>
      </c>
      <c r="C187" s="0" t="n">
        <f aca="false">LN(Prices!C188/Prices!C187)</f>
        <v>-0.0155479044982904</v>
      </c>
      <c r="D187" s="0" t="n">
        <f aca="false">LN(Prices!D188/Prices!D187)</f>
        <v>-0.025149293030582</v>
      </c>
      <c r="E187" s="0" t="n">
        <f aca="false">SUMPRODUCT(B187:D187,Inputs!$B$4:$D$4)</f>
        <v>-0.0156719062289345</v>
      </c>
      <c r="F187" s="0" t="n">
        <f aca="false">E187*Inputs!$B$2</f>
        <v>-15671.9062289345</v>
      </c>
    </row>
    <row r="188" customFormat="false" ht="15" hidden="false" customHeight="false" outlineLevel="0" collapsed="false">
      <c r="A188" s="3" t="n">
        <f aca="false">Prices!A189</f>
        <v>45202</v>
      </c>
      <c r="B188" s="0" t="n">
        <f aca="false">LN(Prices!B189/Prices!B188)</f>
        <v>-0.00740027048599356</v>
      </c>
      <c r="C188" s="0" t="n">
        <f aca="false">LN(Prices!C189/Prices!C188)</f>
        <v>-0.0301736477471293</v>
      </c>
      <c r="D188" s="0" t="n">
        <f aca="false">LN(Prices!D189/Prices!D188)</f>
        <v>-0.0300345716617078</v>
      </c>
      <c r="E188" s="0" t="n">
        <f aca="false">SUMPRODUCT(B188:D188,Inputs!$B$4:$D$4)</f>
        <v>-0.0210225740170486</v>
      </c>
      <c r="F188" s="0" t="n">
        <f aca="false">E188*Inputs!$B$2</f>
        <v>-21022.5740170486</v>
      </c>
    </row>
    <row r="189" customFormat="false" ht="15" hidden="false" customHeight="false" outlineLevel="0" collapsed="false">
      <c r="A189" s="3" t="n">
        <f aca="false">Prices!A190</f>
        <v>45203</v>
      </c>
      <c r="B189" s="0" t="n">
        <f aca="false">LN(Prices!B190/Prices!B189)</f>
        <v>0.00447422532630437</v>
      </c>
      <c r="C189" s="0" t="n">
        <f aca="false">LN(Prices!C190/Prices!C189)</f>
        <v>0.013621301527329</v>
      </c>
      <c r="D189" s="0" t="n">
        <f aca="false">LN(Prices!D190/Prices!D189)</f>
        <v>0.00115720934968763</v>
      </c>
      <c r="E189" s="0" t="n">
        <f aca="false">SUMPRODUCT(B189:D189,Inputs!$B$4:$D$4)</f>
        <v>0.00622324339362675</v>
      </c>
      <c r="F189" s="0" t="n">
        <f aca="false">E189*Inputs!$B$2</f>
        <v>6223.24339362675</v>
      </c>
    </row>
    <row r="190" customFormat="false" ht="15" hidden="false" customHeight="false" outlineLevel="0" collapsed="false">
      <c r="A190" s="3" t="n">
        <f aca="false">Prices!A191</f>
        <v>45204</v>
      </c>
      <c r="B190" s="0" t="n">
        <f aca="false">LN(Prices!B191/Prices!B190)</f>
        <v>0.00420771328003362</v>
      </c>
      <c r="C190" s="0" t="n">
        <f aca="false">LN(Prices!C191/Prices!C190)</f>
        <v>0.000758353071986622</v>
      </c>
      <c r="D190" s="0" t="n">
        <f aca="false">LN(Prices!D191/Prices!D190)</f>
        <v>0.00461533508239976</v>
      </c>
      <c r="E190" s="0" t="n">
        <f aca="false">SUMPRODUCT(B190:D190,Inputs!$B$4:$D$4)</f>
        <v>0.00329519175832936</v>
      </c>
      <c r="F190" s="0" t="n">
        <f aca="false">E190*Inputs!$B$2</f>
        <v>3295.19175832936</v>
      </c>
    </row>
    <row r="191" customFormat="false" ht="15" hidden="false" customHeight="false" outlineLevel="0" collapsed="false">
      <c r="A191" s="3" t="n">
        <f aca="false">Prices!A192</f>
        <v>45205</v>
      </c>
      <c r="B191" s="0" t="n">
        <f aca="false">LN(Prices!B192/Prices!B191)</f>
        <v>0.0152782202558338</v>
      </c>
      <c r="C191" s="0" t="n">
        <f aca="false">LN(Prices!C192/Prices!C191)</f>
        <v>0.014798512791641</v>
      </c>
      <c r="D191" s="0" t="n">
        <f aca="false">LN(Prices!D192/Prices!D191)</f>
        <v>0.000383795590511536</v>
      </c>
      <c r="E191" s="0" t="n">
        <f aca="false">SUMPRODUCT(B191:D191,Inputs!$B$4:$D$4)</f>
        <v>0.0106659806169793</v>
      </c>
      <c r="F191" s="0" t="n">
        <f aca="false">E191*Inputs!$B$2</f>
        <v>10665.9806169793</v>
      </c>
    </row>
    <row r="192" customFormat="false" ht="15" hidden="false" customHeight="false" outlineLevel="0" collapsed="false">
      <c r="A192" s="3" t="n">
        <f aca="false">Prices!A193</f>
        <v>45208</v>
      </c>
      <c r="B192" s="0" t="n">
        <f aca="false">LN(Prices!B193/Prices!B192)</f>
        <v>-0.0022765475852699</v>
      </c>
      <c r="C192" s="0" t="n">
        <f aca="false">LN(Prices!C193/Prices!C192)</f>
        <v>-0.00524222614061634</v>
      </c>
      <c r="D192" s="0" t="n">
        <f aca="false">LN(Prices!D193/Prices!D192)</f>
        <v>0.00916382990564239</v>
      </c>
      <c r="E192" s="0" t="n">
        <f aca="false">SUMPRODUCT(B192:D192,Inputs!$B$4:$D$4)</f>
        <v>0.000265862095399856</v>
      </c>
      <c r="F192" s="0" t="n">
        <f aca="false">E192*Inputs!$B$2</f>
        <v>265.862095399856</v>
      </c>
    </row>
    <row r="193" customFormat="false" ht="15" hidden="false" customHeight="false" outlineLevel="0" collapsed="false">
      <c r="A193" s="3" t="n">
        <f aca="false">Prices!A194</f>
        <v>45209</v>
      </c>
      <c r="B193" s="0" t="n">
        <f aca="false">LN(Prices!B194/Prices!B193)</f>
        <v>0.00605968455771402</v>
      </c>
      <c r="C193" s="0" t="n">
        <f aca="false">LN(Prices!C194/Prices!C193)</f>
        <v>0.00274907668046212</v>
      </c>
      <c r="D193" s="0" t="n">
        <f aca="false">LN(Prices!D194/Prices!D193)</f>
        <v>0.0262582272799469</v>
      </c>
      <c r="E193" s="0" t="n">
        <f aca="false">SUMPRODUCT(B193:D193,Inputs!$B$4:$D$4)</f>
        <v>0.0111260650112083</v>
      </c>
      <c r="F193" s="0" t="n">
        <f aca="false">E193*Inputs!$B$2</f>
        <v>11126.0650112083</v>
      </c>
    </row>
    <row r="194" customFormat="false" ht="15" hidden="false" customHeight="false" outlineLevel="0" collapsed="false">
      <c r="A194" s="3" t="n">
        <f aca="false">Prices!A195</f>
        <v>45210</v>
      </c>
      <c r="B194" s="0" t="n">
        <f aca="false">LN(Prices!B195/Prices!B194)</f>
        <v>0.00342717191915485</v>
      </c>
      <c r="C194" s="0" t="n">
        <f aca="false">LN(Prices!C195/Prices!C194)</f>
        <v>-0.0154687922322344</v>
      </c>
      <c r="D194" s="0" t="n">
        <f aca="false">LN(Prices!D195/Prices!D194)</f>
        <v>0.000370071521037184</v>
      </c>
      <c r="E194" s="0" t="n">
        <f aca="false">SUMPRODUCT(B194:D194,Inputs!$B$4:$D$4)</f>
        <v>-0.00315874744569724</v>
      </c>
      <c r="F194" s="0" t="n">
        <f aca="false">E194*Inputs!$B$2</f>
        <v>-3158.74744569724</v>
      </c>
    </row>
    <row r="195" customFormat="false" ht="15" hidden="false" customHeight="false" outlineLevel="0" collapsed="false">
      <c r="A195" s="3" t="n">
        <f aca="false">Prices!A196</f>
        <v>45211</v>
      </c>
      <c r="B195" s="0" t="n">
        <f aca="false">LN(Prices!B196/Prices!B195)</f>
        <v>-0.00232897209132048</v>
      </c>
      <c r="C195" s="0" t="n">
        <f aca="false">LN(Prices!C196/Prices!C195)</f>
        <v>-0.0139115124597743</v>
      </c>
      <c r="D195" s="0" t="n">
        <f aca="false">LN(Prices!D196/Prices!D195)</f>
        <v>-0.00445114190869257</v>
      </c>
      <c r="E195" s="0" t="n">
        <f aca="false">SUMPRODUCT(B195:D195,Inputs!$B$4:$D$4)</f>
        <v>-0.00644038514706826</v>
      </c>
      <c r="F195" s="0" t="n">
        <f aca="false">E195*Inputs!$B$2</f>
        <v>-6440.38514706826</v>
      </c>
    </row>
    <row r="196" customFormat="false" ht="15" hidden="false" customHeight="false" outlineLevel="0" collapsed="false">
      <c r="A196" s="3" t="n">
        <f aca="false">Prices!A197</f>
        <v>45212</v>
      </c>
      <c r="B196" s="0" t="n">
        <f aca="false">LN(Prices!B197/Prices!B196)</f>
        <v>0.0149077930470732</v>
      </c>
      <c r="C196" s="0" t="n">
        <f aca="false">LN(Prices!C197/Prices!C196)</f>
        <v>-0.000256929906205239</v>
      </c>
      <c r="D196" s="0" t="n">
        <f aca="false">LN(Prices!D197/Prices!D196)</f>
        <v>-0.00521796018199331</v>
      </c>
      <c r="E196" s="0" t="n">
        <f aca="false">SUMPRODUCT(B196:D196,Inputs!$B$4:$D$4)</f>
        <v>0.00432065019236971</v>
      </c>
      <c r="F196" s="0" t="n">
        <f aca="false">E196*Inputs!$B$2</f>
        <v>4320.65019236971</v>
      </c>
    </row>
    <row r="197" customFormat="false" ht="15" hidden="false" customHeight="false" outlineLevel="0" collapsed="false">
      <c r="A197" s="3" t="n">
        <f aca="false">Prices!A198</f>
        <v>45215</v>
      </c>
      <c r="B197" s="0" t="n">
        <f aca="false">LN(Prices!B198/Prices!B197)</f>
        <v>-0.00101408676927518</v>
      </c>
      <c r="C197" s="0" t="n">
        <f aca="false">LN(Prices!C198/Prices!C197)</f>
        <v>0.0120112828411071</v>
      </c>
      <c r="D197" s="0" t="n">
        <f aca="false">LN(Prices!D198/Prices!D197)</f>
        <v>0.00855809673675565</v>
      </c>
      <c r="E197" s="0" t="n">
        <f aca="false">SUMPRODUCT(B197:D197,Inputs!$B$4:$D$4)</f>
        <v>0.00576517916564876</v>
      </c>
      <c r="F197" s="0" t="n">
        <f aca="false">E197*Inputs!$B$2</f>
        <v>5765.17916564876</v>
      </c>
    </row>
    <row r="198" customFormat="false" ht="15" hidden="false" customHeight="false" outlineLevel="0" collapsed="false">
      <c r="A198" s="3" t="n">
        <f aca="false">Prices!A199</f>
        <v>45216</v>
      </c>
      <c r="B198" s="0" t="n">
        <f aca="false">LN(Prices!B199/Prices!B198)</f>
        <v>-0.00216659431204876</v>
      </c>
      <c r="C198" s="0" t="n">
        <f aca="false">LN(Prices!C199/Prices!C198)</f>
        <v>0.0201191012172612</v>
      </c>
      <c r="D198" s="0" t="n">
        <f aca="false">LN(Prices!D199/Prices!D198)</f>
        <v>0.0230737687890747</v>
      </c>
      <c r="E198" s="0" t="n">
        <f aca="false">SUMPRODUCT(B198:D198,Inputs!$B$4:$D$4)</f>
        <v>0.0120912232770813</v>
      </c>
      <c r="F198" s="0" t="n">
        <f aca="false">E198*Inputs!$B$2</f>
        <v>12091.2232770813</v>
      </c>
    </row>
    <row r="199" customFormat="false" ht="15" hidden="false" customHeight="false" outlineLevel="0" collapsed="false">
      <c r="A199" s="3" t="n">
        <f aca="false">Prices!A200</f>
        <v>45217</v>
      </c>
      <c r="B199" s="0" t="n">
        <f aca="false">LN(Prices!B200/Prices!B199)</f>
        <v>-0.0110415569377538</v>
      </c>
      <c r="C199" s="0" t="n">
        <f aca="false">LN(Prices!C200/Prices!C199)</f>
        <v>-0.0702566816307609</v>
      </c>
      <c r="D199" s="0" t="n">
        <f aca="false">LN(Prices!D200/Prices!D199)</f>
        <v>-0.0112873572619247</v>
      </c>
      <c r="E199" s="0" t="n">
        <f aca="false">SUMPRODUCT(B199:D199,Inputs!$B$4:$D$4)</f>
        <v>-0.0288798344429072</v>
      </c>
      <c r="F199" s="0" t="n">
        <f aca="false">E199*Inputs!$B$2</f>
        <v>-28879.8344429072</v>
      </c>
    </row>
    <row r="200" customFormat="false" ht="15" hidden="false" customHeight="false" outlineLevel="0" collapsed="false">
      <c r="A200" s="3" t="n">
        <f aca="false">Prices!A201</f>
        <v>45218</v>
      </c>
      <c r="B200" s="0" t="n">
        <f aca="false">LN(Prices!B201/Prices!B200)</f>
        <v>-0.00425825987047398</v>
      </c>
      <c r="C200" s="0" t="n">
        <f aca="false">LN(Prices!C201/Prices!C200)</f>
        <v>-0.0265236377100239</v>
      </c>
      <c r="D200" s="0" t="n">
        <f aca="false">LN(Prices!D201/Prices!D200)</f>
        <v>-0.0128986525869792</v>
      </c>
      <c r="E200" s="0" t="n">
        <f aca="false">SUMPRODUCT(B200:D200,Inputs!$B$4:$D$4)</f>
        <v>-0.0135299910372905</v>
      </c>
      <c r="F200" s="0" t="n">
        <f aca="false">E200*Inputs!$B$2</f>
        <v>-13529.9910372905</v>
      </c>
    </row>
    <row r="201" customFormat="false" ht="15" hidden="false" customHeight="false" outlineLevel="0" collapsed="false">
      <c r="A201" s="3" t="n">
        <f aca="false">Prices!A202</f>
        <v>45219</v>
      </c>
      <c r="B201" s="0" t="n">
        <f aca="false">LN(Prices!B202/Prices!B201)</f>
        <v>-0.0162366960407437</v>
      </c>
      <c r="C201" s="0" t="n">
        <f aca="false">LN(Prices!C202/Prices!C201)</f>
        <v>0.00287588643686451</v>
      </c>
      <c r="D201" s="0" t="n">
        <f aca="false">LN(Prices!D202/Prices!D201)</f>
        <v>-0.0244050523872247</v>
      </c>
      <c r="E201" s="0" t="n">
        <f aca="false">SUMPRODUCT(B201:D201,Inputs!$B$4:$D$4)</f>
        <v>-0.0129534282014056</v>
      </c>
      <c r="F201" s="0" t="n">
        <f aca="false">E201*Inputs!$B$2</f>
        <v>-12953.4282014056</v>
      </c>
    </row>
    <row r="202" customFormat="false" ht="15" hidden="false" customHeight="false" outlineLevel="0" collapsed="false">
      <c r="A202" s="3" t="n">
        <f aca="false">Prices!A203</f>
        <v>45222</v>
      </c>
      <c r="B202" s="0" t="n">
        <f aca="false">LN(Prices!B203/Prices!B202)</f>
        <v>-0.0137352607897331</v>
      </c>
      <c r="C202" s="0" t="n">
        <f aca="false">LN(Prices!C203/Prices!C202)</f>
        <v>-0.019747952221871</v>
      </c>
      <c r="D202" s="0" t="n">
        <f aca="false">LN(Prices!D203/Prices!D202)</f>
        <v>-0.0285293157110722</v>
      </c>
      <c r="E202" s="0" t="n">
        <f aca="false">SUMPRODUCT(B202:D202,Inputs!$B$4:$D$4)</f>
        <v>-0.0199772846957762</v>
      </c>
      <c r="F202" s="0" t="n">
        <f aca="false">E202*Inputs!$B$2</f>
        <v>-19977.2846957762</v>
      </c>
    </row>
    <row r="203" customFormat="false" ht="15" hidden="false" customHeight="false" outlineLevel="0" collapsed="false">
      <c r="A203" s="3" t="n">
        <f aca="false">Prices!A204</f>
        <v>45223</v>
      </c>
      <c r="B203" s="0" t="n">
        <f aca="false">LN(Prices!B204/Prices!B203)</f>
        <v>0.00120511732938947</v>
      </c>
      <c r="C203" s="0" t="n">
        <f aca="false">LN(Prices!C204/Prices!C203)</f>
        <v>-0.00195482938933977</v>
      </c>
      <c r="D203" s="0" t="n">
        <f aca="false">LN(Prices!D204/Prices!D203)</f>
        <v>-0.00391863871439972</v>
      </c>
      <c r="E203" s="0" t="n">
        <f aca="false">SUMPRODUCT(B203:D203,Inputs!$B$4:$D$4)</f>
        <v>-0.00127999349936606</v>
      </c>
      <c r="F203" s="0" t="n">
        <f aca="false">E203*Inputs!$B$2</f>
        <v>-1279.99349936606</v>
      </c>
    </row>
    <row r="204" customFormat="false" ht="15" hidden="false" customHeight="false" outlineLevel="0" collapsed="false">
      <c r="A204" s="3" t="n">
        <f aca="false">Prices!A205</f>
        <v>45224</v>
      </c>
      <c r="B204" s="0" t="n">
        <f aca="false">LN(Prices!B205/Prices!B204)</f>
        <v>-0.00546942048682499</v>
      </c>
      <c r="C204" s="0" t="n">
        <f aca="false">LN(Prices!C205/Prices!C204)</f>
        <v>-0.00223799348742814</v>
      </c>
      <c r="D204" s="0" t="n">
        <f aca="false">LN(Prices!D205/Prices!D204)</f>
        <v>0.00313612242406772</v>
      </c>
      <c r="E204" s="0" t="n">
        <f aca="false">SUMPRODUCT(B204:D204,Inputs!$B$4:$D$4)</f>
        <v>-0.00191832951373812</v>
      </c>
      <c r="F204" s="0" t="n">
        <f aca="false">E204*Inputs!$B$2</f>
        <v>-1918.32951373812</v>
      </c>
    </row>
    <row r="205" customFormat="false" ht="15" hidden="false" customHeight="false" outlineLevel="0" collapsed="false">
      <c r="A205" s="3" t="n">
        <f aca="false">Prices!A206</f>
        <v>45225</v>
      </c>
      <c r="B205" s="0" t="n">
        <f aca="false">LN(Prices!B206/Prices!B205)</f>
        <v>0.00256069441613604</v>
      </c>
      <c r="C205" s="0" t="n">
        <f aca="false">LN(Prices!C206/Prices!C205)</f>
        <v>0.00933971019946218</v>
      </c>
      <c r="D205" s="0" t="n">
        <f aca="false">LN(Prices!D206/Prices!D205)</f>
        <v>0.0220640674825938</v>
      </c>
      <c r="E205" s="0" t="n">
        <f aca="false">SUMPRODUCT(B205:D205,Inputs!$B$4:$D$4)</f>
        <v>0.0104454110710712</v>
      </c>
      <c r="F205" s="0" t="n">
        <f aca="false">E205*Inputs!$B$2</f>
        <v>10445.4110710712</v>
      </c>
    </row>
    <row r="206" customFormat="false" ht="15" hidden="false" customHeight="false" outlineLevel="0" collapsed="false">
      <c r="A206" s="3" t="n">
        <f aca="false">Prices!A207</f>
        <v>45226</v>
      </c>
      <c r="B206" s="0" t="n">
        <f aca="false">LN(Prices!B207/Prices!B206)</f>
        <v>-0.0366833863910358</v>
      </c>
      <c r="C206" s="0" t="n">
        <f aca="false">LN(Prices!C207/Prices!C206)</f>
        <v>-0.0234440887604825</v>
      </c>
      <c r="D206" s="0" t="n">
        <f aca="false">LN(Prices!D207/Prices!D206)</f>
        <v>-0.0370486029983437</v>
      </c>
      <c r="E206" s="0" t="n">
        <f aca="false">SUMPRODUCT(B206:D206,Inputs!$B$4:$D$4)</f>
        <v>-0.0328211620840622</v>
      </c>
      <c r="F206" s="0" t="n">
        <f aca="false">E206*Inputs!$B$2</f>
        <v>-32821.1620840622</v>
      </c>
    </row>
    <row r="207" customFormat="false" ht="15" hidden="false" customHeight="false" outlineLevel="0" collapsed="false">
      <c r="A207" s="3" t="n">
        <f aca="false">Prices!A208</f>
        <v>45229</v>
      </c>
      <c r="B207" s="0" t="n">
        <f aca="false">LN(Prices!B208/Prices!B207)</f>
        <v>0.0126690246703257</v>
      </c>
      <c r="C207" s="0" t="n">
        <f aca="false">LN(Prices!C208/Prices!C207)</f>
        <v>0.0148419591183987</v>
      </c>
      <c r="D207" s="0" t="n">
        <f aca="false">LN(Prices!D208/Prices!D207)</f>
        <v>0.0204489351281413</v>
      </c>
      <c r="E207" s="0" t="n">
        <f aca="false">SUMPRODUCT(B207:D207,Inputs!$B$4:$D$4)</f>
        <v>0.0156548781420923</v>
      </c>
      <c r="F207" s="0" t="n">
        <f aca="false">E207*Inputs!$B$2</f>
        <v>15654.8781420923</v>
      </c>
    </row>
    <row r="208" customFormat="false" ht="15" hidden="false" customHeight="false" outlineLevel="0" collapsed="false">
      <c r="A208" s="3" t="n">
        <f aca="false">Prices!A209</f>
        <v>45230</v>
      </c>
      <c r="B208" s="0" t="n">
        <f aca="false">LN(Prices!B209/Prices!B208)</f>
        <v>0.0118635650171396</v>
      </c>
      <c r="C208" s="0" t="n">
        <f aca="false">LN(Prices!C209/Prices!C208)</f>
        <v>0.00325318766081732</v>
      </c>
      <c r="D208" s="0" t="n">
        <f aca="false">LN(Prices!D209/Prices!D208)</f>
        <v>0.0249870582280645</v>
      </c>
      <c r="E208" s="0" t="n">
        <f aca="false">SUMPRODUCT(B208:D208,Inputs!$B$4:$D$4)</f>
        <v>0.0132174997735204</v>
      </c>
      <c r="F208" s="0" t="n">
        <f aca="false">E208*Inputs!$B$2</f>
        <v>13217.4997735204</v>
      </c>
    </row>
    <row r="209" customFormat="false" ht="15" hidden="false" customHeight="false" outlineLevel="0" collapsed="false">
      <c r="A209" s="3" t="n">
        <f aca="false">Prices!A210</f>
        <v>45231</v>
      </c>
      <c r="B209" s="0" t="n">
        <f aca="false">LN(Prices!B210/Prices!B209)</f>
        <v>-0.000863266796516732</v>
      </c>
      <c r="C209" s="0" t="n">
        <f aca="false">LN(Prices!C210/Prices!C209)</f>
        <v>0.00183379392748037</v>
      </c>
      <c r="D209" s="0" t="n">
        <f aca="false">LN(Prices!D210/Prices!D209)</f>
        <v>0.00227528518906083</v>
      </c>
      <c r="E209" s="0" t="n">
        <f aca="false">SUMPRODUCT(B209:D209,Inputs!$B$4:$D$4)</f>
        <v>0.000887417016355667</v>
      </c>
      <c r="F209" s="0" t="n">
        <f aca="false">E209*Inputs!$B$2</f>
        <v>887.417016355667</v>
      </c>
    </row>
    <row r="210" customFormat="false" ht="15" hidden="false" customHeight="false" outlineLevel="0" collapsed="false">
      <c r="A210" s="3" t="n">
        <f aca="false">Prices!A211</f>
        <v>45232</v>
      </c>
      <c r="B210" s="0" t="n">
        <f aca="false">LN(Prices!B211/Prices!B210)</f>
        <v>0.0176919359060122</v>
      </c>
      <c r="C210" s="0" t="n">
        <f aca="false">LN(Prices!C211/Prices!C210)</f>
        <v>0.0347656830134623</v>
      </c>
      <c r="D210" s="0" t="n">
        <f aca="false">LN(Prices!D211/Prices!D210)</f>
        <v>0.0451761512080164</v>
      </c>
      <c r="E210" s="0" t="n">
        <f aca="false">SUMPRODUCT(B210:D210,Inputs!$B$4:$D$4)</f>
        <v>0.0310593246288485</v>
      </c>
      <c r="F210" s="0" t="n">
        <f aca="false">E210*Inputs!$B$2</f>
        <v>31059.3246288485</v>
      </c>
    </row>
    <row r="211" customFormat="false" ht="15" hidden="false" customHeight="false" outlineLevel="0" collapsed="false">
      <c r="A211" s="3" t="n">
        <f aca="false">Prices!A212</f>
        <v>45233</v>
      </c>
      <c r="B211" s="0" t="n">
        <f aca="false">LN(Prices!B212/Prices!B211)</f>
        <v>0.0111105781322389</v>
      </c>
      <c r="C211" s="0" t="n">
        <f aca="false">LN(Prices!C212/Prices!C211)</f>
        <v>0.0374076025930355</v>
      </c>
      <c r="D211" s="0" t="n">
        <f aca="false">LN(Prices!D212/Prices!D211)</f>
        <v>0.0285528847139342</v>
      </c>
      <c r="E211" s="0" t="n">
        <f aca="false">SUMPRODUCT(B211:D211,Inputs!$B$4:$D$4)</f>
        <v>0.0242323774449865</v>
      </c>
      <c r="F211" s="0" t="n">
        <f aca="false">E211*Inputs!$B$2</f>
        <v>24232.3774449865</v>
      </c>
    </row>
    <row r="212" customFormat="false" ht="15" hidden="false" customHeight="false" outlineLevel="0" collapsed="false">
      <c r="A212" s="3" t="n">
        <f aca="false">Prices!A213</f>
        <v>45236</v>
      </c>
      <c r="B212" s="0" t="n">
        <f aca="false">LN(Prices!B213/Prices!B212)</f>
        <v>0.00752403687016161</v>
      </c>
      <c r="C212" s="0" t="n">
        <f aca="false">LN(Prices!C213/Prices!C212)</f>
        <v>-0.00446830325321641</v>
      </c>
      <c r="D212" s="0" t="n">
        <f aca="false">LN(Prices!D213/Prices!D212)</f>
        <v>-0.00317187763221571</v>
      </c>
      <c r="E212" s="0" t="n">
        <f aca="false">SUMPRODUCT(B212:D212,Inputs!$B$4:$D$4)</f>
        <v>0.000717560482435009</v>
      </c>
      <c r="F212" s="0" t="n">
        <f aca="false">E212*Inputs!$B$2</f>
        <v>717.560482435009</v>
      </c>
    </row>
    <row r="213" customFormat="false" ht="15" hidden="false" customHeight="false" outlineLevel="0" collapsed="false">
      <c r="A213" s="3" t="n">
        <f aca="false">Prices!A214</f>
        <v>45237</v>
      </c>
      <c r="B213" s="0" t="n">
        <f aca="false">LN(Prices!B214/Prices!B213)</f>
        <v>-0.000485935239990053</v>
      </c>
      <c r="C213" s="0" t="n">
        <f aca="false">LN(Prices!C214/Prices!C213)</f>
        <v>-0.00541519597719045</v>
      </c>
      <c r="D213" s="0" t="n">
        <f aca="false">LN(Prices!D214/Prices!D213)</f>
        <v>-0.00601871963696164</v>
      </c>
      <c r="E213" s="0" t="n">
        <f aca="false">SUMPRODUCT(B213:D213,Inputs!$B$4:$D$4)</f>
        <v>-0.00362454878024165</v>
      </c>
      <c r="F213" s="0" t="n">
        <f aca="false">E213*Inputs!$B$2</f>
        <v>-3624.54878024165</v>
      </c>
    </row>
    <row r="214" customFormat="false" ht="15" hidden="false" customHeight="false" outlineLevel="0" collapsed="false">
      <c r="A214" s="3" t="n">
        <f aca="false">Prices!A215</f>
        <v>45238</v>
      </c>
      <c r="B214" s="0" t="n">
        <f aca="false">LN(Prices!B215/Prices!B214)</f>
        <v>0.00491819235490975</v>
      </c>
      <c r="C214" s="0" t="n">
        <f aca="false">LN(Prices!C215/Prices!C214)</f>
        <v>0.00607353369665434</v>
      </c>
      <c r="D214" s="0" t="n">
        <f aca="false">LN(Prices!D215/Prices!D214)</f>
        <v>-0.00963431892514066</v>
      </c>
      <c r="E214" s="0" t="n">
        <f aca="false">SUMPRODUCT(B214:D214,Inputs!$B$4:$D$4)</f>
        <v>0.000899041373418004</v>
      </c>
      <c r="F214" s="0" t="n">
        <f aca="false">E214*Inputs!$B$2</f>
        <v>899.041373418004</v>
      </c>
    </row>
    <row r="215" customFormat="false" ht="15" hidden="false" customHeight="false" outlineLevel="0" collapsed="false">
      <c r="A215" s="3" t="n">
        <f aca="false">Prices!A216</f>
        <v>45239</v>
      </c>
      <c r="B215" s="0" t="n">
        <f aca="false">LN(Prices!B216/Prices!B215)</f>
        <v>-0.00297586658889225</v>
      </c>
      <c r="C215" s="0" t="n">
        <f aca="false">LN(Prices!C216/Prices!C215)</f>
        <v>-0.0237092047617967</v>
      </c>
      <c r="D215" s="0" t="n">
        <f aca="false">LN(Prices!D216/Prices!D215)</f>
        <v>-0.0129917934110003</v>
      </c>
      <c r="E215" s="0" t="n">
        <f aca="false">SUMPRODUCT(B215:D215,Inputs!$B$4:$D$4)</f>
        <v>-0.012200646087396</v>
      </c>
      <c r="F215" s="0" t="n">
        <f aca="false">E215*Inputs!$B$2</f>
        <v>-12200.646087396</v>
      </c>
    </row>
    <row r="216" customFormat="false" ht="15" hidden="false" customHeight="false" outlineLevel="0" collapsed="false">
      <c r="A216" s="3" t="n">
        <f aca="false">Prices!A217</f>
        <v>45240</v>
      </c>
      <c r="B216" s="0" t="n">
        <f aca="false">LN(Prices!B217/Prices!B216)</f>
        <v>0.0147223876627125</v>
      </c>
      <c r="C216" s="0" t="n">
        <f aca="false">LN(Prices!C217/Prices!C216)</f>
        <v>0.0152493318551412</v>
      </c>
      <c r="D216" s="0" t="n">
        <f aca="false">LN(Prices!D217/Prices!D216)</f>
        <v>0.00543378036949568</v>
      </c>
      <c r="E216" s="0" t="n">
        <f aca="false">SUMPRODUCT(B216:D216,Inputs!$B$4:$D$4)</f>
        <v>0.0120938887324761</v>
      </c>
      <c r="F216" s="0" t="n">
        <f aca="false">E216*Inputs!$B$2</f>
        <v>12093.8887324761</v>
      </c>
    </row>
    <row r="217" customFormat="false" ht="15" hidden="false" customHeight="false" outlineLevel="0" collapsed="false">
      <c r="A217" s="3" t="n">
        <f aca="false">Prices!A218</f>
        <v>45243</v>
      </c>
      <c r="B217" s="0" t="n">
        <f aca="false">LN(Prices!B218/Prices!B217)</f>
        <v>-0.00444886436404994</v>
      </c>
      <c r="C217" s="0" t="n">
        <f aca="false">LN(Prices!C218/Prices!C217)</f>
        <v>-0.00385731221198517</v>
      </c>
      <c r="D217" s="0" t="n">
        <f aca="false">LN(Prices!D218/Prices!D217)</f>
        <v>0.00072232269958132</v>
      </c>
      <c r="E217" s="0" t="n">
        <f aca="false">SUMPRODUCT(B217:D217,Inputs!$B$4:$D$4)</f>
        <v>-0.00272004259934113</v>
      </c>
      <c r="F217" s="0" t="n">
        <f aca="false">E217*Inputs!$B$2</f>
        <v>-2720.04259934113</v>
      </c>
    </row>
    <row r="218" customFormat="false" ht="15" hidden="false" customHeight="false" outlineLevel="0" collapsed="false">
      <c r="A218" s="3" t="n">
        <f aca="false">Prices!A219</f>
        <v>45244</v>
      </c>
      <c r="B218" s="0" t="n">
        <f aca="false">LN(Prices!B219/Prices!B218)</f>
        <v>0.0180822961862385</v>
      </c>
      <c r="C218" s="0" t="n">
        <f aca="false">LN(Prices!C219/Prices!C218)</f>
        <v>0.0426538414514618</v>
      </c>
      <c r="D218" s="0" t="n">
        <f aca="false">LN(Prices!D219/Prices!D218)</f>
        <v>0.053420875283138</v>
      </c>
      <c r="E218" s="0" t="n">
        <f aca="false">SUMPRODUCT(B218:D218,Inputs!$B$4:$D$4)</f>
        <v>0.0360553334948753</v>
      </c>
      <c r="F218" s="0" t="n">
        <f aca="false">E218*Inputs!$B$2</f>
        <v>36055.3334948754</v>
      </c>
    </row>
    <row r="219" customFormat="false" ht="15" hidden="false" customHeight="false" outlineLevel="0" collapsed="false">
      <c r="A219" s="3" t="n">
        <f aca="false">Prices!A220</f>
        <v>45245</v>
      </c>
      <c r="B219" s="0" t="n">
        <f aca="false">LN(Prices!B220/Prices!B219)</f>
        <v>0.00871962320164253</v>
      </c>
      <c r="C219" s="0" t="n">
        <f aca="false">LN(Prices!C220/Prices!C219)</f>
        <v>0.017343116675412</v>
      </c>
      <c r="D219" s="0" t="n">
        <f aca="false">LN(Prices!D220/Prices!D219)</f>
        <v>0.0135965337522433</v>
      </c>
      <c r="E219" s="0" t="n">
        <f aca="false">SUMPRODUCT(B219:D219,Inputs!$B$4:$D$4)</f>
        <v>0.0127697444089536</v>
      </c>
      <c r="F219" s="0" t="n">
        <f aca="false">E219*Inputs!$B$2</f>
        <v>12769.7444089536</v>
      </c>
    </row>
    <row r="220" customFormat="false" ht="15" hidden="false" customHeight="false" outlineLevel="0" collapsed="false">
      <c r="A220" s="3" t="n">
        <f aca="false">Prices!A221</f>
        <v>45246</v>
      </c>
      <c r="B220" s="0" t="n">
        <f aca="false">LN(Prices!B221/Prices!B220)</f>
        <v>0.0113551629066204</v>
      </c>
      <c r="C220" s="0" t="n">
        <f aca="false">LN(Prices!C221/Prices!C220)</f>
        <v>-0.000250773894942901</v>
      </c>
      <c r="D220" s="0" t="n">
        <f aca="false">LN(Prices!D221/Prices!D220)</f>
        <v>-0.00270454382298765</v>
      </c>
      <c r="E220" s="0" t="n">
        <f aca="false">SUMPRODUCT(B220:D220,Inputs!$B$4:$D$4)</f>
        <v>0.00365546984726901</v>
      </c>
      <c r="F220" s="0" t="n">
        <f aca="false">E220*Inputs!$B$2</f>
        <v>3655.46984726901</v>
      </c>
    </row>
    <row r="221" customFormat="false" ht="15" hidden="false" customHeight="false" outlineLevel="0" collapsed="false">
      <c r="A221" s="3" t="n">
        <f aca="false">Prices!A222</f>
        <v>45247</v>
      </c>
      <c r="B221" s="0" t="n">
        <f aca="false">LN(Prices!B222/Prices!B221)</f>
        <v>0.00900498809899597</v>
      </c>
      <c r="C221" s="0" t="n">
        <f aca="false">LN(Prices!C222/Prices!C221)</f>
        <v>0.00775271849281231</v>
      </c>
      <c r="D221" s="0" t="n">
        <f aca="false">LN(Prices!D222/Prices!D221)</f>
        <v>0.0147852128867095</v>
      </c>
      <c r="E221" s="0" t="n">
        <f aca="false">SUMPRODUCT(B221:D221,Inputs!$B$4:$D$4)</f>
        <v>0.0103633746534549</v>
      </c>
      <c r="F221" s="0" t="n">
        <f aca="false">E221*Inputs!$B$2</f>
        <v>10363.3746534549</v>
      </c>
    </row>
    <row r="222" customFormat="false" ht="15" hidden="false" customHeight="false" outlineLevel="0" collapsed="false">
      <c r="A222" s="3" t="n">
        <f aca="false">Prices!A223</f>
        <v>45250</v>
      </c>
      <c r="B222" s="0" t="n">
        <f aca="false">LN(Prices!B223/Prices!B222)</f>
        <v>0.00307085378793969</v>
      </c>
      <c r="C222" s="0" t="n">
        <f aca="false">LN(Prices!C223/Prices!C222)</f>
        <v>-0.0072507152133898</v>
      </c>
      <c r="D222" s="0" t="n">
        <f aca="false">LN(Prices!D223/Prices!D222)</f>
        <v>0.00100005173947198</v>
      </c>
      <c r="E222" s="0" t="n">
        <f aca="false">SUMPRODUCT(B222:D222,Inputs!$B$4:$D$4)</f>
        <v>-0.00064685752699947</v>
      </c>
      <c r="F222" s="0" t="n">
        <f aca="false">E222*Inputs!$B$2</f>
        <v>-646.85752699947</v>
      </c>
    </row>
    <row r="223" customFormat="false" ht="15" hidden="false" customHeight="false" outlineLevel="0" collapsed="false">
      <c r="A223" s="3" t="n">
        <f aca="false">Prices!A224</f>
        <v>45251</v>
      </c>
      <c r="B223" s="0" t="n">
        <f aca="false">LN(Prices!B224/Prices!B223)</f>
        <v>-0.00208973087865937</v>
      </c>
      <c r="C223" s="0" t="n">
        <f aca="false">LN(Prices!C224/Prices!C223)</f>
        <v>-0.0155529719927406</v>
      </c>
      <c r="D223" s="0" t="n">
        <f aca="false">LN(Prices!D224/Prices!D223)</f>
        <v>-0.0117311869142265</v>
      </c>
      <c r="E223" s="0" t="n">
        <f aca="false">SUMPRODUCT(B223:D223,Inputs!$B$4:$D$4)</f>
        <v>-0.00902114002355388</v>
      </c>
      <c r="F223" s="0" t="n">
        <f aca="false">E223*Inputs!$B$2</f>
        <v>-9021.14002355388</v>
      </c>
    </row>
    <row r="224" customFormat="false" ht="15" hidden="false" customHeight="false" outlineLevel="0" collapsed="false">
      <c r="A224" s="3" t="n">
        <f aca="false">Prices!A225</f>
        <v>45252</v>
      </c>
      <c r="B224" s="0" t="n">
        <f aca="false">LN(Prices!B225/Prices!B224)</f>
        <v>0.00235073278868408</v>
      </c>
      <c r="C224" s="0" t="n">
        <f aca="false">LN(Prices!C225/Prices!C224)</f>
        <v>0.000254576348115994</v>
      </c>
      <c r="D224" s="0" t="n">
        <f aca="false">LN(Prices!D225/Prices!D224)</f>
        <v>-0.00101206609930627</v>
      </c>
      <c r="E224" s="0" t="n">
        <f aca="false">SUMPRODUCT(B224:D224,Inputs!$B$4:$D$4)</f>
        <v>0.000713046190116548</v>
      </c>
      <c r="F224" s="0" t="n">
        <f aca="false">E224*Inputs!$B$2</f>
        <v>713.046190116548</v>
      </c>
    </row>
    <row r="225" customFormat="false" ht="15" hidden="false" customHeight="false" outlineLevel="0" collapsed="false">
      <c r="A225" s="3" t="n">
        <f aca="false">Prices!A226</f>
        <v>45254</v>
      </c>
      <c r="B225" s="0" t="n">
        <f aca="false">LN(Prices!B226/Prices!B225)</f>
        <v>0.00136848487754059</v>
      </c>
      <c r="C225" s="0" t="n">
        <f aca="false">LN(Prices!C226/Prices!C225)</f>
        <v>0.00203659225774561</v>
      </c>
      <c r="D225" s="0" t="n">
        <f aca="false">LN(Prices!D226/Prices!D225)</f>
        <v>0.00336932519057626</v>
      </c>
      <c r="E225" s="0" t="n">
        <f aca="false">SUMPRODUCT(B225:D225,Inputs!$B$4:$D$4)</f>
        <v>0.0021691691855128</v>
      </c>
      <c r="F225" s="0" t="n">
        <f aca="false">E225*Inputs!$B$2</f>
        <v>2169.1691855128</v>
      </c>
    </row>
    <row r="226" customFormat="false" ht="15" hidden="false" customHeight="false" outlineLevel="0" collapsed="false">
      <c r="A226" s="3" t="n">
        <f aca="false">Prices!A227</f>
        <v>45257</v>
      </c>
      <c r="B226" s="0" t="n">
        <f aca="false">LN(Prices!B227/Prices!B226)</f>
        <v>-0.00228202569380193</v>
      </c>
      <c r="C226" s="0" t="n">
        <f aca="false">LN(Prices!C227/Prices!C226)</f>
        <v>-0.00894010644148859</v>
      </c>
      <c r="D226" s="0" t="n">
        <f aca="false">LN(Prices!D227/Prices!D226)</f>
        <v>-0.00573461879925318</v>
      </c>
      <c r="E226" s="0" t="n">
        <f aca="false">SUMPRODUCT(B226:D226,Inputs!$B$4:$D$4)</f>
        <v>-0.0053152278497433</v>
      </c>
      <c r="F226" s="0" t="n">
        <f aca="false">E226*Inputs!$B$2</f>
        <v>-5315.2278497433</v>
      </c>
    </row>
    <row r="227" customFormat="false" ht="15" hidden="false" customHeight="false" outlineLevel="0" collapsed="false">
      <c r="A227" s="3" t="n">
        <f aca="false">Prices!A228</f>
        <v>45258</v>
      </c>
      <c r="B227" s="0" t="n">
        <f aca="false">LN(Prices!B228/Prices!B227)</f>
        <v>0.00228202569380198</v>
      </c>
      <c r="C227" s="0" t="n">
        <f aca="false">LN(Prices!C228/Prices!C227)</f>
        <v>-0.0138219395162643</v>
      </c>
      <c r="D227" s="0" t="n">
        <f aca="false">LN(Prices!D228/Prices!D227)</f>
        <v>-0.00101542232406616</v>
      </c>
      <c r="E227" s="0" t="n">
        <f aca="false">SUMPRODUCT(B227:D227,Inputs!$B$4:$D$4)</f>
        <v>-0.00353839827457835</v>
      </c>
      <c r="F227" s="0" t="n">
        <f aca="false">E227*Inputs!$B$2</f>
        <v>-3538.39827457835</v>
      </c>
    </row>
    <row r="228" customFormat="false" ht="15" hidden="false" customHeight="false" outlineLevel="0" collapsed="false">
      <c r="A228" s="3" t="n">
        <f aca="false">Prices!A229</f>
        <v>45259</v>
      </c>
      <c r="B228" s="0" t="n">
        <f aca="false">LN(Prices!B229/Prices!B228)</f>
        <v>0.00506762901721996</v>
      </c>
      <c r="C228" s="0" t="n">
        <f aca="false">LN(Prices!C229/Prices!C228)</f>
        <v>0.0214896356411117</v>
      </c>
      <c r="D228" s="0" t="n">
        <f aca="false">LN(Prices!D229/Prices!D228)</f>
        <v>0.0260710798307825</v>
      </c>
      <c r="E228" s="0" t="n">
        <f aca="false">SUMPRODUCT(B228:D228,Inputs!$B$4:$D$4)</f>
        <v>0.0162952662484562</v>
      </c>
      <c r="F228" s="0" t="n">
        <f aca="false">E228*Inputs!$B$2</f>
        <v>16295.2662484562</v>
      </c>
    </row>
    <row r="229" customFormat="false" ht="15" hidden="false" customHeight="false" outlineLevel="0" collapsed="false">
      <c r="A229" s="3" t="n">
        <f aca="false">Prices!A230</f>
        <v>45260</v>
      </c>
      <c r="B229" s="0" t="n">
        <f aca="false">LN(Prices!B230/Prices!B229)</f>
        <v>0.0113399746351186</v>
      </c>
      <c r="C229" s="0" t="n">
        <f aca="false">LN(Prices!C230/Prices!C229)</f>
        <v>0.010006981893032</v>
      </c>
      <c r="D229" s="0" t="n">
        <f aca="false">LN(Prices!D230/Prices!D229)</f>
        <v>0.0138708187329048</v>
      </c>
      <c r="E229" s="0" t="n">
        <f aca="false">SUMPRODUCT(B229:D229,Inputs!$B$4:$D$4)</f>
        <v>0.0116993300418285</v>
      </c>
      <c r="F229" s="0" t="n">
        <f aca="false">E229*Inputs!$B$2</f>
        <v>11699.3300418285</v>
      </c>
    </row>
    <row r="230" customFormat="false" ht="15" hidden="false" customHeight="false" outlineLevel="0" collapsed="false">
      <c r="A230" s="3" t="n">
        <f aca="false">Prices!A231</f>
        <v>45261</v>
      </c>
      <c r="B230" s="0" t="n">
        <f aca="false">LN(Prices!B231/Prices!B230)</f>
        <v>0.00485755149004725</v>
      </c>
      <c r="C230" s="0" t="n">
        <f aca="false">LN(Prices!C231/Prices!C230)</f>
        <v>0.0193478411761508</v>
      </c>
      <c r="D230" s="0" t="n">
        <f aca="false">LN(Prices!D231/Prices!D230)</f>
        <v>0.0152972189884418</v>
      </c>
      <c r="E230" s="0" t="n">
        <f aca="false">SUMPRODUCT(B230:D230,Inputs!$B$4:$D$4)</f>
        <v>0.0123365386453967</v>
      </c>
      <c r="F230" s="0" t="n">
        <f aca="false">E230*Inputs!$B$2</f>
        <v>12336.5386453967</v>
      </c>
    </row>
    <row r="231" customFormat="false" ht="15" hidden="false" customHeight="false" outlineLevel="0" collapsed="false">
      <c r="A231" s="3" t="n">
        <f aca="false">Prices!A232</f>
        <v>45264</v>
      </c>
      <c r="B231" s="0" t="n">
        <f aca="false">LN(Prices!B232/Prices!B231)</f>
        <v>0.00730551000628916</v>
      </c>
      <c r="C231" s="0" t="n">
        <f aca="false">LN(Prices!C232/Prices!C231)</f>
        <v>0.00394835142168296</v>
      </c>
      <c r="D231" s="0" t="n">
        <f aca="false">LN(Prices!D232/Prices!D231)</f>
        <v>-0.00453219296044693</v>
      </c>
      <c r="E231" s="0" t="n">
        <f aca="false">SUMPRODUCT(B231:D231,Inputs!$B$4:$D$4)</f>
        <v>0.00274705154088647</v>
      </c>
      <c r="F231" s="0" t="n">
        <f aca="false">E231*Inputs!$B$2</f>
        <v>2747.05154088647</v>
      </c>
    </row>
    <row r="232" customFormat="false" ht="15" hidden="false" customHeight="false" outlineLevel="0" collapsed="false">
      <c r="A232" s="3" t="n">
        <f aca="false">Prices!A233</f>
        <v>45265</v>
      </c>
      <c r="B232" s="0" t="n">
        <f aca="false">LN(Prices!B233/Prices!B232)</f>
        <v>-0.000126489626764563</v>
      </c>
      <c r="C232" s="0" t="n">
        <f aca="false">LN(Prices!C233/Prices!C232)</f>
        <v>-0.0128891963746723</v>
      </c>
      <c r="D232" s="0" t="n">
        <f aca="false">LN(Prices!D233/Prices!D232)</f>
        <v>-0.00781768897783769</v>
      </c>
      <c r="E232" s="0" t="n">
        <f aca="false">SUMPRODUCT(B232:D232,Inputs!$B$4:$D$4)</f>
        <v>-0.00626266145645882</v>
      </c>
      <c r="F232" s="0" t="n">
        <f aca="false">E232*Inputs!$B$2</f>
        <v>-6262.66145645882</v>
      </c>
    </row>
    <row r="233" customFormat="false" ht="15" hidden="false" customHeight="false" outlineLevel="0" collapsed="false">
      <c r="A233" s="3" t="n">
        <f aca="false">Prices!A234</f>
        <v>45266</v>
      </c>
      <c r="B233" s="0" t="n">
        <f aca="false">LN(Prices!B234/Prices!B233)</f>
        <v>-0.0105638153411129</v>
      </c>
      <c r="C233" s="0" t="n">
        <f aca="false">LN(Prices!C234/Prices!C233)</f>
        <v>-0.00952498464674273</v>
      </c>
      <c r="D233" s="0" t="n">
        <f aca="false">LN(Prices!D234/Prices!D233)</f>
        <v>-0.00163633691170298</v>
      </c>
      <c r="E233" s="0" t="n">
        <f aca="false">SUMPRODUCT(B233:D233,Inputs!$B$4:$D$4)</f>
        <v>-0.00757392260397889</v>
      </c>
      <c r="F233" s="0" t="n">
        <f aca="false">E233*Inputs!$B$2</f>
        <v>-7573.92260397889</v>
      </c>
    </row>
    <row r="234" customFormat="false" ht="15" hidden="false" customHeight="false" outlineLevel="0" collapsed="false">
      <c r="A234" s="3" t="n">
        <f aca="false">Prices!A235</f>
        <v>45267</v>
      </c>
      <c r="B234" s="0" t="n">
        <f aca="false">LN(Prices!B235/Prices!B234)</f>
        <v>0.00306575727229782</v>
      </c>
      <c r="C234" s="0" t="n">
        <f aca="false">LN(Prices!C235/Prices!C234)</f>
        <v>0.0117677270084995</v>
      </c>
      <c r="D234" s="0" t="n">
        <f aca="false">LN(Prices!D235/Prices!D234)</f>
        <v>0.00424905192600272</v>
      </c>
      <c r="E234" s="0" t="n">
        <f aca="false">SUMPRODUCT(B234:D234,Inputs!$B$4:$D$4)</f>
        <v>0.0060313365892698</v>
      </c>
      <c r="F234" s="0" t="n">
        <f aca="false">E234*Inputs!$B$2</f>
        <v>6031.3365892698</v>
      </c>
    </row>
    <row r="235" customFormat="false" ht="15" hidden="false" customHeight="false" outlineLevel="0" collapsed="false">
      <c r="A235" s="3" t="n">
        <f aca="false">Prices!A236</f>
        <v>45268</v>
      </c>
      <c r="B235" s="0" t="n">
        <f aca="false">LN(Prices!B236/Prices!B235)</f>
        <v>0.0109737173047776</v>
      </c>
      <c r="C235" s="0" t="n">
        <f aca="false">LN(Prices!C236/Prices!C235)</f>
        <v>0.0237360262426624</v>
      </c>
      <c r="D235" s="0" t="n">
        <f aca="false">LN(Prices!D236/Prices!D235)</f>
        <v>0.00973716692398489</v>
      </c>
      <c r="E235" s="0" t="n">
        <f aca="false">SUMPRODUCT(B235:D235,Inputs!$B$4:$D$4)</f>
        <v>0.0144314448719052</v>
      </c>
      <c r="F235" s="0" t="n">
        <f aca="false">E235*Inputs!$B$2</f>
        <v>14431.4448719052</v>
      </c>
    </row>
    <row r="236" customFormat="false" ht="15" hidden="false" customHeight="false" outlineLevel="0" collapsed="false">
      <c r="A236" s="3" t="n">
        <f aca="false">Prices!A237</f>
        <v>45271</v>
      </c>
      <c r="B236" s="0" t="n">
        <f aca="false">LN(Prices!B237/Prices!B236)</f>
        <v>0.00365218995078197</v>
      </c>
      <c r="C236" s="0" t="n">
        <f aca="false">LN(Prices!C237/Prices!C236)</f>
        <v>0.00654150101339498</v>
      </c>
      <c r="D236" s="0" t="n">
        <f aca="false">LN(Prices!D237/Prices!D236)</f>
        <v>-0.00355924040218565</v>
      </c>
      <c r="E236" s="0" t="n">
        <f aca="false">SUMPRODUCT(B236:D236,Inputs!$B$4:$D$4)</f>
        <v>0.00235555416367559</v>
      </c>
      <c r="F236" s="0" t="n">
        <f aca="false">E236*Inputs!$B$2</f>
        <v>2355.55416367559</v>
      </c>
    </row>
    <row r="237" customFormat="false" ht="15" hidden="false" customHeight="false" outlineLevel="0" collapsed="false">
      <c r="A237" s="3" t="n">
        <f aca="false">Prices!A238</f>
        <v>45272</v>
      </c>
      <c r="B237" s="0" t="n">
        <f aca="false">LN(Prices!B238/Prices!B237)</f>
        <v>0.00888557512023974</v>
      </c>
      <c r="C237" s="0" t="n">
        <f aca="false">LN(Prices!C238/Prices!C237)</f>
        <v>0.00937400133202414</v>
      </c>
      <c r="D237" s="0" t="n">
        <f aca="false">LN(Prices!D238/Prices!D237)</f>
        <v>-0.00357215229108358</v>
      </c>
      <c r="E237" s="0" t="n">
        <f aca="false">SUMPRODUCT(B237:D237,Inputs!$B$4:$D$4)</f>
        <v>0.00529478476037807</v>
      </c>
      <c r="F237" s="0" t="n">
        <f aca="false">E237*Inputs!$B$2</f>
        <v>5294.78476037807</v>
      </c>
    </row>
    <row r="238" customFormat="false" ht="15" hidden="false" customHeight="false" outlineLevel="0" collapsed="false">
      <c r="A238" s="3" t="n">
        <f aca="false">Prices!A239</f>
        <v>45273</v>
      </c>
      <c r="B238" s="0" t="n">
        <f aca="false">LN(Prices!B239/Prices!B238)</f>
        <v>0.00335835549181235</v>
      </c>
      <c r="C238" s="0" t="n">
        <f aca="false">LN(Prices!C239/Prices!C238)</f>
        <v>0.0239919657931955</v>
      </c>
      <c r="D238" s="0" t="n">
        <f aca="false">LN(Prices!D239/Prices!D238)</f>
        <v>0.0414205008538332</v>
      </c>
      <c r="E238" s="0" t="n">
        <f aca="false">SUMPRODUCT(B238:D238,Inputs!$B$4:$D$4)</f>
        <v>0.0209670821908335</v>
      </c>
      <c r="F238" s="0" t="n">
        <f aca="false">E238*Inputs!$B$2</f>
        <v>20967.0821908335</v>
      </c>
    </row>
    <row r="239" customFormat="false" ht="15" hidden="false" customHeight="false" outlineLevel="0" collapsed="false">
      <c r="A239" s="3" t="n">
        <f aca="false">Prices!A240</f>
        <v>45274</v>
      </c>
      <c r="B239" s="0" t="n">
        <f aca="false">LN(Prices!B240/Prices!B239)</f>
        <v>0.0180284888765936</v>
      </c>
      <c r="C239" s="0" t="n">
        <f aca="false">LN(Prices!C240/Prices!C239)</f>
        <v>0.0612635178447517</v>
      </c>
      <c r="D239" s="0" t="n">
        <f aca="false">LN(Prices!D240/Prices!D239)</f>
        <v>0.0576092276548369</v>
      </c>
      <c r="E239" s="0" t="n">
        <f aca="false">SUMPRODUCT(B239:D239,Inputs!$B$4:$D$4)</f>
        <v>0.042873219200514</v>
      </c>
      <c r="F239" s="0" t="n">
        <f aca="false">E239*Inputs!$B$2</f>
        <v>42873.219200514</v>
      </c>
    </row>
    <row r="240" customFormat="false" ht="15" hidden="false" customHeight="false" outlineLevel="0" collapsed="false">
      <c r="A240" s="3" t="n">
        <f aca="false">Prices!A241</f>
        <v>45275</v>
      </c>
      <c r="B240" s="0" t="n">
        <f aca="false">LN(Prices!B241/Prices!B240)</f>
        <v>0.00753301304060957</v>
      </c>
      <c r="C240" s="0" t="n">
        <f aca="false">LN(Prices!C241/Prices!C240)</f>
        <v>0.00591383501243663</v>
      </c>
      <c r="D240" s="0" t="n">
        <f aca="false">LN(Prices!D241/Prices!D240)</f>
        <v>-0.0100685056777381</v>
      </c>
      <c r="E240" s="0" t="n">
        <f aca="false">SUMPRODUCT(B240:D240,Inputs!$B$4:$D$4)</f>
        <v>0.0017668040166534</v>
      </c>
      <c r="F240" s="0" t="n">
        <f aca="false">E240*Inputs!$B$2</f>
        <v>1766.8040166534</v>
      </c>
    </row>
    <row r="241" customFormat="false" ht="15" hidden="false" customHeight="false" outlineLevel="0" collapsed="false">
      <c r="A241" s="3" t="n">
        <f aca="false">Prices!A242</f>
        <v>45278</v>
      </c>
      <c r="B241" s="0" t="n">
        <f aca="false">LN(Prices!B242/Prices!B241)</f>
        <v>0.00603392339991323</v>
      </c>
      <c r="C241" s="0" t="n">
        <f aca="false">LN(Prices!C242/Prices!C241)</f>
        <v>-0.00899438891547956</v>
      </c>
      <c r="D241" s="0" t="n">
        <f aca="false">LN(Prices!D242/Prices!D241)</f>
        <v>-0.00507219082337763</v>
      </c>
      <c r="E241" s="0" t="n">
        <f aca="false">SUMPRODUCT(B241:D241,Inputs!$B$4:$D$4)</f>
        <v>-0.00180640456169187</v>
      </c>
      <c r="F241" s="0" t="n">
        <f aca="false">E241*Inputs!$B$2</f>
        <v>-1806.40456169187</v>
      </c>
    </row>
    <row r="242" customFormat="false" ht="15" hidden="false" customHeight="false" outlineLevel="0" collapsed="false">
      <c r="A242" s="3" t="n">
        <f aca="false">Prices!A243</f>
        <v>45279</v>
      </c>
      <c r="B242" s="0" t="n">
        <f aca="false">LN(Prices!B243/Prices!B242)</f>
        <v>0.0132667150756397</v>
      </c>
      <c r="C242" s="0" t="n">
        <f aca="false">LN(Prices!C243/Prices!C242)</f>
        <v>0.0127001249639546</v>
      </c>
      <c r="D242" s="0" t="n">
        <f aca="false">LN(Prices!D243/Prices!D242)</f>
        <v>0.00239023975970414</v>
      </c>
      <c r="E242" s="0" t="n">
        <f aca="false">SUMPRODUCT(B242:D242,Inputs!$B$4:$D$4)</f>
        <v>0.00983379544735351</v>
      </c>
      <c r="F242" s="0" t="n">
        <f aca="false">E242*Inputs!$B$2</f>
        <v>9833.79544735351</v>
      </c>
    </row>
    <row r="243" customFormat="false" ht="15" hidden="false" customHeight="false" outlineLevel="0" collapsed="false">
      <c r="A243" s="3" t="n">
        <f aca="false">Prices!A244</f>
        <v>45280</v>
      </c>
      <c r="B243" s="0" t="n">
        <f aca="false">LN(Prices!B244/Prices!B243)</f>
        <v>-0.0113434226878655</v>
      </c>
      <c r="C243" s="0" t="n">
        <f aca="false">LN(Prices!C244/Prices!C243)</f>
        <v>-0.00852199280679044</v>
      </c>
      <c r="D243" s="0" t="n">
        <f aca="false">LN(Prices!D244/Prices!D243)</f>
        <v>-0.0159426424059765</v>
      </c>
      <c r="E243" s="0" t="n">
        <f aca="false">SUMPRODUCT(B243:D243,Inputs!$B$4:$D$4)</f>
        <v>-0.0118767596389763</v>
      </c>
      <c r="F243" s="0" t="n">
        <f aca="false">E243*Inputs!$B$2</f>
        <v>-11876.7596389763</v>
      </c>
    </row>
    <row r="244" customFormat="false" ht="15" hidden="false" customHeight="false" outlineLevel="0" collapsed="false">
      <c r="A244" s="3" t="n">
        <f aca="false">Prices!A245</f>
        <v>45281</v>
      </c>
      <c r="B244" s="0" t="n">
        <f aca="false">LN(Prices!B245/Prices!B244)</f>
        <v>0.00568760221332696</v>
      </c>
      <c r="C244" s="0" t="n">
        <f aca="false">LN(Prices!C245/Prices!C244)</f>
        <v>0.0162165502004829</v>
      </c>
      <c r="D244" s="0" t="n">
        <f aca="false">LN(Prices!D245/Prices!D244)</f>
        <v>0.00664845127173323</v>
      </c>
      <c r="E244" s="0" t="n">
        <f aca="false">SUMPRODUCT(B244:D244,Inputs!$B$4:$D$4)</f>
        <v>0.00913454132699564</v>
      </c>
      <c r="F244" s="0" t="n">
        <f aca="false">E244*Inputs!$B$2</f>
        <v>9134.54132699564</v>
      </c>
    </row>
    <row r="245" customFormat="false" ht="15" hidden="false" customHeight="false" outlineLevel="0" collapsed="false">
      <c r="A245" s="3" t="n">
        <f aca="false">Prices!A246</f>
        <v>45282</v>
      </c>
      <c r="B245" s="0" t="n">
        <f aca="false">LN(Prices!B246/Prices!B245)</f>
        <v>-0.000597260379354409</v>
      </c>
      <c r="C245" s="0" t="n">
        <f aca="false">LN(Prices!C246/Prices!C245)</f>
        <v>-0.00237806591108982</v>
      </c>
      <c r="D245" s="0" t="n">
        <f aca="false">LN(Prices!D246/Prices!D245)</f>
        <v>0.00690395137453915</v>
      </c>
      <c r="E245" s="0" t="n">
        <f aca="false">SUMPRODUCT(B245:D245,Inputs!$B$4:$D$4)</f>
        <v>0.00111886148729303</v>
      </c>
      <c r="F245" s="0" t="n">
        <f aca="false">E245*Inputs!$B$2</f>
        <v>1118.86148729303</v>
      </c>
    </row>
    <row r="246" customFormat="false" ht="15" hidden="false" customHeight="false" outlineLevel="0" collapsed="false">
      <c r="A246" s="3" t="n">
        <f aca="false">Prices!A247</f>
        <v>45286</v>
      </c>
      <c r="B246" s="0" t="n">
        <f aca="false">LN(Prices!B247/Prices!B246)</f>
        <v>0.00589665410604699</v>
      </c>
      <c r="C246" s="0" t="n">
        <f aca="false">LN(Prices!C247/Prices!C246)</f>
        <v>0.00464236196197221</v>
      </c>
      <c r="D246" s="0" t="n">
        <f aca="false">LN(Prices!D247/Prices!D246)</f>
        <v>0.0127806555798824</v>
      </c>
      <c r="E246" s="0" t="n">
        <f aca="false">SUMPRODUCT(B246:D246,Inputs!$B$4:$D$4)</f>
        <v>0.00758556690497519</v>
      </c>
      <c r="F246" s="0" t="n">
        <f aca="false">E246*Inputs!$B$2</f>
        <v>7585.56690497519</v>
      </c>
    </row>
    <row r="247" customFormat="false" ht="15" hidden="false" customHeight="false" outlineLevel="0" collapsed="false">
      <c r="A247" s="3" t="n">
        <f aca="false">Prices!A248</f>
        <v>45287</v>
      </c>
      <c r="B247" s="0" t="n">
        <f aca="false">LN(Prices!B248/Prices!B247)</f>
        <v>0.00598015218762738</v>
      </c>
      <c r="C247" s="0" t="n">
        <f aca="false">LN(Prices!C248/Prices!C247)</f>
        <v>0.00879384852433088</v>
      </c>
      <c r="D247" s="0" t="n">
        <f aca="false">LN(Prices!D248/Prices!D247)</f>
        <v>-0.000590881538598785</v>
      </c>
      <c r="E247" s="0" t="n">
        <f aca="false">SUMPRODUCT(B247:D247,Inputs!$B$4:$D$4)</f>
        <v>0.00485295097077058</v>
      </c>
      <c r="F247" s="0" t="n">
        <f aca="false">E247*Inputs!$B$2</f>
        <v>4852.95097077058</v>
      </c>
    </row>
    <row r="248" customFormat="false" ht="15" hidden="false" customHeight="false" outlineLevel="0" collapsed="false">
      <c r="A248" s="3" t="n">
        <f aca="false">Prices!A249</f>
        <v>45288</v>
      </c>
      <c r="B248" s="0" t="n">
        <f aca="false">LN(Prices!B249/Prices!B248)</f>
        <v>0.00529873399588514</v>
      </c>
      <c r="C248" s="0" t="n">
        <f aca="false">LN(Prices!C249/Prices!C248)</f>
        <v>-0.000213691427569608</v>
      </c>
      <c r="D248" s="0" t="n">
        <f aca="false">LN(Prices!D249/Prices!D248)</f>
        <v>0.00118135412831619</v>
      </c>
      <c r="E248" s="0" t="n">
        <f aca="false">SUMPRODUCT(B248:D248,Inputs!$B$4:$D$4)</f>
        <v>0.00240979240857803</v>
      </c>
      <c r="F248" s="0" t="n">
        <f aca="false">E248*Inputs!$B$2</f>
        <v>2409.79240857803</v>
      </c>
    </row>
    <row r="249" customFormat="false" ht="15" hidden="false" customHeight="false" outlineLevel="0" collapsed="false">
      <c r="A249" s="3" t="n">
        <f aca="false">Prices!A250</f>
        <v>45289</v>
      </c>
      <c r="B249" s="0" t="n">
        <f aca="false">LN(Prices!B250/Prices!B249)</f>
        <v>-0.00117493505338023</v>
      </c>
      <c r="C249" s="0" t="n">
        <f aca="false">LN(Prices!C250/Prices!C249)</f>
        <v>-0.00417365500205632</v>
      </c>
      <c r="D249" s="0" t="n">
        <f aca="false">LN(Prices!D250/Prices!D249)</f>
        <v>-0.0062175410375488</v>
      </c>
      <c r="E249" s="0" t="n">
        <f aca="false">SUMPRODUCT(B249:D249,Inputs!$B$4:$D$4)</f>
        <v>-0.00358733283323363</v>
      </c>
      <c r="F249" s="0" t="n">
        <f aca="false">E249*Inputs!$B$2</f>
        <v>-3587.33283323363</v>
      </c>
    </row>
    <row r="250" customFormat="false" ht="15" hidden="false" customHeight="false" outlineLevel="0" collapsed="false">
      <c r="A250" s="3" t="n">
        <f aca="false">Prices!A251</f>
        <v>45293</v>
      </c>
      <c r="B250" s="0" t="n">
        <f aca="false">LN(Prices!B251/Prices!B250)</f>
        <v>0.0115727914310324</v>
      </c>
      <c r="C250" s="0" t="n">
        <f aca="false">LN(Prices!C251/Prices!C250)</f>
        <v>0.00694659219256523</v>
      </c>
      <c r="D250" s="0" t="n">
        <f aca="false">LN(Prices!D251/Prices!D250)</f>
        <v>0.0068079050897183</v>
      </c>
      <c r="E250" s="0" t="n">
        <f aca="false">SUMPRODUCT(B250:D250,Inputs!$B$4:$D$4)</f>
        <v>0.00875546575709802</v>
      </c>
      <c r="F250" s="0" t="n">
        <f aca="false">E250*Inputs!$B$2</f>
        <v>8755.46575709802</v>
      </c>
    </row>
    <row r="251" customFormat="false" ht="15" hidden="false" customHeight="false" outlineLevel="0" collapsed="false">
      <c r="A251" s="3" t="n">
        <f aca="false">Prices!A252</f>
        <v>45294</v>
      </c>
      <c r="B251" s="0" t="n">
        <f aca="false">LN(Prices!B252/Prices!B251)</f>
        <v>-0.00436793639883902</v>
      </c>
      <c r="C251" s="0" t="n">
        <f aca="false">LN(Prices!C252/Prices!C251)</f>
        <v>-0.0214208102903657</v>
      </c>
      <c r="D251" s="0" t="n">
        <f aca="false">LN(Prices!D252/Prices!D251)</f>
        <v>-0.0109744931904317</v>
      </c>
      <c r="E251" s="0" t="n">
        <f aca="false">SUMPRODUCT(B251:D251,Inputs!$B$4:$D$4)</f>
        <v>-0.0114657656037748</v>
      </c>
      <c r="F251" s="0" t="n">
        <f aca="false">E251*Inputs!$B$2</f>
        <v>-11465.7656037748</v>
      </c>
    </row>
    <row r="252" customFormat="false" ht="15" hidden="false" customHeight="false" outlineLevel="0" collapsed="false">
      <c r="A252" s="3" t="n">
        <f aca="false">Prices!A253</f>
        <v>45295</v>
      </c>
      <c r="B252" s="0" t="n">
        <f aca="false">LN(Prices!B253/Prices!B252)</f>
        <v>0.00661429201850126</v>
      </c>
      <c r="C252" s="0" t="n">
        <f aca="false">LN(Prices!C253/Prices!C252)</f>
        <v>0.00260800143369757</v>
      </c>
      <c r="D252" s="0" t="n">
        <f aca="false">LN(Prices!D253/Prices!D252)</f>
        <v>0.00802008378935138</v>
      </c>
      <c r="E252" s="0" t="n">
        <f aca="false">SUMPRODUCT(B252:D252,Inputs!$B$4:$D$4)</f>
        <v>0.00583414237431519</v>
      </c>
      <c r="F252" s="0" t="n">
        <f aca="false">E252*Inputs!$B$2</f>
        <v>5834.14237431519</v>
      </c>
    </row>
    <row r="253" customFormat="false" ht="15" hidden="false" customHeight="false" outlineLevel="0" collapsed="false">
      <c r="A253" s="3" t="n">
        <f aca="false">Prices!A254</f>
        <v>45296</v>
      </c>
      <c r="B253" s="0" t="n">
        <f aca="false">LN(Prices!B254/Prices!B253)</f>
        <v>0.00500472444526</v>
      </c>
      <c r="C253" s="0" t="n">
        <f aca="false">LN(Prices!C254/Prices!C253)</f>
        <v>0.0117588182419058</v>
      </c>
      <c r="D253" s="0" t="n">
        <f aca="false">LN(Prices!D254/Prices!D253)</f>
        <v>0.0184676074564756</v>
      </c>
      <c r="E253" s="0" t="n">
        <f aca="false">SUMPRODUCT(B253:D253,Inputs!$B$4:$D$4)</f>
        <v>0.0110698174876184</v>
      </c>
      <c r="F253" s="0" t="n">
        <f aca="false">E253*Inputs!$B$2</f>
        <v>11069.8174876184</v>
      </c>
    </row>
    <row r="254" customFormat="false" ht="15" hidden="false" customHeight="false" outlineLevel="0" collapsed="false">
      <c r="A254" s="3" t="n">
        <f aca="false">Prices!A255</f>
        <v>45299</v>
      </c>
      <c r="B254" s="0" t="n">
        <f aca="false">LN(Prices!B255/Prices!B254)</f>
        <v>-0.00145226062854415</v>
      </c>
      <c r="C254" s="0" t="n">
        <f aca="false">LN(Prices!C255/Prices!C254)</f>
        <v>0.00289174022638033</v>
      </c>
      <c r="D254" s="0" t="n">
        <f aca="false">LN(Prices!D255/Prices!D254)</f>
        <v>-0.00787310921139179</v>
      </c>
      <c r="E254" s="0" t="n">
        <f aca="false">SUMPRODUCT(B254:D254,Inputs!$B$4:$D$4)</f>
        <v>-0.0020753149469211</v>
      </c>
      <c r="F254" s="0" t="n">
        <f aca="false">E254*Inputs!$B$2</f>
        <v>-2075.3149469211</v>
      </c>
    </row>
    <row r="255" customFormat="false" ht="15" hidden="false" customHeight="false" outlineLevel="0" collapsed="false">
      <c r="A255" s="3" t="n">
        <f aca="false">Prices!A256</f>
        <v>45300</v>
      </c>
      <c r="B255" s="0" t="n">
        <f aca="false">LN(Prices!B256/Prices!B255)</f>
        <v>-0.00793733881685728</v>
      </c>
      <c r="C255" s="0" t="n">
        <f aca="false">LN(Prices!C256/Prices!C255)</f>
        <v>-0.0156280313680003</v>
      </c>
      <c r="D255" s="0" t="n">
        <f aca="false">LN(Prices!D256/Prices!D255)</f>
        <v>-0.0156366599823039</v>
      </c>
      <c r="E255" s="0" t="n">
        <f aca="false">SUMPRODUCT(B255:D255,Inputs!$B$4:$D$4)</f>
        <v>-0.0125543429318342</v>
      </c>
      <c r="F255" s="0" t="n">
        <f aca="false">E255*Inputs!$B$2</f>
        <v>-12554.3429318342</v>
      </c>
    </row>
    <row r="256" customFormat="false" ht="15" hidden="false" customHeight="false" outlineLevel="0" collapsed="false">
      <c r="A256" s="3" t="n">
        <f aca="false">Prices!A257</f>
        <v>45301</v>
      </c>
      <c r="B256" s="0" t="n">
        <f aca="false">LN(Prices!B257/Prices!B256)</f>
        <v>0.00210711335529635</v>
      </c>
      <c r="C256" s="0" t="n">
        <f aca="false">LN(Prices!C257/Prices!C256)</f>
        <v>-0.00631979420987849</v>
      </c>
      <c r="D256" s="0" t="n">
        <f aca="false">LN(Prices!D257/Prices!D256)</f>
        <v>-0.000892730260091127</v>
      </c>
      <c r="E256" s="0" t="n">
        <f aca="false">SUMPRODUCT(B256:D256,Inputs!$B$4:$D$4)</f>
        <v>-0.00132091199887235</v>
      </c>
      <c r="F256" s="0" t="n">
        <f aca="false">E256*Inputs!$B$2</f>
        <v>-1320.91199887235</v>
      </c>
    </row>
    <row r="257" customFormat="false" ht="15" hidden="false" customHeight="false" outlineLevel="0" collapsed="false">
      <c r="A257" s="3" t="n">
        <f aca="false">Prices!A258</f>
        <v>45302</v>
      </c>
      <c r="B257" s="0" t="n">
        <f aca="false">LN(Prices!B258/Prices!B257)</f>
        <v>-0.00421895930121756</v>
      </c>
      <c r="C257" s="0" t="n">
        <f aca="false">LN(Prices!C258/Prices!C257)</f>
        <v>-0.0106601747888982</v>
      </c>
      <c r="D257" s="0" t="n">
        <f aca="false">LN(Prices!D258/Prices!D257)</f>
        <v>-0.0134831266265001</v>
      </c>
      <c r="E257" s="0" t="n">
        <f aca="false">SUMPRODUCT(B257:D257,Inputs!$B$4:$D$4)</f>
        <v>-0.00893057414510651</v>
      </c>
      <c r="F257" s="0" t="n">
        <f aca="false">E257*Inputs!$B$2</f>
        <v>-8930.57414510651</v>
      </c>
    </row>
    <row r="258" customFormat="false" ht="15" hidden="false" customHeight="false" outlineLevel="0" collapsed="false">
      <c r="A258" s="3" t="n">
        <f aca="false">Prices!A259</f>
        <v>45303</v>
      </c>
      <c r="B258" s="0" t="n">
        <f aca="false">LN(Prices!B259/Prices!B258)</f>
        <v>-0.00736713492938162</v>
      </c>
      <c r="C258" s="0" t="n">
        <f aca="false">LN(Prices!C259/Prices!C258)</f>
        <v>-0.0089895559207517</v>
      </c>
      <c r="D258" s="0" t="n">
        <f aca="false">LN(Prices!D259/Prices!D258)</f>
        <v>-0.0106143880536677</v>
      </c>
      <c r="E258" s="0" t="n">
        <f aca="false">SUMPRODUCT(B258:D258,Inputs!$B$4:$D$4)</f>
        <v>-0.00882803716407846</v>
      </c>
      <c r="F258" s="0" t="n">
        <f aca="false">E258*Inputs!$B$2</f>
        <v>-8828.03716407846</v>
      </c>
    </row>
    <row r="259" customFormat="false" ht="15" hidden="false" customHeight="false" outlineLevel="0" collapsed="false">
      <c r="A259" s="3" t="n">
        <f aca="false">Prices!A260</f>
        <v>45307</v>
      </c>
      <c r="B259" s="0" t="n">
        <f aca="false">LN(Prices!B260/Prices!B259)</f>
        <v>-0.00629005601638571</v>
      </c>
      <c r="C259" s="0" t="n">
        <f aca="false">LN(Prices!C260/Prices!C259)</f>
        <v>-0.0424726059811213</v>
      </c>
      <c r="D259" s="0" t="n">
        <f aca="false">LN(Prices!D260/Prices!D259)</f>
        <v>-0.0209495270346822</v>
      </c>
      <c r="E259" s="0" t="n">
        <f aca="false">SUMPRODUCT(B259:D259,Inputs!$B$4:$D$4)</f>
        <v>-0.0215426623112953</v>
      </c>
      <c r="F259" s="0" t="n">
        <f aca="false">E259*Inputs!$B$2</f>
        <v>-21542.6623112953</v>
      </c>
    </row>
    <row r="260" customFormat="false" ht="15" hidden="false" customHeight="false" outlineLevel="0" collapsed="false">
      <c r="A260" s="3" t="n">
        <f aca="false">Prices!A261</f>
        <v>45308</v>
      </c>
      <c r="B260" s="0" t="n">
        <f aca="false">LN(Prices!B261/Prices!B260)</f>
        <v>-0.00537188958973555</v>
      </c>
      <c r="C260" s="0" t="n">
        <f aca="false">LN(Prices!C261/Prices!C260)</f>
        <v>-0.0183121525635066</v>
      </c>
      <c r="D260" s="0" t="n">
        <f aca="false">LN(Prices!D261/Prices!D260)</f>
        <v>-0.0100125059710103</v>
      </c>
      <c r="E260" s="0" t="n">
        <f aca="false">SUMPRODUCT(B260:D260,Inputs!$B$4:$D$4)</f>
        <v>-0.0106461533962493</v>
      </c>
      <c r="F260" s="0" t="n">
        <f aca="false">E260*Inputs!$B$2</f>
        <v>-10646.1533962493</v>
      </c>
    </row>
    <row r="261" customFormat="false" ht="15" hidden="false" customHeight="false" outlineLevel="0" collapsed="false">
      <c r="A261" s="3" t="n">
        <f aca="false">Prices!A262</f>
        <v>45309</v>
      </c>
      <c r="B261" s="0" t="n">
        <f aca="false">LN(Prices!B262/Prices!B261)</f>
        <v>0.00197305789475318</v>
      </c>
      <c r="C261" s="0" t="n">
        <f aca="false">LN(Prices!C262/Prices!C261)</f>
        <v>-0.00606032886681255</v>
      </c>
      <c r="D261" s="0" t="n">
        <f aca="false">LN(Prices!D262/Prices!D261)</f>
        <v>-0.00220373561668508</v>
      </c>
      <c r="E261" s="0" t="n">
        <f aca="false">SUMPRODUCT(B261:D261,Inputs!$B$4:$D$4)</f>
        <v>-0.00168999618714802</v>
      </c>
      <c r="F261" s="0" t="n">
        <f aca="false">E261*Inputs!$B$2</f>
        <v>-1689.99618714802</v>
      </c>
    </row>
    <row r="262" customFormat="false" ht="15" hidden="false" customHeight="false" outlineLevel="0" collapsed="false">
      <c r="A262" s="3" t="n">
        <f aca="false">Prices!A263</f>
        <v>45310</v>
      </c>
      <c r="B262" s="0" t="n">
        <f aca="false">LN(Prices!B263/Prices!B262)</f>
        <v>0.0171145669350019</v>
      </c>
      <c r="C262" s="0" t="n">
        <f aca="false">LN(Prices!C263/Prices!C262)</f>
        <v>0.0170175022649571</v>
      </c>
      <c r="D262" s="0" t="n">
        <f aca="false">LN(Prices!D263/Prices!D262)</f>
        <v>0.0153246856986593</v>
      </c>
      <c r="E262" s="0" t="n">
        <f aca="false">SUMPRODUCT(B262:D262,Inputs!$B$4:$D$4)</f>
        <v>0.0165484831630857</v>
      </c>
      <c r="F262" s="0" t="n">
        <f aca="false">E262*Inputs!$B$2</f>
        <v>16548.4831630857</v>
      </c>
    </row>
    <row r="263" customFormat="false" ht="15" hidden="false" customHeight="false" outlineLevel="0" collapsed="false">
      <c r="A263" s="3" t="n">
        <f aca="false">Prices!A264</f>
        <v>45313</v>
      </c>
      <c r="B263" s="0" t="n">
        <f aca="false">LN(Prices!B264/Prices!B263)</f>
        <v>-0.00117503536523367</v>
      </c>
      <c r="C263" s="0" t="n">
        <f aca="false">LN(Prices!C264/Prices!C263)</f>
        <v>0.00455952608166422</v>
      </c>
      <c r="D263" s="0" t="n">
        <f aca="false">LN(Prices!D264/Prices!D263)</f>
        <v>0.0101900769277052</v>
      </c>
      <c r="E263" s="0" t="n">
        <f aca="false">SUMPRODUCT(B263:D263,Inputs!$B$4:$D$4)</f>
        <v>0.00395486675671736</v>
      </c>
      <c r="F263" s="0" t="n">
        <f aca="false">E263*Inputs!$B$2</f>
        <v>3954.86675671736</v>
      </c>
    </row>
    <row r="264" customFormat="false" ht="15" hidden="false" customHeight="false" outlineLevel="0" collapsed="false">
      <c r="A264" s="3" t="n">
        <f aca="false">Prices!A265</f>
        <v>45314</v>
      </c>
      <c r="B264" s="0" t="n">
        <f aca="false">LN(Prices!B265/Prices!B264)</f>
        <v>-0.00660553159866984</v>
      </c>
      <c r="C264" s="0" t="n">
        <f aca="false">LN(Prices!C265/Prices!C264)</f>
        <v>0.0117124679759859</v>
      </c>
      <c r="D264" s="0" t="n">
        <f aca="false">LN(Prices!D265/Prices!D264)</f>
        <v>0.00673610907701788</v>
      </c>
      <c r="E264" s="0" t="n">
        <f aca="false">SUMPRODUCT(B264:D264,Inputs!$B$4:$D$4)</f>
        <v>0.0028923604764332</v>
      </c>
      <c r="F264" s="0" t="n">
        <f aca="false">E264*Inputs!$B$2</f>
        <v>2892.3604764332</v>
      </c>
    </row>
    <row r="265" customFormat="false" ht="15" hidden="false" customHeight="false" outlineLevel="0" collapsed="false">
      <c r="A265" s="3" t="n">
        <f aca="false">Prices!A266</f>
        <v>45315</v>
      </c>
      <c r="B265" s="0" t="n">
        <f aca="false">LN(Prices!B266/Prices!B265)</f>
        <v>0.00889584193794656</v>
      </c>
      <c r="C265" s="0" t="n">
        <f aca="false">LN(Prices!C266/Prices!C265)</f>
        <v>0.00952336233259806</v>
      </c>
      <c r="D265" s="0" t="n">
        <f aca="false">LN(Prices!D266/Prices!D265)</f>
        <v>0.00638781812951298</v>
      </c>
      <c r="E265" s="0" t="n">
        <f aca="false">SUMPRODUCT(B265:D265,Inputs!$B$4:$D$4)</f>
        <v>0.00833169091381194</v>
      </c>
      <c r="F265" s="0" t="n">
        <f aca="false">E265*Inputs!$B$2</f>
        <v>8331.69091381194</v>
      </c>
    </row>
    <row r="266" customFormat="false" ht="15" hidden="false" customHeight="false" outlineLevel="0" collapsed="false">
      <c r="A266" s="3" t="n">
        <f aca="false">Prices!A267</f>
        <v>45316</v>
      </c>
      <c r="B266" s="0" t="n">
        <f aca="false">LN(Prices!B267/Prices!B266)</f>
        <v>0.0142093832677534</v>
      </c>
      <c r="C266" s="0" t="n">
        <f aca="false">LN(Prices!C267/Prices!C266)</f>
        <v>0.00512542142492174</v>
      </c>
      <c r="D266" s="0" t="n">
        <f aca="false">LN(Prices!D267/Prices!D266)</f>
        <v>0.0123551977742691</v>
      </c>
      <c r="E266" s="0" t="n">
        <f aca="false">SUMPRODUCT(B266:D266,Inputs!$B$4:$D$4)</f>
        <v>0.0109279390668586</v>
      </c>
      <c r="F266" s="0" t="n">
        <f aca="false">E266*Inputs!$B$2</f>
        <v>10927.9390668586</v>
      </c>
    </row>
    <row r="267" customFormat="false" ht="15" hidden="false" customHeight="false" outlineLevel="0" collapsed="false">
      <c r="A267" s="3" t="n">
        <f aca="false">Prices!A268</f>
        <v>45317</v>
      </c>
      <c r="B267" s="0" t="n">
        <f aca="false">LN(Prices!B268/Prices!B267)</f>
        <v>-0.00382369563012226</v>
      </c>
      <c r="C267" s="0" t="n">
        <f aca="false">LN(Prices!C268/Prices!C267)</f>
        <v>-0.00330009051120406</v>
      </c>
      <c r="D267" s="0" t="n">
        <f aca="false">LN(Prices!D268/Prices!D267)</f>
        <v>0.00119720487200315</v>
      </c>
      <c r="E267" s="0" t="n">
        <f aca="false">SUMPRODUCT(B267:D267,Inputs!$B$4:$D$4)</f>
        <v>-0.00216034394380918</v>
      </c>
      <c r="F267" s="0" t="n">
        <f aca="false">E267*Inputs!$B$2</f>
        <v>-2160.34394380918</v>
      </c>
    </row>
    <row r="268" customFormat="false" ht="15" hidden="false" customHeight="false" outlineLevel="0" collapsed="false">
      <c r="A268" s="3" t="n">
        <f aca="false">Prices!A269</f>
        <v>45320</v>
      </c>
      <c r="B268" s="0" t="n">
        <f aca="false">LN(Prices!B269/Prices!B268)</f>
        <v>0.00260844725557574</v>
      </c>
      <c r="C268" s="0" t="n">
        <f aca="false">LN(Prices!C269/Prices!C268)</f>
        <v>-0.00125455111597526</v>
      </c>
      <c r="D268" s="0" t="n">
        <f aca="false">LN(Prices!D269/Prices!D268)</f>
        <v>0.0053699367990107</v>
      </c>
      <c r="E268" s="0" t="n">
        <f aca="false">SUMPRODUCT(B268:D268,Inputs!$B$4:$D$4)</f>
        <v>0.00227799460714093</v>
      </c>
      <c r="F268" s="0" t="n">
        <f aca="false">E268*Inputs!$B$2</f>
        <v>2277.99460714093</v>
      </c>
    </row>
    <row r="269" customFormat="false" ht="15" hidden="false" customHeight="false" outlineLevel="0" collapsed="false">
      <c r="A269" s="3" t="n">
        <f aca="false">Prices!A270</f>
        <v>45321</v>
      </c>
      <c r="B269" s="0" t="n">
        <f aca="false">LN(Prices!B270/Prices!B269)</f>
        <v>0.0202873303308202</v>
      </c>
      <c r="C269" s="0" t="n">
        <f aca="false">LN(Prices!C270/Prices!C269)</f>
        <v>0.00974825177690954</v>
      </c>
      <c r="D269" s="0" t="n">
        <f aca="false">LN(Prices!D270/Prices!D269)</f>
        <v>0.0345063385236918</v>
      </c>
      <c r="E269" s="0" t="n">
        <f aca="false">SUMPRODUCT(B269:D269,Inputs!$B$4:$D$4)</f>
        <v>0.0213913092225085</v>
      </c>
      <c r="F269" s="0" t="n">
        <f aca="false">E269*Inputs!$B$2</f>
        <v>21391.3092225085</v>
      </c>
    </row>
    <row r="270" customFormat="false" ht="15" hidden="false" customHeight="false" outlineLevel="0" collapsed="false">
      <c r="A270" s="3" t="n">
        <f aca="false">Prices!A271</f>
        <v>45322</v>
      </c>
      <c r="B270" s="0" t="n">
        <f aca="false">LN(Prices!B271/Prices!B270)</f>
        <v>-0.0108947151774433</v>
      </c>
      <c r="C270" s="0" t="n">
        <f aca="false">LN(Prices!C271/Prices!C270)</f>
        <v>-0.00434648605610849</v>
      </c>
      <c r="D270" s="0" t="n">
        <f aca="false">LN(Prices!D271/Prices!D270)</f>
        <v>-0.0226753711559424</v>
      </c>
      <c r="E270" s="0" t="n">
        <f aca="false">SUMPRODUCT(B270:D270,Inputs!$B$4:$D$4)</f>
        <v>-0.0124644432345926</v>
      </c>
      <c r="F270" s="0" t="n">
        <f aca="false">E270*Inputs!$B$2</f>
        <v>-12464.4432345926</v>
      </c>
    </row>
    <row r="271" customFormat="false" ht="15" hidden="false" customHeight="false" outlineLevel="0" collapsed="false">
      <c r="A271" s="3" t="n">
        <f aca="false">Prices!A272</f>
        <v>45323</v>
      </c>
      <c r="B271" s="0" t="n">
        <f aca="false">LN(Prices!B272/Prices!B271)</f>
        <v>-0.00361975558505911</v>
      </c>
      <c r="C271" s="0" t="n">
        <f aca="false">LN(Prices!C272/Prices!C271)</f>
        <v>-0.00482575094079604</v>
      </c>
      <c r="D271" s="0" t="n">
        <f aca="false">LN(Prices!D272/Prices!D271)</f>
        <v>-0.0136178047948082</v>
      </c>
      <c r="E271" s="0" t="n">
        <f aca="false">SUMPRODUCT(B271:D271,Inputs!$B$4:$D$4)</f>
        <v>-0.00698096895470492</v>
      </c>
      <c r="F271" s="0" t="n">
        <f aca="false">E271*Inputs!$B$2</f>
        <v>-6980.96895470492</v>
      </c>
    </row>
    <row r="272" customFormat="false" ht="15" hidden="false" customHeight="false" outlineLevel="0" collapsed="false">
      <c r="A272" s="3" t="n">
        <f aca="false">Prices!A273</f>
        <v>45324</v>
      </c>
      <c r="B272" s="0" t="n">
        <f aca="false">LN(Prices!B273/Prices!B272)</f>
        <v>0.0057394487464731</v>
      </c>
      <c r="C272" s="0" t="n">
        <f aca="false">LN(Prices!C273/Prices!C272)</f>
        <v>0.00516963162405953</v>
      </c>
      <c r="D272" s="0" t="n">
        <f aca="false">LN(Prices!D273/Prices!D272)</f>
        <v>-0.00238714383808311</v>
      </c>
      <c r="E272" s="0" t="n">
        <f aca="false">SUMPRODUCT(B272:D272,Inputs!$B$4:$D$4)</f>
        <v>0.00313052583438217</v>
      </c>
      <c r="F272" s="0" t="n">
        <f aca="false">E272*Inputs!$B$2</f>
        <v>3130.52583438216</v>
      </c>
    </row>
    <row r="273" customFormat="false" ht="15" hidden="false" customHeight="false" outlineLevel="0" collapsed="false">
      <c r="A273" s="3" t="n">
        <f aca="false">Prices!A274</f>
        <v>45327</v>
      </c>
      <c r="B273" s="0" t="n">
        <f aca="false">LN(Prices!B274/Prices!B273)</f>
        <v>-0.00131705882574212</v>
      </c>
      <c r="C273" s="0" t="n">
        <f aca="false">LN(Prices!C274/Prices!C273)</f>
        <v>-0.0159392428030044</v>
      </c>
      <c r="D273" s="0" t="n">
        <f aca="false">LN(Prices!D274/Prices!D273)</f>
        <v>-0.0144450156931468</v>
      </c>
      <c r="E273" s="0" t="n">
        <f aca="false">SUMPRODUCT(B273:D273,Inputs!$B$4:$D$4)</f>
        <v>-0.00964210107914219</v>
      </c>
      <c r="F273" s="0" t="n">
        <f aca="false">E273*Inputs!$B$2</f>
        <v>-9642.10107914219</v>
      </c>
    </row>
    <row r="274" customFormat="false" ht="15" hidden="false" customHeight="false" outlineLevel="0" collapsed="false">
      <c r="A274" s="3" t="n">
        <f aca="false">Prices!A275</f>
        <v>45328</v>
      </c>
      <c r="B274" s="0" t="n">
        <f aca="false">LN(Prices!B275/Prices!B274)</f>
        <v>0.00343245207118954</v>
      </c>
      <c r="C274" s="0" t="n">
        <f aca="false">LN(Prices!C275/Prices!C274)</f>
        <v>0.00244186470448578</v>
      </c>
      <c r="D274" s="0" t="n">
        <f aca="false">LN(Prices!D275/Prices!D274)</f>
        <v>0.00151422600170844</v>
      </c>
      <c r="E274" s="0" t="n">
        <f aca="false">SUMPRODUCT(B274:D274,Inputs!$B$4:$D$4)</f>
        <v>0.00255980804033408</v>
      </c>
      <c r="F274" s="0" t="n">
        <f aca="false">E274*Inputs!$B$2</f>
        <v>2559.80804033408</v>
      </c>
    </row>
    <row r="275" customFormat="false" ht="15" hidden="false" customHeight="false" outlineLevel="0" collapsed="false">
      <c r="A275" s="3" t="n">
        <f aca="false">Prices!A276</f>
        <v>45329</v>
      </c>
      <c r="B275" s="0" t="n">
        <f aca="false">LN(Prices!B276/Prices!B275)</f>
        <v>0.00188279288034683</v>
      </c>
      <c r="C275" s="0" t="n">
        <f aca="false">LN(Prices!C276/Prices!C275)</f>
        <v>-0.00116200379020561</v>
      </c>
      <c r="D275" s="0" t="n">
        <f aca="false">LN(Prices!D276/Prices!D275)</f>
        <v>0.00422837376047961</v>
      </c>
      <c r="E275" s="0" t="n">
        <f aca="false">SUMPRODUCT(B275:D275,Inputs!$B$4:$D$4)</f>
        <v>0.00167302814322093</v>
      </c>
      <c r="F275" s="0" t="n">
        <f aca="false">E275*Inputs!$B$2</f>
        <v>1673.02814322093</v>
      </c>
    </row>
    <row r="276" customFormat="false" ht="15" hidden="false" customHeight="false" outlineLevel="0" collapsed="false">
      <c r="A276" s="3" t="n">
        <f aca="false">Prices!A277</f>
        <v>45330</v>
      </c>
      <c r="B276" s="0" t="n">
        <f aca="false">LN(Prices!B277/Prices!B276)</f>
        <v>-0.00359763819885525</v>
      </c>
      <c r="C276" s="0" t="n">
        <f aca="false">LN(Prices!C277/Prices!C276)</f>
        <v>-0.00407796617337315</v>
      </c>
      <c r="D276" s="0" t="n">
        <f aca="false">LN(Prices!D277/Prices!D276)</f>
        <v>-0.00180989241085424</v>
      </c>
      <c r="E276" s="0" t="n">
        <f aca="false">SUMPRODUCT(B276:D276,Inputs!$B$4:$D$4)</f>
        <v>-0.00320541285481032</v>
      </c>
      <c r="F276" s="0" t="n">
        <f aca="false">E276*Inputs!$B$2</f>
        <v>-3205.41285481032</v>
      </c>
    </row>
    <row r="277" customFormat="false" ht="15" hidden="false" customHeight="false" outlineLevel="0" collapsed="false">
      <c r="A277" s="3" t="n">
        <f aca="false">Prices!A278</f>
        <v>45331</v>
      </c>
      <c r="B277" s="0" t="n">
        <f aca="false">LN(Prices!B278/Prices!B277)</f>
        <v>0.00120059016000729</v>
      </c>
      <c r="C277" s="0" t="n">
        <f aca="false">LN(Prices!C278/Prices!C277)</f>
        <v>0.00279810525909292</v>
      </c>
      <c r="D277" s="0" t="n">
        <f aca="false">LN(Prices!D278/Prices!D277)</f>
        <v>-0.00151087295522476</v>
      </c>
      <c r="E277" s="0" t="n">
        <f aca="false">SUMPRODUCT(B277:D277,Inputs!$B$4:$D$4)</f>
        <v>0.000866405755163363</v>
      </c>
      <c r="F277" s="0" t="n">
        <f aca="false">E277*Inputs!$B$2</f>
        <v>866.405755163363</v>
      </c>
    </row>
    <row r="278" customFormat="false" ht="15" hidden="false" customHeight="false" outlineLevel="0" collapsed="false">
      <c r="A278" s="3" t="n">
        <f aca="false">Prices!A279</f>
        <v>45334</v>
      </c>
      <c r="B278" s="0" t="n">
        <f aca="false">LN(Prices!B279/Prices!B278)</f>
        <v>0.00444711038826609</v>
      </c>
      <c r="C278" s="0" t="n">
        <f aca="false">LN(Prices!C279/Prices!C278)</f>
        <v>0.0113452001641996</v>
      </c>
      <c r="D278" s="0" t="n">
        <f aca="false">LN(Prices!D279/Prices!D278)</f>
        <v>0.0164946989551953</v>
      </c>
      <c r="E278" s="0" t="n">
        <f aca="false">SUMPRODUCT(B278:D278,Inputs!$B$4:$D$4)</f>
        <v>0.0101308138911249</v>
      </c>
      <c r="F278" s="0" t="n">
        <f aca="false">E278*Inputs!$B$2</f>
        <v>10130.8138911249</v>
      </c>
    </row>
    <row r="279" customFormat="false" ht="15" hidden="false" customHeight="false" outlineLevel="0" collapsed="false">
      <c r="A279" s="3" t="n">
        <f aca="false">Prices!A280</f>
        <v>45335</v>
      </c>
      <c r="B279" s="0" t="n">
        <f aca="false">LN(Prices!B280/Prices!B279)</f>
        <v>-0.00874177838751894</v>
      </c>
      <c r="C279" s="0" t="n">
        <f aca="false">LN(Prices!C280/Prices!C279)</f>
        <v>-0.03395306343164</v>
      </c>
      <c r="D279" s="0" t="n">
        <f aca="false">LN(Prices!D280/Prices!D279)</f>
        <v>-0.0262181112934215</v>
      </c>
      <c r="E279" s="0" t="n">
        <f aca="false">SUMPRODUCT(B279:D279,Inputs!$B$4:$D$4)</f>
        <v>-0.021548063772526</v>
      </c>
      <c r="F279" s="0" t="n">
        <f aca="false">E279*Inputs!$B$2</f>
        <v>-21548.063772526</v>
      </c>
    </row>
    <row r="280" customFormat="false" ht="15" hidden="false" customHeight="false" outlineLevel="0" collapsed="false">
      <c r="A280" s="3" t="n">
        <f aca="false">Prices!A281</f>
        <v>45336</v>
      </c>
      <c r="B280" s="0" t="n">
        <f aca="false">LN(Prices!B281/Prices!B280)</f>
        <v>0.0101059118588421</v>
      </c>
      <c r="C280" s="0" t="n">
        <f aca="false">LN(Prices!C281/Prices!C280)</f>
        <v>0.000357269813580542</v>
      </c>
      <c r="D280" s="0" t="n">
        <f aca="false">LN(Prices!D281/Prices!D280)</f>
        <v>0.0115361002273315</v>
      </c>
      <c r="E280" s="0" t="n">
        <f aca="false">SUMPRODUCT(B280:D280,Inputs!$B$4:$D$4)</f>
        <v>0.00761037575581046</v>
      </c>
      <c r="F280" s="0" t="n">
        <f aca="false">E280*Inputs!$B$2</f>
        <v>7610.37575581046</v>
      </c>
    </row>
    <row r="281" customFormat="false" ht="15" hidden="false" customHeight="false" outlineLevel="0" collapsed="false">
      <c r="A281" s="3" t="n">
        <f aca="false">Prices!A282</f>
        <v>45337</v>
      </c>
      <c r="B281" s="0" t="n">
        <f aca="false">LN(Prices!B282/Prices!B281)</f>
        <v>0.0215800117309501</v>
      </c>
      <c r="C281" s="0" t="n">
        <f aca="false">LN(Prices!C282/Prices!C281)</f>
        <v>0.0196859469861953</v>
      </c>
      <c r="D281" s="0" t="n">
        <f aca="false">LN(Prices!D282/Prices!D281)</f>
        <v>0.0279782522411542</v>
      </c>
      <c r="E281" s="0" t="n">
        <f aca="false">SUMPRODUCT(B281:D281,Inputs!$B$4:$D$4)</f>
        <v>0.0229312644605849</v>
      </c>
      <c r="F281" s="0" t="n">
        <f aca="false">E281*Inputs!$B$2</f>
        <v>22931.2644605849</v>
      </c>
    </row>
    <row r="282" customFormat="false" ht="15" hidden="false" customHeight="false" outlineLevel="0" collapsed="false">
      <c r="A282" s="3" t="n">
        <f aca="false">Prices!A283</f>
        <v>45338</v>
      </c>
      <c r="B282" s="0" t="n">
        <f aca="false">LN(Prices!B283/Prices!B282)</f>
        <v>-0.00468082675809227</v>
      </c>
      <c r="C282" s="0" t="n">
        <f aca="false">LN(Prices!C283/Prices!C282)</f>
        <v>0.00964154367003501</v>
      </c>
      <c r="D282" s="0" t="n">
        <f aca="false">LN(Prices!D283/Prices!D282)</f>
        <v>0.000586595416998551</v>
      </c>
      <c r="E282" s="0" t="n">
        <f aca="false">SUMPRODUCT(B282:D282,Inputs!$B$4:$D$4)</f>
        <v>0.00119611102287316</v>
      </c>
      <c r="F282" s="0" t="n">
        <f aca="false">E282*Inputs!$B$2</f>
        <v>1196.11102287316</v>
      </c>
    </row>
    <row r="283" customFormat="false" ht="15" hidden="false" customHeight="false" outlineLevel="0" collapsed="false">
      <c r="A283" s="3" t="n">
        <f aca="false">Prices!A284</f>
        <v>45342</v>
      </c>
      <c r="B283" s="0" t="n">
        <f aca="false">LN(Prices!B284/Prices!B283)</f>
        <v>0.00390225365759681</v>
      </c>
      <c r="C283" s="0" t="n">
        <f aca="false">LN(Prices!C284/Prices!C283)</f>
        <v>-0.0133839198655961</v>
      </c>
      <c r="D283" s="0" t="n">
        <f aca="false">LN(Prices!D284/Prices!D283)</f>
        <v>-0.00382077167045733</v>
      </c>
      <c r="E283" s="0" t="n">
        <f aca="false">SUMPRODUCT(B283:D283,Inputs!$B$4:$D$4)</f>
        <v>-0.00360050599777732</v>
      </c>
      <c r="F283" s="0" t="n">
        <f aca="false">E283*Inputs!$B$2</f>
        <v>-3600.50599777732</v>
      </c>
    </row>
    <row r="284" customFormat="false" ht="15" hidden="false" customHeight="false" outlineLevel="0" collapsed="false">
      <c r="A284" s="3" t="n">
        <f aca="false">Prices!A285</f>
        <v>45343</v>
      </c>
      <c r="B284" s="0" t="n">
        <f aca="false">LN(Prices!B285/Prices!B284)</f>
        <v>0.00648871562417206</v>
      </c>
      <c r="C284" s="0" t="n">
        <f aca="false">LN(Prices!C285/Prices!C284)</f>
        <v>0.00128804906951891</v>
      </c>
      <c r="D284" s="0" t="n">
        <f aca="false">LN(Prices!D285/Prices!D284)</f>
        <v>-0.00768537776096356</v>
      </c>
      <c r="E284" s="0" t="n">
        <f aca="false">SUMPRODUCT(B284:D284,Inputs!$B$4:$D$4)</f>
        <v>0.00067628764223543</v>
      </c>
      <c r="F284" s="0" t="n">
        <f aca="false">E284*Inputs!$B$2</f>
        <v>676.28764223543</v>
      </c>
    </row>
    <row r="285" customFormat="false" ht="15" hidden="false" customHeight="false" outlineLevel="0" collapsed="false">
      <c r="A285" s="3" t="n">
        <f aca="false">Prices!A286</f>
        <v>45344</v>
      </c>
      <c r="B285" s="0" t="n">
        <f aca="false">LN(Prices!B286/Prices!B285)</f>
        <v>0.0119241464402845</v>
      </c>
      <c r="C285" s="0" t="n">
        <f aca="false">LN(Prices!C286/Prices!C285)</f>
        <v>0.00455310254579778</v>
      </c>
      <c r="D285" s="0" t="n">
        <f aca="false">LN(Prices!D286/Prices!D285)</f>
        <v>-0.00267422355365756</v>
      </c>
      <c r="E285" s="0" t="n">
        <f aca="false">SUMPRODUCT(B285:D285,Inputs!$B$4:$D$4)</f>
        <v>0.00533332227375586</v>
      </c>
      <c r="F285" s="0" t="n">
        <f aca="false">E285*Inputs!$B$2</f>
        <v>5333.32227375586</v>
      </c>
    </row>
    <row r="286" customFormat="false" ht="15" hidden="false" customHeight="false" outlineLevel="0" collapsed="false">
      <c r="A286" s="3" t="n">
        <f aca="false">Prices!A287</f>
        <v>45345</v>
      </c>
      <c r="B286" s="0" t="n">
        <f aca="false">LN(Prices!B287/Prices!B286)</f>
        <v>0.00501286552191435</v>
      </c>
      <c r="C286" s="0" t="n">
        <f aca="false">LN(Prices!C287/Prices!C286)</f>
        <v>0.00812076965822726</v>
      </c>
      <c r="D286" s="0" t="n">
        <f aca="false">LN(Prices!D287/Prices!D286)</f>
        <v>0.00918121149120226</v>
      </c>
      <c r="E286" s="0" t="n">
        <f aca="false">SUMPRODUCT(B286:D286,Inputs!$B$4:$D$4)</f>
        <v>0.0071957405535946</v>
      </c>
      <c r="F286" s="0" t="n">
        <f aca="false">E286*Inputs!$B$2</f>
        <v>7195.7405535946</v>
      </c>
    </row>
    <row r="287" customFormat="false" ht="15" hidden="false" customHeight="false" outlineLevel="0" collapsed="false">
      <c r="A287" s="3" t="n">
        <f aca="false">Prices!A288</f>
        <v>45348</v>
      </c>
      <c r="B287" s="0" t="n">
        <f aca="false">LN(Prices!B288/Prices!B287)</f>
        <v>-0.0034299731351021</v>
      </c>
      <c r="C287" s="0" t="n">
        <f aca="false">LN(Prices!C288/Prices!C287)</f>
        <v>-0.010219545077983</v>
      </c>
      <c r="D287" s="0" t="n">
        <f aca="false">LN(Prices!D288/Prices!D287)</f>
        <v>-0.00918121149120232</v>
      </c>
      <c r="E287" s="0" t="n">
        <f aca="false">SUMPRODUCT(B287:D287,Inputs!$B$4:$D$4)</f>
        <v>-0.00719221622479644</v>
      </c>
      <c r="F287" s="0" t="n">
        <f aca="false">E287*Inputs!$B$2</f>
        <v>-7192.21622479644</v>
      </c>
    </row>
    <row r="288" customFormat="false" ht="15" hidden="false" customHeight="false" outlineLevel="0" collapsed="false">
      <c r="A288" s="3" t="n">
        <f aca="false">Prices!A289</f>
        <v>45349</v>
      </c>
      <c r="B288" s="0" t="n">
        <f aca="false">LN(Prices!B289/Prices!B288)</f>
        <v>0.000490754607955584</v>
      </c>
      <c r="C288" s="0" t="n">
        <f aca="false">LN(Prices!C289/Prices!C288)</f>
        <v>-0.00210347668347552</v>
      </c>
      <c r="D288" s="0" t="n">
        <f aca="false">LN(Prices!D289/Prices!D288)</f>
        <v>0.0197382478091452</v>
      </c>
      <c r="E288" s="0" t="n">
        <f aca="false">SUMPRODUCT(B288:D288,Inputs!$B$4:$D$4)</f>
        <v>0.00548673318088315</v>
      </c>
      <c r="F288" s="0" t="n">
        <f aca="false">E288*Inputs!$B$2</f>
        <v>5486.73318088315</v>
      </c>
    </row>
    <row r="289" customFormat="false" ht="15" hidden="false" customHeight="false" outlineLevel="0" collapsed="false">
      <c r="A289" s="3" t="n">
        <f aca="false">Prices!A290</f>
        <v>45350</v>
      </c>
      <c r="B289" s="0" t="n">
        <f aca="false">LN(Prices!B290/Prices!B289)</f>
        <v>0.00505649675601036</v>
      </c>
      <c r="C289" s="0" t="n">
        <f aca="false">LN(Prices!C290/Prices!C289)</f>
        <v>0.00652924983242567</v>
      </c>
      <c r="D289" s="0" t="n">
        <f aca="false">LN(Prices!D290/Prices!D289)</f>
        <v>0.000875207051925901</v>
      </c>
      <c r="E289" s="0" t="n">
        <f aca="false">SUMPRODUCT(B289:D289,Inputs!$B$4:$D$4)</f>
        <v>0.00424393576770962</v>
      </c>
      <c r="F289" s="0" t="n">
        <f aca="false">E289*Inputs!$B$2</f>
        <v>4243.93576770962</v>
      </c>
    </row>
    <row r="290" customFormat="false" ht="15" hidden="false" customHeight="false" outlineLevel="0" collapsed="false">
      <c r="A290" s="3" t="n">
        <f aca="false">Prices!A291</f>
        <v>45351</v>
      </c>
      <c r="B290" s="0" t="n">
        <f aca="false">LN(Prices!B291/Prices!B290)</f>
        <v>0.00907049813329831</v>
      </c>
      <c r="C290" s="0" t="n">
        <f aca="false">LN(Prices!C291/Prices!C290)</f>
        <v>-0.000116302208042481</v>
      </c>
      <c r="D290" s="0" t="n">
        <f aca="false">LN(Prices!D291/Prices!D290)</f>
        <v>0.0131213554688922</v>
      </c>
      <c r="E290" s="0" t="n">
        <f aca="false">SUMPRODUCT(B290:D290,Inputs!$B$4:$D$4)</f>
        <v>0.00752971523157424</v>
      </c>
      <c r="F290" s="0" t="n">
        <f aca="false">E290*Inputs!$B$2</f>
        <v>7529.71523157424</v>
      </c>
    </row>
    <row r="291" customFormat="false" ht="15" hidden="false" customHeight="false" outlineLevel="0" collapsed="false">
      <c r="A291" s="3" t="n">
        <f aca="false">Prices!A292</f>
        <v>45352</v>
      </c>
      <c r="B291" s="0" t="n">
        <f aca="false">LN(Prices!B292/Prices!B291)</f>
        <v>-0.0041471412068172</v>
      </c>
      <c r="C291" s="0" t="n">
        <f aca="false">LN(Prices!C292/Prices!C291)</f>
        <v>0.00510104351851468</v>
      </c>
      <c r="D291" s="0" t="n">
        <f aca="false">LN(Prices!D292/Prices!D291)</f>
        <v>-0.00493662019602396</v>
      </c>
      <c r="E291" s="0" t="n">
        <f aca="false">SUMPRODUCT(B291:D291,Inputs!$B$4:$D$4)</f>
        <v>-0.00160952948597967</v>
      </c>
      <c r="F291" s="0" t="n">
        <f aca="false">E291*Inputs!$B$2</f>
        <v>-1609.52948597967</v>
      </c>
    </row>
    <row r="292" customFormat="false" ht="15" hidden="false" customHeight="false" outlineLevel="0" collapsed="false">
      <c r="A292" s="3" t="n">
        <f aca="false">Prices!A293</f>
        <v>45355</v>
      </c>
      <c r="B292" s="0" t="n">
        <f aca="false">LN(Prices!B293/Prices!B292)</f>
        <v>0.00747367245650461</v>
      </c>
      <c r="C292" s="0" t="n">
        <f aca="false">LN(Prices!C293/Prices!C292)</f>
        <v>0.0403407715448027</v>
      </c>
      <c r="D292" s="0" t="n">
        <f aca="false">LN(Prices!D293/Prices!D292)</f>
        <v>0.0230225219969036</v>
      </c>
      <c r="E292" s="0" t="n">
        <f aca="false">SUMPRODUCT(B292:D292,Inputs!$B$4:$D$4)</f>
        <v>0.0219984570451137</v>
      </c>
      <c r="F292" s="0" t="n">
        <f aca="false">E292*Inputs!$B$2</f>
        <v>21998.4570451137</v>
      </c>
    </row>
    <row r="293" customFormat="false" ht="15" hidden="false" customHeight="false" outlineLevel="0" collapsed="false">
      <c r="A293" s="3" t="n">
        <f aca="false">Prices!A294</f>
        <v>45356</v>
      </c>
      <c r="B293" s="0" t="n">
        <f aca="false">LN(Prices!B294/Prices!B293)</f>
        <v>0.00996761399116075</v>
      </c>
      <c r="C293" s="0" t="n">
        <f aca="false">LN(Prices!C294/Prices!C293)</f>
        <v>-0.0101581597579144</v>
      </c>
      <c r="D293" s="0" t="n">
        <f aca="false">LN(Prices!D294/Prices!D293)</f>
        <v>0.00680447094244695</v>
      </c>
      <c r="E293" s="0" t="n">
        <f aca="false">SUMPRODUCT(B293:D293,Inputs!$B$4:$D$4)</f>
        <v>0.00298093895182407</v>
      </c>
      <c r="F293" s="0" t="n">
        <f aca="false">E293*Inputs!$B$2</f>
        <v>2980.93895182407</v>
      </c>
    </row>
    <row r="294" customFormat="false" ht="15" hidden="false" customHeight="false" outlineLevel="0" collapsed="false">
      <c r="A294" s="3" t="n">
        <f aca="false">Prices!A295</f>
        <v>45357</v>
      </c>
      <c r="B294" s="0" t="n">
        <f aca="false">LN(Prices!B295/Prices!B294)</f>
        <v>0.00518388920327411</v>
      </c>
      <c r="C294" s="0" t="n">
        <f aca="false">LN(Prices!C295/Prices!C294)</f>
        <v>-0.0397098488291493</v>
      </c>
      <c r="D294" s="0" t="n">
        <f aca="false">LN(Prices!D295/Prices!D294)</f>
        <v>0.000847426554428088</v>
      </c>
      <c r="E294" s="0" t="n">
        <f aca="false">SUMPRODUCT(B294:D294,Inputs!$B$4:$D$4)</f>
        <v>-0.00958517100110671</v>
      </c>
      <c r="F294" s="0" t="n">
        <f aca="false">E294*Inputs!$B$2</f>
        <v>-9585.1710011067</v>
      </c>
    </row>
    <row r="295" customFormat="false" ht="15" hidden="false" customHeight="false" outlineLevel="0" collapsed="false">
      <c r="A295" s="3" t="n">
        <f aca="false">Prices!A296</f>
        <v>45358</v>
      </c>
      <c r="B295" s="0" t="n">
        <f aca="false">LN(Prices!B296/Prices!B295)</f>
        <v>-0.00879711564207269</v>
      </c>
      <c r="C295" s="0" t="n">
        <f aca="false">LN(Prices!C296/Prices!C295)</f>
        <v>0.0055876574636908</v>
      </c>
      <c r="D295" s="0" t="n">
        <f aca="false">LN(Prices!D296/Prices!D295)</f>
        <v>0.00591150964937741</v>
      </c>
      <c r="E295" s="0" t="n">
        <f aca="false">SUMPRODUCT(B295:D295,Inputs!$B$4:$D$4)</f>
        <v>-6.90961229086152E-005</v>
      </c>
      <c r="F295" s="0" t="n">
        <f aca="false">E295*Inputs!$B$2</f>
        <v>-69.0961229086152</v>
      </c>
    </row>
    <row r="296" customFormat="false" ht="15" hidden="false" customHeight="false" outlineLevel="0" collapsed="false">
      <c r="A296" s="3" t="n">
        <f aca="false">Prices!A297</f>
        <v>45359</v>
      </c>
      <c r="B296" s="0" t="n">
        <f aca="false">LN(Prices!B297/Prices!B296)</f>
        <v>0.00186138940924953</v>
      </c>
      <c r="C296" s="0" t="n">
        <f aca="false">LN(Prices!C297/Prices!C296)</f>
        <v>0.0103940415154176</v>
      </c>
      <c r="D296" s="0" t="n">
        <f aca="false">LN(Prices!D297/Prices!D296)</f>
        <v>-0.000842429657628291</v>
      </c>
      <c r="E296" s="0" t="n">
        <f aca="false">SUMPRODUCT(B296:D296,Inputs!$B$4:$D$4)</f>
        <v>0.0036100393210366</v>
      </c>
      <c r="F296" s="0" t="n">
        <f aca="false">E296*Inputs!$B$2</f>
        <v>3610.0393210366</v>
      </c>
    </row>
    <row r="297" customFormat="false" ht="15" hidden="false" customHeight="false" outlineLevel="0" collapsed="false">
      <c r="A297" s="3" t="n">
        <f aca="false">Prices!A298</f>
        <v>45362</v>
      </c>
      <c r="B297" s="0" t="n">
        <f aca="false">LN(Prices!B298/Prices!B297)</f>
        <v>0.000371845388871998</v>
      </c>
      <c r="C297" s="0" t="n">
        <f aca="false">LN(Prices!C298/Prices!C297)</f>
        <v>-0.00114954137064827</v>
      </c>
      <c r="D297" s="0" t="n">
        <f aca="false">LN(Prices!D298/Prices!D297)</f>
        <v>0.00811286070032636</v>
      </c>
      <c r="E297" s="0" t="n">
        <f aca="false">SUMPRODUCT(B297:D297,Inputs!$B$4:$D$4)</f>
        <v>0.00223773395445223</v>
      </c>
      <c r="F297" s="0" t="n">
        <f aca="false">E297*Inputs!$B$2</f>
        <v>2237.73395445223</v>
      </c>
    </row>
    <row r="298" customFormat="false" ht="15" hidden="false" customHeight="false" outlineLevel="0" collapsed="false">
      <c r="A298" s="3" t="n">
        <f aca="false">Prices!A299</f>
        <v>45363</v>
      </c>
      <c r="B298" s="0" t="n">
        <f aca="false">LN(Prices!B299/Prices!B298)</f>
        <v>0.00819824700845958</v>
      </c>
      <c r="C298" s="0" t="n">
        <f aca="false">LN(Prices!C299/Prices!C298)</f>
        <v>0.00126450745977374</v>
      </c>
      <c r="D298" s="0" t="n">
        <f aca="false">LN(Prices!D299/Prices!D298)</f>
        <v>0.00194874549046814</v>
      </c>
      <c r="E298" s="0" t="n">
        <f aca="false">SUMPRODUCT(B298:D298,Inputs!$B$4:$D$4)</f>
        <v>0.00424327468845639</v>
      </c>
      <c r="F298" s="0" t="n">
        <f aca="false">E298*Inputs!$B$2</f>
        <v>4243.27468845639</v>
      </c>
    </row>
    <row r="299" customFormat="false" ht="15" hidden="false" customHeight="false" outlineLevel="0" collapsed="false">
      <c r="A299" s="3" t="n">
        <f aca="false">Prices!A300</f>
        <v>45364</v>
      </c>
      <c r="B299" s="0" t="n">
        <f aca="false">LN(Prices!B300/Prices!B299)</f>
        <v>0.00807931790599191</v>
      </c>
      <c r="C299" s="0" t="n">
        <f aca="false">LN(Prices!C300/Prices!C299)</f>
        <v>0.0260786691261698</v>
      </c>
      <c r="D299" s="0" t="n">
        <f aca="false">LN(Prices!D300/Prices!D299)</f>
        <v>0.00333149692003892</v>
      </c>
      <c r="E299" s="0" t="n">
        <f aca="false">SUMPRODUCT(B299:D299,Inputs!$B$4:$D$4)</f>
        <v>0.0120547769762594</v>
      </c>
      <c r="F299" s="0" t="n">
        <f aca="false">E299*Inputs!$B$2</f>
        <v>12054.7769762594</v>
      </c>
    </row>
    <row r="300" customFormat="false" ht="15" hidden="false" customHeight="false" outlineLevel="0" collapsed="false">
      <c r="A300" s="3" t="n">
        <f aca="false">Prices!A301</f>
        <v>45365</v>
      </c>
      <c r="B300" s="0" t="n">
        <f aca="false">LN(Prices!B301/Prices!B300)</f>
        <v>-0.0179786938556254</v>
      </c>
      <c r="C300" s="0" t="n">
        <f aca="false">LN(Prices!C301/Prices!C300)</f>
        <v>-0.00280209676049729</v>
      </c>
      <c r="D300" s="0" t="n">
        <f aca="false">LN(Prices!D301/Prices!D300)</f>
        <v>-0.0108682796482074</v>
      </c>
      <c r="E300" s="0" t="n">
        <f aca="false">SUMPRODUCT(B300:D300,Inputs!$B$4:$D$4)</f>
        <v>-0.0112925904648616</v>
      </c>
      <c r="F300" s="0" t="n">
        <f aca="false">E300*Inputs!$B$2</f>
        <v>-11292.5904648616</v>
      </c>
    </row>
    <row r="301" customFormat="false" ht="15" hidden="false" customHeight="false" outlineLevel="0" collapsed="false">
      <c r="A301" s="3" t="n">
        <f aca="false">Prices!A302</f>
        <v>45366</v>
      </c>
      <c r="B301" s="0" t="n">
        <f aca="false">LN(Prices!B302/Prices!B301)</f>
        <v>0.0123196470225526</v>
      </c>
      <c r="C301" s="0" t="n">
        <f aca="false">LN(Prices!C302/Prices!C301)</f>
        <v>-0.00811359437413856</v>
      </c>
      <c r="D301" s="0" t="n">
        <f aca="false">LN(Prices!D302/Prices!D301)</f>
        <v>-0.0078764512390988</v>
      </c>
      <c r="E301" s="0" t="n">
        <f aca="false">SUMPRODUCT(B301:D301,Inputs!$B$4:$D$4)</f>
        <v>0.000130845125049853</v>
      </c>
      <c r="F301" s="0" t="n">
        <f aca="false">E301*Inputs!$B$2</f>
        <v>130.845125049853</v>
      </c>
    </row>
    <row r="302" customFormat="false" ht="15" hidden="false" customHeight="false" outlineLevel="0" collapsed="false">
      <c r="A302" s="3" t="n">
        <f aca="false">Prices!A303</f>
        <v>45369</v>
      </c>
      <c r="B302" s="0" t="n">
        <f aca="false">LN(Prices!B303/Prices!B302)</f>
        <v>0.0123250676424661</v>
      </c>
      <c r="C302" s="0" t="n">
        <f aca="false">LN(Prices!C303/Prices!C302)</f>
        <v>-0.00476363417789174</v>
      </c>
      <c r="D302" s="0" t="n">
        <f aca="false">LN(Prices!D303/Prices!D302)</f>
        <v>0.0168024731323929</v>
      </c>
      <c r="E302" s="0" t="n">
        <f aca="false">SUMPRODUCT(B302:D302,Inputs!$B$4:$D$4)</f>
        <v>0.00854167874333681</v>
      </c>
      <c r="F302" s="0" t="n">
        <f aca="false">E302*Inputs!$B$2</f>
        <v>8541.67874333681</v>
      </c>
    </row>
    <row r="303" customFormat="false" ht="15" hidden="false" customHeight="false" outlineLevel="0" collapsed="false">
      <c r="A303" s="3" t="n">
        <f aca="false">Prices!A304</f>
        <v>45370</v>
      </c>
      <c r="B303" s="0" t="n">
        <f aca="false">LN(Prices!B304/Prices!B303)</f>
        <v>0.00584803047702432</v>
      </c>
      <c r="C303" s="0" t="n">
        <f aca="false">LN(Prices!C304/Prices!C303)</f>
        <v>0.0052159869405951</v>
      </c>
      <c r="D303" s="0" t="n">
        <f aca="false">LN(Prices!D304/Prices!D303)</f>
        <v>0.000555379872686283</v>
      </c>
      <c r="E303" s="0" t="n">
        <f aca="false">SUMPRODUCT(B303:D303,Inputs!$B$4:$D$4)</f>
        <v>0.00407062223479415</v>
      </c>
      <c r="F303" s="0" t="n">
        <f aca="false">E303*Inputs!$B$2</f>
        <v>4070.62223479415</v>
      </c>
    </row>
    <row r="304" customFormat="false" ht="15" hidden="false" customHeight="false" outlineLevel="0" collapsed="false">
      <c r="A304" s="3" t="n">
        <f aca="false">Prices!A305</f>
        <v>45371</v>
      </c>
      <c r="B304" s="0" t="n">
        <f aca="false">LN(Prices!B305/Prices!B304)</f>
        <v>0.0130219219564363</v>
      </c>
      <c r="C304" s="0" t="n">
        <f aca="false">LN(Prices!C305/Prices!C304)</f>
        <v>0.0326002469598804</v>
      </c>
      <c r="D304" s="0" t="n">
        <f aca="false">LN(Prices!D305/Prices!D304)</f>
        <v>0.0197861497560215</v>
      </c>
      <c r="E304" s="0" t="n">
        <f aca="false">SUMPRODUCT(B304:D304,Inputs!$B$4:$D$4)</f>
        <v>0.0209246877973451</v>
      </c>
      <c r="F304" s="0" t="n">
        <f aca="false">E304*Inputs!$B$2</f>
        <v>20924.6877973451</v>
      </c>
    </row>
    <row r="305" customFormat="false" ht="15" hidden="false" customHeight="false" outlineLevel="0" collapsed="false">
      <c r="A305" s="3" t="n">
        <f aca="false">Prices!A306</f>
        <v>45372</v>
      </c>
      <c r="B305" s="0" t="n">
        <f aca="false">LN(Prices!B306/Prices!B305)</f>
        <v>0.0138093908269448</v>
      </c>
      <c r="C305" s="0" t="n">
        <f aca="false">LN(Prices!C306/Prices!C305)</f>
        <v>0.0221929717825448</v>
      </c>
      <c r="D305" s="0" t="n">
        <f aca="false">LN(Prices!D306/Prices!D305)</f>
        <v>0.0204695559988512</v>
      </c>
      <c r="E305" s="0" t="n">
        <f aca="false">SUMPRODUCT(B305:D305,Inputs!$B$4:$D$4)</f>
        <v>0.0183225146651967</v>
      </c>
      <c r="F305" s="0" t="n">
        <f aca="false">E305*Inputs!$B$2</f>
        <v>18322.5146651967</v>
      </c>
    </row>
    <row r="306" customFormat="false" ht="15" hidden="false" customHeight="false" outlineLevel="0" collapsed="false">
      <c r="A306" s="3" t="n">
        <f aca="false">Prices!A307</f>
        <v>45373</v>
      </c>
      <c r="B306" s="0" t="n">
        <f aca="false">LN(Prices!B307/Prices!B306)</f>
        <v>-0.0123333271122803</v>
      </c>
      <c r="C306" s="0" t="n">
        <f aca="false">LN(Prices!C307/Prices!C306)</f>
        <v>-0.0156463956136234</v>
      </c>
      <c r="D306" s="0" t="n">
        <f aca="false">LN(Prices!D307/Prices!D306)</f>
        <v>-0.0123393458370231</v>
      </c>
      <c r="E306" s="0" t="n">
        <f aca="false">SUMPRODUCT(B306:D306,Inputs!$B$4:$D$4)</f>
        <v>-0.0133290532801061</v>
      </c>
      <c r="F306" s="0" t="n">
        <f aca="false">E306*Inputs!$B$2</f>
        <v>-13329.0532801061</v>
      </c>
    </row>
    <row r="307" customFormat="false" ht="15" hidden="false" customHeight="false" outlineLevel="0" collapsed="false">
      <c r="A307" s="3" t="n">
        <f aca="false">Prices!A308</f>
        <v>45376</v>
      </c>
      <c r="B307" s="0" t="n">
        <f aca="false">LN(Prices!B308/Prices!B307)</f>
        <v>-0.00919691926607083</v>
      </c>
      <c r="C307" s="0" t="n">
        <f aca="false">LN(Prices!C308/Prices!C307)</f>
        <v>-0.00884821123218264</v>
      </c>
      <c r="D307" s="0" t="n">
        <f aca="false">LN(Prices!D308/Prices!D307)</f>
        <v>-0.00514131747645977</v>
      </c>
      <c r="E307" s="0" t="n">
        <f aca="false">SUMPRODUCT(B307:D307,Inputs!$B$4:$D$4)</f>
        <v>-0.00787562631902106</v>
      </c>
      <c r="F307" s="0" t="n">
        <f aca="false">E307*Inputs!$B$2</f>
        <v>-7875.62631902106</v>
      </c>
    </row>
    <row r="308" customFormat="false" ht="15" hidden="false" customHeight="false" outlineLevel="0" collapsed="false">
      <c r="A308" s="3" t="n">
        <f aca="false">Prices!A309</f>
        <v>45377</v>
      </c>
      <c r="B308" s="0" t="n">
        <f aca="false">LN(Prices!B309/Prices!B308)</f>
        <v>0.0046601376223364</v>
      </c>
      <c r="C308" s="0" t="n">
        <f aca="false">LN(Prices!C309/Prices!C308)</f>
        <v>0.00153495207733197</v>
      </c>
      <c r="D308" s="0" t="n">
        <f aca="false">LN(Prices!D309/Prices!D308)</f>
        <v>0.00622039737642796</v>
      </c>
      <c r="E308" s="0" t="n">
        <f aca="false">SUMPRODUCT(B308:D308,Inputs!$B$4:$D$4)</f>
        <v>0.00419065988506254</v>
      </c>
      <c r="F308" s="0" t="n">
        <f aca="false">E308*Inputs!$B$2</f>
        <v>4190.65988506254</v>
      </c>
    </row>
    <row r="309" customFormat="false" ht="15" hidden="false" customHeight="false" outlineLevel="0" collapsed="false">
      <c r="A309" s="3" t="n">
        <f aca="false">Prices!A310</f>
        <v>45378</v>
      </c>
      <c r="B309" s="0" t="n">
        <f aca="false">LN(Prices!B310/Prices!B309)</f>
        <v>0.0191784077190597</v>
      </c>
      <c r="C309" s="0" t="n">
        <f aca="false">LN(Prices!C310/Prices!C309)</f>
        <v>0.0240296433230883</v>
      </c>
      <c r="D309" s="0" t="n">
        <f aca="false">LN(Prices!D310/Prices!D309)</f>
        <v>0.0192262936084397</v>
      </c>
      <c r="E309" s="0" t="n">
        <f aca="false">SUMPRODUCT(B309:D309,Inputs!$B$4:$D$4)</f>
        <v>0.0206481441670823</v>
      </c>
      <c r="F309" s="0" t="n">
        <f aca="false">E309*Inputs!$B$2</f>
        <v>20648.1441670823</v>
      </c>
    </row>
    <row r="310" customFormat="false" ht="15" hidden="false" customHeight="false" outlineLevel="0" collapsed="false">
      <c r="A310" s="3" t="n">
        <f aca="false">Prices!A311</f>
        <v>45379</v>
      </c>
      <c r="B310" s="0" t="n">
        <f aca="false">LN(Prices!B311/Prices!B310)</f>
        <v>0.00390170884715534</v>
      </c>
      <c r="C310" s="0" t="n">
        <f aca="false">LN(Prices!C311/Prices!C310)</f>
        <v>0.00703439838568458</v>
      </c>
      <c r="D310" s="0" t="n">
        <f aca="false">LN(Prices!D311/Prices!D310)</f>
        <v>0.00290490091756434</v>
      </c>
      <c r="E310" s="0" t="n">
        <f aca="false">SUMPRODUCT(B310:D310,Inputs!$B$4:$D$4)</f>
        <v>0.00454247332983681</v>
      </c>
      <c r="F310" s="0" t="n">
        <f aca="false">E310*Inputs!$B$2</f>
        <v>4542.47332983681</v>
      </c>
    </row>
    <row r="311" customFormat="false" ht="15" hidden="false" customHeight="false" outlineLevel="0" collapsed="false">
      <c r="A311" s="3" t="n">
        <f aca="false">Prices!A312</f>
        <v>45383</v>
      </c>
      <c r="B311" s="0" t="n">
        <f aca="false">LN(Prices!B312/Prices!B311)</f>
        <v>-0.00681317659792087</v>
      </c>
      <c r="C311" s="0" t="n">
        <f aca="false">LN(Prices!C312/Prices!C311)</f>
        <v>-0.0067132750005842</v>
      </c>
      <c r="D311" s="0" t="n">
        <f aca="false">LN(Prices!D312/Prices!D311)</f>
        <v>-0.0106044124728879</v>
      </c>
      <c r="E311" s="0" t="n">
        <f aca="false">SUMPRODUCT(B311:D311,Inputs!$B$4:$D$4)</f>
        <v>-0.00792057688120996</v>
      </c>
      <c r="F311" s="0" t="n">
        <f aca="false">E311*Inputs!$B$2</f>
        <v>-7920.57688120996</v>
      </c>
    </row>
    <row r="312" customFormat="false" ht="15" hidden="false" customHeight="false" outlineLevel="0" collapsed="false">
      <c r="A312" s="3" t="n">
        <f aca="false">Prices!A313</f>
        <v>45384</v>
      </c>
      <c r="B312" s="0" t="n">
        <f aca="false">LN(Prices!B313/Prices!B312)</f>
        <v>-0.000402072136251261</v>
      </c>
      <c r="C312" s="0" t="n">
        <f aca="false">LN(Prices!C313/Prices!C312)</f>
        <v>-0.00880602005790462</v>
      </c>
      <c r="D312" s="0" t="n">
        <f aca="false">LN(Prices!D313/Prices!D312)</f>
        <v>-0.00588079996969848</v>
      </c>
      <c r="E312" s="0" t="n">
        <f aca="false">SUMPRODUCT(B312:D312,Inputs!$B$4:$D$4)</f>
        <v>-0.00456687486278144</v>
      </c>
      <c r="F312" s="0" t="n">
        <f aca="false">E312*Inputs!$B$2</f>
        <v>-4566.87486278144</v>
      </c>
    </row>
    <row r="313" customFormat="false" ht="15" hidden="false" customHeight="false" outlineLevel="0" collapsed="false">
      <c r="A313" s="3" t="n">
        <f aca="false">Prices!A314</f>
        <v>45385</v>
      </c>
      <c r="B313" s="0" t="n">
        <f aca="false">LN(Prices!B314/Prices!B313)</f>
        <v>-0.00282001375770467</v>
      </c>
      <c r="C313" s="0" t="n">
        <f aca="false">LN(Prices!C314/Prices!C313)</f>
        <v>0.0031232043096369</v>
      </c>
      <c r="D313" s="0" t="n">
        <f aca="false">LN(Prices!D314/Prices!D313)</f>
        <v>0.00374614024636255</v>
      </c>
      <c r="E313" s="0" t="n">
        <f aca="false">SUMPRODUCT(B313:D313,Inputs!$B$4:$D$4)</f>
        <v>0.000932797863717966</v>
      </c>
      <c r="F313" s="0" t="n">
        <f aca="false">E313*Inputs!$B$2</f>
        <v>932.797863717966</v>
      </c>
    </row>
    <row r="314" customFormat="false" ht="15" hidden="false" customHeight="false" outlineLevel="0" collapsed="false">
      <c r="A314" s="3" t="n">
        <f aca="false">Prices!A315</f>
        <v>45386</v>
      </c>
      <c r="B314" s="0" t="n">
        <f aca="false">LN(Prices!B315/Prices!B314)</f>
        <v>-0.00763748513963324</v>
      </c>
      <c r="C314" s="0" t="n">
        <f aca="false">LN(Prices!C315/Prices!C314)</f>
        <v>-0.0077721976017392</v>
      </c>
      <c r="D314" s="0" t="n">
        <f aca="false">LN(Prices!D315/Prices!D314)</f>
        <v>-0.0139860019584486</v>
      </c>
      <c r="E314" s="0" t="n">
        <f aca="false">SUMPRODUCT(B314:D314,Inputs!$B$4:$D$4)</f>
        <v>-0.00958245392390963</v>
      </c>
      <c r="F314" s="0" t="n">
        <f aca="false">E314*Inputs!$B$2</f>
        <v>-9582.45392390963</v>
      </c>
    </row>
    <row r="315" customFormat="false" ht="15" hidden="false" customHeight="false" outlineLevel="0" collapsed="false">
      <c r="A315" s="3" t="n">
        <f aca="false">Prices!A316</f>
        <v>45387</v>
      </c>
      <c r="B315" s="0" t="n">
        <f aca="false">LN(Prices!B316/Prices!B315)</f>
        <v>0.00915808826393542</v>
      </c>
      <c r="C315" s="0" t="n">
        <f aca="false">LN(Prices!C316/Prices!C315)</f>
        <v>0.00205690279824917</v>
      </c>
      <c r="D315" s="0" t="n">
        <f aca="false">LN(Prices!D316/Prices!D315)</f>
        <v>0.00513276560844285</v>
      </c>
      <c r="E315" s="0" t="n">
        <f aca="false">SUMPRODUCT(B315:D315,Inputs!$B$4:$D$4)</f>
        <v>0.00582013582758177</v>
      </c>
      <c r="F315" s="0" t="n">
        <f aca="false">E315*Inputs!$B$2</f>
        <v>5820.13582758177</v>
      </c>
    </row>
    <row r="316" customFormat="false" ht="15" hidden="false" customHeight="false" outlineLevel="0" collapsed="false">
      <c r="A316" s="3" t="n">
        <f aca="false">Prices!A317</f>
        <v>45390</v>
      </c>
      <c r="B316" s="0" t="n">
        <f aca="false">LN(Prices!B317/Prices!B316)</f>
        <v>0.0052027668274706</v>
      </c>
      <c r="C316" s="0" t="n">
        <f aca="false">LN(Prices!C317/Prices!C316)</f>
        <v>0.00797077303030266</v>
      </c>
      <c r="D316" s="0" t="n">
        <f aca="false">LN(Prices!D317/Prices!D316)</f>
        <v>0.0104546851086007</v>
      </c>
      <c r="E316" s="0" t="n">
        <f aca="false">SUMPRODUCT(B316:D316,Inputs!$B$4:$D$4)</f>
        <v>0.00760874417265926</v>
      </c>
      <c r="F316" s="0" t="n">
        <f aca="false">E316*Inputs!$B$2</f>
        <v>7608.74417265926</v>
      </c>
    </row>
    <row r="317" customFormat="false" ht="15" hidden="false" customHeight="false" outlineLevel="0" collapsed="false">
      <c r="A317" s="3" t="n">
        <f aca="false">Prices!A318</f>
        <v>45391</v>
      </c>
      <c r="B317" s="0" t="n">
        <f aca="false">LN(Prices!B318/Prices!B317)</f>
        <v>-0.00672345104742388</v>
      </c>
      <c r="C317" s="0" t="n">
        <f aca="false">LN(Prices!C318/Prices!C317)</f>
        <v>0.00929045452567569</v>
      </c>
      <c r="D317" s="0" t="n">
        <f aca="false">LN(Prices!D318/Prices!D317)</f>
        <v>0.00611466692812619</v>
      </c>
      <c r="E317" s="0" t="n">
        <f aca="false">SUMPRODUCT(B317:D317,Inputs!$B$4:$D$4)</f>
        <v>0.00193215601717101</v>
      </c>
      <c r="F317" s="0" t="n">
        <f aca="false">E317*Inputs!$B$2</f>
        <v>1932.15601717101</v>
      </c>
    </row>
    <row r="318" customFormat="false" ht="15" hidden="false" customHeight="false" outlineLevel="0" collapsed="false">
      <c r="A318" s="3" t="n">
        <f aca="false">Prices!A319</f>
        <v>45392</v>
      </c>
      <c r="B318" s="0" t="n">
        <f aca="false">LN(Prices!B319/Prices!B318)</f>
        <v>-0.00855796539302886</v>
      </c>
      <c r="C318" s="0" t="n">
        <f aca="false">LN(Prices!C319/Prices!C318)</f>
        <v>-0.0261686447242502</v>
      </c>
      <c r="D318" s="0" t="n">
        <f aca="false">LN(Prices!D319/Prices!D318)</f>
        <v>-0.0290420966492517</v>
      </c>
      <c r="E318" s="0" t="n">
        <f aca="false">SUMPRODUCT(B318:D318,Inputs!$B$4:$D$4)</f>
        <v>-0.0199864085692621</v>
      </c>
      <c r="F318" s="0" t="n">
        <f aca="false">E318*Inputs!$B$2</f>
        <v>-19986.4085692621</v>
      </c>
    </row>
    <row r="319" customFormat="false" ht="15" hidden="false" customHeight="false" outlineLevel="0" collapsed="false">
      <c r="A319" s="3" t="n">
        <f aca="false">Prices!A320</f>
        <v>45393</v>
      </c>
      <c r="B319" s="0" t="n">
        <f aca="false">LN(Prices!B320/Prices!B319)</f>
        <v>-0.000204666143363987</v>
      </c>
      <c r="C319" s="0" t="n">
        <f aca="false">LN(Prices!C320/Prices!C319)</f>
        <v>-0.0539095055130824</v>
      </c>
      <c r="D319" s="0" t="n">
        <f aca="false">LN(Prices!D320/Prices!D319)</f>
        <v>-0.00821930816287913</v>
      </c>
      <c r="E319" s="0" t="n">
        <f aca="false">SUMPRODUCT(B319:D319,Inputs!$B$4:$D$4)</f>
        <v>-0.0187205105601341</v>
      </c>
      <c r="F319" s="0" t="n">
        <f aca="false">E319*Inputs!$B$2</f>
        <v>-18720.5105601341</v>
      </c>
    </row>
    <row r="320" customFormat="false" ht="15" hidden="false" customHeight="false" outlineLevel="0" collapsed="false">
      <c r="A320" s="3" t="n">
        <f aca="false">Prices!A321</f>
        <v>45394</v>
      </c>
      <c r="B320" s="0" t="n">
        <f aca="false">LN(Prices!B321/Prices!B320)</f>
        <v>-0.0668641736761707</v>
      </c>
      <c r="C320" s="0" t="n">
        <f aca="false">LN(Prices!C321/Prices!C320)</f>
        <v>-0.00751312451329567</v>
      </c>
      <c r="D320" s="0" t="n">
        <f aca="false">LN(Prices!D321/Prices!D320)</f>
        <v>-0.0155256964904748</v>
      </c>
      <c r="E320" s="0" t="n">
        <f aca="false">SUMPRODUCT(B320:D320,Inputs!$B$4:$D$4)</f>
        <v>-0.0336573157715994</v>
      </c>
      <c r="F320" s="0" t="n">
        <f aca="false">E320*Inputs!$B$2</f>
        <v>-33657.3157715994</v>
      </c>
    </row>
    <row r="321" customFormat="false" ht="15" hidden="false" customHeight="false" outlineLevel="0" collapsed="false">
      <c r="A321" s="3" t="n">
        <f aca="false">Prices!A322</f>
        <v>45397</v>
      </c>
      <c r="B321" s="0" t="n">
        <f aca="false">LN(Prices!B322/Prices!B321)</f>
        <v>0.000546953524117247</v>
      </c>
      <c r="C321" s="0" t="n">
        <f aca="false">LN(Prices!C322/Prices!C321)</f>
        <v>0.00923878362206143</v>
      </c>
      <c r="D321" s="0" t="n">
        <f aca="false">LN(Prices!D322/Prices!D321)</f>
        <v>0.00446061252332343</v>
      </c>
      <c r="E321" s="0" t="n">
        <f aca="false">SUMPRODUCT(B321:D321,Inputs!$B$4:$D$4)</f>
        <v>0.00432860025326236</v>
      </c>
      <c r="F321" s="0" t="n">
        <f aca="false">E321*Inputs!$B$2</f>
        <v>4328.60025326236</v>
      </c>
    </row>
    <row r="322" customFormat="false" ht="15" hidden="false" customHeight="false" outlineLevel="0" collapsed="false">
      <c r="A322" s="3" t="n">
        <f aca="false">Prices!A323</f>
        <v>45398</v>
      </c>
      <c r="B322" s="0" t="n">
        <f aca="false">LN(Prices!B323/Prices!B322)</f>
        <v>-0.0114936088276596</v>
      </c>
      <c r="C322" s="0" t="n">
        <f aca="false">LN(Prices!C323/Prices!C322)</f>
        <v>0.0244150750726222</v>
      </c>
      <c r="D322" s="0" t="n">
        <f aca="false">LN(Prices!D323/Prices!D322)</f>
        <v>-0.0359660691313525</v>
      </c>
      <c r="E322" s="0" t="n">
        <f aca="false">SUMPRODUCT(B322:D322,Inputs!$B$4:$D$4)</f>
        <v>-0.00806274174868295</v>
      </c>
      <c r="F322" s="0" t="n">
        <f aca="false">E322*Inputs!$B$2</f>
        <v>-8062.74174868295</v>
      </c>
    </row>
    <row r="323" customFormat="false" ht="15" hidden="false" customHeight="false" outlineLevel="0" collapsed="false">
      <c r="A323" s="3" t="n">
        <f aca="false">Prices!A324</f>
        <v>45399</v>
      </c>
      <c r="B323" s="0" t="n">
        <f aca="false">LN(Prices!B324/Prices!B323)</f>
        <v>-0.00399018477249182</v>
      </c>
      <c r="C323" s="0" t="n">
        <f aca="false">LN(Prices!C324/Prices!C323)</f>
        <v>0.0104901777096829</v>
      </c>
      <c r="D323" s="0" t="n">
        <f aca="false">LN(Prices!D324/Prices!D323)</f>
        <v>0.0157347917234604</v>
      </c>
      <c r="E323" s="0" t="n">
        <f aca="false">SUMPRODUCT(B323:D323,Inputs!$B$4:$D$4)</f>
        <v>0.00627141692094626</v>
      </c>
      <c r="F323" s="0" t="n">
        <f aca="false">E323*Inputs!$B$2</f>
        <v>6271.41692094626</v>
      </c>
    </row>
    <row r="324" customFormat="false" ht="15" hidden="false" customHeight="false" outlineLevel="0" collapsed="false">
      <c r="A324" s="3" t="n">
        <f aca="false">Prices!A325</f>
        <v>45400</v>
      </c>
      <c r="B324" s="0" t="n">
        <f aca="false">LN(Prices!B325/Prices!B324)</f>
        <v>0.00647611048924191</v>
      </c>
      <c r="C324" s="0" t="n">
        <f aca="false">LN(Prices!C325/Prices!C324)</f>
        <v>0.00199612918799883</v>
      </c>
      <c r="D324" s="0" t="n">
        <f aca="false">LN(Prices!D325/Prices!D324)</f>
        <v>0.0152116725910017</v>
      </c>
      <c r="E324" s="0" t="n">
        <f aca="false">SUMPRODUCT(B324:D324,Inputs!$B$4:$D$4)</f>
        <v>0.00775278472939691</v>
      </c>
      <c r="F324" s="0" t="n">
        <f aca="false">E324*Inputs!$B$2</f>
        <v>7752.78472939691</v>
      </c>
    </row>
    <row r="325" customFormat="false" ht="15" hidden="false" customHeight="false" outlineLevel="0" collapsed="false">
      <c r="A325" s="3" t="n">
        <f aca="false">Prices!A326</f>
        <v>45401</v>
      </c>
      <c r="B325" s="0" t="n">
        <f aca="false">LN(Prices!B326/Prices!B325)</f>
        <v>0.0247935925354438</v>
      </c>
      <c r="C325" s="0" t="n">
        <f aca="false">LN(Prices!C326/Prices!C325)</f>
        <v>0.00442178895726782</v>
      </c>
      <c r="D325" s="0" t="n">
        <f aca="false">LN(Prices!D326/Prices!D325)</f>
        <v>0.0329973347976081</v>
      </c>
      <c r="E325" s="0" t="n">
        <f aca="false">SUMPRODUCT(B325:D325,Inputs!$B$4:$D$4)</f>
        <v>0.0211431741406403</v>
      </c>
      <c r="F325" s="0" t="n">
        <f aca="false">E325*Inputs!$B$2</f>
        <v>21143.1741406403</v>
      </c>
    </row>
    <row r="326" customFormat="false" ht="15" hidden="false" customHeight="false" outlineLevel="0" collapsed="false">
      <c r="A326" s="3" t="n">
        <f aca="false">Prices!A327</f>
        <v>45404</v>
      </c>
      <c r="B326" s="0" t="n">
        <f aca="false">LN(Prices!B327/Prices!B326)</f>
        <v>0.0192430457497515</v>
      </c>
      <c r="C326" s="0" t="n">
        <f aca="false">LN(Prices!C327/Prices!C326)</f>
        <v>0.0156501363310473</v>
      </c>
      <c r="D326" s="0" t="n">
        <f aca="false">LN(Prices!D327/Prices!D326)</f>
        <v>0.0203487587985645</v>
      </c>
      <c r="E326" s="0" t="n">
        <f aca="false">SUMPRODUCT(B326:D326,Inputs!$B$4:$D$4)</f>
        <v>0.0184968868387842</v>
      </c>
      <c r="F326" s="0" t="n">
        <f aca="false">E326*Inputs!$B$2</f>
        <v>18496.8868387842</v>
      </c>
    </row>
    <row r="327" customFormat="false" ht="15" hidden="false" customHeight="false" outlineLevel="0" collapsed="false">
      <c r="A327" s="3" t="n">
        <f aca="false">Prices!A328</f>
        <v>45405</v>
      </c>
      <c r="B327" s="0" t="n">
        <f aca="false">LN(Prices!B328/Prices!B327)</f>
        <v>0.0143102142158294</v>
      </c>
      <c r="C327" s="0" t="n">
        <f aca="false">LN(Prices!C328/Prices!C327)</f>
        <v>0.0179719166081039</v>
      </c>
      <c r="D327" s="0" t="n">
        <f aca="false">LN(Prices!D328/Prices!D327)</f>
        <v>0.016820462637199</v>
      </c>
      <c r="E327" s="0" t="n">
        <f aca="false">SUMPRODUCT(B327:D327,Inputs!$B$4:$D$4)</f>
        <v>0.0161617994599226</v>
      </c>
      <c r="F327" s="0" t="n">
        <f aca="false">E327*Inputs!$B$2</f>
        <v>16161.7994599226</v>
      </c>
    </row>
    <row r="328" customFormat="false" ht="15" hidden="false" customHeight="false" outlineLevel="0" collapsed="false">
      <c r="A328" s="3" t="n">
        <f aca="false">Prices!A329</f>
        <v>45406</v>
      </c>
      <c r="B328" s="0" t="n">
        <f aca="false">LN(Prices!B329/Prices!B328)</f>
        <v>0.00488058127853829</v>
      </c>
      <c r="C328" s="0" t="n">
        <f aca="false">LN(Prices!C329/Prices!C328)</f>
        <v>0.000959519685762115</v>
      </c>
      <c r="D328" s="0" t="n">
        <f aca="false">LN(Prices!D329/Prices!D328)</f>
        <v>-0.00130415749165949</v>
      </c>
      <c r="E328" s="0" t="n">
        <f aca="false">SUMPRODUCT(B328:D328,Inputs!$B$4:$D$4)</f>
        <v>0.0018488411696461</v>
      </c>
      <c r="F328" s="0" t="n">
        <f aca="false">E328*Inputs!$B$2</f>
        <v>1848.8411696461</v>
      </c>
    </row>
    <row r="329" customFormat="false" ht="15" hidden="false" customHeight="false" outlineLevel="0" collapsed="false">
      <c r="A329" s="3" t="n">
        <f aca="false">Prices!A330</f>
        <v>45407</v>
      </c>
      <c r="B329" s="0" t="n">
        <f aca="false">LN(Prices!B330/Prices!B329)</f>
        <v>0.00150070920257587</v>
      </c>
      <c r="C329" s="0" t="n">
        <f aca="false">LN(Prices!C330/Prices!C329)</f>
        <v>-0.0138407579524685</v>
      </c>
      <c r="D329" s="0" t="n">
        <f aca="false">LN(Prices!D330/Prices!D329)</f>
        <v>-0.0107569465488242</v>
      </c>
      <c r="E329" s="0" t="n">
        <f aca="false">SUMPRODUCT(B329:D329,Inputs!$B$4:$D$4)</f>
        <v>-0.00677902766935746</v>
      </c>
      <c r="F329" s="0" t="n">
        <f aca="false">E329*Inputs!$B$2</f>
        <v>-6779.02766935746</v>
      </c>
    </row>
    <row r="330" customFormat="false" ht="15" hidden="false" customHeight="false" outlineLevel="0" collapsed="false">
      <c r="A330" s="3" t="n">
        <f aca="false">Prices!A331</f>
        <v>45408</v>
      </c>
      <c r="B330" s="0" t="n">
        <f aca="false">LN(Prices!B331/Prices!B330)</f>
        <v>0.000620575690639013</v>
      </c>
      <c r="C330" s="0" t="n">
        <f aca="false">LN(Prices!C331/Prices!C330)</f>
        <v>0.00291285438709345</v>
      </c>
      <c r="D330" s="0" t="n">
        <f aca="false">LN(Prices!D331/Prices!D330)</f>
        <v>-0.00211256938525634</v>
      </c>
      <c r="E330" s="0" t="n">
        <f aca="false">SUMPRODUCT(B330:D330,Inputs!$B$4:$D$4)</f>
        <v>0.000488315776806739</v>
      </c>
      <c r="F330" s="0" t="n">
        <f aca="false">E330*Inputs!$B$2</f>
        <v>488.315776806739</v>
      </c>
    </row>
    <row r="331" customFormat="false" ht="15" hidden="false" customHeight="false" outlineLevel="0" collapsed="false">
      <c r="A331" s="3" t="n">
        <f aca="false">Prices!A332</f>
        <v>45411</v>
      </c>
      <c r="B331" s="0" t="n">
        <f aca="false">LN(Prices!B332/Prices!B331)</f>
        <v>-0.00108609488173981</v>
      </c>
      <c r="C331" s="0" t="n">
        <f aca="false">LN(Prices!C332/Prices!C331)</f>
        <v>0.001412410765069</v>
      </c>
      <c r="D331" s="0" t="n">
        <f aca="false">LN(Prices!D332/Prices!D331)</f>
        <v>-0.00742901520738491</v>
      </c>
      <c r="E331" s="0" t="n">
        <f aca="false">SUMPRODUCT(B331:D331,Inputs!$B$4:$D$4)</f>
        <v>-0.0022394192853907</v>
      </c>
      <c r="F331" s="0" t="n">
        <f aca="false">E331*Inputs!$B$2</f>
        <v>-2239.4192853907</v>
      </c>
    </row>
    <row r="332" customFormat="false" ht="15" hidden="false" customHeight="false" outlineLevel="0" collapsed="false">
      <c r="A332" s="3" t="n">
        <f aca="false">Prices!A333</f>
        <v>45412</v>
      </c>
      <c r="B332" s="0" t="n">
        <f aca="false">LN(Prices!B333/Prices!B332)</f>
        <v>-0.00799961079876106</v>
      </c>
      <c r="C332" s="0" t="n">
        <f aca="false">LN(Prices!C333/Prices!C332)</f>
        <v>-0.0138839583397436</v>
      </c>
      <c r="D332" s="0" t="n">
        <f aca="false">LN(Prices!D333/Prices!D332)</f>
        <v>-0.014485228383369</v>
      </c>
      <c r="E332" s="0" t="n">
        <f aca="false">SUMPRODUCT(B332:D332,Inputs!$B$4:$D$4)</f>
        <v>-0.0117106003364382</v>
      </c>
      <c r="F332" s="0" t="n">
        <f aca="false">E332*Inputs!$B$2</f>
        <v>-11710.6003364382</v>
      </c>
    </row>
    <row r="333" customFormat="false" ht="15" hidden="false" customHeight="false" outlineLevel="0" collapsed="false">
      <c r="A333" s="3" t="n">
        <f aca="false">Prices!A334</f>
        <v>45413</v>
      </c>
      <c r="B333" s="0" t="n">
        <f aca="false">LN(Prices!B334/Prices!B333)</f>
        <v>0.000625849591631925</v>
      </c>
      <c r="C333" s="0" t="n">
        <f aca="false">LN(Prices!C334/Prices!C333)</f>
        <v>0.00767651653693216</v>
      </c>
      <c r="D333" s="0" t="n">
        <f aca="false">LN(Prices!D334/Prices!D333)</f>
        <v>-0.00162255933098232</v>
      </c>
      <c r="E333" s="0" t="n">
        <f aca="false">SUMPRODUCT(B333:D333,Inputs!$B$4:$D$4)</f>
        <v>0.00206652699843772</v>
      </c>
      <c r="F333" s="0" t="n">
        <f aca="false">E333*Inputs!$B$2</f>
        <v>2066.52699843772</v>
      </c>
    </row>
    <row r="334" customFormat="false" ht="15" hidden="false" customHeight="false" outlineLevel="0" collapsed="false">
      <c r="A334" s="3" t="n">
        <f aca="false">Prices!A335</f>
        <v>45414</v>
      </c>
      <c r="B334" s="0" t="n">
        <f aca="false">LN(Prices!B335/Prices!B334)</f>
        <v>-0.00104318913818389</v>
      </c>
      <c r="C334" s="0" t="n">
        <f aca="false">LN(Prices!C335/Prices!C334)</f>
        <v>0.0120528624143907</v>
      </c>
      <c r="D334" s="0" t="n">
        <f aca="false">LN(Prices!D335/Prices!D334)</f>
        <v>-0.00189604560272852</v>
      </c>
      <c r="E334" s="0" t="n">
        <f aca="false">SUMPRODUCT(B334:D334,Inputs!$B$4:$D$4)</f>
        <v>0.00262976938822508</v>
      </c>
      <c r="F334" s="0" t="n">
        <f aca="false">E334*Inputs!$B$2</f>
        <v>2629.76938822508</v>
      </c>
    </row>
    <row r="335" customFormat="false" ht="15" hidden="false" customHeight="false" outlineLevel="0" collapsed="false">
      <c r="A335" s="3" t="n">
        <f aca="false">Prices!A336</f>
        <v>45415</v>
      </c>
      <c r="B335" s="0" t="n">
        <f aca="false">LN(Prices!B336/Prices!B335)</f>
        <v>-0.00601837360604361</v>
      </c>
      <c r="C335" s="0" t="n">
        <f aca="false">LN(Prices!C336/Prices!C335)</f>
        <v>0.0106285435746289</v>
      </c>
      <c r="D335" s="0" t="n">
        <f aca="false">LN(Prices!D336/Prices!D335)</f>
        <v>0.00998242591519311</v>
      </c>
      <c r="E335" s="0" t="n">
        <f aca="false">SUMPRODUCT(B335:D335,Inputs!$B$4:$D$4)</f>
        <v>0.00377594140452915</v>
      </c>
      <c r="F335" s="0" t="n">
        <f aca="false">E335*Inputs!$B$2</f>
        <v>3775.94140452915</v>
      </c>
    </row>
    <row r="336" customFormat="false" ht="15" hidden="false" customHeight="false" outlineLevel="0" collapsed="false">
      <c r="A336" s="3" t="n">
        <f aca="false">Prices!A337</f>
        <v>45418</v>
      </c>
      <c r="B336" s="0" t="n">
        <f aca="false">LN(Prices!B337/Prices!B336)</f>
        <v>0.00779078178415106</v>
      </c>
      <c r="C336" s="0" t="n">
        <f aca="false">LN(Prices!C337/Prices!C336)</f>
        <v>0.0122063403933023</v>
      </c>
      <c r="D336" s="0" t="n">
        <f aca="false">LN(Prices!D337/Prices!D336)</f>
        <v>0.0117428673430863</v>
      </c>
      <c r="E336" s="0" t="n">
        <f aca="false">SUMPRODUCT(B336:D336,Inputs!$B$4:$D$4)</f>
        <v>0.010301075034577</v>
      </c>
      <c r="F336" s="0" t="n">
        <f aca="false">E336*Inputs!$B$2</f>
        <v>10301.075034577</v>
      </c>
    </row>
    <row r="337" customFormat="false" ht="15" hidden="false" customHeight="false" outlineLevel="0" collapsed="false">
      <c r="A337" s="3" t="n">
        <f aca="false">Prices!A338</f>
        <v>45419</v>
      </c>
      <c r="B337" s="0" t="n">
        <f aca="false">LN(Prices!B338/Prices!B337)</f>
        <v>-0.00130295512231734</v>
      </c>
      <c r="C337" s="0" t="n">
        <f aca="false">LN(Prices!C338/Prices!C337)</f>
        <v>0.0104943692418625</v>
      </c>
      <c r="D337" s="0" t="n">
        <f aca="false">LN(Prices!D338/Prices!D337)</f>
        <v>0.00397192399347014</v>
      </c>
      <c r="E337" s="0" t="n">
        <f aca="false">SUMPRODUCT(B337:D337,Inputs!$B$4:$D$4)</f>
        <v>0.00381870592167284</v>
      </c>
      <c r="F337" s="0" t="n">
        <f aca="false">E337*Inputs!$B$2</f>
        <v>3818.70592167284</v>
      </c>
    </row>
    <row r="338" customFormat="false" ht="15" hidden="false" customHeight="false" outlineLevel="0" collapsed="false">
      <c r="A338" s="3" t="n">
        <f aca="false">Prices!A339</f>
        <v>45420</v>
      </c>
      <c r="B338" s="0" t="n">
        <f aca="false">LN(Prices!B339/Prices!B338)</f>
        <v>0.0201350042538587</v>
      </c>
      <c r="C338" s="0" t="n">
        <f aca="false">LN(Prices!C339/Prices!C338)</f>
        <v>-0.00156705417388244</v>
      </c>
      <c r="D338" s="0" t="n">
        <f aca="false">LN(Prices!D339/Prices!D338)</f>
        <v>-0.00344161447941342</v>
      </c>
      <c r="E338" s="0" t="n">
        <f aca="false">SUMPRODUCT(B338:D338,Inputs!$B$4:$D$4)</f>
        <v>0.00655140110555473</v>
      </c>
      <c r="F338" s="0" t="n">
        <f aca="false">E338*Inputs!$B$2</f>
        <v>6551.40110555473</v>
      </c>
    </row>
    <row r="339" customFormat="false" ht="15" hidden="false" customHeight="false" outlineLevel="0" collapsed="false">
      <c r="A339" s="3" t="n">
        <f aca="false">Prices!A340</f>
        <v>45421</v>
      </c>
      <c r="B339" s="0" t="n">
        <f aca="false">LN(Prices!B340/Prices!B339)</f>
        <v>0.00941125699333891</v>
      </c>
      <c r="C339" s="0" t="n">
        <f aca="false">LN(Prices!C340/Prices!C339)</f>
        <v>0.0254981124431126</v>
      </c>
      <c r="D339" s="0" t="n">
        <f aca="false">LN(Prices!D340/Prices!D339)</f>
        <v>0.0150022308095542</v>
      </c>
      <c r="E339" s="0" t="n">
        <f aca="false">SUMPRODUCT(B339:D339,Inputs!$B$4:$D$4)</f>
        <v>0.0159146057731356</v>
      </c>
      <c r="F339" s="0" t="n">
        <f aca="false">E339*Inputs!$B$2</f>
        <v>15914.6057731356</v>
      </c>
    </row>
    <row r="340" customFormat="false" ht="15" hidden="false" customHeight="false" outlineLevel="0" collapsed="false">
      <c r="A340" s="3" t="n">
        <f aca="false">Prices!A341</f>
        <v>45422</v>
      </c>
      <c r="B340" s="0" t="n">
        <f aca="false">LN(Prices!B341/Prices!B340)</f>
        <v>0.00640974919896284</v>
      </c>
      <c r="C340" s="0" t="n">
        <f aca="false">LN(Prices!C341/Prices!C340)</f>
        <v>0.00173133309088344</v>
      </c>
      <c r="D340" s="0" t="n">
        <f aca="false">LN(Prices!D341/Prices!D340)</f>
        <v>0.00443145200590017</v>
      </c>
      <c r="E340" s="0" t="n">
        <f aca="false">SUMPRODUCT(B340:D340,Inputs!$B$4:$D$4)</f>
        <v>0.00441273520862022</v>
      </c>
      <c r="F340" s="0" t="n">
        <f aca="false">E340*Inputs!$B$2</f>
        <v>4412.73520862022</v>
      </c>
    </row>
    <row r="341" customFormat="false" ht="15" hidden="false" customHeight="false" outlineLevel="0" collapsed="false">
      <c r="A341" s="3" t="n">
        <f aca="false">Prices!A342</f>
        <v>45425</v>
      </c>
      <c r="B341" s="0" t="n">
        <f aca="false">LN(Prices!B342/Prices!B341)</f>
        <v>-0.000201267891862694</v>
      </c>
      <c r="C341" s="0" t="n">
        <f aca="false">LN(Prices!C342/Prices!C341)</f>
        <v>0.00284482792117843</v>
      </c>
      <c r="D341" s="0" t="n">
        <f aca="false">LN(Prices!D342/Prices!D341)</f>
        <v>-0.00626145565671483</v>
      </c>
      <c r="E341" s="0" t="n">
        <f aca="false">SUMPRODUCT(B341:D341,Inputs!$B$4:$D$4)</f>
        <v>-0.001105495477406</v>
      </c>
      <c r="F341" s="0" t="n">
        <f aca="false">E341*Inputs!$B$2</f>
        <v>-1105.495477406</v>
      </c>
    </row>
    <row r="342" customFormat="false" ht="15" hidden="false" customHeight="false" outlineLevel="0" collapsed="false">
      <c r="A342" s="3" t="n">
        <f aca="false">Prices!A343</f>
        <v>45426</v>
      </c>
      <c r="B342" s="0" t="n">
        <f aca="false">LN(Prices!B343/Prices!B342)</f>
        <v>0.0138918619131078</v>
      </c>
      <c r="C342" s="0" t="n">
        <f aca="false">LN(Prices!C343/Prices!C342)</f>
        <v>0.00828541125419293</v>
      </c>
      <c r="D342" s="0" t="n">
        <f aca="false">LN(Prices!D343/Prices!D342)</f>
        <v>0.00730126547341026</v>
      </c>
      <c r="E342" s="0" t="n">
        <f aca="false">SUMPRODUCT(B342:D342,Inputs!$B$4:$D$4)</f>
        <v>0.0102327477835241</v>
      </c>
      <c r="F342" s="0" t="n">
        <f aca="false">E342*Inputs!$B$2</f>
        <v>10232.7477835241</v>
      </c>
    </row>
    <row r="343" customFormat="false" ht="15" hidden="false" customHeight="false" outlineLevel="0" collapsed="false">
      <c r="A343" s="3" t="n">
        <f aca="false">Prices!A344</f>
        <v>45427</v>
      </c>
      <c r="B343" s="0" t="n">
        <f aca="false">LN(Prices!B344/Prices!B343)</f>
        <v>0.00297316462402075</v>
      </c>
      <c r="C343" s="0" t="n">
        <f aca="false">LN(Prices!C344/Prices!C343)</f>
        <v>0.0114057580997728</v>
      </c>
      <c r="D343" s="0" t="n">
        <f aca="false">LN(Prices!D344/Prices!D343)</f>
        <v>0.0108526999849772</v>
      </c>
      <c r="E343" s="0" t="n">
        <f aca="false">SUMPRODUCT(B343:D343,Inputs!$B$4:$D$4)</f>
        <v>0.0078668032750333</v>
      </c>
      <c r="F343" s="0" t="n">
        <f aca="false">E343*Inputs!$B$2</f>
        <v>7866.8032750333</v>
      </c>
    </row>
    <row r="344" customFormat="false" ht="15" hidden="false" customHeight="false" outlineLevel="0" collapsed="false">
      <c r="A344" s="3" t="n">
        <f aca="false">Prices!A345</f>
        <v>45428</v>
      </c>
      <c r="B344" s="0" t="n">
        <f aca="false">LN(Prices!B345/Prices!B344)</f>
        <v>0.0017796333588574</v>
      </c>
      <c r="C344" s="0" t="n">
        <f aca="false">LN(Prices!C345/Prices!C344)</f>
        <v>-0.00939532088698112</v>
      </c>
      <c r="D344" s="0" t="n">
        <f aca="false">LN(Prices!D345/Prices!D344)</f>
        <v>0.00793556962661561</v>
      </c>
      <c r="E344" s="0" t="n">
        <f aca="false">SUMPRODUCT(B344:D344,Inputs!$B$4:$D$4)</f>
        <v>0.000273927965433304</v>
      </c>
      <c r="F344" s="0" t="n">
        <f aca="false">E344*Inputs!$B$2</f>
        <v>273.927965433304</v>
      </c>
    </row>
    <row r="345" customFormat="false" ht="15" hidden="false" customHeight="false" outlineLevel="0" collapsed="false">
      <c r="A345" s="3" t="n">
        <f aca="false">Prices!A346</f>
        <v>45429</v>
      </c>
      <c r="B345" s="0" t="n">
        <f aca="false">LN(Prices!B346/Prices!B345)</f>
        <v>0.0113933539575375</v>
      </c>
      <c r="C345" s="0" t="n">
        <f aca="false">LN(Prices!C346/Prices!C345)</f>
        <v>0.00640640410825724</v>
      </c>
      <c r="D345" s="0" t="n">
        <f aca="false">LN(Prices!D346/Prices!D345)</f>
        <v>0.00178322745089743</v>
      </c>
      <c r="E345" s="0" t="n">
        <f aca="false">SUMPRODUCT(B345:D345,Inputs!$B$4:$D$4)</f>
        <v>0.00701423105076142</v>
      </c>
      <c r="F345" s="0" t="n">
        <f aca="false">E345*Inputs!$B$2</f>
        <v>7014.23105076142</v>
      </c>
    </row>
    <row r="346" customFormat="false" ht="15" hidden="false" customHeight="false" outlineLevel="0" collapsed="false">
      <c r="A346" s="3" t="n">
        <f aca="false">Prices!A347</f>
        <v>45432</v>
      </c>
      <c r="B346" s="0" t="n">
        <f aca="false">LN(Prices!B347/Prices!B346)</f>
        <v>-0.0460156566258962</v>
      </c>
      <c r="C346" s="0" t="n">
        <f aca="false">LN(Prices!C347/Prices!C346)</f>
        <v>0.00109694139671082</v>
      </c>
      <c r="D346" s="0" t="n">
        <f aca="false">LN(Prices!D347/Prices!D346)</f>
        <v>-0.0120346443598332</v>
      </c>
      <c r="E346" s="0" t="n">
        <f aca="false">SUMPRODUCT(B346:D346,Inputs!$B$4:$D$4)</f>
        <v>-0.0216875735392952</v>
      </c>
      <c r="F346" s="0" t="n">
        <f aca="false">E346*Inputs!$B$2</f>
        <v>-21687.5735392952</v>
      </c>
    </row>
    <row r="347" customFormat="false" ht="15" hidden="false" customHeight="false" outlineLevel="0" collapsed="false">
      <c r="A347" s="3" t="n">
        <f aca="false">Prices!A348</f>
        <v>45433</v>
      </c>
      <c r="B347" s="0" t="n">
        <f aca="false">LN(Prices!B348/Prices!B347)</f>
        <v>0.0199450823043466</v>
      </c>
      <c r="C347" s="0" t="n">
        <f aca="false">LN(Prices!C348/Prices!C347)</f>
        <v>0.0118897838777057</v>
      </c>
      <c r="D347" s="0" t="n">
        <f aca="false">LN(Prices!D348/Prices!D347)</f>
        <v>0.0211554878984927</v>
      </c>
      <c r="E347" s="0" t="n">
        <f aca="false">SUMPRODUCT(B347:D347,Inputs!$B$4:$D$4)</f>
        <v>0.0178916144545982</v>
      </c>
      <c r="F347" s="0" t="n">
        <f aca="false">E347*Inputs!$B$2</f>
        <v>17891.6144545982</v>
      </c>
    </row>
    <row r="348" customFormat="false" ht="15" hidden="false" customHeight="false" outlineLevel="0" collapsed="false">
      <c r="A348" s="3" t="n">
        <f aca="false">Prices!A349</f>
        <v>45434</v>
      </c>
      <c r="B348" s="0" t="n">
        <f aca="false">LN(Prices!B349/Prices!B348)</f>
        <v>-0.00608304048639208</v>
      </c>
      <c r="C348" s="0" t="n">
        <f aca="false">LN(Prices!C349/Prices!C348)</f>
        <v>-0.00781150351166573</v>
      </c>
      <c r="D348" s="0" t="n">
        <f aca="false">LN(Prices!D349/Prices!D348)</f>
        <v>0.00277038406634656</v>
      </c>
      <c r="E348" s="0" t="n">
        <f aca="false">SUMPRODUCT(B348:D348,Inputs!$B$4:$D$4)</f>
        <v>-0.00394555202815258</v>
      </c>
      <c r="F348" s="0" t="n">
        <f aca="false">E348*Inputs!$B$2</f>
        <v>-3945.55202815258</v>
      </c>
    </row>
    <row r="349" customFormat="false" ht="15" hidden="false" customHeight="false" outlineLevel="0" collapsed="false">
      <c r="A349" s="3" t="n">
        <f aca="false">Prices!A350</f>
        <v>45435</v>
      </c>
      <c r="B349" s="0" t="n">
        <f aca="false">LN(Prices!B350/Prices!B349)</f>
        <v>-0.00703397524945875</v>
      </c>
      <c r="C349" s="0" t="n">
        <f aca="false">LN(Prices!C350/Prices!C349)</f>
        <v>-0.0182314325444664</v>
      </c>
      <c r="D349" s="0" t="n">
        <f aca="false">LN(Prices!D350/Prices!D349)</f>
        <v>-0.0149502270062163</v>
      </c>
      <c r="E349" s="0" t="n">
        <f aca="false">SUMPRODUCT(B349:D349,Inputs!$B$4:$D$4)</f>
        <v>-0.0127680879649883</v>
      </c>
      <c r="F349" s="0" t="n">
        <f aca="false">E349*Inputs!$B$2</f>
        <v>-12768.0879649883</v>
      </c>
    </row>
    <row r="350" customFormat="false" ht="15" hidden="false" customHeight="false" outlineLevel="0" collapsed="false">
      <c r="A350" s="3" t="n">
        <f aca="false">Prices!A351</f>
        <v>45436</v>
      </c>
      <c r="B350" s="0" t="n">
        <f aca="false">LN(Prices!B351/Prices!B350)</f>
        <v>0.019063550555549</v>
      </c>
      <c r="C350" s="0" t="n">
        <f aca="false">LN(Prices!C351/Prices!C350)</f>
        <v>0.000505244813982372</v>
      </c>
      <c r="D350" s="0" t="n">
        <f aca="false">LN(Prices!D351/Prices!D350)</f>
        <v>0.0134400784476216</v>
      </c>
      <c r="E350" s="0" t="n">
        <f aca="false">SUMPRODUCT(B350:D350,Inputs!$B$4:$D$4)</f>
        <v>0.0118090172007008</v>
      </c>
      <c r="F350" s="0" t="n">
        <f aca="false">E350*Inputs!$B$2</f>
        <v>11809.0172007008</v>
      </c>
    </row>
    <row r="351" customFormat="false" ht="15" hidden="false" customHeight="false" outlineLevel="0" collapsed="false">
      <c r="A351" s="3" t="n">
        <f aca="false">Prices!A352</f>
        <v>45440</v>
      </c>
      <c r="B351" s="0" t="n">
        <f aca="false">LN(Prices!B352/Prices!B351)</f>
        <v>-0.0060470258313666</v>
      </c>
      <c r="C351" s="0" t="n">
        <f aca="false">LN(Prices!C352/Prices!C351)</f>
        <v>-0.00303588025876988</v>
      </c>
      <c r="D351" s="0" t="n">
        <f aca="false">LN(Prices!D352/Prices!D351)</f>
        <v>-0.00961794311673539</v>
      </c>
      <c r="E351" s="0" t="n">
        <f aca="false">SUMPRODUCT(B351:D351,Inputs!$B$4:$D$4)</f>
        <v>-0.00621495734519822</v>
      </c>
      <c r="F351" s="0" t="n">
        <f aca="false">E351*Inputs!$B$2</f>
        <v>-6214.95734519822</v>
      </c>
    </row>
    <row r="352" customFormat="false" ht="15" hidden="false" customHeight="false" outlineLevel="0" collapsed="false">
      <c r="A352" s="3" t="n">
        <f aca="false">Prices!A353</f>
        <v>45441</v>
      </c>
      <c r="B352" s="0" t="n">
        <f aca="false">LN(Prices!B353/Prices!B352)</f>
        <v>-0.00699163064481271</v>
      </c>
      <c r="C352" s="0" t="n">
        <f aca="false">LN(Prices!C353/Prices!C352)</f>
        <v>-0.0142902885591312</v>
      </c>
      <c r="D352" s="0" t="n">
        <f aca="false">LN(Prices!D353/Prices!D352)</f>
        <v>-0.0153768789288728</v>
      </c>
      <c r="E352" s="0" t="n">
        <f aca="false">SUMPRODUCT(B352:D352,Inputs!$B$4:$D$4)</f>
        <v>-0.0116968025043263</v>
      </c>
      <c r="F352" s="0" t="n">
        <f aca="false">E352*Inputs!$B$2</f>
        <v>-11696.8025043263</v>
      </c>
    </row>
    <row r="353" customFormat="false" ht="15" hidden="false" customHeight="false" outlineLevel="0" collapsed="false">
      <c r="A353" s="3" t="n">
        <f aca="false">Prices!A354</f>
        <v>45442</v>
      </c>
      <c r="B353" s="0" t="n">
        <f aca="false">LN(Prices!B354/Prices!B353)</f>
        <v>0.00613937513081465</v>
      </c>
      <c r="C353" s="0" t="n">
        <f aca="false">LN(Prices!C354/Prices!C353)</f>
        <v>-0.000411340772446135</v>
      </c>
      <c r="D353" s="0" t="n">
        <f aca="false">LN(Prices!D354/Prices!D353)</f>
        <v>-0.00232711971958077</v>
      </c>
      <c r="E353" s="0" t="n">
        <f aca="false">SUMPRODUCT(B353:D353,Inputs!$B$4:$D$4)</f>
        <v>0.00163421190471779</v>
      </c>
      <c r="F353" s="0" t="n">
        <f aca="false">E353*Inputs!$B$2</f>
        <v>1634.21190471779</v>
      </c>
    </row>
    <row r="354" customFormat="false" ht="15" hidden="false" customHeight="false" outlineLevel="0" collapsed="false">
      <c r="A354" s="3" t="n">
        <f aca="false">Prices!A355</f>
        <v>45443</v>
      </c>
      <c r="B354" s="0" t="n">
        <f aca="false">LN(Prices!B355/Prices!B354)</f>
        <v>0.0164199346563786</v>
      </c>
      <c r="C354" s="0" t="n">
        <f aca="false">LN(Prices!C355/Prices!C354)</f>
        <v>0.00625426313918144</v>
      </c>
      <c r="D354" s="0" t="n">
        <f aca="false">LN(Prices!D355/Prices!D354)</f>
        <v>0.034600193718031</v>
      </c>
      <c r="E354" s="0" t="n">
        <f aca="false">SUMPRODUCT(B354:D354,Inputs!$B$4:$D$4)</f>
        <v>0.0188243109197152</v>
      </c>
      <c r="F354" s="0" t="n">
        <f aca="false">E354*Inputs!$B$2</f>
        <v>18824.3109197152</v>
      </c>
    </row>
    <row r="355" customFormat="false" ht="15" hidden="false" customHeight="false" outlineLevel="0" collapsed="false">
      <c r="A355" s="3" t="n">
        <f aca="false">Prices!A356</f>
        <v>45446</v>
      </c>
      <c r="B355" s="0" t="n">
        <f aca="false">LN(Prices!B356/Prices!B355)</f>
        <v>-0.00400544645549743</v>
      </c>
      <c r="C355" s="0" t="n">
        <f aca="false">LN(Prices!C356/Prices!C355)</f>
        <v>-0.00440447743140459</v>
      </c>
      <c r="D355" s="0" t="n">
        <f aca="false">LN(Prices!D356/Prices!D355)</f>
        <v>-0.0027545294947475</v>
      </c>
      <c r="E355" s="0" t="n">
        <f aca="false">SUMPRODUCT(B355:D355,Inputs!$B$4:$D$4)</f>
        <v>-0.0037498806600446</v>
      </c>
      <c r="F355" s="0" t="n">
        <f aca="false">E355*Inputs!$B$2</f>
        <v>-3749.8806600446</v>
      </c>
    </row>
    <row r="356" customFormat="false" ht="15" hidden="false" customHeight="false" outlineLevel="0" collapsed="false">
      <c r="A356" s="3" t="n">
        <f aca="false">Prices!A357</f>
        <v>45447</v>
      </c>
      <c r="B356" s="0" t="n">
        <f aca="false">LN(Prices!B357/Prices!B356)</f>
        <v>-0.0132678720598929</v>
      </c>
      <c r="C356" s="0" t="n">
        <f aca="false">LN(Prices!C357/Prices!C356)</f>
        <v>-0.00855735170892939</v>
      </c>
      <c r="D356" s="0" t="n">
        <f aca="false">LN(Prices!D357/Prices!D356)</f>
        <v>-0.00502754468055589</v>
      </c>
      <c r="E356" s="0" t="n">
        <f aca="false">SUMPRODUCT(B356:D356,Inputs!$B$4:$D$4)</f>
        <v>-0.00938261774080274</v>
      </c>
      <c r="F356" s="0" t="n">
        <f aca="false">E356*Inputs!$B$2</f>
        <v>-9382.61774080274</v>
      </c>
    </row>
    <row r="357" customFormat="false" ht="15" hidden="false" customHeight="false" outlineLevel="0" collapsed="false">
      <c r="A357" s="3" t="n">
        <f aca="false">Prices!A358</f>
        <v>45448</v>
      </c>
      <c r="B357" s="0" t="n">
        <f aca="false">LN(Prices!B358/Prices!B357)</f>
        <v>-0.00958586089252209</v>
      </c>
      <c r="C357" s="0" t="n">
        <f aca="false">LN(Prices!C358/Prices!C357)</f>
        <v>0.000828045722742213</v>
      </c>
      <c r="D357" s="0" t="n">
        <f aca="false">LN(Prices!D358/Prices!D357)</f>
        <v>0.00703152671016982</v>
      </c>
      <c r="E357" s="0" t="n">
        <f aca="false">SUMPRODUCT(B357:D357,Inputs!$B$4:$D$4)</f>
        <v>-0.00147647262713523</v>
      </c>
      <c r="F357" s="0" t="n">
        <f aca="false">E357*Inputs!$B$2</f>
        <v>-1476.47262713523</v>
      </c>
    </row>
    <row r="358" customFormat="false" ht="15" hidden="false" customHeight="false" outlineLevel="0" collapsed="false">
      <c r="A358" s="3" t="n">
        <f aca="false">Prices!A359</f>
        <v>45449</v>
      </c>
      <c r="B358" s="0" t="n">
        <f aca="false">LN(Prices!B359/Prices!B358)</f>
        <v>-0.00177576972598557</v>
      </c>
      <c r="C358" s="0" t="n">
        <f aca="false">LN(Prices!C359/Prices!C358)</f>
        <v>0.00196357195427655</v>
      </c>
      <c r="D358" s="0" t="n">
        <f aca="false">LN(Prices!D359/Prices!D358)</f>
        <v>-0.00652770448770841</v>
      </c>
      <c r="E358" s="0" t="n">
        <f aca="false">SUMPRODUCT(B358:D358,Inputs!$B$4:$D$4)</f>
        <v>-0.00207954765042378</v>
      </c>
      <c r="F358" s="0" t="n">
        <f aca="false">E358*Inputs!$B$2</f>
        <v>-2079.54765042378</v>
      </c>
    </row>
    <row r="359" customFormat="false" ht="15" hidden="false" customHeight="false" outlineLevel="0" collapsed="false">
      <c r="A359" s="3" t="n">
        <f aca="false">Prices!A360</f>
        <v>45450</v>
      </c>
      <c r="B359" s="0" t="n">
        <f aca="false">LN(Prices!B360/Prices!B359)</f>
        <v>0.0153205214796918</v>
      </c>
      <c r="C359" s="0" t="n">
        <f aca="false">LN(Prices!C360/Prices!C359)</f>
        <v>0.00298993767174334</v>
      </c>
      <c r="D359" s="0" t="n">
        <f aca="false">LN(Prices!D360/Prices!D359)</f>
        <v>0.00807676930276372</v>
      </c>
      <c r="E359" s="0" t="n">
        <f aca="false">SUMPRODUCT(B359:D359,Inputs!$B$4:$D$4)</f>
        <v>0.00944822068422885</v>
      </c>
      <c r="F359" s="0" t="n">
        <f aca="false">E359*Inputs!$B$2</f>
        <v>9448.22068422885</v>
      </c>
    </row>
    <row r="360" customFormat="false" ht="15" hidden="false" customHeight="false" outlineLevel="0" collapsed="false">
      <c r="A360" s="3" t="n">
        <f aca="false">Prices!A361</f>
        <v>45453</v>
      </c>
      <c r="B360" s="0" t="n">
        <f aca="false">LN(Prices!B361/Prices!B360)</f>
        <v>-0.00170171710059861</v>
      </c>
      <c r="C360" s="0" t="n">
        <f aca="false">LN(Prices!C361/Prices!C360)</f>
        <v>-0.00775070602379853</v>
      </c>
      <c r="D360" s="0" t="n">
        <f aca="false">LN(Prices!D361/Prices!D360)</f>
        <v>-0.00276912306122409</v>
      </c>
      <c r="E360" s="0" t="n">
        <f aca="false">SUMPRODUCT(B360:D360,Inputs!$B$4:$D$4)</f>
        <v>-0.00383663556574623</v>
      </c>
      <c r="F360" s="0" t="n">
        <f aca="false">E360*Inputs!$B$2</f>
        <v>-3836.63556574623</v>
      </c>
    </row>
    <row r="361" customFormat="false" ht="15" hidden="false" customHeight="false" outlineLevel="0" collapsed="false">
      <c r="A361" s="3" t="n">
        <f aca="false">Prices!A362</f>
        <v>45454</v>
      </c>
      <c r="B361" s="0" t="n">
        <f aca="false">LN(Prices!B362/Prices!B361)</f>
        <v>-0.0266534207338821</v>
      </c>
      <c r="C361" s="0" t="n">
        <f aca="false">LN(Prices!C362/Prices!C361)</f>
        <v>-0.0100093433531085</v>
      </c>
      <c r="D361" s="0" t="n">
        <f aca="false">LN(Prices!D362/Prices!D361)</f>
        <v>-0.0206295799171959</v>
      </c>
      <c r="E361" s="0" t="n">
        <f aca="false">SUMPRODUCT(B361:D361,Inputs!$B$4:$D$4)</f>
        <v>-0.0198530452746441</v>
      </c>
      <c r="F361" s="0" t="n">
        <f aca="false">E361*Inputs!$B$2</f>
        <v>-19853.0452746441</v>
      </c>
    </row>
    <row r="362" customFormat="false" ht="15" hidden="false" customHeight="false" outlineLevel="0" collapsed="false">
      <c r="A362" s="3" t="n">
        <f aca="false">Prices!A363</f>
        <v>45455</v>
      </c>
      <c r="B362" s="0" t="n">
        <f aca="false">LN(Prices!B363/Prices!B362)</f>
        <v>-0.0146675975558379</v>
      </c>
      <c r="C362" s="0" t="n">
        <f aca="false">LN(Prices!C363/Prices!C362)</f>
        <v>0.00230261277686983</v>
      </c>
      <c r="D362" s="0" t="n">
        <f aca="false">LN(Prices!D363/Prices!D362)</f>
        <v>0.0140537543199108</v>
      </c>
      <c r="E362" s="0" t="n">
        <f aca="false">SUMPRODUCT(B362:D362,Inputs!$B$4:$D$4)</f>
        <v>-0.000960128893300956</v>
      </c>
      <c r="F362" s="0" t="n">
        <f aca="false">E362*Inputs!$B$2</f>
        <v>-960.128893300956</v>
      </c>
    </row>
    <row r="363" customFormat="false" ht="15" hidden="false" customHeight="false" outlineLevel="0" collapsed="false">
      <c r="A363" s="3" t="n">
        <f aca="false">Prices!A364</f>
        <v>45456</v>
      </c>
      <c r="B363" s="0" t="n">
        <f aca="false">LN(Prices!B364/Prices!B363)</f>
        <v>0.0110594348711425</v>
      </c>
      <c r="C363" s="0" t="n">
        <f aca="false">LN(Prices!C364/Prices!C363)</f>
        <v>-0.00461088043794168</v>
      </c>
      <c r="D363" s="0" t="n">
        <f aca="false">LN(Prices!D364/Prices!D363)</f>
        <v>-0.00381319405189102</v>
      </c>
      <c r="E363" s="0" t="n">
        <f aca="false">SUMPRODUCT(B363:D363,Inputs!$B$4:$D$4)</f>
        <v>0.00189655160150718</v>
      </c>
      <c r="F363" s="0" t="n">
        <f aca="false">E363*Inputs!$B$2</f>
        <v>1896.55160150718</v>
      </c>
    </row>
    <row r="364" customFormat="false" ht="15" hidden="false" customHeight="false" outlineLevel="0" collapsed="false">
      <c r="A364" s="3" t="n">
        <f aca="false">Prices!A365</f>
        <v>45457</v>
      </c>
      <c r="B364" s="0" t="n">
        <f aca="false">LN(Prices!B365/Prices!B364)</f>
        <v>0.00061939914652882</v>
      </c>
      <c r="C364" s="0" t="n">
        <f aca="false">LN(Prices!C365/Prices!C364)</f>
        <v>0.00304127635814649</v>
      </c>
      <c r="D364" s="0" t="n">
        <f aca="false">LN(Prices!D365/Prices!D364)</f>
        <v>-0.000509458066065057</v>
      </c>
      <c r="E364" s="0" t="n">
        <f aca="false">SUMPRODUCT(B364:D364,Inputs!$B$4:$D$4)</f>
        <v>0.00100730514623596</v>
      </c>
      <c r="F364" s="0" t="n">
        <f aca="false">E364*Inputs!$B$2</f>
        <v>1007.30514623596</v>
      </c>
    </row>
    <row r="365" customFormat="false" ht="15" hidden="false" customHeight="false" outlineLevel="0" collapsed="false">
      <c r="A365" s="3" t="n">
        <f aca="false">Prices!A366</f>
        <v>45460</v>
      </c>
      <c r="B365" s="0" t="n">
        <f aca="false">LN(Prices!B366/Prices!B365)</f>
        <v>0.00617347345909123</v>
      </c>
      <c r="C365" s="0" t="n">
        <f aca="false">LN(Prices!C366/Prices!C365)</f>
        <v>0.0159970775493734</v>
      </c>
      <c r="D365" s="0" t="n">
        <f aca="false">LN(Prices!D366/Prices!D365)</f>
        <v>0.00685709982695388</v>
      </c>
      <c r="E365" s="0" t="n">
        <f aca="false">SUMPRODUCT(B365:D365,Inputs!$B$4:$D$4)</f>
        <v>0.00932564259653469</v>
      </c>
      <c r="F365" s="0" t="n">
        <f aca="false">E365*Inputs!$B$2</f>
        <v>9325.64259653469</v>
      </c>
    </row>
    <row r="366" customFormat="false" ht="15" hidden="false" customHeight="false" outlineLevel="0" collapsed="false">
      <c r="A366" s="3" t="n">
        <f aca="false">Prices!A367</f>
        <v>45461</v>
      </c>
      <c r="B366" s="0" t="n">
        <f aca="false">LN(Prices!B367/Prices!B366)</f>
        <v>0.0103068457932019</v>
      </c>
      <c r="C366" s="0" t="n">
        <f aca="false">LN(Prices!C367/Prices!C366)</f>
        <v>0.00544690576702655</v>
      </c>
      <c r="D366" s="0" t="n">
        <f aca="false">LN(Prices!D367/Prices!D366)</f>
        <v>0.0120756637798796</v>
      </c>
      <c r="E366" s="0" t="n">
        <f aca="false">SUMPRODUCT(B366:D366,Inputs!$B$4:$D$4)</f>
        <v>0.00937950918135261</v>
      </c>
      <c r="F366" s="0" t="n">
        <f aca="false">E366*Inputs!$B$2</f>
        <v>9379.50918135261</v>
      </c>
    </row>
    <row r="367" customFormat="false" ht="15" hidden="false" customHeight="false" outlineLevel="0" collapsed="false">
      <c r="A367" s="3" t="n">
        <f aca="false">Prices!A368</f>
        <v>45463</v>
      </c>
      <c r="B367" s="0" t="n">
        <f aca="false">LN(Prices!B368/Prices!B367)</f>
        <v>0.0084414847749518</v>
      </c>
      <c r="C367" s="0" t="n">
        <f aca="false">LN(Prices!C368/Prices!C367)</f>
        <v>-0.00133340293391443</v>
      </c>
      <c r="D367" s="0" t="n">
        <f aca="false">LN(Prices!D368/Prices!D367)</f>
        <v>0</v>
      </c>
      <c r="E367" s="0" t="n">
        <f aca="false">SUMPRODUCT(B367:D367,Inputs!$B$4:$D$4)</f>
        <v>0.00297657302980639</v>
      </c>
      <c r="F367" s="0" t="n">
        <f aca="false">E367*Inputs!$B$2</f>
        <v>2976.57302980639</v>
      </c>
    </row>
    <row r="368" customFormat="false" ht="15" hidden="false" customHeight="false" outlineLevel="0" collapsed="false">
      <c r="A368" s="3" t="n">
        <f aca="false">Prices!A369</f>
        <v>45464</v>
      </c>
      <c r="B368" s="0" t="n">
        <f aca="false">LN(Prices!B369/Prices!B368)</f>
        <v>-0.012001127031517</v>
      </c>
      <c r="C368" s="0" t="n">
        <f aca="false">LN(Prices!C369/Prices!C368)</f>
        <v>-0.0132232827803408</v>
      </c>
      <c r="D368" s="0" t="n">
        <f aca="false">LN(Prices!D369/Prices!D368)</f>
        <v>-0.0125819990528228</v>
      </c>
      <c r="E368" s="0" t="n">
        <f aca="false">SUMPRODUCT(B368:D368,Inputs!$B$4:$D$4)</f>
        <v>-0.0125420353625559</v>
      </c>
      <c r="F368" s="0" t="n">
        <f aca="false">E368*Inputs!$B$2</f>
        <v>-12542.0353625559</v>
      </c>
    </row>
    <row r="369" customFormat="false" ht="15" hidden="false" customHeight="false" outlineLevel="0" collapsed="false">
      <c r="A369" s="3" t="n">
        <f aca="false">Prices!A370</f>
        <v>45467</v>
      </c>
      <c r="B369" s="0" t="n">
        <f aca="false">LN(Prices!B370/Prices!B369)</f>
        <v>0.0130575299855399</v>
      </c>
      <c r="C369" s="0" t="n">
        <f aca="false">LN(Prices!C370/Prices!C369)</f>
        <v>0.00972801871147994</v>
      </c>
      <c r="D369" s="0" t="n">
        <f aca="false">LN(Prices!D370/Prices!D369)</f>
        <v>0.0133317639775087</v>
      </c>
      <c r="E369" s="0" t="n">
        <f aca="false">SUMPRODUCT(B369:D369,Inputs!$B$4:$D$4)</f>
        <v>0.0121409468009126</v>
      </c>
      <c r="F369" s="0" t="n">
        <f aca="false">E369*Inputs!$B$2</f>
        <v>12140.9468009126</v>
      </c>
    </row>
    <row r="370" customFormat="false" ht="15" hidden="false" customHeight="false" outlineLevel="0" collapsed="false">
      <c r="A370" s="3" t="n">
        <f aca="false">Prices!A371</f>
        <v>45468</v>
      </c>
      <c r="B370" s="0" t="n">
        <f aca="false">LN(Prices!B371/Prices!B370)</f>
        <v>-0.00408112622256717</v>
      </c>
      <c r="C370" s="0" t="n">
        <f aca="false">LN(Prices!C371/Prices!C370)</f>
        <v>0.00718305429972319</v>
      </c>
      <c r="D370" s="0" t="n">
        <f aca="false">LN(Prices!D371/Prices!D370)</f>
        <v>-0.016121149030741</v>
      </c>
      <c r="E370" s="0" t="n">
        <f aca="false">SUMPRODUCT(B370:D370,Inputs!$B$4:$D$4)</f>
        <v>-0.00431387890833222</v>
      </c>
      <c r="F370" s="0" t="n">
        <f aca="false">E370*Inputs!$B$2</f>
        <v>-4313.87890833222</v>
      </c>
    </row>
    <row r="371" customFormat="false" ht="15" hidden="false" customHeight="false" outlineLevel="0" collapsed="false">
      <c r="A371" s="3" t="n">
        <f aca="false">Prices!A372</f>
        <v>45469</v>
      </c>
      <c r="B371" s="0" t="n">
        <f aca="false">LN(Prices!B372/Prices!B371)</f>
        <v>-0.00323649302935735</v>
      </c>
      <c r="C371" s="0" t="n">
        <f aca="false">LN(Prices!C372/Prices!C371)</f>
        <v>-0.0093483132187974</v>
      </c>
      <c r="D371" s="0" t="n">
        <f aca="false">LN(Prices!D372/Prices!D371)</f>
        <v>-0.00969644234352491</v>
      </c>
      <c r="E371" s="0" t="n">
        <f aca="false">SUMPRODUCT(B371:D371,Inputs!$B$4:$D$4)</f>
        <v>-0.00700802388043963</v>
      </c>
      <c r="F371" s="0" t="n">
        <f aca="false">E371*Inputs!$B$2</f>
        <v>-7008.02388043963</v>
      </c>
    </row>
    <row r="372" customFormat="false" ht="15" hidden="false" customHeight="false" outlineLevel="0" collapsed="false">
      <c r="A372" s="3" t="n">
        <f aca="false">Prices!A373</f>
        <v>45470</v>
      </c>
      <c r="B372" s="0" t="n">
        <f aca="false">LN(Prices!B373/Prices!B372)</f>
        <v>0.00877475532409786</v>
      </c>
      <c r="C372" s="0" t="n">
        <f aca="false">LN(Prices!C373/Prices!C372)</f>
        <v>-0.011626829308122</v>
      </c>
      <c r="D372" s="0" t="n">
        <f aca="false">LN(Prices!D373/Prices!D372)</f>
        <v>0.0063898243192191</v>
      </c>
      <c r="E372" s="0" t="n">
        <f aca="false">SUMPRODUCT(B372:D372,Inputs!$B$4:$D$4)</f>
        <v>0.00193880063296827</v>
      </c>
      <c r="F372" s="0" t="n">
        <f aca="false">E372*Inputs!$B$2</f>
        <v>1938.80063296827</v>
      </c>
    </row>
    <row r="373" customFormat="false" ht="15" hidden="false" customHeight="false" outlineLevel="0" collapsed="false">
      <c r="A373" s="3" t="n">
        <f aca="false">Prices!A374</f>
        <v>45471</v>
      </c>
      <c r="B373" s="0" t="n">
        <f aca="false">LN(Prices!B374/Prices!B373)</f>
        <v>0.0153951980413505</v>
      </c>
      <c r="C373" s="0" t="n">
        <f aca="false">LN(Prices!C374/Prices!C373)</f>
        <v>0.0147183966225734</v>
      </c>
      <c r="D373" s="0" t="n">
        <f aca="false">LN(Prices!D374/Prices!D373)</f>
        <v>0.0131613715879995</v>
      </c>
      <c r="E373" s="0" t="n">
        <f aca="false">SUMPRODUCT(B373:D373,Inputs!$B$4:$D$4)</f>
        <v>0.0145220096797121</v>
      </c>
      <c r="F373" s="0" t="n">
        <f aca="false">E373*Inputs!$B$2</f>
        <v>14522.0096797121</v>
      </c>
    </row>
    <row r="374" customFormat="false" ht="15" hidden="false" customHeight="false" outlineLevel="0" collapsed="false">
      <c r="A374" s="3" t="n">
        <f aca="false">Prices!A375</f>
        <v>45474</v>
      </c>
      <c r="B374" s="0" t="n">
        <f aca="false">LN(Prices!B375/Prices!B374)</f>
        <v>0.0156488098486559</v>
      </c>
      <c r="C374" s="0" t="n">
        <f aca="false">LN(Prices!C375/Prices!C374)</f>
        <v>0.0200668851933466</v>
      </c>
      <c r="D374" s="0" t="n">
        <f aca="false">LN(Prices!D375/Prices!D374)</f>
        <v>0.00601653628110773</v>
      </c>
      <c r="E374" s="0" t="n">
        <f aca="false">SUMPRODUCT(B374:D374,Inputs!$B$4:$D$4)</f>
        <v>0.0140845503817987</v>
      </c>
      <c r="F374" s="0" t="n">
        <f aca="false">E374*Inputs!$B$2</f>
        <v>14084.5503817987</v>
      </c>
    </row>
    <row r="375" customFormat="false" ht="15" hidden="false" customHeight="false" outlineLevel="0" collapsed="false">
      <c r="A375" s="3" t="n">
        <f aca="false">Prices!A376</f>
        <v>45475</v>
      </c>
      <c r="B375" s="0" t="n">
        <f aca="false">LN(Prices!B376/Prices!B375)</f>
        <v>0.0163177152761799</v>
      </c>
      <c r="C375" s="0" t="n">
        <f aca="false">LN(Prices!C376/Prices!C375)</f>
        <v>0.00492932837404412</v>
      </c>
      <c r="D375" s="0" t="n">
        <f aca="false">LN(Prices!D376/Prices!D375)</f>
        <v>0.022733945477275</v>
      </c>
      <c r="E375" s="0" t="n">
        <f aca="false">SUMPRODUCT(B375:D375,Inputs!$B$4:$D$4)</f>
        <v>0.0148260682658677</v>
      </c>
      <c r="F375" s="0" t="n">
        <f aca="false">E375*Inputs!$B$2</f>
        <v>14826.0682658677</v>
      </c>
    </row>
    <row r="376" customFormat="false" ht="15" hidden="false" customHeight="false" outlineLevel="0" collapsed="false">
      <c r="A376" s="3" t="n">
        <f aca="false">Prices!A377</f>
        <v>45476</v>
      </c>
      <c r="B376" s="0" t="n">
        <f aca="false">LN(Prices!B377/Prices!B376)</f>
        <v>-0.000670506820655151</v>
      </c>
      <c r="C376" s="0" t="n">
        <f aca="false">LN(Prices!C377/Prices!C376)</f>
        <v>0.00550409331355146</v>
      </c>
      <c r="D376" s="0" t="n">
        <f aca="false">LN(Prices!D377/Prices!D376)</f>
        <v>-0.000733285405894417</v>
      </c>
      <c r="E376" s="0" t="n">
        <f aca="false">SUMPRODUCT(B376:D376,Inputs!$B$4:$D$4)</f>
        <v>0.00116303964403505</v>
      </c>
      <c r="F376" s="0" t="n">
        <f aca="false">E376*Inputs!$B$2</f>
        <v>1163.03964403505</v>
      </c>
    </row>
    <row r="377" customFormat="false" ht="15" hidden="false" customHeight="false" outlineLevel="0" collapsed="false">
      <c r="A377" s="3" t="n">
        <f aca="false">Prices!A378</f>
        <v>45478</v>
      </c>
      <c r="B377" s="0" t="n">
        <f aca="false">LN(Prices!B378/Prices!B377)</f>
        <v>-0.0133391034550194</v>
      </c>
      <c r="C377" s="0" t="n">
        <f aca="false">LN(Prices!C378/Prices!C377)</f>
        <v>-0.0061065069415317</v>
      </c>
      <c r="D377" s="0" t="n">
        <f aca="false">LN(Prices!D378/Prices!D377)</f>
        <v>-0.012052782525578</v>
      </c>
      <c r="E377" s="0" t="n">
        <f aca="false">SUMPRODUCT(B377:D377,Inputs!$B$4:$D$4)</f>
        <v>-0.0107834282221406</v>
      </c>
      <c r="F377" s="0" t="n">
        <f aca="false">E377*Inputs!$B$2</f>
        <v>-10783.4282221406</v>
      </c>
    </row>
    <row r="378" customFormat="false" ht="15" hidden="false" customHeight="false" outlineLevel="0" collapsed="false">
      <c r="A378" s="3" t="n">
        <f aca="false">Prices!A379</f>
        <v>45481</v>
      </c>
      <c r="B378" s="0" t="n">
        <f aca="false">LN(Prices!B379/Prices!B378)</f>
        <v>0.00185387748410488</v>
      </c>
      <c r="C378" s="0" t="n">
        <f aca="false">LN(Prices!C379/Prices!C378)</f>
        <v>0.00999124608277062</v>
      </c>
      <c r="D378" s="0" t="n">
        <f aca="false">LN(Prices!D379/Prices!D378)</f>
        <v>0.00518319174858193</v>
      </c>
      <c r="E378" s="0" t="n">
        <f aca="false">SUMPRODUCT(B378:D378,Inputs!$B$4:$D$4)</f>
        <v>0.00529388234304772</v>
      </c>
      <c r="F378" s="0" t="n">
        <f aca="false">E378*Inputs!$B$2</f>
        <v>5293.88234304772</v>
      </c>
    </row>
    <row r="379" customFormat="false" ht="15" hidden="false" customHeight="false" outlineLevel="0" collapsed="false">
      <c r="A379" s="3" t="n">
        <f aca="false">Prices!A380</f>
        <v>45482</v>
      </c>
      <c r="B379" s="0" t="n">
        <f aca="false">LN(Prices!B380/Prices!B379)</f>
        <v>0.0119186751898271</v>
      </c>
      <c r="C379" s="0" t="n">
        <f aca="false">LN(Prices!C380/Prices!C379)</f>
        <v>0.0198825433846613</v>
      </c>
      <c r="D379" s="0" t="n">
        <f aca="false">LN(Prices!D380/Prices!D379)</f>
        <v>0.0195034395626047</v>
      </c>
      <c r="E379" s="0" t="n">
        <f aca="false">SUMPRODUCT(B379:D379,Inputs!$B$4:$D$4)</f>
        <v>0.0165832649601107</v>
      </c>
      <c r="F379" s="0" t="n">
        <f aca="false">E379*Inputs!$B$2</f>
        <v>16583.2649601107</v>
      </c>
    </row>
    <row r="380" customFormat="false" ht="15" hidden="false" customHeight="false" outlineLevel="0" collapsed="false">
      <c r="A380" s="3" t="n">
        <f aca="false">Prices!A381</f>
        <v>45483</v>
      </c>
      <c r="B380" s="0" t="n">
        <f aca="false">LN(Prices!B381/Prices!B380)</f>
        <v>0.000818437703921558</v>
      </c>
      <c r="C380" s="0" t="n">
        <f aca="false">LN(Prices!C381/Prices!C380)</f>
        <v>0.00824967597086913</v>
      </c>
      <c r="D380" s="0" t="n">
        <f aca="false">LN(Prices!D381/Prices!D380)</f>
        <v>0.00769613854442217</v>
      </c>
      <c r="E380" s="0" t="n">
        <f aca="false">SUMPRODUCT(B380:D380,Inputs!$B$4:$D$4)</f>
        <v>0.00511111943615601</v>
      </c>
      <c r="F380" s="0" t="n">
        <f aca="false">E380*Inputs!$B$2</f>
        <v>5111.11943615601</v>
      </c>
    </row>
    <row r="381" customFormat="false" ht="15" hidden="false" customHeight="false" outlineLevel="0" collapsed="false">
      <c r="A381" s="3" t="n">
        <f aca="false">Prices!A382</f>
        <v>45484</v>
      </c>
      <c r="B381" s="0" t="n">
        <f aca="false">LN(Prices!B382/Prices!B381)</f>
        <v>-0.0016858306794841</v>
      </c>
      <c r="C381" s="0" t="n">
        <f aca="false">LN(Prices!C382/Prices!C381)</f>
        <v>0.0113408622109548</v>
      </c>
      <c r="D381" s="0" t="n">
        <f aca="false">LN(Prices!D382/Prices!D381)</f>
        <v>0.00167551984600925</v>
      </c>
      <c r="E381" s="0" t="n">
        <f aca="false">SUMPRODUCT(B381:D381,Inputs!$B$4:$D$4)</f>
        <v>0.00323058234529556</v>
      </c>
      <c r="F381" s="0" t="n">
        <f aca="false">E381*Inputs!$B$2</f>
        <v>3230.58234529556</v>
      </c>
    </row>
    <row r="382" customFormat="false" ht="15" hidden="false" customHeight="false" outlineLevel="0" collapsed="false">
      <c r="A382" s="3" t="n">
        <f aca="false">Prices!A383</f>
        <v>45485</v>
      </c>
      <c r="B382" s="0" t="n">
        <f aca="false">LN(Prices!B383/Prices!B382)</f>
        <v>-0.0121730492508765</v>
      </c>
      <c r="C382" s="0" t="n">
        <f aca="false">LN(Prices!C383/Prices!C382)</f>
        <v>-0.00527000882698298</v>
      </c>
      <c r="D382" s="0" t="n">
        <f aca="false">LN(Prices!D383/Prices!D382)</f>
        <v>-0.00527575934487986</v>
      </c>
      <c r="E382" s="0" t="n">
        <f aca="false">SUMPRODUCT(B382:D382,Inputs!$B$4:$D$4)</f>
        <v>-0.00803295015190944</v>
      </c>
      <c r="F382" s="0" t="n">
        <f aca="false">E382*Inputs!$B$2</f>
        <v>-8032.95015190944</v>
      </c>
    </row>
    <row r="383" customFormat="false" ht="15" hidden="false" customHeight="false" outlineLevel="0" collapsed="false">
      <c r="A383" s="3" t="n">
        <f aca="false">Prices!A384</f>
        <v>45488</v>
      </c>
      <c r="B383" s="0" t="n">
        <f aca="false">LN(Prices!B384/Prices!B383)</f>
        <v>0.0246284529932898</v>
      </c>
      <c r="C383" s="0" t="n">
        <f aca="false">LN(Prices!C384/Prices!C383)</f>
        <v>0.0111775637828373</v>
      </c>
      <c r="D383" s="0" t="n">
        <f aca="false">LN(Prices!D384/Prices!D383)</f>
        <v>0.00718727631202794</v>
      </c>
      <c r="E383" s="0" t="n">
        <f aca="false">SUMPRODUCT(B383:D383,Inputs!$B$4:$D$4)</f>
        <v>0.0153608332257755</v>
      </c>
      <c r="F383" s="0" t="n">
        <f aca="false">E383*Inputs!$B$2</f>
        <v>15360.8332257755</v>
      </c>
    </row>
    <row r="384" customFormat="false" ht="15" hidden="false" customHeight="false" outlineLevel="0" collapsed="false">
      <c r="A384" s="3" t="n">
        <f aca="false">Prices!A385</f>
        <v>45489</v>
      </c>
      <c r="B384" s="0" t="n">
        <f aca="false">LN(Prices!B385/Prices!B384)</f>
        <v>0.0168531630135131</v>
      </c>
      <c r="C384" s="0" t="n">
        <f aca="false">LN(Prices!C385/Prices!C384)</f>
        <v>0.0090790530490715</v>
      </c>
      <c r="D384" s="0" t="n">
        <f aca="false">LN(Prices!D385/Prices!D384)</f>
        <v>0.052092762707872</v>
      </c>
      <c r="E384" s="0" t="n">
        <f aca="false">SUMPRODUCT(B384:D384,Inputs!$B$4:$D$4)</f>
        <v>0.0250928099324883</v>
      </c>
      <c r="F384" s="0" t="n">
        <f aca="false">E384*Inputs!$B$2</f>
        <v>25092.8099324883</v>
      </c>
    </row>
    <row r="385" customFormat="false" ht="15" hidden="false" customHeight="false" outlineLevel="0" collapsed="false">
      <c r="A385" s="3" t="n">
        <f aca="false">Prices!A386</f>
        <v>45490</v>
      </c>
      <c r="B385" s="0" t="n">
        <f aca="false">LN(Prices!B386/Prices!B385)</f>
        <v>0.0150992308845986</v>
      </c>
      <c r="C385" s="0" t="n">
        <f aca="false">LN(Prices!C386/Prices!C385)</f>
        <v>0.00694233410044314</v>
      </c>
      <c r="D385" s="0" t="n">
        <f aca="false">LN(Prices!D386/Prices!D385)</f>
        <v>-0.003404742674253</v>
      </c>
      <c r="E385" s="0" t="n">
        <f aca="false">SUMPRODUCT(B385:D385,Inputs!$B$4:$D$4)</f>
        <v>0.00710096978169648</v>
      </c>
      <c r="F385" s="0" t="n">
        <f aca="false">E385*Inputs!$B$2</f>
        <v>7100.96978169648</v>
      </c>
    </row>
    <row r="386" customFormat="false" ht="15" hidden="false" customHeight="false" outlineLevel="0" collapsed="false">
      <c r="A386" s="3" t="n">
        <f aca="false">Prices!A387</f>
        <v>45491</v>
      </c>
      <c r="B386" s="0" t="n">
        <f aca="false">LN(Prices!B387/Prices!B386)</f>
        <v>-0.0322858895155458</v>
      </c>
      <c r="C386" s="0" t="n">
        <f aca="false">LN(Prices!C387/Prices!C386)</f>
        <v>-0.0203057190189451</v>
      </c>
      <c r="D386" s="0" t="n">
        <f aca="false">LN(Prices!D387/Prices!D386)</f>
        <v>-0.0223023767156788</v>
      </c>
      <c r="E386" s="0" t="n">
        <f aca="false">SUMPRODUCT(B386:D386,Inputs!$B$4:$D$4)</f>
        <v>-0.0256967845266055</v>
      </c>
      <c r="F386" s="0" t="n">
        <f aca="false">E386*Inputs!$B$2</f>
        <v>-25696.7845266055</v>
      </c>
    </row>
    <row r="387" customFormat="false" ht="15" hidden="false" customHeight="false" outlineLevel="0" collapsed="false">
      <c r="A387" s="3" t="n">
        <f aca="false">Prices!A388</f>
        <v>45492</v>
      </c>
      <c r="B387" s="0" t="n">
        <f aca="false">LN(Prices!B388/Prices!B387)</f>
        <v>-0.000952721642896763</v>
      </c>
      <c r="C387" s="0" t="n">
        <f aca="false">LN(Prices!C388/Prices!C387)</f>
        <v>-0.0262942691115161</v>
      </c>
      <c r="D387" s="0" t="n">
        <f aca="false">LN(Prices!D388/Prices!D387)</f>
        <v>-0.00256080506905186</v>
      </c>
      <c r="E387" s="0" t="n">
        <f aca="false">SUMPRODUCT(B387:D387,Inputs!$B$4:$D$4)</f>
        <v>-0.0090376109113291</v>
      </c>
      <c r="F387" s="0" t="n">
        <f aca="false">E387*Inputs!$B$2</f>
        <v>-9037.6109113291</v>
      </c>
    </row>
    <row r="388" customFormat="false" ht="15" hidden="false" customHeight="false" outlineLevel="0" collapsed="false">
      <c r="A388" s="3" t="n">
        <f aca="false">Prices!A389</f>
        <v>45495</v>
      </c>
      <c r="B388" s="0" t="n">
        <f aca="false">LN(Prices!B389/Prices!B388)</f>
        <v>0.00238055804706534</v>
      </c>
      <c r="C388" s="0" t="n">
        <f aca="false">LN(Prices!C389/Prices!C388)</f>
        <v>0.00342237423605779</v>
      </c>
      <c r="D388" s="0" t="n">
        <f aca="false">LN(Prices!D389/Prices!D388)</f>
        <v>-0.0140849110754034</v>
      </c>
      <c r="E388" s="0" t="n">
        <f aca="false">SUMPRODUCT(B388:D388,Inputs!$B$4:$D$4)</f>
        <v>-0.00224653783297753</v>
      </c>
      <c r="F388" s="0" t="n">
        <f aca="false">E388*Inputs!$B$2</f>
        <v>-2246.53783297753</v>
      </c>
    </row>
    <row r="389" customFormat="false" ht="15" hidden="false" customHeight="false" outlineLevel="0" collapsed="false">
      <c r="A389" s="3" t="n">
        <f aca="false">Prices!A390</f>
        <v>45496</v>
      </c>
      <c r="B389" s="0" t="n">
        <f aca="false">LN(Prices!B390/Prices!B389)</f>
        <v>0.000237699056121882</v>
      </c>
      <c r="C389" s="0" t="n">
        <f aca="false">LN(Prices!C390/Prices!C389)</f>
        <v>0.0102943856013758</v>
      </c>
      <c r="D389" s="0" t="n">
        <f aca="false">LN(Prices!D390/Prices!D389)</f>
        <v>0.00259708186224445</v>
      </c>
      <c r="E389" s="0" t="n">
        <f aca="false">SUMPRODUCT(B389:D389,Inputs!$B$4:$D$4)</f>
        <v>0.00396251986153482</v>
      </c>
      <c r="F389" s="0" t="n">
        <f aca="false">E389*Inputs!$B$2</f>
        <v>3962.51986153482</v>
      </c>
    </row>
    <row r="390" customFormat="false" ht="15" hidden="false" customHeight="false" outlineLevel="0" collapsed="false">
      <c r="A390" s="3" t="n">
        <f aca="false">Prices!A391</f>
        <v>45497</v>
      </c>
      <c r="B390" s="0" t="n">
        <f aca="false">LN(Prices!B391/Prices!B390)</f>
        <v>-0.008306999870537</v>
      </c>
      <c r="C390" s="0" t="n">
        <f aca="false">LN(Prices!C391/Prices!C390)</f>
        <v>-0.0148928899459805</v>
      </c>
      <c r="D390" s="0" t="n">
        <f aca="false">LN(Prices!D391/Prices!D390)</f>
        <v>-0.00520092612500673</v>
      </c>
      <c r="E390" s="0" t="n">
        <f aca="false">SUMPRODUCT(B390:D390,Inputs!$B$4:$D$4)</f>
        <v>-0.00935094476951097</v>
      </c>
      <c r="F390" s="0" t="n">
        <f aca="false">E390*Inputs!$B$2</f>
        <v>-9350.94476951097</v>
      </c>
    </row>
    <row r="391" customFormat="false" ht="15" hidden="false" customHeight="false" outlineLevel="0" collapsed="false">
      <c r="A391" s="3" t="n">
        <f aca="false">Prices!A392</f>
        <v>45498</v>
      </c>
      <c r="B391" s="0" t="n">
        <f aca="false">LN(Prices!B392/Prices!B391)</f>
        <v>0.000383265208551663</v>
      </c>
      <c r="C391" s="0" t="n">
        <f aca="false">LN(Prices!C392/Prices!C391)</f>
        <v>0.0154723956344624</v>
      </c>
      <c r="D391" s="0" t="n">
        <f aca="false">LN(Prices!D392/Prices!D391)</f>
        <v>-0.0121617375288464</v>
      </c>
      <c r="E391" s="0" t="n">
        <f aca="false">SUMPRODUCT(B391:D391,Inputs!$B$4:$D$4)</f>
        <v>0.00114650351510547</v>
      </c>
      <c r="F391" s="0" t="n">
        <f aca="false">E391*Inputs!$B$2</f>
        <v>1146.50351510547</v>
      </c>
    </row>
    <row r="392" customFormat="false" ht="15" hidden="false" customHeight="false" outlineLevel="0" collapsed="false">
      <c r="A392" s="3" t="n">
        <f aca="false">Prices!A393</f>
        <v>45499</v>
      </c>
      <c r="B392" s="0" t="n">
        <f aca="false">LN(Prices!B393/Prices!B392)</f>
        <v>0.0169637557181433</v>
      </c>
      <c r="C392" s="0" t="n">
        <f aca="false">LN(Prices!C393/Prices!C392)</f>
        <v>0.00606508683210847</v>
      </c>
      <c r="D392" s="0" t="n">
        <f aca="false">LN(Prices!D393/Prices!D392)</f>
        <v>-0.000240003083053626</v>
      </c>
      <c r="E392" s="0" t="n">
        <f aca="false">SUMPRODUCT(B392:D392,Inputs!$B$4:$D$4)</f>
        <v>0.00853302741197376</v>
      </c>
      <c r="F392" s="0" t="n">
        <f aca="false">E392*Inputs!$B$2</f>
        <v>8533.02741197376</v>
      </c>
    </row>
    <row r="393" customFormat="false" ht="15" hidden="false" customHeight="false" outlineLevel="0" collapsed="false">
      <c r="A393" s="3" t="n">
        <f aca="false">Prices!A394</f>
        <v>45502</v>
      </c>
      <c r="B393" s="0" t="n">
        <f aca="false">LN(Prices!B394/Prices!B393)</f>
        <v>-0.00657066103583717</v>
      </c>
      <c r="C393" s="0" t="n">
        <f aca="false">LN(Prices!C394/Prices!C393)</f>
        <v>-0.0165484745775264</v>
      </c>
      <c r="D393" s="0" t="n">
        <f aca="false">LN(Prices!D394/Prices!D393)</f>
        <v>-0.014016639167903</v>
      </c>
      <c r="E393" s="0" t="n">
        <f aca="false">SUMPRODUCT(B393:D393,Inputs!$B$4:$D$4)</f>
        <v>-0.0117977985379637</v>
      </c>
      <c r="F393" s="0" t="n">
        <f aca="false">E393*Inputs!$B$2</f>
        <v>-11797.7985379637</v>
      </c>
    </row>
    <row r="394" customFormat="false" ht="15" hidden="false" customHeight="false" outlineLevel="0" collapsed="false">
      <c r="A394" s="3" t="n">
        <f aca="false">Prices!A395</f>
        <v>45503</v>
      </c>
      <c r="B394" s="0" t="n">
        <f aca="false">LN(Prices!B395/Prices!B394)</f>
        <v>0.0203743316109766</v>
      </c>
      <c r="C394" s="0" t="n">
        <f aca="false">LN(Prices!C395/Prices!C394)</f>
        <v>0.0124128338655847</v>
      </c>
      <c r="D394" s="0" t="n">
        <f aca="false">LN(Prices!D395/Prices!D394)</f>
        <v>0.00461334563716081</v>
      </c>
      <c r="E394" s="0" t="n">
        <f aca="false">SUMPRODUCT(B394:D394,Inputs!$B$4:$D$4)</f>
        <v>0.0132575864952143</v>
      </c>
      <c r="F394" s="0" t="n">
        <f aca="false">E394*Inputs!$B$2</f>
        <v>13257.5864952143</v>
      </c>
    </row>
    <row r="395" customFormat="false" ht="15" hidden="false" customHeight="false" outlineLevel="0" collapsed="false">
      <c r="A395" s="3" t="n">
        <f aca="false">Prices!A396</f>
        <v>45504</v>
      </c>
      <c r="B395" s="0" t="n">
        <f aca="false">LN(Prices!B396/Prices!B395)</f>
        <v>-0.0111685734539787</v>
      </c>
      <c r="C395" s="0" t="n">
        <f aca="false">LN(Prices!C396/Prices!C395)</f>
        <v>0.00363991093234529</v>
      </c>
      <c r="D395" s="0" t="n">
        <f aca="false">LN(Prices!D396/Prices!D395)</f>
        <v>-0.0237783884408953</v>
      </c>
      <c r="E395" s="0" t="n">
        <f aca="false">SUMPRODUCT(B395:D395,Inputs!$B$4:$D$4)</f>
        <v>-0.0105089726341565</v>
      </c>
      <c r="F395" s="0" t="n">
        <f aca="false">E395*Inputs!$B$2</f>
        <v>-10508.9726341565</v>
      </c>
    </row>
    <row r="396" customFormat="false" ht="15" hidden="false" customHeight="false" outlineLevel="0" collapsed="false">
      <c r="A396" s="3" t="n">
        <f aca="false">Prices!A397</f>
        <v>45505</v>
      </c>
      <c r="B396" s="0" t="n">
        <f aca="false">LN(Prices!B397/Prices!B396)</f>
        <v>-0.023007205598952</v>
      </c>
      <c r="C396" s="0" t="n">
        <f aca="false">LN(Prices!C397/Prices!C396)</f>
        <v>-0.014148703752387</v>
      </c>
      <c r="D396" s="0" t="n">
        <f aca="false">LN(Prices!D397/Prices!D396)</f>
        <v>-0.020299100456195</v>
      </c>
      <c r="E396" s="0" t="n">
        <f aca="false">SUMPRODUCT(B396:D396,Inputs!$B$4:$D$4)</f>
        <v>-0.0195372235021554</v>
      </c>
      <c r="F396" s="0" t="n">
        <f aca="false">E396*Inputs!$B$2</f>
        <v>-19537.2235021554</v>
      </c>
    </row>
    <row r="397" customFormat="false" ht="15" hidden="false" customHeight="false" outlineLevel="0" collapsed="false">
      <c r="A397" s="3" t="n">
        <f aca="false">Prices!A398</f>
        <v>45506</v>
      </c>
      <c r="B397" s="0" t="n">
        <f aca="false">LN(Prices!B398/Prices!B397)</f>
        <v>-0.043337480118553</v>
      </c>
      <c r="C397" s="0" t="n">
        <f aca="false">LN(Prices!C398/Prices!C397)</f>
        <v>-0.0598325718970539</v>
      </c>
      <c r="D397" s="0" t="n">
        <f aca="false">LN(Prices!D398/Prices!D397)</f>
        <v>-0.0498286600760211</v>
      </c>
      <c r="E397" s="0" t="n">
        <f aca="false">SUMPRODUCT(B397:D397,Inputs!$B$4:$D$4)</f>
        <v>-0.0502333616393437</v>
      </c>
      <c r="F397" s="0" t="n">
        <f aca="false">E397*Inputs!$B$2</f>
        <v>-50233.3616393437</v>
      </c>
    </row>
    <row r="398" customFormat="false" ht="15" hidden="false" customHeight="false" outlineLevel="0" collapsed="false">
      <c r="A398" s="3" t="n">
        <f aca="false">Prices!A399</f>
        <v>45509</v>
      </c>
      <c r="B398" s="0" t="n">
        <f aca="false">LN(Prices!B399/Prices!B398)</f>
        <v>-0.0215215473146482</v>
      </c>
      <c r="C398" s="0" t="n">
        <f aca="false">LN(Prices!C399/Prices!C398)</f>
        <v>-0.0402353060458404</v>
      </c>
      <c r="D398" s="0" t="n">
        <f aca="false">LN(Prices!D399/Prices!D398)</f>
        <v>-0.0250586008265906</v>
      </c>
      <c r="E398" s="0" t="n">
        <f aca="false">SUMPRODUCT(B398:D398,Inputs!$B$4:$D$4)</f>
        <v>-0.0281967909875886</v>
      </c>
      <c r="F398" s="0" t="n">
        <f aca="false">E398*Inputs!$B$2</f>
        <v>-28196.7909875886</v>
      </c>
    </row>
    <row r="399" customFormat="false" ht="15" hidden="false" customHeight="false" outlineLevel="0" collapsed="false">
      <c r="A399" s="3" t="n">
        <f aca="false">Prices!A400</f>
        <v>45510</v>
      </c>
      <c r="B399" s="0" t="n">
        <f aca="false">LN(Prices!B400/Prices!B399)</f>
        <v>0.0275292839306763</v>
      </c>
      <c r="C399" s="0" t="n">
        <f aca="false">LN(Prices!C400/Prices!C399)</f>
        <v>0.00972766050258386</v>
      </c>
      <c r="D399" s="0" t="n">
        <f aca="false">LN(Prices!D400/Prices!D399)</f>
        <v>0.0073399075311826</v>
      </c>
      <c r="E399" s="0" t="n">
        <f aca="false">SUMPRODUCT(B399:D399,Inputs!$B$4:$D$4)</f>
        <v>0.0161319839824005</v>
      </c>
      <c r="F399" s="0" t="n">
        <f aca="false">E399*Inputs!$B$2</f>
        <v>16131.9839824005</v>
      </c>
    </row>
    <row r="400" customFormat="false" ht="15" hidden="false" customHeight="false" outlineLevel="0" collapsed="false">
      <c r="A400" s="3" t="n">
        <f aca="false">Prices!A401</f>
        <v>45511</v>
      </c>
      <c r="B400" s="0" t="n">
        <f aca="false">LN(Prices!B401/Prices!B400)</f>
        <v>0.000299556519726842</v>
      </c>
      <c r="C400" s="0" t="n">
        <f aca="false">LN(Prices!C401/Prices!C400)</f>
        <v>-0.00929330471614003</v>
      </c>
      <c r="D400" s="0" t="n">
        <f aca="false">LN(Prices!D401/Prices!D400)</f>
        <v>0.0102400421665819</v>
      </c>
      <c r="E400" s="0" t="n">
        <f aca="false">SUMPRODUCT(B400:D400,Inputs!$B$4:$D$4)</f>
        <v>0.000403843843023284</v>
      </c>
      <c r="F400" s="0" t="n">
        <f aca="false">E400*Inputs!$B$2</f>
        <v>403.843843023284</v>
      </c>
    </row>
    <row r="401" customFormat="false" ht="15" hidden="false" customHeight="false" outlineLevel="0" collapsed="false">
      <c r="A401" s="3" t="n">
        <f aca="false">Prices!A402</f>
        <v>45512</v>
      </c>
      <c r="B401" s="0" t="n">
        <f aca="false">LN(Prices!B402/Prices!B401)</f>
        <v>0.0180986152864892</v>
      </c>
      <c r="C401" s="0" t="n">
        <f aca="false">LN(Prices!C402/Prices!C401)</f>
        <v>0.0269911729424781</v>
      </c>
      <c r="D401" s="0" t="n">
        <f aca="false">LN(Prices!D402/Prices!D401)</f>
        <v>0.0241039617879253</v>
      </c>
      <c r="E401" s="0" t="n">
        <f aca="false">SUMPRODUCT(B401:D401,Inputs!$B$4:$D$4)</f>
        <v>0.0225679865337167</v>
      </c>
      <c r="F401" s="0" t="n">
        <f aca="false">E401*Inputs!$B$2</f>
        <v>22567.9865337167</v>
      </c>
    </row>
    <row r="402" customFormat="false" ht="15" hidden="false" customHeight="false" outlineLevel="0" collapsed="false">
      <c r="A402" s="3" t="n">
        <f aca="false">Prices!A403</f>
        <v>45513</v>
      </c>
      <c r="B402" s="0" t="n">
        <f aca="false">LN(Prices!B403/Prices!B402)</f>
        <v>0.00849070751616754</v>
      </c>
      <c r="C402" s="0" t="n">
        <f aca="false">LN(Prices!C403/Prices!C402)</f>
        <v>0.000950489050566903</v>
      </c>
      <c r="D402" s="0" t="n">
        <f aca="false">LN(Prices!D403/Prices!D402)</f>
        <v>0.00183027488627747</v>
      </c>
      <c r="E402" s="0" t="n">
        <f aca="false">SUMPRODUCT(B402:D402,Inputs!$B$4:$D$4)</f>
        <v>0.00423051218752033</v>
      </c>
      <c r="F402" s="0" t="n">
        <f aca="false">E402*Inputs!$B$2</f>
        <v>4230.51218752033</v>
      </c>
    </row>
    <row r="403" customFormat="false" ht="15" hidden="false" customHeight="false" outlineLevel="0" collapsed="false">
      <c r="A403" s="3" t="n">
        <f aca="false">Prices!A404</f>
        <v>45516</v>
      </c>
      <c r="B403" s="0" t="n">
        <f aca="false">LN(Prices!B404/Prices!B403)</f>
        <v>0.0018933701289752</v>
      </c>
      <c r="C403" s="0" t="n">
        <f aca="false">LN(Prices!C404/Prices!C403)</f>
        <v>0.0012661692049714</v>
      </c>
      <c r="D403" s="0" t="n">
        <f aca="false">LN(Prices!D404/Prices!D403)</f>
        <v>-0.00287768230209253</v>
      </c>
      <c r="E403" s="0" t="n">
        <f aca="false">SUMPRODUCT(B403:D403,Inputs!$B$4:$D$4)</f>
        <v>0.000273894122453743</v>
      </c>
      <c r="F403" s="0" t="n">
        <f aca="false">E403*Inputs!$B$2</f>
        <v>273.894122453743</v>
      </c>
    </row>
    <row r="404" customFormat="false" ht="15" hidden="false" customHeight="false" outlineLevel="0" collapsed="false">
      <c r="A404" s="3" t="n">
        <f aca="false">Prices!A405</f>
        <v>45517</v>
      </c>
      <c r="B404" s="0" t="n">
        <f aca="false">LN(Prices!B405/Prices!B404)</f>
        <v>0.00845153646144184</v>
      </c>
      <c r="C404" s="0" t="n">
        <f aca="false">LN(Prices!C405/Prices!C404)</f>
        <v>0.0195254201607044</v>
      </c>
      <c r="D404" s="0" t="n">
        <f aca="false">LN(Prices!D405/Prices!D404)</f>
        <v>0.00756880844149438</v>
      </c>
      <c r="E404" s="0" t="n">
        <f aca="false">SUMPRODUCT(B404:D404,Inputs!$B$4:$D$4)</f>
        <v>0.0115088831652364</v>
      </c>
      <c r="F404" s="0" t="n">
        <f aca="false">E404*Inputs!$B$2</f>
        <v>11508.8831652364</v>
      </c>
    </row>
    <row r="405" customFormat="false" ht="15" hidden="false" customHeight="false" outlineLevel="0" collapsed="false">
      <c r="A405" s="3" t="n">
        <f aca="false">Prices!A406</f>
        <v>45518</v>
      </c>
      <c r="B405" s="0" t="n">
        <f aca="false">LN(Prices!B406/Prices!B405)</f>
        <v>0.011000085519433</v>
      </c>
      <c r="C405" s="0" t="n">
        <f aca="false">LN(Prices!C406/Prices!C405)</f>
        <v>0.027837800538856</v>
      </c>
      <c r="D405" s="0" t="n">
        <f aca="false">LN(Prices!D406/Prices!D405)</f>
        <v>0.0090592636253519</v>
      </c>
      <c r="E405" s="0" t="n">
        <f aca="false">SUMPRODUCT(B405:D405,Inputs!$B$4:$D$4)</f>
        <v>0.0154691534570356</v>
      </c>
      <c r="F405" s="0" t="n">
        <f aca="false">E405*Inputs!$B$2</f>
        <v>15469.1534570356</v>
      </c>
    </row>
    <row r="406" customFormat="false" ht="15" hidden="false" customHeight="false" outlineLevel="0" collapsed="false">
      <c r="A406" s="3" t="n">
        <f aca="false">Prices!A407</f>
        <v>45519</v>
      </c>
      <c r="B406" s="0" t="n">
        <f aca="false">LN(Prices!B407/Prices!B406)</f>
        <v>0.00621160937024655</v>
      </c>
      <c r="C406" s="0" t="n">
        <f aca="false">LN(Prices!C407/Prices!C406)</f>
        <v>0.0119952917935593</v>
      </c>
      <c r="D406" s="0" t="n">
        <f aca="false">LN(Prices!D407/Prices!D406)</f>
        <v>0.00565270430731628</v>
      </c>
      <c r="E406" s="0" t="n">
        <f aca="false">SUMPRODUCT(B406:D406,Inputs!$B$4:$D$4)</f>
        <v>0.00777904257836129</v>
      </c>
      <c r="F406" s="0" t="n">
        <f aca="false">E406*Inputs!$B$2</f>
        <v>7779.04257836129</v>
      </c>
    </row>
    <row r="407" customFormat="false" ht="15" hidden="false" customHeight="false" outlineLevel="0" collapsed="false">
      <c r="A407" s="3" t="n">
        <f aca="false">Prices!A408</f>
        <v>45520</v>
      </c>
      <c r="B407" s="0" t="n">
        <f aca="false">LN(Prices!B408/Prices!B407)</f>
        <v>0.0113744286360305</v>
      </c>
      <c r="C407" s="0" t="n">
        <f aca="false">LN(Prices!C408/Prices!C407)</f>
        <v>0.00791774168777819</v>
      </c>
      <c r="D407" s="0" t="n">
        <f aca="false">LN(Prices!D408/Prices!D407)</f>
        <v>0.00791117394592694</v>
      </c>
      <c r="E407" s="0" t="n">
        <f aca="false">SUMPRODUCT(B407:D407,Inputs!$B$4:$D$4)</f>
        <v>0.00929844614452372</v>
      </c>
      <c r="F407" s="0" t="n">
        <f aca="false">E407*Inputs!$B$2</f>
        <v>9298.44614452372</v>
      </c>
    </row>
    <row r="408" customFormat="false" ht="15" hidden="false" customHeight="false" outlineLevel="0" collapsed="false">
      <c r="A408" s="3" t="n">
        <f aca="false">Prices!A409</f>
        <v>45523</v>
      </c>
      <c r="B408" s="0" t="n">
        <f aca="false">LN(Prices!B409/Prices!B408)</f>
        <v>0.00689317003031443</v>
      </c>
      <c r="C408" s="0" t="n">
        <f aca="false">LN(Prices!C409/Prices!C408)</f>
        <v>0.00305135936326446</v>
      </c>
      <c r="D408" s="0" t="n">
        <f aca="false">LN(Prices!D409/Prices!D408)</f>
        <v>0.00835337079674942</v>
      </c>
      <c r="E408" s="0" t="n">
        <f aca="false">SUMPRODUCT(B408:D408,Inputs!$B$4:$D$4)</f>
        <v>0.00617868706012993</v>
      </c>
      <c r="F408" s="0" t="n">
        <f aca="false">E408*Inputs!$B$2</f>
        <v>6178.68706012993</v>
      </c>
    </row>
    <row r="409" customFormat="false" ht="15" hidden="false" customHeight="false" outlineLevel="0" collapsed="false">
      <c r="A409" s="3" t="n">
        <f aca="false">Prices!A410</f>
        <v>45524</v>
      </c>
      <c r="B409" s="0" t="n">
        <f aca="false">LN(Prices!B410/Prices!B409)</f>
        <v>-0.0043259698244858</v>
      </c>
      <c r="C409" s="0" t="n">
        <f aca="false">LN(Prices!C410/Prices!C409)</f>
        <v>-0.0095791364245009</v>
      </c>
      <c r="D409" s="0" t="n">
        <f aca="false">LN(Prices!D410/Prices!D409)</f>
        <v>-0.0250141671478209</v>
      </c>
      <c r="E409" s="0" t="n">
        <f aca="false">SUMPRODUCT(B409:D409,Inputs!$B$4:$D$4)</f>
        <v>-0.0121083790014909</v>
      </c>
      <c r="F409" s="0" t="n">
        <f aca="false">E409*Inputs!$B$2</f>
        <v>-12108.3790014909</v>
      </c>
    </row>
    <row r="410" customFormat="false" ht="15" hidden="false" customHeight="false" outlineLevel="0" collapsed="false">
      <c r="A410" s="3" t="n">
        <f aca="false">Prices!A411</f>
        <v>45525</v>
      </c>
      <c r="B410" s="0" t="n">
        <f aca="false">LN(Prices!B411/Prices!B410)</f>
        <v>0.000372968938189751</v>
      </c>
      <c r="C410" s="0" t="n">
        <f aca="false">LN(Prices!C411/Prices!C410)</f>
        <v>-0.000893229970131769</v>
      </c>
      <c r="D410" s="0" t="n">
        <f aca="false">LN(Prices!D411/Prices!D410)</f>
        <v>0.00154960612152785</v>
      </c>
      <c r="E410" s="0" t="n">
        <f aca="false">SUMPRODUCT(B410:D410,Inputs!$B$4:$D$4)</f>
        <v>0.000346100420694724</v>
      </c>
      <c r="F410" s="0" t="n">
        <f aca="false">E410*Inputs!$B$2</f>
        <v>346.100420694724</v>
      </c>
    </row>
    <row r="411" customFormat="false" ht="15" hidden="false" customHeight="false" outlineLevel="0" collapsed="false">
      <c r="A411" s="3" t="n">
        <f aca="false">Prices!A412</f>
        <v>45526</v>
      </c>
      <c r="B411" s="0" t="n">
        <f aca="false">LN(Prices!B412/Prices!B411)</f>
        <v>0.00941487138322774</v>
      </c>
      <c r="C411" s="0" t="n">
        <f aca="false">LN(Prices!C412/Prices!C411)</f>
        <v>-0.00129195976953667</v>
      </c>
      <c r="D411" s="0" t="n">
        <f aca="false">LN(Prices!D412/Prices!D411)</f>
        <v>0.0125660833110517</v>
      </c>
      <c r="E411" s="0" t="n">
        <f aca="false">SUMPRODUCT(B411:D411,Inputs!$B$4:$D$4)</f>
        <v>0.0071481856157456</v>
      </c>
      <c r="F411" s="0" t="n">
        <f aca="false">E411*Inputs!$B$2</f>
        <v>7148.1856157456</v>
      </c>
    </row>
    <row r="412" customFormat="false" ht="15" hidden="false" customHeight="false" outlineLevel="0" collapsed="false">
      <c r="A412" s="3" t="n">
        <f aca="false">Prices!A413</f>
        <v>45527</v>
      </c>
      <c r="B412" s="0" t="n">
        <f aca="false">LN(Prices!B413/Prices!B412)</f>
        <v>0.00772516826732564</v>
      </c>
      <c r="C412" s="0" t="n">
        <f aca="false">LN(Prices!C413/Prices!C412)</f>
        <v>0.0131391378630143</v>
      </c>
      <c r="D412" s="0" t="n">
        <f aca="false">LN(Prices!D413/Prices!D412)</f>
        <v>0.0134161330644719</v>
      </c>
      <c r="E412" s="0" t="n">
        <f aca="false">SUMPRODUCT(B412:D412,Inputs!$B$4:$D$4)</f>
        <v>0.0110566485851761</v>
      </c>
      <c r="F412" s="0" t="n">
        <f aca="false">E412*Inputs!$B$2</f>
        <v>11056.6485851761</v>
      </c>
    </row>
    <row r="413" customFormat="false" ht="15" hidden="false" customHeight="false" outlineLevel="0" collapsed="false">
      <c r="A413" s="3" t="n">
        <f aca="false">Prices!A414</f>
        <v>45530</v>
      </c>
      <c r="B413" s="0" t="n">
        <f aca="false">LN(Prices!B414/Prices!B413)</f>
        <v>0.00393173156820413</v>
      </c>
      <c r="C413" s="0" t="n">
        <f aca="false">LN(Prices!C414/Prices!C413)</f>
        <v>0.00430906629269959</v>
      </c>
      <c r="D413" s="0" t="n">
        <f aca="false">LN(Prices!D414/Prices!D413)</f>
        <v>0.00376448710428831</v>
      </c>
      <c r="E413" s="0" t="n">
        <f aca="false">SUMPRODUCT(B413:D413,Inputs!$B$4:$D$4)</f>
        <v>0.00399475864637802</v>
      </c>
      <c r="F413" s="0" t="n">
        <f aca="false">E413*Inputs!$B$2</f>
        <v>3994.75864637802</v>
      </c>
    </row>
    <row r="414" customFormat="false" ht="15" hidden="false" customHeight="false" outlineLevel="0" collapsed="false">
      <c r="A414" s="3" t="n">
        <f aca="false">Prices!A415</f>
        <v>45531</v>
      </c>
      <c r="B414" s="0" t="n">
        <f aca="false">LN(Prices!B415/Prices!B414)</f>
        <v>0.00459768062956991</v>
      </c>
      <c r="C414" s="0" t="n">
        <f aca="false">LN(Prices!C415/Prices!C414)</f>
        <v>-0.00244609418699312</v>
      </c>
      <c r="D414" s="0" t="n">
        <f aca="false">LN(Prices!D415/Prices!D414)</f>
        <v>-0.00628214245351911</v>
      </c>
      <c r="E414" s="0" t="n">
        <f aca="false">SUMPRODUCT(B414:D414,Inputs!$B$4:$D$4)</f>
        <v>-0.000779398740325703</v>
      </c>
      <c r="F414" s="0" t="n">
        <f aca="false">E414*Inputs!$B$2</f>
        <v>-779.398740325703</v>
      </c>
    </row>
    <row r="415" customFormat="false" ht="15" hidden="false" customHeight="false" outlineLevel="0" collapsed="false">
      <c r="A415" s="3" t="n">
        <f aca="false">Prices!A416</f>
        <v>45532</v>
      </c>
      <c r="B415" s="0" t="n">
        <f aca="false">LN(Prices!B416/Prices!B415)</f>
        <v>0.00502868351192187</v>
      </c>
      <c r="C415" s="0" t="n">
        <f aca="false">LN(Prices!C416/Prices!C415)</f>
        <v>0.00117485308970893</v>
      </c>
      <c r="D415" s="0" t="n">
        <f aca="false">LN(Prices!D416/Prices!D415)</f>
        <v>0.00703352313573253</v>
      </c>
      <c r="E415" s="0" t="n">
        <f aca="false">SUMPRODUCT(B415:D415,Inputs!$B$4:$D$4)</f>
        <v>0.00447398627240119</v>
      </c>
      <c r="F415" s="0" t="n">
        <f aca="false">E415*Inputs!$B$2</f>
        <v>4473.98627240119</v>
      </c>
    </row>
    <row r="416" customFormat="false" ht="15" hidden="false" customHeight="false" outlineLevel="0" collapsed="false">
      <c r="A416" s="3" t="n">
        <f aca="false">Prices!A417</f>
        <v>45533</v>
      </c>
      <c r="B416" s="0" t="n">
        <f aca="false">LN(Prices!B417/Prices!B416)</f>
        <v>0.00414889487074914</v>
      </c>
      <c r="C416" s="0" t="n">
        <f aca="false">LN(Prices!C417/Prices!C416)</f>
        <v>0.00390631642519199</v>
      </c>
      <c r="D416" s="0" t="n">
        <f aca="false">LN(Prices!D417/Prices!D416)</f>
        <v>0.00549174254453332</v>
      </c>
      <c r="E416" s="0" t="n">
        <f aca="false">SUMPRODUCT(B416:D416,Inputs!$B$4:$D$4)</f>
        <v>0.00447897563921725</v>
      </c>
      <c r="F416" s="0" t="n">
        <f aca="false">E416*Inputs!$B$2</f>
        <v>4478.97563921725</v>
      </c>
    </row>
    <row r="417" customFormat="false" ht="15" hidden="false" customHeight="false" outlineLevel="0" collapsed="false">
      <c r="A417" s="3" t="n">
        <f aca="false">Prices!A418</f>
        <v>45534</v>
      </c>
      <c r="B417" s="0" t="n">
        <f aca="false">LN(Prices!B418/Prices!B417)</f>
        <v>0.0115882319501672</v>
      </c>
      <c r="C417" s="0" t="n">
        <f aca="false">LN(Prices!C418/Prices!C417)</f>
        <v>0.00979606865808121</v>
      </c>
      <c r="D417" s="0" t="n">
        <f aca="false">LN(Prices!D418/Prices!D417)</f>
        <v>0.0143355641059056</v>
      </c>
      <c r="E417" s="0" t="n">
        <f aca="false">SUMPRODUCT(B417:D417,Inputs!$B$4:$D$4)</f>
        <v>0.0118747826092629</v>
      </c>
      <c r="F417" s="0" t="n">
        <f aca="false">E417*Inputs!$B$2</f>
        <v>11874.7826092629</v>
      </c>
    </row>
    <row r="418" customFormat="false" ht="15" hidden="false" customHeight="false" outlineLevel="0" collapsed="false">
      <c r="A418" s="3" t="n">
        <f aca="false">Prices!A419</f>
        <v>45538</v>
      </c>
      <c r="B418" s="0" t="n">
        <f aca="false">LN(Prices!B419/Prices!B418)</f>
        <v>-0.0202209656977186</v>
      </c>
      <c r="C418" s="0" t="n">
        <f aca="false">LN(Prices!C419/Prices!C418)</f>
        <v>-0.0427905650898199</v>
      </c>
      <c r="D418" s="0" t="n">
        <f aca="false">LN(Prices!D419/Prices!D418)</f>
        <v>-0.00122800848151757</v>
      </c>
      <c r="E418" s="0" t="n">
        <f aca="false">SUMPRODUCT(B418:D418,Inputs!$B$4:$D$4)</f>
        <v>-0.0212939583504887</v>
      </c>
      <c r="F418" s="0" t="n">
        <f aca="false">E418*Inputs!$B$2</f>
        <v>-21293.9583504887</v>
      </c>
    </row>
    <row r="419" customFormat="false" ht="15" hidden="false" customHeight="false" outlineLevel="0" collapsed="false">
      <c r="A419" s="3" t="n">
        <f aca="false">Prices!A420</f>
        <v>45539</v>
      </c>
      <c r="B419" s="0" t="n">
        <f aca="false">LN(Prices!B420/Prices!B419)</f>
        <v>-0.00441283383404827</v>
      </c>
      <c r="C419" s="0" t="n">
        <f aca="false">LN(Prices!C420/Prices!C419)</f>
        <v>0.00882569298040482</v>
      </c>
      <c r="D419" s="0" t="n">
        <f aca="false">LN(Prices!D420/Prices!D419)</f>
        <v>-0.00492607961991128</v>
      </c>
      <c r="E419" s="0" t="n">
        <f aca="false">SUMPRODUCT(B419:D419,Inputs!$B$4:$D$4)</f>
        <v>-0.000595249525471246</v>
      </c>
      <c r="F419" s="0" t="n">
        <f aca="false">E419*Inputs!$B$2</f>
        <v>-595.249525471246</v>
      </c>
    </row>
    <row r="420" customFormat="false" ht="15" hidden="false" customHeight="false" outlineLevel="0" collapsed="false">
      <c r="A420" s="3" t="n">
        <f aca="false">Prices!A421</f>
        <v>45540</v>
      </c>
      <c r="B420" s="0" t="n">
        <f aca="false">LN(Prices!B421/Prices!B420)</f>
        <v>-0.00778100773847751</v>
      </c>
      <c r="C420" s="0" t="n">
        <f aca="false">LN(Prices!C421/Prices!C420)</f>
        <v>-0.00590851786992602</v>
      </c>
      <c r="D420" s="0" t="n">
        <f aca="false">LN(Prices!D421/Prices!D420)</f>
        <v>-0.00892874006934208</v>
      </c>
      <c r="E420" s="0" t="n">
        <f aca="false">SUMPRODUCT(B420:D420,Inputs!$B$4:$D$4)</f>
        <v>-0.00756358047717143</v>
      </c>
      <c r="F420" s="0" t="n">
        <f aca="false">E420*Inputs!$B$2</f>
        <v>-7563.58047717143</v>
      </c>
    </row>
    <row r="421" customFormat="false" ht="15" hidden="false" customHeight="false" outlineLevel="0" collapsed="false">
      <c r="A421" s="3" t="n">
        <f aca="false">Prices!A422</f>
        <v>45541</v>
      </c>
      <c r="B421" s="0" t="n">
        <f aca="false">LN(Prices!B422/Prices!B421)</f>
        <v>-0.0240425483188901</v>
      </c>
      <c r="C421" s="0" t="n">
        <f aca="false">LN(Prices!C422/Prices!C421)</f>
        <v>-0.030285330310075</v>
      </c>
      <c r="D421" s="0" t="n">
        <f aca="false">LN(Prices!D422/Prices!D421)</f>
        <v>-0.0284860741765058</v>
      </c>
      <c r="E421" s="0" t="n">
        <f aca="false">SUMPRODUCT(B421:D421,Inputs!$B$4:$D$4)</f>
        <v>-0.0272484406735303</v>
      </c>
      <c r="F421" s="0" t="n">
        <f aca="false">E421*Inputs!$B$2</f>
        <v>-27248.4406735303</v>
      </c>
    </row>
    <row r="422" customFormat="false" ht="15" hidden="false" customHeight="false" outlineLevel="0" collapsed="false">
      <c r="A422" s="3" t="n">
        <f aca="false">Prices!A423</f>
        <v>45544</v>
      </c>
      <c r="B422" s="0" t="n">
        <f aca="false">LN(Prices!B423/Prices!B422)</f>
        <v>0.0202675426326875</v>
      </c>
      <c r="C422" s="0" t="n">
        <f aca="false">LN(Prices!C423/Prices!C422)</f>
        <v>0.016327117597218</v>
      </c>
      <c r="D422" s="0" t="n">
        <f aca="false">LN(Prices!D423/Prices!D422)</f>
        <v>0.0181522428601967</v>
      </c>
      <c r="E422" s="0" t="n">
        <f aca="false">SUMPRODUCT(B422:D422,Inputs!$B$4:$D$4)</f>
        <v>0.0184508251902994</v>
      </c>
      <c r="F422" s="0" t="n">
        <f aca="false">E422*Inputs!$B$2</f>
        <v>18450.8251902994</v>
      </c>
    </row>
    <row r="423" customFormat="false" ht="15" hidden="false" customHeight="false" outlineLevel="0" collapsed="false">
      <c r="A423" s="3" t="n">
        <f aca="false">Prices!A424</f>
        <v>45545</v>
      </c>
      <c r="B423" s="0" t="n">
        <f aca="false">LN(Prices!B424/Prices!B423)</f>
        <v>-0.0532834765660181</v>
      </c>
      <c r="C423" s="0" t="n">
        <f aca="false">LN(Prices!C424/Prices!C423)</f>
        <v>-0.0160166176261435</v>
      </c>
      <c r="D423" s="0" t="n">
        <f aca="false">LN(Prices!D424/Prices!D423)</f>
        <v>-0.00482555331115764</v>
      </c>
      <c r="E423" s="0" t="n">
        <f aca="false">SUMPRODUCT(B423:D423,Inputs!$B$4:$D$4)</f>
        <v>-0.0275660419075976</v>
      </c>
      <c r="F423" s="0" t="n">
        <f aca="false">E423*Inputs!$B$2</f>
        <v>-27566.0419075976</v>
      </c>
    </row>
    <row r="424" customFormat="false" ht="15" hidden="false" customHeight="false" outlineLevel="0" collapsed="false">
      <c r="A424" s="3" t="n">
        <f aca="false">Prices!A425</f>
        <v>45546</v>
      </c>
      <c r="B424" s="0" t="n">
        <f aca="false">LN(Prices!B425/Prices!B424)</f>
        <v>0.00809147327459921</v>
      </c>
      <c r="C424" s="0" t="n">
        <f aca="false">LN(Prices!C425/Prices!C424)</f>
        <v>0.004234472692593</v>
      </c>
      <c r="D424" s="0" t="n">
        <f aca="false">LN(Prices!D425/Prices!D424)</f>
        <v>-0.00715373927288615</v>
      </c>
      <c r="E424" s="0" t="n">
        <f aca="false">SUMPRODUCT(B424:D424,Inputs!$B$4:$D$4)</f>
        <v>0.00236080933575174</v>
      </c>
      <c r="F424" s="0" t="n">
        <f aca="false">E424*Inputs!$B$2</f>
        <v>2360.80933575174</v>
      </c>
    </row>
    <row r="425" customFormat="false" ht="15" hidden="false" customHeight="false" outlineLevel="0" collapsed="false">
      <c r="A425" s="3" t="n">
        <f aca="false">Prices!A426</f>
        <v>45547</v>
      </c>
      <c r="B425" s="0" t="n">
        <f aca="false">LN(Prices!B426/Prices!B425)</f>
        <v>-0.00304473981397193</v>
      </c>
      <c r="C425" s="0" t="n">
        <f aca="false">LN(Prices!C426/Prices!C425)</f>
        <v>-0.00402741539760323</v>
      </c>
      <c r="D425" s="0" t="n">
        <f aca="false">LN(Prices!D426/Prices!D425)</f>
        <v>-0.00565682277194761</v>
      </c>
      <c r="E425" s="0" t="n">
        <f aca="false">SUMPRODUCT(B425:D425,Inputs!$B$4:$D$4)</f>
        <v>-0.00412316737645402</v>
      </c>
      <c r="F425" s="0" t="n">
        <f aca="false">E425*Inputs!$B$2</f>
        <v>-4123.16737645402</v>
      </c>
    </row>
    <row r="426" customFormat="false" ht="15" hidden="false" customHeight="false" outlineLevel="0" collapsed="false">
      <c r="A426" s="3" t="n">
        <f aca="false">Prices!A427</f>
        <v>45548</v>
      </c>
      <c r="B426" s="0" t="n">
        <f aca="false">LN(Prices!B427/Prices!B426)</f>
        <v>-0.0110972343100152</v>
      </c>
      <c r="C426" s="0" t="n">
        <f aca="false">LN(Prices!C427/Prices!C426)</f>
        <v>0.0165224838795623</v>
      </c>
      <c r="D426" s="0" t="n">
        <f aca="false">LN(Prices!D427/Prices!D426)</f>
        <v>-0.00335794951478302</v>
      </c>
      <c r="E426" s="0" t="n">
        <f aca="false">SUMPRODUCT(B426:D426,Inputs!$B$4:$D$4)</f>
        <v>-0.000489533414572275</v>
      </c>
      <c r="F426" s="0" t="n">
        <f aca="false">E426*Inputs!$B$2</f>
        <v>-489.533414572275</v>
      </c>
    </row>
    <row r="427" customFormat="false" ht="15" hidden="false" customHeight="false" outlineLevel="0" collapsed="false">
      <c r="A427" s="3" t="n">
        <f aca="false">Prices!A428</f>
        <v>45551</v>
      </c>
      <c r="B427" s="0" t="n">
        <f aca="false">LN(Prices!B428/Prices!B427)</f>
        <v>0.0171773186440638</v>
      </c>
      <c r="C427" s="0" t="n">
        <f aca="false">LN(Prices!C428/Prices!C427)</f>
        <v>0.018554528822826</v>
      </c>
      <c r="D427" s="0" t="n">
        <f aca="false">LN(Prices!D428/Prices!D427)</f>
        <v>0.0115754778244816</v>
      </c>
      <c r="E427" s="0" t="n">
        <f aca="false">SUMPRODUCT(B427:D427,Inputs!$B$4:$D$4)</f>
        <v>0.0159099294518178</v>
      </c>
      <c r="F427" s="0" t="n">
        <f aca="false">E427*Inputs!$B$2</f>
        <v>15909.9294518178</v>
      </c>
    </row>
    <row r="428" customFormat="false" ht="15" hidden="false" customHeight="false" outlineLevel="0" collapsed="false">
      <c r="A428" s="3" t="n">
        <f aca="false">Prices!A429</f>
        <v>45552</v>
      </c>
      <c r="B428" s="0" t="n">
        <f aca="false">LN(Prices!B429/Prices!B428)</f>
        <v>0.00666486441099802</v>
      </c>
      <c r="C428" s="0" t="n">
        <f aca="false">LN(Prices!C429/Prices!C428)</f>
        <v>-0.00250082521199489</v>
      </c>
      <c r="D428" s="0" t="n">
        <f aca="false">LN(Prices!D429/Prices!D428)</f>
        <v>0.0114432196152104</v>
      </c>
      <c r="E428" s="0" t="n">
        <f aca="false">SUMPRODUCT(B428:D428,Inputs!$B$4:$D$4)</f>
        <v>0.00534866408536385</v>
      </c>
      <c r="F428" s="0" t="n">
        <f aca="false">E428*Inputs!$B$2</f>
        <v>5348.66408536385</v>
      </c>
    </row>
    <row r="429" customFormat="false" ht="15" hidden="false" customHeight="false" outlineLevel="0" collapsed="false">
      <c r="A429" s="3" t="n">
        <f aca="false">Prices!A430</f>
        <v>45553</v>
      </c>
      <c r="B429" s="0" t="n">
        <f aca="false">LN(Prices!B430/Prices!B429)</f>
        <v>-0.00825366861566886</v>
      </c>
      <c r="C429" s="0" t="n">
        <f aca="false">LN(Prices!C430/Prices!C429)</f>
        <v>-0.00542338998031181</v>
      </c>
      <c r="D429" s="0" t="n">
        <f aca="false">LN(Prices!D430/Prices!D429)</f>
        <v>0.00176854942275559</v>
      </c>
      <c r="E429" s="0" t="n">
        <f aca="false">SUMPRODUCT(B429:D429,Inputs!$B$4:$D$4)</f>
        <v>-0.00439791961353441</v>
      </c>
      <c r="F429" s="0" t="n">
        <f aca="false">E429*Inputs!$B$2</f>
        <v>-4397.91961353441</v>
      </c>
    </row>
    <row r="430" customFormat="false" ht="15" hidden="false" customHeight="false" outlineLevel="0" collapsed="false">
      <c r="A430" s="3" t="n">
        <f aca="false">Prices!A431</f>
        <v>45554</v>
      </c>
      <c r="B430" s="0" t="n">
        <f aca="false">LN(Prices!B431/Prices!B430)</f>
        <v>0.0141146755264939</v>
      </c>
      <c r="C430" s="0" t="n">
        <f aca="false">LN(Prices!C431/Prices!C430)</f>
        <v>0.0142980756068337</v>
      </c>
      <c r="D430" s="0" t="n">
        <f aca="false">LN(Prices!D431/Prices!D430)</f>
        <v>0.0310621431715506</v>
      </c>
      <c r="E430" s="0" t="n">
        <f aca="false">SUMPRODUCT(B430:D430,Inputs!$B$4:$D$4)</f>
        <v>0.0192539358441129</v>
      </c>
      <c r="F430" s="0" t="n">
        <f aca="false">E430*Inputs!$B$2</f>
        <v>19253.9358441129</v>
      </c>
    </row>
    <row r="431" customFormat="false" ht="15" hidden="false" customHeight="false" outlineLevel="0" collapsed="false">
      <c r="A431" s="3" t="n">
        <f aca="false">Prices!A432</f>
        <v>45555</v>
      </c>
      <c r="B431" s="0" t="n">
        <f aca="false">LN(Prices!B432/Prices!B431)</f>
        <v>0.00289394538811008</v>
      </c>
      <c r="C431" s="0" t="n">
        <f aca="false">LN(Prices!C432/Prices!C431)</f>
        <v>0.0171264060955146</v>
      </c>
      <c r="D431" s="0" t="n">
        <f aca="false">LN(Prices!D432/Prices!D431)</f>
        <v>-0.0147894455191584</v>
      </c>
      <c r="E431" s="0" t="n">
        <f aca="false">SUMPRODUCT(B431:D431,Inputs!$B$4:$D$4)</f>
        <v>0.00185866632815089</v>
      </c>
      <c r="F431" s="0" t="n">
        <f aca="false">E431*Inputs!$B$2</f>
        <v>1858.66632815089</v>
      </c>
    </row>
    <row r="432" customFormat="false" ht="15" hidden="false" customHeight="false" outlineLevel="0" collapsed="false">
      <c r="A432" s="3" t="n">
        <f aca="false">Prices!A433</f>
        <v>45558</v>
      </c>
      <c r="B432" s="0" t="n">
        <f aca="false">LN(Prices!B433/Prices!B432)</f>
        <v>0.00165678446729062</v>
      </c>
      <c r="C432" s="0" t="n">
        <f aca="false">LN(Prices!C433/Prices!C432)</f>
        <v>0</v>
      </c>
      <c r="D432" s="0" t="n">
        <f aca="false">LN(Prices!D433/Prices!D432)</f>
        <v>-0.00998266073438182</v>
      </c>
      <c r="E432" s="0" t="n">
        <f aca="false">SUMPRODUCT(B432:D432,Inputs!$B$4:$D$4)</f>
        <v>-0.0023320844333983</v>
      </c>
      <c r="F432" s="0" t="n">
        <f aca="false">E432*Inputs!$B$2</f>
        <v>-2332.0844333983</v>
      </c>
    </row>
    <row r="433" customFormat="false" ht="15" hidden="false" customHeight="false" outlineLevel="0" collapsed="false">
      <c r="A433" s="3" t="n">
        <f aca="false">Prices!A434</f>
        <v>45559</v>
      </c>
      <c r="B433" s="0" t="n">
        <f aca="false">LN(Prices!B434/Prices!B433)</f>
        <v>0.000709168120825863</v>
      </c>
      <c r="C433" s="0" t="n">
        <f aca="false">LN(Prices!C434/Prices!C433)</f>
        <v>0.00107294356461103</v>
      </c>
      <c r="D433" s="0" t="n">
        <f aca="false">LN(Prices!D434/Prices!D433)</f>
        <v>-0.0105900181910836</v>
      </c>
      <c r="E433" s="0" t="n">
        <f aca="false">SUMPRODUCT(B433:D433,Inputs!$B$4:$D$4)</f>
        <v>-0.00257145513961143</v>
      </c>
      <c r="F433" s="0" t="n">
        <f aca="false">E433*Inputs!$B$2</f>
        <v>-2571.45513961143</v>
      </c>
    </row>
    <row r="434" customFormat="false" ht="15" hidden="false" customHeight="false" outlineLevel="0" collapsed="false">
      <c r="A434" s="3" t="n">
        <f aca="false">Prices!A435</f>
        <v>45560</v>
      </c>
      <c r="B434" s="0" t="n">
        <f aca="false">LN(Prices!B435/Prices!B434)</f>
        <v>-0.00663856771727952</v>
      </c>
      <c r="C434" s="0" t="n">
        <f aca="false">LN(Prices!C435/Prices!C434)</f>
        <v>-0.00234244662927215</v>
      </c>
      <c r="D434" s="0" t="n">
        <f aca="false">LN(Prices!D435/Prices!D434)</f>
        <v>-0.00508277921709181</v>
      </c>
      <c r="E434" s="0" t="n">
        <f aca="false">SUMPRODUCT(B434:D434,Inputs!$B$4:$D$4)</f>
        <v>-0.004882994840821</v>
      </c>
      <c r="F434" s="0" t="n">
        <f aca="false">E434*Inputs!$B$2</f>
        <v>-4882.994840821</v>
      </c>
    </row>
    <row r="435" customFormat="false" ht="15" hidden="false" customHeight="false" outlineLevel="0" collapsed="false">
      <c r="A435" s="3" t="n">
        <f aca="false">Prices!A436</f>
        <v>45561</v>
      </c>
      <c r="B435" s="0" t="n">
        <f aca="false">LN(Prices!B436/Prices!B435)</f>
        <v>-0.0019524967957043</v>
      </c>
      <c r="C435" s="0" t="n">
        <f aca="false">LN(Prices!C436/Prices!C435)</f>
        <v>0.0218430068931142</v>
      </c>
      <c r="D435" s="0" t="n">
        <f aca="false">LN(Prices!D436/Prices!D435)</f>
        <v>0.00685560549546808</v>
      </c>
      <c r="E435" s="0" t="n">
        <f aca="false">SUMPRODUCT(B435:D435,Inputs!$B$4:$D$4)</f>
        <v>0.00782858499829296</v>
      </c>
      <c r="F435" s="0" t="n">
        <f aca="false">E435*Inputs!$B$2</f>
        <v>7828.58499829296</v>
      </c>
    </row>
    <row r="436" customFormat="false" ht="15" hidden="false" customHeight="false" outlineLevel="0" collapsed="false">
      <c r="A436" s="3" t="n">
        <f aca="false">Prices!A437</f>
        <v>45562</v>
      </c>
      <c r="B436" s="0" t="n">
        <f aca="false">LN(Prices!B437/Prices!B436)</f>
        <v>0.00342626834429602</v>
      </c>
      <c r="C436" s="0" t="n">
        <f aca="false">LN(Prices!C437/Prices!C436)</f>
        <v>-0.00469561394552406</v>
      </c>
      <c r="D436" s="0" t="n">
        <f aca="false">LN(Prices!D437/Prices!D436)</f>
        <v>-0.00304110113711637</v>
      </c>
      <c r="E436" s="0" t="n">
        <f aca="false">SUMPRODUCT(B436:D436,Inputs!$B$4:$D$4)</f>
        <v>-0.000950507187073722</v>
      </c>
      <c r="F436" s="0" t="n">
        <f aca="false">E436*Inputs!$B$2</f>
        <v>-950.507187073722</v>
      </c>
    </row>
    <row r="437" customFormat="false" ht="15" hidden="false" customHeight="false" outlineLevel="0" collapsed="false">
      <c r="A437" s="3" t="n">
        <f aca="false">Prices!A438</f>
        <v>45565</v>
      </c>
      <c r="B437" s="0" t="n">
        <f aca="false">LN(Prices!B438/Prices!B437)</f>
        <v>0.00170877966350544</v>
      </c>
      <c r="C437" s="0" t="n">
        <f aca="false">LN(Prices!C438/Prices!C437)</f>
        <v>0.00124793343396972</v>
      </c>
      <c r="D437" s="0" t="n">
        <f aca="false">LN(Prices!D438/Prices!D437)</f>
        <v>0.00708146917358781</v>
      </c>
      <c r="E437" s="0" t="n">
        <f aca="false">SUMPRODUCT(B437:D437,Inputs!$B$4:$D$4)</f>
        <v>0.00318233264766943</v>
      </c>
      <c r="F437" s="0" t="n">
        <f aca="false">E437*Inputs!$B$2</f>
        <v>3182.33264766943</v>
      </c>
    </row>
    <row r="438" customFormat="false" ht="15" hidden="false" customHeight="false" outlineLevel="0" collapsed="false">
      <c r="A438" s="3" t="n">
        <f aca="false">Prices!A439</f>
        <v>45566</v>
      </c>
      <c r="B438" s="0" t="n">
        <f aca="false">LN(Prices!B439/Prices!B438)</f>
        <v>-0.0182824688864502</v>
      </c>
      <c r="C438" s="0" t="n">
        <f aca="false">LN(Prices!C439/Prices!C438)</f>
        <v>0.00172521063976086</v>
      </c>
      <c r="D438" s="0" t="n">
        <f aca="false">LN(Prices!D439/Prices!D438)</f>
        <v>-0.0116604812250256</v>
      </c>
      <c r="E438" s="0" t="n">
        <f aca="false">SUMPRODUCT(B438:D438,Inputs!$B$4:$D$4)</f>
        <v>-0.0102935687301595</v>
      </c>
      <c r="F438" s="0" t="n">
        <f aca="false">E438*Inputs!$B$2</f>
        <v>-10293.5687301595</v>
      </c>
    </row>
    <row r="439" customFormat="false" ht="15" hidden="false" customHeight="false" outlineLevel="0" collapsed="false">
      <c r="A439" s="3" t="n">
        <f aca="false">Prices!A440</f>
        <v>45567</v>
      </c>
      <c r="B439" s="0" t="n">
        <f aca="false">LN(Prices!B440/Prices!B439)</f>
        <v>0.00120681640186191</v>
      </c>
      <c r="C439" s="0" t="n">
        <f aca="false">LN(Prices!C440/Prices!C439)</f>
        <v>0.000957362303662829</v>
      </c>
      <c r="D439" s="0" t="n">
        <f aca="false">LN(Prices!D440/Prices!D439)</f>
        <v>0.000254968610658502</v>
      </c>
      <c r="E439" s="0" t="n">
        <f aca="false">SUMPRODUCT(B439:D439,Inputs!$B$4:$D$4)</f>
        <v>0.000846425835041162</v>
      </c>
      <c r="F439" s="0" t="n">
        <f aca="false">E439*Inputs!$B$2</f>
        <v>846.425835041162</v>
      </c>
    </row>
    <row r="440" customFormat="false" ht="15" hidden="false" customHeight="false" outlineLevel="0" collapsed="false">
      <c r="A440" s="3" t="n">
        <f aca="false">Prices!A441</f>
        <v>45568</v>
      </c>
      <c r="B440" s="0" t="n">
        <f aca="false">LN(Prices!B441/Prices!B440)</f>
        <v>-0.0099875136480006</v>
      </c>
      <c r="C440" s="0" t="n">
        <f aca="false">LN(Prices!C441/Prices!C440)</f>
        <v>0.000478222405278666</v>
      </c>
      <c r="D440" s="0" t="n">
        <f aca="false">LN(Prices!D441/Prices!D440)</f>
        <v>0.000509539082427744</v>
      </c>
      <c r="E440" s="0" t="n">
        <f aca="false">SUMPRODUCT(B440:D440,Inputs!$B$4:$D$4)</f>
        <v>-0.00369867701288832</v>
      </c>
      <c r="F440" s="0" t="n">
        <f aca="false">E440*Inputs!$B$2</f>
        <v>-3698.67701288832</v>
      </c>
    </row>
    <row r="441" customFormat="false" ht="15" hidden="false" customHeight="false" outlineLevel="0" collapsed="false">
      <c r="A441" s="3" t="n">
        <f aca="false">Prices!A442</f>
        <v>45569</v>
      </c>
      <c r="B441" s="0" t="n">
        <f aca="false">LN(Prices!B442/Prices!B441)</f>
        <v>0.0348782153571358</v>
      </c>
      <c r="C441" s="0" t="n">
        <f aca="false">LN(Prices!C442/Prices!C441)</f>
        <v>0.0311627708207792</v>
      </c>
      <c r="D441" s="0" t="n">
        <f aca="false">LN(Prices!D442/Prices!D441)</f>
        <v>0.0216743045009569</v>
      </c>
      <c r="E441" s="0" t="n">
        <f aca="false">SUMPRODUCT(B441:D441,Inputs!$B$4:$D$4)</f>
        <v>0.0298024087393752</v>
      </c>
      <c r="F441" s="0" t="n">
        <f aca="false">E441*Inputs!$B$2</f>
        <v>29802.4087393752</v>
      </c>
    </row>
    <row r="442" customFormat="false" ht="15" hidden="false" customHeight="false" outlineLevel="0" collapsed="false">
      <c r="A442" s="3" t="n">
        <f aca="false">Prices!A443</f>
        <v>45572</v>
      </c>
      <c r="B442" s="0" t="n">
        <f aca="false">LN(Prices!B443/Prices!B442)</f>
        <v>-0.00137385407757309</v>
      </c>
      <c r="C442" s="0" t="n">
        <f aca="false">LN(Prices!C443/Prices!C442)</f>
        <v>-0.00222716261449999</v>
      </c>
      <c r="D442" s="0" t="n">
        <f aca="false">LN(Prices!D443/Prices!D442)</f>
        <v>-0.00374675637964459</v>
      </c>
      <c r="E442" s="0" t="n">
        <f aca="false">SUMPRODUCT(B442:D442,Inputs!$B$4:$D$4)</f>
        <v>-0.00234171732927261</v>
      </c>
      <c r="F442" s="0" t="n">
        <f aca="false">E442*Inputs!$B$2</f>
        <v>-2341.71732927261</v>
      </c>
    </row>
    <row r="443" customFormat="false" ht="15" hidden="false" customHeight="false" outlineLevel="0" collapsed="false">
      <c r="A443" s="3" t="n">
        <f aca="false">Prices!A444</f>
        <v>45573</v>
      </c>
      <c r="B443" s="0" t="n">
        <f aca="false">LN(Prices!B444/Prices!B443)</f>
        <v>-0.000853638209470143</v>
      </c>
      <c r="C443" s="0" t="n">
        <f aca="false">LN(Prices!C444/Prices!C443)</f>
        <v>-0.00139453710461994</v>
      </c>
      <c r="D443" s="0" t="n">
        <f aca="false">LN(Prices!D444/Prices!D443)</f>
        <v>-0.000751018834778718</v>
      </c>
      <c r="E443" s="0" t="n">
        <f aca="false">SUMPRODUCT(B443:D443,Inputs!$B$4:$D$4)</f>
        <v>-0.000985122065607655</v>
      </c>
      <c r="F443" s="0" t="n">
        <f aca="false">E443*Inputs!$B$2</f>
        <v>-985.122065607655</v>
      </c>
    </row>
    <row r="444" customFormat="false" ht="15" hidden="false" customHeight="false" outlineLevel="0" collapsed="false">
      <c r="A444" s="3" t="n">
        <f aca="false">Prices!A445</f>
        <v>45574</v>
      </c>
      <c r="B444" s="0" t="n">
        <f aca="false">LN(Prices!B445/Prices!B444)</f>
        <v>0.0125892650364689</v>
      </c>
      <c r="C444" s="0" t="n">
        <f aca="false">LN(Prices!C445/Prices!C444)</f>
        <v>0.0143170157768423</v>
      </c>
      <c r="D444" s="0" t="n">
        <f aca="false">LN(Prices!D445/Prices!D444)</f>
        <v>0.00649033323195486</v>
      </c>
      <c r="E444" s="0" t="n">
        <f aca="false">SUMPRODUCT(B444:D444,Inputs!$B$4:$D$4)</f>
        <v>0.0112779107172267</v>
      </c>
      <c r="F444" s="0" t="n">
        <f aca="false">E444*Inputs!$B$2</f>
        <v>11277.9107172267</v>
      </c>
    </row>
    <row r="445" customFormat="false" ht="15" hidden="false" customHeight="false" outlineLevel="0" collapsed="false">
      <c r="A445" s="3" t="n">
        <f aca="false">Prices!A446</f>
        <v>45575</v>
      </c>
      <c r="B445" s="0" t="n">
        <f aca="false">LN(Prices!B446/Prices!B445)</f>
        <v>-0.00272121601407274</v>
      </c>
      <c r="C445" s="0" t="n">
        <f aca="false">LN(Prices!C446/Prices!C445)</f>
        <v>-0.00884312880933758</v>
      </c>
      <c r="D445" s="0" t="n">
        <f aca="false">LN(Prices!D446/Prices!D445)</f>
        <v>-0.00548896705015157</v>
      </c>
      <c r="E445" s="0" t="n">
        <f aca="false">SUMPRODUCT(B445:D445,Inputs!$B$4:$D$4)</f>
        <v>-0.00538811516347584</v>
      </c>
      <c r="F445" s="0" t="n">
        <f aca="false">E445*Inputs!$B$2</f>
        <v>-5388.11516347584</v>
      </c>
    </row>
    <row r="446" customFormat="false" ht="15" hidden="false" customHeight="false" outlineLevel="0" collapsed="false">
      <c r="A446" s="3" t="n">
        <f aca="false">Prices!A447</f>
        <v>45576</v>
      </c>
      <c r="B446" s="0" t="n">
        <f aca="false">LN(Prices!B447/Prices!B446)</f>
        <v>0.0434420989861075</v>
      </c>
      <c r="C446" s="0" t="n">
        <f aca="false">LN(Prices!C447/Prices!C446)</f>
        <v>0.0217818217985489</v>
      </c>
      <c r="D446" s="0" t="n">
        <f aca="false">LN(Prices!D447/Prices!D446)</f>
        <v>0.0483492382863761</v>
      </c>
      <c r="E446" s="0" t="n">
        <f aca="false">SUMPRODUCT(B446:D446,Inputs!$B$4:$D$4)</f>
        <v>0.0384161576199205</v>
      </c>
      <c r="F446" s="0" t="n">
        <f aca="false">E446*Inputs!$B$2</f>
        <v>38416.1576199205</v>
      </c>
    </row>
    <row r="447" customFormat="false" ht="15" hidden="false" customHeight="false" outlineLevel="0" collapsed="false">
      <c r="A447" s="3" t="n">
        <f aca="false">Prices!A448</f>
        <v>45579</v>
      </c>
      <c r="B447" s="0" t="n">
        <f aca="false">LN(Prices!B448/Prices!B447)</f>
        <v>-0.00365055171814765</v>
      </c>
      <c r="C447" s="0" t="n">
        <f aca="false">LN(Prices!C448/Prices!C447)</f>
        <v>0.0163422866578262</v>
      </c>
      <c r="D447" s="0" t="n">
        <f aca="false">LN(Prices!D448/Prices!D447)</f>
        <v>-0.000953984970744356</v>
      </c>
      <c r="E447" s="0" t="n">
        <f aca="false">SUMPRODUCT(B447:D447,Inputs!$B$4:$D$4)</f>
        <v>0.00315626981886551</v>
      </c>
      <c r="F447" s="0" t="n">
        <f aca="false">E447*Inputs!$B$2</f>
        <v>3156.26981886551</v>
      </c>
    </row>
    <row r="448" customFormat="false" ht="15" hidden="false" customHeight="false" outlineLevel="0" collapsed="false">
      <c r="A448" s="3" t="n">
        <f aca="false">Prices!A449</f>
        <v>45580</v>
      </c>
      <c r="B448" s="0" t="n">
        <f aca="false">LN(Prices!B449/Prices!B448)</f>
        <v>0.00410025029015585</v>
      </c>
      <c r="C448" s="0" t="n">
        <f aca="false">LN(Prices!C449/Prices!C448)</f>
        <v>-0.000534518798535365</v>
      </c>
      <c r="D448" s="0" t="n">
        <f aca="false">LN(Prices!D449/Prices!D448)</f>
        <v>0.00547271899802619</v>
      </c>
      <c r="E448" s="0" t="n">
        <f aca="false">SUMPRODUCT(B448:D448,Inputs!$B$4:$D$4)</f>
        <v>0.00312156017590959</v>
      </c>
      <c r="F448" s="0" t="n">
        <f aca="false">E448*Inputs!$B$2</f>
        <v>3121.56017590959</v>
      </c>
    </row>
    <row r="449" customFormat="false" ht="15" hidden="false" customHeight="false" outlineLevel="0" collapsed="false">
      <c r="A449" s="3" t="n">
        <f aca="false">Prices!A450</f>
        <v>45581</v>
      </c>
      <c r="B449" s="0" t="n">
        <f aca="false">LN(Prices!B450/Prices!B449)</f>
        <v>0.00560504793017896</v>
      </c>
      <c r="C449" s="0" t="n">
        <f aca="false">LN(Prices!C450/Prices!C449)</f>
        <v>0.0629387840808557</v>
      </c>
      <c r="D449" s="0" t="n">
        <f aca="false">LN(Prices!D450/Prices!D449)</f>
        <v>0.0155408774573422</v>
      </c>
      <c r="E449" s="0" t="n">
        <f aca="false">SUMPRODUCT(B449:D449,Inputs!$B$4:$D$4)</f>
        <v>0.0257859176335309</v>
      </c>
      <c r="F449" s="0" t="n">
        <f aca="false">E449*Inputs!$B$2</f>
        <v>25785.9176335309</v>
      </c>
    </row>
    <row r="450" customFormat="false" ht="15" hidden="false" customHeight="false" outlineLevel="0" collapsed="false">
      <c r="A450" s="3" t="n">
        <f aca="false">Prices!A451</f>
        <v>45582</v>
      </c>
      <c r="B450" s="0" t="n">
        <f aca="false">LN(Prices!B451/Prices!B450)</f>
        <v>0.00348171385114931</v>
      </c>
      <c r="C450" s="0" t="n">
        <f aca="false">LN(Prices!C451/Prices!C450)</f>
        <v>-0.000585860429376757</v>
      </c>
      <c r="D450" s="0" t="n">
        <f aca="false">LN(Prices!D451/Prices!D450)</f>
        <v>-0.00468401203273424</v>
      </c>
      <c r="E450" s="0" t="n">
        <f aca="false">SUMPRODUCT(B450:D450,Inputs!$B$4:$D$4)</f>
        <v>-0.000188276198173574</v>
      </c>
      <c r="F450" s="0" t="n">
        <f aca="false">E450*Inputs!$B$2</f>
        <v>-188.276198173574</v>
      </c>
    </row>
    <row r="451" customFormat="false" ht="15" hidden="false" customHeight="false" outlineLevel="0" collapsed="false">
      <c r="A451" s="3" t="n">
        <f aca="false">Prices!A452</f>
        <v>45583</v>
      </c>
      <c r="B451" s="0" t="n">
        <f aca="false">LN(Prices!B452/Prices!B451)</f>
        <v>0.00422420465248585</v>
      </c>
      <c r="C451" s="0" t="n">
        <f aca="false">LN(Prices!C452/Prices!C451)</f>
        <v>0.0134720114407805</v>
      </c>
      <c r="D451" s="0" t="n">
        <f aca="false">LN(Prices!D452/Prices!D451)</f>
        <v>-0.00659428151763871</v>
      </c>
      <c r="E451" s="0" t="n">
        <f aca="false">SUMPRODUCT(B451:D451,Inputs!$B$4:$D$4)</f>
        <v>0.00375300083793688</v>
      </c>
      <c r="F451" s="0" t="n">
        <f aca="false">E451*Inputs!$B$2</f>
        <v>3753.00083793688</v>
      </c>
    </row>
    <row r="452" customFormat="false" ht="15" hidden="false" customHeight="false" outlineLevel="0" collapsed="false">
      <c r="A452" s="3" t="n">
        <f aca="false">Prices!A453</f>
        <v>45586</v>
      </c>
      <c r="B452" s="0" t="n">
        <f aca="false">LN(Prices!B453/Prices!B452)</f>
        <v>-0.0105717293090935</v>
      </c>
      <c r="C452" s="0" t="n">
        <f aca="false">LN(Prices!C453/Prices!C452)</f>
        <v>-0.0232314261418692</v>
      </c>
      <c r="D452" s="0" t="n">
        <f aca="false">LN(Prices!D453/Prices!D452)</f>
        <v>-0.0133208501130673</v>
      </c>
      <c r="E452" s="0" t="n">
        <f aca="false">SUMPRODUCT(B452:D452,Inputs!$B$4:$D$4)</f>
        <v>-0.0151943746001184</v>
      </c>
      <c r="F452" s="0" t="n">
        <f aca="false">E452*Inputs!$B$2</f>
        <v>-15194.3746001184</v>
      </c>
    </row>
    <row r="453" customFormat="false" ht="15" hidden="false" customHeight="false" outlineLevel="0" collapsed="false">
      <c r="A453" s="3" t="n">
        <f aca="false">Prices!A454</f>
        <v>45587</v>
      </c>
      <c r="B453" s="0" t="n">
        <f aca="false">LN(Prices!B454/Prices!B453)</f>
        <v>0.00500968628404781</v>
      </c>
      <c r="C453" s="0" t="n">
        <f aca="false">LN(Prices!C454/Prices!C453)</f>
        <v>0.000338121902482233</v>
      </c>
      <c r="D453" s="0" t="n">
        <f aca="false">LN(Prices!D454/Prices!D453)</f>
        <v>0.0128480002574572</v>
      </c>
      <c r="E453" s="0" t="n">
        <f aca="false">SUMPRODUCT(B453:D453,Inputs!$B$4:$D$4)</f>
        <v>0.00595971116160096</v>
      </c>
      <c r="F453" s="0" t="n">
        <f aca="false">E453*Inputs!$B$2</f>
        <v>5959.71116160096</v>
      </c>
    </row>
    <row r="454" customFormat="false" ht="15" hidden="false" customHeight="false" outlineLevel="0" collapsed="false">
      <c r="A454" s="3" t="n">
        <f aca="false">Prices!A455</f>
        <v>45588</v>
      </c>
      <c r="B454" s="0" t="n">
        <f aca="false">LN(Prices!B455/Prices!B454)</f>
        <v>-0.00317269182757425</v>
      </c>
      <c r="C454" s="0" t="n">
        <f aca="false">LN(Prices!C455/Prices!C454)</f>
        <v>-0.000338121902482264</v>
      </c>
      <c r="D454" s="0" t="n">
        <f aca="false">LN(Prices!D455/Prices!D454)</f>
        <v>0.000945287864446109</v>
      </c>
      <c r="E454" s="0" t="n">
        <f aca="false">SUMPRODUCT(B454:D454,Inputs!$B$4:$D$4)</f>
        <v>-0.00108692694244055</v>
      </c>
      <c r="F454" s="0" t="n">
        <f aca="false">E454*Inputs!$B$2</f>
        <v>-1086.92694244055</v>
      </c>
    </row>
    <row r="455" customFormat="false" ht="15" hidden="false" customHeight="false" outlineLevel="0" collapsed="false">
      <c r="A455" s="3" t="n">
        <f aca="false">Prices!A456</f>
        <v>45589</v>
      </c>
      <c r="B455" s="0" t="n">
        <f aca="false">LN(Prices!B456/Prices!B455)</f>
        <v>0.00700273140928856</v>
      </c>
      <c r="C455" s="0" t="n">
        <f aca="false">LN(Prices!C456/Prices!C455)</f>
        <v>0.00749628291909317</v>
      </c>
      <c r="D455" s="0" t="n">
        <f aca="false">LN(Prices!D456/Prices!D455)</f>
        <v>0.00729509199066595</v>
      </c>
      <c r="E455" s="0" t="n">
        <f aca="false">SUMPRODUCT(B455:D455,Inputs!$B$4:$D$4)</f>
        <v>0.00723850503664316</v>
      </c>
      <c r="F455" s="0" t="n">
        <f aca="false">E455*Inputs!$B$2</f>
        <v>7238.50503664316</v>
      </c>
    </row>
    <row r="456" customFormat="false" ht="15" hidden="false" customHeight="false" outlineLevel="0" collapsed="false">
      <c r="A456" s="3" t="n">
        <f aca="false">Prices!A457</f>
        <v>45590</v>
      </c>
      <c r="B456" s="0" t="n">
        <f aca="false">LN(Prices!B457/Prices!B456)</f>
        <v>-0.011938734102611</v>
      </c>
      <c r="C456" s="0" t="n">
        <f aca="false">LN(Prices!C457/Prices!C456)</f>
        <v>-0.019403225503283</v>
      </c>
      <c r="D456" s="0" t="n">
        <f aca="false">LN(Prices!D457/Prices!D456)</f>
        <v>-0.0179802144870534</v>
      </c>
      <c r="E456" s="0" t="n">
        <f aca="false">SUMPRODUCT(B456:D456,Inputs!$B$4:$D$4)</f>
        <v>-0.0159905256381453</v>
      </c>
      <c r="F456" s="0" t="n">
        <f aca="false">E456*Inputs!$B$2</f>
        <v>-15990.5256381453</v>
      </c>
    </row>
    <row r="457" customFormat="false" ht="15" hidden="false" customHeight="false" outlineLevel="0" collapsed="false">
      <c r="A457" s="3" t="n">
        <f aca="false">Prices!A458</f>
        <v>45593</v>
      </c>
      <c r="B457" s="0" t="n">
        <f aca="false">LN(Prices!B458/Prices!B457)</f>
        <v>0.0142473826776508</v>
      </c>
      <c r="C457" s="0" t="n">
        <f aca="false">LN(Prices!C458/Prices!C457)</f>
        <v>0.019067448244738</v>
      </c>
      <c r="D457" s="0" t="n">
        <f aca="false">LN(Prices!D458/Prices!D457)</f>
        <v>0.0172764867306804</v>
      </c>
      <c r="E457" s="0" t="n">
        <f aca="false">SUMPRODUCT(B457:D457,Inputs!$B$4:$D$4)</f>
        <v>0.0166021335636858</v>
      </c>
      <c r="F457" s="0" t="n">
        <f aca="false">E457*Inputs!$B$2</f>
        <v>16602.1335636858</v>
      </c>
    </row>
    <row r="458" customFormat="false" ht="15" hidden="false" customHeight="false" outlineLevel="0" collapsed="false">
      <c r="A458" s="3" t="n">
        <f aca="false">Prices!A459</f>
        <v>45594</v>
      </c>
      <c r="B458" s="0" t="n">
        <f aca="false">LN(Prices!B459/Prices!B458)</f>
        <v>-0.0115969843865912</v>
      </c>
      <c r="C458" s="0" t="n">
        <f aca="false">LN(Prices!C459/Prices!C458)</f>
        <v>0.00142615747793574</v>
      </c>
      <c r="D458" s="0" t="n">
        <f aca="false">LN(Prices!D459/Prices!D458)</f>
        <v>-0.00211387826777214</v>
      </c>
      <c r="E458" s="0" t="n">
        <f aca="false">SUMPRODUCT(B458:D458,Inputs!$B$4:$D$4)</f>
        <v>-0.0048451099915874</v>
      </c>
      <c r="F458" s="0" t="n">
        <f aca="false">E458*Inputs!$B$2</f>
        <v>-4845.1099915874</v>
      </c>
    </row>
    <row r="459" customFormat="false" ht="15" hidden="false" customHeight="false" outlineLevel="0" collapsed="false">
      <c r="A459" s="3" t="n">
        <f aca="false">Prices!A460</f>
        <v>45595</v>
      </c>
      <c r="B459" s="0" t="n">
        <f aca="false">LN(Prices!B460/Prices!B459)</f>
        <v>0.00675141858343906</v>
      </c>
      <c r="C459" s="0" t="n">
        <f aca="false">LN(Prices!C460/Prices!C459)</f>
        <v>-0.0116351204197908</v>
      </c>
      <c r="D459" s="0" t="n">
        <f aca="false">LN(Prices!D460/Prices!D459)</f>
        <v>-0.00518627383002984</v>
      </c>
      <c r="E459" s="0" t="n">
        <f aca="false">SUMPRODUCT(B459:D459,Inputs!$B$4:$D$4)</f>
        <v>-0.00234585084157055</v>
      </c>
      <c r="F459" s="0" t="n">
        <f aca="false">E459*Inputs!$B$2</f>
        <v>-2345.85084157055</v>
      </c>
    </row>
    <row r="460" customFormat="false" ht="15" hidden="false" customHeight="false" outlineLevel="0" collapsed="false">
      <c r="A460" s="3" t="n">
        <f aca="false">Prices!A461</f>
        <v>45596</v>
      </c>
      <c r="B460" s="0" t="n">
        <f aca="false">LN(Prices!B461/Prices!B460)</f>
        <v>-0.0111576104003907</v>
      </c>
      <c r="C460" s="0" t="n">
        <f aca="false">LN(Prices!C461/Prices!C460)</f>
        <v>-0.00638810721416609</v>
      </c>
      <c r="D460" s="0" t="n">
        <f aca="false">LN(Prices!D461/Prices!D460)</f>
        <v>-0.0116486810569764</v>
      </c>
      <c r="E460" s="0" t="n">
        <f aca="false">SUMPRODUCT(B460:D460,Inputs!$B$4:$D$4)</f>
        <v>-0.00987408064149901</v>
      </c>
      <c r="F460" s="0" t="n">
        <f aca="false">E460*Inputs!$B$2</f>
        <v>-9874.08064149901</v>
      </c>
    </row>
    <row r="461" customFormat="false" ht="15" hidden="false" customHeight="false" outlineLevel="0" collapsed="false">
      <c r="A461" s="3" t="n">
        <f aca="false">Prices!A462</f>
        <v>45597</v>
      </c>
      <c r="B461" s="0" t="n">
        <f aca="false">LN(Prices!B462/Prices!B461)</f>
        <v>0.00458583006966326</v>
      </c>
      <c r="C461" s="0" t="n">
        <f aca="false">LN(Prices!C462/Prices!C461)</f>
        <v>0.00514810578432337</v>
      </c>
      <c r="D461" s="0" t="n">
        <f aca="false">LN(Prices!D462/Prices!D461)</f>
        <v>-0.00143581920141823</v>
      </c>
      <c r="E461" s="0" t="n">
        <f aca="false">SUMPRODUCT(B461:D461,Inputs!$B$4:$D$4)</f>
        <v>0.00294801800273684</v>
      </c>
      <c r="F461" s="0" t="n">
        <f aca="false">E461*Inputs!$B$2</f>
        <v>2948.01800273684</v>
      </c>
    </row>
    <row r="462" customFormat="false" ht="15" hidden="false" customHeight="false" outlineLevel="0" collapsed="false">
      <c r="A462" s="3" t="n">
        <f aca="false">Prices!A463</f>
        <v>45600</v>
      </c>
      <c r="B462" s="0" t="n">
        <f aca="false">LN(Prices!B463/Prices!B462)</f>
        <v>-0.0142758273998934</v>
      </c>
      <c r="C462" s="0" t="n">
        <f aca="false">LN(Prices!C463/Prices!C462)</f>
        <v>-0.00609473584162691</v>
      </c>
      <c r="D462" s="0" t="n">
        <f aca="false">LN(Prices!D463/Prices!D462)</f>
        <v>-0.0103502509589089</v>
      </c>
      <c r="E462" s="0" t="n">
        <f aca="false">SUMPRODUCT(B462:D462,Inputs!$B$4:$D$4)</f>
        <v>-0.0106438270001181</v>
      </c>
      <c r="F462" s="0" t="n">
        <f aca="false">E462*Inputs!$B$2</f>
        <v>-10643.8270001181</v>
      </c>
    </row>
    <row r="463" customFormat="false" ht="15" hidden="false" customHeight="false" outlineLevel="0" collapsed="false">
      <c r="A463" s="3" t="n">
        <f aca="false">Prices!A464</f>
        <v>45601</v>
      </c>
      <c r="B463" s="0" t="n">
        <f aca="false">LN(Prices!B464/Prices!B463)</f>
        <v>0.00775047653571941</v>
      </c>
      <c r="C463" s="0" t="n">
        <f aca="false">LN(Prices!C464/Prices!C463)</f>
        <v>0.014276824174987</v>
      </c>
      <c r="D463" s="0" t="n">
        <f aca="false">LN(Prices!D464/Prices!D463)</f>
        <v>0.013219830740421</v>
      </c>
      <c r="E463" s="0" t="n">
        <f aca="false">SUMPRODUCT(B463:D463,Inputs!$B$4:$D$4)</f>
        <v>0.0113491870889102</v>
      </c>
      <c r="F463" s="0" t="n">
        <f aca="false">E463*Inputs!$B$2</f>
        <v>11349.1870889102</v>
      </c>
    </row>
    <row r="464" customFormat="false" ht="15" hidden="false" customHeight="false" outlineLevel="0" collapsed="false">
      <c r="A464" s="3" t="n">
        <f aca="false">Prices!A465</f>
        <v>45602</v>
      </c>
      <c r="B464" s="0" t="n">
        <f aca="false">LN(Prices!B465/Prices!B464)</f>
        <v>0.109253791178956</v>
      </c>
      <c r="C464" s="0" t="n">
        <f aca="false">LN(Prices!C465/Prices!C464)</f>
        <v>0.109857772659721</v>
      </c>
      <c r="D464" s="0" t="n">
        <f aca="false">LN(Prices!D465/Prices!D464)</f>
        <v>0.0809238841247605</v>
      </c>
      <c r="E464" s="0" t="n">
        <f aca="false">SUMPRODUCT(B464:D464,Inputs!$B$4:$D$4)</f>
        <v>0.100936013506927</v>
      </c>
      <c r="F464" s="0" t="n">
        <f aca="false">E464*Inputs!$B$2</f>
        <v>100936.013506927</v>
      </c>
    </row>
    <row r="465" customFormat="false" ht="15" hidden="false" customHeight="false" outlineLevel="0" collapsed="false">
      <c r="A465" s="3" t="n">
        <f aca="false">Prices!A466</f>
        <v>45603</v>
      </c>
      <c r="B465" s="0" t="n">
        <f aca="false">LN(Prices!B466/Prices!B465)</f>
        <v>-0.0441904495192954</v>
      </c>
      <c r="C465" s="0" t="n">
        <f aca="false">LN(Prices!C466/Prices!C465)</f>
        <v>-0.0234689176153191</v>
      </c>
      <c r="D465" s="0" t="n">
        <f aca="false">LN(Prices!D466/Prices!D465)</f>
        <v>-0.0141941040444919</v>
      </c>
      <c r="E465" s="0" t="n">
        <f aca="false">SUMPRODUCT(B465:D465,Inputs!$B$4:$D$4)</f>
        <v>-0.0289750863056614</v>
      </c>
      <c r="F465" s="0" t="n">
        <f aca="false">E465*Inputs!$B$2</f>
        <v>-28975.0863056614</v>
      </c>
    </row>
    <row r="466" customFormat="false" ht="15" hidden="false" customHeight="false" outlineLevel="0" collapsed="false">
      <c r="A466" s="3" t="n">
        <f aca="false">Prices!A467</f>
        <v>45604</v>
      </c>
      <c r="B466" s="0" t="n">
        <f aca="false">LN(Prices!B467/Prices!B466)</f>
        <v>0.00253498118804025</v>
      </c>
      <c r="C466" s="0" t="n">
        <f aca="false">LN(Prices!C467/Prices!C466)</f>
        <v>0.00845054558598886</v>
      </c>
      <c r="D466" s="0" t="n">
        <f aca="false">LN(Prices!D467/Prices!D466)</f>
        <v>0.00800888192265359</v>
      </c>
      <c r="E466" s="0" t="n">
        <f aca="false">SUMPRODUCT(B466:D466,Inputs!$B$4:$D$4)</f>
        <v>0.00595182072780883</v>
      </c>
      <c r="F466" s="0" t="n">
        <f aca="false">E466*Inputs!$B$2</f>
        <v>5951.82072780883</v>
      </c>
    </row>
    <row r="467" customFormat="false" ht="15" hidden="false" customHeight="false" outlineLevel="0" collapsed="false">
      <c r="A467" s="3" t="n">
        <f aca="false">Prices!A468</f>
        <v>45607</v>
      </c>
      <c r="B467" s="0" t="n">
        <f aca="false">LN(Prices!B468/Prices!B467)</f>
        <v>0.00970031059848735</v>
      </c>
      <c r="C467" s="0" t="n">
        <f aca="false">LN(Prices!C468/Prices!C467)</f>
        <v>0.0303389641411239</v>
      </c>
      <c r="D467" s="0" t="n">
        <f aca="false">LN(Prices!D468/Prices!D467)</f>
        <v>0.0208317385220745</v>
      </c>
      <c r="E467" s="0" t="n">
        <f aca="false">SUMPRODUCT(B467:D467,Inputs!$B$4:$D$4)</f>
        <v>0.0192313350383545</v>
      </c>
      <c r="F467" s="0" t="n">
        <f aca="false">E467*Inputs!$B$2</f>
        <v>19231.3350383545</v>
      </c>
    </row>
    <row r="468" customFormat="false" ht="15" hidden="false" customHeight="false" outlineLevel="0" collapsed="false">
      <c r="A468" s="3" t="n">
        <f aca="false">Prices!A469</f>
        <v>45608</v>
      </c>
      <c r="B468" s="0" t="n">
        <f aca="false">LN(Prices!B469/Prices!B468)</f>
        <v>0.0011278144451499</v>
      </c>
      <c r="C468" s="0" t="n">
        <f aca="false">LN(Prices!C469/Prices!C468)</f>
        <v>-0.00910400024795327</v>
      </c>
      <c r="D468" s="0" t="n">
        <f aca="false">LN(Prices!D469/Prices!D468)</f>
        <v>-0.00478559256315845</v>
      </c>
      <c r="E468" s="0" t="n">
        <f aca="false">SUMPRODUCT(B468:D468,Inputs!$B$4:$D$4)</f>
        <v>-0.00371575206527356</v>
      </c>
      <c r="F468" s="0" t="n">
        <f aca="false">E468*Inputs!$B$2</f>
        <v>-3715.75206527355</v>
      </c>
    </row>
    <row r="469" customFormat="false" ht="15" hidden="false" customHeight="false" outlineLevel="0" collapsed="false">
      <c r="A469" s="3" t="n">
        <f aca="false">Prices!A470</f>
        <v>45609</v>
      </c>
      <c r="B469" s="0" t="n">
        <f aca="false">LN(Prices!B470/Prices!B469)</f>
        <v>0.00665662771880909</v>
      </c>
      <c r="C469" s="0" t="n">
        <f aca="false">LN(Prices!C470/Prices!C469)</f>
        <v>0.00339548197257583</v>
      </c>
      <c r="D469" s="0" t="n">
        <f aca="false">LN(Prices!D470/Prices!D469)</f>
        <v>0.000217882237686473</v>
      </c>
      <c r="E469" s="0" t="n">
        <f aca="false">SUMPRODUCT(B469:D469,Inputs!$B$4:$D$4)</f>
        <v>0.00374666035060233</v>
      </c>
      <c r="F469" s="0" t="n">
        <f aca="false">E469*Inputs!$B$2</f>
        <v>3746.66035060233</v>
      </c>
    </row>
    <row r="470" customFormat="false" ht="15" hidden="false" customHeight="false" outlineLevel="0" collapsed="false">
      <c r="A470" s="3" t="n">
        <f aca="false">Prices!A471</f>
        <v>45610</v>
      </c>
      <c r="B470" s="0" t="n">
        <f aca="false">LN(Prices!B471/Prices!B470)</f>
        <v>0.00293977832045613</v>
      </c>
      <c r="C470" s="0" t="n">
        <f aca="false">LN(Prices!C471/Prices!C470)</f>
        <v>-0.00248875976881509</v>
      </c>
      <c r="D470" s="0" t="n">
        <f aca="false">LN(Prices!D471/Prices!D470)</f>
        <v>0.000653883289492132</v>
      </c>
      <c r="E470" s="0" t="n">
        <f aca="false">SUMPRODUCT(B470:D470,Inputs!$B$4:$D$4)</f>
        <v>0.000625448384385566</v>
      </c>
      <c r="F470" s="0" t="n">
        <f aca="false">E470*Inputs!$B$2</f>
        <v>625.448384385566</v>
      </c>
    </row>
    <row r="471" customFormat="false" ht="15" hidden="false" customHeight="false" outlineLevel="0" collapsed="false">
      <c r="A471" s="3" t="n">
        <f aca="false">Prices!A472</f>
        <v>45611</v>
      </c>
      <c r="B471" s="0" t="n">
        <f aca="false">LN(Prices!B472/Prices!B471)</f>
        <v>0.0141224340598544</v>
      </c>
      <c r="C471" s="0" t="n">
        <f aca="false">LN(Prices!C472/Prices!C471)</f>
        <v>0.0122334212993408</v>
      </c>
      <c r="D471" s="0" t="n">
        <f aca="false">LN(Prices!D472/Prices!D471)</f>
        <v>0.0183490865414362</v>
      </c>
      <c r="E471" s="0" t="n">
        <f aca="false">SUMPRODUCT(B471:D471,Inputs!$B$4:$D$4)</f>
        <v>0.0148237259761749</v>
      </c>
      <c r="F471" s="0" t="n">
        <f aca="false">E471*Inputs!$B$2</f>
        <v>14823.7259761749</v>
      </c>
    </row>
    <row r="472" customFormat="false" ht="15" hidden="false" customHeight="false" outlineLevel="0" collapsed="false">
      <c r="A472" s="3" t="n">
        <f aca="false">Prices!A473</f>
        <v>45614</v>
      </c>
      <c r="B472" s="0" t="n">
        <f aca="false">LN(Prices!B473/Prices!B472)</f>
        <v>-0.0011421238135253</v>
      </c>
      <c r="C472" s="0" t="n">
        <f aca="false">LN(Prices!C473/Prices!C472)</f>
        <v>-0.00209105950642129</v>
      </c>
      <c r="D472" s="0" t="n">
        <f aca="false">LN(Prices!D473/Prices!D472)</f>
        <v>-0.000641905365704488</v>
      </c>
      <c r="E472" s="0" t="n">
        <f aca="false">SUMPRODUCT(B472:D472,Inputs!$B$4:$D$4)</f>
        <v>-0.00127673898704785</v>
      </c>
      <c r="F472" s="0" t="n">
        <f aca="false">E472*Inputs!$B$2</f>
        <v>-1276.73898704785</v>
      </c>
    </row>
    <row r="473" customFormat="false" ht="15" hidden="false" customHeight="false" outlineLevel="0" collapsed="false">
      <c r="A473" s="3" t="n">
        <f aca="false">Prices!A474</f>
        <v>45615</v>
      </c>
      <c r="B473" s="0" t="n">
        <f aca="false">LN(Prices!B474/Prices!B473)</f>
        <v>-0.00794890613117519</v>
      </c>
      <c r="C473" s="0" t="n">
        <f aca="false">LN(Prices!C474/Prices!C473)</f>
        <v>-0.0115780184592314</v>
      </c>
      <c r="D473" s="0" t="n">
        <f aca="false">LN(Prices!D474/Prices!D473)</f>
        <v>-0.00665729057110348</v>
      </c>
      <c r="E473" s="0" t="n">
        <f aca="false">SUMPRODUCT(B473:D473,Inputs!$B$4:$D$4)</f>
        <v>-0.00865015516157054</v>
      </c>
      <c r="F473" s="0" t="n">
        <f aca="false">E473*Inputs!$B$2</f>
        <v>-8650.15516157054</v>
      </c>
    </row>
    <row r="474" customFormat="false" ht="15" hidden="false" customHeight="false" outlineLevel="0" collapsed="false">
      <c r="A474" s="3" t="n">
        <f aca="false">Prices!A475</f>
        <v>45616</v>
      </c>
      <c r="B474" s="0" t="n">
        <f aca="false">LN(Prices!B475/Prices!B474)</f>
        <v>-0.00954814450944741</v>
      </c>
      <c r="C474" s="0" t="n">
        <f aca="false">LN(Prices!C475/Prices!C474)</f>
        <v>-0.00416783940931916</v>
      </c>
      <c r="D474" s="0" t="n">
        <f aca="false">LN(Prices!D475/Prices!D474)</f>
        <v>-0.00756997554897288</v>
      </c>
      <c r="E474" s="0" t="n">
        <f aca="false">SUMPRODUCT(B474:D474,Inputs!$B$4:$D$4)</f>
        <v>-0.00734060229126658</v>
      </c>
      <c r="F474" s="0" t="n">
        <f aca="false">E474*Inputs!$B$2</f>
        <v>-7340.60229126658</v>
      </c>
    </row>
    <row r="475" customFormat="false" ht="15" hidden="false" customHeight="false" outlineLevel="0" collapsed="false">
      <c r="A475" s="3" t="n">
        <f aca="false">Prices!A476</f>
        <v>45617</v>
      </c>
      <c r="B475" s="0" t="n">
        <f aca="false">LN(Prices!B476/Prices!B475)</f>
        <v>0.0163945562817143</v>
      </c>
      <c r="C475" s="0" t="n">
        <f aca="false">LN(Prices!C476/Prices!C475)</f>
        <v>0.024750033728806</v>
      </c>
      <c r="D475" s="0" t="n">
        <f aca="false">LN(Prices!D476/Prices!D475)</f>
        <v>0.00864670105435574</v>
      </c>
      <c r="E475" s="0" t="n">
        <f aca="false">SUMPRODUCT(B475:D475,Inputs!$B$4:$D$4)</f>
        <v>0.0165768429476343</v>
      </c>
      <c r="F475" s="0" t="n">
        <f aca="false">E475*Inputs!$B$2</f>
        <v>16576.8429476343</v>
      </c>
    </row>
    <row r="476" customFormat="false" ht="15" hidden="false" customHeight="false" outlineLevel="0" collapsed="false">
      <c r="A476" s="3" t="n">
        <f aca="false">Prices!A477</f>
        <v>45618</v>
      </c>
      <c r="B476" s="0" t="n">
        <f aca="false">LN(Prices!B477/Prices!B476)</f>
        <v>0.0153658348567226</v>
      </c>
      <c r="C476" s="0" t="n">
        <f aca="false">LN(Prices!C477/Prices!C476)</f>
        <v>-0.0022249575622018</v>
      </c>
      <c r="D476" s="0" t="n">
        <f aca="false">LN(Prices!D477/Prices!D476)</f>
        <v>0.0115559162239856</v>
      </c>
      <c r="E476" s="0" t="n">
        <f aca="false">SUMPRODUCT(B476:D476,Inputs!$B$4:$D$4)</f>
        <v>0.00894562154122418</v>
      </c>
      <c r="F476" s="0" t="n">
        <f aca="false">E476*Inputs!$B$2</f>
        <v>8945.62154122418</v>
      </c>
    </row>
    <row r="477" customFormat="false" ht="15" hidden="false" customHeight="false" outlineLevel="0" collapsed="false">
      <c r="A477" s="3" t="n">
        <f aca="false">Prices!A478</f>
        <v>45621</v>
      </c>
      <c r="B477" s="0" t="n">
        <f aca="false">LN(Prices!B478/Prices!B477)</f>
        <v>0.0069761983407281</v>
      </c>
      <c r="C477" s="0" t="n">
        <f aca="false">LN(Prices!C478/Prices!C477)</f>
        <v>-0.00767648833832411</v>
      </c>
      <c r="D477" s="0" t="n">
        <f aca="false">LN(Prices!D478/Prices!D477)</f>
        <v>0.0105821379097748</v>
      </c>
      <c r="E477" s="0" t="n">
        <f aca="false">SUMPRODUCT(B477:D477,Inputs!$B$4:$D$4)</f>
        <v>0.00366217420772645</v>
      </c>
      <c r="F477" s="0" t="n">
        <f aca="false">E477*Inputs!$B$2</f>
        <v>3662.17420772645</v>
      </c>
    </row>
    <row r="478" customFormat="false" ht="15" hidden="false" customHeight="false" outlineLevel="0" collapsed="false">
      <c r="A478" s="3" t="n">
        <f aca="false">Prices!A479</f>
        <v>45622</v>
      </c>
      <c r="B478" s="0" t="n">
        <f aca="false">LN(Prices!B479/Prices!B478)</f>
        <v>-0.00127925665906511</v>
      </c>
      <c r="C478" s="0" t="n">
        <f aca="false">LN(Prices!C479/Prices!C478)</f>
        <v>-0.0179668078317043</v>
      </c>
      <c r="D478" s="0" t="n">
        <f aca="false">LN(Prices!D479/Prices!D478)</f>
        <v>0.00524936995131822</v>
      </c>
      <c r="E478" s="0" t="n">
        <f aca="false">SUMPRODUCT(B478:D478,Inputs!$B$4:$D$4)</f>
        <v>-0.00432693402774186</v>
      </c>
      <c r="F478" s="0" t="n">
        <f aca="false">E478*Inputs!$B$2</f>
        <v>-4326.93402774186</v>
      </c>
    </row>
    <row r="479" customFormat="false" ht="15" hidden="false" customHeight="false" outlineLevel="0" collapsed="false">
      <c r="A479" s="3" t="n">
        <f aca="false">Prices!A480</f>
        <v>45623</v>
      </c>
      <c r="B479" s="0" t="n">
        <f aca="false">LN(Prices!B480/Prices!B479)</f>
        <v>-0.000720459850476956</v>
      </c>
      <c r="C479" s="0" t="n">
        <f aca="false">LN(Prices!C480/Prices!C479)</f>
        <v>-0.000533328421697674</v>
      </c>
      <c r="D479" s="0" t="n">
        <f aca="false">LN(Prices!D480/Prices!D479)</f>
        <v>0.00041880834110872</v>
      </c>
      <c r="E479" s="0" t="n">
        <f aca="false">SUMPRODUCT(B479:D479,Inputs!$B$4:$D$4)</f>
        <v>-0.000322539964367469</v>
      </c>
      <c r="F479" s="0" t="n">
        <f aca="false">E479*Inputs!$B$2</f>
        <v>-322.539964367469</v>
      </c>
    </row>
    <row r="480" customFormat="false" ht="15" hidden="false" customHeight="false" outlineLevel="0" collapsed="false">
      <c r="A480" s="3" t="n">
        <f aca="false">Prices!A481</f>
        <v>45625</v>
      </c>
      <c r="B480" s="0" t="n">
        <f aca="false">LN(Prices!B481/Prices!B480)</f>
        <v>-0.000280178440317848</v>
      </c>
      <c r="C480" s="0" t="n">
        <f aca="false">LN(Prices!C481/Prices!C480)</f>
        <v>0.003043862036778</v>
      </c>
      <c r="D480" s="0" t="n">
        <f aca="false">LN(Prices!D481/Prices!D480)</f>
        <v>-0.00545765006726853</v>
      </c>
      <c r="E480" s="0" t="n">
        <f aca="false">SUMPRODUCT(B480:D480,Inputs!$B$4:$D$4)</f>
        <v>-0.000836207785274297</v>
      </c>
      <c r="F480" s="0" t="n">
        <f aca="false">E480*Inputs!$B$2</f>
        <v>-836.207785274297</v>
      </c>
    </row>
    <row r="481" customFormat="false" ht="15" hidden="false" customHeight="false" outlineLevel="0" collapsed="false">
      <c r="A481" s="3" t="n">
        <f aca="false">Prices!A482</f>
        <v>45628</v>
      </c>
      <c r="B481" s="0" t="n">
        <f aca="false">LN(Prices!B482/Prices!B481)</f>
        <v>-0.0139929660526007</v>
      </c>
      <c r="C481" s="0" t="n">
        <f aca="false">LN(Prices!C482/Prices!C481)</f>
        <v>-0.00441669849930528</v>
      </c>
      <c r="D481" s="0" t="n">
        <f aca="false">LN(Prices!D482/Prices!D481)</f>
        <v>-0.00994203654569683</v>
      </c>
      <c r="E481" s="0" t="n">
        <f aca="false">SUMPRODUCT(B481:D481,Inputs!$B$4:$D$4)</f>
        <v>-0.00990480693454093</v>
      </c>
      <c r="F481" s="0" t="n">
        <f aca="false">E481*Inputs!$B$2</f>
        <v>-9904.80693454093</v>
      </c>
    </row>
    <row r="482" customFormat="false" ht="15" hidden="false" customHeight="false" outlineLevel="0" collapsed="false">
      <c r="A482" s="3" t="n">
        <f aca="false">Prices!A483</f>
        <v>45629</v>
      </c>
      <c r="B482" s="0" t="n">
        <f aca="false">LN(Prices!B483/Prices!B482)</f>
        <v>-0.00582398231815405</v>
      </c>
      <c r="C482" s="0" t="n">
        <f aca="false">LN(Prices!C483/Prices!C482)</f>
        <v>-0.00451293187036341</v>
      </c>
      <c r="D482" s="0" t="n">
        <f aca="false">LN(Prices!D483/Prices!D482)</f>
        <v>-0.00468769791051802</v>
      </c>
      <c r="E482" s="0" t="n">
        <f aca="false">SUMPRODUCT(B482:D482,Inputs!$B$4:$D$4)</f>
        <v>-0.00508978186152605</v>
      </c>
      <c r="F482" s="0" t="n">
        <f aca="false">E482*Inputs!$B$2</f>
        <v>-5089.78186152605</v>
      </c>
    </row>
    <row r="483" customFormat="false" ht="15" hidden="false" customHeight="false" outlineLevel="0" collapsed="false">
      <c r="A483" s="3" t="n">
        <f aca="false">Prices!A484</f>
        <v>45630</v>
      </c>
      <c r="B483" s="0" t="n">
        <f aca="false">LN(Prices!B484/Prices!B483)</f>
        <v>-0.00581719547449143</v>
      </c>
      <c r="C483" s="0" t="n">
        <f aca="false">LN(Prices!C484/Prices!C483)</f>
        <v>-0.0034557941294406</v>
      </c>
      <c r="D483" s="0" t="n">
        <f aca="false">LN(Prices!D484/Prices!D483)</f>
        <v>-0.00965784091373489</v>
      </c>
      <c r="E483" s="0" t="n">
        <f aca="false">SUMPRODUCT(B483:D483,Inputs!$B$4:$D$4)</f>
        <v>-0.00626096870274922</v>
      </c>
      <c r="F483" s="0" t="n">
        <f aca="false">E483*Inputs!$B$2</f>
        <v>-6260.96870274922</v>
      </c>
    </row>
    <row r="484" customFormat="false" ht="15" hidden="false" customHeight="false" outlineLevel="0" collapsed="false">
      <c r="A484" s="3" t="n">
        <f aca="false">Prices!A485</f>
        <v>45631</v>
      </c>
      <c r="B484" s="0" t="n">
        <f aca="false">LN(Prices!B485/Prices!B484)</f>
        <v>0.00850929375130577</v>
      </c>
      <c r="C484" s="0" t="n">
        <f aca="false">LN(Prices!C485/Prices!C484)</f>
        <v>0.00253535493801015</v>
      </c>
      <c r="D484" s="0" t="n">
        <f aca="false">LN(Prices!D485/Prices!D484)</f>
        <v>0.0134949092350165</v>
      </c>
      <c r="E484" s="0" t="n">
        <f aca="false">SUMPRODUCT(B484:D484,Inputs!$B$4:$D$4)</f>
        <v>0.0082127967524303</v>
      </c>
      <c r="F484" s="0" t="n">
        <f aca="false">E484*Inputs!$B$2</f>
        <v>8212.7967524303</v>
      </c>
    </row>
    <row r="485" customFormat="false" ht="15" hidden="false" customHeight="false" outlineLevel="0" collapsed="false">
      <c r="A485" s="3" t="n">
        <f aca="false">Prices!A486</f>
        <v>45632</v>
      </c>
      <c r="B485" s="0" t="n">
        <f aca="false">LN(Prices!B486/Prices!B485)</f>
        <v>0.00762939804844285</v>
      </c>
      <c r="C485" s="0" t="n">
        <f aca="false">LN(Prices!C486/Prices!C485)</f>
        <v>-0.0027661050467882</v>
      </c>
      <c r="D485" s="0" t="n">
        <f aca="false">LN(Prices!D486/Prices!D485)</f>
        <v>0.000213870399680056</v>
      </c>
      <c r="E485" s="0" t="n">
        <f aca="false">SUMPRODUCT(B485:D485,Inputs!$B$4:$D$4)</f>
        <v>0.0022860888252447</v>
      </c>
      <c r="F485" s="0" t="n">
        <f aca="false">E485*Inputs!$B$2</f>
        <v>2286.0888252447</v>
      </c>
    </row>
    <row r="486" customFormat="false" ht="15" hidden="false" customHeight="false" outlineLevel="0" collapsed="false">
      <c r="A486" s="3" t="n">
        <f aca="false">Prices!A487</f>
        <v>45635</v>
      </c>
      <c r="B486" s="0" t="n">
        <f aca="false">LN(Prices!B487/Prices!B486)</f>
        <v>-0.014455595931339</v>
      </c>
      <c r="C486" s="0" t="n">
        <f aca="false">LN(Prices!C487/Prices!C486)</f>
        <v>-0.0106755167039466</v>
      </c>
      <c r="D486" s="0" t="n">
        <f aca="false">LN(Prices!D487/Prices!D486)</f>
        <v>-0.0181312400665003</v>
      </c>
      <c r="E486" s="0" t="n">
        <f aca="false">SUMPRODUCT(B486:D486,Inputs!$B$4:$D$4)</f>
        <v>-0.0144242654036697</v>
      </c>
      <c r="F486" s="0" t="n">
        <f aca="false">E486*Inputs!$B$2</f>
        <v>-14424.2654036697</v>
      </c>
    </row>
    <row r="487" customFormat="false" ht="15" hidden="false" customHeight="false" outlineLevel="0" collapsed="false">
      <c r="A487" s="3" t="n">
        <f aca="false">Prices!A488</f>
        <v>45636</v>
      </c>
      <c r="B487" s="0" t="n">
        <f aca="false">LN(Prices!B488/Prices!B487)</f>
        <v>-0.00390409241141833</v>
      </c>
      <c r="C487" s="0" t="n">
        <f aca="false">LN(Prices!C488/Prices!C487)</f>
        <v>-0.0140192444679711</v>
      </c>
      <c r="D487" s="0" t="n">
        <f aca="false">LN(Prices!D488/Prices!D487)</f>
        <v>-0.00349120077003465</v>
      </c>
      <c r="E487" s="0" t="n">
        <f aca="false">SUMPRODUCT(B487:D487,Inputs!$B$4:$D$4)</f>
        <v>-0.00681477053596906</v>
      </c>
      <c r="F487" s="0" t="n">
        <f aca="false">E487*Inputs!$B$2</f>
        <v>-6814.77053596906</v>
      </c>
    </row>
    <row r="488" customFormat="false" ht="15" hidden="false" customHeight="false" outlineLevel="0" collapsed="false">
      <c r="A488" s="3" t="n">
        <f aca="false">Prices!A489</f>
        <v>45637</v>
      </c>
      <c r="B488" s="0" t="n">
        <f aca="false">LN(Prices!B489/Prices!B488)</f>
        <v>0.00275500267486237</v>
      </c>
      <c r="C488" s="0" t="n">
        <f aca="false">LN(Prices!C489/Prices!C488)</f>
        <v>0.00628984888203788</v>
      </c>
      <c r="D488" s="0" t="n">
        <f aca="false">LN(Prices!D489/Prices!D488)</f>
        <v>0.00718714977993468</v>
      </c>
      <c r="E488" s="0" t="n">
        <f aca="false">SUMPRODUCT(B488:D488,Inputs!$B$4:$D$4)</f>
        <v>0.00514510066853672</v>
      </c>
      <c r="F488" s="0" t="n">
        <f aca="false">E488*Inputs!$B$2</f>
        <v>5145.10066853672</v>
      </c>
    </row>
    <row r="489" customFormat="false" ht="15" hidden="false" customHeight="false" outlineLevel="0" collapsed="false">
      <c r="A489" s="3" t="n">
        <f aca="false">Prices!A490</f>
        <v>45638</v>
      </c>
      <c r="B489" s="0" t="n">
        <f aca="false">LN(Prices!B490/Prices!B489)</f>
        <v>-0.00824653125578282</v>
      </c>
      <c r="C489" s="0" t="n">
        <f aca="false">LN(Prices!C490/Prices!C489)</f>
        <v>0.00250501597286154</v>
      </c>
      <c r="D489" s="0" t="n">
        <f aca="false">LN(Prices!D490/Prices!D489)</f>
        <v>0</v>
      </c>
      <c r="E489" s="0" t="n">
        <f aca="false">SUMPRODUCT(B489:D489,Inputs!$B$4:$D$4)</f>
        <v>-0.00254710771045467</v>
      </c>
      <c r="F489" s="0" t="n">
        <f aca="false">E489*Inputs!$B$2</f>
        <v>-2547.10771045467</v>
      </c>
    </row>
    <row r="490" customFormat="false" ht="15" hidden="false" customHeight="false" outlineLevel="0" collapsed="false">
      <c r="A490" s="3" t="n">
        <f aca="false">Prices!A491</f>
        <v>45639</v>
      </c>
      <c r="B490" s="0" t="n">
        <f aca="false">LN(Prices!B491/Prices!B490)</f>
        <v>-0.00660470467254065</v>
      </c>
      <c r="C490" s="0" t="n">
        <f aca="false">LN(Prices!C491/Prices!C490)</f>
        <v>-0.00399517354115085</v>
      </c>
      <c r="D490" s="0" t="n">
        <f aca="false">LN(Prices!D491/Prices!D490)</f>
        <v>-0.00893737492593654</v>
      </c>
      <c r="E490" s="0" t="n">
        <f aca="false">SUMPRODUCT(B490:D490,Inputs!$B$4:$D$4)</f>
        <v>-0.00652164640914247</v>
      </c>
      <c r="F490" s="0" t="n">
        <f aca="false">E490*Inputs!$B$2</f>
        <v>-6521.64640914247</v>
      </c>
    </row>
    <row r="491" customFormat="false" ht="15" hidden="false" customHeight="false" outlineLevel="0" collapsed="false">
      <c r="A491" s="3" t="n">
        <f aca="false">Prices!A492</f>
        <v>45642</v>
      </c>
      <c r="B491" s="0" t="n">
        <f aca="false">LN(Prices!B492/Prices!B491)</f>
        <v>-0.00150154171679505</v>
      </c>
      <c r="C491" s="0" t="n">
        <f aca="false">LN(Prices!C492/Prices!C491)</f>
        <v>0.012713177252547</v>
      </c>
      <c r="D491" s="0" t="n">
        <f aca="false">LN(Prices!D492/Prices!D491)</f>
        <v>-0.00438883741794441</v>
      </c>
      <c r="E491" s="0" t="n">
        <f aca="false">SUMPRODUCT(B491:D491,Inputs!$B$4:$D$4)</f>
        <v>0.00189668526366275</v>
      </c>
      <c r="F491" s="0" t="n">
        <f aca="false">E491*Inputs!$B$2</f>
        <v>1896.68526366275</v>
      </c>
    </row>
    <row r="492" customFormat="false" ht="15" hidden="false" customHeight="false" outlineLevel="0" collapsed="false">
      <c r="A492" s="3" t="n">
        <f aca="false">Prices!A493</f>
        <v>45643</v>
      </c>
      <c r="B492" s="0" t="n">
        <f aca="false">LN(Prices!B493/Prices!B492)</f>
        <v>-0.00510517333678091</v>
      </c>
      <c r="C492" s="0" t="n">
        <f aca="false">LN(Prices!C493/Prices!C492)</f>
        <v>-0.0100480179332561</v>
      </c>
      <c r="D492" s="0" t="n">
        <f aca="false">LN(Prices!D493/Prices!D492)</f>
        <v>-0.0092797106618898</v>
      </c>
      <c r="E492" s="0" t="n">
        <f aca="false">SUMPRODUCT(B492:D492,Inputs!$B$4:$D$4)</f>
        <v>-0.00784038791325614</v>
      </c>
      <c r="F492" s="0" t="n">
        <f aca="false">E492*Inputs!$B$2</f>
        <v>-7840.38791325614</v>
      </c>
    </row>
    <row r="493" customFormat="false" ht="15" hidden="false" customHeight="false" outlineLevel="0" collapsed="false">
      <c r="A493" s="3" t="n">
        <f aca="false">Prices!A494</f>
        <v>45644</v>
      </c>
      <c r="B493" s="0" t="n">
        <f aca="false">LN(Prices!B494/Prices!B493)</f>
        <v>-0.0340954085604464</v>
      </c>
      <c r="C493" s="0" t="n">
        <f aca="false">LN(Prices!C494/Prices!C493)</f>
        <v>-0.0538759347421536</v>
      </c>
      <c r="D493" s="0" t="n">
        <f aca="false">LN(Prices!D494/Prices!D493)</f>
        <v>-0.035012069939604</v>
      </c>
      <c r="E493" s="0" t="n">
        <f aca="false">SUMPRODUCT(B493:D493,Inputs!$B$4:$D$4)</f>
        <v>-0.0403045648287058</v>
      </c>
      <c r="F493" s="0" t="n">
        <f aca="false">E493*Inputs!$B$2</f>
        <v>-40304.5648287058</v>
      </c>
    </row>
    <row r="494" customFormat="false" ht="15" hidden="false" customHeight="false" outlineLevel="0" collapsed="false">
      <c r="A494" s="3" t="n">
        <f aca="false">Prices!A495</f>
        <v>45645</v>
      </c>
      <c r="B494" s="0" t="n">
        <f aca="false">LN(Prices!B495/Prices!B494)</f>
        <v>0.0111798974759601</v>
      </c>
      <c r="C494" s="0" t="n">
        <f aca="false">LN(Prices!C495/Prices!C494)</f>
        <v>-0.00447127512828857</v>
      </c>
      <c r="D494" s="0" t="n">
        <f aca="false">LN(Prices!D495/Prices!D494)</f>
        <v>-0.0027624369830176</v>
      </c>
      <c r="E494" s="0" t="n">
        <f aca="false">SUMPRODUCT(B494:D494,Inputs!$B$4:$D$4)</f>
        <v>0.00230184535699219</v>
      </c>
      <c r="F494" s="0" t="n">
        <f aca="false">E494*Inputs!$B$2</f>
        <v>2301.84535699219</v>
      </c>
    </row>
    <row r="495" customFormat="false" ht="15" hidden="false" customHeight="false" outlineLevel="0" collapsed="false">
      <c r="A495" s="3" t="n">
        <f aca="false">Prices!A496</f>
        <v>45646</v>
      </c>
      <c r="B495" s="0" t="n">
        <f aca="false">LN(Prices!B496/Prices!B495)</f>
        <v>0.0197219591113657</v>
      </c>
      <c r="C495" s="0" t="n">
        <f aca="false">LN(Prices!C496/Prices!C495)</f>
        <v>0.024105621499822</v>
      </c>
      <c r="D495" s="0" t="n">
        <f aca="false">LN(Prices!D496/Prices!D495)</f>
        <v>0.0180472881508908</v>
      </c>
      <c r="E495" s="0" t="n">
        <f aca="false">SUMPRODUCT(B495:D495,Inputs!$B$4:$D$4)</f>
        <v>0.0205346565397601</v>
      </c>
      <c r="F495" s="0" t="n">
        <f aca="false">E495*Inputs!$B$2</f>
        <v>20534.6565397601</v>
      </c>
    </row>
    <row r="496" customFormat="false" ht="15" hidden="false" customHeight="false" outlineLevel="0" collapsed="false">
      <c r="A496" s="3" t="n">
        <f aca="false">Prices!A497</f>
        <v>45649</v>
      </c>
      <c r="B496" s="0" t="n">
        <f aca="false">LN(Prices!B497/Prices!B496)</f>
        <v>0.00331937981507625</v>
      </c>
      <c r="C496" s="0" t="n">
        <f aca="false">LN(Prices!C497/Prices!C496)</f>
        <v>0.00814870135166735</v>
      </c>
      <c r="D496" s="0" t="n">
        <f aca="false">LN(Prices!D497/Prices!D496)</f>
        <v>-0.00635936214518172</v>
      </c>
      <c r="E496" s="0" t="n">
        <f aca="false">SUMPRODUCT(B496:D496,Inputs!$B$4:$D$4)</f>
        <v>0.00186455368797619</v>
      </c>
      <c r="F496" s="0" t="n">
        <f aca="false">E496*Inputs!$B$2</f>
        <v>1864.55368797619</v>
      </c>
    </row>
    <row r="497" customFormat="false" ht="15" hidden="false" customHeight="false" outlineLevel="0" collapsed="false">
      <c r="A497" s="3" t="n">
        <f aca="false">Prices!A498</f>
        <v>45650</v>
      </c>
      <c r="B497" s="0" t="n">
        <f aca="false">LN(Prices!B498/Prices!B497)</f>
        <v>0.016309832521822</v>
      </c>
      <c r="C497" s="0" t="n">
        <f aca="false">LN(Prices!C498/Prices!C497)</f>
        <v>0.0207552580876796</v>
      </c>
      <c r="D497" s="0" t="n">
        <f aca="false">LN(Prices!D498/Prices!D497)</f>
        <v>0.0111024615465667</v>
      </c>
      <c r="E497" s="0" t="n">
        <f aca="false">SUMPRODUCT(B497:D497,Inputs!$B$4:$D$4)</f>
        <v>0.0160812488990027</v>
      </c>
      <c r="F497" s="0" t="n">
        <f aca="false">E497*Inputs!$B$2</f>
        <v>16081.2488990027</v>
      </c>
    </row>
    <row r="498" customFormat="false" ht="15" hidden="false" customHeight="false" outlineLevel="0" collapsed="false">
      <c r="A498" s="3" t="n">
        <f aca="false">Prices!A499</f>
        <v>45652</v>
      </c>
      <c r="B498" s="0" t="n">
        <f aca="false">LN(Prices!B499/Prices!B498)</f>
        <v>0.0034196109599789</v>
      </c>
      <c r="C498" s="0" t="n">
        <f aca="false">LN(Prices!C499/Prices!C498)</f>
        <v>0.00760522967990458</v>
      </c>
      <c r="D498" s="0" t="n">
        <f aca="false">LN(Prices!D499/Prices!D498)</f>
        <v>0.00382330177994182</v>
      </c>
      <c r="E498" s="0" t="n">
        <f aca="false">SUMPRODUCT(B498:D498,Inputs!$B$4:$D$4)</f>
        <v>0.00479640382194548</v>
      </c>
      <c r="F498" s="0" t="n">
        <f aca="false">E498*Inputs!$B$2</f>
        <v>4796.40382194548</v>
      </c>
    </row>
    <row r="499" customFormat="false" ht="15" hidden="false" customHeight="false" outlineLevel="0" collapsed="false">
      <c r="A499" s="3" t="n">
        <f aca="false">Prices!A500</f>
        <v>45653</v>
      </c>
      <c r="B499" s="0" t="n">
        <f aca="false">LN(Prices!B500/Prices!B499)</f>
        <v>-0.00813537032393629</v>
      </c>
      <c r="C499" s="0" t="n">
        <f aca="false">LN(Prices!C500/Prices!C499)</f>
        <v>-0.00996896313068193</v>
      </c>
      <c r="D499" s="0" t="n">
        <f aca="false">LN(Prices!D500/Prices!D499)</f>
        <v>-0.00472495689565955</v>
      </c>
      <c r="E499" s="0" t="n">
        <f aca="false">SUMPRODUCT(B499:D499,Inputs!$B$4:$D$4)</f>
        <v>-0.00766232413747696</v>
      </c>
      <c r="F499" s="0" t="n">
        <f aca="false">E499*Inputs!$B$2</f>
        <v>-7662.32413747696</v>
      </c>
    </row>
    <row r="500" customFormat="false" ht="15" hidden="false" customHeight="false" outlineLevel="0" collapsed="false">
      <c r="A500" s="3" t="n">
        <f aca="false">Prices!A501</f>
        <v>45656</v>
      </c>
      <c r="B500" s="0" t="n">
        <f aca="false">LN(Prices!B501/Prices!B500)</f>
        <v>-0.0077005159950742</v>
      </c>
      <c r="C500" s="0" t="n">
        <f aca="false">LN(Prices!C501/Prices!C500)</f>
        <v>-0.00799973527553671</v>
      </c>
      <c r="D500" s="0" t="n">
        <f aca="false">LN(Prices!D501/Prices!D500)</f>
        <v>-0.00974507429516946</v>
      </c>
      <c r="E500" s="0" t="n">
        <f aca="false">SUMPRODUCT(B500:D500,Inputs!$B$4:$D$4)</f>
        <v>-0.00840364926924153</v>
      </c>
      <c r="F500" s="0" t="n">
        <f aca="false">E500*Inputs!$B$2</f>
        <v>-8403.64926924153</v>
      </c>
    </row>
    <row r="501" customFormat="false" ht="15" hidden="false" customHeight="false" outlineLevel="0" collapsed="false">
      <c r="A501" s="3" t="n">
        <f aca="false">Prices!A502</f>
        <v>45657</v>
      </c>
      <c r="B501" s="0" t="n">
        <f aca="false">LN(Prices!B502/Prices!B501)</f>
        <v>0.00162830664247462</v>
      </c>
      <c r="C501" s="0" t="n">
        <f aca="false">LN(Prices!C502/Prices!C501)</f>
        <v>-0.00023859482157004</v>
      </c>
      <c r="D501" s="0" t="n">
        <f aca="false">LN(Prices!D502/Prices!D501)</f>
        <v>0.000910480746326412</v>
      </c>
      <c r="E501" s="0" t="n">
        <f aca="false">SUMPRODUCT(B501:D501,Inputs!$B$4:$D$4)</f>
        <v>0.000852888434416761</v>
      </c>
      <c r="F501" s="0" t="n">
        <f aca="false">E501*Inputs!$B$2</f>
        <v>852.888434416761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1" t="s">
        <v>31</v>
      </c>
      <c r="B2" s="1" t="s">
        <v>16</v>
      </c>
      <c r="C2" s="1" t="s">
        <v>17</v>
      </c>
      <c r="D2" s="1" t="s">
        <v>18</v>
      </c>
    </row>
    <row r="3" customFormat="false" ht="15" hidden="false" customHeight="false" outlineLevel="0" collapsed="false">
      <c r="A3" s="1" t="s">
        <v>16</v>
      </c>
      <c r="B3" s="0" t="n">
        <f aca="false">_xlfn.COVARIANCE.S(Returns!B252:B501,Returns!B252:B501)</f>
        <v>0.000216994141410611</v>
      </c>
      <c r="C3" s="0" t="n">
        <f aca="false">_xlfn.COVARIANCE.S(Returns!B252:B501,Returns!C252:C501)</f>
        <v>0.000154618647716948</v>
      </c>
      <c r="D3" s="0" t="n">
        <f aca="false">_xlfn.COVARIANCE.S(Returns!B252:B501,Returns!D252:D501)</f>
        <v>0.000156102316610289</v>
      </c>
    </row>
    <row r="4" customFormat="false" ht="15" hidden="false" customHeight="false" outlineLevel="0" collapsed="false">
      <c r="A4" s="1" t="s">
        <v>17</v>
      </c>
      <c r="B4" s="0" t="n">
        <f aca="false">_xlfn.COVARIANCE.S(Returns!C252:C501,Returns!B252:B501)</f>
        <v>0.000154618647716948</v>
      </c>
      <c r="C4" s="0" t="n">
        <f aca="false">_xlfn.COVARIANCE.S(Returns!C252:C501,Returns!C252:C501)</f>
        <v>0.000266949717916725</v>
      </c>
      <c r="D4" s="0" t="n">
        <f aca="false">_xlfn.COVARIANCE.S(Returns!C252:C501,Returns!D252:D501)</f>
        <v>0.000158099690161036</v>
      </c>
    </row>
    <row r="5" customFormat="false" ht="15" hidden="false" customHeight="false" outlineLevel="0" collapsed="false">
      <c r="A5" s="1" t="s">
        <v>18</v>
      </c>
      <c r="B5" s="0" t="n">
        <f aca="false">_xlfn.COVARIANCE.S(Returns!D252:D501,Returns!B252:B501)</f>
        <v>0.000156102316610289</v>
      </c>
      <c r="C5" s="0" t="n">
        <f aca="false">_xlfn.COVARIANCE.S(Returns!D252:D501,Returns!C252:C501)</f>
        <v>0.000158099690161036</v>
      </c>
      <c r="D5" s="0" t="n">
        <f aca="false">_xlfn.COVARIANCE.S(Returns!D252:D501,Returns!D252:D501)</f>
        <v>0.000203051068116562</v>
      </c>
    </row>
    <row r="7" customFormat="false" ht="15" hidden="false" customHeight="false" outlineLevel="0" collapsed="false">
      <c r="A7" s="0" t="s">
        <v>32</v>
      </c>
      <c r="B7" s="0" t="n">
        <f aca="false">SUMPRODUCT(MMULT(Inputs!B4:D4,B3:D5),Inputs!B4:D4)</f>
        <v>0.000180050109036217</v>
      </c>
    </row>
    <row r="8" customFormat="false" ht="15" hidden="false" customHeight="false" outlineLevel="0" collapsed="false">
      <c r="A8" s="0" t="s">
        <v>33</v>
      </c>
      <c r="B8" s="0" t="n">
        <f aca="false">SQRT(B7)</f>
        <v>0.0134182751885709</v>
      </c>
    </row>
    <row r="10" customFormat="false" ht="15" hidden="false" customHeight="false" outlineLevel="0" collapsed="false">
      <c r="A10" s="1" t="s">
        <v>1</v>
      </c>
      <c r="B10" s="1" t="s">
        <v>34</v>
      </c>
      <c r="C10" s="1" t="s">
        <v>35</v>
      </c>
      <c r="D10" s="1" t="s">
        <v>36</v>
      </c>
    </row>
    <row r="11" customFormat="false" ht="15" hidden="false" customHeight="false" outlineLevel="0" collapsed="false">
      <c r="A11" s="0" t="n">
        <v>0.99</v>
      </c>
      <c r="B11" s="0" t="n">
        <f aca="false">NORMSINV(A11)</f>
        <v>2.32634787404084</v>
      </c>
      <c r="C11" s="0" t="n">
        <f aca="false">B11*$B$8*Inputs!$B$2</f>
        <v>31215.5759582268</v>
      </c>
      <c r="D11" s="0" t="n">
        <f aca="false">C11/Inputs!$B$2</f>
        <v>0.0312155759582268</v>
      </c>
    </row>
    <row r="12" customFormat="false" ht="15" hidden="false" customHeight="false" outlineLevel="0" collapsed="false">
      <c r="A12" s="0" t="n">
        <v>0.95</v>
      </c>
      <c r="B12" s="0" t="n">
        <f aca="false">NORMSINV(A12)</f>
        <v>1.64485362695147</v>
      </c>
      <c r="C12" s="0" t="n">
        <f aca="false">B12*$B$8*Inputs!$B$2</f>
        <v>22071.0986113537</v>
      </c>
      <c r="D12" s="0" t="n">
        <f aca="false">C12/Inputs!$B$2</f>
        <v>0.0220710986113537</v>
      </c>
    </row>
    <row r="13" customFormat="false" ht="15" hidden="false" customHeight="false" outlineLevel="0" collapsed="false">
      <c r="A13" s="0" t="n">
        <v>0.9</v>
      </c>
      <c r="B13" s="0" t="n">
        <f aca="false">NORMSINV(A13)</f>
        <v>1.2815515655446</v>
      </c>
      <c r="C13" s="0" t="n">
        <f aca="false">B13*$B$8*Inputs!$B$2</f>
        <v>17196.2115748213</v>
      </c>
      <c r="D13" s="0" t="n">
        <f aca="false">C13/Inputs!$B$2</f>
        <v>0.0171962115748213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37</v>
      </c>
    </row>
    <row r="3" customFormat="false" ht="15" hidden="false" customHeight="false" outlineLevel="0" collapsed="false">
      <c r="A3" s="1" t="s">
        <v>1</v>
      </c>
      <c r="B3" s="1" t="s">
        <v>38</v>
      </c>
      <c r="C3" s="1" t="s">
        <v>35</v>
      </c>
      <c r="D3" s="1" t="s">
        <v>36</v>
      </c>
    </row>
    <row r="4" customFormat="false" ht="15" hidden="false" customHeight="false" outlineLevel="0" collapsed="false">
      <c r="A4" s="0" t="n">
        <v>0.99</v>
      </c>
      <c r="B4" s="0" t="n">
        <f aca="false">1-A4</f>
        <v>0.01</v>
      </c>
      <c r="C4" s="0" t="n">
        <f aca="false">-PERCENTILE(Returns!F252:F501,B4)</f>
        <v>31363.0233332898</v>
      </c>
      <c r="D4" s="0" t="n">
        <f aca="false">C4/Inputs!$B$2</f>
        <v>0.0313630233332898</v>
      </c>
    </row>
    <row r="5" customFormat="false" ht="15" hidden="false" customHeight="false" outlineLevel="0" collapsed="false">
      <c r="A5" s="0" t="n">
        <v>0.95</v>
      </c>
      <c r="B5" s="0" t="n">
        <f aca="false">1-A5</f>
        <v>0.05</v>
      </c>
      <c r="C5" s="0" t="n">
        <f aca="false">-PERCENTILE(Returns!F252:F501,B5)</f>
        <v>19926.395086684</v>
      </c>
      <c r="D5" s="0" t="n">
        <f aca="false">C5/Inputs!$B$2</f>
        <v>0.019926395086684</v>
      </c>
    </row>
    <row r="6" customFormat="false" ht="15" hidden="false" customHeight="false" outlineLevel="0" collapsed="false">
      <c r="A6" s="0" t="n">
        <v>0.9</v>
      </c>
      <c r="B6" s="0" t="n">
        <f aca="false">1-A6</f>
        <v>0.1</v>
      </c>
      <c r="C6" s="0" t="n">
        <f aca="false">-PERCENTILE(Returns!F252:F501,B6)</f>
        <v>11828.8565843164</v>
      </c>
      <c r="D6" s="0" t="n">
        <f aca="false">C6/Inputs!$B$2</f>
        <v>0.0118288565843164</v>
      </c>
    </row>
    <row r="8" customFormat="false" ht="15" hidden="false" customHeight="false" outlineLevel="0" collapsed="false">
      <c r="A8" s="0" t="s">
        <v>39</v>
      </c>
      <c r="C8" s="0" t="n">
        <f aca="false">MIN(Returns!F252:F501)</f>
        <v>-50233.3616393437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40</v>
      </c>
      <c r="B1" s="1"/>
      <c r="C1" s="1"/>
    </row>
    <row r="2" customFormat="false" ht="15" hidden="false" customHeight="false" outlineLevel="0" collapsed="false">
      <c r="A2" s="0" t="n">
        <v>0.496714153011233</v>
      </c>
      <c r="B2" s="0" t="n">
        <v>-0.138264301171185</v>
      </c>
      <c r="C2" s="0" t="n">
        <v>0.647688538100693</v>
      </c>
    </row>
    <row r="3" customFormat="false" ht="15" hidden="false" customHeight="false" outlineLevel="0" collapsed="false">
      <c r="A3" s="0" t="n">
        <v>1.52302985640803</v>
      </c>
      <c r="B3" s="0" t="n">
        <v>-0.234153374723336</v>
      </c>
      <c r="C3" s="0" t="n">
        <v>-0.234136956949181</v>
      </c>
    </row>
    <row r="4" customFormat="false" ht="15" hidden="false" customHeight="false" outlineLevel="0" collapsed="false">
      <c r="A4" s="0" t="n">
        <v>1.57921281550739</v>
      </c>
      <c r="B4" s="0" t="n">
        <v>0.767434729152909</v>
      </c>
      <c r="C4" s="0" t="n">
        <v>-0.469474385934952</v>
      </c>
    </row>
    <row r="5" customFormat="false" ht="15" hidden="false" customHeight="false" outlineLevel="0" collapsed="false">
      <c r="A5" s="0" t="n">
        <v>0.542560043585965</v>
      </c>
      <c r="B5" s="0" t="n">
        <v>-0.463417692812462</v>
      </c>
      <c r="C5" s="0" t="n">
        <v>-0.465729753570257</v>
      </c>
    </row>
    <row r="6" customFormat="false" ht="15" hidden="false" customHeight="false" outlineLevel="0" collapsed="false">
      <c r="A6" s="0" t="n">
        <v>0.241962271566034</v>
      </c>
      <c r="B6" s="0" t="n">
        <v>-1.9132802446578</v>
      </c>
      <c r="C6" s="0" t="n">
        <v>-1.72491783251303</v>
      </c>
    </row>
    <row r="7" customFormat="false" ht="15" hidden="false" customHeight="false" outlineLevel="0" collapsed="false">
      <c r="A7" s="0" t="n">
        <v>-0.562287529240973</v>
      </c>
      <c r="B7" s="0" t="n">
        <v>-1.01283112033442</v>
      </c>
      <c r="C7" s="0" t="n">
        <v>0.314247332595274</v>
      </c>
    </row>
    <row r="8" customFormat="false" ht="15" hidden="false" customHeight="false" outlineLevel="0" collapsed="false">
      <c r="A8" s="0" t="n">
        <v>-0.908024075521211</v>
      </c>
      <c r="B8" s="0" t="n">
        <v>-1.41230370133529</v>
      </c>
      <c r="C8" s="0" t="n">
        <v>1.46564876892155</v>
      </c>
    </row>
    <row r="9" customFormat="false" ht="15" hidden="false" customHeight="false" outlineLevel="0" collapsed="false">
      <c r="A9" s="0" t="n">
        <v>-0.225776300486536</v>
      </c>
      <c r="B9" s="0" t="n">
        <v>0.0675282046879238</v>
      </c>
      <c r="C9" s="0" t="n">
        <v>-1.42474818621346</v>
      </c>
    </row>
    <row r="10" customFormat="false" ht="15" hidden="false" customHeight="false" outlineLevel="0" collapsed="false">
      <c r="A10" s="0" t="n">
        <v>-0.544382724525183</v>
      </c>
      <c r="B10" s="0" t="n">
        <v>0.110922589709866</v>
      </c>
      <c r="C10" s="0" t="n">
        <v>-1.1509935774223</v>
      </c>
    </row>
    <row r="11" customFormat="false" ht="15" hidden="false" customHeight="false" outlineLevel="0" collapsed="false">
      <c r="A11" s="0" t="n">
        <v>0.375698018345672</v>
      </c>
      <c r="B11" s="0" t="n">
        <v>-0.600638689918805</v>
      </c>
      <c r="C11" s="0" t="n">
        <v>-0.291693749793277</v>
      </c>
    </row>
    <row r="12" customFormat="false" ht="15" hidden="false" customHeight="false" outlineLevel="0" collapsed="false">
      <c r="A12" s="0" t="n">
        <v>-0.601706612229397</v>
      </c>
      <c r="B12" s="0" t="n">
        <v>1.85227818450894</v>
      </c>
      <c r="C12" s="0" t="n">
        <v>-0.0134972247379339</v>
      </c>
    </row>
    <row r="13" customFormat="false" ht="15" hidden="false" customHeight="false" outlineLevel="0" collapsed="false">
      <c r="A13" s="0" t="n">
        <v>-1.0577109289559</v>
      </c>
      <c r="B13" s="0" t="n">
        <v>0.822544912103189</v>
      </c>
      <c r="C13" s="0" t="n">
        <v>-1.22084364997102</v>
      </c>
    </row>
    <row r="14" customFormat="false" ht="15" hidden="false" customHeight="false" outlineLevel="0" collapsed="false">
      <c r="A14" s="0" t="n">
        <v>0.208863595004755</v>
      </c>
      <c r="B14" s="0" t="n">
        <v>-1.95967012387978</v>
      </c>
      <c r="C14" s="0" t="n">
        <v>-1.32818604889843</v>
      </c>
    </row>
    <row r="15" customFormat="false" ht="15" hidden="false" customHeight="false" outlineLevel="0" collapsed="false">
      <c r="A15" s="0" t="n">
        <v>0.196861235869124</v>
      </c>
      <c r="B15" s="0" t="n">
        <v>0.73846657999541</v>
      </c>
      <c r="C15" s="0" t="n">
        <v>0.171368281189971</v>
      </c>
    </row>
    <row r="16" customFormat="false" ht="15" hidden="false" customHeight="false" outlineLevel="0" collapsed="false">
      <c r="A16" s="0" t="n">
        <v>-0.115648282388241</v>
      </c>
      <c r="B16" s="0" t="n">
        <v>-0.301103695589289</v>
      </c>
      <c r="C16" s="0" t="n">
        <v>-1.47852199036743</v>
      </c>
    </row>
    <row r="17" customFormat="false" ht="15" hidden="false" customHeight="false" outlineLevel="0" collapsed="false">
      <c r="A17" s="0" t="n">
        <v>-0.719844208394709</v>
      </c>
      <c r="B17" s="0" t="n">
        <v>-0.460638770959788</v>
      </c>
      <c r="C17" s="0" t="n">
        <v>1.05712222621892</v>
      </c>
    </row>
    <row r="18" customFormat="false" ht="15" hidden="false" customHeight="false" outlineLevel="0" collapsed="false">
      <c r="A18" s="0" t="n">
        <v>0.343618289568461</v>
      </c>
      <c r="B18" s="0" t="n">
        <v>-1.76304015536273</v>
      </c>
      <c r="C18" s="0" t="n">
        <v>0.324083969394795</v>
      </c>
    </row>
    <row r="19" customFormat="false" ht="15" hidden="false" customHeight="false" outlineLevel="0" collapsed="false">
      <c r="A19" s="0" t="n">
        <v>-0.385082280416317</v>
      </c>
      <c r="B19" s="0" t="n">
        <v>-0.676922000305959</v>
      </c>
      <c r="C19" s="0" t="n">
        <v>0.611676288840868</v>
      </c>
    </row>
    <row r="20" customFormat="false" ht="15" hidden="false" customHeight="false" outlineLevel="0" collapsed="false">
      <c r="A20" s="0" t="n">
        <v>1.03099952249595</v>
      </c>
      <c r="B20" s="0" t="n">
        <v>0.931280119116199</v>
      </c>
      <c r="C20" s="0" t="n">
        <v>-0.839217523222639</v>
      </c>
    </row>
    <row r="21" customFormat="false" ht="15" hidden="false" customHeight="false" outlineLevel="0" collapsed="false">
      <c r="A21" s="0" t="n">
        <v>-0.309212375851215</v>
      </c>
      <c r="B21" s="0" t="n">
        <v>0.331263431403564</v>
      </c>
      <c r="C21" s="0" t="n">
        <v>0.975545127122359</v>
      </c>
    </row>
    <row r="22" customFormat="false" ht="15" hidden="false" customHeight="false" outlineLevel="0" collapsed="false">
      <c r="A22" s="0" t="n">
        <v>-0.47917423784529</v>
      </c>
      <c r="B22" s="0" t="n">
        <v>-0.185658976663817</v>
      </c>
      <c r="C22" s="0" t="n">
        <v>-1.10633497400603</v>
      </c>
    </row>
    <row r="23" customFormat="false" ht="15" hidden="false" customHeight="false" outlineLevel="0" collapsed="false">
      <c r="A23" s="0" t="n">
        <v>-1.19620662408067</v>
      </c>
      <c r="B23" s="0" t="n">
        <v>0.812525822394198</v>
      </c>
      <c r="C23" s="0" t="n">
        <v>1.35624002857082</v>
      </c>
    </row>
    <row r="24" customFormat="false" ht="15" hidden="false" customHeight="false" outlineLevel="0" collapsed="false">
      <c r="A24" s="0" t="n">
        <v>-0.0720101215803339</v>
      </c>
      <c r="B24" s="0" t="n">
        <v>1.00353289789202</v>
      </c>
      <c r="C24" s="0" t="n">
        <v>0.361636025047634</v>
      </c>
    </row>
    <row r="25" customFormat="false" ht="15" hidden="false" customHeight="false" outlineLevel="0" collapsed="false">
      <c r="A25" s="0" t="n">
        <v>-0.645119754605124</v>
      </c>
      <c r="B25" s="0" t="n">
        <v>0.361395605508414</v>
      </c>
      <c r="C25" s="0" t="n">
        <v>1.53803656646597</v>
      </c>
    </row>
    <row r="26" customFormat="false" ht="15" hidden="false" customHeight="false" outlineLevel="0" collapsed="false">
      <c r="A26" s="0" t="n">
        <v>-0.0358260391099515</v>
      </c>
      <c r="B26" s="0" t="n">
        <v>1.56464365581401</v>
      </c>
      <c r="C26" s="0" t="n">
        <v>-2.61974510408974</v>
      </c>
    </row>
    <row r="27" customFormat="false" ht="15" hidden="false" customHeight="false" outlineLevel="0" collapsed="false">
      <c r="A27" s="0" t="n">
        <v>0.821902504375224</v>
      </c>
      <c r="B27" s="0" t="n">
        <v>0.0870470682381712</v>
      </c>
      <c r="C27" s="0" t="n">
        <v>-0.299007350465868</v>
      </c>
    </row>
    <row r="28" customFormat="false" ht="15" hidden="false" customHeight="false" outlineLevel="0" collapsed="false">
      <c r="A28" s="0" t="n">
        <v>0.0917607765355023</v>
      </c>
      <c r="B28" s="0" t="n">
        <v>-1.98756891460089</v>
      </c>
      <c r="C28" s="0" t="n">
        <v>-0.219671887837512</v>
      </c>
    </row>
    <row r="29" customFormat="false" ht="15" hidden="false" customHeight="false" outlineLevel="0" collapsed="false">
      <c r="A29" s="0" t="n">
        <v>0.357112571511746</v>
      </c>
      <c r="B29" s="0" t="n">
        <v>1.47789404474152</v>
      </c>
      <c r="C29" s="0" t="n">
        <v>-0.518270218273647</v>
      </c>
    </row>
    <row r="30" customFormat="false" ht="15" hidden="false" customHeight="false" outlineLevel="0" collapsed="false">
      <c r="A30" s="0" t="n">
        <v>-0.808493602893188</v>
      </c>
      <c r="B30" s="0" t="n">
        <v>-0.501757043584537</v>
      </c>
      <c r="C30" s="0" t="n">
        <v>0.915402117702074</v>
      </c>
    </row>
    <row r="31" customFormat="false" ht="15" hidden="false" customHeight="false" outlineLevel="0" collapsed="false">
      <c r="A31" s="0" t="n">
        <v>0.328751109659685</v>
      </c>
      <c r="B31" s="0" t="n">
        <v>-0.529760203767039</v>
      </c>
      <c r="C31" s="0" t="n">
        <v>0.513267433113356</v>
      </c>
    </row>
    <row r="32" customFormat="false" ht="15" hidden="false" customHeight="false" outlineLevel="0" collapsed="false">
      <c r="A32" s="0" t="n">
        <v>0.0970775493480404</v>
      </c>
      <c r="B32" s="0" t="n">
        <v>0.968644990532889</v>
      </c>
      <c r="C32" s="0" t="n">
        <v>-0.702053093877352</v>
      </c>
    </row>
    <row r="33" customFormat="false" ht="15" hidden="false" customHeight="false" outlineLevel="0" collapsed="false">
      <c r="A33" s="0" t="n">
        <v>-0.327662146597768</v>
      </c>
      <c r="B33" s="0" t="n">
        <v>-0.392108153132158</v>
      </c>
      <c r="C33" s="0" t="n">
        <v>-1.46351494813212</v>
      </c>
    </row>
    <row r="34" customFormat="false" ht="15" hidden="false" customHeight="false" outlineLevel="0" collapsed="false">
      <c r="A34" s="0" t="n">
        <v>0.296120277064576</v>
      </c>
      <c r="B34" s="0" t="n">
        <v>0.261055272179889</v>
      </c>
      <c r="C34" s="0" t="n">
        <v>0.00511345664246089</v>
      </c>
    </row>
    <row r="35" customFormat="false" ht="15" hidden="false" customHeight="false" outlineLevel="0" collapsed="false">
      <c r="A35" s="0" t="n">
        <v>-0.234587133375147</v>
      </c>
      <c r="B35" s="0" t="n">
        <v>-1.41537074205041</v>
      </c>
      <c r="C35" s="0" t="n">
        <v>-0.420645322765359</v>
      </c>
    </row>
    <row r="36" customFormat="false" ht="15" hidden="false" customHeight="false" outlineLevel="0" collapsed="false">
      <c r="A36" s="0" t="n">
        <v>-0.34271451652677</v>
      </c>
      <c r="B36" s="0" t="n">
        <v>-0.802277269221619</v>
      </c>
      <c r="C36" s="0" t="n">
        <v>-0.161285711666009</v>
      </c>
    </row>
    <row r="37" customFormat="false" ht="15" hidden="false" customHeight="false" outlineLevel="0" collapsed="false">
      <c r="A37" s="0" t="n">
        <v>0.404050856814538</v>
      </c>
      <c r="B37" s="0" t="n">
        <v>1.88618590121053</v>
      </c>
      <c r="C37" s="0" t="n">
        <v>0.174577812831839</v>
      </c>
    </row>
    <row r="38" customFormat="false" ht="15" hidden="false" customHeight="false" outlineLevel="0" collapsed="false">
      <c r="A38" s="0" t="n">
        <v>0.257550390722764</v>
      </c>
      <c r="B38" s="0" t="n">
        <v>-0.0744459157661672</v>
      </c>
      <c r="C38" s="0" t="n">
        <v>-1.91877121529904</v>
      </c>
    </row>
    <row r="39" customFormat="false" ht="15" hidden="false" customHeight="false" outlineLevel="0" collapsed="false">
      <c r="A39" s="0" t="n">
        <v>-0.0265138754492169</v>
      </c>
      <c r="B39" s="0" t="n">
        <v>0.0602302099410264</v>
      </c>
      <c r="C39" s="0" t="n">
        <v>2.46324211248529</v>
      </c>
    </row>
    <row r="40" customFormat="false" ht="15" hidden="false" customHeight="false" outlineLevel="0" collapsed="false">
      <c r="A40" s="0" t="n">
        <v>-0.192360964781123</v>
      </c>
      <c r="B40" s="0" t="n">
        <v>0.301547342333613</v>
      </c>
      <c r="C40" s="0" t="n">
        <v>-0.0347117697052433</v>
      </c>
    </row>
    <row r="41" customFormat="false" ht="15" hidden="false" customHeight="false" outlineLevel="0" collapsed="false">
      <c r="A41" s="0" t="n">
        <v>-1.16867803761953</v>
      </c>
      <c r="B41" s="0" t="n">
        <v>1.14282281451502</v>
      </c>
      <c r="C41" s="0" t="n">
        <v>0.751933032686774</v>
      </c>
    </row>
    <row r="42" customFormat="false" ht="15" hidden="false" customHeight="false" outlineLevel="0" collapsed="false">
      <c r="A42" s="0" t="n">
        <v>0.791031947043047</v>
      </c>
      <c r="B42" s="0" t="n">
        <v>-0.909387454794739</v>
      </c>
      <c r="C42" s="0" t="n">
        <v>1.4027943109361</v>
      </c>
    </row>
    <row r="43" customFormat="false" ht="15" hidden="false" customHeight="false" outlineLevel="0" collapsed="false">
      <c r="A43" s="0" t="n">
        <v>-1.40185106279228</v>
      </c>
      <c r="B43" s="0" t="n">
        <v>0.58685709380027</v>
      </c>
      <c r="C43" s="0" t="n">
        <v>2.19045562580998</v>
      </c>
    </row>
    <row r="44" customFormat="false" ht="15" hidden="false" customHeight="false" outlineLevel="0" collapsed="false">
      <c r="A44" s="0" t="n">
        <v>-0.990536325130688</v>
      </c>
      <c r="B44" s="0" t="n">
        <v>-0.566297729602772</v>
      </c>
      <c r="C44" s="0" t="n">
        <v>0.0996513650876412</v>
      </c>
    </row>
    <row r="45" customFormat="false" ht="15" hidden="false" customHeight="false" outlineLevel="0" collapsed="false">
      <c r="A45" s="0" t="n">
        <v>-0.503475654116199</v>
      </c>
      <c r="B45" s="0" t="n">
        <v>-1.55066343106613</v>
      </c>
      <c r="C45" s="0" t="n">
        <v>0.0685629748060273</v>
      </c>
    </row>
    <row r="46" customFormat="false" ht="15" hidden="false" customHeight="false" outlineLevel="0" collapsed="false">
      <c r="A46" s="0" t="n">
        <v>-1.06230371372611</v>
      </c>
      <c r="B46" s="0" t="n">
        <v>0.473592430635182</v>
      </c>
      <c r="C46" s="0" t="n">
        <v>-0.919424234233803</v>
      </c>
    </row>
    <row r="47" customFormat="false" ht="15" hidden="false" customHeight="false" outlineLevel="0" collapsed="false">
      <c r="A47" s="0" t="n">
        <v>1.54993440501754</v>
      </c>
      <c r="B47" s="0" t="n">
        <v>-0.783253292336237</v>
      </c>
      <c r="C47" s="0" t="n">
        <v>-0.322061516205676</v>
      </c>
    </row>
    <row r="48" customFormat="false" ht="15" hidden="false" customHeight="false" outlineLevel="0" collapsed="false">
      <c r="A48" s="0" t="n">
        <v>0.81351721736967</v>
      </c>
      <c r="B48" s="0" t="n">
        <v>-1.23086431643396</v>
      </c>
      <c r="C48" s="0" t="n">
        <v>0.227459934604129</v>
      </c>
    </row>
    <row r="49" customFormat="false" ht="15" hidden="false" customHeight="false" outlineLevel="0" collapsed="false">
      <c r="A49" s="0" t="n">
        <v>1.30714275428243</v>
      </c>
      <c r="B49" s="0" t="n">
        <v>-1.60748323456123</v>
      </c>
      <c r="C49" s="0" t="n">
        <v>0.184633858532304</v>
      </c>
    </row>
    <row r="50" customFormat="false" ht="15" hidden="false" customHeight="false" outlineLevel="0" collapsed="false">
      <c r="A50" s="0" t="n">
        <v>0.259882794248424</v>
      </c>
      <c r="B50" s="0" t="n">
        <v>0.78182287177731</v>
      </c>
      <c r="C50" s="0" t="n">
        <v>-1.23695071087808</v>
      </c>
    </row>
    <row r="51" customFormat="false" ht="15" hidden="false" customHeight="false" outlineLevel="0" collapsed="false">
      <c r="A51" s="0" t="n">
        <v>-1.32045661308428</v>
      </c>
      <c r="B51" s="0" t="n">
        <v>0.521941565616898</v>
      </c>
      <c r="C51" s="0" t="n">
        <v>0.296984673233186</v>
      </c>
    </row>
    <row r="52" customFormat="false" ht="15" hidden="false" customHeight="false" outlineLevel="0" collapsed="false">
      <c r="A52" s="0" t="n">
        <v>0.250492850345877</v>
      </c>
      <c r="B52" s="0" t="n">
        <v>0.346448209496976</v>
      </c>
      <c r="C52" s="0" t="n">
        <v>-0.680024721578491</v>
      </c>
    </row>
    <row r="53" customFormat="false" ht="15" hidden="false" customHeight="false" outlineLevel="0" collapsed="false">
      <c r="A53" s="0" t="n">
        <v>0.232253697161004</v>
      </c>
      <c r="B53" s="0" t="n">
        <v>0.293072473298681</v>
      </c>
      <c r="C53" s="0" t="n">
        <v>-0.714351418026368</v>
      </c>
    </row>
    <row r="54" customFormat="false" ht="15" hidden="false" customHeight="false" outlineLevel="0" collapsed="false">
      <c r="A54" s="0" t="n">
        <v>1.86577451114476</v>
      </c>
      <c r="B54" s="0" t="n">
        <v>0.473832920911788</v>
      </c>
      <c r="C54" s="0" t="n">
        <v>-1.19130349720265</v>
      </c>
    </row>
    <row r="55" customFormat="false" ht="15" hidden="false" customHeight="false" outlineLevel="0" collapsed="false">
      <c r="A55" s="0" t="n">
        <v>0.65655360863383</v>
      </c>
      <c r="B55" s="0" t="n">
        <v>-0.974681670227321</v>
      </c>
      <c r="C55" s="0" t="n">
        <v>0.787084603742452</v>
      </c>
    </row>
    <row r="56" customFormat="false" ht="15" hidden="false" customHeight="false" outlineLevel="0" collapsed="false">
      <c r="A56" s="0" t="n">
        <v>1.1585955790074</v>
      </c>
      <c r="B56" s="0" t="n">
        <v>-0.820682318351711</v>
      </c>
      <c r="C56" s="0" t="n">
        <v>0.963376129244322</v>
      </c>
    </row>
    <row r="57" customFormat="false" ht="15" hidden="false" customHeight="false" outlineLevel="0" collapsed="false">
      <c r="A57" s="0" t="n">
        <v>0.412780926936498</v>
      </c>
      <c r="B57" s="0" t="n">
        <v>0.82206015999449</v>
      </c>
      <c r="C57" s="0" t="n">
        <v>1.89679298265395</v>
      </c>
    </row>
    <row r="58" customFormat="false" ht="15" hidden="false" customHeight="false" outlineLevel="0" collapsed="false">
      <c r="A58" s="0" t="n">
        <v>-0.245388116002871</v>
      </c>
      <c r="B58" s="0" t="n">
        <v>-0.75373616435749</v>
      </c>
      <c r="C58" s="0" t="n">
        <v>-0.889514429625523</v>
      </c>
    </row>
    <row r="59" customFormat="false" ht="15" hidden="false" customHeight="false" outlineLevel="0" collapsed="false">
      <c r="A59" s="0" t="n">
        <v>-0.815810284965438</v>
      </c>
      <c r="B59" s="0" t="n">
        <v>-0.0771017094141042</v>
      </c>
      <c r="C59" s="0" t="n">
        <v>0.341151974816644</v>
      </c>
    </row>
    <row r="60" customFormat="false" ht="15" hidden="false" customHeight="false" outlineLevel="0" collapsed="false">
      <c r="A60" s="0" t="n">
        <v>0.276690799330019</v>
      </c>
      <c r="B60" s="0" t="n">
        <v>0.827183249036024</v>
      </c>
      <c r="C60" s="0" t="n">
        <v>0.013001891877907</v>
      </c>
    </row>
    <row r="61" customFormat="false" ht="15" hidden="false" customHeight="false" outlineLevel="0" collapsed="false">
      <c r="A61" s="0" t="n">
        <v>1.45353407715732</v>
      </c>
      <c r="B61" s="0" t="n">
        <v>-0.264656833237956</v>
      </c>
      <c r="C61" s="0" t="n">
        <v>2.72016916658962</v>
      </c>
    </row>
    <row r="62" customFormat="false" ht="15" hidden="false" customHeight="false" outlineLevel="0" collapsed="false">
      <c r="A62" s="0" t="n">
        <v>0.625667347765006</v>
      </c>
      <c r="B62" s="0" t="n">
        <v>-0.857157556416283</v>
      </c>
      <c r="C62" s="0" t="n">
        <v>-1.07089249806111</v>
      </c>
    </row>
    <row r="63" customFormat="false" ht="15" hidden="false" customHeight="false" outlineLevel="0" collapsed="false">
      <c r="A63" s="0" t="n">
        <v>0.482472415243185</v>
      </c>
      <c r="B63" s="0" t="n">
        <v>-0.223462785325851</v>
      </c>
      <c r="C63" s="0" t="n">
        <v>0.714000494092092</v>
      </c>
    </row>
    <row r="64" customFormat="false" ht="15" hidden="false" customHeight="false" outlineLevel="0" collapsed="false">
      <c r="A64" s="0" t="n">
        <v>0.473237624573545</v>
      </c>
      <c r="B64" s="0" t="n">
        <v>-0.0728289126568728</v>
      </c>
      <c r="C64" s="0" t="n">
        <v>-0.846793718068405</v>
      </c>
    </row>
    <row r="65" customFormat="false" ht="15" hidden="false" customHeight="false" outlineLevel="0" collapsed="false">
      <c r="A65" s="0" t="n">
        <v>-1.51484722468587</v>
      </c>
      <c r="B65" s="0" t="n">
        <v>-0.446514952067021</v>
      </c>
      <c r="C65" s="0" t="n">
        <v>0.856398794323472</v>
      </c>
    </row>
    <row r="66" customFormat="false" ht="15" hidden="false" customHeight="false" outlineLevel="0" collapsed="false">
      <c r="A66" s="0" t="n">
        <v>0.214093744130204</v>
      </c>
      <c r="B66" s="0" t="n">
        <v>-1.24573877871199</v>
      </c>
      <c r="C66" s="0" t="n">
        <v>0.173180925851182</v>
      </c>
    </row>
    <row r="67" customFormat="false" ht="15" hidden="false" customHeight="false" outlineLevel="0" collapsed="false">
      <c r="A67" s="0" t="n">
        <v>0.385317379728837</v>
      </c>
      <c r="B67" s="0" t="n">
        <v>-0.883857436201133</v>
      </c>
      <c r="C67" s="0" t="n">
        <v>0.153725105945528</v>
      </c>
    </row>
    <row r="68" customFormat="false" ht="15" hidden="false" customHeight="false" outlineLevel="0" collapsed="false">
      <c r="A68" s="0" t="n">
        <v>0.0582087184459999</v>
      </c>
      <c r="B68" s="0" t="n">
        <v>-1.14297029783062</v>
      </c>
      <c r="C68" s="0" t="n">
        <v>0.357787360348283</v>
      </c>
    </row>
    <row r="69" customFormat="false" ht="15" hidden="false" customHeight="false" outlineLevel="0" collapsed="false">
      <c r="A69" s="0" t="n">
        <v>0.560784526368234</v>
      </c>
      <c r="B69" s="0" t="n">
        <v>1.08305124317528</v>
      </c>
      <c r="C69" s="0" t="n">
        <v>1.0538020520349</v>
      </c>
    </row>
    <row r="70" customFormat="false" ht="15" hidden="false" customHeight="false" outlineLevel="0" collapsed="false">
      <c r="A70" s="0" t="n">
        <v>-1.37766936795709</v>
      </c>
      <c r="B70" s="0" t="n">
        <v>-0.937825039915123</v>
      </c>
      <c r="C70" s="0" t="n">
        <v>0.51503526720866</v>
      </c>
    </row>
    <row r="71" customFormat="false" ht="15" hidden="false" customHeight="false" outlineLevel="0" collapsed="false">
      <c r="A71" s="0" t="n">
        <v>0.513785950912209</v>
      </c>
      <c r="B71" s="0" t="n">
        <v>0.515047686306048</v>
      </c>
      <c r="C71" s="0" t="n">
        <v>3.85273149065472</v>
      </c>
    </row>
    <row r="72" customFormat="false" ht="15" hidden="false" customHeight="false" outlineLevel="0" collapsed="false">
      <c r="A72" s="0" t="n">
        <v>0.570890510693167</v>
      </c>
      <c r="B72" s="0" t="n">
        <v>1.1355656401806</v>
      </c>
      <c r="C72" s="0" t="n">
        <v>0.954001763493202</v>
      </c>
    </row>
    <row r="73" customFormat="false" ht="15" hidden="false" customHeight="false" outlineLevel="0" collapsed="false">
      <c r="A73" s="0" t="n">
        <v>0.651391251305798</v>
      </c>
      <c r="B73" s="0" t="n">
        <v>-0.315269244640346</v>
      </c>
      <c r="C73" s="0" t="n">
        <v>0.758969220493267</v>
      </c>
    </row>
    <row r="74" customFormat="false" ht="15" hidden="false" customHeight="false" outlineLevel="0" collapsed="false">
      <c r="A74" s="0" t="n">
        <v>-0.772825214537572</v>
      </c>
      <c r="B74" s="0" t="n">
        <v>-0.236818606740009</v>
      </c>
      <c r="C74" s="0" t="n">
        <v>-0.485363547829104</v>
      </c>
    </row>
    <row r="75" customFormat="false" ht="15" hidden="false" customHeight="false" outlineLevel="0" collapsed="false">
      <c r="A75" s="0" t="n">
        <v>0.0818741393863226</v>
      </c>
      <c r="B75" s="0" t="n">
        <v>2.31465856667351</v>
      </c>
      <c r="C75" s="0" t="n">
        <v>-1.86726519259175</v>
      </c>
    </row>
    <row r="76" customFormat="false" ht="15" hidden="false" customHeight="false" outlineLevel="0" collapsed="false">
      <c r="A76" s="0" t="n">
        <v>0.686260190374514</v>
      </c>
      <c r="B76" s="0" t="n">
        <v>-1.61271587118965</v>
      </c>
      <c r="C76" s="0" t="n">
        <v>-0.471931865789434</v>
      </c>
    </row>
    <row r="77" customFormat="false" ht="15" hidden="false" customHeight="false" outlineLevel="0" collapsed="false">
      <c r="A77" s="0" t="n">
        <v>1.08895059696737</v>
      </c>
      <c r="B77" s="0" t="n">
        <v>0.0642800190954628</v>
      </c>
      <c r="C77" s="0" t="n">
        <v>-1.07774477792931</v>
      </c>
    </row>
    <row r="78" customFormat="false" ht="15" hidden="false" customHeight="false" outlineLevel="0" collapsed="false">
      <c r="A78" s="0" t="n">
        <v>-0.715303709259968</v>
      </c>
      <c r="B78" s="0" t="n">
        <v>0.679597748934676</v>
      </c>
      <c r="C78" s="0" t="n">
        <v>-0.730366631717137</v>
      </c>
    </row>
    <row r="79" customFormat="false" ht="15" hidden="false" customHeight="false" outlineLevel="0" collapsed="false">
      <c r="A79" s="0" t="n">
        <v>0.216458589581975</v>
      </c>
      <c r="B79" s="0" t="n">
        <v>0.0455718399038138</v>
      </c>
      <c r="C79" s="0" t="n">
        <v>-0.651600347605817</v>
      </c>
    </row>
    <row r="80" customFormat="false" ht="15" hidden="false" customHeight="false" outlineLevel="0" collapsed="false">
      <c r="A80" s="0" t="n">
        <v>2.14394408932533</v>
      </c>
      <c r="B80" s="0" t="n">
        <v>0.633919022318011</v>
      </c>
      <c r="C80" s="0" t="n">
        <v>-2.02514258665761</v>
      </c>
    </row>
    <row r="81" customFormat="false" ht="15" hidden="false" customHeight="false" outlineLevel="0" collapsed="false">
      <c r="A81" s="0" t="n">
        <v>0.186454314769428</v>
      </c>
      <c r="B81" s="0" t="n">
        <v>-0.661786464768388</v>
      </c>
      <c r="C81" s="0" t="n">
        <v>0.852433334796224</v>
      </c>
    </row>
    <row r="82" customFormat="false" ht="15" hidden="false" customHeight="false" outlineLevel="0" collapsed="false">
      <c r="A82" s="0" t="n">
        <v>-0.792520738432701</v>
      </c>
      <c r="B82" s="0" t="n">
        <v>-0.114736441466899</v>
      </c>
      <c r="C82" s="0" t="n">
        <v>0.504987278980457</v>
      </c>
    </row>
    <row r="83" customFormat="false" ht="15" hidden="false" customHeight="false" outlineLevel="0" collapsed="false">
      <c r="A83" s="0" t="n">
        <v>0.865755194170122</v>
      </c>
      <c r="B83" s="0" t="n">
        <v>-1.20029640705578</v>
      </c>
      <c r="C83" s="0" t="n">
        <v>-0.334501235840948</v>
      </c>
    </row>
    <row r="84" customFormat="false" ht="15" hidden="false" customHeight="false" outlineLevel="0" collapsed="false">
      <c r="A84" s="0" t="n">
        <v>-0.474945311160956</v>
      </c>
      <c r="B84" s="0" t="n">
        <v>-0.653329232573712</v>
      </c>
      <c r="C84" s="0" t="n">
        <v>1.7654542402811</v>
      </c>
    </row>
    <row r="85" customFormat="false" ht="15" hidden="false" customHeight="false" outlineLevel="0" collapsed="false">
      <c r="A85" s="0" t="n">
        <v>0.404981710960956</v>
      </c>
      <c r="B85" s="0" t="n">
        <v>-1.26088395433505</v>
      </c>
      <c r="C85" s="0" t="n">
        <v>0.917861947054776</v>
      </c>
    </row>
    <row r="86" customFormat="false" ht="15" hidden="false" customHeight="false" outlineLevel="0" collapsed="false">
      <c r="A86" s="0" t="n">
        <v>2.12215619701263</v>
      </c>
      <c r="B86" s="0" t="n">
        <v>1.03246526055115</v>
      </c>
      <c r="C86" s="0" t="n">
        <v>-1.51936996595401</v>
      </c>
    </row>
    <row r="87" customFormat="false" ht="15" hidden="false" customHeight="false" outlineLevel="0" collapsed="false">
      <c r="A87" s="0" t="n">
        <v>-0.484234072866251</v>
      </c>
      <c r="B87" s="0" t="n">
        <v>1.26691114918662</v>
      </c>
      <c r="C87" s="0" t="n">
        <v>-0.707669465618781</v>
      </c>
    </row>
    <row r="88" customFormat="false" ht="15" hidden="false" customHeight="false" outlineLevel="0" collapsed="false">
      <c r="A88" s="0" t="n">
        <v>0.443819428146228</v>
      </c>
      <c r="B88" s="0" t="n">
        <v>0.774634053429337</v>
      </c>
      <c r="C88" s="0" t="n">
        <v>-0.926930471578083</v>
      </c>
    </row>
    <row r="89" customFormat="false" ht="15" hidden="false" customHeight="false" outlineLevel="0" collapsed="false">
      <c r="A89" s="0" t="n">
        <v>-0.0595253560618001</v>
      </c>
      <c r="B89" s="0" t="n">
        <v>-3.24126734006907</v>
      </c>
      <c r="C89" s="0" t="n">
        <v>-1.02438764133429</v>
      </c>
    </row>
    <row r="90" customFormat="false" ht="15" hidden="false" customHeight="false" outlineLevel="0" collapsed="false">
      <c r="A90" s="0" t="n">
        <v>-0.25256815139316</v>
      </c>
      <c r="B90" s="0" t="n">
        <v>-1.24778318196485</v>
      </c>
      <c r="C90" s="0" t="n">
        <v>1.63241130393164</v>
      </c>
    </row>
    <row r="91" customFormat="false" ht="15" hidden="false" customHeight="false" outlineLevel="0" collapsed="false">
      <c r="A91" s="0" t="n">
        <v>-1.43014137796063</v>
      </c>
      <c r="B91" s="0" t="n">
        <v>-0.440044486696984</v>
      </c>
      <c r="C91" s="0" t="n">
        <v>0.130740577286091</v>
      </c>
    </row>
    <row r="92" customFormat="false" ht="15" hidden="false" customHeight="false" outlineLevel="0" collapsed="false">
      <c r="A92" s="0" t="n">
        <v>1.44127328906612</v>
      </c>
      <c r="B92" s="0" t="n">
        <v>-1.43586215117944</v>
      </c>
      <c r="C92" s="0" t="n">
        <v>1.16316375215496</v>
      </c>
    </row>
    <row r="93" customFormat="false" ht="15" hidden="false" customHeight="false" outlineLevel="0" collapsed="false">
      <c r="A93" s="0" t="n">
        <v>0.0102330610195871</v>
      </c>
      <c r="B93" s="0" t="n">
        <v>-0.981508651047951</v>
      </c>
      <c r="C93" s="0" t="n">
        <v>0.462103474263271</v>
      </c>
    </row>
    <row r="94" customFormat="false" ht="15" hidden="false" customHeight="false" outlineLevel="0" collapsed="false">
      <c r="A94" s="0" t="n">
        <v>0.19905969557347</v>
      </c>
      <c r="B94" s="0" t="n">
        <v>-0.600216877158795</v>
      </c>
      <c r="C94" s="0" t="n">
        <v>0.0698020849900189</v>
      </c>
    </row>
    <row r="95" customFormat="false" ht="15" hidden="false" customHeight="false" outlineLevel="0" collapsed="false">
      <c r="A95" s="0" t="n">
        <v>-0.38531359686176</v>
      </c>
      <c r="B95" s="0" t="n">
        <v>0.113517345251248</v>
      </c>
      <c r="C95" s="0" t="n">
        <v>0.662130674521047</v>
      </c>
    </row>
    <row r="96" customFormat="false" ht="15" hidden="false" customHeight="false" outlineLevel="0" collapsed="false">
      <c r="A96" s="0" t="n">
        <v>1.58601681614535</v>
      </c>
      <c r="B96" s="0" t="n">
        <v>-1.23781549882685</v>
      </c>
      <c r="C96" s="0" t="n">
        <v>2.13303337465627</v>
      </c>
    </row>
    <row r="97" customFormat="false" ht="15" hidden="false" customHeight="false" outlineLevel="0" collapsed="false">
      <c r="A97" s="0" t="n">
        <v>-1.9520877995225</v>
      </c>
      <c r="B97" s="0" t="n">
        <v>-0.151785095035583</v>
      </c>
      <c r="C97" s="0" t="n">
        <v>0.588317206484577</v>
      </c>
    </row>
    <row r="98" customFormat="false" ht="15" hidden="false" customHeight="false" outlineLevel="0" collapsed="false">
      <c r="A98" s="0" t="n">
        <v>0.280991867735033</v>
      </c>
      <c r="B98" s="0" t="n">
        <v>-0.622699519820594</v>
      </c>
      <c r="C98" s="0" t="n">
        <v>-0.208122250357275</v>
      </c>
    </row>
    <row r="99" customFormat="false" ht="15" hidden="false" customHeight="false" outlineLevel="0" collapsed="false">
      <c r="A99" s="0" t="n">
        <v>-0.493000934658833</v>
      </c>
      <c r="B99" s="0" t="n">
        <v>-0.589364756944212</v>
      </c>
      <c r="C99" s="0" t="n">
        <v>0.849602097021025</v>
      </c>
    </row>
    <row r="100" customFormat="false" ht="15" hidden="false" customHeight="false" outlineLevel="0" collapsed="false">
      <c r="A100" s="0" t="n">
        <v>0.357015485965047</v>
      </c>
      <c r="B100" s="0" t="n">
        <v>-0.692909595260654</v>
      </c>
      <c r="C100" s="0" t="n">
        <v>0.899599875433251</v>
      </c>
    </row>
    <row r="101" customFormat="false" ht="15" hidden="false" customHeight="false" outlineLevel="0" collapsed="false">
      <c r="A101" s="0" t="n">
        <v>0.307299520876609</v>
      </c>
      <c r="B101" s="0" t="n">
        <v>0.81286211883896</v>
      </c>
      <c r="C101" s="0" t="n">
        <v>0.629628841923612</v>
      </c>
    </row>
    <row r="102" customFormat="false" ht="15" hidden="false" customHeight="false" outlineLevel="0" collapsed="false">
      <c r="A102" s="0" t="n">
        <v>-0.828995010922072</v>
      </c>
      <c r="B102" s="0" t="n">
        <v>-0.56018104019697</v>
      </c>
      <c r="C102" s="0" t="n">
        <v>0.747293605123262</v>
      </c>
    </row>
    <row r="103" customFormat="false" ht="15" hidden="false" customHeight="false" outlineLevel="0" collapsed="false">
      <c r="A103" s="0" t="n">
        <v>0.610370265433465</v>
      </c>
      <c r="B103" s="0" t="n">
        <v>-0.0209015939641481</v>
      </c>
      <c r="C103" s="0" t="n">
        <v>0.117327383308782</v>
      </c>
    </row>
    <row r="104" customFormat="false" ht="15" hidden="false" customHeight="false" outlineLevel="0" collapsed="false">
      <c r="A104" s="0" t="n">
        <v>1.27766489578843</v>
      </c>
      <c r="B104" s="0" t="n">
        <v>-0.59157138883583</v>
      </c>
      <c r="C104" s="0" t="n">
        <v>0.547097381170038</v>
      </c>
    </row>
    <row r="105" customFormat="false" ht="15" hidden="false" customHeight="false" outlineLevel="0" collapsed="false">
      <c r="A105" s="0" t="n">
        <v>-0.202192652433894</v>
      </c>
      <c r="B105" s="0" t="n">
        <v>-0.21768120322722</v>
      </c>
      <c r="C105" s="0" t="n">
        <v>1.09877685198719</v>
      </c>
    </row>
    <row r="106" customFormat="false" ht="15" hidden="false" customHeight="false" outlineLevel="0" collapsed="false">
      <c r="A106" s="0" t="n">
        <v>0.82541634898803</v>
      </c>
      <c r="B106" s="0" t="n">
        <v>0.813509636000639</v>
      </c>
      <c r="C106" s="0" t="n">
        <v>1.30547880715433</v>
      </c>
    </row>
    <row r="107" customFormat="false" ht="15" hidden="false" customHeight="false" outlineLevel="0" collapsed="false">
      <c r="A107" s="0" t="n">
        <v>0.0210038416327591</v>
      </c>
      <c r="B107" s="0" t="n">
        <v>0.681952971294964</v>
      </c>
      <c r="C107" s="0" t="n">
        <v>-0.310266756593456</v>
      </c>
    </row>
    <row r="108" customFormat="false" ht="15" hidden="false" customHeight="false" outlineLevel="0" collapsed="false">
      <c r="A108" s="0" t="n">
        <v>0.324166352488442</v>
      </c>
      <c r="B108" s="0" t="n">
        <v>-0.130143054367685</v>
      </c>
      <c r="C108" s="0" t="n">
        <v>0.0969959649927182</v>
      </c>
    </row>
    <row r="109" customFormat="false" ht="15" hidden="false" customHeight="false" outlineLevel="0" collapsed="false">
      <c r="A109" s="0" t="n">
        <v>0.595157025436914</v>
      </c>
      <c r="B109" s="0" t="n">
        <v>-0.818220683233473</v>
      </c>
      <c r="C109" s="0" t="n">
        <v>2.09238727568546</v>
      </c>
    </row>
    <row r="110" customFormat="false" ht="15" hidden="false" customHeight="false" outlineLevel="0" collapsed="false">
      <c r="A110" s="0" t="n">
        <v>-1.0060173814997</v>
      </c>
      <c r="B110" s="0" t="n">
        <v>-1.21418861278773</v>
      </c>
      <c r="C110" s="0" t="n">
        <v>1.15811087350007</v>
      </c>
    </row>
    <row r="111" customFormat="false" ht="15" hidden="false" customHeight="false" outlineLevel="0" collapsed="false">
      <c r="A111" s="0" t="n">
        <v>0.791662693962936</v>
      </c>
      <c r="B111" s="0" t="n">
        <v>0.624119817052155</v>
      </c>
      <c r="C111" s="0" t="n">
        <v>0.62834550926428</v>
      </c>
    </row>
    <row r="112" customFormat="false" ht="15" hidden="false" customHeight="false" outlineLevel="0" collapsed="false">
      <c r="A112" s="0" t="n">
        <v>-0.0122467728469146</v>
      </c>
      <c r="B112" s="0" t="n">
        <v>-0.897254371485832</v>
      </c>
      <c r="C112" s="0" t="n">
        <v>0.0758045581937263</v>
      </c>
    </row>
    <row r="113" customFormat="false" ht="15" hidden="false" customHeight="false" outlineLevel="0" collapsed="false">
      <c r="A113" s="0" t="n">
        <v>-0.677161711512112</v>
      </c>
      <c r="B113" s="0" t="n">
        <v>0.975119733417751</v>
      </c>
      <c r="C113" s="0" t="n">
        <v>-0.147057381502139</v>
      </c>
    </row>
    <row r="114" customFormat="false" ht="15" hidden="false" customHeight="false" outlineLevel="0" collapsed="false">
      <c r="A114" s="0" t="n">
        <v>-0.825497196792512</v>
      </c>
      <c r="B114" s="0" t="n">
        <v>-0.321385841652993</v>
      </c>
      <c r="C114" s="0" t="n">
        <v>0.412931454275624</v>
      </c>
    </row>
    <row r="115" customFormat="false" ht="15" hidden="false" customHeight="false" outlineLevel="0" collapsed="false">
      <c r="A115" s="0" t="n">
        <v>-0.563724552803975</v>
      </c>
      <c r="B115" s="0" t="n">
        <v>-0.822220395566432</v>
      </c>
      <c r="C115" s="0" t="n">
        <v>0.243687211491912</v>
      </c>
    </row>
    <row r="116" customFormat="false" ht="15" hidden="false" customHeight="false" outlineLevel="0" collapsed="false">
      <c r="A116" s="0" t="n">
        <v>0.244966571108723</v>
      </c>
      <c r="B116" s="0" t="n">
        <v>-0.50694317537113</v>
      </c>
      <c r="C116" s="0" t="n">
        <v>-0.471038305618323</v>
      </c>
    </row>
    <row r="117" customFormat="false" ht="15" hidden="false" customHeight="false" outlineLevel="0" collapsed="false">
      <c r="A117" s="0" t="n">
        <v>0.232049937357636</v>
      </c>
      <c r="B117" s="0" t="n">
        <v>-1.44808434149732</v>
      </c>
      <c r="C117" s="0" t="n">
        <v>-1.40746377437656</v>
      </c>
    </row>
    <row r="118" customFormat="false" ht="15" hidden="false" customHeight="false" outlineLevel="0" collapsed="false">
      <c r="A118" s="0" t="n">
        <v>-0.718444221252436</v>
      </c>
      <c r="B118" s="0" t="n">
        <v>-0.213447151711847</v>
      </c>
      <c r="C118" s="0" t="n">
        <v>0.310907565598005</v>
      </c>
    </row>
    <row r="119" customFormat="false" ht="15" hidden="false" customHeight="false" outlineLevel="0" collapsed="false">
      <c r="A119" s="0" t="n">
        <v>1.47535621694955</v>
      </c>
      <c r="B119" s="0" t="n">
        <v>0.857659623202019</v>
      </c>
      <c r="C119" s="0" t="n">
        <v>-0.159938529963427</v>
      </c>
    </row>
    <row r="120" customFormat="false" ht="15" hidden="false" customHeight="false" outlineLevel="0" collapsed="false">
      <c r="A120" s="0" t="n">
        <v>-0.0190162079026888</v>
      </c>
      <c r="B120" s="0" t="n">
        <v>-1.00252936463781</v>
      </c>
      <c r="C120" s="0" t="n">
        <v>-0.0185131359923899</v>
      </c>
    </row>
    <row r="121" customFormat="false" ht="15" hidden="false" customHeight="false" outlineLevel="0" collapsed="false">
      <c r="A121" s="0" t="n">
        <v>-0.288658638920138</v>
      </c>
      <c r="B121" s="0" t="n">
        <v>0.32271856033809</v>
      </c>
      <c r="C121" s="0" t="n">
        <v>-0.827230943552323</v>
      </c>
    </row>
    <row r="122" customFormat="false" ht="15" hidden="false" customHeight="false" outlineLevel="0" collapsed="false">
      <c r="A122" s="0" t="n">
        <v>0.519346514241172</v>
      </c>
      <c r="B122" s="0" t="n">
        <v>1.53273891300258</v>
      </c>
      <c r="C122" s="0" t="n">
        <v>-0.108760148456858</v>
      </c>
    </row>
    <row r="123" customFormat="false" ht="15" hidden="false" customHeight="false" outlineLevel="0" collapsed="false">
      <c r="A123" s="0" t="n">
        <v>0.401711722098942</v>
      </c>
      <c r="B123" s="0" t="n">
        <v>0.690143991711113</v>
      </c>
      <c r="C123" s="0" t="n">
        <v>-0.401220471885836</v>
      </c>
    </row>
    <row r="124" customFormat="false" ht="15" hidden="false" customHeight="false" outlineLevel="0" collapsed="false">
      <c r="A124" s="0" t="n">
        <v>0.224092481810417</v>
      </c>
      <c r="B124" s="0" t="n">
        <v>0.0125924007817949</v>
      </c>
      <c r="C124" s="0" t="n">
        <v>0.0976760985488317</v>
      </c>
    </row>
    <row r="125" customFormat="false" ht="15" hidden="false" customHeight="false" outlineLevel="0" collapsed="false">
      <c r="A125" s="0" t="n">
        <v>-0.773009783855467</v>
      </c>
      <c r="B125" s="0" t="n">
        <v>0.0245101742589427</v>
      </c>
      <c r="C125" s="0" t="n">
        <v>0.49799829124545</v>
      </c>
    </row>
    <row r="126" customFormat="false" ht="15" hidden="false" customHeight="false" outlineLevel="0" collapsed="false">
      <c r="A126" s="0" t="n">
        <v>1.45114360779504</v>
      </c>
      <c r="B126" s="0" t="n">
        <v>0.959270826085207</v>
      </c>
      <c r="C126" s="0" t="n">
        <v>2.15318245751156</v>
      </c>
    </row>
    <row r="127" customFormat="false" ht="15" hidden="false" customHeight="false" outlineLevel="0" collapsed="false">
      <c r="A127" s="0" t="n">
        <v>-0.76734756288805</v>
      </c>
      <c r="B127" s="0" t="n">
        <v>0.872320636720678</v>
      </c>
      <c r="C127" s="0" t="n">
        <v>0.183342005738352</v>
      </c>
    </row>
    <row r="128" customFormat="false" ht="15" hidden="false" customHeight="false" outlineLevel="0" collapsed="false">
      <c r="A128" s="0" t="n">
        <v>2.18980293321767</v>
      </c>
      <c r="B128" s="0" t="n">
        <v>-0.808298285355152</v>
      </c>
      <c r="C128" s="0" t="n">
        <v>-0.839721842180776</v>
      </c>
    </row>
    <row r="129" customFormat="false" ht="15" hidden="false" customHeight="false" outlineLevel="0" collapsed="false">
      <c r="A129" s="0" t="n">
        <v>-0.599392645444022</v>
      </c>
      <c r="B129" s="0" t="n">
        <v>-2.12389572430981</v>
      </c>
      <c r="C129" s="0" t="n">
        <v>-0.525755021680761</v>
      </c>
    </row>
    <row r="130" customFormat="false" ht="15" hidden="false" customHeight="false" outlineLevel="0" collapsed="false">
      <c r="A130" s="0" t="n">
        <v>-0.759132661553698</v>
      </c>
      <c r="B130" s="0" t="n">
        <v>0.150393786476208</v>
      </c>
      <c r="C130" s="0" t="n">
        <v>0.341755975777159</v>
      </c>
    </row>
    <row r="131" customFormat="false" ht="15" hidden="false" customHeight="false" outlineLevel="0" collapsed="false">
      <c r="A131" s="0" t="n">
        <v>1.87617083921589</v>
      </c>
      <c r="B131" s="0" t="n">
        <v>0.95042383818605</v>
      </c>
      <c r="C131" s="0" t="n">
        <v>-0.576903655662403</v>
      </c>
    </row>
    <row r="132" customFormat="false" ht="15" hidden="false" customHeight="false" outlineLevel="0" collapsed="false">
      <c r="A132" s="0" t="n">
        <v>-0.898414671348358</v>
      </c>
      <c r="B132" s="0" t="n">
        <v>0.491919171506506</v>
      </c>
      <c r="C132" s="0" t="n">
        <v>-1.32023320702064</v>
      </c>
    </row>
    <row r="133" customFormat="false" ht="15" hidden="false" customHeight="false" outlineLevel="0" collapsed="false">
      <c r="A133" s="0" t="n">
        <v>1.83145876585435</v>
      </c>
      <c r="B133" s="0" t="n">
        <v>1.17944012072129</v>
      </c>
      <c r="C133" s="0" t="n">
        <v>-0.469175652104705</v>
      </c>
    </row>
    <row r="134" customFormat="false" ht="15" hidden="false" customHeight="false" outlineLevel="0" collapsed="false">
      <c r="A134" s="0" t="n">
        <v>-1.71313452909088</v>
      </c>
      <c r="B134" s="0" t="n">
        <v>1.35387237416541</v>
      </c>
      <c r="C134" s="0" t="n">
        <v>-0.114539845252618</v>
      </c>
    </row>
    <row r="135" customFormat="false" ht="15" hidden="false" customHeight="false" outlineLevel="0" collapsed="false">
      <c r="A135" s="0" t="n">
        <v>1.23781631197346</v>
      </c>
      <c r="B135" s="0" t="n">
        <v>-1.59442765879437</v>
      </c>
      <c r="C135" s="0" t="n">
        <v>-0.599375022953773</v>
      </c>
    </row>
    <row r="136" customFormat="false" ht="15" hidden="false" customHeight="false" outlineLevel="0" collapsed="false">
      <c r="A136" s="0" t="n">
        <v>0.00524369971818317</v>
      </c>
      <c r="B136" s="0" t="n">
        <v>0.0469805937647421</v>
      </c>
      <c r="C136" s="0" t="n">
        <v>-0.450065471479244</v>
      </c>
    </row>
    <row r="137" customFormat="false" ht="15" hidden="false" customHeight="false" outlineLevel="0" collapsed="false">
      <c r="A137" s="0" t="n">
        <v>0.622849932347499</v>
      </c>
      <c r="B137" s="0" t="n">
        <v>-1.06762042938259</v>
      </c>
      <c r="C137" s="0" t="n">
        <v>-0.142379485021294</v>
      </c>
    </row>
    <row r="138" customFormat="false" ht="15" hidden="false" customHeight="false" outlineLevel="0" collapsed="false">
      <c r="A138" s="0" t="n">
        <v>0.120295631711899</v>
      </c>
      <c r="B138" s="0" t="n">
        <v>0.514438834058749</v>
      </c>
      <c r="C138" s="0" t="n">
        <v>0.71161487808889</v>
      </c>
    </row>
    <row r="139" customFormat="false" ht="15" hidden="false" customHeight="false" outlineLevel="0" collapsed="false">
      <c r="A139" s="0" t="n">
        <v>-1.12464209183787</v>
      </c>
      <c r="B139" s="0" t="n">
        <v>-1.53411417073562</v>
      </c>
      <c r="C139" s="0" t="n">
        <v>1.27767682189851</v>
      </c>
    </row>
    <row r="140" customFormat="false" ht="15" hidden="false" customHeight="false" outlineLevel="0" collapsed="false">
      <c r="A140" s="0" t="n">
        <v>0.332314011979592</v>
      </c>
      <c r="B140" s="0" t="n">
        <v>-0.748486536556554</v>
      </c>
      <c r="C140" s="0" t="n">
        <v>1.55115197552252</v>
      </c>
    </row>
    <row r="141" customFormat="false" ht="15" hidden="false" customHeight="false" outlineLevel="0" collapsed="false">
      <c r="A141" s="0" t="n">
        <v>0.115674634292859</v>
      </c>
      <c r="B141" s="0" t="n">
        <v>1.17929718406383</v>
      </c>
      <c r="C141" s="0" t="n">
        <v>0.067518481410109</v>
      </c>
    </row>
    <row r="142" customFormat="false" ht="15" hidden="false" customHeight="false" outlineLevel="0" collapsed="false">
      <c r="A142" s="0" t="n">
        <v>2.06074792488199</v>
      </c>
      <c r="B142" s="0" t="n">
        <v>1.7553408424432</v>
      </c>
      <c r="C142" s="0" t="n">
        <v>-0.248964148479074</v>
      </c>
    </row>
    <row r="143" customFormat="false" ht="15" hidden="false" customHeight="false" outlineLevel="0" collapsed="false">
      <c r="A143" s="0" t="n">
        <v>0.971570950954355</v>
      </c>
      <c r="B143" s="0" t="n">
        <v>0.645375949585148</v>
      </c>
      <c r="C143" s="0" t="n">
        <v>1.36863155753235</v>
      </c>
    </row>
    <row r="144" customFormat="false" ht="15" hidden="false" customHeight="false" outlineLevel="0" collapsed="false">
      <c r="A144" s="0" t="n">
        <v>-0.964923460580105</v>
      </c>
      <c r="B144" s="0" t="n">
        <v>0.686051459998439</v>
      </c>
      <c r="C144" s="0" t="n">
        <v>1.05842448684959</v>
      </c>
    </row>
    <row r="145" customFormat="false" ht="15" hidden="false" customHeight="false" outlineLevel="0" collapsed="false">
      <c r="A145" s="0" t="n">
        <v>-1.75873948642311</v>
      </c>
      <c r="B145" s="0" t="n">
        <v>-1.18325851266578</v>
      </c>
      <c r="C145" s="0" t="n">
        <v>-2.0392321777601</v>
      </c>
    </row>
    <row r="146" customFormat="false" ht="15" hidden="false" customHeight="false" outlineLevel="0" collapsed="false">
      <c r="A146" s="0" t="n">
        <v>-0.269406834444558</v>
      </c>
      <c r="B146" s="0" t="n">
        <v>0.717542255795962</v>
      </c>
      <c r="C146" s="0" t="n">
        <v>1.50235705209603</v>
      </c>
    </row>
    <row r="147" customFormat="false" ht="15" hidden="false" customHeight="false" outlineLevel="0" collapsed="false">
      <c r="A147" s="0" t="n">
        <v>0.0740947804197752</v>
      </c>
      <c r="B147" s="0" t="n">
        <v>1.62861554557129</v>
      </c>
      <c r="C147" s="0" t="n">
        <v>-1.38010145821489</v>
      </c>
    </row>
    <row r="148" customFormat="false" ht="15" hidden="false" customHeight="false" outlineLevel="0" collapsed="false">
      <c r="A148" s="0" t="n">
        <v>-1.70338243935516</v>
      </c>
      <c r="B148" s="0" t="n">
        <v>-0.0555476988966188</v>
      </c>
      <c r="C148" s="0" t="n">
        <v>0.384065448939307</v>
      </c>
    </row>
    <row r="149" customFormat="false" ht="15" hidden="false" customHeight="false" outlineLevel="0" collapsed="false">
      <c r="A149" s="0" t="n">
        <v>-0.0326947480940931</v>
      </c>
      <c r="B149" s="0" t="n">
        <v>-2.06744210003988</v>
      </c>
      <c r="C149" s="0" t="n">
        <v>-0.0891200395127884</v>
      </c>
    </row>
    <row r="150" customFormat="false" ht="15" hidden="false" customHeight="false" outlineLevel="0" collapsed="false">
      <c r="A150" s="0" t="n">
        <v>-1.30446950050485</v>
      </c>
      <c r="B150" s="0" t="n">
        <v>0.669672548830039</v>
      </c>
      <c r="C150" s="0" t="n">
        <v>0.366598246096848</v>
      </c>
    </row>
    <row r="151" customFormat="false" ht="15" hidden="false" customHeight="false" outlineLevel="0" collapsed="false">
      <c r="A151" s="0" t="n">
        <v>-0.939879786327355</v>
      </c>
      <c r="B151" s="0" t="n">
        <v>-0.513866917336694</v>
      </c>
      <c r="C151" s="0" t="n">
        <v>-1.05921352188895</v>
      </c>
    </row>
    <row r="152" customFormat="false" ht="15" hidden="false" customHeight="false" outlineLevel="0" collapsed="false">
      <c r="A152" s="0" t="n">
        <v>-0.0626790972731719</v>
      </c>
      <c r="B152" s="0" t="n">
        <v>0.955142320501238</v>
      </c>
      <c r="C152" s="0" t="n">
        <v>-0.985726046335544</v>
      </c>
    </row>
    <row r="153" customFormat="false" ht="15" hidden="false" customHeight="false" outlineLevel="0" collapsed="false">
      <c r="A153" s="0" t="n">
        <v>0.504046515517844</v>
      </c>
      <c r="B153" s="0" t="n">
        <v>-0.530257618372441</v>
      </c>
      <c r="C153" s="0" t="n">
        <v>-0.792872832262344</v>
      </c>
    </row>
    <row r="154" customFormat="false" ht="15" hidden="false" customHeight="false" outlineLevel="0" collapsed="false">
      <c r="A154" s="0" t="n">
        <v>-0.107030359954558</v>
      </c>
      <c r="B154" s="0" t="n">
        <v>-1.03524232241937</v>
      </c>
      <c r="C154" s="0" t="n">
        <v>-0.553649305347182</v>
      </c>
    </row>
    <row r="155" customFormat="false" ht="15" hidden="false" customHeight="false" outlineLevel="0" collapsed="false">
      <c r="A155" s="0" t="n">
        <v>-1.19787789258885</v>
      </c>
      <c r="B155" s="0" t="n">
        <v>1.96472513291639</v>
      </c>
      <c r="C155" s="0" t="n">
        <v>0.0352635519717286</v>
      </c>
    </row>
    <row r="156" customFormat="false" ht="15" hidden="false" customHeight="false" outlineLevel="0" collapsed="false">
      <c r="A156" s="0" t="n">
        <v>-0.699725507992586</v>
      </c>
      <c r="B156" s="0" t="n">
        <v>0.213979910734222</v>
      </c>
      <c r="C156" s="0" t="n">
        <v>-0.11232804969083</v>
      </c>
    </row>
    <row r="157" customFormat="false" ht="15" hidden="false" customHeight="false" outlineLevel="0" collapsed="false">
      <c r="A157" s="0" t="n">
        <v>-0.220969599533223</v>
      </c>
      <c r="B157" s="0" t="n">
        <v>0.614166700043425</v>
      </c>
      <c r="C157" s="0" t="n">
        <v>0.757507710047305</v>
      </c>
    </row>
    <row r="158" customFormat="false" ht="15" hidden="false" customHeight="false" outlineLevel="0" collapsed="false">
      <c r="A158" s="0" t="n">
        <v>-0.530501147610528</v>
      </c>
      <c r="B158" s="0" t="n">
        <v>-0.57581824064468</v>
      </c>
      <c r="C158" s="0" t="n">
        <v>-0.275051697151644</v>
      </c>
    </row>
    <row r="159" customFormat="false" ht="15" hidden="false" customHeight="false" outlineLevel="0" collapsed="false">
      <c r="A159" s="0" t="n">
        <v>-2.30192116473559</v>
      </c>
      <c r="B159" s="0" t="n">
        <v>-1.51519106219855</v>
      </c>
      <c r="C159" s="0" t="n">
        <v>1.36687426744453</v>
      </c>
    </row>
    <row r="160" customFormat="false" ht="15" hidden="false" customHeight="false" outlineLevel="0" collapsed="false">
      <c r="A160" s="0" t="n">
        <v>1.64496771350128</v>
      </c>
      <c r="B160" s="0" t="n">
        <v>-0.249036039556378</v>
      </c>
      <c r="C160" s="0" t="n">
        <v>0.576556963055766</v>
      </c>
    </row>
    <row r="161" customFormat="false" ht="15" hidden="false" customHeight="false" outlineLevel="0" collapsed="false">
      <c r="A161" s="0" t="n">
        <v>0.311250154543536</v>
      </c>
      <c r="B161" s="0" t="n">
        <v>3.07888080845524</v>
      </c>
      <c r="C161" s="0" t="n">
        <v>1.11957491143458</v>
      </c>
    </row>
    <row r="162" customFormat="false" ht="15" hidden="false" customHeight="false" outlineLevel="0" collapsed="false">
      <c r="A162" s="0" t="n">
        <v>-0.127917591480767</v>
      </c>
      <c r="B162" s="0" t="n">
        <v>-0.955540440600426</v>
      </c>
      <c r="C162" s="0" t="n">
        <v>-1.60644632025757</v>
      </c>
    </row>
    <row r="163" customFormat="false" ht="15" hidden="false" customHeight="false" outlineLevel="0" collapsed="false">
      <c r="A163" s="0" t="n">
        <v>0.203463635867223</v>
      </c>
      <c r="B163" s="0" t="n">
        <v>-0.756350745284303</v>
      </c>
      <c r="C163" s="0" t="n">
        <v>-1.42225370959767</v>
      </c>
    </row>
    <row r="164" customFormat="false" ht="15" hidden="false" customHeight="false" outlineLevel="0" collapsed="false">
      <c r="A164" s="0" t="n">
        <v>-0.646572884242527</v>
      </c>
      <c r="B164" s="0" t="n">
        <v>-1.0815480036144</v>
      </c>
      <c r="C164" s="0" t="n">
        <v>1.68714163507257</v>
      </c>
    </row>
    <row r="165" customFormat="false" ht="15" hidden="false" customHeight="false" outlineLevel="0" collapsed="false">
      <c r="A165" s="0" t="n">
        <v>0.881639756949451</v>
      </c>
      <c r="B165" s="0" t="n">
        <v>-0.00797264131661737</v>
      </c>
      <c r="C165" s="0" t="n">
        <v>1.47994413889003</v>
      </c>
    </row>
    <row r="166" customFormat="false" ht="15" hidden="false" customHeight="false" outlineLevel="0" collapsed="false">
      <c r="A166" s="0" t="n">
        <v>0.0773683076476183</v>
      </c>
      <c r="B166" s="0" t="n">
        <v>-0.861284201328264</v>
      </c>
      <c r="C166" s="0" t="n">
        <v>1.52312407726966</v>
      </c>
    </row>
    <row r="167" customFormat="false" ht="15" hidden="false" customHeight="false" outlineLevel="0" collapsed="false">
      <c r="A167" s="0" t="n">
        <v>0.538910043684659</v>
      </c>
      <c r="B167" s="0" t="n">
        <v>-1.03724615432646</v>
      </c>
      <c r="C167" s="0" t="n">
        <v>-0.190338678083608</v>
      </c>
    </row>
    <row r="168" customFormat="false" ht="15" hidden="false" customHeight="false" outlineLevel="0" collapsed="false">
      <c r="A168" s="0" t="n">
        <v>-0.875618253384757</v>
      </c>
      <c r="B168" s="0" t="n">
        <v>-1.38279973096434</v>
      </c>
      <c r="C168" s="0" t="n">
        <v>0.926177547531641</v>
      </c>
    </row>
    <row r="169" customFormat="false" ht="15" hidden="false" customHeight="false" outlineLevel="0" collapsed="false">
      <c r="A169" s="0" t="n">
        <v>1.90941664047013</v>
      </c>
      <c r="B169" s="0" t="n">
        <v>-1.39856757381914</v>
      </c>
      <c r="C169" s="0" t="n">
        <v>0.562969236690571</v>
      </c>
    </row>
    <row r="170" customFormat="false" ht="15" hidden="false" customHeight="false" outlineLevel="0" collapsed="false">
      <c r="A170" s="0" t="n">
        <v>-0.650642569121827</v>
      </c>
      <c r="B170" s="0" t="n">
        <v>-0.487125383764696</v>
      </c>
      <c r="C170" s="0" t="n">
        <v>-0.592393924238869</v>
      </c>
    </row>
    <row r="171" customFormat="false" ht="15" hidden="false" customHeight="false" outlineLevel="0" collapsed="false">
      <c r="A171" s="0" t="n">
        <v>-0.863990769679816</v>
      </c>
      <c r="B171" s="0" t="n">
        <v>0.048521627944827</v>
      </c>
      <c r="C171" s="0" t="n">
        <v>-0.830950116411038</v>
      </c>
    </row>
    <row r="172" customFormat="false" ht="15" hidden="false" customHeight="false" outlineLevel="0" collapsed="false">
      <c r="A172" s="0" t="n">
        <v>0.270456825779839</v>
      </c>
      <c r="B172" s="0" t="n">
        <v>-0.050238109449137</v>
      </c>
      <c r="C172" s="0" t="n">
        <v>-0.23894804686641</v>
      </c>
    </row>
    <row r="173" customFormat="false" ht="15" hidden="false" customHeight="false" outlineLevel="0" collapsed="false">
      <c r="A173" s="0" t="n">
        <v>-0.907563662041598</v>
      </c>
      <c r="B173" s="0" t="n">
        <v>-0.576771330568333</v>
      </c>
      <c r="C173" s="0" t="n">
        <v>0.755391225825756</v>
      </c>
    </row>
    <row r="174" customFormat="false" ht="15" hidden="false" customHeight="false" outlineLevel="0" collapsed="false">
      <c r="A174" s="0" t="n">
        <v>0.500917187624381</v>
      </c>
      <c r="B174" s="0" t="n">
        <v>-0.977555244798551</v>
      </c>
      <c r="C174" s="0" t="n">
        <v>0.0993323054292259</v>
      </c>
    </row>
    <row r="175" customFormat="false" ht="15" hidden="false" customHeight="false" outlineLevel="0" collapsed="false">
      <c r="A175" s="0" t="n">
        <v>0.751387123371789</v>
      </c>
      <c r="B175" s="0" t="n">
        <v>-1.66940528112137</v>
      </c>
      <c r="C175" s="0" t="n">
        <v>0.543360192379935</v>
      </c>
    </row>
    <row r="176" customFormat="false" ht="15" hidden="false" customHeight="false" outlineLevel="0" collapsed="false">
      <c r="A176" s="0" t="n">
        <v>-0.662623758945847</v>
      </c>
      <c r="B176" s="0" t="n">
        <v>0.570598668593159</v>
      </c>
      <c r="C176" s="0" t="n">
        <v>-0.763259156542517</v>
      </c>
    </row>
    <row r="177" customFormat="false" ht="15" hidden="false" customHeight="false" outlineLevel="0" collapsed="false">
      <c r="A177" s="0" t="n">
        <v>-1.80488210066452</v>
      </c>
      <c r="B177" s="0" t="n">
        <v>-1.62754243788316</v>
      </c>
      <c r="C177" s="0" t="n">
        <v>0.048084946661382</v>
      </c>
    </row>
    <row r="178" customFormat="false" ht="15" hidden="false" customHeight="false" outlineLevel="0" collapsed="false">
      <c r="A178" s="0" t="n">
        <v>0.259722501721482</v>
      </c>
      <c r="B178" s="0" t="n">
        <v>-0.904316625104409</v>
      </c>
      <c r="C178" s="0" t="n">
        <v>0.638592458777374</v>
      </c>
    </row>
    <row r="179" customFormat="false" ht="15" hidden="false" customHeight="false" outlineLevel="0" collapsed="false">
      <c r="A179" s="0" t="n">
        <v>-1.66152006226896</v>
      </c>
      <c r="B179" s="0" t="n">
        <v>-0.0660797986473166</v>
      </c>
      <c r="C179" s="0" t="n">
        <v>-1.21101619976246</v>
      </c>
    </row>
    <row r="180" customFormat="false" ht="15" hidden="false" customHeight="false" outlineLevel="0" collapsed="false">
      <c r="A180" s="0" t="n">
        <v>-0.651836107802159</v>
      </c>
      <c r="B180" s="0" t="n">
        <v>0.047398671316414</v>
      </c>
      <c r="C180" s="0" t="n">
        <v>-0.860413365283952</v>
      </c>
    </row>
    <row r="181" customFormat="false" ht="15" hidden="false" customHeight="false" outlineLevel="0" collapsed="false">
      <c r="A181" s="0" t="n">
        <v>-0.384555544229825</v>
      </c>
      <c r="B181" s="0" t="n">
        <v>1.00629280921444</v>
      </c>
      <c r="C181" s="0" t="n">
        <v>-0.576891869523149</v>
      </c>
    </row>
    <row r="182" customFormat="false" ht="15" hidden="false" customHeight="false" outlineLevel="0" collapsed="false">
      <c r="A182" s="0" t="n">
        <v>0.835692112065142</v>
      </c>
      <c r="B182" s="0" t="n">
        <v>-1.12970685465762</v>
      </c>
      <c r="C182" s="0" t="n">
        <v>0.529804177915283</v>
      </c>
    </row>
    <row r="183" customFormat="false" ht="15" hidden="false" customHeight="false" outlineLevel="0" collapsed="false">
      <c r="A183" s="0" t="n">
        <v>1.4415686206579</v>
      </c>
      <c r="B183" s="0" t="n">
        <v>-2.47164450012729</v>
      </c>
      <c r="C183" s="0" t="n">
        <v>-0.796895255470477</v>
      </c>
    </row>
    <row r="184" customFormat="false" ht="15" hidden="false" customHeight="false" outlineLevel="0" collapsed="false">
      <c r="A184" s="0" t="n">
        <v>0.57707212718054</v>
      </c>
      <c r="B184" s="0" t="n">
        <v>-0.203045386042993</v>
      </c>
      <c r="C184" s="0" t="n">
        <v>0.371145873371309</v>
      </c>
    </row>
    <row r="185" customFormat="false" ht="15" hidden="false" customHeight="false" outlineLevel="0" collapsed="false">
      <c r="A185" s="0" t="n">
        <v>-0.603985186715821</v>
      </c>
      <c r="B185" s="0" t="n">
        <v>0.0865897874728999</v>
      </c>
      <c r="C185" s="0" t="n">
        <v>-0.15567723539208</v>
      </c>
    </row>
    <row r="186" customFormat="false" ht="15" hidden="false" customHeight="false" outlineLevel="0" collapsed="false">
      <c r="A186" s="0" t="n">
        <v>1.16778206165981</v>
      </c>
      <c r="B186" s="0" t="n">
        <v>0.254420843301213</v>
      </c>
      <c r="C186" s="0" t="n">
        <v>0.337602662075202</v>
      </c>
    </row>
    <row r="187" customFormat="false" ht="15" hidden="false" customHeight="false" outlineLevel="0" collapsed="false">
      <c r="A187" s="0" t="n">
        <v>-0.411876966122467</v>
      </c>
      <c r="B187" s="0" t="n">
        <v>-0.487606224072494</v>
      </c>
      <c r="C187" s="0" t="n">
        <v>-0.432558187819621</v>
      </c>
    </row>
    <row r="188" customFormat="false" ht="15" hidden="false" customHeight="false" outlineLevel="0" collapsed="false">
      <c r="A188" s="0" t="n">
        <v>0.394452142378297</v>
      </c>
      <c r="B188" s="0" t="n">
        <v>-0.420984480820263</v>
      </c>
      <c r="C188" s="0" t="n">
        <v>0.289774856896413</v>
      </c>
    </row>
    <row r="189" customFormat="false" ht="15" hidden="false" customHeight="false" outlineLevel="0" collapsed="false">
      <c r="A189" s="0" t="n">
        <v>2.07540079864544</v>
      </c>
      <c r="B189" s="0" t="n">
        <v>0.871124703431692</v>
      </c>
      <c r="C189" s="0" t="n">
        <v>-0.326023532167841</v>
      </c>
    </row>
    <row r="190" customFormat="false" ht="15" hidden="false" customHeight="false" outlineLevel="0" collapsed="false">
      <c r="A190" s="0" t="n">
        <v>1.20121392216395</v>
      </c>
      <c r="B190" s="0" t="n">
        <v>-0.408075373021551</v>
      </c>
      <c r="C190" s="0" t="n">
        <v>-2.03812453517785</v>
      </c>
    </row>
    <row r="191" customFormat="false" ht="15" hidden="false" customHeight="false" outlineLevel="0" collapsed="false">
      <c r="A191" s="0" t="n">
        <v>-1.0080863109174</v>
      </c>
      <c r="B191" s="0" t="n">
        <v>-1.87079192102586</v>
      </c>
      <c r="C191" s="0" t="n">
        <v>-0.351513484041309</v>
      </c>
    </row>
    <row r="192" customFormat="false" ht="15" hidden="false" customHeight="false" outlineLevel="0" collapsed="false">
      <c r="A192" s="0" t="n">
        <v>0.0184183791895517</v>
      </c>
      <c r="B192" s="0" t="n">
        <v>1.67643731227528</v>
      </c>
      <c r="C192" s="0" t="n">
        <v>0.326927373764163</v>
      </c>
    </row>
    <row r="193" customFormat="false" ht="15" hidden="false" customHeight="false" outlineLevel="0" collapsed="false">
      <c r="A193" s="0" t="n">
        <v>-0.219100528808864</v>
      </c>
      <c r="B193" s="0" t="n">
        <v>0.829405581183489</v>
      </c>
      <c r="C193" s="0" t="n">
        <v>-2.21113530900789</v>
      </c>
    </row>
    <row r="194" customFormat="false" ht="15" hidden="false" customHeight="false" outlineLevel="0" collapsed="false">
      <c r="A194" s="0" t="n">
        <v>0.235614558108566</v>
      </c>
      <c r="B194" s="0" t="n">
        <v>0.770865193886967</v>
      </c>
      <c r="C194" s="0" t="n">
        <v>-1.47858624577984</v>
      </c>
    </row>
    <row r="195" customFormat="false" ht="15" hidden="false" customHeight="false" outlineLevel="0" collapsed="false">
      <c r="A195" s="0" t="n">
        <v>1.14375404320693</v>
      </c>
      <c r="B195" s="0" t="n">
        <v>0.338496407494414</v>
      </c>
      <c r="C195" s="0" t="n">
        <v>-0.415287913900801</v>
      </c>
    </row>
    <row r="196" customFormat="false" ht="15" hidden="false" customHeight="false" outlineLevel="0" collapsed="false">
      <c r="A196" s="0" t="n">
        <v>0.632781866106285</v>
      </c>
      <c r="B196" s="0" t="n">
        <v>2.2706928578044</v>
      </c>
      <c r="C196" s="0" t="n">
        <v>0.181866255058495</v>
      </c>
    </row>
    <row r="197" customFormat="false" ht="15" hidden="false" customHeight="false" outlineLevel="0" collapsed="false">
      <c r="A197" s="0" t="n">
        <v>0.248220586300336</v>
      </c>
      <c r="B197" s="0" t="n">
        <v>-0.459360899540244</v>
      </c>
      <c r="C197" s="0" t="n">
        <v>-0.849844369464792</v>
      </c>
    </row>
    <row r="198" customFormat="false" ht="15" hidden="false" customHeight="false" outlineLevel="0" collapsed="false">
      <c r="A198" s="0" t="n">
        <v>0.830335816544246</v>
      </c>
      <c r="B198" s="0" t="n">
        <v>-0.856083825908867</v>
      </c>
      <c r="C198" s="0" t="n">
        <v>0.0715662372193925</v>
      </c>
    </row>
    <row r="199" customFormat="false" ht="15" hidden="false" customHeight="false" outlineLevel="0" collapsed="false">
      <c r="A199" s="0" t="n">
        <v>-0.477657446765117</v>
      </c>
      <c r="B199" s="0" t="n">
        <v>0.478979825746392</v>
      </c>
      <c r="C199" s="0" t="n">
        <v>0.333662105286948</v>
      </c>
    </row>
    <row r="200" customFormat="false" ht="15" hidden="false" customHeight="false" outlineLevel="0" collapsed="false">
      <c r="A200" s="0" t="n">
        <v>1.0375399442579</v>
      </c>
      <c r="B200" s="0" t="n">
        <v>-0.510016398854747</v>
      </c>
      <c r="C200" s="0" t="n">
        <v>-0.269874935293371</v>
      </c>
    </row>
    <row r="201" customFormat="false" ht="15" hidden="false" customHeight="false" outlineLevel="0" collapsed="false">
      <c r="A201" s="0" t="n">
        <v>-0.978763715782307</v>
      </c>
      <c r="B201" s="0" t="n">
        <v>-0.444293260076112</v>
      </c>
      <c r="C201" s="0" t="n">
        <v>0.377300493044852</v>
      </c>
    </row>
    <row r="202" customFormat="false" ht="15" hidden="false" customHeight="false" outlineLevel="0" collapsed="false">
      <c r="A202" s="0" t="n">
        <v>0.756988616645352</v>
      </c>
      <c r="B202" s="0" t="n">
        <v>-0.922165324177625</v>
      </c>
      <c r="C202" s="0" t="n">
        <v>0.86960592010566</v>
      </c>
    </row>
    <row r="203" customFormat="false" ht="15" hidden="false" customHeight="false" outlineLevel="0" collapsed="false">
      <c r="A203" s="0" t="n">
        <v>1.35563785880495</v>
      </c>
      <c r="B203" s="0" t="n">
        <v>0.413434903223701</v>
      </c>
      <c r="C203" s="0" t="n">
        <v>1.87679581255807</v>
      </c>
    </row>
    <row r="204" customFormat="false" ht="15" hidden="false" customHeight="false" outlineLevel="0" collapsed="false">
      <c r="A204" s="0" t="n">
        <v>-0.773789199103573</v>
      </c>
      <c r="B204" s="0" t="n">
        <v>-1.24465470331142</v>
      </c>
      <c r="C204" s="0" t="n">
        <v>-1.77872024890428</v>
      </c>
    </row>
    <row r="205" customFormat="false" ht="15" hidden="false" customHeight="false" outlineLevel="0" collapsed="false">
      <c r="A205" s="0" t="n">
        <v>1.49604431148918</v>
      </c>
      <c r="B205" s="0" t="n">
        <v>0.654365656354058</v>
      </c>
      <c r="C205" s="0" t="n">
        <v>-0.0555846709104551</v>
      </c>
    </row>
    <row r="206" customFormat="false" ht="15" hidden="false" customHeight="false" outlineLevel="0" collapsed="false">
      <c r="A206" s="0" t="n">
        <v>0.27996862631982</v>
      </c>
      <c r="B206" s="0" t="n">
        <v>-1.12548904729838</v>
      </c>
      <c r="C206" s="0" t="n">
        <v>2.44575197961683</v>
      </c>
    </row>
    <row r="207" customFormat="false" ht="15" hidden="false" customHeight="false" outlineLevel="0" collapsed="false">
      <c r="A207" s="0" t="n">
        <v>0.129221181975228</v>
      </c>
      <c r="B207" s="0" t="n">
        <v>0.109394794604893</v>
      </c>
      <c r="C207" s="0" t="n">
        <v>0.725766623898692</v>
      </c>
    </row>
    <row r="208" customFormat="false" ht="15" hidden="false" customHeight="false" outlineLevel="0" collapsed="false">
      <c r="A208" s="0" t="n">
        <v>0.481009231736713</v>
      </c>
      <c r="B208" s="0" t="n">
        <v>0.223884024279131</v>
      </c>
      <c r="C208" s="0" t="n">
        <v>-0.790474455445312</v>
      </c>
    </row>
    <row r="209" customFormat="false" ht="15" hidden="false" customHeight="false" outlineLevel="0" collapsed="false">
      <c r="A209" s="0" t="n">
        <v>0.471468357135996</v>
      </c>
      <c r="B209" s="0" t="n">
        <v>1.88202449647503</v>
      </c>
      <c r="C209" s="0" t="n">
        <v>1.34542004615498</v>
      </c>
    </row>
    <row r="210" customFormat="false" ht="15" hidden="false" customHeight="false" outlineLevel="0" collapsed="false">
      <c r="A210" s="0" t="n">
        <v>1.5931866266394</v>
      </c>
      <c r="B210" s="0" t="n">
        <v>-0.511215676431185</v>
      </c>
      <c r="C210" s="0" t="n">
        <v>-0.989604820258581</v>
      </c>
    </row>
    <row r="211" customFormat="false" ht="15" hidden="false" customHeight="false" outlineLevel="0" collapsed="false">
      <c r="A211" s="0" t="n">
        <v>-0.125786920099648</v>
      </c>
      <c r="B211" s="0" t="n">
        <v>0.0557249122886946</v>
      </c>
      <c r="C211" s="0" t="n">
        <v>1.09419151847095</v>
      </c>
    </row>
    <row r="212" customFormat="false" ht="15" hidden="false" customHeight="false" outlineLevel="0" collapsed="false">
      <c r="A212" s="0" t="n">
        <v>-1.69246462971482</v>
      </c>
      <c r="B212" s="0" t="n">
        <v>1.52955031946061</v>
      </c>
      <c r="C212" s="0" t="n">
        <v>-0.158007898578989</v>
      </c>
    </row>
    <row r="213" customFormat="false" ht="15" hidden="false" customHeight="false" outlineLevel="0" collapsed="false">
      <c r="A213" s="0" t="n">
        <v>-0.42688106994742</v>
      </c>
      <c r="B213" s="0" t="n">
        <v>-1.01210437526017</v>
      </c>
      <c r="C213" s="0" t="n">
        <v>-1.65485667186577</v>
      </c>
    </row>
    <row r="214" customFormat="false" ht="15" hidden="false" customHeight="false" outlineLevel="0" collapsed="false">
      <c r="A214" s="0" t="n">
        <v>0.823170583961915</v>
      </c>
      <c r="B214" s="0" t="n">
        <v>0.0733179671884039</v>
      </c>
      <c r="C214" s="0" t="n">
        <v>-1.28996089974105</v>
      </c>
    </row>
    <row r="215" customFormat="false" ht="15" hidden="false" customHeight="false" outlineLevel="0" collapsed="false">
      <c r="A215" s="0" t="n">
        <v>-1.29507877206362</v>
      </c>
      <c r="B215" s="0" t="n">
        <v>-0.335784699290128</v>
      </c>
      <c r="C215" s="0" t="n">
        <v>1.66902152528939</v>
      </c>
    </row>
    <row r="216" customFormat="false" ht="15" hidden="false" customHeight="false" outlineLevel="0" collapsed="false">
      <c r="A216" s="0" t="n">
        <v>-0.259591351363605</v>
      </c>
      <c r="B216" s="0" t="n">
        <v>-1.50314295311811</v>
      </c>
      <c r="C216" s="0" t="n">
        <v>-0.245743064085944</v>
      </c>
    </row>
    <row r="217" customFormat="false" ht="15" hidden="false" customHeight="false" outlineLevel="0" collapsed="false">
      <c r="A217" s="0" t="n">
        <v>-0.272723569747671</v>
      </c>
      <c r="B217" s="0" t="n">
        <v>-2.69688664294157</v>
      </c>
      <c r="C217" s="0" t="n">
        <v>-0.0542948665178122</v>
      </c>
    </row>
    <row r="218" customFormat="false" ht="15" hidden="false" customHeight="false" outlineLevel="0" collapsed="false">
      <c r="A218" s="0" t="n">
        <v>-0.230934530208678</v>
      </c>
      <c r="B218" s="0" t="n">
        <v>0.696206364813418</v>
      </c>
      <c r="C218" s="0" t="n">
        <v>1.84895609494535</v>
      </c>
    </row>
    <row r="219" customFormat="false" ht="15" hidden="false" customHeight="false" outlineLevel="0" collapsed="false">
      <c r="A219" s="0" t="n">
        <v>1.12656502954776</v>
      </c>
      <c r="B219" s="0" t="n">
        <v>-0.268888690554831</v>
      </c>
      <c r="C219" s="0" t="n">
        <v>-1.10652590874167</v>
      </c>
    </row>
    <row r="220" customFormat="false" ht="15" hidden="false" customHeight="false" outlineLevel="0" collapsed="false">
      <c r="A220" s="0" t="n">
        <v>2.57335980324986</v>
      </c>
      <c r="B220" s="0" t="n">
        <v>0.0592184340144883</v>
      </c>
      <c r="C220" s="0" t="n">
        <v>0.0139292919129462</v>
      </c>
    </row>
    <row r="221" customFormat="false" ht="15" hidden="false" customHeight="false" outlineLevel="0" collapsed="false">
      <c r="A221" s="0" t="n">
        <v>-0.0241250871100033</v>
      </c>
      <c r="B221" s="0" t="n">
        <v>0.198084760767855</v>
      </c>
      <c r="C221" s="0" t="n">
        <v>-0.144360411923943</v>
      </c>
    </row>
    <row r="222" customFormat="false" ht="15" hidden="false" customHeight="false" outlineLevel="0" collapsed="false">
      <c r="A222" s="0" t="n">
        <v>-0.573662006880236</v>
      </c>
      <c r="B222" s="0" t="n">
        <v>-0.546858941240392</v>
      </c>
      <c r="C222" s="0" t="n">
        <v>-0.0327532702159984</v>
      </c>
    </row>
    <row r="223" customFormat="false" ht="15" hidden="false" customHeight="false" outlineLevel="0" collapsed="false">
      <c r="A223" s="0" t="n">
        <v>-0.543424771133765</v>
      </c>
      <c r="B223" s="0" t="n">
        <v>-0.712845782677164</v>
      </c>
      <c r="C223" s="0" t="n">
        <v>0.106430227691897</v>
      </c>
    </row>
    <row r="224" customFormat="false" ht="15" hidden="false" customHeight="false" outlineLevel="0" collapsed="false">
      <c r="A224" s="0" t="n">
        <v>-0.254977217420855</v>
      </c>
      <c r="B224" s="0" t="n">
        <v>1.50399298858269</v>
      </c>
      <c r="C224" s="0" t="n">
        <v>-2.65096980839301</v>
      </c>
    </row>
    <row r="225" customFormat="false" ht="15" hidden="false" customHeight="false" outlineLevel="0" collapsed="false">
      <c r="A225" s="0" t="n">
        <v>1.09150685192246</v>
      </c>
      <c r="B225" s="0" t="n">
        <v>1.24608519249763</v>
      </c>
      <c r="C225" s="0" t="n">
        <v>-2.07339023240815</v>
      </c>
    </row>
    <row r="226" customFormat="false" ht="15" hidden="false" customHeight="false" outlineLevel="0" collapsed="false">
      <c r="A226" s="0" t="n">
        <v>-0.342687594080349</v>
      </c>
      <c r="B226" s="0" t="n">
        <v>-0.371440865995792</v>
      </c>
      <c r="C226" s="0" t="n">
        <v>-1.40751169471782</v>
      </c>
    </row>
    <row r="227" customFormat="false" ht="15" hidden="false" customHeight="false" outlineLevel="0" collapsed="false">
      <c r="A227" s="0" t="n">
        <v>-0.777816687590875</v>
      </c>
      <c r="B227" s="0" t="n">
        <v>-1.11057584546583</v>
      </c>
      <c r="C227" s="0" t="n">
        <v>1.75227044342362</v>
      </c>
    </row>
    <row r="228" customFormat="false" ht="15" hidden="false" customHeight="false" outlineLevel="0" collapsed="false">
      <c r="A228" s="0" t="n">
        <v>0.935678393147461</v>
      </c>
      <c r="B228" s="0" t="n">
        <v>1.27155509499416</v>
      </c>
      <c r="C228" s="0" t="n">
        <v>0.721672064043235</v>
      </c>
    </row>
    <row r="229" customFormat="false" ht="15" hidden="false" customHeight="false" outlineLevel="0" collapsed="false">
      <c r="A229" s="0" t="n">
        <v>-1.12905177121723</v>
      </c>
      <c r="B229" s="0" t="n">
        <v>-0.524520266279774</v>
      </c>
      <c r="C229" s="0" t="n">
        <v>0.489374561227918</v>
      </c>
    </row>
    <row r="230" customFormat="false" ht="15" hidden="false" customHeight="false" outlineLevel="0" collapsed="false">
      <c r="A230" s="0" t="n">
        <v>-1.22212780889195</v>
      </c>
      <c r="B230" s="0" t="n">
        <v>0.712998430172388</v>
      </c>
      <c r="C230" s="0" t="n">
        <v>-0.240325398158135</v>
      </c>
    </row>
    <row r="231" customFormat="false" ht="15" hidden="false" customHeight="false" outlineLevel="0" collapsed="false">
      <c r="A231" s="0" t="n">
        <v>-0.374820807549598</v>
      </c>
      <c r="B231" s="0" t="n">
        <v>0.710959968203492</v>
      </c>
      <c r="C231" s="0" t="n">
        <v>0.44426331148604</v>
      </c>
    </row>
    <row r="232" customFormat="false" ht="15" hidden="false" customHeight="false" outlineLevel="0" collapsed="false">
      <c r="A232" s="0" t="n">
        <v>-0.36096616581908</v>
      </c>
      <c r="B232" s="0" t="n">
        <v>1.15932980336425</v>
      </c>
      <c r="C232" s="0" t="n">
        <v>-1.0810633275999</v>
      </c>
    </row>
    <row r="233" customFormat="false" ht="15" hidden="false" customHeight="false" outlineLevel="0" collapsed="false">
      <c r="A233" s="0" t="n">
        <v>0.615935606944264</v>
      </c>
      <c r="B233" s="0" t="n">
        <v>0.593101257968384</v>
      </c>
      <c r="C233" s="0" t="n">
        <v>-0.30954643931399</v>
      </c>
    </row>
    <row r="234" customFormat="false" ht="15" hidden="false" customHeight="false" outlineLevel="0" collapsed="false">
      <c r="A234" s="0" t="n">
        <v>0.326133022242118</v>
      </c>
      <c r="B234" s="0" t="n">
        <v>-1.2511135763853</v>
      </c>
      <c r="C234" s="0" t="n">
        <v>0.924027019206901</v>
      </c>
    </row>
    <row r="235" customFormat="false" ht="15" hidden="false" customHeight="false" outlineLevel="0" collapsed="false">
      <c r="A235" s="0" t="n">
        <v>-0.184902136442989</v>
      </c>
      <c r="B235" s="0" t="n">
        <v>-0.52272302051904</v>
      </c>
      <c r="C235" s="0" t="n">
        <v>1.04900922583689</v>
      </c>
    </row>
    <row r="236" customFormat="false" ht="15" hidden="false" customHeight="false" outlineLevel="0" collapsed="false">
      <c r="A236" s="0" t="n">
        <v>-0.704343690542759</v>
      </c>
      <c r="B236" s="0" t="n">
        <v>-1.40846129636356</v>
      </c>
      <c r="C236" s="0" t="n">
        <v>-1.5566291735239</v>
      </c>
    </row>
    <row r="237" customFormat="false" ht="15" hidden="false" customHeight="false" outlineLevel="0" collapsed="false">
      <c r="A237" s="0" t="n">
        <v>0.60600995134564</v>
      </c>
      <c r="B237" s="0" t="n">
        <v>-1.28042935249628</v>
      </c>
      <c r="C237" s="0" t="n">
        <v>1.75479418198437</v>
      </c>
    </row>
    <row r="238" customFormat="false" ht="15" hidden="false" customHeight="false" outlineLevel="0" collapsed="false">
      <c r="A238" s="0" t="n">
        <v>-2.08192940788372</v>
      </c>
      <c r="B238" s="0" t="n">
        <v>1.69645636829004</v>
      </c>
      <c r="C238" s="0" t="n">
        <v>0.211017467202618</v>
      </c>
    </row>
    <row r="239" customFormat="false" ht="15" hidden="false" customHeight="false" outlineLevel="0" collapsed="false">
      <c r="A239" s="0" t="n">
        <v>-0.0967131118703924</v>
      </c>
      <c r="B239" s="0" t="n">
        <v>-0.54491908680895</v>
      </c>
      <c r="C239" s="0" t="n">
        <v>0.399136114352071</v>
      </c>
    </row>
    <row r="240" customFormat="false" ht="15" hidden="false" customHeight="false" outlineLevel="0" collapsed="false">
      <c r="A240" s="0" t="n">
        <v>-0.0376347024248484</v>
      </c>
      <c r="B240" s="0" t="n">
        <v>1.10330188201652</v>
      </c>
      <c r="C240" s="0" t="n">
        <v>0.11422764866204</v>
      </c>
    </row>
    <row r="241" customFormat="false" ht="15" hidden="false" customHeight="false" outlineLevel="0" collapsed="false">
      <c r="A241" s="0" t="n">
        <v>0.150301761461878</v>
      </c>
      <c r="B241" s="0" t="n">
        <v>-0.363612212213856</v>
      </c>
      <c r="C241" s="0" t="n">
        <v>-0.0569456237210675</v>
      </c>
    </row>
    <row r="242" customFormat="false" ht="15" hidden="false" customHeight="false" outlineLevel="0" collapsed="false">
      <c r="A242" s="0" t="n">
        <v>0.307801768892059</v>
      </c>
      <c r="B242" s="0" t="n">
        <v>-1.71016839265663</v>
      </c>
      <c r="C242" s="0" t="n">
        <v>-1.34818542210571</v>
      </c>
    </row>
    <row r="243" customFormat="false" ht="15" hidden="false" customHeight="false" outlineLevel="0" collapsed="false">
      <c r="A243" s="0" t="n">
        <v>0.743264094022715</v>
      </c>
      <c r="B243" s="0" t="n">
        <v>0.170865438127942</v>
      </c>
      <c r="C243" s="0" t="n">
        <v>-0.183983336352679</v>
      </c>
    </row>
    <row r="244" customFormat="false" ht="15" hidden="false" customHeight="false" outlineLevel="0" collapsed="false">
      <c r="A244" s="0" t="n">
        <v>0.0184339330653932</v>
      </c>
      <c r="B244" s="0" t="n">
        <v>0.347581705361671</v>
      </c>
      <c r="C244" s="0" t="n">
        <v>-0.539759680309362</v>
      </c>
    </row>
    <row r="245" customFormat="false" ht="15" hidden="false" customHeight="false" outlineLevel="0" collapsed="false">
      <c r="A245" s="0" t="n">
        <v>-0.778304725402313</v>
      </c>
      <c r="B245" s="0" t="n">
        <v>0.195845255097682</v>
      </c>
      <c r="C245" s="0" t="n">
        <v>-0.978372777615032</v>
      </c>
    </row>
    <row r="246" customFormat="false" ht="15" hidden="false" customHeight="false" outlineLevel="0" collapsed="false">
      <c r="A246" s="0" t="n">
        <v>0.408252755714472</v>
      </c>
      <c r="B246" s="0" t="n">
        <v>-1.70258360423784</v>
      </c>
      <c r="C246" s="0" t="n">
        <v>1.02915563732564</v>
      </c>
    </row>
    <row r="247" customFormat="false" ht="15" hidden="false" customHeight="false" outlineLevel="0" collapsed="false">
      <c r="A247" s="0" t="n">
        <v>0.472597482413043</v>
      </c>
      <c r="B247" s="0" t="n">
        <v>0.256029734313876</v>
      </c>
      <c r="C247" s="0" t="n">
        <v>0.982690983945514</v>
      </c>
    </row>
    <row r="248" customFormat="false" ht="15" hidden="false" customHeight="false" outlineLevel="0" collapsed="false">
      <c r="A248" s="0" t="n">
        <v>1.66547444446258</v>
      </c>
      <c r="B248" s="0" t="n">
        <v>1.01437006501813</v>
      </c>
      <c r="C248" s="0" t="n">
        <v>-1.84087423133165</v>
      </c>
    </row>
    <row r="249" customFormat="false" ht="15" hidden="false" customHeight="false" outlineLevel="0" collapsed="false">
      <c r="A249" s="0" t="n">
        <v>-1.2795769667357</v>
      </c>
      <c r="B249" s="0" t="n">
        <v>-0.624818577695679</v>
      </c>
      <c r="C249" s="0" t="n">
        <v>0.0260910502108338</v>
      </c>
    </row>
    <row r="250" customFormat="false" ht="15" hidden="false" customHeight="false" outlineLevel="0" collapsed="false">
      <c r="A250" s="0" t="n">
        <v>0.517659020469123</v>
      </c>
      <c r="B250" s="0" t="n">
        <v>-0.725743813153466</v>
      </c>
      <c r="C250" s="0" t="n">
        <v>0.186766764477078</v>
      </c>
    </row>
    <row r="251" customFormat="false" ht="15" hidden="false" customHeight="false" outlineLevel="0" collapsed="false">
      <c r="A251" s="0" t="n">
        <v>-0.755382932353323</v>
      </c>
      <c r="B251" s="0" t="n">
        <v>-0.611517802991948</v>
      </c>
      <c r="C251" s="0" t="n">
        <v>-1.40666109684822</v>
      </c>
    </row>
    <row r="252" customFormat="false" ht="15" hidden="false" customHeight="false" outlineLevel="0" collapsed="false">
      <c r="A252" s="0" t="n">
        <v>-0.923233246110904</v>
      </c>
      <c r="B252" s="0" t="n">
        <v>-1.35168460561633</v>
      </c>
      <c r="C252" s="0" t="n">
        <v>-0.975873252977333</v>
      </c>
    </row>
    <row r="253" customFormat="false" ht="15" hidden="false" customHeight="false" outlineLevel="0" collapsed="false">
      <c r="A253" s="0" t="n">
        <v>1.05364179660784</v>
      </c>
      <c r="B253" s="0" t="n">
        <v>-0.949398888831943</v>
      </c>
      <c r="C253" s="0" t="n">
        <v>2.63238206483739</v>
      </c>
    </row>
    <row r="254" customFormat="false" ht="15" hidden="false" customHeight="false" outlineLevel="0" collapsed="false">
      <c r="A254" s="0" t="n">
        <v>0.493317900880889</v>
      </c>
      <c r="B254" s="0" t="n">
        <v>0.184836123694874</v>
      </c>
      <c r="C254" s="0" t="n">
        <v>-0.858357780181214</v>
      </c>
    </row>
    <row r="255" customFormat="false" ht="15" hidden="false" customHeight="false" outlineLevel="0" collapsed="false">
      <c r="A255" s="0" t="n">
        <v>0.700309879408991</v>
      </c>
      <c r="B255" s="0" t="n">
        <v>-0.575637826237774</v>
      </c>
      <c r="C255" s="0" t="n">
        <v>0.122009814645361</v>
      </c>
    </row>
    <row r="256" customFormat="false" ht="15" hidden="false" customHeight="false" outlineLevel="0" collapsed="false">
      <c r="A256" s="0" t="n">
        <v>2.5600845382688</v>
      </c>
      <c r="B256" s="0" t="n">
        <v>-0.0960598997246499</v>
      </c>
      <c r="C256" s="0" t="n">
        <v>1.14927332628568</v>
      </c>
    </row>
    <row r="257" customFormat="false" ht="15" hidden="false" customHeight="false" outlineLevel="0" collapsed="false">
      <c r="A257" s="0" t="n">
        <v>-0.703176425125887</v>
      </c>
      <c r="B257" s="0" t="n">
        <v>-0.0349884904969617</v>
      </c>
      <c r="C257" s="0" t="n">
        <v>1.77080063563551</v>
      </c>
    </row>
    <row r="258" customFormat="false" ht="15" hidden="false" customHeight="false" outlineLevel="0" collapsed="false">
      <c r="A258" s="0" t="n">
        <v>-0.626967057787767</v>
      </c>
      <c r="B258" s="0" t="n">
        <v>1.81244855799693</v>
      </c>
      <c r="C258" s="0" t="n">
        <v>0.707751935455475</v>
      </c>
    </row>
    <row r="259" customFormat="false" ht="15" hidden="false" customHeight="false" outlineLevel="0" collapsed="false">
      <c r="A259" s="0" t="n">
        <v>-0.562466775894268</v>
      </c>
      <c r="B259" s="0" t="n">
        <v>0.632407739055521</v>
      </c>
      <c r="C259" s="0" t="n">
        <v>0.97255444962673</v>
      </c>
    </row>
    <row r="260" customFormat="false" ht="15" hidden="false" customHeight="false" outlineLevel="0" collapsed="false">
      <c r="A260" s="0" t="n">
        <v>0.621809962217196</v>
      </c>
      <c r="B260" s="0" t="n">
        <v>-1.57022471989046</v>
      </c>
      <c r="C260" s="0" t="n">
        <v>-0.727137175824869</v>
      </c>
    </row>
    <row r="261" customFormat="false" ht="15" hidden="false" customHeight="false" outlineLevel="0" collapsed="false">
      <c r="A261" s="0" t="n">
        <v>-0.247518635551505</v>
      </c>
      <c r="B261" s="0" t="n">
        <v>-0.0744334291000463</v>
      </c>
      <c r="C261" s="0" t="n">
        <v>0.620672097550678</v>
      </c>
    </row>
    <row r="262" customFormat="false" ht="15" hidden="false" customHeight="false" outlineLevel="0" collapsed="false">
      <c r="A262" s="0" t="n">
        <v>0.177701000933254</v>
      </c>
      <c r="B262" s="0" t="n">
        <v>-1.3353443587101</v>
      </c>
      <c r="C262" s="0" t="n">
        <v>0.380197851005963</v>
      </c>
    </row>
    <row r="263" customFormat="false" ht="15" hidden="false" customHeight="false" outlineLevel="0" collapsed="false">
      <c r="A263" s="0" t="n">
        <v>0.610585745283823</v>
      </c>
      <c r="B263" s="0" t="n">
        <v>0.55979044793104</v>
      </c>
      <c r="C263" s="0" t="n">
        <v>1.08078072555462</v>
      </c>
    </row>
    <row r="264" customFormat="false" ht="15" hidden="false" customHeight="false" outlineLevel="0" collapsed="false">
      <c r="A264" s="0" t="n">
        <v>0.833922154548904</v>
      </c>
      <c r="B264" s="0" t="n">
        <v>0.459180079228437</v>
      </c>
      <c r="C264" s="0" t="n">
        <v>-0.070165711458647</v>
      </c>
    </row>
    <row r="265" customFormat="false" ht="15" hidden="false" customHeight="false" outlineLevel="0" collapsed="false">
      <c r="A265" s="0" t="n">
        <v>-1.66096093351599</v>
      </c>
      <c r="B265" s="0" t="n">
        <v>0.429618219132586</v>
      </c>
      <c r="C265" s="0" t="n">
        <v>0.207687687163111</v>
      </c>
    </row>
    <row r="266" customFormat="false" ht="15" hidden="false" customHeight="false" outlineLevel="0" collapsed="false">
      <c r="A266" s="0" t="n">
        <v>0.271578837195374</v>
      </c>
      <c r="B266" s="0" t="n">
        <v>-1.27674857582031</v>
      </c>
      <c r="C266" s="0" t="n">
        <v>-1.08105654040826</v>
      </c>
    </row>
    <row r="267" customFormat="false" ht="15" hidden="false" customHeight="false" outlineLevel="0" collapsed="false">
      <c r="A267" s="0" t="n">
        <v>1.0531528533329</v>
      </c>
      <c r="B267" s="0" t="n">
        <v>-0.039555153856655</v>
      </c>
      <c r="C267" s="0" t="n">
        <v>0.681500697372624</v>
      </c>
    </row>
    <row r="268" customFormat="false" ht="15" hidden="false" customHeight="false" outlineLevel="0" collapsed="false">
      <c r="A268" s="0" t="n">
        <v>0.0283183761304612</v>
      </c>
      <c r="B268" s="0" t="n">
        <v>0.0297561394957452</v>
      </c>
      <c r="C268" s="0" t="n">
        <v>0.938283805975998</v>
      </c>
    </row>
    <row r="269" customFormat="false" ht="15" hidden="false" customHeight="false" outlineLevel="0" collapsed="false">
      <c r="A269" s="0" t="n">
        <v>-0.516044728217374</v>
      </c>
      <c r="B269" s="0" t="n">
        <v>0.0961207769409834</v>
      </c>
      <c r="C269" s="0" t="n">
        <v>-0.462275288705043</v>
      </c>
    </row>
    <row r="270" customFormat="false" ht="15" hidden="false" customHeight="false" outlineLevel="0" collapsed="false">
      <c r="A270" s="0" t="n">
        <v>-0.434496227432316</v>
      </c>
      <c r="B270" s="0" t="n">
        <v>-0.309172123468639</v>
      </c>
      <c r="C270" s="0" t="n">
        <v>0.222133771633713</v>
      </c>
    </row>
    <row r="271" customFormat="false" ht="15" hidden="false" customHeight="false" outlineLevel="0" collapsed="false">
      <c r="A271" s="0" t="n">
        <v>-0.478748621663477</v>
      </c>
      <c r="B271" s="0" t="n">
        <v>1.25575612557352</v>
      </c>
      <c r="C271" s="0" t="n">
        <v>-0.894607302219504</v>
      </c>
    </row>
    <row r="272" customFormat="false" ht="15" hidden="false" customHeight="false" outlineLevel="0" collapsed="false">
      <c r="A272" s="0" t="n">
        <v>-0.186871644161359</v>
      </c>
      <c r="B272" s="0" t="n">
        <v>-0.439731058274175</v>
      </c>
      <c r="C272" s="0" t="n">
        <v>1.44697788435373</v>
      </c>
    </row>
    <row r="273" customFormat="false" ht="15" hidden="false" customHeight="false" outlineLevel="0" collapsed="false">
      <c r="A273" s="0" t="n">
        <v>0.196554776511575</v>
      </c>
      <c r="B273" s="0" t="n">
        <v>1.03184453946864</v>
      </c>
      <c r="C273" s="0" t="n">
        <v>-1.48556037303697</v>
      </c>
    </row>
    <row r="274" customFormat="false" ht="15" hidden="false" customHeight="false" outlineLevel="0" collapsed="false">
      <c r="A274" s="0" t="n">
        <v>0.267050265869259</v>
      </c>
      <c r="B274" s="0" t="n">
        <v>0.889630795623437</v>
      </c>
      <c r="C274" s="0" t="n">
        <v>0.0822839892754242</v>
      </c>
    </row>
    <row r="275" customFormat="false" ht="15" hidden="false" customHeight="false" outlineLevel="0" collapsed="false">
      <c r="A275" s="0" t="n">
        <v>1.06548037506535</v>
      </c>
      <c r="B275" s="0" t="n">
        <v>-0.517288450100372</v>
      </c>
      <c r="C275" s="0" t="n">
        <v>1.40934744018558</v>
      </c>
    </row>
    <row r="276" customFormat="false" ht="15" hidden="false" customHeight="false" outlineLevel="0" collapsed="false">
      <c r="A276" s="0" t="n">
        <v>2.29889812361925</v>
      </c>
      <c r="B276" s="0" t="n">
        <v>-0.362838560439659</v>
      </c>
      <c r="C276" s="0" t="n">
        <v>-0.445502521400772</v>
      </c>
    </row>
    <row r="277" customFormat="false" ht="15" hidden="false" customHeight="false" outlineLevel="0" collapsed="false">
      <c r="A277" s="0" t="n">
        <v>1.4533844771177</v>
      </c>
      <c r="B277" s="0" t="n">
        <v>1.57957214573071</v>
      </c>
      <c r="C277" s="0" t="n">
        <v>-0.522860027153268</v>
      </c>
    </row>
    <row r="278" customFormat="false" ht="15" hidden="false" customHeight="false" outlineLevel="0" collapsed="false">
      <c r="A278" s="0" t="n">
        <v>-0.420186817095857</v>
      </c>
      <c r="B278" s="0" t="n">
        <v>-0.281784608860507</v>
      </c>
      <c r="C278" s="0" t="n">
        <v>-1.34445051103428</v>
      </c>
    </row>
    <row r="279" customFormat="false" ht="15" hidden="false" customHeight="false" outlineLevel="0" collapsed="false">
      <c r="A279" s="0" t="n">
        <v>-0.918651946484198</v>
      </c>
      <c r="B279" s="0" t="n">
        <v>-1.00414076675207</v>
      </c>
      <c r="C279" s="0" t="n">
        <v>-0.767797565104128</v>
      </c>
    </row>
    <row r="280" customFormat="false" ht="15" hidden="false" customHeight="false" outlineLevel="0" collapsed="false">
      <c r="A280" s="0" t="n">
        <v>-0.0346848873867812</v>
      </c>
      <c r="B280" s="0" t="n">
        <v>0.234214732536521</v>
      </c>
      <c r="C280" s="0" t="n">
        <v>1.55050049281408</v>
      </c>
    </row>
    <row r="281" customFormat="false" ht="15" hidden="false" customHeight="false" outlineLevel="0" collapsed="false">
      <c r="A281" s="0" t="n">
        <v>-0.998354040738791</v>
      </c>
      <c r="B281" s="0" t="n">
        <v>0.984322398476584</v>
      </c>
      <c r="C281" s="0" t="n">
        <v>-0.213988844225509</v>
      </c>
    </row>
    <row r="282" customFormat="false" ht="15" hidden="false" customHeight="false" outlineLevel="0" collapsed="false">
      <c r="A282" s="0" t="n">
        <v>-0.049463709652433</v>
      </c>
      <c r="B282" s="0" t="n">
        <v>0.674819492166604</v>
      </c>
      <c r="C282" s="0" t="n">
        <v>-1.1227220215623</v>
      </c>
    </row>
    <row r="283" customFormat="false" ht="15" hidden="false" customHeight="false" outlineLevel="0" collapsed="false">
      <c r="A283" s="0" t="n">
        <v>0.382409746184051</v>
      </c>
      <c r="B283" s="0" t="n">
        <v>0.166452208213056</v>
      </c>
      <c r="C283" s="0" t="n">
        <v>0.492451264008149</v>
      </c>
    </row>
    <row r="284" customFormat="false" ht="15" hidden="false" customHeight="false" outlineLevel="0" collapsed="false">
      <c r="A284" s="0" t="n">
        <v>0.289168643907818</v>
      </c>
      <c r="B284" s="0" t="n">
        <v>2.45530013991089</v>
      </c>
      <c r="C284" s="0" t="n">
        <v>-0.637739984251316</v>
      </c>
    </row>
    <row r="285" customFormat="false" ht="15" hidden="false" customHeight="false" outlineLevel="0" collapsed="false">
      <c r="A285" s="0" t="n">
        <v>-0.530996955001818</v>
      </c>
      <c r="B285" s="0" t="n">
        <v>-0.623140526424764</v>
      </c>
      <c r="C285" s="0" t="n">
        <v>-0.555477119160255</v>
      </c>
    </row>
    <row r="286" customFormat="false" ht="15" hidden="false" customHeight="false" outlineLevel="0" collapsed="false">
      <c r="A286" s="0" t="n">
        <v>-0.637387127306518</v>
      </c>
      <c r="B286" s="0" t="n">
        <v>1.18901653110755</v>
      </c>
      <c r="C286" s="0" t="n">
        <v>1.42050424798986</v>
      </c>
    </row>
    <row r="287" customFormat="false" ht="15" hidden="false" customHeight="false" outlineLevel="0" collapsed="false">
      <c r="A287" s="0" t="n">
        <v>-0.570746293749476</v>
      </c>
      <c r="B287" s="0" t="n">
        <v>-0.832355573104229</v>
      </c>
      <c r="C287" s="0" t="n">
        <v>0.471415556386404</v>
      </c>
    </row>
    <row r="288" customFormat="false" ht="15" hidden="false" customHeight="false" outlineLevel="0" collapsed="false">
      <c r="A288" s="0" t="n">
        <v>-0.552223044280971</v>
      </c>
      <c r="B288" s="0" t="n">
        <v>0.632931817755511</v>
      </c>
      <c r="C288" s="0" t="n">
        <v>0.2029230208513</v>
      </c>
    </row>
    <row r="289" customFormat="false" ht="15" hidden="false" customHeight="false" outlineLevel="0" collapsed="false">
      <c r="A289" s="0" t="n">
        <v>-1.51574411499723</v>
      </c>
      <c r="B289" s="0" t="n">
        <v>1.54750520133006</v>
      </c>
      <c r="C289" s="0" t="n">
        <v>1.79587767309552</v>
      </c>
    </row>
    <row r="290" customFormat="false" ht="15" hidden="false" customHeight="false" outlineLevel="0" collapsed="false">
      <c r="A290" s="0" t="n">
        <v>-0.612788690484386</v>
      </c>
      <c r="B290" s="0" t="n">
        <v>-0.387701559935984</v>
      </c>
      <c r="C290" s="0" t="n">
        <v>0.285865390724905</v>
      </c>
    </row>
    <row r="291" customFormat="false" ht="15" hidden="false" customHeight="false" outlineLevel="0" collapsed="false">
      <c r="A291" s="0" t="n">
        <v>0.334456789987025</v>
      </c>
      <c r="B291" s="0" t="n">
        <v>0.65854427267283</v>
      </c>
      <c r="C291" s="0" t="n">
        <v>2.01020453876635</v>
      </c>
    </row>
    <row r="292" customFormat="false" ht="15" hidden="false" customHeight="false" outlineLevel="0" collapsed="false">
      <c r="A292" s="0" t="n">
        <v>-0.176947227494049</v>
      </c>
      <c r="B292" s="0" t="n">
        <v>-0.798297244538454</v>
      </c>
      <c r="C292" s="0" t="n">
        <v>-1.37931922801453</v>
      </c>
    </row>
    <row r="293" customFormat="false" ht="15" hidden="false" customHeight="false" outlineLevel="0" collapsed="false">
      <c r="A293" s="0" t="n">
        <v>-0.730930039941919</v>
      </c>
      <c r="B293" s="0" t="n">
        <v>-0.0331269728737971</v>
      </c>
      <c r="C293" s="0" t="n">
        <v>1.79455786351779</v>
      </c>
    </row>
    <row r="294" customFormat="false" ht="15" hidden="false" customHeight="false" outlineLevel="0" collapsed="false">
      <c r="A294" s="0" t="n">
        <v>-0.517611299036171</v>
      </c>
      <c r="B294" s="0" t="n">
        <v>0.223787951638899</v>
      </c>
      <c r="C294" s="0" t="n">
        <v>-0.0164228960727521</v>
      </c>
    </row>
    <row r="295" customFormat="false" ht="15" hidden="false" customHeight="false" outlineLevel="0" collapsed="false">
      <c r="A295" s="0" t="n">
        <v>1.18839327344808</v>
      </c>
      <c r="B295" s="0" t="n">
        <v>2.52693242587362</v>
      </c>
      <c r="C295" s="0" t="n">
        <v>-0.530868772920321</v>
      </c>
    </row>
    <row r="296" customFormat="false" ht="15" hidden="false" customHeight="false" outlineLevel="0" collapsed="false">
      <c r="A296" s="0" t="n">
        <v>-0.489439442518222</v>
      </c>
      <c r="B296" s="0" t="n">
        <v>1.04416087706907</v>
      </c>
      <c r="C296" s="0" t="n">
        <v>0.681891489626311</v>
      </c>
    </row>
    <row r="297" customFormat="false" ht="15" hidden="false" customHeight="false" outlineLevel="0" collapsed="false">
      <c r="A297" s="0" t="n">
        <v>1.84670732573603</v>
      </c>
      <c r="B297" s="0" t="n">
        <v>0.583928185325964</v>
      </c>
      <c r="C297" s="0" t="n">
        <v>-0.35929209078706</v>
      </c>
    </row>
    <row r="298" customFormat="false" ht="15" hidden="false" customHeight="false" outlineLevel="0" collapsed="false">
      <c r="A298" s="0" t="n">
        <v>0.590654830692309</v>
      </c>
      <c r="B298" s="0" t="n">
        <v>1.10870358058291</v>
      </c>
      <c r="C298" s="0" t="n">
        <v>0.820482181197364</v>
      </c>
    </row>
    <row r="299" customFormat="false" ht="15" hidden="false" customHeight="false" outlineLevel="0" collapsed="false">
      <c r="A299" s="0" t="n">
        <v>0.507274031107298</v>
      </c>
      <c r="B299" s="0" t="n">
        <v>1.06667468958915</v>
      </c>
      <c r="C299" s="0" t="n">
        <v>1.16929559044567</v>
      </c>
    </row>
    <row r="300" customFormat="false" ht="15" hidden="false" customHeight="false" outlineLevel="0" collapsed="false">
      <c r="A300" s="0" t="n">
        <v>1.38215899103753</v>
      </c>
      <c r="B300" s="0" t="n">
        <v>0.648709887589643</v>
      </c>
      <c r="C300" s="0" t="n">
        <v>-0.167118080316854</v>
      </c>
    </row>
    <row r="301" customFormat="false" ht="15" hidden="false" customHeight="false" outlineLevel="0" collapsed="false">
      <c r="A301" s="0" t="n">
        <v>0.146713686433323</v>
      </c>
      <c r="B301" s="0" t="n">
        <v>1.20650896650836</v>
      </c>
      <c r="C301" s="0" t="n">
        <v>-0.816935670987236</v>
      </c>
    </row>
    <row r="302" customFormat="false" ht="15" hidden="false" customHeight="false" outlineLevel="0" collapsed="false">
      <c r="A302" s="0" t="n">
        <v>0.368673308872901</v>
      </c>
      <c r="B302" s="0" t="n">
        <v>-0.393338812327361</v>
      </c>
      <c r="C302" s="0" t="n">
        <v>0.0287448229348175</v>
      </c>
    </row>
    <row r="303" customFormat="false" ht="15" hidden="false" customHeight="false" outlineLevel="0" collapsed="false">
      <c r="A303" s="0" t="n">
        <v>1.2784518626073</v>
      </c>
      <c r="B303" s="0" t="n">
        <v>0.191099068019903</v>
      </c>
      <c r="C303" s="0" t="n">
        <v>0.0464365481561488</v>
      </c>
    </row>
    <row r="304" customFormat="false" ht="15" hidden="false" customHeight="false" outlineLevel="0" collapsed="false">
      <c r="A304" s="0" t="n">
        <v>-1.35985614097992</v>
      </c>
      <c r="B304" s="0" t="n">
        <v>0.746253566027221</v>
      </c>
      <c r="C304" s="0" t="n">
        <v>0.645484181141075</v>
      </c>
    </row>
    <row r="305" customFormat="false" ht="15" hidden="false" customHeight="false" outlineLevel="0" collapsed="false">
      <c r="A305" s="0" t="n">
        <v>2.16325472330546</v>
      </c>
      <c r="B305" s="0" t="n">
        <v>-0.307778234953001</v>
      </c>
      <c r="C305" s="0" t="n">
        <v>0.219150327663939</v>
      </c>
    </row>
    <row r="306" customFormat="false" ht="15" hidden="false" customHeight="false" outlineLevel="0" collapsed="false">
      <c r="A306" s="0" t="n">
        <v>0.249383683710755</v>
      </c>
      <c r="B306" s="0" t="n">
        <v>1.57745327976347</v>
      </c>
      <c r="C306" s="0" t="n">
        <v>-0.0952955323869521</v>
      </c>
    </row>
    <row r="307" customFormat="false" ht="15" hidden="false" customHeight="false" outlineLevel="0" collapsed="false">
      <c r="A307" s="0" t="n">
        <v>0.279021525770339</v>
      </c>
      <c r="B307" s="0" t="n">
        <v>0.607896509716539</v>
      </c>
      <c r="C307" s="0" t="n">
        <v>0.186609123156358</v>
      </c>
    </row>
    <row r="308" customFormat="false" ht="15" hidden="false" customHeight="false" outlineLevel="0" collapsed="false">
      <c r="A308" s="0" t="n">
        <v>-0.446433614550528</v>
      </c>
      <c r="B308" s="0" t="n">
        <v>0.194089992898308</v>
      </c>
      <c r="C308" s="0" t="n">
        <v>1.07363174985977</v>
      </c>
    </row>
    <row r="309" customFormat="false" ht="15" hidden="false" customHeight="false" outlineLevel="0" collapsed="false">
      <c r="A309" s="0" t="n">
        <v>-1.02651529941106</v>
      </c>
      <c r="B309" s="0" t="n">
        <v>0.132969674146876</v>
      </c>
      <c r="C309" s="0" t="n">
        <v>-0.700120814939173</v>
      </c>
    </row>
    <row r="310" customFormat="false" ht="15" hidden="false" customHeight="false" outlineLevel="0" collapsed="false">
      <c r="A310" s="0" t="n">
        <v>1.19504662892484</v>
      </c>
      <c r="B310" s="0" t="n">
        <v>-1.52318690478378</v>
      </c>
      <c r="C310" s="0" t="n">
        <v>-0.558921847271588</v>
      </c>
    </row>
    <row r="311" customFormat="false" ht="15" hidden="false" customHeight="false" outlineLevel="0" collapsed="false">
      <c r="A311" s="0" t="n">
        <v>0.377211875064521</v>
      </c>
      <c r="B311" s="0" t="n">
        <v>1.56552402923434</v>
      </c>
      <c r="C311" s="0" t="n">
        <v>-0.0657502610729878</v>
      </c>
    </row>
    <row r="312" customFormat="false" ht="15" hidden="false" customHeight="false" outlineLevel="0" collapsed="false">
      <c r="A312" s="0" t="n">
        <v>-0.555199526693198</v>
      </c>
      <c r="B312" s="0" t="n">
        <v>1.88115706944059</v>
      </c>
      <c r="C312" s="0" t="n">
        <v>-1.44801390041624</v>
      </c>
    </row>
    <row r="313" customFormat="false" ht="15" hidden="false" customHeight="false" outlineLevel="0" collapsed="false">
      <c r="A313" s="0" t="n">
        <v>-2.19880595662008</v>
      </c>
      <c r="B313" s="0" t="n">
        <v>0.440014450053332</v>
      </c>
      <c r="C313" s="0" t="n">
        <v>-0.502054224352611</v>
      </c>
    </row>
    <row r="314" customFormat="false" ht="15" hidden="false" customHeight="false" outlineLevel="0" collapsed="false">
      <c r="A314" s="0" t="n">
        <v>-1.02123281713071</v>
      </c>
      <c r="B314" s="0" t="n">
        <v>0.708356447299353</v>
      </c>
      <c r="C314" s="0" t="n">
        <v>0.243800713771199</v>
      </c>
    </row>
    <row r="315" customFormat="false" ht="15" hidden="false" customHeight="false" outlineLevel="0" collapsed="false">
      <c r="A315" s="0" t="n">
        <v>-0.564078630736728</v>
      </c>
      <c r="B315" s="0" t="n">
        <v>-1.28030439867089</v>
      </c>
      <c r="C315" s="0" t="n">
        <v>0.872457328280145</v>
      </c>
    </row>
    <row r="316" customFormat="false" ht="15" hidden="false" customHeight="false" outlineLevel="0" collapsed="false">
      <c r="A316" s="0" t="n">
        <v>0.650201177958661</v>
      </c>
      <c r="B316" s="0" t="n">
        <v>-0.0991758637793829</v>
      </c>
      <c r="C316" s="0" t="n">
        <v>1.84663699604767</v>
      </c>
    </row>
    <row r="317" customFormat="false" ht="15" hidden="false" customHeight="false" outlineLevel="0" collapsed="false">
      <c r="A317" s="0" t="n">
        <v>-1.07008476632615</v>
      </c>
      <c r="B317" s="0" t="n">
        <v>-1.52552517092474</v>
      </c>
      <c r="C317" s="0" t="n">
        <v>-0.691908069881244</v>
      </c>
    </row>
    <row r="318" customFormat="false" ht="15" hidden="false" customHeight="false" outlineLevel="0" collapsed="false">
      <c r="A318" s="0" t="n">
        <v>-0.0455860163554978</v>
      </c>
      <c r="B318" s="0" t="n">
        <v>0.243339449322692</v>
      </c>
      <c r="C318" s="0" t="n">
        <v>-0.24123605785633</v>
      </c>
    </row>
    <row r="319" customFormat="false" ht="15" hidden="false" customHeight="false" outlineLevel="0" collapsed="false">
      <c r="A319" s="0" t="n">
        <v>0.352055396514297</v>
      </c>
      <c r="B319" s="0" t="n">
        <v>-1.25153942419044</v>
      </c>
      <c r="C319" s="0" t="n">
        <v>1.44376460407326</v>
      </c>
    </row>
    <row r="320" customFormat="false" ht="15" hidden="false" customHeight="false" outlineLevel="0" collapsed="false">
      <c r="A320" s="0" t="n">
        <v>-0.0821511783925688</v>
      </c>
      <c r="B320" s="0" t="n">
        <v>1.11729583158813</v>
      </c>
      <c r="C320" s="0" t="n">
        <v>0.342725346377704</v>
      </c>
    </row>
    <row r="321" customFormat="false" ht="15" hidden="false" customHeight="false" outlineLevel="0" collapsed="false">
      <c r="A321" s="0" t="n">
        <v>0.456753219153784</v>
      </c>
      <c r="B321" s="0" t="n">
        <v>0.569767280232204</v>
      </c>
      <c r="C321" s="0" t="n">
        <v>0.447708560017315</v>
      </c>
    </row>
    <row r="322" customFormat="false" ht="15" hidden="false" customHeight="false" outlineLevel="0" collapsed="false">
      <c r="A322" s="0" t="n">
        <v>0.642722759867544</v>
      </c>
      <c r="B322" s="0" t="n">
        <v>1.32915253013243</v>
      </c>
      <c r="C322" s="0" t="n">
        <v>0.19652116970147</v>
      </c>
    </row>
    <row r="323" customFormat="false" ht="15" hidden="false" customHeight="false" outlineLevel="0" collapsed="false">
      <c r="A323" s="0" t="n">
        <v>0.709003757588512</v>
      </c>
      <c r="B323" s="0" t="n">
        <v>-0.0897356942872267</v>
      </c>
      <c r="C323" s="0" t="n">
        <v>1.44011721544947</v>
      </c>
    </row>
    <row r="324" customFormat="false" ht="15" hidden="false" customHeight="false" outlineLevel="0" collapsed="false">
      <c r="A324" s="0" t="n">
        <v>-0.67639230205927</v>
      </c>
      <c r="B324" s="0" t="n">
        <v>1.80094043291082</v>
      </c>
      <c r="C324" s="0" t="n">
        <v>-0.0401579506443434</v>
      </c>
    </row>
    <row r="325" customFormat="false" ht="15" hidden="false" customHeight="false" outlineLevel="0" collapsed="false">
      <c r="A325" s="0" t="n">
        <v>-1.43077510211805</v>
      </c>
      <c r="B325" s="0" t="n">
        <v>0.128104414910789</v>
      </c>
      <c r="C325" s="0" t="n">
        <v>-0.681051657474881</v>
      </c>
    </row>
    <row r="326" customFormat="false" ht="15" hidden="false" customHeight="false" outlineLevel="0" collapsed="false">
      <c r="A326" s="0" t="n">
        <v>0.840643548988724</v>
      </c>
      <c r="B326" s="0" t="n">
        <v>-0.652623979302391</v>
      </c>
      <c r="C326" s="0" t="n">
        <v>-0.44618343321478</v>
      </c>
    </row>
    <row r="327" customFormat="false" ht="15" hidden="false" customHeight="false" outlineLevel="0" collapsed="false">
      <c r="A327" s="0" t="n">
        <v>-1.88954073094553</v>
      </c>
      <c r="B327" s="0" t="n">
        <v>-0.452306319249077</v>
      </c>
      <c r="C327" s="0" t="n">
        <v>-2.42387932662896</v>
      </c>
    </row>
    <row r="328" customFormat="false" ht="15" hidden="false" customHeight="false" outlineLevel="0" collapsed="false">
      <c r="A328" s="0" t="n">
        <v>-1.58390282348572</v>
      </c>
      <c r="B328" s="0" t="n">
        <v>0.760414656144297</v>
      </c>
      <c r="C328" s="0" t="n">
        <v>0.785800158650832</v>
      </c>
    </row>
    <row r="329" customFormat="false" ht="15" hidden="false" customHeight="false" outlineLevel="0" collapsed="false">
      <c r="A329" s="0" t="n">
        <v>0.425457561784965</v>
      </c>
      <c r="B329" s="0" t="n">
        <v>-0.966976143129213</v>
      </c>
      <c r="C329" s="0" t="n">
        <v>-0.0477113561419799</v>
      </c>
    </row>
    <row r="330" customFormat="false" ht="15" hidden="false" customHeight="false" outlineLevel="0" collapsed="false">
      <c r="A330" s="0" t="n">
        <v>-0.0036025390905684</v>
      </c>
      <c r="B330" s="0" t="n">
        <v>-1.15836468919254</v>
      </c>
      <c r="C330" s="0" t="n">
        <v>1.50339830176715</v>
      </c>
    </row>
    <row r="331" customFormat="false" ht="15" hidden="false" customHeight="false" outlineLevel="0" collapsed="false">
      <c r="A331" s="0" t="n">
        <v>0.877362290575671</v>
      </c>
      <c r="B331" s="0" t="n">
        <v>-0.220964173829664</v>
      </c>
      <c r="C331" s="0" t="n">
        <v>0.0268858389945308</v>
      </c>
    </row>
    <row r="332" customFormat="false" ht="15" hidden="false" customHeight="false" outlineLevel="0" collapsed="false">
      <c r="A332" s="0" t="n">
        <v>0.208382807947553</v>
      </c>
      <c r="B332" s="0" t="n">
        <v>-2.04173486842429</v>
      </c>
      <c r="C332" s="0" t="n">
        <v>-0.247177382520597</v>
      </c>
    </row>
    <row r="333" customFormat="false" ht="15" hidden="false" customHeight="false" outlineLevel="0" collapsed="false">
      <c r="A333" s="0" t="n">
        <v>-0.681984247997799</v>
      </c>
      <c r="B333" s="0" t="n">
        <v>-1.00162000989492</v>
      </c>
      <c r="C333" s="0" t="n">
        <v>-0.281100292885955</v>
      </c>
    </row>
    <row r="334" customFormat="false" ht="15" hidden="false" customHeight="false" outlineLevel="0" collapsed="false">
      <c r="A334" s="0" t="n">
        <v>1.79768652684952</v>
      </c>
      <c r="B334" s="0" t="n">
        <v>0.64084286126701</v>
      </c>
      <c r="C334" s="0" t="n">
        <v>-0.571178989782797</v>
      </c>
    </row>
    <row r="335" customFormat="false" ht="15" hidden="false" customHeight="false" outlineLevel="0" collapsed="false">
      <c r="A335" s="0" t="n">
        <v>0.572582781356159</v>
      </c>
      <c r="B335" s="0" t="n">
        <v>1.399355436586</v>
      </c>
      <c r="C335" s="0" t="n">
        <v>0.924633682912769</v>
      </c>
    </row>
    <row r="336" customFormat="false" ht="15" hidden="false" customHeight="false" outlineLevel="0" collapsed="false">
      <c r="A336" s="0" t="n">
        <v>0.0596303699201741</v>
      </c>
      <c r="B336" s="0" t="n">
        <v>-0.646936777705574</v>
      </c>
      <c r="C336" s="0" t="n">
        <v>0.69822331361359</v>
      </c>
    </row>
    <row r="337" customFormat="false" ht="15" hidden="false" customHeight="false" outlineLevel="0" collapsed="false">
      <c r="A337" s="0" t="n">
        <v>0.39348538542175</v>
      </c>
      <c r="B337" s="0" t="n">
        <v>0.895193220027732</v>
      </c>
      <c r="C337" s="0" t="n">
        <v>0.63517180168197</v>
      </c>
    </row>
    <row r="338" customFormat="false" ht="15" hidden="false" customHeight="false" outlineLevel="0" collapsed="false">
      <c r="A338" s="0" t="n">
        <v>1.04955271531934</v>
      </c>
      <c r="B338" s="0" t="n">
        <v>-0.535235211560568</v>
      </c>
      <c r="C338" s="0" t="n">
        <v>1.31739406563433</v>
      </c>
    </row>
    <row r="339" customFormat="false" ht="15" hidden="false" customHeight="false" outlineLevel="0" collapsed="false">
      <c r="A339" s="0" t="n">
        <v>0.1975996046924</v>
      </c>
      <c r="B339" s="0" t="n">
        <v>2.07526087262527</v>
      </c>
      <c r="C339" s="0" t="n">
        <v>-0.689187818089568</v>
      </c>
    </row>
    <row r="340" customFormat="false" ht="15" hidden="false" customHeight="false" outlineLevel="0" collapsed="false">
      <c r="A340" s="0" t="n">
        <v>1.73596380316525</v>
      </c>
      <c r="B340" s="0" t="n">
        <v>0.197910783462648</v>
      </c>
      <c r="C340" s="0" t="n">
        <v>-0.651418003614448</v>
      </c>
    </row>
    <row r="341" customFormat="false" ht="15" hidden="false" customHeight="false" outlineLevel="0" collapsed="false">
      <c r="A341" s="0" t="n">
        <v>-0.483885834054322</v>
      </c>
      <c r="B341" s="0" t="n">
        <v>-0.32034730819432</v>
      </c>
      <c r="C341" s="0" t="n">
        <v>0.424165946401916</v>
      </c>
    </row>
    <row r="342" customFormat="false" ht="15" hidden="false" customHeight="false" outlineLevel="0" collapsed="false">
      <c r="A342" s="0" t="n">
        <v>0.5228354880355</v>
      </c>
      <c r="B342" s="0" t="n">
        <v>-0.573700003938579</v>
      </c>
      <c r="C342" s="0" t="n">
        <v>-0.0243545922609828</v>
      </c>
    </row>
    <row r="343" customFormat="false" ht="15" hidden="false" customHeight="false" outlineLevel="0" collapsed="false">
      <c r="A343" s="0" t="n">
        <v>2.14227035861186</v>
      </c>
      <c r="B343" s="0" t="n">
        <v>1.72754317010071</v>
      </c>
      <c r="C343" s="0" t="n">
        <v>0.436323669674032</v>
      </c>
    </row>
    <row r="344" customFormat="false" ht="15" hidden="false" customHeight="false" outlineLevel="0" collapsed="false">
      <c r="A344" s="0" t="n">
        <v>0.0380034781682003</v>
      </c>
      <c r="B344" s="0" t="n">
        <v>0.120031326718261</v>
      </c>
      <c r="C344" s="0" t="n">
        <v>0.613517972730417</v>
      </c>
    </row>
    <row r="345" customFormat="false" ht="15" hidden="false" customHeight="false" outlineLevel="0" collapsed="false">
      <c r="A345" s="0" t="n">
        <v>-1.02279256519841</v>
      </c>
      <c r="B345" s="0" t="n">
        <v>-0.257376537423345</v>
      </c>
      <c r="C345" s="0" t="n">
        <v>-1.66858407387759</v>
      </c>
    </row>
    <row r="346" customFormat="false" ht="15" hidden="false" customHeight="false" outlineLevel="0" collapsed="false">
      <c r="A346" s="0" t="n">
        <v>0.399223122605279</v>
      </c>
      <c r="B346" s="0" t="n">
        <v>0.647195939702741</v>
      </c>
      <c r="C346" s="0" t="n">
        <v>-0.483186462299374</v>
      </c>
    </row>
    <row r="347" customFormat="false" ht="15" hidden="false" customHeight="false" outlineLevel="0" collapsed="false">
      <c r="A347" s="0" t="n">
        <v>1.57398676329003</v>
      </c>
      <c r="B347" s="0" t="n">
        <v>-1.22576566300234</v>
      </c>
      <c r="C347" s="0" t="n">
        <v>-1.46437488020982</v>
      </c>
    </row>
    <row r="348" customFormat="false" ht="15" hidden="false" customHeight="false" outlineLevel="0" collapsed="false">
      <c r="A348" s="0" t="n">
        <v>0.224451818559972</v>
      </c>
      <c r="B348" s="0" t="n">
        <v>1.04709830261216</v>
      </c>
      <c r="C348" s="0" t="n">
        <v>1.68392769145787</v>
      </c>
    </row>
    <row r="349" customFormat="false" ht="15" hidden="false" customHeight="false" outlineLevel="0" collapsed="false">
      <c r="A349" s="0" t="n">
        <v>-0.45888426286894</v>
      </c>
      <c r="B349" s="0" t="n">
        <v>1.0786808334313</v>
      </c>
      <c r="C349" s="0" t="n">
        <v>-0.0385084695007072</v>
      </c>
    </row>
    <row r="350" customFormat="false" ht="15" hidden="false" customHeight="false" outlineLevel="0" collapsed="false">
      <c r="A350" s="0" t="n">
        <v>-0.17262729994082</v>
      </c>
      <c r="B350" s="0" t="n">
        <v>0.883659937486672</v>
      </c>
      <c r="C350" s="0" t="n">
        <v>0.65232287841342</v>
      </c>
    </row>
    <row r="351" customFormat="false" ht="15" hidden="false" customHeight="false" outlineLevel="0" collapsed="false">
      <c r="A351" s="0" t="n">
        <v>-1.57639215698425</v>
      </c>
      <c r="B351" s="0" t="n">
        <v>1.4765403497259</v>
      </c>
      <c r="C351" s="0" t="n">
        <v>1.38009135414745</v>
      </c>
    </row>
    <row r="352" customFormat="false" ht="15" hidden="false" customHeight="false" outlineLevel="0" collapsed="false">
      <c r="A352" s="0" t="n">
        <v>-0.625562701509529</v>
      </c>
      <c r="B352" s="0" t="n">
        <v>0.395803533437409</v>
      </c>
      <c r="C352" s="0" t="n">
        <v>0.494030186282739</v>
      </c>
    </row>
    <row r="353" customFormat="false" ht="15" hidden="false" customHeight="false" outlineLevel="0" collapsed="false">
      <c r="A353" s="0" t="n">
        <v>0.260673765823907</v>
      </c>
      <c r="B353" s="0" t="n">
        <v>-0.55030515384542</v>
      </c>
      <c r="C353" s="0" t="n">
        <v>-0.671623367938052</v>
      </c>
    </row>
    <row r="354" customFormat="false" ht="15" hidden="false" customHeight="false" outlineLevel="0" collapsed="false">
      <c r="A354" s="0" t="n">
        <v>-0.0255540709914453</v>
      </c>
      <c r="B354" s="0" t="n">
        <v>1.17272901925937</v>
      </c>
      <c r="C354" s="0" t="n">
        <v>0.543600154594432</v>
      </c>
    </row>
    <row r="355" customFormat="false" ht="15" hidden="false" customHeight="false" outlineLevel="0" collapsed="false">
      <c r="A355" s="0" t="n">
        <v>-0.370614332086106</v>
      </c>
      <c r="B355" s="0" t="n">
        <v>0.771698710648345</v>
      </c>
      <c r="C355" s="0" t="n">
        <v>-2.84854262063008</v>
      </c>
    </row>
    <row r="356" customFormat="false" ht="15" hidden="false" customHeight="false" outlineLevel="0" collapsed="false">
      <c r="A356" s="0" t="n">
        <v>1.1487657003721</v>
      </c>
      <c r="B356" s="0" t="n">
        <v>-1.7397137787781</v>
      </c>
      <c r="C356" s="0" t="n">
        <v>-0.362440941403132</v>
      </c>
    </row>
    <row r="357" customFormat="false" ht="15" hidden="false" customHeight="false" outlineLevel="0" collapsed="false">
      <c r="A357" s="0" t="n">
        <v>-1.11966989462614</v>
      </c>
      <c r="B357" s="0" t="n">
        <v>-1.29468147572091</v>
      </c>
      <c r="C357" s="0" t="n">
        <v>1.16082678737852</v>
      </c>
    </row>
    <row r="358" customFormat="false" ht="15" hidden="false" customHeight="false" outlineLevel="0" collapsed="false">
      <c r="A358" s="0" t="n">
        <v>-0.467701201311891</v>
      </c>
      <c r="B358" s="0" t="n">
        <v>0.346503881730716</v>
      </c>
      <c r="C358" s="0" t="n">
        <v>-0.0469205788791841</v>
      </c>
    </row>
    <row r="359" customFormat="false" ht="15" hidden="false" customHeight="false" outlineLevel="0" collapsed="false">
      <c r="A359" s="0" t="n">
        <v>0.477040827223122</v>
      </c>
      <c r="B359" s="0" t="n">
        <v>0.0768218910602554</v>
      </c>
      <c r="C359" s="0" t="n">
        <v>-1.28299222418857</v>
      </c>
    </row>
    <row r="360" customFormat="false" ht="15" hidden="false" customHeight="false" outlineLevel="0" collapsed="false">
      <c r="A360" s="0" t="n">
        <v>0.99626681944714</v>
      </c>
      <c r="B360" s="0" t="n">
        <v>-0.493756583161313</v>
      </c>
      <c r="C360" s="0" t="n">
        <v>-1.55658189865975</v>
      </c>
    </row>
    <row r="361" customFormat="false" ht="15" hidden="false" customHeight="false" outlineLevel="0" collapsed="false">
      <c r="A361" s="0" t="n">
        <v>-0.428115160965913</v>
      </c>
      <c r="B361" s="0" t="n">
        <v>1.50075979063431</v>
      </c>
      <c r="C361" s="0" t="n">
        <v>0.850221742113493</v>
      </c>
    </row>
    <row r="362" customFormat="false" ht="15" hidden="false" customHeight="false" outlineLevel="0" collapsed="false">
      <c r="A362" s="0" t="n">
        <v>-0.348652134407859</v>
      </c>
      <c r="B362" s="0" t="n">
        <v>-0.349257704318429</v>
      </c>
      <c r="C362" s="0" t="n">
        <v>-0.321635051217383</v>
      </c>
    </row>
    <row r="363" customFormat="false" ht="15" hidden="false" customHeight="false" outlineLevel="0" collapsed="false">
      <c r="A363" s="0" t="n">
        <v>2.07674798356084</v>
      </c>
      <c r="B363" s="0" t="n">
        <v>0.381935452231553</v>
      </c>
      <c r="C363" s="0" t="n">
        <v>0.43004164719107</v>
      </c>
    </row>
    <row r="364" customFormat="false" ht="15" hidden="false" customHeight="false" outlineLevel="0" collapsed="false">
      <c r="A364" s="0" t="n">
        <v>1.03028345403184</v>
      </c>
      <c r="B364" s="0" t="n">
        <v>0.238789159026514</v>
      </c>
      <c r="C364" s="0" t="n">
        <v>-0.259042145820703</v>
      </c>
    </row>
    <row r="365" customFormat="false" ht="15" hidden="false" customHeight="false" outlineLevel="0" collapsed="false">
      <c r="A365" s="0" t="n">
        <v>-0.196349849084978</v>
      </c>
      <c r="B365" s="0" t="n">
        <v>-0.071601259414064</v>
      </c>
      <c r="C365" s="0" t="n">
        <v>-0.0372222365098416</v>
      </c>
    </row>
    <row r="366" customFormat="false" ht="15" hidden="false" customHeight="false" outlineLevel="0" collapsed="false">
      <c r="A366" s="0" t="n">
        <v>0.72762954363698</v>
      </c>
      <c r="B366" s="0" t="n">
        <v>0.0519458858072994</v>
      </c>
      <c r="C366" s="0" t="n">
        <v>0.732640077215579</v>
      </c>
    </row>
    <row r="367" customFormat="false" ht="15" hidden="false" customHeight="false" outlineLevel="0" collapsed="false">
      <c r="A367" s="0" t="n">
        <v>-0.0807165801085823</v>
      </c>
      <c r="B367" s="0" t="n">
        <v>0.0786351903160906</v>
      </c>
      <c r="C367" s="0" t="n">
        <v>-1.99820068453211</v>
      </c>
    </row>
    <row r="368" customFormat="false" ht="15" hidden="false" customHeight="false" outlineLevel="0" collapsed="false">
      <c r="A368" s="0" t="n">
        <v>0.916327674702481</v>
      </c>
      <c r="B368" s="0" t="n">
        <v>0.346488475897993</v>
      </c>
      <c r="C368" s="0" t="n">
        <v>0.998010109859652</v>
      </c>
    </row>
    <row r="369" customFormat="false" ht="15" hidden="false" customHeight="false" outlineLevel="0" collapsed="false">
      <c r="A369" s="0" t="n">
        <v>-2.89625537819369</v>
      </c>
      <c r="B369" s="0" t="n">
        <v>2.08837470478073</v>
      </c>
      <c r="C369" s="0" t="n">
        <v>-0.139589628155174</v>
      </c>
    </row>
    <row r="370" customFormat="false" ht="15" hidden="false" customHeight="false" outlineLevel="0" collapsed="false">
      <c r="A370" s="0" t="n">
        <v>1.10818281673752</v>
      </c>
      <c r="B370" s="0" t="n">
        <v>-1.03990592712553</v>
      </c>
      <c r="C370" s="0" t="n">
        <v>0.61277390506257</v>
      </c>
    </row>
    <row r="371" customFormat="false" ht="15" hidden="false" customHeight="false" outlineLevel="0" collapsed="false">
      <c r="A371" s="0" t="n">
        <v>-1.05341556317366</v>
      </c>
      <c r="B371" s="0" t="n">
        <v>-0.623768960695805</v>
      </c>
      <c r="C371" s="0" t="n">
        <v>1.91403135386679</v>
      </c>
    </row>
    <row r="372" customFormat="false" ht="15" hidden="false" customHeight="false" outlineLevel="0" collapsed="false">
      <c r="A372" s="0" t="n">
        <v>-0.190682400763347</v>
      </c>
      <c r="B372" s="0" t="n">
        <v>0.217432873179723</v>
      </c>
      <c r="C372" s="0" t="n">
        <v>0.870067730688754</v>
      </c>
    </row>
    <row r="373" customFormat="false" ht="15" hidden="false" customHeight="false" outlineLevel="0" collapsed="false">
      <c r="A373" s="0" t="n">
        <v>0.495681887972605</v>
      </c>
      <c r="B373" s="0" t="n">
        <v>0.150418905143576</v>
      </c>
      <c r="C373" s="0" t="n">
        <v>0.364961002466225</v>
      </c>
    </row>
    <row r="374" customFormat="false" ht="15" hidden="false" customHeight="false" outlineLevel="0" collapsed="false">
      <c r="A374" s="0" t="n">
        <v>2.40341558523828</v>
      </c>
      <c r="B374" s="0" t="n">
        <v>-0.0576187970335854</v>
      </c>
      <c r="C374" s="0" t="n">
        <v>0.201099046714968</v>
      </c>
    </row>
    <row r="375" customFormat="false" ht="15" hidden="false" customHeight="false" outlineLevel="0" collapsed="false">
      <c r="A375" s="0" t="n">
        <v>1.05065439600761</v>
      </c>
      <c r="B375" s="0" t="n">
        <v>1.10552593295798</v>
      </c>
      <c r="C375" s="0" t="n">
        <v>1.18703030556038</v>
      </c>
    </row>
    <row r="376" customFormat="false" ht="15" hidden="false" customHeight="false" outlineLevel="0" collapsed="false">
      <c r="A376" s="0" t="n">
        <v>0.638730222029185</v>
      </c>
      <c r="B376" s="0" t="n">
        <v>-1.14300491273048</v>
      </c>
      <c r="C376" s="0" t="n">
        <v>1.6334315323011</v>
      </c>
    </row>
    <row r="377" customFormat="false" ht="15" hidden="false" customHeight="false" outlineLevel="0" collapsed="false">
      <c r="A377" s="0" t="n">
        <v>-1.14634539301869</v>
      </c>
      <c r="B377" s="0" t="n">
        <v>0.302635465239033</v>
      </c>
      <c r="C377" s="0" t="n">
        <v>-0.754275850019358</v>
      </c>
    </row>
    <row r="378" customFormat="false" ht="15" hidden="false" customHeight="false" outlineLevel="0" collapsed="false">
      <c r="A378" s="0" t="n">
        <v>-0.0641383465929925</v>
      </c>
      <c r="B378" s="0" t="n">
        <v>0.32876241030348</v>
      </c>
      <c r="C378" s="0" t="n">
        <v>0.321357215450273</v>
      </c>
    </row>
    <row r="379" customFormat="false" ht="15" hidden="false" customHeight="false" outlineLevel="0" collapsed="false">
      <c r="A379" s="0" t="n">
        <v>0.421920754235285</v>
      </c>
      <c r="B379" s="0" t="n">
        <v>1.61371126905865</v>
      </c>
      <c r="C379" s="0" t="n">
        <v>0.45353430151398</v>
      </c>
    </row>
    <row r="380" customFormat="false" ht="15" hidden="false" customHeight="false" outlineLevel="0" collapsed="false">
      <c r="A380" s="0" t="n">
        <v>-0.244156635290649</v>
      </c>
      <c r="B380" s="0" t="n">
        <v>0.964087168288357</v>
      </c>
      <c r="C380" s="0" t="n">
        <v>1.18947048892464</v>
      </c>
    </row>
    <row r="381" customFormat="false" ht="15" hidden="false" customHeight="false" outlineLevel="0" collapsed="false">
      <c r="A381" s="0" t="n">
        <v>-1.22760781513699</v>
      </c>
      <c r="B381" s="0" t="n">
        <v>0.597400069849858</v>
      </c>
      <c r="C381" s="0" t="n">
        <v>0.701172742310898</v>
      </c>
    </row>
    <row r="382" customFormat="false" ht="15" hidden="false" customHeight="false" outlineLevel="0" collapsed="false">
      <c r="A382" s="0" t="n">
        <v>-0.297563503359992</v>
      </c>
      <c r="B382" s="0" t="n">
        <v>1.37570681331162</v>
      </c>
      <c r="C382" s="0" t="n">
        <v>-0.150055587032527</v>
      </c>
    </row>
    <row r="383" customFormat="false" ht="15" hidden="false" customHeight="false" outlineLevel="0" collapsed="false">
      <c r="A383" s="0" t="n">
        <v>0.125576453471542</v>
      </c>
      <c r="B383" s="0" t="n">
        <v>-0.17307182428387</v>
      </c>
      <c r="C383" s="0" t="n">
        <v>0.0155790475814675</v>
      </c>
    </row>
    <row r="384" customFormat="false" ht="15" hidden="false" customHeight="false" outlineLevel="0" collapsed="false">
      <c r="A384" s="0" t="n">
        <v>-1.0962750868952</v>
      </c>
      <c r="B384" s="0" t="n">
        <v>-1.44005088259429</v>
      </c>
      <c r="C384" s="0" t="n">
        <v>1.59450506322497</v>
      </c>
    </row>
    <row r="385" customFormat="false" ht="15" hidden="false" customHeight="false" outlineLevel="0" collapsed="false">
      <c r="A385" s="0" t="n">
        <v>-0.846961348318328</v>
      </c>
      <c r="B385" s="0" t="n">
        <v>-0.991392349456307</v>
      </c>
      <c r="C385" s="0" t="n">
        <v>-2.15339011360372</v>
      </c>
    </row>
    <row r="386" customFormat="false" ht="15" hidden="false" customHeight="false" outlineLevel="0" collapsed="false">
      <c r="A386" s="0" t="n">
        <v>-0.638961747689502</v>
      </c>
      <c r="B386" s="0" t="n">
        <v>-1.3230897934075</v>
      </c>
      <c r="C386" s="0" t="n">
        <v>1.64201516013637</v>
      </c>
    </row>
    <row r="387" customFormat="false" ht="15" hidden="false" customHeight="false" outlineLevel="0" collapsed="false">
      <c r="A387" s="0" t="n">
        <v>1.00981708934263</v>
      </c>
      <c r="B387" s="0" t="n">
        <v>-0.688150345177724</v>
      </c>
      <c r="C387" s="0" t="n">
        <v>2.25243580534431</v>
      </c>
    </row>
    <row r="388" customFormat="false" ht="15" hidden="false" customHeight="false" outlineLevel="0" collapsed="false">
      <c r="A388" s="0" t="n">
        <v>0.981765486991594</v>
      </c>
      <c r="B388" s="0" t="n">
        <v>-0.324831383508623</v>
      </c>
      <c r="C388" s="0" t="n">
        <v>-2.49940571487357</v>
      </c>
    </row>
    <row r="389" customFormat="false" ht="15" hidden="false" customHeight="false" outlineLevel="0" collapsed="false">
      <c r="A389" s="0" t="n">
        <v>2.29094257259074</v>
      </c>
      <c r="B389" s="0" t="n">
        <v>-1.3895724667636</v>
      </c>
      <c r="C389" s="0" t="n">
        <v>-1.64539874695689</v>
      </c>
    </row>
    <row r="390" customFormat="false" ht="15" hidden="false" customHeight="false" outlineLevel="0" collapsed="false">
      <c r="A390" s="0" t="n">
        <v>1.02257043200964</v>
      </c>
      <c r="B390" s="0" t="n">
        <v>2.43975240633927</v>
      </c>
      <c r="C390" s="0" t="n">
        <v>1.38427281851052</v>
      </c>
    </row>
    <row r="391" customFormat="false" ht="15" hidden="false" customHeight="false" outlineLevel="0" collapsed="false">
      <c r="A391" s="0" t="n">
        <v>0.56390912005236</v>
      </c>
      <c r="B391" s="0" t="n">
        <v>0.594754341665286</v>
      </c>
      <c r="C391" s="0" t="n">
        <v>0.853415558780308</v>
      </c>
    </row>
    <row r="392" customFormat="false" ht="15" hidden="false" customHeight="false" outlineLevel="0" collapsed="false">
      <c r="A392" s="0" t="n">
        <v>0.758928589786765</v>
      </c>
      <c r="B392" s="0" t="n">
        <v>0.281191423969376</v>
      </c>
      <c r="C392" s="0" t="n">
        <v>0.104201103951876</v>
      </c>
    </row>
    <row r="393" customFormat="false" ht="15" hidden="false" customHeight="false" outlineLevel="0" collapsed="false">
      <c r="A393" s="0" t="n">
        <v>-0.0625931278995224</v>
      </c>
      <c r="B393" s="0" t="n">
        <v>-0.753964588866676</v>
      </c>
      <c r="C393" s="0" t="n">
        <v>-0.280675076866774</v>
      </c>
    </row>
    <row r="394" customFormat="false" ht="15" hidden="false" customHeight="false" outlineLevel="0" collapsed="false">
      <c r="A394" s="0" t="n">
        <v>-1.69295681419539</v>
      </c>
      <c r="B394" s="0" t="n">
        <v>-0.0983396267947499</v>
      </c>
      <c r="C394" s="0" t="n">
        <v>-0.988591107150918</v>
      </c>
    </row>
    <row r="395" customFormat="false" ht="15" hidden="false" customHeight="false" outlineLevel="0" collapsed="false">
      <c r="A395" s="0" t="n">
        <v>-1.10358931721577</v>
      </c>
      <c r="B395" s="0" t="n">
        <v>0.179894151153479</v>
      </c>
      <c r="C395" s="0" t="n">
        <v>1.3920022863446</v>
      </c>
    </row>
    <row r="396" customFormat="false" ht="15" hidden="false" customHeight="false" outlineLevel="0" collapsed="false">
      <c r="A396" s="0" t="n">
        <v>0.918316606002313</v>
      </c>
      <c r="B396" s="0" t="n">
        <v>-1.57050060362318</v>
      </c>
      <c r="C396" s="0" t="n">
        <v>-0.989628136570338</v>
      </c>
    </row>
    <row r="397" customFormat="false" ht="15" hidden="false" customHeight="false" outlineLevel="0" collapsed="false">
      <c r="A397" s="0" t="n">
        <v>0.940771187988216</v>
      </c>
      <c r="B397" s="0" t="n">
        <v>-0.98248739353831</v>
      </c>
      <c r="C397" s="0" t="n">
        <v>-0.224633149997025</v>
      </c>
    </row>
    <row r="398" customFormat="false" ht="15" hidden="false" customHeight="false" outlineLevel="0" collapsed="false">
      <c r="A398" s="0" t="n">
        <v>0.550052099024552</v>
      </c>
      <c r="B398" s="0" t="n">
        <v>-0.968344454863635</v>
      </c>
      <c r="C398" s="0" t="n">
        <v>0.10537550614596</v>
      </c>
    </row>
    <row r="399" customFormat="false" ht="15" hidden="false" customHeight="false" outlineLevel="0" collapsed="false">
      <c r="A399" s="0" t="n">
        <v>-1.3340254949182</v>
      </c>
      <c r="B399" s="0" t="n">
        <v>-0.601367643951214</v>
      </c>
      <c r="C399" s="0" t="n">
        <v>0.319781934142537</v>
      </c>
    </row>
    <row r="400" customFormat="false" ht="15" hidden="false" customHeight="false" outlineLevel="0" collapsed="false">
      <c r="A400" s="0" t="n">
        <v>-1.59299373353167</v>
      </c>
      <c r="B400" s="0" t="n">
        <v>0.440474737960399</v>
      </c>
      <c r="C400" s="0" t="n">
        <v>-0.0196377989266812</v>
      </c>
    </row>
    <row r="401" customFormat="false" ht="15" hidden="false" customHeight="false" outlineLevel="0" collapsed="false">
      <c r="A401" s="0" t="n">
        <v>0.552489954417148</v>
      </c>
      <c r="B401" s="0" t="n">
        <v>0.223914134064661</v>
      </c>
      <c r="C401" s="0" t="n">
        <v>1.36414042997384</v>
      </c>
    </row>
    <row r="402" customFormat="false" ht="15" hidden="false" customHeight="false" outlineLevel="0" collapsed="false">
      <c r="A402" s="0" t="n">
        <v>0.125224502647907</v>
      </c>
      <c r="B402" s="0" t="n">
        <v>-0.429405541125253</v>
      </c>
      <c r="C402" s="0" t="n">
        <v>0.122297503032284</v>
      </c>
    </row>
    <row r="403" customFormat="false" ht="15" hidden="false" customHeight="false" outlineLevel="0" collapsed="false">
      <c r="A403" s="0" t="n">
        <v>0.543298029036388</v>
      </c>
      <c r="B403" s="0" t="n">
        <v>0.0488600703257043</v>
      </c>
      <c r="C403" s="0" t="n">
        <v>0.0405916912038824</v>
      </c>
    </row>
    <row r="404" customFormat="false" ht="15" hidden="false" customHeight="false" outlineLevel="0" collapsed="false">
      <c r="A404" s="0" t="n">
        <v>-0.701991687806755</v>
      </c>
      <c r="B404" s="0" t="n">
        <v>-0.662900917550948</v>
      </c>
      <c r="C404" s="0" t="n">
        <v>-1.40260527179969</v>
      </c>
    </row>
    <row r="405" customFormat="false" ht="15" hidden="false" customHeight="false" outlineLevel="0" collapsed="false">
      <c r="A405" s="0" t="n">
        <v>1.74957674318694</v>
      </c>
      <c r="B405" s="0" t="n">
        <v>-1.24386323539129</v>
      </c>
      <c r="C405" s="0" t="n">
        <v>-0.692905197795907</v>
      </c>
    </row>
    <row r="406" customFormat="false" ht="15" hidden="false" customHeight="false" outlineLevel="0" collapsed="false">
      <c r="A406" s="0" t="n">
        <v>-0.718407265569197</v>
      </c>
      <c r="B406" s="0" t="n">
        <v>0.894924376944441</v>
      </c>
      <c r="C406" s="0" t="n">
        <v>-0.294949678292028</v>
      </c>
    </row>
    <row r="407" customFormat="false" ht="15" hidden="false" customHeight="false" outlineLevel="0" collapsed="false">
      <c r="A407" s="0" t="n">
        <v>1.24774207267373</v>
      </c>
      <c r="B407" s="0" t="n">
        <v>-0.673490624243869</v>
      </c>
      <c r="C407" s="0" t="n">
        <v>0.278994162223802</v>
      </c>
    </row>
    <row r="408" customFormat="false" ht="15" hidden="false" customHeight="false" outlineLevel="0" collapsed="false">
      <c r="A408" s="0" t="n">
        <v>-0.835347053259757</v>
      </c>
      <c r="B408" s="0" t="n">
        <v>2.14514912777339</v>
      </c>
      <c r="C408" s="0" t="n">
        <v>-1.18759841902951</v>
      </c>
    </row>
    <row r="409" customFormat="false" ht="15" hidden="false" customHeight="false" outlineLevel="0" collapsed="false">
      <c r="A409" s="0" t="n">
        <v>0.309820710227028</v>
      </c>
      <c r="B409" s="0" t="n">
        <v>0.633776880932099</v>
      </c>
      <c r="C409" s="0" t="n">
        <v>0.413799097451498</v>
      </c>
    </row>
    <row r="410" customFormat="false" ht="15" hidden="false" customHeight="false" outlineLevel="0" collapsed="false">
      <c r="A410" s="0" t="n">
        <v>-0.185287658877708</v>
      </c>
      <c r="B410" s="0" t="n">
        <v>-0.129820699733426</v>
      </c>
      <c r="C410" s="0" t="n">
        <v>0.0438114719791096</v>
      </c>
    </row>
    <row r="411" customFormat="false" ht="15" hidden="false" customHeight="false" outlineLevel="0" collapsed="false">
      <c r="A411" s="0" t="n">
        <v>-0.147002001628489</v>
      </c>
      <c r="B411" s="0" t="n">
        <v>0.96387911679491</v>
      </c>
      <c r="C411" s="0" t="n">
        <v>2.21052300159135</v>
      </c>
    </row>
    <row r="412" customFormat="false" ht="15" hidden="false" customHeight="false" outlineLevel="0" collapsed="false">
      <c r="A412" s="0" t="n">
        <v>-0.557491785007834</v>
      </c>
      <c r="B412" s="0" t="n">
        <v>-1.36980297957908</v>
      </c>
      <c r="C412" s="0" t="n">
        <v>-0.0882820483512548</v>
      </c>
    </row>
    <row r="413" customFormat="false" ht="15" hidden="false" customHeight="false" outlineLevel="0" collapsed="false">
      <c r="A413" s="0" t="n">
        <v>2.57970933765432</v>
      </c>
      <c r="B413" s="0" t="n">
        <v>-0.803674567969731</v>
      </c>
      <c r="C413" s="0" t="n">
        <v>1.63911680544407</v>
      </c>
    </row>
    <row r="414" customFormat="false" ht="15" hidden="false" customHeight="false" outlineLevel="0" collapsed="false">
      <c r="A414" s="0" t="n">
        <v>1.67770081407644</v>
      </c>
      <c r="B414" s="0" t="n">
        <v>-0.553588241707995</v>
      </c>
      <c r="C414" s="0" t="n">
        <v>0.568983079185275</v>
      </c>
    </row>
    <row r="415" customFormat="false" ht="15" hidden="false" customHeight="false" outlineLevel="0" collapsed="false">
      <c r="A415" s="0" t="n">
        <v>1.62839662312854</v>
      </c>
      <c r="B415" s="0" t="n">
        <v>-0.379127740987487</v>
      </c>
      <c r="C415" s="0" t="n">
        <v>-0.203580360102362</v>
      </c>
    </row>
    <row r="416" customFormat="false" ht="15" hidden="false" customHeight="false" outlineLevel="0" collapsed="false">
      <c r="A416" s="0" t="n">
        <v>-0.581680913948644</v>
      </c>
      <c r="B416" s="0" t="n">
        <v>-1.01475673069287</v>
      </c>
      <c r="C416" s="0" t="n">
        <v>-0.649277545066007</v>
      </c>
    </row>
    <row r="417" customFormat="false" ht="15" hidden="false" customHeight="false" outlineLevel="0" collapsed="false">
      <c r="A417" s="0" t="n">
        <v>-1.22394026676226</v>
      </c>
      <c r="B417" s="0" t="n">
        <v>0.0340834682592261</v>
      </c>
      <c r="C417" s="0" t="n">
        <v>-0.769973231058642</v>
      </c>
    </row>
    <row r="418" customFormat="false" ht="15" hidden="false" customHeight="false" outlineLevel="0" collapsed="false">
      <c r="A418" s="0" t="n">
        <v>0.233785911790748</v>
      </c>
      <c r="B418" s="0" t="n">
        <v>-1.55589564620363</v>
      </c>
      <c r="C418" s="0" t="n">
        <v>0.330880232214457</v>
      </c>
    </row>
    <row r="419" customFormat="false" ht="15" hidden="false" customHeight="false" outlineLevel="0" collapsed="false">
      <c r="A419" s="0" t="n">
        <v>0.833528961608925</v>
      </c>
      <c r="B419" s="0" t="n">
        <v>-1.99373564257146</v>
      </c>
      <c r="C419" s="0" t="n">
        <v>0.374056569847572</v>
      </c>
    </row>
    <row r="420" customFormat="false" ht="15" hidden="false" customHeight="false" outlineLevel="0" collapsed="false">
      <c r="A420" s="0" t="n">
        <v>1.22766899247329</v>
      </c>
      <c r="B420" s="0" t="n">
        <v>-1.20964101869121</v>
      </c>
      <c r="C420" s="0" t="n">
        <v>1.6725723868377</v>
      </c>
    </row>
    <row r="421" customFormat="false" ht="15" hidden="false" customHeight="false" outlineLevel="0" collapsed="false">
      <c r="A421" s="0" t="n">
        <v>0.419019009366045</v>
      </c>
      <c r="B421" s="0" t="n">
        <v>-0.705011855758409</v>
      </c>
      <c r="C421" s="0" t="n">
        <v>-0.055769077657706</v>
      </c>
    </row>
    <row r="422" customFormat="false" ht="15" hidden="false" customHeight="false" outlineLevel="0" collapsed="false">
      <c r="A422" s="0" t="n">
        <v>0.558326912521722</v>
      </c>
      <c r="B422" s="0" t="n">
        <v>0.0760053914124115</v>
      </c>
      <c r="C422" s="0" t="n">
        <v>0.538755992446369</v>
      </c>
    </row>
    <row r="423" customFormat="false" ht="15" hidden="false" customHeight="false" outlineLevel="0" collapsed="false">
      <c r="A423" s="0" t="n">
        <v>-0.920673593079366</v>
      </c>
      <c r="B423" s="0" t="n">
        <v>0.169360824036078</v>
      </c>
      <c r="C423" s="0" t="n">
        <v>-1.41371449690498</v>
      </c>
    </row>
    <row r="424" customFormat="false" ht="15" hidden="false" customHeight="false" outlineLevel="0" collapsed="false">
      <c r="A424" s="0" t="n">
        <v>-0.1112260613487</v>
      </c>
      <c r="B424" s="0" t="n">
        <v>-0.90390764146479</v>
      </c>
      <c r="C424" s="0" t="n">
        <v>-0.735529942589767</v>
      </c>
    </row>
    <row r="425" customFormat="false" ht="15" hidden="false" customHeight="false" outlineLevel="0" collapsed="false">
      <c r="A425" s="0" t="n">
        <v>1.23609317521044</v>
      </c>
      <c r="B425" s="0" t="n">
        <v>1.09131012059427</v>
      </c>
      <c r="C425" s="0" t="n">
        <v>0.609138120907177</v>
      </c>
    </row>
    <row r="426" customFormat="false" ht="15" hidden="false" customHeight="false" outlineLevel="0" collapsed="false">
      <c r="A426" s="0" t="n">
        <v>-1.09231276467258</v>
      </c>
      <c r="B426" s="0" t="n">
        <v>-0.316408449694802</v>
      </c>
      <c r="C426" s="0" t="n">
        <v>1.21309769997918</v>
      </c>
    </row>
    <row r="427" customFormat="false" ht="15" hidden="false" customHeight="false" outlineLevel="0" collapsed="false">
      <c r="A427" s="0" t="n">
        <v>0.141716913639905</v>
      </c>
      <c r="B427" s="0" t="n">
        <v>2.31932953998169</v>
      </c>
      <c r="C427" s="0" t="n">
        <v>0.393317839394372</v>
      </c>
    </row>
    <row r="428" customFormat="false" ht="15" hidden="false" customHeight="false" outlineLevel="0" collapsed="false">
      <c r="A428" s="0" t="n">
        <v>0.192049116490032</v>
      </c>
      <c r="B428" s="0" t="n">
        <v>-0.309116464202501</v>
      </c>
      <c r="C428" s="0" t="n">
        <v>0.133540904782282</v>
      </c>
    </row>
    <row r="429" customFormat="false" ht="15" hidden="false" customHeight="false" outlineLevel="0" collapsed="false">
      <c r="A429" s="0" t="n">
        <v>-0.152469836380544</v>
      </c>
      <c r="B429" s="0" t="n">
        <v>0.708108676688591</v>
      </c>
      <c r="C429" s="0" t="n">
        <v>0.956702316794584</v>
      </c>
    </row>
    <row r="430" customFormat="false" ht="15" hidden="false" customHeight="false" outlineLevel="0" collapsed="false">
      <c r="A430" s="0" t="n">
        <v>-0.78598946050795</v>
      </c>
      <c r="B430" s="0" t="n">
        <v>-1.33123295355778</v>
      </c>
      <c r="C430" s="0" t="n">
        <v>-1.8362053731033</v>
      </c>
    </row>
    <row r="431" customFormat="false" ht="15" hidden="false" customHeight="false" outlineLevel="0" collapsed="false">
      <c r="A431" s="0" t="n">
        <v>0.507991326912544</v>
      </c>
      <c r="B431" s="0" t="n">
        <v>-1.10336660617387</v>
      </c>
      <c r="C431" s="0" t="n">
        <v>-2.15289059295248</v>
      </c>
    </row>
    <row r="432" customFormat="false" ht="15" hidden="false" customHeight="false" outlineLevel="0" collapsed="false">
      <c r="A432" s="0" t="n">
        <v>0.388578604530964</v>
      </c>
      <c r="B432" s="0" t="n">
        <v>2.49299951743279</v>
      </c>
      <c r="C432" s="0" t="n">
        <v>-0.00607091153989332</v>
      </c>
    </row>
    <row r="433" customFormat="false" ht="15" hidden="false" customHeight="false" outlineLevel="0" collapsed="false">
      <c r="A433" s="0" t="n">
        <v>0.838490774451642</v>
      </c>
      <c r="B433" s="0" t="n">
        <v>0.081829358547565</v>
      </c>
      <c r="C433" s="0" t="n">
        <v>-0.0988896531911427</v>
      </c>
    </row>
    <row r="434" customFormat="false" ht="15" hidden="false" customHeight="false" outlineLevel="0" collapsed="false">
      <c r="A434" s="0" t="n">
        <v>0.919076482987769</v>
      </c>
      <c r="B434" s="0" t="n">
        <v>-0.290274544188651</v>
      </c>
      <c r="C434" s="0" t="n">
        <v>0.267392314071903</v>
      </c>
    </row>
    <row r="435" customFormat="false" ht="15" hidden="false" customHeight="false" outlineLevel="0" collapsed="false">
      <c r="A435" s="0" t="n">
        <v>0.321697806196014</v>
      </c>
      <c r="B435" s="0" t="n">
        <v>-0.668090453643049</v>
      </c>
      <c r="C435" s="0" t="n">
        <v>0.992042349536523</v>
      </c>
    </row>
    <row r="436" customFormat="false" ht="15" hidden="false" customHeight="false" outlineLevel="0" collapsed="false">
      <c r="A436" s="0" t="n">
        <v>-0.174959756695409</v>
      </c>
      <c r="B436" s="0" t="n">
        <v>-0.755745159492845</v>
      </c>
      <c r="C436" s="0" t="n">
        <v>0.536509843570404</v>
      </c>
    </row>
    <row r="437" customFormat="false" ht="15" hidden="false" customHeight="false" outlineLevel="0" collapsed="false">
      <c r="A437" s="0" t="n">
        <v>-0.898467981791037</v>
      </c>
      <c r="B437" s="0" t="n">
        <v>0.0281811573691283</v>
      </c>
      <c r="C437" s="0" t="n">
        <v>-0.00911899664420354</v>
      </c>
    </row>
    <row r="438" customFormat="false" ht="15" hidden="false" customHeight="false" outlineLevel="0" collapsed="false">
      <c r="A438" s="0" t="n">
        <v>1.08589556583158</v>
      </c>
      <c r="B438" s="0" t="n">
        <v>0.474698232879953</v>
      </c>
      <c r="C438" s="0" t="n">
        <v>-0.0250269587451439</v>
      </c>
    </row>
    <row r="439" customFormat="false" ht="15" hidden="false" customHeight="false" outlineLevel="0" collapsed="false">
      <c r="A439" s="0" t="n">
        <v>0.817766299200287</v>
      </c>
      <c r="B439" s="0" t="n">
        <v>1.39020754901731</v>
      </c>
      <c r="C439" s="0" t="n">
        <v>0.557810306351862</v>
      </c>
    </row>
    <row r="440" customFormat="false" ht="15" hidden="false" customHeight="false" outlineLevel="0" collapsed="false">
      <c r="A440" s="0" t="n">
        <v>0.0103526198433806</v>
      </c>
      <c r="B440" s="0" t="n">
        <v>-1.31183623235016</v>
      </c>
      <c r="C440" s="0" t="n">
        <v>-1.06511366307537</v>
      </c>
    </row>
    <row r="441" customFormat="false" ht="15" hidden="false" customHeight="false" outlineLevel="0" collapsed="false">
      <c r="A441" s="0" t="n">
        <v>-0.305224704354668</v>
      </c>
      <c r="B441" s="0" t="n">
        <v>-0.609512202159283</v>
      </c>
      <c r="C441" s="0" t="n">
        <v>-0.186971302985446</v>
      </c>
    </row>
    <row r="442" customFormat="false" ht="15" hidden="false" customHeight="false" outlineLevel="0" collapsed="false">
      <c r="A442" s="0" t="n">
        <v>0.0566499248971072</v>
      </c>
      <c r="B442" s="0" t="n">
        <v>0.529692754356731</v>
      </c>
      <c r="C442" s="0" t="n">
        <v>-0.0704987780590912</v>
      </c>
    </row>
    <row r="443" customFormat="false" ht="15" hidden="false" customHeight="false" outlineLevel="0" collapsed="false">
      <c r="A443" s="0" t="n">
        <v>0.486501643826202</v>
      </c>
      <c r="B443" s="0" t="n">
        <v>0.0644744148101202</v>
      </c>
      <c r="C443" s="0" t="n">
        <v>-1.97546656635387</v>
      </c>
    </row>
    <row r="444" customFormat="false" ht="15" hidden="false" customHeight="false" outlineLevel="0" collapsed="false">
      <c r="A444" s="0" t="n">
        <v>-0.939335393818754</v>
      </c>
      <c r="B444" s="0" t="n">
        <v>-0.144087555721616</v>
      </c>
      <c r="C444" s="0" t="n">
        <v>-1.20969474284111</v>
      </c>
    </row>
    <row r="445" customFormat="false" ht="15" hidden="false" customHeight="false" outlineLevel="0" collapsed="false">
      <c r="A445" s="0" t="n">
        <v>0.599928729996205</v>
      </c>
      <c r="B445" s="0" t="n">
        <v>1.5307508323437</v>
      </c>
      <c r="C445" s="0" t="n">
        <v>1.21876185169732</v>
      </c>
    </row>
    <row r="446" customFormat="false" ht="15" hidden="false" customHeight="false" outlineLevel="0" collapsed="false">
      <c r="A446" s="0" t="n">
        <v>-0.213442870930208</v>
      </c>
      <c r="B446" s="0" t="n">
        <v>1.49072613684995</v>
      </c>
      <c r="C446" s="0" t="n">
        <v>0.148667457202112</v>
      </c>
    </row>
    <row r="447" customFormat="false" ht="15" hidden="false" customHeight="false" outlineLevel="0" collapsed="false">
      <c r="A447" s="0" t="n">
        <v>-0.337085971118039</v>
      </c>
      <c r="B447" s="0" t="n">
        <v>-0.61340266354094</v>
      </c>
      <c r="C447" s="0" t="n">
        <v>-0.302469686488128</v>
      </c>
    </row>
    <row r="448" customFormat="false" ht="15" hidden="false" customHeight="false" outlineLevel="0" collapsed="false">
      <c r="A448" s="0" t="n">
        <v>-0.388176818541229</v>
      </c>
      <c r="B448" s="0" t="n">
        <v>0.170416222375488</v>
      </c>
      <c r="C448" s="0" t="n">
        <v>0.160573981049865</v>
      </c>
    </row>
    <row r="449" customFormat="false" ht="15" hidden="false" customHeight="false" outlineLevel="0" collapsed="false">
      <c r="A449" s="0" t="n">
        <v>0.00304602015341447</v>
      </c>
      <c r="B449" s="0" t="n">
        <v>0.43693816974635</v>
      </c>
      <c r="C449" s="0" t="n">
        <v>1.19064627478634</v>
      </c>
    </row>
    <row r="450" customFormat="false" ht="15" hidden="false" customHeight="false" outlineLevel="0" collapsed="false">
      <c r="A450" s="0" t="n">
        <v>0.949554135441324</v>
      </c>
      <c r="B450" s="0" t="n">
        <v>-1.4848979684499</v>
      </c>
      <c r="C450" s="0" t="n">
        <v>-2.55392113490196</v>
      </c>
    </row>
    <row r="451" customFormat="false" ht="15" hidden="false" customHeight="false" outlineLevel="0" collapsed="false">
      <c r="A451" s="0" t="n">
        <v>0.934319911239274</v>
      </c>
      <c r="B451" s="0" t="n">
        <v>-1.36687869841542</v>
      </c>
      <c r="C451" s="0" t="n">
        <v>-0.224765401892684</v>
      </c>
    </row>
    <row r="452" customFormat="false" ht="15" hidden="false" customHeight="false" outlineLevel="0" collapsed="false">
      <c r="A452" s="0" t="n">
        <v>-1.17011302605936</v>
      </c>
      <c r="B452" s="0" t="n">
        <v>-1.80198043758002</v>
      </c>
      <c r="C452" s="0" t="n">
        <v>0.541462728204788</v>
      </c>
    </row>
    <row r="453" customFormat="false" ht="15" hidden="false" customHeight="false" outlineLevel="0" collapsed="false">
      <c r="A453" s="0" t="n">
        <v>0.759155160302647</v>
      </c>
      <c r="B453" s="0" t="n">
        <v>-0.576510400726719</v>
      </c>
      <c r="C453" s="0" t="n">
        <v>-2.59104229214491</v>
      </c>
    </row>
    <row r="454" customFormat="false" ht="15" hidden="false" customHeight="false" outlineLevel="0" collapsed="false">
      <c r="A454" s="0" t="n">
        <v>-0.546244448252483</v>
      </c>
      <c r="B454" s="0" t="n">
        <v>0.391804005402547</v>
      </c>
      <c r="C454" s="0" t="n">
        <v>-1.47891156877413</v>
      </c>
    </row>
    <row r="455" customFormat="false" ht="15" hidden="false" customHeight="false" outlineLevel="0" collapsed="false">
      <c r="A455" s="0" t="n">
        <v>0.183359919779156</v>
      </c>
      <c r="B455" s="0" t="n">
        <v>-0.0153098491729956</v>
      </c>
      <c r="C455" s="0" t="n">
        <v>0.579291499601088</v>
      </c>
    </row>
    <row r="456" customFormat="false" ht="15" hidden="false" customHeight="false" outlineLevel="0" collapsed="false">
      <c r="A456" s="0" t="n">
        <v>0.119580368414153</v>
      </c>
      <c r="B456" s="0" t="n">
        <v>-0.973068940881556</v>
      </c>
      <c r="C456" s="0" t="n">
        <v>1.19657150166449</v>
      </c>
    </row>
    <row r="457" customFormat="false" ht="15" hidden="false" customHeight="false" outlineLevel="0" collapsed="false">
      <c r="A457" s="0" t="n">
        <v>-0.15852957302697</v>
      </c>
      <c r="B457" s="0" t="n">
        <v>-0.0273045395099319</v>
      </c>
      <c r="C457" s="0" t="n">
        <v>-0.933267959073196</v>
      </c>
    </row>
    <row r="458" customFormat="false" ht="15" hidden="false" customHeight="false" outlineLevel="0" collapsed="false">
      <c r="A458" s="0" t="n">
        <v>-0.44328225119151</v>
      </c>
      <c r="B458" s="0" t="n">
        <v>-0.884802714026901</v>
      </c>
      <c r="C458" s="0" t="n">
        <v>-0.172946059923423</v>
      </c>
    </row>
    <row r="459" customFormat="false" ht="15" hidden="false" customHeight="false" outlineLevel="0" collapsed="false">
      <c r="A459" s="0" t="n">
        <v>1.71170848014234</v>
      </c>
      <c r="B459" s="0" t="n">
        <v>-1.37190114293136</v>
      </c>
      <c r="C459" s="0" t="n">
        <v>-1.61356139787674</v>
      </c>
    </row>
    <row r="460" customFormat="false" ht="15" hidden="false" customHeight="false" outlineLevel="0" collapsed="false">
      <c r="A460" s="0" t="n">
        <v>1.47117032749361</v>
      </c>
      <c r="B460" s="0" t="n">
        <v>-0.209323677151866</v>
      </c>
      <c r="C460" s="0" t="n">
        <v>-0.669072738659917</v>
      </c>
    </row>
    <row r="461" customFormat="false" ht="15" hidden="false" customHeight="false" outlineLevel="0" collapsed="false">
      <c r="A461" s="0" t="n">
        <v>1.03990468739608</v>
      </c>
      <c r="B461" s="0" t="n">
        <v>-0.605615539736864</v>
      </c>
      <c r="C461" s="0" t="n">
        <v>1.82600971354694</v>
      </c>
    </row>
    <row r="462" customFormat="false" ht="15" hidden="false" customHeight="false" outlineLevel="0" collapsed="false">
      <c r="A462" s="0" t="n">
        <v>0.677925871339269</v>
      </c>
      <c r="B462" s="0" t="n">
        <v>-0.487911408145703</v>
      </c>
      <c r="C462" s="0" t="n">
        <v>2.1573082132655</v>
      </c>
    </row>
    <row r="463" customFormat="false" ht="15" hidden="false" customHeight="false" outlineLevel="0" collapsed="false">
      <c r="A463" s="0" t="n">
        <v>-0.605714923003338</v>
      </c>
      <c r="B463" s="0" t="n">
        <v>0.742095372009307</v>
      </c>
      <c r="C463" s="0" t="n">
        <v>0.299292580406492</v>
      </c>
    </row>
    <row r="464" customFormat="false" ht="15" hidden="false" customHeight="false" outlineLevel="0" collapsed="false">
      <c r="A464" s="0" t="n">
        <v>1.3017412893988</v>
      </c>
      <c r="B464" s="0" t="n">
        <v>1.56151119672685</v>
      </c>
      <c r="C464" s="0" t="n">
        <v>0.0320041490657666</v>
      </c>
    </row>
    <row r="465" customFormat="false" ht="15" hidden="false" customHeight="false" outlineLevel="0" collapsed="false">
      <c r="A465" s="0" t="n">
        <v>-0.753417870346184</v>
      </c>
      <c r="B465" s="0" t="n">
        <v>0.459972142939116</v>
      </c>
      <c r="C465" s="0" t="n">
        <v>-0.677715369752106</v>
      </c>
    </row>
    <row r="466" customFormat="false" ht="15" hidden="false" customHeight="false" outlineLevel="0" collapsed="false">
      <c r="A466" s="0" t="n">
        <v>2.01338724752662</v>
      </c>
      <c r="B466" s="0" t="n">
        <v>0.136535331082737</v>
      </c>
      <c r="C466" s="0" t="n">
        <v>-0.365321551312109</v>
      </c>
    </row>
    <row r="467" customFormat="false" ht="15" hidden="false" customHeight="false" outlineLevel="0" collapsed="false">
      <c r="A467" s="0" t="n">
        <v>0.184680305864908</v>
      </c>
      <c r="B467" s="0" t="n">
        <v>-1.3471262895297</v>
      </c>
      <c r="C467" s="0" t="n">
        <v>-0.971614038510652</v>
      </c>
    </row>
    <row r="468" customFormat="false" ht="15" hidden="false" customHeight="false" outlineLevel="0" collapsed="false">
      <c r="A468" s="0" t="n">
        <v>1.20041390794443</v>
      </c>
      <c r="B468" s="0" t="n">
        <v>-0.656894278971396</v>
      </c>
      <c r="C468" s="0" t="n">
        <v>-1.04691098268194</v>
      </c>
    </row>
    <row r="469" customFormat="false" ht="15" hidden="false" customHeight="false" outlineLevel="0" collapsed="false">
      <c r="A469" s="0" t="n">
        <v>0.536652752527286</v>
      </c>
      <c r="B469" s="0" t="n">
        <v>1.185704154663</v>
      </c>
      <c r="C469" s="0" t="n">
        <v>0.718953310665067</v>
      </c>
    </row>
    <row r="470" customFormat="false" ht="15" hidden="false" customHeight="false" outlineLevel="0" collapsed="false">
      <c r="A470" s="0" t="n">
        <v>0.996047685805816</v>
      </c>
      <c r="B470" s="0" t="n">
        <v>-0.756795088569461</v>
      </c>
      <c r="C470" s="0" t="n">
        <v>-1.42181066674184</v>
      </c>
    </row>
    <row r="471" customFormat="false" ht="15" hidden="false" customHeight="false" outlineLevel="0" collapsed="false">
      <c r="A471" s="0" t="n">
        <v>1.50133365195549</v>
      </c>
      <c r="B471" s="0" t="n">
        <v>-0.322679838842136</v>
      </c>
      <c r="C471" s="0" t="n">
        <v>-0.250833016455047</v>
      </c>
    </row>
    <row r="472" customFormat="false" ht="15" hidden="false" customHeight="false" outlineLevel="0" collapsed="false">
      <c r="A472" s="0" t="n">
        <v>1.32819414184906</v>
      </c>
      <c r="B472" s="0" t="n">
        <v>0.55623000940066</v>
      </c>
      <c r="C472" s="0" t="n">
        <v>0.455887772081608</v>
      </c>
    </row>
    <row r="473" customFormat="false" ht="15" hidden="false" customHeight="false" outlineLevel="0" collapsed="false">
      <c r="A473" s="0" t="n">
        <v>2.16500234490108</v>
      </c>
      <c r="B473" s="0" t="n">
        <v>-0.643518230380143</v>
      </c>
      <c r="C473" s="0" t="n">
        <v>0.927840128081237</v>
      </c>
    </row>
    <row r="474" customFormat="false" ht="15" hidden="false" customHeight="false" outlineLevel="0" collapsed="false">
      <c r="A474" s="0" t="n">
        <v>0.0570131248970845</v>
      </c>
      <c r="B474" s="0" t="n">
        <v>0.268592278863257</v>
      </c>
      <c r="C474" s="0" t="n">
        <v>1.52846842641253</v>
      </c>
    </row>
    <row r="475" customFormat="false" ht="15" hidden="false" customHeight="false" outlineLevel="0" collapsed="false">
      <c r="A475" s="0" t="n">
        <v>0.507835756289624</v>
      </c>
      <c r="B475" s="0" t="n">
        <v>0.538296079049633</v>
      </c>
      <c r="C475" s="0" t="n">
        <v>1.0725073373098</v>
      </c>
    </row>
    <row r="476" customFormat="false" ht="15" hidden="false" customHeight="false" outlineLevel="0" collapsed="false">
      <c r="A476" s="0" t="n">
        <v>-0.364952729542885</v>
      </c>
      <c r="B476" s="0" t="n">
        <v>-0.839209667339006</v>
      </c>
      <c r="C476" s="0" t="n">
        <v>-1.04480919402103</v>
      </c>
    </row>
    <row r="477" customFormat="false" ht="15" hidden="false" customHeight="false" outlineLevel="0" collapsed="false">
      <c r="A477" s="0" t="n">
        <v>-1.966356589376</v>
      </c>
      <c r="B477" s="0" t="n">
        <v>2.05620712994032</v>
      </c>
      <c r="C477" s="0" t="n">
        <v>-1.10320836572168</v>
      </c>
    </row>
    <row r="478" customFormat="false" ht="15" hidden="false" customHeight="false" outlineLevel="0" collapsed="false">
      <c r="A478" s="0" t="n">
        <v>-0.221253623585772</v>
      </c>
      <c r="B478" s="0" t="n">
        <v>-0.276813299888921</v>
      </c>
      <c r="C478" s="0" t="n">
        <v>0.307406697809101</v>
      </c>
    </row>
    <row r="479" customFormat="false" ht="15" hidden="false" customHeight="false" outlineLevel="0" collapsed="false">
      <c r="A479" s="0" t="n">
        <v>0.815737212539297</v>
      </c>
      <c r="B479" s="0" t="n">
        <v>0.860473488359745</v>
      </c>
      <c r="C479" s="0" t="n">
        <v>-0.583077438568939</v>
      </c>
    </row>
    <row r="480" customFormat="false" ht="15" hidden="false" customHeight="false" outlineLevel="0" collapsed="false">
      <c r="A480" s="0" t="n">
        <v>-0.167121713786412</v>
      </c>
      <c r="B480" s="0" t="n">
        <v>0.2825799504883</v>
      </c>
      <c r="C480" s="0" t="n">
        <v>-0.248691126183547</v>
      </c>
    </row>
    <row r="481" customFormat="false" ht="15" hidden="false" customHeight="false" outlineLevel="0" collapsed="false">
      <c r="A481" s="0" t="n">
        <v>1.60734557601999</v>
      </c>
      <c r="B481" s="0" t="n">
        <v>0.490974951638251</v>
      </c>
      <c r="C481" s="0" t="n">
        <v>0.734877786049818</v>
      </c>
    </row>
    <row r="482" customFormat="false" ht="15" hidden="false" customHeight="false" outlineLevel="0" collapsed="false">
      <c r="A482" s="0" t="n">
        <v>0.662881268667413</v>
      </c>
      <c r="B482" s="0" t="n">
        <v>1.17347385748533</v>
      </c>
      <c r="C482" s="0" t="n">
        <v>0.181021558703707</v>
      </c>
    </row>
    <row r="483" customFormat="false" ht="15" hidden="false" customHeight="false" outlineLevel="0" collapsed="false">
      <c r="A483" s="0" t="n">
        <v>-1.29683194795585</v>
      </c>
      <c r="B483" s="0" t="n">
        <v>0.399687951752642</v>
      </c>
      <c r="C483" s="0" t="n">
        <v>-0.651356893791829</v>
      </c>
    </row>
    <row r="484" customFormat="false" ht="15" hidden="false" customHeight="false" outlineLevel="0" collapsed="false">
      <c r="A484" s="0" t="n">
        <v>-0.528616681749757</v>
      </c>
      <c r="B484" s="0" t="n">
        <v>0.586364018755093</v>
      </c>
      <c r="C484" s="0" t="n">
        <v>1.23828307143364</v>
      </c>
    </row>
    <row r="485" customFormat="false" ht="15" hidden="false" customHeight="false" outlineLevel="0" collapsed="false">
      <c r="A485" s="0" t="n">
        <v>0.0212715767360617</v>
      </c>
      <c r="B485" s="0" t="n">
        <v>0.308833012598964</v>
      </c>
      <c r="C485" s="0" t="n">
        <v>1.70221494463524</v>
      </c>
    </row>
    <row r="486" customFormat="false" ht="15" hidden="false" customHeight="false" outlineLevel="0" collapsed="false">
      <c r="A486" s="0" t="n">
        <v>0.240753179488568</v>
      </c>
      <c r="B486" s="0" t="n">
        <v>2.6016831141804</v>
      </c>
      <c r="C486" s="0" t="n">
        <v>0.565509645631544</v>
      </c>
    </row>
    <row r="487" customFormat="false" ht="15" hidden="false" customHeight="false" outlineLevel="0" collapsed="false">
      <c r="A487" s="0" t="n">
        <v>-1.76076275915582</v>
      </c>
      <c r="B487" s="0" t="n">
        <v>0.753341621104533</v>
      </c>
      <c r="C487" s="0" t="n">
        <v>0.381158384882778</v>
      </c>
    </row>
    <row r="488" customFormat="false" ht="15" hidden="false" customHeight="false" outlineLevel="0" collapsed="false">
      <c r="A488" s="0" t="n">
        <v>1.28975275408275</v>
      </c>
      <c r="B488" s="0" t="n">
        <v>0.673181351269958</v>
      </c>
      <c r="C488" s="0" t="n">
        <v>-0.138455983983774</v>
      </c>
    </row>
    <row r="489" customFormat="false" ht="15" hidden="false" customHeight="false" outlineLevel="0" collapsed="false">
      <c r="A489" s="0" t="n">
        <v>-1.22429823628937</v>
      </c>
      <c r="B489" s="0" t="n">
        <v>-0.209023257286025</v>
      </c>
      <c r="C489" s="0" t="n">
        <v>-0.8505204542093</v>
      </c>
    </row>
    <row r="490" customFormat="false" ht="15" hidden="false" customHeight="false" outlineLevel="0" collapsed="false">
      <c r="A490" s="0" t="n">
        <v>-0.580523449804723</v>
      </c>
      <c r="B490" s="0" t="n">
        <v>0.58857840442061</v>
      </c>
      <c r="C490" s="0" t="n">
        <v>1.66990450435141</v>
      </c>
    </row>
    <row r="491" customFormat="false" ht="15" hidden="false" customHeight="false" outlineLevel="0" collapsed="false">
      <c r="A491" s="0" t="n">
        <v>0.394671529822981</v>
      </c>
      <c r="B491" s="0" t="n">
        <v>-1.19588306203518</v>
      </c>
      <c r="C491" s="0" t="n">
        <v>0.444602668220141</v>
      </c>
    </row>
    <row r="492" customFormat="false" ht="15" hidden="false" customHeight="false" outlineLevel="0" collapsed="false">
      <c r="A492" s="0" t="n">
        <v>1.19663148664565</v>
      </c>
      <c r="B492" s="0" t="n">
        <v>-0.609782904319382</v>
      </c>
      <c r="C492" s="0" t="n">
        <v>-0.134017166672918</v>
      </c>
    </row>
    <row r="493" customFormat="false" ht="15" hidden="false" customHeight="false" outlineLevel="0" collapsed="false">
      <c r="A493" s="0" t="n">
        <v>0.0146881947291971</v>
      </c>
      <c r="B493" s="0" t="n">
        <v>-0.78489831308224</v>
      </c>
      <c r="C493" s="0" t="n">
        <v>0.648280433843859</v>
      </c>
    </row>
    <row r="494" customFormat="false" ht="15" hidden="false" customHeight="false" outlineLevel="0" collapsed="false">
      <c r="A494" s="0" t="n">
        <v>-0.120948148607782</v>
      </c>
      <c r="B494" s="0" t="n">
        <v>0.419532443907028</v>
      </c>
      <c r="C494" s="0" t="n">
        <v>-0.8874921778021</v>
      </c>
    </row>
    <row r="495" customFormat="false" ht="15" hidden="false" customHeight="false" outlineLevel="0" collapsed="false">
      <c r="A495" s="0" t="n">
        <v>-0.43745830032341</v>
      </c>
      <c r="B495" s="0" t="n">
        <v>0.722381357827771</v>
      </c>
      <c r="C495" s="0" t="n">
        <v>-0.372833152091767</v>
      </c>
    </row>
    <row r="496" customFormat="false" ht="15" hidden="false" customHeight="false" outlineLevel="0" collapsed="false">
      <c r="A496" s="0" t="n">
        <v>1.72696385123341</v>
      </c>
      <c r="B496" s="0" t="n">
        <v>-0.399636185614602</v>
      </c>
      <c r="C496" s="0" t="n">
        <v>0.224684725751886</v>
      </c>
    </row>
    <row r="497" customFormat="false" ht="15" hidden="false" customHeight="false" outlineLevel="0" collapsed="false">
      <c r="A497" s="0" t="n">
        <v>0.93259083187309</v>
      </c>
      <c r="B497" s="0" t="n">
        <v>-1.41836573293303</v>
      </c>
      <c r="C497" s="0" t="n">
        <v>-1.76080881198078</v>
      </c>
    </row>
    <row r="498" customFormat="false" ht="15" hidden="false" customHeight="false" outlineLevel="0" collapsed="false">
      <c r="A498" s="0" t="n">
        <v>-1.5256563145701</v>
      </c>
      <c r="B498" s="0" t="n">
        <v>1.26258410342718</v>
      </c>
      <c r="C498" s="0" t="n">
        <v>-0.551858145892447</v>
      </c>
    </row>
    <row r="499" customFormat="false" ht="15" hidden="false" customHeight="false" outlineLevel="0" collapsed="false">
      <c r="A499" s="0" t="n">
        <v>2.55819928566825</v>
      </c>
      <c r="B499" s="0" t="n">
        <v>-0.564247598657389</v>
      </c>
      <c r="C499" s="0" t="n">
        <v>0.184551303197037</v>
      </c>
    </row>
    <row r="500" customFormat="false" ht="15" hidden="false" customHeight="false" outlineLevel="0" collapsed="false">
      <c r="A500" s="0" t="n">
        <v>1.54210995256788</v>
      </c>
      <c r="B500" s="0" t="n">
        <v>2.00609288815912</v>
      </c>
      <c r="C500" s="0" t="n">
        <v>2.0615035766364</v>
      </c>
    </row>
    <row r="501" customFormat="false" ht="15" hidden="false" customHeight="false" outlineLevel="0" collapsed="false">
      <c r="A501" s="0" t="n">
        <v>1.20836623059314</v>
      </c>
      <c r="B501" s="0" t="n">
        <v>1.02406252581146</v>
      </c>
      <c r="C501" s="0" t="n">
        <v>0.592526949201183</v>
      </c>
    </row>
    <row r="502" customFormat="false" ht="15" hidden="false" customHeight="false" outlineLevel="0" collapsed="false">
      <c r="A502" s="0" t="n">
        <v>0.778361076166638</v>
      </c>
      <c r="B502" s="0" t="n">
        <v>-0.551185716328533</v>
      </c>
      <c r="C502" s="0" t="n">
        <v>-0.818198883422307</v>
      </c>
    </row>
    <row r="503" customFormat="false" ht="15" hidden="false" customHeight="false" outlineLevel="0" collapsed="false">
      <c r="A503" s="0" t="n">
        <v>-0.00337445741095205</v>
      </c>
      <c r="B503" s="0" t="n">
        <v>-0.170184622524928</v>
      </c>
      <c r="C503" s="0" t="n">
        <v>-0.453228049327275</v>
      </c>
    </row>
    <row r="504" customFormat="false" ht="15" hidden="false" customHeight="false" outlineLevel="0" collapsed="false">
      <c r="A504" s="0" t="n">
        <v>0.696387447456715</v>
      </c>
      <c r="B504" s="0" t="n">
        <v>0.955305208570511</v>
      </c>
      <c r="C504" s="0" t="n">
        <v>0.0884068862918474</v>
      </c>
    </row>
    <row r="505" customFormat="false" ht="15" hidden="false" customHeight="false" outlineLevel="0" collapsed="false">
      <c r="A505" s="0" t="n">
        <v>1.47753008105526</v>
      </c>
      <c r="B505" s="0" t="n">
        <v>-1.14168911413351</v>
      </c>
      <c r="C505" s="0" t="n">
        <v>-0.193659459279718</v>
      </c>
    </row>
    <row r="506" customFormat="false" ht="15" hidden="false" customHeight="false" outlineLevel="0" collapsed="false">
      <c r="A506" s="0" t="n">
        <v>-0.716822320602805</v>
      </c>
      <c r="B506" s="0" t="n">
        <v>-1.86653661707306</v>
      </c>
      <c r="C506" s="0" t="n">
        <v>-0.0826806858426993</v>
      </c>
    </row>
    <row r="507" customFormat="false" ht="15" hidden="false" customHeight="false" outlineLevel="0" collapsed="false">
      <c r="A507" s="0" t="n">
        <v>-0.121747508383284</v>
      </c>
      <c r="B507" s="0" t="n">
        <v>1.51344974324213</v>
      </c>
      <c r="C507" s="0" t="n">
        <v>0.630811684554778</v>
      </c>
    </row>
    <row r="508" customFormat="false" ht="15" hidden="false" customHeight="false" outlineLevel="0" collapsed="false">
      <c r="A508" s="0" t="n">
        <v>-1.02418682432921</v>
      </c>
      <c r="B508" s="0" t="n">
        <v>1.85409256633419</v>
      </c>
      <c r="C508" s="0" t="n">
        <v>1.22103369552535</v>
      </c>
    </row>
    <row r="509" customFormat="false" ht="15" hidden="false" customHeight="false" outlineLevel="0" collapsed="false">
      <c r="A509" s="0" t="n">
        <v>0.582097703468616</v>
      </c>
      <c r="B509" s="0" t="n">
        <v>-0.226484098849832</v>
      </c>
      <c r="C509" s="0" t="n">
        <v>-0.95943923672348</v>
      </c>
    </row>
    <row r="510" customFormat="false" ht="15" hidden="false" customHeight="false" outlineLevel="0" collapsed="false">
      <c r="A510" s="0" t="n">
        <v>-0.372206776071053</v>
      </c>
      <c r="B510" s="0" t="n">
        <v>1.08874861970419</v>
      </c>
      <c r="C510" s="0" t="n">
        <v>1.88458630593461</v>
      </c>
    </row>
    <row r="511" customFormat="false" ht="15" hidden="false" customHeight="false" outlineLevel="0" collapsed="false">
      <c r="A511" s="0" t="n">
        <v>1.54324352827219</v>
      </c>
      <c r="B511" s="0" t="n">
        <v>-0.488849421786274</v>
      </c>
      <c r="C511" s="0" t="n">
        <v>-1.11961743328901</v>
      </c>
    </row>
    <row r="512" customFormat="false" ht="15" hidden="false" customHeight="false" outlineLevel="0" collapsed="false">
      <c r="A512" s="0" t="n">
        <v>0.140886246911204</v>
      </c>
      <c r="B512" s="0" t="n">
        <v>-1.76843936556285</v>
      </c>
      <c r="C512" s="0" t="n">
        <v>0.323167714184782</v>
      </c>
    </row>
    <row r="513" customFormat="false" ht="15" hidden="false" customHeight="false" outlineLevel="0" collapsed="false">
      <c r="A513" s="0" t="n">
        <v>-0.147602586298669</v>
      </c>
      <c r="B513" s="0" t="n">
        <v>-0.466036501868242</v>
      </c>
      <c r="C513" s="0" t="n">
        <v>-1.5947030672668</v>
      </c>
    </row>
    <row r="514" customFormat="false" ht="15" hidden="false" customHeight="false" outlineLevel="0" collapsed="false">
      <c r="A514" s="0" t="n">
        <v>0.513600106569717</v>
      </c>
      <c r="B514" s="0" t="n">
        <v>-0.532700839661911</v>
      </c>
      <c r="C514" s="0" t="n">
        <v>-1.16991683571029</v>
      </c>
    </row>
    <row r="515" customFormat="false" ht="15" hidden="false" customHeight="false" outlineLevel="0" collapsed="false">
      <c r="A515" s="0" t="n">
        <v>-2.87226221328165</v>
      </c>
      <c r="B515" s="0" t="n">
        <v>-0.0275149050506363</v>
      </c>
      <c r="C515" s="0" t="n">
        <v>1.77225159666974</v>
      </c>
    </row>
    <row r="516" customFormat="false" ht="15" hidden="false" customHeight="false" outlineLevel="0" collapsed="false">
      <c r="A516" s="0" t="n">
        <v>1.66125921454787</v>
      </c>
      <c r="B516" s="0" t="n">
        <v>-0.457096256586272</v>
      </c>
      <c r="C516" s="0" t="n">
        <v>-0.602212060361781</v>
      </c>
    </row>
    <row r="517" customFormat="false" ht="15" hidden="false" customHeight="false" outlineLevel="0" collapsed="false">
      <c r="A517" s="0" t="n">
        <v>0.468774256075024</v>
      </c>
      <c r="B517" s="0" t="n">
        <v>-0.998385439188292</v>
      </c>
      <c r="C517" s="0" t="n">
        <v>0.301791899819466</v>
      </c>
    </row>
    <row r="518" customFormat="false" ht="15" hidden="false" customHeight="false" outlineLevel="0" collapsed="false">
      <c r="A518" s="0" t="n">
        <v>0.76608027838469</v>
      </c>
      <c r="B518" s="0" t="n">
        <v>1.22693322388431</v>
      </c>
      <c r="C518" s="0" t="n">
        <v>-0.100154076479953</v>
      </c>
    </row>
    <row r="519" customFormat="false" ht="15" hidden="false" customHeight="false" outlineLevel="0" collapsed="false">
      <c r="A519" s="0" t="n">
        <v>-0.203673750176966</v>
      </c>
      <c r="B519" s="0" t="n">
        <v>-0.877982586756561</v>
      </c>
      <c r="C519" s="0" t="n">
        <v>-0.82688035403986</v>
      </c>
    </row>
    <row r="520" customFormat="false" ht="15" hidden="false" customHeight="false" outlineLevel="0" collapsed="false">
      <c r="A520" s="0" t="n">
        <v>-0.226478891901527</v>
      </c>
      <c r="B520" s="0" t="n">
        <v>0.367365506816178</v>
      </c>
      <c r="C520" s="0" t="n">
        <v>0.913584626233249</v>
      </c>
    </row>
    <row r="521" customFormat="false" ht="15" hidden="false" customHeight="false" outlineLevel="0" collapsed="false">
      <c r="A521" s="0" t="n">
        <v>-0.803178950680345</v>
      </c>
      <c r="B521" s="0" t="n">
        <v>1.49268856895952</v>
      </c>
      <c r="C521" s="0" t="n">
        <v>-0.271123601042569</v>
      </c>
    </row>
    <row r="522" customFormat="false" ht="15" hidden="false" customHeight="false" outlineLevel="0" collapsed="false">
      <c r="A522" s="0" t="n">
        <v>-0.0213672943484362</v>
      </c>
      <c r="B522" s="0" t="n">
        <v>-0.747211679147823</v>
      </c>
      <c r="C522" s="0" t="n">
        <v>-2.42424026027294</v>
      </c>
    </row>
    <row r="523" customFormat="false" ht="15" hidden="false" customHeight="false" outlineLevel="0" collapsed="false">
      <c r="A523" s="0" t="n">
        <v>0.88404539636105</v>
      </c>
      <c r="B523" s="0" t="n">
        <v>0.736843897092433</v>
      </c>
      <c r="C523" s="0" t="n">
        <v>-0.281327557118213</v>
      </c>
    </row>
    <row r="524" customFormat="false" ht="15" hidden="false" customHeight="false" outlineLevel="0" collapsed="false">
      <c r="A524" s="0" t="n">
        <v>0.0669907172248719</v>
      </c>
      <c r="B524" s="0" t="n">
        <v>0.5159392177041</v>
      </c>
      <c r="C524" s="0" t="n">
        <v>-1.56254585688654</v>
      </c>
    </row>
    <row r="525" customFormat="false" ht="15" hidden="false" customHeight="false" outlineLevel="0" collapsed="false">
      <c r="A525" s="0" t="n">
        <v>-0.529052677346295</v>
      </c>
      <c r="B525" s="0" t="n">
        <v>0.794264679621827</v>
      </c>
      <c r="C525" s="0" t="n">
        <v>-1.25428942316925</v>
      </c>
    </row>
    <row r="526" customFormat="false" ht="15" hidden="false" customHeight="false" outlineLevel="0" collapsed="false">
      <c r="A526" s="0" t="n">
        <v>0.293557932166629</v>
      </c>
      <c r="B526" s="0" t="n">
        <v>-1.35658180462341</v>
      </c>
      <c r="C526" s="0" t="n">
        <v>0.466429982433526</v>
      </c>
    </row>
    <row r="527" customFormat="false" ht="15" hidden="false" customHeight="false" outlineLevel="0" collapsed="false">
      <c r="A527" s="0" t="n">
        <v>-0.0356414822974836</v>
      </c>
      <c r="B527" s="0" t="n">
        <v>-1.61513181590551</v>
      </c>
      <c r="C527" s="0" t="n">
        <v>1.16473935445717</v>
      </c>
    </row>
    <row r="528" customFormat="false" ht="15" hidden="false" customHeight="false" outlineLevel="0" collapsed="false">
      <c r="A528" s="0" t="n">
        <v>-0.734591576798049</v>
      </c>
      <c r="B528" s="0" t="n">
        <v>-0.810252437014381</v>
      </c>
      <c r="C528" s="0" t="n">
        <v>0.200569197230943</v>
      </c>
    </row>
    <row r="529" customFormat="false" ht="15" hidden="false" customHeight="false" outlineLevel="0" collapsed="false">
      <c r="A529" s="0" t="n">
        <v>1.14863734942872</v>
      </c>
      <c r="B529" s="0" t="n">
        <v>-1.0158218189784</v>
      </c>
      <c r="C529" s="0" t="n">
        <v>0.0616798498479717</v>
      </c>
    </row>
    <row r="530" customFormat="false" ht="15" hidden="false" customHeight="false" outlineLevel="0" collapsed="false">
      <c r="A530" s="0" t="n">
        <v>0.428816500330573</v>
      </c>
      <c r="B530" s="0" t="n">
        <v>0.693105607263144</v>
      </c>
      <c r="C530" s="0" t="n">
        <v>0.176441555277225</v>
      </c>
    </row>
    <row r="531" customFormat="false" ht="15" hidden="false" customHeight="false" outlineLevel="0" collapsed="false">
      <c r="A531" s="0" t="n">
        <v>-0.367027839083322</v>
      </c>
      <c r="B531" s="0" t="n">
        <v>-0.82759022064872</v>
      </c>
      <c r="C531" s="0" t="n">
        <v>0.0861438830463748</v>
      </c>
    </row>
    <row r="532" customFormat="false" ht="15" hidden="false" customHeight="false" outlineLevel="0" collapsed="false">
      <c r="A532" s="0" t="n">
        <v>-1.07213901198561</v>
      </c>
      <c r="B532" s="0" t="n">
        <v>-2.92135048349461</v>
      </c>
      <c r="C532" s="0" t="n">
        <v>0.436559804157668</v>
      </c>
    </row>
    <row r="533" customFormat="false" ht="15" hidden="false" customHeight="false" outlineLevel="0" collapsed="false">
      <c r="A533" s="0" t="n">
        <v>0.903934841086195</v>
      </c>
      <c r="B533" s="0" t="n">
        <v>-2.36293243554184</v>
      </c>
      <c r="C533" s="0" t="n">
        <v>-1.00973070470994</v>
      </c>
    </row>
    <row r="534" customFormat="false" ht="15" hidden="false" customHeight="false" outlineLevel="0" collapsed="false">
      <c r="A534" s="0" t="n">
        <v>0.619154261005198</v>
      </c>
      <c r="B534" s="0" t="n">
        <v>2.0574954697117</v>
      </c>
      <c r="C534" s="0" t="n">
        <v>0.0207937076754079</v>
      </c>
    </row>
    <row r="535" customFormat="false" ht="15" hidden="false" customHeight="false" outlineLevel="0" collapsed="false">
      <c r="A535" s="0" t="n">
        <v>-0.728002941229134</v>
      </c>
      <c r="B535" s="0" t="n">
        <v>-0.18289644110484</v>
      </c>
      <c r="C535" s="0" t="n">
        <v>1.37487641914819</v>
      </c>
    </row>
    <row r="536" customFormat="false" ht="15" hidden="false" customHeight="false" outlineLevel="0" collapsed="false">
      <c r="A536" s="0" t="n">
        <v>-0.645964179124535</v>
      </c>
      <c r="B536" s="0" t="n">
        <v>-0.799192006650254</v>
      </c>
      <c r="C536" s="0" t="n">
        <v>-0.482743522182032</v>
      </c>
    </row>
    <row r="537" customFormat="false" ht="15" hidden="false" customHeight="false" outlineLevel="0" collapsed="false">
      <c r="A537" s="0" t="n">
        <v>-0.953328608258712</v>
      </c>
      <c r="B537" s="0" t="n">
        <v>0.122670315994796</v>
      </c>
      <c r="C537" s="0" t="n">
        <v>1.62467845846956</v>
      </c>
    </row>
    <row r="538" customFormat="false" ht="15" hidden="false" customHeight="false" outlineLevel="0" collapsed="false">
      <c r="A538" s="0" t="n">
        <v>0.323079273116029</v>
      </c>
      <c r="B538" s="0" t="n">
        <v>-0.252353502126288</v>
      </c>
      <c r="C538" s="0" t="n">
        <v>-0.291811268915544</v>
      </c>
    </row>
    <row r="539" customFormat="false" ht="15" hidden="false" customHeight="false" outlineLevel="0" collapsed="false">
      <c r="A539" s="0" t="n">
        <v>-1.56319080869666</v>
      </c>
      <c r="B539" s="0" t="n">
        <v>0.883109777147159</v>
      </c>
      <c r="C539" s="0" t="n">
        <v>-0.077837197012802</v>
      </c>
    </row>
    <row r="540" customFormat="false" ht="15" hidden="false" customHeight="false" outlineLevel="0" collapsed="false">
      <c r="A540" s="0" t="n">
        <v>-0.180479913590626</v>
      </c>
      <c r="B540" s="0" t="n">
        <v>3.19310756784486</v>
      </c>
      <c r="C540" s="0" t="n">
        <v>0.298752908365686</v>
      </c>
    </row>
    <row r="541" customFormat="false" ht="15" hidden="false" customHeight="false" outlineLevel="0" collapsed="false">
      <c r="A541" s="0" t="n">
        <v>-0.751791050095184</v>
      </c>
      <c r="B541" s="0" t="n">
        <v>-0.426357596205543</v>
      </c>
      <c r="C541" s="0" t="n">
        <v>1.14844570919676</v>
      </c>
    </row>
    <row r="542" customFormat="false" ht="15" hidden="false" customHeight="false" outlineLevel="0" collapsed="false">
      <c r="A542" s="0" t="n">
        <v>0.113270410537765</v>
      </c>
      <c r="B542" s="0" t="n">
        <v>-1.43827797831737</v>
      </c>
      <c r="C542" s="0" t="n">
        <v>0.919228934575204</v>
      </c>
    </row>
    <row r="543" customFormat="false" ht="15" hidden="false" customHeight="false" outlineLevel="0" collapsed="false">
      <c r="A543" s="0" t="n">
        <v>-0.668144085538994</v>
      </c>
      <c r="B543" s="0" t="n">
        <v>1.87329777621755</v>
      </c>
      <c r="C543" s="0" t="n">
        <v>1.08004806571465</v>
      </c>
    </row>
    <row r="544" customFormat="false" ht="15" hidden="false" customHeight="false" outlineLevel="0" collapsed="false">
      <c r="A544" s="0" t="n">
        <v>-0.447321895658751</v>
      </c>
      <c r="B544" s="0" t="n">
        <v>1.28101636173511</v>
      </c>
      <c r="C544" s="0" t="n">
        <v>0.0678555105274033</v>
      </c>
    </row>
    <row r="545" customFormat="false" ht="15" hidden="false" customHeight="false" outlineLevel="0" collapsed="false">
      <c r="A545" s="0" t="n">
        <v>0.85277367512222</v>
      </c>
      <c r="B545" s="0" t="n">
        <v>0.484732817294475</v>
      </c>
      <c r="C545" s="0" t="n">
        <v>-0.846356654990874</v>
      </c>
    </row>
    <row r="546" customFormat="false" ht="15" hidden="false" customHeight="false" outlineLevel="0" collapsed="false">
      <c r="A546" s="0" t="n">
        <v>-0.643549832317462</v>
      </c>
      <c r="B546" s="0" t="n">
        <v>1.02996081758116</v>
      </c>
      <c r="C546" s="0" t="n">
        <v>-0.334775332106541</v>
      </c>
    </row>
    <row r="547" customFormat="false" ht="15" hidden="false" customHeight="false" outlineLevel="0" collapsed="false">
      <c r="A547" s="0" t="n">
        <v>-0.403648463241997</v>
      </c>
      <c r="B547" s="0" t="n">
        <v>-0.955122579349353</v>
      </c>
      <c r="C547" s="0" t="n">
        <v>0.423599065593461</v>
      </c>
    </row>
    <row r="548" customFormat="false" ht="15" hidden="false" customHeight="false" outlineLevel="0" collapsed="false">
      <c r="A548" s="0" t="n">
        <v>2.06252491924315</v>
      </c>
      <c r="B548" s="0" t="n">
        <v>-1.06753291425427</v>
      </c>
      <c r="C548" s="0" t="n">
        <v>0.0242194566727581</v>
      </c>
    </row>
    <row r="549" customFormat="false" ht="15" hidden="false" customHeight="false" outlineLevel="0" collapsed="false">
      <c r="A549" s="0" t="n">
        <v>1.41222055541543</v>
      </c>
      <c r="B549" s="0" t="n">
        <v>-0.0796413912457152</v>
      </c>
      <c r="C549" s="0" t="n">
        <v>0.452371796249734</v>
      </c>
    </row>
    <row r="550" customFormat="false" ht="15" hidden="false" customHeight="false" outlineLevel="0" collapsed="false">
      <c r="A550" s="0" t="n">
        <v>-1.06239352814688</v>
      </c>
      <c r="B550" s="0" t="n">
        <v>0.428307097207649</v>
      </c>
      <c r="C550" s="0" t="n">
        <v>-0.187144265004549</v>
      </c>
    </row>
    <row r="551" customFormat="false" ht="15" hidden="false" customHeight="false" outlineLevel="0" collapsed="false">
      <c r="A551" s="0" t="n">
        <v>0.985729995679863</v>
      </c>
      <c r="B551" s="0" t="n">
        <v>1.18738605156475</v>
      </c>
      <c r="C551" s="0" t="n">
        <v>2.58956364201861</v>
      </c>
    </row>
    <row r="552" customFormat="false" ht="15" hidden="false" customHeight="false" outlineLevel="0" collapsed="false">
      <c r="A552" s="0" t="n">
        <v>0.579633173213576</v>
      </c>
      <c r="B552" s="0" t="n">
        <v>0.325796316582167</v>
      </c>
      <c r="C552" s="0" t="n">
        <v>0.194384301577336</v>
      </c>
    </row>
    <row r="553" customFormat="false" ht="15" hidden="false" customHeight="false" outlineLevel="0" collapsed="false">
      <c r="A553" s="0" t="n">
        <v>-0.353166292810688</v>
      </c>
      <c r="B553" s="0" t="n">
        <v>0.338483843461691</v>
      </c>
      <c r="C553" s="0" t="n">
        <v>-0.295401410139029</v>
      </c>
    </row>
    <row r="554" customFormat="false" ht="15" hidden="false" customHeight="false" outlineLevel="0" collapsed="false">
      <c r="A554" s="0" t="n">
        <v>0.168460976269614</v>
      </c>
      <c r="B554" s="0" t="n">
        <v>1.31759753560796</v>
      </c>
      <c r="C554" s="0" t="n">
        <v>-1.00654256527964</v>
      </c>
    </row>
    <row r="555" customFormat="false" ht="15" hidden="false" customHeight="false" outlineLevel="0" collapsed="false">
      <c r="A555" s="0" t="n">
        <v>1.13987856112905</v>
      </c>
      <c r="B555" s="0" t="n">
        <v>1.31711506733987</v>
      </c>
      <c r="C555" s="0" t="n">
        <v>-0.118068526991079</v>
      </c>
    </row>
    <row r="556" customFormat="false" ht="15" hidden="false" customHeight="false" outlineLevel="0" collapsed="false">
      <c r="A556" s="0" t="n">
        <v>-2.1218548990086</v>
      </c>
      <c r="B556" s="0" t="n">
        <v>-0.607821987094433</v>
      </c>
      <c r="C556" s="0" t="n">
        <v>1.29699454656111</v>
      </c>
    </row>
    <row r="557" customFormat="false" ht="15" hidden="false" customHeight="false" outlineLevel="0" collapsed="false">
      <c r="A557" s="0" t="n">
        <v>-0.0228680622988821</v>
      </c>
      <c r="B557" s="0" t="n">
        <v>-0.999302232294911</v>
      </c>
      <c r="C557" s="0" t="n">
        <v>-0.504774921228217</v>
      </c>
    </row>
    <row r="558" customFormat="false" ht="15" hidden="false" customHeight="false" outlineLevel="0" collapsed="false">
      <c r="A558" s="0" t="n">
        <v>0.840620026504553</v>
      </c>
      <c r="B558" s="0" t="n">
        <v>0.546733568201379</v>
      </c>
      <c r="C558" s="0" t="n">
        <v>-0.238932099169694</v>
      </c>
    </row>
    <row r="559" customFormat="false" ht="15" hidden="false" customHeight="false" outlineLevel="0" collapsed="false">
      <c r="A559" s="0" t="n">
        <v>-0.366824411814688</v>
      </c>
      <c r="B559" s="0" t="n">
        <v>-0.391758149043822</v>
      </c>
      <c r="C559" s="0" t="n">
        <v>-0.922410184498503</v>
      </c>
    </row>
    <row r="560" customFormat="false" ht="15" hidden="false" customHeight="false" outlineLevel="0" collapsed="false">
      <c r="A560" s="0" t="n">
        <v>1.61537568946944</v>
      </c>
      <c r="B560" s="0" t="n">
        <v>-0.32232046921134</v>
      </c>
      <c r="C560" s="0" t="n">
        <v>1.2171585208255</v>
      </c>
    </row>
    <row r="561" customFormat="false" ht="15" hidden="false" customHeight="false" outlineLevel="0" collapsed="false">
      <c r="A561" s="0" t="n">
        <v>1.52131605192245</v>
      </c>
      <c r="B561" s="0" t="n">
        <v>0.99831089814796</v>
      </c>
      <c r="C561" s="0" t="n">
        <v>-0.431620312718048</v>
      </c>
    </row>
    <row r="562" customFormat="false" ht="15" hidden="false" customHeight="false" outlineLevel="0" collapsed="false">
      <c r="A562" s="0" t="n">
        <v>0.403730090336609</v>
      </c>
      <c r="B562" s="0" t="n">
        <v>-0.0241956063909162</v>
      </c>
      <c r="C562" s="0" t="n">
        <v>-0.903701860730128</v>
      </c>
    </row>
    <row r="563" customFormat="false" ht="15" hidden="false" customHeight="false" outlineLevel="0" collapsed="false">
      <c r="A563" s="0" t="n">
        <v>0.324359281721603</v>
      </c>
      <c r="B563" s="0" t="n">
        <v>-1.1790397911598</v>
      </c>
      <c r="C563" s="0" t="n">
        <v>1.18767938846156</v>
      </c>
    </row>
    <row r="564" customFormat="false" ht="15" hidden="false" customHeight="false" outlineLevel="0" collapsed="false">
      <c r="A564" s="0" t="n">
        <v>-0.464617297298393</v>
      </c>
      <c r="B564" s="0" t="n">
        <v>0.201159655872839</v>
      </c>
      <c r="C564" s="0" t="n">
        <v>0.283287871546142</v>
      </c>
    </row>
    <row r="565" customFormat="false" ht="15" hidden="false" customHeight="false" outlineLevel="0" collapsed="false">
      <c r="A565" s="0" t="n">
        <v>-0.258904973704077</v>
      </c>
      <c r="B565" s="0" t="n">
        <v>0.586693801475275</v>
      </c>
      <c r="C565" s="0" t="n">
        <v>-0.474903656622524</v>
      </c>
    </row>
    <row r="566" customFormat="false" ht="15" hidden="false" customHeight="false" outlineLevel="0" collapsed="false">
      <c r="A566" s="0" t="n">
        <v>0.871297297457244</v>
      </c>
      <c r="B566" s="0" t="n">
        <v>-1.34597968024675</v>
      </c>
      <c r="C566" s="0" t="n">
        <v>0.126379579546412</v>
      </c>
    </row>
    <row r="567" customFormat="false" ht="15" hidden="false" customHeight="false" outlineLevel="0" collapsed="false">
      <c r="A567" s="0" t="n">
        <v>1.93892899905829</v>
      </c>
      <c r="B567" s="0" t="n">
        <v>-1.00033132460558</v>
      </c>
      <c r="C567" s="0" t="n">
        <v>-0.677744970524852</v>
      </c>
    </row>
    <row r="568" customFormat="false" ht="15" hidden="false" customHeight="false" outlineLevel="0" collapsed="false">
      <c r="A568" s="0" t="n">
        <v>0.513907849658915</v>
      </c>
      <c r="B568" s="0" t="n">
        <v>0.179581781939598</v>
      </c>
      <c r="C568" s="0" t="n">
        <v>0.350630099273559</v>
      </c>
    </row>
    <row r="569" customFormat="false" ht="15" hidden="false" customHeight="false" outlineLevel="0" collapsed="false">
      <c r="A569" s="0" t="n">
        <v>0.489187130147664</v>
      </c>
      <c r="B569" s="0" t="n">
        <v>0.63472146856177</v>
      </c>
      <c r="C569" s="0" t="n">
        <v>1.10969984195622</v>
      </c>
    </row>
    <row r="570" customFormat="false" ht="15" hidden="false" customHeight="false" outlineLevel="0" collapsed="false">
      <c r="A570" s="0" t="n">
        <v>0.409818656928513</v>
      </c>
      <c r="B570" s="0" t="n">
        <v>-0.241257654618543</v>
      </c>
      <c r="C570" s="0" t="n">
        <v>0.672573701202731</v>
      </c>
    </row>
    <row r="571" customFormat="false" ht="15" hidden="false" customHeight="false" outlineLevel="0" collapsed="false">
      <c r="A571" s="0" t="n">
        <v>1.89988193489522</v>
      </c>
      <c r="B571" s="0" t="n">
        <v>-0.132633746382574</v>
      </c>
      <c r="C571" s="0" t="n">
        <v>-0.974529304670642</v>
      </c>
    </row>
    <row r="572" customFormat="false" ht="15" hidden="false" customHeight="false" outlineLevel="0" collapsed="false">
      <c r="A572" s="0" t="n">
        <v>1.10708066928697</v>
      </c>
      <c r="B572" s="0" t="n">
        <v>-0.120381163953598</v>
      </c>
      <c r="C572" s="0" t="n">
        <v>-2.17266954601404</v>
      </c>
    </row>
    <row r="573" customFormat="false" ht="15" hidden="false" customHeight="false" outlineLevel="0" collapsed="false">
      <c r="A573" s="0" t="n">
        <v>0.847421677150422</v>
      </c>
      <c r="B573" s="0" t="n">
        <v>-0.535328185953923</v>
      </c>
      <c r="C573" s="0" t="n">
        <v>-0.0905332823041608</v>
      </c>
    </row>
    <row r="574" customFormat="false" ht="15" hidden="false" customHeight="false" outlineLevel="0" collapsed="false">
      <c r="A574" s="0" t="n">
        <v>0.331980330569015</v>
      </c>
      <c r="B574" s="0" t="n">
        <v>0.190499679779066</v>
      </c>
      <c r="C574" s="0" t="n">
        <v>0.70945181713904</v>
      </c>
    </row>
    <row r="575" customFormat="false" ht="15" hidden="false" customHeight="false" outlineLevel="0" collapsed="false">
      <c r="A575" s="0" t="n">
        <v>-0.435486370569843</v>
      </c>
      <c r="B575" s="0" t="n">
        <v>0.513105798176083</v>
      </c>
      <c r="C575" s="0" t="n">
        <v>-0.259546677583917</v>
      </c>
    </row>
    <row r="576" customFormat="false" ht="15" hidden="false" customHeight="false" outlineLevel="0" collapsed="false">
      <c r="A576" s="0" t="n">
        <v>0.738810480887503</v>
      </c>
      <c r="B576" s="0" t="n">
        <v>0.615367484013053</v>
      </c>
      <c r="C576" s="0" t="n">
        <v>-0.935438702044595</v>
      </c>
    </row>
    <row r="577" customFormat="false" ht="15" hidden="false" customHeight="false" outlineLevel="0" collapsed="false">
      <c r="A577" s="0" t="n">
        <v>1.08598211617503</v>
      </c>
      <c r="B577" s="0" t="n">
        <v>-0.535963445114048</v>
      </c>
      <c r="C577" s="0" t="n">
        <v>0.808057798281145</v>
      </c>
    </row>
    <row r="578" customFormat="false" ht="15" hidden="false" customHeight="false" outlineLevel="0" collapsed="false">
      <c r="A578" s="0" t="n">
        <v>0.367287313401341</v>
      </c>
      <c r="B578" s="0" t="n">
        <v>1.83818367679512</v>
      </c>
      <c r="C578" s="0" t="n">
        <v>-0.223465982371852</v>
      </c>
    </row>
    <row r="579" customFormat="false" ht="15" hidden="false" customHeight="false" outlineLevel="0" collapsed="false">
      <c r="A579" s="0" t="n">
        <v>-0.349316796118198</v>
      </c>
      <c r="B579" s="0" t="n">
        <v>-0.0194196058877326</v>
      </c>
      <c r="C579" s="0" t="n">
        <v>-0.303179782834275</v>
      </c>
    </row>
    <row r="580" customFormat="false" ht="15" hidden="false" customHeight="false" outlineLevel="0" collapsed="false">
      <c r="A580" s="0" t="n">
        <v>0.79994190194205</v>
      </c>
      <c r="B580" s="0" t="n">
        <v>-1.61631060843659</v>
      </c>
      <c r="C580" s="0" t="n">
        <v>-1.05368241914635</v>
      </c>
    </row>
    <row r="581" customFormat="false" ht="15" hidden="false" customHeight="false" outlineLevel="0" collapsed="false">
      <c r="A581" s="0" t="n">
        <v>-1.06780292157919</v>
      </c>
      <c r="B581" s="0" t="n">
        <v>0.950307591973576</v>
      </c>
      <c r="C581" s="0" t="n">
        <v>1.71061337258193</v>
      </c>
    </row>
    <row r="582" customFormat="false" ht="15" hidden="false" customHeight="false" outlineLevel="0" collapsed="false">
      <c r="A582" s="0" t="n">
        <v>-0.104449218537472</v>
      </c>
      <c r="B582" s="0" t="n">
        <v>-0.168821723190011</v>
      </c>
      <c r="C582" s="0" t="n">
        <v>0.0700521631131814</v>
      </c>
    </row>
    <row r="583" customFormat="false" ht="15" hidden="false" customHeight="false" outlineLevel="0" collapsed="false">
      <c r="A583" s="0" t="n">
        <v>1.16187830260819</v>
      </c>
      <c r="B583" s="0" t="n">
        <v>-0.927353134190574</v>
      </c>
      <c r="C583" s="0" t="n">
        <v>0.238368982734785</v>
      </c>
    </row>
    <row r="584" customFormat="false" ht="15" hidden="false" customHeight="false" outlineLevel="0" collapsed="false">
      <c r="A584" s="0" t="n">
        <v>0.97519762978243</v>
      </c>
      <c r="B584" s="0" t="n">
        <v>0.501094169939845</v>
      </c>
      <c r="C584" s="0" t="n">
        <v>0.189581616598743</v>
      </c>
    </row>
    <row r="585" customFormat="false" ht="15" hidden="false" customHeight="false" outlineLevel="0" collapsed="false">
      <c r="A585" s="0" t="n">
        <v>1.00104609256714</v>
      </c>
      <c r="B585" s="0" t="n">
        <v>-2.70323229299924</v>
      </c>
      <c r="C585" s="0" t="n">
        <v>0.677875319530908</v>
      </c>
    </row>
    <row r="586" customFormat="false" ht="15" hidden="false" customHeight="false" outlineLevel="0" collapsed="false">
      <c r="A586" s="0" t="n">
        <v>-0.654075683127424</v>
      </c>
      <c r="B586" s="0" t="n">
        <v>-1.83063289685646</v>
      </c>
      <c r="C586" s="0" t="n">
        <v>0.511202599524981</v>
      </c>
    </row>
    <row r="587" customFormat="false" ht="15" hidden="false" customHeight="false" outlineLevel="0" collapsed="false">
      <c r="A587" s="0" t="n">
        <v>1.37365854516296</v>
      </c>
      <c r="B587" s="0" t="n">
        <v>-0.137448514627692</v>
      </c>
      <c r="C587" s="0" t="n">
        <v>0.952874547202939</v>
      </c>
    </row>
    <row r="588" customFormat="false" ht="15" hidden="false" customHeight="false" outlineLevel="0" collapsed="false">
      <c r="A588" s="0" t="n">
        <v>1.61227825798865</v>
      </c>
      <c r="B588" s="0" t="n">
        <v>1.31491445358405</v>
      </c>
      <c r="C588" s="0" t="n">
        <v>1.63996452937139</v>
      </c>
    </row>
    <row r="589" customFormat="false" ht="15" hidden="false" customHeight="false" outlineLevel="0" collapsed="false">
      <c r="A589" s="0" t="n">
        <v>0.742127491071892</v>
      </c>
      <c r="B589" s="0" t="n">
        <v>0.0754336389015928</v>
      </c>
      <c r="C589" s="0" t="n">
        <v>-1.60196581189717</v>
      </c>
    </row>
    <row r="590" customFormat="false" ht="15" hidden="false" customHeight="false" outlineLevel="0" collapsed="false">
      <c r="A590" s="0" t="n">
        <v>-0.246062488129949</v>
      </c>
      <c r="B590" s="0" t="n">
        <v>-0.843246595316192</v>
      </c>
      <c r="C590" s="0" t="n">
        <v>2.17094271749781</v>
      </c>
    </row>
    <row r="591" customFormat="false" ht="15" hidden="false" customHeight="false" outlineLevel="0" collapsed="false">
      <c r="A591" s="0" t="n">
        <v>-0.175885812432337</v>
      </c>
      <c r="B591" s="0" t="n">
        <v>0.123204806784486</v>
      </c>
      <c r="C591" s="0" t="n">
        <v>0.551485376040468</v>
      </c>
    </row>
    <row r="592" customFormat="false" ht="15" hidden="false" customHeight="false" outlineLevel="0" collapsed="false">
      <c r="A592" s="0" t="n">
        <v>0.0436024463724537</v>
      </c>
      <c r="B592" s="0" t="n">
        <v>1.69505104043075</v>
      </c>
      <c r="C592" s="0" t="n">
        <v>-0.622649361734452</v>
      </c>
    </row>
    <row r="593" customFormat="false" ht="15" hidden="false" customHeight="false" outlineLevel="0" collapsed="false">
      <c r="A593" s="0" t="n">
        <v>0.194607455237243</v>
      </c>
      <c r="B593" s="0" t="n">
        <v>-0.742470585698048</v>
      </c>
      <c r="C593" s="0" t="n">
        <v>-1.32002251122071</v>
      </c>
    </row>
    <row r="594" customFormat="false" ht="15" hidden="false" customHeight="false" outlineLevel="0" collapsed="false">
      <c r="A594" s="0" t="n">
        <v>-0.611769090905285</v>
      </c>
      <c r="B594" s="0" t="n">
        <v>-0.037036797048412</v>
      </c>
      <c r="C594" s="0" t="n">
        <v>-0.42930222451726</v>
      </c>
    </row>
    <row r="595" customFormat="false" ht="15" hidden="false" customHeight="false" outlineLevel="0" collapsed="false">
      <c r="A595" s="0" t="n">
        <v>-0.692420979873856</v>
      </c>
      <c r="B595" s="0" t="n">
        <v>-1.40631746367183</v>
      </c>
      <c r="C595" s="0" t="n">
        <v>-0.0831055726286948</v>
      </c>
    </row>
    <row r="596" customFormat="false" ht="15" hidden="false" customHeight="false" outlineLevel="0" collapsed="false">
      <c r="A596" s="0" t="n">
        <v>-1.504720374031</v>
      </c>
      <c r="B596" s="0" t="n">
        <v>0.760055963689603</v>
      </c>
      <c r="C596" s="0" t="n">
        <v>0.0824397529345033</v>
      </c>
    </row>
    <row r="597" customFormat="false" ht="15" hidden="false" customHeight="false" outlineLevel="0" collapsed="false">
      <c r="A597" s="0" t="n">
        <v>-1.45755149946493</v>
      </c>
      <c r="B597" s="0" t="n">
        <v>-0.309209077049863</v>
      </c>
      <c r="C597" s="0" t="n">
        <v>-0.752156405590583</v>
      </c>
    </row>
    <row r="598" customFormat="false" ht="15" hidden="false" customHeight="false" outlineLevel="0" collapsed="false">
      <c r="A598" s="0" t="n">
        <v>0.31917451041918</v>
      </c>
      <c r="B598" s="0" t="n">
        <v>1.34045044602315</v>
      </c>
      <c r="C598" s="0" t="n">
        <v>-1.87517246964575</v>
      </c>
    </row>
    <row r="599" customFormat="false" ht="15" hidden="false" customHeight="false" outlineLevel="0" collapsed="false">
      <c r="A599" s="0" t="n">
        <v>0.115026079147417</v>
      </c>
      <c r="B599" s="0" t="n">
        <v>-0.16013279556664</v>
      </c>
      <c r="C599" s="0" t="n">
        <v>0.671340076450466</v>
      </c>
    </row>
    <row r="600" customFormat="false" ht="15" hidden="false" customHeight="false" outlineLevel="0" collapsed="false">
      <c r="A600" s="0" t="n">
        <v>0.213196628237689</v>
      </c>
      <c r="B600" s="0" t="n">
        <v>-0.751969331738819</v>
      </c>
      <c r="C600" s="0" t="n">
        <v>-0.319053935666618</v>
      </c>
    </row>
    <row r="601" customFormat="false" ht="15" hidden="false" customHeight="false" outlineLevel="0" collapsed="false">
      <c r="A601" s="0" t="n">
        <v>-0.796025856803489</v>
      </c>
      <c r="B601" s="0" t="n">
        <v>1.0760071385986</v>
      </c>
      <c r="C601" s="0" t="n">
        <v>0.0213116486719422</v>
      </c>
    </row>
    <row r="602" customFormat="false" ht="15" hidden="false" customHeight="false" outlineLevel="0" collapsed="false">
      <c r="A602" s="0" t="n">
        <v>1.90119068575301</v>
      </c>
      <c r="B602" s="0" t="n">
        <v>-0.0606608138146208</v>
      </c>
      <c r="C602" s="0" t="n">
        <v>-0.708406766910463</v>
      </c>
    </row>
    <row r="603" customFormat="false" ht="15" hidden="false" customHeight="false" outlineLevel="0" collapsed="false">
      <c r="A603" s="0" t="n">
        <v>-1.51371439261283</v>
      </c>
      <c r="B603" s="0" t="n">
        <v>-1.80313967625595</v>
      </c>
      <c r="C603" s="0" t="n">
        <v>-1.58413594300549</v>
      </c>
    </row>
    <row r="604" customFormat="false" ht="15" hidden="false" customHeight="false" outlineLevel="0" collapsed="false">
      <c r="A604" s="0" t="n">
        <v>0.267126651011483</v>
      </c>
      <c r="B604" s="0" t="n">
        <v>0.508725023229934</v>
      </c>
      <c r="C604" s="0" t="n">
        <v>-1.58119070203213</v>
      </c>
    </row>
    <row r="605" customFormat="false" ht="15" hidden="false" customHeight="false" outlineLevel="0" collapsed="false">
      <c r="A605" s="0" t="n">
        <v>0.895038314076115</v>
      </c>
      <c r="B605" s="0" t="n">
        <v>-0.48306105168344</v>
      </c>
      <c r="C605" s="0" t="n">
        <v>0.146793011985549</v>
      </c>
    </row>
    <row r="606" customFormat="false" ht="15" hidden="false" customHeight="false" outlineLevel="0" collapsed="false">
      <c r="A606" s="0" t="n">
        <v>1.61222062825542</v>
      </c>
      <c r="B606" s="0" t="n">
        <v>0.896839315865532</v>
      </c>
      <c r="C606" s="0" t="n">
        <v>-0.268530647905832</v>
      </c>
    </row>
    <row r="607" customFormat="false" ht="15" hidden="false" customHeight="false" outlineLevel="0" collapsed="false">
      <c r="A607" s="0" t="n">
        <v>-0.891192225415287</v>
      </c>
      <c r="B607" s="0" t="n">
        <v>-2.15181540132931</v>
      </c>
      <c r="C607" s="0" t="n">
        <v>-0.71915331924242</v>
      </c>
    </row>
    <row r="608" customFormat="false" ht="15" hidden="false" customHeight="false" outlineLevel="0" collapsed="false">
      <c r="A608" s="0" t="n">
        <v>-0.211130238827694</v>
      </c>
      <c r="B608" s="0" t="n">
        <v>-0.987179527151184</v>
      </c>
      <c r="C608" s="0" t="n">
        <v>-0.131256967092305</v>
      </c>
    </row>
    <row r="609" customFormat="false" ht="15" hidden="false" customHeight="false" outlineLevel="0" collapsed="false">
      <c r="A609" s="0" t="n">
        <v>0.0768518829587682</v>
      </c>
      <c r="B609" s="0" t="n">
        <v>-0.224855981808079</v>
      </c>
      <c r="C609" s="0" t="n">
        <v>-0.65000258082346</v>
      </c>
    </row>
    <row r="610" customFormat="false" ht="15" hidden="false" customHeight="false" outlineLevel="0" collapsed="false">
      <c r="A610" s="0" t="n">
        <v>0.168654671966728</v>
      </c>
      <c r="B610" s="0" t="n">
        <v>0.441940649569409</v>
      </c>
      <c r="C610" s="0" t="n">
        <v>-1.09039907744285</v>
      </c>
    </row>
    <row r="611" customFormat="false" ht="15" hidden="false" customHeight="false" outlineLevel="0" collapsed="false">
      <c r="A611" s="0" t="n">
        <v>1.41093237974627</v>
      </c>
      <c r="B611" s="0" t="n">
        <v>-0.0985881322842617</v>
      </c>
      <c r="C611" s="0" t="n">
        <v>0.0188496229448477</v>
      </c>
    </row>
    <row r="612" customFormat="false" ht="15" hidden="false" customHeight="false" outlineLevel="0" collapsed="false">
      <c r="A612" s="0" t="n">
        <v>0.708214423256557</v>
      </c>
      <c r="B612" s="0" t="n">
        <v>0.233216131263502</v>
      </c>
      <c r="C612" s="0" t="n">
        <v>0.953136633913245</v>
      </c>
    </row>
    <row r="613" customFormat="false" ht="15" hidden="false" customHeight="false" outlineLevel="0" collapsed="false">
      <c r="A613" s="0" t="n">
        <v>0.287124165201824</v>
      </c>
      <c r="B613" s="0" t="n">
        <v>-0.612437374640438</v>
      </c>
      <c r="C613" s="0" t="n">
        <v>0.361503525206102</v>
      </c>
    </row>
    <row r="614" customFormat="false" ht="15" hidden="false" customHeight="false" outlineLevel="0" collapsed="false">
      <c r="A614" s="0" t="n">
        <v>-1.14372620732066</v>
      </c>
      <c r="B614" s="0" t="n">
        <v>0.108559705776523</v>
      </c>
      <c r="C614" s="0" t="n">
        <v>-0.0332299906444608</v>
      </c>
    </row>
    <row r="615" customFormat="false" ht="15" hidden="false" customHeight="false" outlineLevel="0" collapsed="false">
      <c r="A615" s="0" t="n">
        <v>-0.20811685727254</v>
      </c>
      <c r="B615" s="0" t="n">
        <v>-0.128537511438931</v>
      </c>
      <c r="C615" s="0" t="n">
        <v>-1.88184904549764</v>
      </c>
    </row>
    <row r="616" customFormat="false" ht="15" hidden="false" customHeight="false" outlineLevel="0" collapsed="false">
      <c r="A616" s="0" t="n">
        <v>-0.548724907740962</v>
      </c>
      <c r="B616" s="0" t="n">
        <v>0.0928449011411147</v>
      </c>
      <c r="C616" s="0" t="n">
        <v>0.1598563919974</v>
      </c>
    </row>
    <row r="617" customFormat="false" ht="15" hidden="false" customHeight="false" outlineLevel="0" collapsed="false">
      <c r="A617" s="0" t="n">
        <v>-1.02767514092596</v>
      </c>
      <c r="B617" s="0" t="n">
        <v>1.2657078408647</v>
      </c>
      <c r="C617" s="0" t="n">
        <v>-0.866174848214501</v>
      </c>
    </row>
    <row r="618" customFormat="false" ht="15" hidden="false" customHeight="false" outlineLevel="0" collapsed="false">
      <c r="A618" s="0" t="n">
        <v>0.969457200526737</v>
      </c>
      <c r="B618" s="0" t="n">
        <v>0.427194361871685</v>
      </c>
      <c r="C618" s="0" t="n">
        <v>-0.646227309843803</v>
      </c>
    </row>
    <row r="619" customFormat="false" ht="15" hidden="false" customHeight="false" outlineLevel="0" collapsed="false">
      <c r="A619" s="0" t="n">
        <v>1.77531089260951</v>
      </c>
      <c r="B619" s="0" t="n">
        <v>-1.19363683175648</v>
      </c>
      <c r="C619" s="0" t="n">
        <v>0.919154173610002</v>
      </c>
    </row>
    <row r="620" customFormat="false" ht="15" hidden="false" customHeight="false" outlineLevel="0" collapsed="false">
      <c r="A620" s="0" t="n">
        <v>1.00058231804298</v>
      </c>
      <c r="B620" s="0" t="n">
        <v>-0.670620209076645</v>
      </c>
      <c r="C620" s="0" t="n">
        <v>1.39246530006433</v>
      </c>
    </row>
    <row r="621" customFormat="false" ht="15" hidden="false" customHeight="false" outlineLevel="0" collapsed="false">
      <c r="A621" s="0" t="n">
        <v>-0.250046514598953</v>
      </c>
      <c r="B621" s="0" t="n">
        <v>0.288693629279857</v>
      </c>
      <c r="C621" s="0" t="n">
        <v>0.260321838771221</v>
      </c>
    </row>
    <row r="622" customFormat="false" ht="15" hidden="false" customHeight="false" outlineLevel="0" collapsed="false">
      <c r="A622" s="0" t="n">
        <v>-0.134308741470548</v>
      </c>
      <c r="B622" s="0" t="n">
        <v>0.810808273159782</v>
      </c>
      <c r="C622" s="0" t="n">
        <v>0.793488720552213</v>
      </c>
    </row>
    <row r="623" customFormat="false" ht="15" hidden="false" customHeight="false" outlineLevel="0" collapsed="false">
      <c r="A623" s="0" t="n">
        <v>-1.74853197323818</v>
      </c>
      <c r="B623" s="0" t="n">
        <v>1.30434024287815</v>
      </c>
      <c r="C623" s="0" t="n">
        <v>-1.66249198803567</v>
      </c>
    </row>
    <row r="624" customFormat="false" ht="15" hidden="false" customHeight="false" outlineLevel="0" collapsed="false">
      <c r="A624" s="0" t="n">
        <v>1.03254620434166</v>
      </c>
      <c r="B624" s="0" t="n">
        <v>1.12670513682758</v>
      </c>
      <c r="C624" s="0" t="n">
        <v>-1.0909664302152</v>
      </c>
    </row>
    <row r="625" customFormat="false" ht="15" hidden="false" customHeight="false" outlineLevel="0" collapsed="false">
      <c r="A625" s="0" t="n">
        <v>-0.410814287954585</v>
      </c>
      <c r="B625" s="0" t="n">
        <v>-1.10570466848594</v>
      </c>
      <c r="C625" s="0" t="n">
        <v>-0.214921030288735</v>
      </c>
    </row>
    <row r="626" customFormat="false" ht="15" hidden="false" customHeight="false" outlineLevel="0" collapsed="false">
      <c r="A626" s="0" t="n">
        <v>-0.308034284185741</v>
      </c>
      <c r="B626" s="0" t="n">
        <v>0.77966053226934</v>
      </c>
      <c r="C626" s="0" t="n">
        <v>1.31030874611961</v>
      </c>
    </row>
    <row r="627" customFormat="false" ht="15" hidden="false" customHeight="false" outlineLevel="0" collapsed="false">
      <c r="A627" s="0" t="n">
        <v>1.39568381078996</v>
      </c>
      <c r="B627" s="0" t="n">
        <v>-0.562168026578302</v>
      </c>
      <c r="C627" s="0" t="n">
        <v>-0.209221873744528</v>
      </c>
    </row>
    <row r="628" customFormat="false" ht="15" hidden="false" customHeight="false" outlineLevel="0" collapsed="false">
      <c r="A628" s="0" t="n">
        <v>-1.68343819222095</v>
      </c>
      <c r="B628" s="0" t="n">
        <v>-0.805870066496189</v>
      </c>
      <c r="C628" s="0" t="n">
        <v>0.964851633097458</v>
      </c>
    </row>
    <row r="629" customFormat="false" ht="15" hidden="false" customHeight="false" outlineLevel="0" collapsed="false">
      <c r="A629" s="0" t="n">
        <v>1.61558282354823</v>
      </c>
      <c r="B629" s="0" t="n">
        <v>-1.23434887187992</v>
      </c>
      <c r="C629" s="0" t="n">
        <v>-0.592464259152894</v>
      </c>
    </row>
    <row r="630" customFormat="false" ht="15" hidden="false" customHeight="false" outlineLevel="0" collapsed="false">
      <c r="A630" s="0" t="n">
        <v>-0.026405756958927</v>
      </c>
      <c r="B630" s="0" t="n">
        <v>0.280161158819607</v>
      </c>
      <c r="C630" s="0" t="n">
        <v>-0.809603519921646</v>
      </c>
    </row>
    <row r="631" customFormat="false" ht="15" hidden="false" customHeight="false" outlineLevel="0" collapsed="false">
      <c r="A631" s="0" t="n">
        <v>0.42406104446409</v>
      </c>
      <c r="B631" s="0" t="n">
        <v>-0.473839347070916</v>
      </c>
      <c r="C631" s="0" t="n">
        <v>-0.0144522708782791</v>
      </c>
    </row>
    <row r="632" customFormat="false" ht="15" hidden="false" customHeight="false" outlineLevel="0" collapsed="false">
      <c r="A632" s="0" t="n">
        <v>0.5462842480037</v>
      </c>
      <c r="B632" s="0" t="n">
        <v>0.00642226981093782</v>
      </c>
      <c r="C632" s="0" t="n">
        <v>-0.436385890526569</v>
      </c>
    </row>
    <row r="633" customFormat="false" ht="15" hidden="false" customHeight="false" outlineLevel="0" collapsed="false">
      <c r="A633" s="0" t="n">
        <v>-0.109609803925831</v>
      </c>
      <c r="B633" s="0" t="n">
        <v>-0.0883629592053353</v>
      </c>
      <c r="C633" s="0" t="n">
        <v>-0.370011029882128</v>
      </c>
    </row>
    <row r="634" customFormat="false" ht="15" hidden="false" customHeight="false" outlineLevel="0" collapsed="false">
      <c r="A634" s="0" t="n">
        <v>-0.258796062667102</v>
      </c>
      <c r="B634" s="0" t="n">
        <v>1.59864717050472</v>
      </c>
      <c r="C634" s="0" t="n">
        <v>0.560919447941239</v>
      </c>
    </row>
    <row r="635" customFormat="false" ht="15" hidden="false" customHeight="false" outlineLevel="0" collapsed="false">
      <c r="A635" s="0" t="n">
        <v>-0.29548031802916</v>
      </c>
      <c r="B635" s="0" t="n">
        <v>0.696954404510736</v>
      </c>
      <c r="C635" s="0" t="n">
        <v>-0.33381948975601</v>
      </c>
    </row>
    <row r="636" customFormat="false" ht="15" hidden="false" customHeight="false" outlineLevel="0" collapsed="false">
      <c r="A636" s="0" t="n">
        <v>1.17312463758664</v>
      </c>
      <c r="B636" s="0" t="n">
        <v>0.369642192198094</v>
      </c>
      <c r="C636" s="0" t="n">
        <v>-0.107302144004229</v>
      </c>
    </row>
    <row r="637" customFormat="false" ht="15" hidden="false" customHeight="false" outlineLevel="0" collapsed="false">
      <c r="A637" s="0" t="n">
        <v>0.447716925810278</v>
      </c>
      <c r="B637" s="0" t="n">
        <v>-1.5708761520685</v>
      </c>
      <c r="C637" s="0" t="n">
        <v>-1.12676746890981</v>
      </c>
    </row>
    <row r="638" customFormat="false" ht="15" hidden="false" customHeight="false" outlineLevel="0" collapsed="false">
      <c r="A638" s="0" t="n">
        <v>-1.19392500639906</v>
      </c>
      <c r="B638" s="0" t="n">
        <v>0.142943094763707</v>
      </c>
      <c r="C638" s="0" t="n">
        <v>1.73251499948509</v>
      </c>
    </row>
    <row r="639" customFormat="false" ht="15" hidden="false" customHeight="false" outlineLevel="0" collapsed="false">
      <c r="A639" s="0" t="n">
        <v>2.23130014619263</v>
      </c>
      <c r="B639" s="0" t="n">
        <v>0.638051101440757</v>
      </c>
      <c r="C639" s="0" t="n">
        <v>0.500844474944457</v>
      </c>
    </row>
    <row r="640" customFormat="false" ht="15" hidden="false" customHeight="false" outlineLevel="0" collapsed="false">
      <c r="A640" s="0" t="n">
        <v>-1.80105773415274</v>
      </c>
      <c r="B640" s="0" t="n">
        <v>-0.542673799734022</v>
      </c>
      <c r="C640" s="0" t="n">
        <v>-0.787783751908239</v>
      </c>
    </row>
    <row r="641" customFormat="false" ht="15" hidden="false" customHeight="false" outlineLevel="0" collapsed="false">
      <c r="A641" s="0" t="n">
        <v>-0.620847598251116</v>
      </c>
      <c r="B641" s="0" t="n">
        <v>-0.16814381858479</v>
      </c>
      <c r="C641" s="0" t="n">
        <v>-0.472090577697127</v>
      </c>
    </row>
    <row r="642" customFormat="false" ht="15" hidden="false" customHeight="false" outlineLevel="0" collapsed="false">
      <c r="A642" s="0" t="n">
        <v>-1.97929981037579</v>
      </c>
      <c r="B642" s="0" t="n">
        <v>0.747910256117534</v>
      </c>
      <c r="C642" s="0" t="n">
        <v>-1.07274302573981</v>
      </c>
    </row>
    <row r="643" customFormat="false" ht="15" hidden="false" customHeight="false" outlineLevel="0" collapsed="false">
      <c r="A643" s="0" t="n">
        <v>0.23924686411115</v>
      </c>
      <c r="B643" s="0" t="n">
        <v>2.07408266974997</v>
      </c>
      <c r="C643" s="0" t="n">
        <v>-0.919384591586423</v>
      </c>
    </row>
    <row r="644" customFormat="false" ht="15" hidden="false" customHeight="false" outlineLevel="0" collapsed="false">
      <c r="A644" s="0" t="n">
        <v>-2.53028752274633</v>
      </c>
      <c r="B644" s="0" t="n">
        <v>-0.286004221880111</v>
      </c>
      <c r="C644" s="0" t="n">
        <v>1.10095963499857</v>
      </c>
    </row>
    <row r="645" customFormat="false" ht="15" hidden="false" customHeight="false" outlineLevel="0" collapsed="false">
      <c r="A645" s="0" t="n">
        <v>1.95834745422059</v>
      </c>
      <c r="B645" s="0" t="n">
        <v>-1.22954959445242</v>
      </c>
      <c r="C645" s="0" t="n">
        <v>0.496699223236522</v>
      </c>
    </row>
    <row r="646" customFormat="false" ht="15" hidden="false" customHeight="false" outlineLevel="0" collapsed="false">
      <c r="A646" s="0" t="n">
        <v>-0.465310456780053</v>
      </c>
      <c r="B646" s="0" t="n">
        <v>-0.105948354304136</v>
      </c>
      <c r="C646" s="0" t="n">
        <v>2.64434334701704</v>
      </c>
    </row>
    <row r="647" customFormat="false" ht="15" hidden="false" customHeight="false" outlineLevel="0" collapsed="false">
      <c r="A647" s="0" t="n">
        <v>-1.50297032839515</v>
      </c>
      <c r="B647" s="0" t="n">
        <v>0.253739661494573</v>
      </c>
      <c r="C647" s="0" t="n">
        <v>0.467693171765433</v>
      </c>
    </row>
    <row r="648" customFormat="false" ht="15" hidden="false" customHeight="false" outlineLevel="0" collapsed="false">
      <c r="A648" s="0" t="n">
        <v>1.08578632493935</v>
      </c>
      <c r="B648" s="0" t="n">
        <v>0.0979831534708954</v>
      </c>
      <c r="C648" s="0" t="n">
        <v>0.308050539504102</v>
      </c>
    </row>
    <row r="649" customFormat="false" ht="15" hidden="false" customHeight="false" outlineLevel="0" collapsed="false">
      <c r="A649" s="0" t="n">
        <v>-0.391648567421791</v>
      </c>
      <c r="B649" s="0" t="n">
        <v>0.269126941245107</v>
      </c>
      <c r="C649" s="0" t="n">
        <v>-0.343192275497411</v>
      </c>
    </row>
    <row r="650" customFormat="false" ht="15" hidden="false" customHeight="false" outlineLevel="0" collapsed="false">
      <c r="A650" s="0" t="n">
        <v>0.621571889856051</v>
      </c>
      <c r="B650" s="0" t="n">
        <v>-0.369610336043634</v>
      </c>
      <c r="C650" s="0" t="n">
        <v>0.377100393902187</v>
      </c>
    </row>
    <row r="651" customFormat="false" ht="15" hidden="false" customHeight="false" outlineLevel="0" collapsed="false">
      <c r="A651" s="0" t="n">
        <v>-0.0292628136849784</v>
      </c>
      <c r="B651" s="0" t="n">
        <v>1.12605025077217</v>
      </c>
      <c r="C651" s="0" t="n">
        <v>-0.0513937235884862</v>
      </c>
    </row>
    <row r="652" customFormat="false" ht="15" hidden="false" customHeight="false" outlineLevel="0" collapsed="false">
      <c r="A652" s="0" t="n">
        <v>-1.77303246820688</v>
      </c>
      <c r="B652" s="0" t="n">
        <v>1.26192150071399</v>
      </c>
      <c r="C652" s="0" t="n">
        <v>-0.905732300862619</v>
      </c>
    </row>
    <row r="653" customFormat="false" ht="15" hidden="false" customHeight="false" outlineLevel="0" collapsed="false">
      <c r="A653" s="0" t="n">
        <v>-0.65376633864882</v>
      </c>
      <c r="B653" s="0" t="n">
        <v>-0.595661294043492</v>
      </c>
      <c r="C653" s="0" t="n">
        <v>1.37443809317082</v>
      </c>
    </row>
    <row r="654" customFormat="false" ht="15" hidden="false" customHeight="false" outlineLevel="0" collapsed="false">
      <c r="A654" s="0" t="n">
        <v>-2.1356742139787</v>
      </c>
      <c r="B654" s="0" t="n">
        <v>3.13774853365999</v>
      </c>
      <c r="C654" s="0" t="n">
        <v>1.05605680906605</v>
      </c>
    </row>
    <row r="655" customFormat="false" ht="15" hidden="false" customHeight="false" outlineLevel="0" collapsed="false">
      <c r="A655" s="0" t="n">
        <v>0.22323891412916</v>
      </c>
      <c r="B655" s="0" t="n">
        <v>-0.0548940006162864</v>
      </c>
      <c r="C655" s="0" t="n">
        <v>0.285554074857657</v>
      </c>
    </row>
    <row r="656" customFormat="false" ht="15" hidden="false" customHeight="false" outlineLevel="0" collapsed="false">
      <c r="A656" s="0" t="n">
        <v>0.521122428379338</v>
      </c>
      <c r="B656" s="0" t="n">
        <v>0.645215585950057</v>
      </c>
      <c r="C656" s="0" t="n">
        <v>0.555604466003449</v>
      </c>
    </row>
    <row r="657" customFormat="false" ht="15" hidden="false" customHeight="false" outlineLevel="0" collapsed="false">
      <c r="A657" s="0" t="n">
        <v>0.0895806812552488</v>
      </c>
      <c r="B657" s="0" t="n">
        <v>-0.197338420307326</v>
      </c>
      <c r="C657" s="0" t="n">
        <v>-0.151273283653512</v>
      </c>
    </row>
    <row r="658" customFormat="false" ht="15" hidden="false" customHeight="false" outlineLevel="0" collapsed="false">
      <c r="A658" s="0" t="n">
        <v>-0.194908280352681</v>
      </c>
      <c r="B658" s="0" t="n">
        <v>1.13377009686707</v>
      </c>
      <c r="C658" s="0" t="n">
        <v>0.593556722280862</v>
      </c>
    </row>
    <row r="659" customFormat="false" ht="15" hidden="false" customHeight="false" outlineLevel="0" collapsed="false">
      <c r="A659" s="0" t="n">
        <v>-2.94038863466428</v>
      </c>
      <c r="B659" s="0" t="n">
        <v>0.655900776529761</v>
      </c>
      <c r="C659" s="0" t="n">
        <v>0.194736194718775</v>
      </c>
    </row>
    <row r="660" customFormat="false" ht="15" hidden="false" customHeight="false" outlineLevel="0" collapsed="false">
      <c r="A660" s="0" t="n">
        <v>-0.0187087564458974</v>
      </c>
      <c r="B660" s="0" t="n">
        <v>-0.388518453088886</v>
      </c>
      <c r="C660" s="0" t="n">
        <v>1.12411271998601</v>
      </c>
    </row>
    <row r="661" customFormat="false" ht="15" hidden="false" customHeight="false" outlineLevel="0" collapsed="false">
      <c r="A661" s="0" t="n">
        <v>0.947526462122858</v>
      </c>
      <c r="B661" s="0" t="n">
        <v>-0.772877667823609</v>
      </c>
      <c r="C661" s="0" t="n">
        <v>0.407052287124535</v>
      </c>
    </row>
    <row r="662" customFormat="false" ht="15" hidden="false" customHeight="false" outlineLevel="0" collapsed="false">
      <c r="A662" s="0" t="n">
        <v>-0.971656734541286</v>
      </c>
      <c r="B662" s="0" t="n">
        <v>-1.37961816478893</v>
      </c>
      <c r="C662" s="0" t="n">
        <v>-0.626717224589965</v>
      </c>
    </row>
    <row r="663" customFormat="false" ht="15" hidden="false" customHeight="false" outlineLevel="0" collapsed="false">
      <c r="A663" s="0" t="n">
        <v>0.862393472382759</v>
      </c>
      <c r="B663" s="0" t="n">
        <v>0.953125045376087</v>
      </c>
      <c r="C663" s="0" t="n">
        <v>0.513085420097293</v>
      </c>
    </row>
    <row r="664" customFormat="false" ht="15" hidden="false" customHeight="false" outlineLevel="0" collapsed="false">
      <c r="A664" s="0" t="n">
        <v>0.725095786847997</v>
      </c>
      <c r="B664" s="0" t="n">
        <v>0.516178287114958</v>
      </c>
      <c r="C664" s="0" t="n">
        <v>-0.641481595222952</v>
      </c>
    </row>
    <row r="665" customFormat="false" ht="15" hidden="false" customHeight="false" outlineLevel="0" collapsed="false">
      <c r="A665" s="0" t="n">
        <v>0.431922544673941</v>
      </c>
      <c r="B665" s="0" t="n">
        <v>0.800409525227682</v>
      </c>
      <c r="C665" s="0" t="n">
        <v>0.754291329813574</v>
      </c>
    </row>
    <row r="666" customFormat="false" ht="15" hidden="false" customHeight="false" outlineLevel="0" collapsed="false">
      <c r="A666" s="0" t="n">
        <v>1.18891337147464</v>
      </c>
      <c r="B666" s="0" t="n">
        <v>0.708303847201064</v>
      </c>
      <c r="C666" s="0" t="n">
        <v>0.351448207541583</v>
      </c>
    </row>
    <row r="667" customFormat="false" ht="15" hidden="false" customHeight="false" outlineLevel="0" collapsed="false">
      <c r="A667" s="0" t="n">
        <v>1.07015023831643</v>
      </c>
      <c r="B667" s="0" t="n">
        <v>-0.0265212592490601</v>
      </c>
      <c r="C667" s="0" t="n">
        <v>-0.881874651227718</v>
      </c>
    </row>
    <row r="668" customFormat="false" ht="15" hidden="false" customHeight="false" outlineLevel="0" collapsed="false">
      <c r="A668" s="0" t="n">
        <v>-0.163066963943764</v>
      </c>
      <c r="B668" s="0" t="n">
        <v>-0.744902644806449</v>
      </c>
      <c r="C668" s="0" t="n">
        <v>-0.675178274974382</v>
      </c>
    </row>
    <row r="669" customFormat="false" ht="15" hidden="false" customHeight="false" outlineLevel="0" collapsed="false">
      <c r="A669" s="0" t="n">
        <v>-0.144518670715518</v>
      </c>
      <c r="B669" s="0" t="n">
        <v>-0.792419920999961</v>
      </c>
      <c r="C669" s="0" t="n">
        <v>-0.30796152963904</v>
      </c>
    </row>
    <row r="670" customFormat="false" ht="15" hidden="false" customHeight="false" outlineLevel="0" collapsed="false">
      <c r="A670" s="0" t="n">
        <v>-1.89361466695379</v>
      </c>
      <c r="B670" s="0" t="n">
        <v>0.213293707372939</v>
      </c>
      <c r="C670" s="0" t="n">
        <v>0.00120547536222424</v>
      </c>
    </row>
    <row r="671" customFormat="false" ht="15" hidden="false" customHeight="false" outlineLevel="0" collapsed="false">
      <c r="A671" s="0" t="n">
        <v>-0.817088631068191</v>
      </c>
      <c r="B671" s="0" t="n">
        <v>0.659245668432405</v>
      </c>
      <c r="C671" s="0" t="n">
        <v>0.937570137626558</v>
      </c>
    </row>
    <row r="672" customFormat="false" ht="15" hidden="false" customHeight="false" outlineLevel="0" collapsed="false">
      <c r="A672" s="0" t="n">
        <v>-1.60755986436897</v>
      </c>
      <c r="B672" s="0" t="n">
        <v>-0.762724778566214</v>
      </c>
      <c r="C672" s="0" t="n">
        <v>-0.769142349787298</v>
      </c>
    </row>
    <row r="673" customFormat="false" ht="15" hidden="false" customHeight="false" outlineLevel="0" collapsed="false">
      <c r="A673" s="0" t="n">
        <v>-0.939903101108865</v>
      </c>
      <c r="B673" s="0" t="n">
        <v>0.829474841931749</v>
      </c>
      <c r="C673" s="0" t="n">
        <v>-0.193826138772804</v>
      </c>
    </row>
    <row r="674" customFormat="false" ht="15" hidden="false" customHeight="false" outlineLevel="0" collapsed="false">
      <c r="A674" s="0" t="n">
        <v>-0.264514841310611</v>
      </c>
      <c r="B674" s="0" t="n">
        <v>-2.00386236440675</v>
      </c>
      <c r="C674" s="0" t="n">
        <v>0.635418030209226</v>
      </c>
    </row>
    <row r="675" customFormat="false" ht="15" hidden="false" customHeight="false" outlineLevel="0" collapsed="false">
      <c r="A675" s="0" t="n">
        <v>-1.23925839485347</v>
      </c>
      <c r="B675" s="0" t="n">
        <v>0.0599326302663283</v>
      </c>
      <c r="C675" s="0" t="n">
        <v>0.277376937958192</v>
      </c>
    </row>
    <row r="676" customFormat="false" ht="15" hidden="false" customHeight="false" outlineLevel="0" collapsed="false">
      <c r="A676" s="0" t="n">
        <v>1.36065859583865</v>
      </c>
      <c r="B676" s="0" t="n">
        <v>-1.30882039911911</v>
      </c>
      <c r="C676" s="0" t="n">
        <v>-3.01951215582083</v>
      </c>
    </row>
    <row r="677" customFormat="false" ht="15" hidden="false" customHeight="false" outlineLevel="0" collapsed="false">
      <c r="A677" s="0" t="n">
        <v>0.183849544753695</v>
      </c>
      <c r="B677" s="0" t="n">
        <v>1.80051118151085</v>
      </c>
      <c r="C677" s="0" t="n">
        <v>1.23894635293944</v>
      </c>
    </row>
    <row r="678" customFormat="false" ht="15" hidden="false" customHeight="false" outlineLevel="0" collapsed="false">
      <c r="A678" s="0" t="n">
        <v>0.209659415274626</v>
      </c>
      <c r="B678" s="0" t="n">
        <v>-0.491636185632047</v>
      </c>
      <c r="C678" s="0" t="n">
        <v>0.80712259663731</v>
      </c>
    </row>
    <row r="679" customFormat="false" ht="15" hidden="false" customHeight="false" outlineLevel="0" collapsed="false">
      <c r="A679" s="0" t="n">
        <v>-0.973546199704469</v>
      </c>
      <c r="B679" s="0" t="n">
        <v>0.476357769356219</v>
      </c>
      <c r="C679" s="0" t="n">
        <v>0.505470159166627</v>
      </c>
    </row>
    <row r="680" customFormat="false" ht="15" hidden="false" customHeight="false" outlineLevel="0" collapsed="false">
      <c r="A680" s="0" t="n">
        <v>1.06020990749888</v>
      </c>
      <c r="B680" s="0" t="n">
        <v>2.75966003891108</v>
      </c>
      <c r="C680" s="0" t="n">
        <v>0.392415967178767</v>
      </c>
    </row>
    <row r="681" customFormat="false" ht="15" hidden="false" customHeight="false" outlineLevel="0" collapsed="false">
      <c r="A681" s="0" t="n">
        <v>-0.508963625707499</v>
      </c>
      <c r="B681" s="0" t="n">
        <v>-0.0255743121919944</v>
      </c>
      <c r="C681" s="0" t="n">
        <v>-1.76907590488912</v>
      </c>
    </row>
    <row r="682" customFormat="false" ht="15" hidden="false" customHeight="false" outlineLevel="0" collapsed="false">
      <c r="A682" s="0" t="n">
        <v>-0.694713131089058</v>
      </c>
      <c r="B682" s="0" t="n">
        <v>-0.409282438113104</v>
      </c>
      <c r="C682" s="0" t="n">
        <v>-0.524088397934593</v>
      </c>
    </row>
    <row r="683" customFormat="false" ht="15" hidden="false" customHeight="false" outlineLevel="0" collapsed="false">
      <c r="A683" s="0" t="n">
        <v>0.152354872033722</v>
      </c>
      <c r="B683" s="0" t="n">
        <v>-0.822419932382201</v>
      </c>
      <c r="C683" s="0" t="n">
        <v>1.12103066732447</v>
      </c>
    </row>
    <row r="684" customFormat="false" ht="15" hidden="false" customHeight="false" outlineLevel="0" collapsed="false">
      <c r="A684" s="0" t="n">
        <v>0.000207064918197094</v>
      </c>
      <c r="B684" s="0" t="n">
        <v>-0.00930032113861442</v>
      </c>
      <c r="C684" s="0" t="n">
        <v>-0.327894716512918</v>
      </c>
    </row>
    <row r="685" customFormat="false" ht="15" hidden="false" customHeight="false" outlineLevel="0" collapsed="false">
      <c r="A685" s="0" t="n">
        <v>0.155190683858979</v>
      </c>
      <c r="B685" s="0" t="n">
        <v>0.825098264667635</v>
      </c>
      <c r="C685" s="0" t="n">
        <v>-0.8671302157109</v>
      </c>
    </row>
    <row r="686" customFormat="false" ht="15" hidden="false" customHeight="false" outlineLevel="0" collapsed="false">
      <c r="A686" s="0" t="n">
        <v>-0.658116489075257</v>
      </c>
      <c r="B686" s="0" t="n">
        <v>-0.303726028776665</v>
      </c>
      <c r="C686" s="0" t="n">
        <v>-1.34587092347322</v>
      </c>
    </row>
    <row r="687" customFormat="false" ht="15" hidden="false" customHeight="false" outlineLevel="0" collapsed="false">
      <c r="A687" s="0" t="n">
        <v>-0.819257859721498</v>
      </c>
      <c r="B687" s="0" t="n">
        <v>-0.476220873544659</v>
      </c>
      <c r="C687" s="0" t="n">
        <v>0.874389180712728</v>
      </c>
    </row>
    <row r="688" customFormat="false" ht="15" hidden="false" customHeight="false" outlineLevel="0" collapsed="false">
      <c r="A688" s="0" t="n">
        <v>0.262561329001925</v>
      </c>
      <c r="B688" s="0" t="n">
        <v>0.193589911367544</v>
      </c>
      <c r="C688" s="0" t="n">
        <v>0.850897962167972</v>
      </c>
    </row>
    <row r="689" customFormat="false" ht="15" hidden="false" customHeight="false" outlineLevel="0" collapsed="false">
      <c r="A689" s="0" t="n">
        <v>-0.137371788399397</v>
      </c>
      <c r="B689" s="0" t="n">
        <v>0.39046484992889</v>
      </c>
      <c r="C689" s="0" t="n">
        <v>-0.103221752932496</v>
      </c>
    </row>
    <row r="690" customFormat="false" ht="15" hidden="false" customHeight="false" outlineLevel="0" collapsed="false">
      <c r="A690" s="0" t="n">
        <v>0.265362349399628</v>
      </c>
      <c r="B690" s="0" t="n">
        <v>-0.582758657611582</v>
      </c>
      <c r="C690" s="0" t="n">
        <v>-2.43881715827643</v>
      </c>
    </row>
    <row r="691" customFormat="false" ht="15" hidden="false" customHeight="false" outlineLevel="0" collapsed="false">
      <c r="A691" s="0" t="n">
        <v>-0.134279162186304</v>
      </c>
      <c r="B691" s="0" t="n">
        <v>1.42274813609994</v>
      </c>
      <c r="C691" s="0" t="n">
        <v>0.926215402241592</v>
      </c>
    </row>
    <row r="692" customFormat="false" ht="15" hidden="false" customHeight="false" outlineLevel="0" collapsed="false">
      <c r="A692" s="0" t="n">
        <v>0.965397484591171</v>
      </c>
      <c r="B692" s="0" t="n">
        <v>1.23613072180622</v>
      </c>
      <c r="C692" s="0" t="n">
        <v>0.0886575909614374</v>
      </c>
    </row>
    <row r="693" customFormat="false" ht="15" hidden="false" customHeight="false" outlineLevel="0" collapsed="false">
      <c r="A693" s="0" t="n">
        <v>0.197315707405596</v>
      </c>
      <c r="B693" s="0" t="n">
        <v>-0.61765189543435</v>
      </c>
      <c r="C693" s="0" t="n">
        <v>-0.31607285602705</v>
      </c>
    </row>
    <row r="694" customFormat="false" ht="15" hidden="false" customHeight="false" outlineLevel="0" collapsed="false">
      <c r="A694" s="0" t="n">
        <v>0.615771149771142</v>
      </c>
      <c r="B694" s="0" t="n">
        <v>1.20388443716882</v>
      </c>
      <c r="C694" s="0" t="n">
        <v>-0.139446275681</v>
      </c>
    </row>
    <row r="695" customFormat="false" ht="15" hidden="false" customHeight="false" outlineLevel="0" collapsed="false">
      <c r="A695" s="0" t="n">
        <v>-0.450189264851412</v>
      </c>
      <c r="B695" s="0" t="n">
        <v>0.000527958856597293</v>
      </c>
      <c r="C695" s="0" t="n">
        <v>0.601206748929115</v>
      </c>
    </row>
    <row r="696" customFormat="false" ht="15" hidden="false" customHeight="false" outlineLevel="0" collapsed="false">
      <c r="A696" s="0" t="n">
        <v>-1.44385481613354</v>
      </c>
      <c r="B696" s="0" t="n">
        <v>-2.29618095313724</v>
      </c>
      <c r="C696" s="0" t="n">
        <v>-0.550536849491584</v>
      </c>
    </row>
    <row r="697" customFormat="false" ht="15" hidden="false" customHeight="false" outlineLevel="0" collapsed="false">
      <c r="A697" s="0" t="n">
        <v>-1.22071242591416</v>
      </c>
      <c r="B697" s="0" t="n">
        <v>-0.508140197647311</v>
      </c>
      <c r="C697" s="0" t="n">
        <v>-0.147780318817472</v>
      </c>
    </row>
    <row r="698" customFormat="false" ht="15" hidden="false" customHeight="false" outlineLevel="0" collapsed="false">
      <c r="A698" s="0" t="n">
        <v>-0.453248409023013</v>
      </c>
      <c r="B698" s="0" t="n">
        <v>1.45246753447075</v>
      </c>
      <c r="C698" s="0" t="n">
        <v>0.32674476460232</v>
      </c>
    </row>
    <row r="699" customFormat="false" ht="15" hidden="false" customHeight="false" outlineLevel="0" collapsed="false">
      <c r="A699" s="0" t="n">
        <v>0.300474359610828</v>
      </c>
      <c r="B699" s="0" t="n">
        <v>0.622207144043402</v>
      </c>
      <c r="C699" s="0" t="n">
        <v>-1.13883311778077</v>
      </c>
    </row>
    <row r="700" customFormat="false" ht="15" hidden="false" customHeight="false" outlineLevel="0" collapsed="false">
      <c r="A700" s="0" t="n">
        <v>1.03911178742027</v>
      </c>
      <c r="B700" s="0" t="n">
        <v>-0.0757642865354599</v>
      </c>
      <c r="C700" s="0" t="n">
        <v>0.670480617241213</v>
      </c>
    </row>
    <row r="701" customFormat="false" ht="15" hidden="false" customHeight="false" outlineLevel="0" collapsed="false">
      <c r="A701" s="0" t="n">
        <v>-1.07185723304016</v>
      </c>
      <c r="B701" s="0" t="n">
        <v>-1.55375876601606</v>
      </c>
      <c r="C701" s="0" t="n">
        <v>0.817889658025029</v>
      </c>
    </row>
    <row r="702" customFormat="false" ht="15" hidden="false" customHeight="false" outlineLevel="0" collapsed="false">
      <c r="A702" s="0" t="n">
        <v>0.376409526097517</v>
      </c>
      <c r="B702" s="0" t="n">
        <v>-0.90205155435751</v>
      </c>
      <c r="C702" s="0" t="n">
        <v>-0.869663081274694</v>
      </c>
    </row>
    <row r="703" customFormat="false" ht="15" hidden="false" customHeight="false" outlineLevel="0" collapsed="false">
      <c r="A703" s="0" t="n">
        <v>1.12543478441477</v>
      </c>
      <c r="B703" s="0" t="n">
        <v>-1.18941189286733</v>
      </c>
      <c r="C703" s="0" t="n">
        <v>1.64267295325596</v>
      </c>
    </row>
    <row r="704" customFormat="false" ht="15" hidden="false" customHeight="false" outlineLevel="0" collapsed="false">
      <c r="A704" s="0" t="n">
        <v>-0.900620734647869</v>
      </c>
      <c r="B704" s="0" t="n">
        <v>0.638391925608383</v>
      </c>
      <c r="C704" s="0" t="n">
        <v>-0.328618475748985</v>
      </c>
    </row>
    <row r="705" customFormat="false" ht="15" hidden="false" customHeight="false" outlineLevel="0" collapsed="false">
      <c r="A705" s="0" t="n">
        <v>0.603187431082343</v>
      </c>
      <c r="B705" s="0" t="n">
        <v>-0.544114002114193</v>
      </c>
      <c r="C705" s="0" t="n">
        <v>-0.162792906072294</v>
      </c>
    </row>
    <row r="706" customFormat="false" ht="15" hidden="false" customHeight="false" outlineLevel="0" collapsed="false">
      <c r="A706" s="0" t="n">
        <v>0.0409191753957211</v>
      </c>
      <c r="B706" s="0" t="n">
        <v>-1.00218745578147</v>
      </c>
      <c r="C706" s="0" t="n">
        <v>0.740824345420126</v>
      </c>
    </row>
    <row r="707" customFormat="false" ht="15" hidden="false" customHeight="false" outlineLevel="0" collapsed="false">
      <c r="A707" s="0" t="n">
        <v>-0.513213566471585</v>
      </c>
      <c r="B707" s="0" t="n">
        <v>-0.228599915340019</v>
      </c>
      <c r="C707" s="0" t="n">
        <v>-0.994349374608512</v>
      </c>
    </row>
    <row r="708" customFormat="false" ht="15" hidden="false" customHeight="false" outlineLevel="0" collapsed="false">
      <c r="A708" s="0" t="n">
        <v>-2.56233365879531</v>
      </c>
      <c r="B708" s="0" t="n">
        <v>-0.191027762600169</v>
      </c>
      <c r="C708" s="0" t="n">
        <v>2.41261542161292</v>
      </c>
    </row>
    <row r="709" customFormat="false" ht="15" hidden="false" customHeight="false" outlineLevel="0" collapsed="false">
      <c r="A709" s="0" t="n">
        <v>0.784604287898024</v>
      </c>
      <c r="B709" s="0" t="n">
        <v>-0.0192603797343946</v>
      </c>
      <c r="C709" s="0" t="n">
        <v>-0.262890829208268</v>
      </c>
    </row>
    <row r="710" customFormat="false" ht="15" hidden="false" customHeight="false" outlineLevel="0" collapsed="false">
      <c r="A710" s="0" t="n">
        <v>0.0224658928120464</v>
      </c>
      <c r="B710" s="0" t="n">
        <v>0.54711911517521</v>
      </c>
      <c r="C710" s="0" t="n">
        <v>-1.18081281530885</v>
      </c>
    </row>
    <row r="711" customFormat="false" ht="15" hidden="false" customHeight="false" outlineLevel="0" collapsed="false">
      <c r="A711" s="0" t="n">
        <v>1.11432169466887</v>
      </c>
      <c r="B711" s="0" t="n">
        <v>0.715381315441244</v>
      </c>
      <c r="C711" s="0" t="n">
        <v>0.718185725707935</v>
      </c>
    </row>
    <row r="712" customFormat="false" ht="15" hidden="false" customHeight="false" outlineLevel="0" collapsed="false">
      <c r="A712" s="0" t="n">
        <v>0.438475738809727</v>
      </c>
      <c r="B712" s="0" t="n">
        <v>0.0196166576939899</v>
      </c>
      <c r="C712" s="0" t="n">
        <v>0.67286123596682</v>
      </c>
    </row>
    <row r="713" customFormat="false" ht="15" hidden="false" customHeight="false" outlineLevel="0" collapsed="false">
      <c r="A713" s="0" t="n">
        <v>0.591814133741378</v>
      </c>
      <c r="B713" s="0" t="n">
        <v>-0.354040710941024</v>
      </c>
      <c r="C713" s="0" t="n">
        <v>-0.573601772896901</v>
      </c>
    </row>
    <row r="714" customFormat="false" ht="15" hidden="false" customHeight="false" outlineLevel="0" collapsed="false">
      <c r="A714" s="0" t="n">
        <v>0.101856295261987</v>
      </c>
      <c r="B714" s="0" t="n">
        <v>1.54902015149519</v>
      </c>
      <c r="C714" s="0" t="n">
        <v>-1.2391070756539</v>
      </c>
    </row>
    <row r="715" customFormat="false" ht="15" hidden="false" customHeight="false" outlineLevel="0" collapsed="false">
      <c r="A715" s="0" t="n">
        <v>-1.46752526575244</v>
      </c>
      <c r="B715" s="0" t="n">
        <v>0.164760841236517</v>
      </c>
      <c r="C715" s="0" t="n">
        <v>0.0508877018560181</v>
      </c>
    </row>
    <row r="716" customFormat="false" ht="15" hidden="false" customHeight="false" outlineLevel="0" collapsed="false">
      <c r="A716" s="0" t="n">
        <v>0.173341664370408</v>
      </c>
      <c r="B716" s="0" t="n">
        <v>0.2439531979085</v>
      </c>
      <c r="C716" s="0" t="n">
        <v>-0.223202254634805</v>
      </c>
    </row>
    <row r="717" customFormat="false" ht="15" hidden="false" customHeight="false" outlineLevel="0" collapsed="false">
      <c r="A717" s="0" t="n">
        <v>1.48986343860208</v>
      </c>
      <c r="B717" s="0" t="n">
        <v>-1.60090397847652</v>
      </c>
      <c r="C717" s="0" t="n">
        <v>-0.828497024780246</v>
      </c>
    </row>
    <row r="718" customFormat="false" ht="15" hidden="false" customHeight="false" outlineLevel="0" collapsed="false">
      <c r="A718" s="0" t="n">
        <v>-0.103254760149047</v>
      </c>
      <c r="B718" s="0" t="n">
        <v>-1.64318881115417</v>
      </c>
      <c r="C718" s="0" t="n">
        <v>-0.175854404432071</v>
      </c>
    </row>
    <row r="719" customFormat="false" ht="15" hidden="false" customHeight="false" outlineLevel="0" collapsed="false">
      <c r="A719" s="0" t="n">
        <v>1.66147016572802</v>
      </c>
      <c r="B719" s="0" t="n">
        <v>0.0208864882959618</v>
      </c>
      <c r="C719" s="0" t="n">
        <v>0.230700905718684</v>
      </c>
    </row>
    <row r="720" customFormat="false" ht="15" hidden="false" customHeight="false" outlineLevel="0" collapsed="false">
      <c r="A720" s="0" t="n">
        <v>-1.26016476517258</v>
      </c>
      <c r="B720" s="0" t="n">
        <v>-0.616361408039478</v>
      </c>
      <c r="C720" s="0" t="n">
        <v>-0.375196380323937</v>
      </c>
    </row>
    <row r="721" customFormat="false" ht="15" hidden="false" customHeight="false" outlineLevel="0" collapsed="false">
      <c r="A721" s="0" t="n">
        <v>-0.317715096756234</v>
      </c>
      <c r="B721" s="0" t="n">
        <v>1.28164379500377</v>
      </c>
      <c r="C721" s="0" t="n">
        <v>0.557691060725125</v>
      </c>
    </row>
    <row r="722" customFormat="false" ht="15" hidden="false" customHeight="false" outlineLevel="0" collapsed="false">
      <c r="A722" s="0" t="n">
        <v>-1.11145795693703</v>
      </c>
      <c r="B722" s="0" t="n">
        <v>0.246504778432005</v>
      </c>
      <c r="C722" s="0" t="n">
        <v>0.498221748496785</v>
      </c>
    </row>
    <row r="723" customFormat="false" ht="15" hidden="false" customHeight="false" outlineLevel="0" collapsed="false">
      <c r="A723" s="0" t="n">
        <v>1.14014903852127</v>
      </c>
      <c r="B723" s="0" t="n">
        <v>1.58054068656837</v>
      </c>
      <c r="C723" s="0" t="n">
        <v>-1.01509419182787</v>
      </c>
    </row>
    <row r="724" customFormat="false" ht="15" hidden="false" customHeight="false" outlineLevel="0" collapsed="false">
      <c r="A724" s="0" t="n">
        <v>-0.810857511210338</v>
      </c>
      <c r="B724" s="0" t="n">
        <v>-1.25757785891462</v>
      </c>
      <c r="C724" s="0" t="n">
        <v>-0.234019859106981</v>
      </c>
    </row>
    <row r="725" customFormat="false" ht="15" hidden="false" customHeight="false" outlineLevel="0" collapsed="false">
      <c r="A725" s="0" t="n">
        <v>0.466358374446335</v>
      </c>
      <c r="B725" s="0" t="n">
        <v>0.987334516589102</v>
      </c>
      <c r="C725" s="0" t="n">
        <v>-0.0759510236425228</v>
      </c>
    </row>
    <row r="726" customFormat="false" ht="15" hidden="false" customHeight="false" outlineLevel="0" collapsed="false">
      <c r="A726" s="0" t="n">
        <v>-0.319847523254844</v>
      </c>
      <c r="B726" s="0" t="n">
        <v>0.15175799224874</v>
      </c>
      <c r="C726" s="0" t="n">
        <v>-0.835142901630023</v>
      </c>
    </row>
    <row r="727" customFormat="false" ht="15" hidden="false" customHeight="false" outlineLevel="0" collapsed="false">
      <c r="A727" s="0" t="n">
        <v>2.08953872169477</v>
      </c>
      <c r="B727" s="0" t="n">
        <v>-1.60766102711806</v>
      </c>
      <c r="C727" s="0" t="n">
        <v>0.184740578895725</v>
      </c>
    </row>
    <row r="728" customFormat="false" ht="15" hidden="false" customHeight="false" outlineLevel="0" collapsed="false">
      <c r="A728" s="0" t="n">
        <v>2.02360621922964</v>
      </c>
      <c r="B728" s="0" t="n">
        <v>0.00679984455999777</v>
      </c>
      <c r="C728" s="0" t="n">
        <v>-0.190039035001495</v>
      </c>
    </row>
    <row r="729" customFormat="false" ht="15" hidden="false" customHeight="false" outlineLevel="0" collapsed="false">
      <c r="A729" s="0" t="n">
        <v>-0.357445422810427</v>
      </c>
      <c r="B729" s="0" t="n">
        <v>-0.180391681762408</v>
      </c>
      <c r="C729" s="0" t="n">
        <v>1.37284847467653</v>
      </c>
    </row>
    <row r="730" customFormat="false" ht="15" hidden="false" customHeight="false" outlineLevel="0" collapsed="false">
      <c r="A730" s="0" t="n">
        <v>-2.21186191132951</v>
      </c>
      <c r="B730" s="0" t="n">
        <v>1.53343370129633</v>
      </c>
      <c r="C730" s="0" t="n">
        <v>-1.42395715245015</v>
      </c>
    </row>
    <row r="731" customFormat="false" ht="15" hidden="false" customHeight="false" outlineLevel="0" collapsed="false">
      <c r="A731" s="0" t="n">
        <v>-0.266652329234415</v>
      </c>
      <c r="B731" s="0" t="n">
        <v>-0.429244420298662</v>
      </c>
      <c r="C731" s="0" t="n">
        <v>0.58855326977072</v>
      </c>
    </row>
    <row r="732" customFormat="false" ht="15" hidden="false" customHeight="false" outlineLevel="0" collapsed="false">
      <c r="A732" s="0" t="n">
        <v>-1.59812435188375</v>
      </c>
      <c r="B732" s="0" t="n">
        <v>0.462172666081943</v>
      </c>
      <c r="C732" s="0" t="n">
        <v>2.02430962328685</v>
      </c>
    </row>
    <row r="733" customFormat="false" ht="15" hidden="false" customHeight="false" outlineLevel="0" collapsed="false">
      <c r="A733" s="0" t="n">
        <v>-1.36317400459281</v>
      </c>
      <c r="B733" s="0" t="n">
        <v>0.189706167610396</v>
      </c>
      <c r="C733" s="0" t="n">
        <v>-0.661982177796609</v>
      </c>
    </row>
    <row r="734" customFormat="false" ht="15" hidden="false" customHeight="false" outlineLevel="0" collapsed="false">
      <c r="A734" s="0" t="n">
        <v>0.425887206193036</v>
      </c>
      <c r="B734" s="0" t="n">
        <v>0.0191477774157521</v>
      </c>
      <c r="C734" s="0" t="n">
        <v>-0.64148690904431</v>
      </c>
    </row>
    <row r="735" customFormat="false" ht="15" hidden="false" customHeight="false" outlineLevel="0" collapsed="false">
      <c r="A735" s="0" t="n">
        <v>0.487872284871074</v>
      </c>
      <c r="B735" s="0" t="n">
        <v>1.80434810978674</v>
      </c>
      <c r="C735" s="0" t="n">
        <v>-0.190903791727299</v>
      </c>
    </row>
    <row r="736" customFormat="false" ht="15" hidden="false" customHeight="false" outlineLevel="0" collapsed="false">
      <c r="A736" s="0" t="n">
        <v>0.719757942148182</v>
      </c>
      <c r="B736" s="0" t="n">
        <v>-1.29327295787116</v>
      </c>
      <c r="C736" s="0" t="n">
        <v>-0.956436376818009</v>
      </c>
    </row>
    <row r="737" customFormat="false" ht="15" hidden="false" customHeight="false" outlineLevel="0" collapsed="false">
      <c r="A737" s="0" t="n">
        <v>0.472406277880377</v>
      </c>
      <c r="B737" s="0" t="n">
        <v>1.48411602853597</v>
      </c>
      <c r="C737" s="0" t="n">
        <v>0.35561334878566</v>
      </c>
    </row>
    <row r="738" customFormat="false" ht="15" hidden="false" customHeight="false" outlineLevel="0" collapsed="false">
      <c r="A738" s="0" t="n">
        <v>-0.313058030523154</v>
      </c>
      <c r="B738" s="0" t="n">
        <v>-0.000708594576645917</v>
      </c>
      <c r="C738" s="0" t="n">
        <v>-1.25040773396972</v>
      </c>
    </row>
    <row r="739" customFormat="false" ht="15" hidden="false" customHeight="false" outlineLevel="0" collapsed="false">
      <c r="A739" s="0" t="n">
        <v>0.604515326355367</v>
      </c>
      <c r="B739" s="0" t="n">
        <v>0.882333062323409</v>
      </c>
      <c r="C739" s="0" t="n">
        <v>-0.45209033283308</v>
      </c>
    </row>
    <row r="740" customFormat="false" ht="15" hidden="false" customHeight="false" outlineLevel="0" collapsed="false">
      <c r="A740" s="0" t="n">
        <v>-0.470042147759502</v>
      </c>
      <c r="B740" s="0" t="n">
        <v>0.265878229652049</v>
      </c>
      <c r="C740" s="0" t="n">
        <v>-0.436719736040596</v>
      </c>
    </row>
    <row r="741" customFormat="false" ht="15" hidden="false" customHeight="false" outlineLevel="0" collapsed="false">
      <c r="A741" s="0" t="n">
        <v>-0.0661326146258225</v>
      </c>
      <c r="B741" s="0" t="n">
        <v>2.09972178916652</v>
      </c>
      <c r="C741" s="0" t="n">
        <v>-0.247025700745997</v>
      </c>
    </row>
    <row r="742" customFormat="false" ht="15" hidden="false" customHeight="false" outlineLevel="0" collapsed="false">
      <c r="A742" s="0" t="n">
        <v>-0.358340152021222</v>
      </c>
      <c r="B742" s="0" t="n">
        <v>-0.647541805635159</v>
      </c>
      <c r="C742" s="0" t="n">
        <v>0.744191971499937</v>
      </c>
    </row>
    <row r="743" customFormat="false" ht="15" hidden="false" customHeight="false" outlineLevel="0" collapsed="false">
      <c r="A743" s="0" t="n">
        <v>-0.181224173218103</v>
      </c>
      <c r="B743" s="0" t="n">
        <v>-0.649373038321426</v>
      </c>
      <c r="C743" s="0" t="n">
        <v>1.32130403227301</v>
      </c>
    </row>
    <row r="744" customFormat="false" ht="15" hidden="false" customHeight="false" outlineLevel="0" collapsed="false">
      <c r="A744" s="0" t="n">
        <v>1.41960300451364</v>
      </c>
      <c r="B744" s="0" t="n">
        <v>-0.600423565738705</v>
      </c>
      <c r="C744" s="0" t="n">
        <v>-1.86653995136062</v>
      </c>
    </row>
    <row r="745" customFormat="false" ht="15" hidden="false" customHeight="false" outlineLevel="0" collapsed="false">
      <c r="A745" s="0" t="n">
        <v>1.00751368983692</v>
      </c>
      <c r="B745" s="0" t="n">
        <v>-0.684629825760004</v>
      </c>
      <c r="C745" s="0" t="n">
        <v>0.790625599162769</v>
      </c>
    </row>
    <row r="746" customFormat="false" ht="15" hidden="false" customHeight="false" outlineLevel="0" collapsed="false">
      <c r="A746" s="0" t="n">
        <v>-1.97010381771184</v>
      </c>
      <c r="B746" s="0" t="n">
        <v>0.892597338299309</v>
      </c>
      <c r="C746" s="0" t="n">
        <v>-1.21117192928078</v>
      </c>
    </row>
    <row r="747" customFormat="false" ht="15" hidden="false" customHeight="false" outlineLevel="0" collapsed="false">
      <c r="A747" s="0" t="n">
        <v>0.730764119066525</v>
      </c>
      <c r="B747" s="0" t="n">
        <v>0.0142730678364341</v>
      </c>
      <c r="C747" s="0" t="n">
        <v>-0.953939419396645</v>
      </c>
    </row>
    <row r="748" customFormat="false" ht="15" hidden="false" customHeight="false" outlineLevel="0" collapsed="false">
      <c r="A748" s="0" t="n">
        <v>-0.407036312926781</v>
      </c>
      <c r="B748" s="0" t="n">
        <v>0.686318456956701</v>
      </c>
      <c r="C748" s="0" t="n">
        <v>0.105894453115234</v>
      </c>
    </row>
    <row r="749" customFormat="false" ht="15" hidden="false" customHeight="false" outlineLevel="0" collapsed="false">
      <c r="A749" s="0" t="n">
        <v>0.584412980472484</v>
      </c>
      <c r="B749" s="0" t="n">
        <v>1.97644058451549</v>
      </c>
      <c r="C749" s="0" t="n">
        <v>-1.56424161171105</v>
      </c>
    </row>
    <row r="750" customFormat="false" ht="15" hidden="false" customHeight="false" outlineLevel="0" collapsed="false">
      <c r="A750" s="0" t="n">
        <v>1.61721257496862</v>
      </c>
      <c r="B750" s="0" t="n">
        <v>0.104355937523213</v>
      </c>
      <c r="C750" s="0" t="n">
        <v>-0.898784048323128</v>
      </c>
    </row>
    <row r="751" customFormat="false" ht="15" hidden="false" customHeight="false" outlineLevel="0" collapsed="false">
      <c r="A751" s="0" t="n">
        <v>-1.33031362573899</v>
      </c>
      <c r="B751" s="0" t="n">
        <v>-0.189120390777034</v>
      </c>
      <c r="C751" s="0" t="n">
        <v>0.921650111924459</v>
      </c>
    </row>
    <row r="752" customFormat="false" ht="15" hidden="false" customHeight="false" outlineLevel="0" collapsed="false">
      <c r="A752" s="0" t="n">
        <v>-0.127549120377534</v>
      </c>
      <c r="B752" s="0" t="n">
        <v>1.51115493024735</v>
      </c>
      <c r="C752" s="0" t="n">
        <v>-1.45117569005156</v>
      </c>
    </row>
    <row r="753" customFormat="false" ht="15" hidden="false" customHeight="false" outlineLevel="0" collapsed="false">
      <c r="A753" s="0" t="n">
        <v>-0.0120889478460546</v>
      </c>
      <c r="B753" s="0" t="n">
        <v>-1.25239344441312</v>
      </c>
      <c r="C753" s="0" t="n">
        <v>0.363631882624968</v>
      </c>
    </row>
    <row r="754" customFormat="false" ht="15" hidden="false" customHeight="false" outlineLevel="0" collapsed="false">
      <c r="A754" s="0" t="n">
        <v>0.8868873900973</v>
      </c>
      <c r="B754" s="0" t="n">
        <v>-0.420761793681053</v>
      </c>
      <c r="C754" s="0" t="n">
        <v>-2.60421385662713</v>
      </c>
    </row>
    <row r="755" customFormat="false" ht="15" hidden="false" customHeight="false" outlineLevel="0" collapsed="false">
      <c r="A755" s="0" t="n">
        <v>0.198948146796495</v>
      </c>
      <c r="B755" s="0" t="n">
        <v>0.43673855173351</v>
      </c>
      <c r="C755" s="0" t="n">
        <v>0.404294754961698</v>
      </c>
    </row>
    <row r="756" customFormat="false" ht="15" hidden="false" customHeight="false" outlineLevel="0" collapsed="false">
      <c r="A756" s="0" t="n">
        <v>1.23578219182215</v>
      </c>
      <c r="B756" s="0" t="n">
        <v>-1.07105367964905</v>
      </c>
      <c r="C756" s="0" t="n">
        <v>0.680216105450449</v>
      </c>
    </row>
    <row r="757" customFormat="false" ht="15" hidden="false" customHeight="false" outlineLevel="0" collapsed="false">
      <c r="A757" s="0" t="n">
        <v>1.19250751247798</v>
      </c>
      <c r="B757" s="0" t="n">
        <v>-1.77858758400652</v>
      </c>
      <c r="C757" s="0" t="n">
        <v>0.319651825918977</v>
      </c>
    </row>
    <row r="758" customFormat="false" ht="15" hidden="false" customHeight="false" outlineLevel="0" collapsed="false">
      <c r="A758" s="0" t="n">
        <v>-0.504179831007672</v>
      </c>
      <c r="B758" s="0" t="n">
        <v>-0.0815226731016459</v>
      </c>
      <c r="C758" s="0" t="n">
        <v>0.347676483538336</v>
      </c>
    </row>
    <row r="759" customFormat="false" ht="15" hidden="false" customHeight="false" outlineLevel="0" collapsed="false">
      <c r="A759" s="0" t="n">
        <v>-0.487228564113552</v>
      </c>
      <c r="B759" s="0" t="n">
        <v>-0.675708079161612</v>
      </c>
      <c r="C759" s="0" t="n">
        <v>0.0341524174880246</v>
      </c>
    </row>
    <row r="760" customFormat="false" ht="15" hidden="false" customHeight="false" outlineLevel="0" collapsed="false">
      <c r="A760" s="0" t="n">
        <v>-1.0872459388628</v>
      </c>
      <c r="B760" s="0" t="n">
        <v>-1.08582512888519</v>
      </c>
      <c r="C760" s="0" t="n">
        <v>0.679373282956503</v>
      </c>
    </row>
    <row r="761" customFormat="false" ht="15" hidden="false" customHeight="false" outlineLevel="0" collapsed="false">
      <c r="A761" s="0" t="n">
        <v>-1.14879403515866</v>
      </c>
      <c r="B761" s="0" t="n">
        <v>0.666312500909212</v>
      </c>
      <c r="C761" s="0" t="n">
        <v>0.462591292853951</v>
      </c>
    </row>
    <row r="762" customFormat="false" ht="15" hidden="false" customHeight="false" outlineLevel="0" collapsed="false">
      <c r="A762" s="0" t="n">
        <v>-1.7258067287906</v>
      </c>
      <c r="B762" s="0" t="n">
        <v>-0.677564652335655</v>
      </c>
      <c r="C762" s="0" t="n">
        <v>1.19410940304737</v>
      </c>
    </row>
    <row r="763" customFormat="false" ht="15" hidden="false" customHeight="false" outlineLevel="0" collapsed="false">
      <c r="A763" s="0" t="n">
        <v>-0.981165531139682</v>
      </c>
      <c r="B763" s="0" t="n">
        <v>-0.464404262309388</v>
      </c>
      <c r="C763" s="0" t="n">
        <v>0.462060893251897</v>
      </c>
    </row>
    <row r="764" customFormat="false" ht="15" hidden="false" customHeight="false" outlineLevel="0" collapsed="false">
      <c r="A764" s="0" t="n">
        <v>0.783390509282596</v>
      </c>
      <c r="B764" s="0" t="n">
        <v>-0.251538886044496</v>
      </c>
      <c r="C764" s="0" t="n">
        <v>-0.597510194691642</v>
      </c>
    </row>
    <row r="765" customFormat="false" ht="15" hidden="false" customHeight="false" outlineLevel="0" collapsed="false">
      <c r="A765" s="0" t="n">
        <v>1.42236986169851</v>
      </c>
      <c r="B765" s="0" t="n">
        <v>1.73889966379758</v>
      </c>
      <c r="C765" s="0" t="n">
        <v>0.978858050781795</v>
      </c>
    </row>
    <row r="766" customFormat="false" ht="15" hidden="false" customHeight="false" outlineLevel="0" collapsed="false">
      <c r="A766" s="0" t="n">
        <v>0.0853181425650241</v>
      </c>
      <c r="B766" s="0" t="n">
        <v>-0.808265721640926</v>
      </c>
      <c r="C766" s="0" t="n">
        <v>-0.830444406556565</v>
      </c>
    </row>
    <row r="767" customFormat="false" ht="15" hidden="false" customHeight="false" outlineLevel="0" collapsed="false">
      <c r="A767" s="0" t="n">
        <v>0.522514105265758</v>
      </c>
      <c r="B767" s="0" t="n">
        <v>0.418398220888684</v>
      </c>
      <c r="C767" s="0" t="n">
        <v>1.40159859294643</v>
      </c>
    </row>
    <row r="768" customFormat="false" ht="15" hidden="false" customHeight="false" outlineLevel="0" collapsed="false">
      <c r="A768" s="0" t="n">
        <v>0.650450092536139</v>
      </c>
      <c r="B768" s="0" t="n">
        <v>-1.50308030175982</v>
      </c>
      <c r="C768" s="0" t="n">
        <v>1.05194761772292</v>
      </c>
    </row>
    <row r="769" customFormat="false" ht="15" hidden="false" customHeight="false" outlineLevel="0" collapsed="false">
      <c r="A769" s="0" t="n">
        <v>-0.998060627314413</v>
      </c>
      <c r="B769" s="0" t="n">
        <v>-0.383971271952352</v>
      </c>
      <c r="C769" s="0" t="n">
        <v>0.250200206251695</v>
      </c>
    </row>
    <row r="770" customFormat="false" ht="15" hidden="false" customHeight="false" outlineLevel="0" collapsed="false">
      <c r="A770" s="0" t="n">
        <v>1.99566748978396</v>
      </c>
      <c r="B770" s="0" t="n">
        <v>3.10991855600536</v>
      </c>
      <c r="C770" s="0" t="n">
        <v>0.606723059136183</v>
      </c>
    </row>
    <row r="771" customFormat="false" ht="15" hidden="false" customHeight="false" outlineLevel="0" collapsed="false">
      <c r="A771" s="0" t="n">
        <v>-0.183196618720388</v>
      </c>
      <c r="B771" s="0" t="n">
        <v>0.53450564848055</v>
      </c>
      <c r="C771" s="0" t="n">
        <v>0.887655425873836</v>
      </c>
    </row>
    <row r="772" customFormat="false" ht="15" hidden="false" customHeight="false" outlineLevel="0" collapsed="false">
      <c r="A772" s="0" t="n">
        <v>-0.320667625557192</v>
      </c>
      <c r="B772" s="0" t="n">
        <v>1.79521135591232</v>
      </c>
      <c r="C772" s="0" t="n">
        <v>0.230070759191402</v>
      </c>
    </row>
    <row r="773" customFormat="false" ht="15" hidden="false" customHeight="false" outlineLevel="0" collapsed="false">
      <c r="A773" s="0" t="n">
        <v>0.497743089091394</v>
      </c>
      <c r="B773" s="0" t="n">
        <v>0.665924252054461</v>
      </c>
      <c r="C773" s="0" t="n">
        <v>0.421586610614456</v>
      </c>
    </row>
    <row r="774" customFormat="false" ht="15" hidden="false" customHeight="false" outlineLevel="0" collapsed="false">
      <c r="A774" s="0" t="n">
        <v>0.838940500469612</v>
      </c>
      <c r="B774" s="0" t="n">
        <v>-0.617253186546923</v>
      </c>
      <c r="C774" s="0" t="n">
        <v>-0.558301753946031</v>
      </c>
    </row>
    <row r="775" customFormat="false" ht="15" hidden="false" customHeight="false" outlineLevel="0" collapsed="false">
      <c r="A775" s="0" t="n">
        <v>-1.1001542329717</v>
      </c>
      <c r="B775" s="0" t="n">
        <v>0.439501230620226</v>
      </c>
      <c r="C775" s="0" t="n">
        <v>0.778936503512114</v>
      </c>
    </row>
    <row r="776" customFormat="false" ht="15" hidden="false" customHeight="false" outlineLevel="0" collapsed="false">
      <c r="A776" s="0" t="n">
        <v>0.457772866151886</v>
      </c>
      <c r="B776" s="0" t="n">
        <v>1.67449243334754</v>
      </c>
      <c r="C776" s="0" t="n">
        <v>-0.00559601882904656</v>
      </c>
    </row>
    <row r="777" customFormat="false" ht="15" hidden="false" customHeight="false" outlineLevel="0" collapsed="false">
      <c r="A777" s="0" t="n">
        <v>0.668741655592513</v>
      </c>
      <c r="B777" s="0" t="n">
        <v>-1.09170087613931</v>
      </c>
      <c r="C777" s="0" t="n">
        <v>-0.387099702474401</v>
      </c>
    </row>
    <row r="778" customFormat="false" ht="15" hidden="false" customHeight="false" outlineLevel="0" collapsed="false">
      <c r="A778" s="0" t="n">
        <v>0.695537757565778</v>
      </c>
      <c r="B778" s="0" t="n">
        <v>0.849102110743144</v>
      </c>
      <c r="C778" s="0" t="n">
        <v>-0.293966947664182</v>
      </c>
    </row>
    <row r="779" customFormat="false" ht="15" hidden="false" customHeight="false" outlineLevel="0" collapsed="false">
      <c r="A779" s="0" t="n">
        <v>-0.0715992518580668</v>
      </c>
      <c r="B779" s="0" t="n">
        <v>-1.51787374668081</v>
      </c>
      <c r="C779" s="0" t="n">
        <v>-0.357029200806609</v>
      </c>
    </row>
    <row r="780" customFormat="false" ht="15" hidden="false" customHeight="false" outlineLevel="0" collapsed="false">
      <c r="A780" s="0" t="n">
        <v>0.890383163519786</v>
      </c>
      <c r="B780" s="0" t="n">
        <v>0.575205016106566</v>
      </c>
      <c r="C780" s="0" t="n">
        <v>0.50066572138121</v>
      </c>
    </row>
    <row r="781" customFormat="false" ht="15" hidden="false" customHeight="false" outlineLevel="0" collapsed="false">
      <c r="A781" s="0" t="n">
        <v>0.0497736871809601</v>
      </c>
      <c r="B781" s="0" t="n">
        <v>0.00706315862817645</v>
      </c>
      <c r="C781" s="0" t="n">
        <v>-0.660321139473447</v>
      </c>
    </row>
    <row r="782" customFormat="false" ht="15" hidden="false" customHeight="false" outlineLevel="0" collapsed="false">
      <c r="A782" s="0" t="n">
        <v>0.698828420202535</v>
      </c>
      <c r="B782" s="0" t="n">
        <v>0.42097294438939</v>
      </c>
      <c r="C782" s="0" t="n">
        <v>0.492018847992799</v>
      </c>
    </row>
    <row r="783" customFormat="false" ht="15" hidden="false" customHeight="false" outlineLevel="0" collapsed="false">
      <c r="A783" s="0" t="n">
        <v>-0.52603484266758</v>
      </c>
      <c r="B783" s="0" t="n">
        <v>-2.15334291987124</v>
      </c>
      <c r="C783" s="0" t="n">
        <v>1.0971527117537</v>
      </c>
    </row>
    <row r="784" customFormat="false" ht="15" hidden="false" customHeight="false" outlineLevel="0" collapsed="false">
      <c r="A784" s="0" t="n">
        <v>-0.478837456008404</v>
      </c>
      <c r="B784" s="0" t="n">
        <v>-0.862775764043121</v>
      </c>
      <c r="C784" s="0" t="n">
        <v>0.693478911913994</v>
      </c>
    </row>
    <row r="785" customFormat="false" ht="15" hidden="false" customHeight="false" outlineLevel="0" collapsed="false">
      <c r="A785" s="0" t="n">
        <v>-0.39201263991913</v>
      </c>
      <c r="B785" s="0" t="n">
        <v>1.05993638404662</v>
      </c>
      <c r="C785" s="0" t="n">
        <v>0.617005949576698</v>
      </c>
    </row>
    <row r="786" customFormat="false" ht="15" hidden="false" customHeight="false" outlineLevel="0" collapsed="false">
      <c r="A786" s="0" t="n">
        <v>0.683569323200478</v>
      </c>
      <c r="B786" s="0" t="n">
        <v>-1.36595571120053</v>
      </c>
      <c r="C786" s="0" t="n">
        <v>1.2119439853864</v>
      </c>
    </row>
    <row r="787" customFormat="false" ht="15" hidden="false" customHeight="false" outlineLevel="0" collapsed="false">
      <c r="A787" s="0" t="n">
        <v>0.261250531233856</v>
      </c>
      <c r="B787" s="0" t="n">
        <v>-0.369277139246203</v>
      </c>
      <c r="C787" s="0" t="n">
        <v>0.143388467342251</v>
      </c>
    </row>
    <row r="788" customFormat="false" ht="15" hidden="false" customHeight="false" outlineLevel="0" collapsed="false">
      <c r="A788" s="0" t="n">
        <v>-1.77623523289832</v>
      </c>
      <c r="B788" s="0" t="n">
        <v>0.408652811480671</v>
      </c>
      <c r="C788" s="0" t="n">
        <v>-1.02937150818207</v>
      </c>
    </row>
    <row r="789" customFormat="false" ht="15" hidden="false" customHeight="false" outlineLevel="0" collapsed="false">
      <c r="A789" s="0" t="n">
        <v>-1.35267028584353</v>
      </c>
      <c r="B789" s="0" t="n">
        <v>-1.52235918621789</v>
      </c>
      <c r="C789" s="0" t="n">
        <v>1.11268837498993</v>
      </c>
    </row>
    <row r="790" customFormat="false" ht="15" hidden="false" customHeight="false" outlineLevel="0" collapsed="false">
      <c r="A790" s="0" t="n">
        <v>-0.629263393692789</v>
      </c>
      <c r="B790" s="0" t="n">
        <v>1.5337277099165</v>
      </c>
      <c r="C790" s="0" t="n">
        <v>-0.535801463052298</v>
      </c>
    </row>
    <row r="791" customFormat="false" ht="15" hidden="false" customHeight="false" outlineLevel="0" collapsed="false">
      <c r="A791" s="0" t="n">
        <v>-1.70735795759295</v>
      </c>
      <c r="B791" s="0" t="n">
        <v>-1.11652443994866</v>
      </c>
      <c r="C791" s="0" t="n">
        <v>1.23581162000694</v>
      </c>
    </row>
    <row r="792" customFormat="false" ht="15" hidden="false" customHeight="false" outlineLevel="0" collapsed="false">
      <c r="A792" s="0" t="n">
        <v>-0.155898177936668</v>
      </c>
      <c r="B792" s="0" t="n">
        <v>-0.548287296490601</v>
      </c>
      <c r="C792" s="0" t="n">
        <v>0.160018225852788</v>
      </c>
    </row>
    <row r="793" customFormat="false" ht="15" hidden="false" customHeight="false" outlineLevel="0" collapsed="false">
      <c r="A793" s="0" t="n">
        <v>0.501782736167545</v>
      </c>
      <c r="B793" s="0" t="n">
        <v>1.11739881590246</v>
      </c>
      <c r="C793" s="0" t="n">
        <v>1.44849922989293</v>
      </c>
    </row>
    <row r="794" customFormat="false" ht="15" hidden="false" customHeight="false" outlineLevel="0" collapsed="false">
      <c r="A794" s="0" t="n">
        <v>-0.359768645789086</v>
      </c>
      <c r="B794" s="0" t="n">
        <v>-1.32604768608204</v>
      </c>
      <c r="C794" s="0" t="n">
        <v>-0.413465161123276</v>
      </c>
    </row>
    <row r="795" customFormat="false" ht="15" hidden="false" customHeight="false" outlineLevel="0" collapsed="false">
      <c r="A795" s="0" t="n">
        <v>0.260280506582886</v>
      </c>
      <c r="B795" s="0" t="n">
        <v>-0.963758926210611</v>
      </c>
      <c r="C795" s="0" t="n">
        <v>-0.957150914895043</v>
      </c>
    </row>
    <row r="796" customFormat="false" ht="15" hidden="false" customHeight="false" outlineLevel="0" collapsed="false">
      <c r="A796" s="0" t="n">
        <v>0.343787881549885</v>
      </c>
      <c r="B796" s="0" t="n">
        <v>-0.0486523515704512</v>
      </c>
      <c r="C796" s="0" t="n">
        <v>0.0327969954115865</v>
      </c>
    </row>
    <row r="797" customFormat="false" ht="15" hidden="false" customHeight="false" outlineLevel="0" collapsed="false">
      <c r="A797" s="0" t="n">
        <v>-0.75849533470007</v>
      </c>
      <c r="B797" s="0" t="n">
        <v>-0.230400714205767</v>
      </c>
      <c r="C797" s="0" t="n">
        <v>-0.924233144268304</v>
      </c>
    </row>
    <row r="798" customFormat="false" ht="15" hidden="false" customHeight="false" outlineLevel="0" collapsed="false">
      <c r="A798" s="0" t="n">
        <v>0.890198411124787</v>
      </c>
      <c r="B798" s="0" t="n">
        <v>1.03524933472375</v>
      </c>
      <c r="C798" s="0" t="n">
        <v>-1.84618786223809</v>
      </c>
    </row>
    <row r="799" customFormat="false" ht="15" hidden="false" customHeight="false" outlineLevel="0" collapsed="false">
      <c r="A799" s="0" t="n">
        <v>-0.92951086019241</v>
      </c>
      <c r="B799" s="0" t="n">
        <v>-1.49652925509008</v>
      </c>
      <c r="C799" s="0" t="n">
        <v>-0.650023934406898</v>
      </c>
    </row>
    <row r="800" customFormat="false" ht="15" hidden="false" customHeight="false" outlineLevel="0" collapsed="false">
      <c r="A800" s="0" t="n">
        <v>-0.0834379697903609</v>
      </c>
      <c r="B800" s="0" t="n">
        <v>-1.44964521969853</v>
      </c>
      <c r="C800" s="0" t="n">
        <v>-0.921859813125313</v>
      </c>
    </row>
    <row r="801" customFormat="false" ht="15" hidden="false" customHeight="false" outlineLevel="0" collapsed="false">
      <c r="A801" s="0" t="n">
        <v>-1.0039573720815</v>
      </c>
      <c r="B801" s="0" t="n">
        <v>0.207267329398944</v>
      </c>
      <c r="C801" s="0" t="n">
        <v>0.0693443370362504</v>
      </c>
    </row>
    <row r="802" customFormat="false" ht="15" hidden="false" customHeight="false" outlineLevel="0" collapsed="false">
      <c r="A802" s="0" t="n">
        <v>-0.721737553337253</v>
      </c>
      <c r="B802" s="0" t="n">
        <v>0.176820872139398</v>
      </c>
      <c r="C802" s="0" t="n">
        <v>-0.546680084587265</v>
      </c>
    </row>
    <row r="803" customFormat="false" ht="15" hidden="false" customHeight="false" outlineLevel="0" collapsed="false">
      <c r="A803" s="0" t="n">
        <v>-0.271655110326053</v>
      </c>
      <c r="B803" s="0" t="n">
        <v>1.67345209029854</v>
      </c>
      <c r="C803" s="0" t="n">
        <v>1.34046105179035</v>
      </c>
    </row>
    <row r="804" customFormat="false" ht="15" hidden="false" customHeight="false" outlineLevel="0" collapsed="false">
      <c r="A804" s="0" t="n">
        <v>-1.2995812369276</v>
      </c>
      <c r="B804" s="0" t="n">
        <v>0.829732417879175</v>
      </c>
      <c r="C804" s="0" t="n">
        <v>0.811396554491592</v>
      </c>
    </row>
    <row r="805" customFormat="false" ht="15" hidden="false" customHeight="false" outlineLevel="0" collapsed="false">
      <c r="A805" s="0" t="n">
        <v>-1.14826328875262</v>
      </c>
      <c r="B805" s="0" t="n">
        <v>0.818777643754861</v>
      </c>
      <c r="C805" s="0" t="n">
        <v>1.53793191841255</v>
      </c>
    </row>
    <row r="806" customFormat="false" ht="15" hidden="false" customHeight="false" outlineLevel="0" collapsed="false">
      <c r="A806" s="0" t="n">
        <v>-1.12254480624441</v>
      </c>
      <c r="B806" s="0" t="n">
        <v>-0.917502821014264</v>
      </c>
      <c r="C806" s="0" t="n">
        <v>1.0176614668435</v>
      </c>
    </row>
    <row r="807" customFormat="false" ht="15" hidden="false" customHeight="false" outlineLevel="0" collapsed="false">
      <c r="A807" s="0" t="n">
        <v>0.271495310825648</v>
      </c>
      <c r="B807" s="0" t="n">
        <v>0.551476275239523</v>
      </c>
      <c r="C807" s="0" t="n">
        <v>0.340589216400497</v>
      </c>
    </row>
    <row r="808" customFormat="false" ht="15" hidden="false" customHeight="false" outlineLevel="0" collapsed="false">
      <c r="A808" s="0" t="n">
        <v>0.390695920928144</v>
      </c>
      <c r="B808" s="0" t="n">
        <v>-1.32647212831108</v>
      </c>
      <c r="C808" s="0" t="n">
        <v>1.04731770662145</v>
      </c>
    </row>
    <row r="809" customFormat="false" ht="15" hidden="false" customHeight="false" outlineLevel="0" collapsed="false">
      <c r="A809" s="0" t="n">
        <v>1.16958999242777</v>
      </c>
      <c r="B809" s="0" t="n">
        <v>-0.229390744068028</v>
      </c>
      <c r="C809" s="0" t="n">
        <v>-0.0434769498138624</v>
      </c>
    </row>
    <row r="810" customFormat="false" ht="15" hidden="false" customHeight="false" outlineLevel="0" collapsed="false">
      <c r="A810" s="0" t="n">
        <v>-1.53110750255572</v>
      </c>
      <c r="B810" s="0" t="n">
        <v>0.514254756017835</v>
      </c>
      <c r="C810" s="0" t="n">
        <v>0.572057441714144</v>
      </c>
    </row>
    <row r="811" customFormat="false" ht="15" hidden="false" customHeight="false" outlineLevel="0" collapsed="false">
      <c r="A811" s="0" t="n">
        <v>-0.062191016999311</v>
      </c>
      <c r="B811" s="0" t="n">
        <v>1.1243533598705</v>
      </c>
      <c r="C811" s="0" t="n">
        <v>-0.334077230979941</v>
      </c>
    </row>
    <row r="812" customFormat="false" ht="15" hidden="false" customHeight="false" outlineLevel="0" collapsed="false">
      <c r="A812" s="0" t="n">
        <v>0.5646059258936</v>
      </c>
      <c r="B812" s="0" t="n">
        <v>-1.01966433869212</v>
      </c>
      <c r="C812" s="0" t="n">
        <v>-0.0235521508742381</v>
      </c>
    </row>
    <row r="813" customFormat="false" ht="15" hidden="false" customHeight="false" outlineLevel="0" collapsed="false">
      <c r="A813" s="0" t="n">
        <v>-0.174354257902836</v>
      </c>
      <c r="B813" s="0" t="n">
        <v>0.225307922040942</v>
      </c>
      <c r="C813" s="0" t="n">
        <v>-0.369526928833359</v>
      </c>
    </row>
    <row r="814" customFormat="false" ht="15" hidden="false" customHeight="false" outlineLevel="0" collapsed="false">
      <c r="A814" s="0" t="n">
        <v>-0.131472595671668</v>
      </c>
      <c r="B814" s="0" t="n">
        <v>0.826047171441506</v>
      </c>
      <c r="C814" s="0" t="n">
        <v>-0.436764237238217</v>
      </c>
    </row>
    <row r="815" customFormat="false" ht="15" hidden="false" customHeight="false" outlineLevel="0" collapsed="false">
      <c r="A815" s="0" t="n">
        <v>-1.60657710073868</v>
      </c>
      <c r="B815" s="0" t="n">
        <v>1.74958390420542</v>
      </c>
      <c r="C815" s="0" t="n">
        <v>1.38145407869049</v>
      </c>
    </row>
    <row r="816" customFormat="false" ht="15" hidden="false" customHeight="false" outlineLevel="0" collapsed="false">
      <c r="A816" s="0" t="n">
        <v>-1.29226269510562</v>
      </c>
      <c r="B816" s="0" t="n">
        <v>0.689707805245194</v>
      </c>
      <c r="C816" s="0" t="n">
        <v>-0.502974770551343</v>
      </c>
    </row>
    <row r="817" customFormat="false" ht="15" hidden="false" customHeight="false" outlineLevel="0" collapsed="false">
      <c r="A817" s="0" t="n">
        <v>0.26348721533106</v>
      </c>
      <c r="B817" s="0" t="n">
        <v>0.294224129013494</v>
      </c>
      <c r="C817" s="0" t="n">
        <v>-0.234407800316322</v>
      </c>
    </row>
    <row r="818" customFormat="false" ht="15" hidden="false" customHeight="false" outlineLevel="0" collapsed="false">
      <c r="A818" s="0" t="n">
        <v>-0.783765665586397</v>
      </c>
      <c r="B818" s="0" t="n">
        <v>-0.690541052316259</v>
      </c>
      <c r="C818" s="0" t="n">
        <v>-0.916191915481243</v>
      </c>
    </row>
    <row r="819" customFormat="false" ht="15" hidden="false" customHeight="false" outlineLevel="0" collapsed="false">
      <c r="A819" s="0" t="n">
        <v>-0.831822208230445</v>
      </c>
      <c r="B819" s="0" t="n">
        <v>-0.0671782900493553</v>
      </c>
      <c r="C819" s="0" t="n">
        <v>-0.715759989110752</v>
      </c>
    </row>
    <row r="820" customFormat="false" ht="15" hidden="false" customHeight="false" outlineLevel="0" collapsed="false">
      <c r="A820" s="0" t="n">
        <v>0.68205206571262</v>
      </c>
      <c r="B820" s="0" t="n">
        <v>1.48724615533593</v>
      </c>
      <c r="C820" s="0" t="n">
        <v>-0.580053241370043</v>
      </c>
    </row>
    <row r="821" customFormat="false" ht="15" hidden="false" customHeight="false" outlineLevel="0" collapsed="false">
      <c r="A821" s="0" t="n">
        <v>0.239404500535377</v>
      </c>
      <c r="B821" s="0" t="n">
        <v>0.499685110302934</v>
      </c>
      <c r="C821" s="0" t="n">
        <v>0.472002270919274</v>
      </c>
    </row>
    <row r="822" customFormat="false" ht="15" hidden="false" customHeight="false" outlineLevel="0" collapsed="false">
      <c r="A822" s="0" t="n">
        <v>0.0759552679160874</v>
      </c>
      <c r="B822" s="0" t="n">
        <v>0.742682418359722</v>
      </c>
      <c r="C822" s="0" t="n">
        <v>0.482248952680657</v>
      </c>
    </row>
    <row r="823" customFormat="false" ht="15" hidden="false" customHeight="false" outlineLevel="0" collapsed="false">
      <c r="A823" s="0" t="n">
        <v>-1.2376624223273</v>
      </c>
      <c r="B823" s="0" t="n">
        <v>0.869156064389273</v>
      </c>
      <c r="C823" s="0" t="n">
        <v>0.887290837266742</v>
      </c>
    </row>
    <row r="824" customFormat="false" ht="15" hidden="false" customHeight="false" outlineLevel="0" collapsed="false">
      <c r="A824" s="0" t="n">
        <v>-0.763286104178582</v>
      </c>
      <c r="B824" s="0" t="n">
        <v>0.037937835447602</v>
      </c>
      <c r="C824" s="0" t="n">
        <v>0.683328992811069</v>
      </c>
    </row>
    <row r="825" customFormat="false" ht="15" hidden="false" customHeight="false" outlineLevel="0" collapsed="false">
      <c r="A825" s="0" t="n">
        <v>-0.209313819579362</v>
      </c>
      <c r="B825" s="0" t="n">
        <v>1.07297804776601</v>
      </c>
      <c r="C825" s="0" t="n">
        <v>2.36387249461936</v>
      </c>
    </row>
    <row r="826" customFormat="false" ht="15" hidden="false" customHeight="false" outlineLevel="0" collapsed="false">
      <c r="A826" s="0" t="n">
        <v>-0.785986032634982</v>
      </c>
      <c r="B826" s="0" t="n">
        <v>-1.38104460315378</v>
      </c>
      <c r="C826" s="0" t="n">
        <v>0.303818595604876</v>
      </c>
    </row>
    <row r="827" customFormat="false" ht="15" hidden="false" customHeight="false" outlineLevel="0" collapsed="false">
      <c r="A827" s="0" t="n">
        <v>0.721562505126144</v>
      </c>
      <c r="B827" s="0" t="n">
        <v>-0.230866373844769</v>
      </c>
      <c r="C827" s="0" t="n">
        <v>1.45326066332103</v>
      </c>
    </row>
    <row r="828" customFormat="false" ht="15" hidden="false" customHeight="false" outlineLevel="0" collapsed="false">
      <c r="A828" s="0" t="n">
        <v>-1.33860579972325</v>
      </c>
      <c r="B828" s="0" t="n">
        <v>0.692918623031611</v>
      </c>
      <c r="C828" s="0" t="n">
        <v>-0.605860820758893</v>
      </c>
    </row>
    <row r="829" customFormat="false" ht="15" hidden="false" customHeight="false" outlineLevel="0" collapsed="false">
      <c r="A829" s="0" t="n">
        <v>1.7193779062073</v>
      </c>
      <c r="B829" s="0" t="n">
        <v>1.99251535316812</v>
      </c>
      <c r="C829" s="0" t="n">
        <v>-0.766656587783348</v>
      </c>
    </row>
    <row r="830" customFormat="false" ht="15" hidden="false" customHeight="false" outlineLevel="0" collapsed="false">
      <c r="A830" s="0" t="n">
        <v>-0.54955713590858</v>
      </c>
      <c r="B830" s="0" t="n">
        <v>0.859587886979802</v>
      </c>
      <c r="C830" s="0" t="n">
        <v>-0.387130649789515</v>
      </c>
    </row>
    <row r="831" customFormat="false" ht="15" hidden="false" customHeight="false" outlineLevel="0" collapsed="false">
      <c r="A831" s="0" t="n">
        <v>-0.0454112179322382</v>
      </c>
      <c r="B831" s="0" t="n">
        <v>0.0253884205424102</v>
      </c>
      <c r="C831" s="0" t="n">
        <v>-1.91967315619766</v>
      </c>
    </row>
    <row r="832" customFormat="false" ht="15" hidden="false" customHeight="false" outlineLevel="0" collapsed="false">
      <c r="A832" s="0" t="n">
        <v>-0.0138377460942373</v>
      </c>
      <c r="B832" s="0" t="n">
        <v>-0.689727774064174</v>
      </c>
      <c r="C832" s="0" t="n">
        <v>-0.493122822399772</v>
      </c>
    </row>
    <row r="833" customFormat="false" ht="15" hidden="false" customHeight="false" outlineLevel="0" collapsed="false">
      <c r="A833" s="0" t="n">
        <v>1.44363200346881</v>
      </c>
      <c r="B833" s="0" t="n">
        <v>-1.25650689427926</v>
      </c>
      <c r="C833" s="0" t="n">
        <v>0.813205186747977</v>
      </c>
    </row>
    <row r="834" customFormat="false" ht="15" hidden="false" customHeight="false" outlineLevel="0" collapsed="false">
      <c r="A834" s="0" t="n">
        <v>-0.278962930331809</v>
      </c>
      <c r="B834" s="0" t="n">
        <v>-0.279760168495834</v>
      </c>
      <c r="C834" s="0" t="n">
        <v>0.790371896051711</v>
      </c>
    </row>
    <row r="835" customFormat="false" ht="15" hidden="false" customHeight="false" outlineLevel="0" collapsed="false">
      <c r="A835" s="0" t="n">
        <v>0.34005129456889</v>
      </c>
      <c r="B835" s="0" t="n">
        <v>0.570612997219531</v>
      </c>
      <c r="C835" s="0" t="n">
        <v>0.968184660532861</v>
      </c>
    </row>
    <row r="836" customFormat="false" ht="15" hidden="false" customHeight="false" outlineLevel="0" collapsed="false">
      <c r="A836" s="0" t="n">
        <v>-0.331308383183323</v>
      </c>
      <c r="B836" s="0" t="n">
        <v>-0.61223673450775</v>
      </c>
      <c r="C836" s="0" t="n">
        <v>-1.0851505265578</v>
      </c>
    </row>
    <row r="837" customFormat="false" ht="15" hidden="false" customHeight="false" outlineLevel="0" collapsed="false">
      <c r="A837" s="0" t="n">
        <v>-0.825410529978955</v>
      </c>
      <c r="B837" s="0" t="n">
        <v>2.94909442530873</v>
      </c>
      <c r="C837" s="0" t="n">
        <v>1.24467958073679</v>
      </c>
    </row>
    <row r="838" customFormat="false" ht="15" hidden="false" customHeight="false" outlineLevel="0" collapsed="false">
      <c r="A838" s="0" t="n">
        <v>-1.35107436620802</v>
      </c>
      <c r="B838" s="0" t="n">
        <v>-1.32245795674357</v>
      </c>
      <c r="C838" s="0" t="n">
        <v>0.481866061718492</v>
      </c>
    </row>
    <row r="839" customFormat="false" ht="15" hidden="false" customHeight="false" outlineLevel="0" collapsed="false">
      <c r="A839" s="0" t="n">
        <v>0.547264797377967</v>
      </c>
      <c r="B839" s="0" t="n">
        <v>0.548883835317364</v>
      </c>
      <c r="C839" s="0" t="n">
        <v>-0.254955793553698</v>
      </c>
    </row>
    <row r="840" customFormat="false" ht="15" hidden="false" customHeight="false" outlineLevel="0" collapsed="false">
      <c r="A840" s="0" t="n">
        <v>-0.1254542600029</v>
      </c>
      <c r="B840" s="0" t="n">
        <v>0.327879524159357</v>
      </c>
      <c r="C840" s="0" t="n">
        <v>0.0858930062933304</v>
      </c>
    </row>
    <row r="841" customFormat="false" ht="15" hidden="false" customHeight="false" outlineLevel="0" collapsed="false">
      <c r="A841" s="0" t="n">
        <v>-2.21930037274754</v>
      </c>
      <c r="B841" s="0" t="n">
        <v>-0.229799630575194</v>
      </c>
      <c r="C841" s="0" t="n">
        <v>-0.851406434260314</v>
      </c>
    </row>
    <row r="842" customFormat="false" ht="15" hidden="false" customHeight="false" outlineLevel="0" collapsed="false">
      <c r="A842" s="0" t="n">
        <v>0.175211418908512</v>
      </c>
      <c r="B842" s="0" t="n">
        <v>2.98525900260341</v>
      </c>
      <c r="C842" s="0" t="n">
        <v>0.367481665474304</v>
      </c>
    </row>
    <row r="843" customFormat="false" ht="15" hidden="false" customHeight="false" outlineLevel="0" collapsed="false">
      <c r="A843" s="0" t="n">
        <v>-0.313529686172398</v>
      </c>
      <c r="B843" s="0" t="n">
        <v>0.921801501977252</v>
      </c>
      <c r="C843" s="0" t="n">
        <v>0.482687887209213</v>
      </c>
    </row>
    <row r="844" customFormat="false" ht="15" hidden="false" customHeight="false" outlineLevel="0" collapsed="false">
      <c r="A844" s="0" t="n">
        <v>0.420094490451841</v>
      </c>
      <c r="B844" s="0" t="n">
        <v>0.606850593215671</v>
      </c>
      <c r="C844" s="0" t="n">
        <v>2.05654356482954</v>
      </c>
    </row>
    <row r="845" customFormat="false" ht="15" hidden="false" customHeight="false" outlineLevel="0" collapsed="false">
      <c r="A845" s="0" t="n">
        <v>-1.13088843532592</v>
      </c>
      <c r="B845" s="0" t="n">
        <v>0.473632076811455</v>
      </c>
      <c r="C845" s="0" t="n">
        <v>-0.926381129981538</v>
      </c>
    </row>
    <row r="846" customFormat="false" ht="15" hidden="false" customHeight="false" outlineLevel="0" collapsed="false">
      <c r="A846" s="0" t="n">
        <v>0.555512646342248</v>
      </c>
      <c r="B846" s="0" t="n">
        <v>-0.918686511486094</v>
      </c>
      <c r="C846" s="0" t="n">
        <v>-0.417366813605084</v>
      </c>
    </row>
    <row r="847" customFormat="false" ht="15" hidden="false" customHeight="false" outlineLevel="0" collapsed="false">
      <c r="A847" s="0" t="n">
        <v>-0.295089914237906</v>
      </c>
      <c r="B847" s="0" t="n">
        <v>0.975816719344709</v>
      </c>
      <c r="C847" s="0" t="n">
        <v>0.918454443942414</v>
      </c>
    </row>
    <row r="848" customFormat="false" ht="15" hidden="false" customHeight="false" outlineLevel="0" collapsed="false">
      <c r="A848" s="0" t="n">
        <v>-1.24571737644638</v>
      </c>
      <c r="B848" s="0" t="n">
        <v>0.0549341109998487</v>
      </c>
      <c r="C848" s="0" t="n">
        <v>-0.709579854749173</v>
      </c>
    </row>
    <row r="849" customFormat="false" ht="15" hidden="false" customHeight="false" outlineLevel="0" collapsed="false">
      <c r="A849" s="0" t="n">
        <v>-1.25850491067534</v>
      </c>
      <c r="B849" s="0" t="n">
        <v>-0.21701705042437</v>
      </c>
      <c r="C849" s="0" t="n">
        <v>-0.30848278845582</v>
      </c>
    </row>
    <row r="850" customFormat="false" ht="15" hidden="false" customHeight="false" outlineLevel="0" collapsed="false">
      <c r="A850" s="0" t="n">
        <v>2.42671648634552</v>
      </c>
      <c r="B850" s="0" t="n">
        <v>0.432959825360696</v>
      </c>
      <c r="C850" s="0" t="n">
        <v>-1.37761750075424</v>
      </c>
    </row>
    <row r="851" customFormat="false" ht="15" hidden="false" customHeight="false" outlineLevel="0" collapsed="false">
      <c r="A851" s="0" t="n">
        <v>-0.564774004170942</v>
      </c>
      <c r="B851" s="0" t="n">
        <v>1.0213832954294</v>
      </c>
      <c r="C851" s="0" t="n">
        <v>2.08844277286993</v>
      </c>
    </row>
    <row r="852" customFormat="false" ht="15" hidden="false" customHeight="false" outlineLevel="0" collapsed="false">
      <c r="A852" s="0" t="n">
        <v>-1.58598331223796</v>
      </c>
      <c r="B852" s="0" t="n">
        <v>-1.87992438513905</v>
      </c>
      <c r="C852" s="0" t="n">
        <v>1.87096517537178</v>
      </c>
    </row>
    <row r="853" customFormat="false" ht="15" hidden="false" customHeight="false" outlineLevel="0" collapsed="false">
      <c r="A853" s="0" t="n">
        <v>0.389614177370904</v>
      </c>
      <c r="B853" s="0" t="n">
        <v>-0.868292731876367</v>
      </c>
      <c r="C853" s="0" t="n">
        <v>0.534629086122435</v>
      </c>
    </row>
    <row r="854" customFormat="false" ht="15" hidden="false" customHeight="false" outlineLevel="0" collapsed="false">
      <c r="A854" s="0" t="n">
        <v>-2.63574773901688</v>
      </c>
      <c r="B854" s="0" t="n">
        <v>0.003375506597161</v>
      </c>
      <c r="C854" s="0" t="n">
        <v>0.327821172843085</v>
      </c>
    </row>
    <row r="855" customFormat="false" ht="15" hidden="false" customHeight="false" outlineLevel="0" collapsed="false">
      <c r="A855" s="0" t="n">
        <v>0.92427013953783</v>
      </c>
      <c r="B855" s="0" t="n">
        <v>-1.01389595229254</v>
      </c>
      <c r="C855" s="0" t="n">
        <v>0.085687161403359</v>
      </c>
    </row>
    <row r="856" customFormat="false" ht="15" hidden="false" customHeight="false" outlineLevel="0" collapsed="false">
      <c r="A856" s="0" t="n">
        <v>-0.925424626059587</v>
      </c>
      <c r="B856" s="0" t="n">
        <v>0.255383755674317</v>
      </c>
      <c r="C856" s="0" t="n">
        <v>-0.895346322363024</v>
      </c>
    </row>
    <row r="857" customFormat="false" ht="15" hidden="false" customHeight="false" outlineLevel="0" collapsed="false">
      <c r="A857" s="0" t="n">
        <v>-0.408100839160221</v>
      </c>
      <c r="B857" s="0" t="n">
        <v>-0.995815394790229</v>
      </c>
      <c r="C857" s="0" t="n">
        <v>0.651136241823657</v>
      </c>
    </row>
    <row r="858" customFormat="false" ht="15" hidden="false" customHeight="false" outlineLevel="0" collapsed="false">
      <c r="A858" s="0" t="n">
        <v>0.858451116656665</v>
      </c>
      <c r="B858" s="0" t="n">
        <v>-0.234620569957414</v>
      </c>
      <c r="C858" s="0" t="n">
        <v>0.0382379949600283</v>
      </c>
    </row>
    <row r="859" customFormat="false" ht="15" hidden="false" customHeight="false" outlineLevel="0" collapsed="false">
      <c r="A859" s="0" t="n">
        <v>-1.44859141463354</v>
      </c>
      <c r="B859" s="0" t="n">
        <v>-0.299676648006787</v>
      </c>
      <c r="C859" s="0" t="n">
        <v>-0.0502046170417448</v>
      </c>
    </row>
    <row r="860" customFormat="false" ht="15" hidden="false" customHeight="false" outlineLevel="0" collapsed="false">
      <c r="A860" s="0" t="n">
        <v>2.62079309102998</v>
      </c>
      <c r="B860" s="0" t="n">
        <v>-1.11196702577416</v>
      </c>
      <c r="C860" s="0" t="n">
        <v>1.46417723875244</v>
      </c>
    </row>
    <row r="861" customFormat="false" ht="15" hidden="false" customHeight="false" outlineLevel="0" collapsed="false">
      <c r="A861" s="0" t="n">
        <v>0.996858773465808</v>
      </c>
      <c r="B861" s="0" t="n">
        <v>0.280636404490136</v>
      </c>
      <c r="C861" s="0" t="n">
        <v>1.75862048419513</v>
      </c>
    </row>
    <row r="862" customFormat="false" ht="15" hidden="false" customHeight="false" outlineLevel="0" collapsed="false">
      <c r="A862" s="0" t="n">
        <v>0.372105472606863</v>
      </c>
      <c r="B862" s="0" t="n">
        <v>0.389159195667929</v>
      </c>
      <c r="C862" s="0" t="n">
        <v>-0.0531206530175453</v>
      </c>
    </row>
    <row r="863" customFormat="false" ht="15" hidden="false" customHeight="false" outlineLevel="0" collapsed="false">
      <c r="A863" s="0" t="n">
        <v>1.22356888241863</v>
      </c>
      <c r="B863" s="0" t="n">
        <v>1.09646923381088</v>
      </c>
      <c r="C863" s="0" t="n">
        <v>-0.625677287496212</v>
      </c>
    </row>
    <row r="864" customFormat="false" ht="15" hidden="false" customHeight="false" outlineLevel="0" collapsed="false">
      <c r="A864" s="0" t="n">
        <v>-1.31924719459877</v>
      </c>
      <c r="B864" s="0" t="n">
        <v>-0.202980637395657</v>
      </c>
      <c r="C864" s="0" t="n">
        <v>-0.800038564397646</v>
      </c>
    </row>
    <row r="865" customFormat="false" ht="15" hidden="false" customHeight="false" outlineLevel="0" collapsed="false">
      <c r="A865" s="0" t="n">
        <v>-0.0635245746153551</v>
      </c>
      <c r="B865" s="0" t="n">
        <v>1.23743813468414</v>
      </c>
      <c r="C865" s="0" t="n">
        <v>-0.45730165508679</v>
      </c>
    </row>
    <row r="866" customFormat="false" ht="15" hidden="false" customHeight="false" outlineLevel="0" collapsed="false">
      <c r="A866" s="0" t="n">
        <v>-0.0428233813115749</v>
      </c>
      <c r="B866" s="0" t="n">
        <v>0.0580227348083952</v>
      </c>
      <c r="C866" s="0" t="n">
        <v>0.848430882205285</v>
      </c>
    </row>
    <row r="867" customFormat="false" ht="15" hidden="false" customHeight="false" outlineLevel="0" collapsed="false">
      <c r="A867" s="0" t="n">
        <v>-2.24688933398461</v>
      </c>
      <c r="B867" s="0" t="n">
        <v>-0.606700294765297</v>
      </c>
      <c r="C867" s="0" t="n">
        <v>0.211283692279473</v>
      </c>
    </row>
    <row r="868" customFormat="false" ht="15" hidden="false" customHeight="false" outlineLevel="0" collapsed="false">
      <c r="A868" s="0" t="n">
        <v>1.20007895642686</v>
      </c>
      <c r="B868" s="0" t="n">
        <v>-0.491902447506205</v>
      </c>
      <c r="C868" s="0" t="n">
        <v>-1.87655270604187</v>
      </c>
    </row>
    <row r="869" customFormat="false" ht="15" hidden="false" customHeight="false" outlineLevel="0" collapsed="false">
      <c r="A869" s="0" t="n">
        <v>0.619711445966136</v>
      </c>
      <c r="B869" s="0" t="n">
        <v>-0.635362388825629</v>
      </c>
      <c r="C869" s="0" t="n">
        <v>-1.18966665909036</v>
      </c>
    </row>
    <row r="870" customFormat="false" ht="15" hidden="false" customHeight="false" outlineLevel="0" collapsed="false">
      <c r="A870" s="0" t="n">
        <v>-0.624345389713224</v>
      </c>
      <c r="B870" s="0" t="n">
        <v>-0.18452535765585</v>
      </c>
      <c r="C870" s="0" t="n">
        <v>-0.604744664538213</v>
      </c>
    </row>
    <row r="871" customFormat="false" ht="15" hidden="false" customHeight="false" outlineLevel="0" collapsed="false">
      <c r="A871" s="0" t="n">
        <v>-2.20556605709907</v>
      </c>
      <c r="B871" s="0" t="n">
        <v>0.897066196887132</v>
      </c>
      <c r="C871" s="0" t="n">
        <v>1.27487504127872</v>
      </c>
    </row>
    <row r="872" customFormat="false" ht="15" hidden="false" customHeight="false" outlineLevel="0" collapsed="false">
      <c r="A872" s="0" t="n">
        <v>0.651521991339506</v>
      </c>
      <c r="B872" s="0" t="n">
        <v>-1.13768567042482</v>
      </c>
      <c r="C872" s="0" t="n">
        <v>-0.201491533947518</v>
      </c>
    </row>
    <row r="873" customFormat="false" ht="15" hidden="false" customHeight="false" outlineLevel="0" collapsed="false">
      <c r="A873" s="0" t="n">
        <v>-0.00652131522945806</v>
      </c>
      <c r="B873" s="0" t="n">
        <v>0.59879438956191</v>
      </c>
      <c r="C873" s="0" t="n">
        <v>0.668340488718081</v>
      </c>
    </row>
    <row r="874" customFormat="false" ht="15" hidden="false" customHeight="false" outlineLevel="0" collapsed="false">
      <c r="A874" s="0" t="n">
        <v>-0.734173798778496</v>
      </c>
      <c r="B874" s="0" t="n">
        <v>0.0819955564135604</v>
      </c>
      <c r="C874" s="0" t="n">
        <v>0.457280404615241</v>
      </c>
    </row>
    <row r="875" customFormat="false" ht="15" hidden="false" customHeight="false" outlineLevel="0" collapsed="false">
      <c r="A875" s="0" t="n">
        <v>1.45582232214677</v>
      </c>
      <c r="B875" s="0" t="n">
        <v>0.704506539824723</v>
      </c>
      <c r="C875" s="0" t="n">
        <v>0.789056687375519</v>
      </c>
    </row>
    <row r="876" customFormat="false" ht="15" hidden="false" customHeight="false" outlineLevel="0" collapsed="false">
      <c r="A876" s="0" t="n">
        <v>0.0838266279293609</v>
      </c>
      <c r="B876" s="0" t="n">
        <v>1.4104591452035</v>
      </c>
      <c r="C876" s="0" t="n">
        <v>0.409762795959497</v>
      </c>
    </row>
    <row r="877" customFormat="false" ht="15" hidden="false" customHeight="false" outlineLevel="0" collapsed="false">
      <c r="A877" s="0" t="n">
        <v>-0.86108791017357</v>
      </c>
      <c r="B877" s="0" t="n">
        <v>1.40336997012519</v>
      </c>
      <c r="C877" s="0" t="n">
        <v>0.697903272539028</v>
      </c>
    </row>
    <row r="878" customFormat="false" ht="15" hidden="false" customHeight="false" outlineLevel="0" collapsed="false">
      <c r="A878" s="0" t="n">
        <v>-0.443044021128482</v>
      </c>
      <c r="B878" s="0" t="n">
        <v>-0.479492967399243</v>
      </c>
      <c r="C878" s="0" t="n">
        <v>0.296575545140762</v>
      </c>
    </row>
    <row r="879" customFormat="false" ht="15" hidden="false" customHeight="false" outlineLevel="0" collapsed="false">
      <c r="A879" s="0" t="n">
        <v>0.463184795267585</v>
      </c>
      <c r="B879" s="0" t="n">
        <v>0.197292265631206</v>
      </c>
      <c r="C879" s="0" t="n">
        <v>0.311308673442885</v>
      </c>
    </row>
    <row r="880" customFormat="false" ht="15" hidden="false" customHeight="false" outlineLevel="0" collapsed="false">
      <c r="A880" s="0" t="n">
        <v>1.69995737457638</v>
      </c>
      <c r="B880" s="0" t="n">
        <v>1.07154315223489</v>
      </c>
      <c r="C880" s="0" t="n">
        <v>0.190635591265024</v>
      </c>
    </row>
    <row r="881" customFormat="false" ht="15" hidden="false" customHeight="false" outlineLevel="0" collapsed="false">
      <c r="A881" s="0" t="n">
        <v>0.941310580767483</v>
      </c>
      <c r="B881" s="0" t="n">
        <v>-1.03252390352754</v>
      </c>
      <c r="C881" s="0" t="n">
        <v>0.397927049946809</v>
      </c>
    </row>
    <row r="882" customFormat="false" ht="15" hidden="false" customHeight="false" outlineLevel="0" collapsed="false">
      <c r="A882" s="0" t="n">
        <v>1.80930634973311</v>
      </c>
      <c r="B882" s="0" t="n">
        <v>-0.218045895392374</v>
      </c>
      <c r="C882" s="0" t="n">
        <v>-0.847633928619085</v>
      </c>
    </row>
    <row r="883" customFormat="false" ht="15" hidden="false" customHeight="false" outlineLevel="0" collapsed="false">
      <c r="A883" s="0" t="n">
        <v>-0.652088888593061</v>
      </c>
      <c r="B883" s="0" t="n">
        <v>-1.08963303734239</v>
      </c>
      <c r="C883" s="0" t="n">
        <v>-0.784761908127703</v>
      </c>
    </row>
    <row r="884" customFormat="false" ht="15" hidden="false" customHeight="false" outlineLevel="0" collapsed="false">
      <c r="A884" s="0" t="n">
        <v>-0.370508098590029</v>
      </c>
      <c r="B884" s="0" t="n">
        <v>-1.40556701917864</v>
      </c>
      <c r="C884" s="0" t="n">
        <v>0.0156183339496031</v>
      </c>
    </row>
    <row r="885" customFormat="false" ht="15" hidden="false" customHeight="false" outlineLevel="0" collapsed="false">
      <c r="A885" s="0" t="n">
        <v>0.902277173786647</v>
      </c>
      <c r="B885" s="0" t="n">
        <v>-0.90775618014692</v>
      </c>
      <c r="C885" s="0" t="n">
        <v>1.51928392364177</v>
      </c>
    </row>
    <row r="886" customFormat="false" ht="15" hidden="false" customHeight="false" outlineLevel="0" collapsed="false">
      <c r="A886" s="0" t="n">
        <v>0.510792088527595</v>
      </c>
      <c r="B886" s="0" t="n">
        <v>1.03058058562406</v>
      </c>
      <c r="C886" s="0" t="n">
        <v>-0.657834553852137</v>
      </c>
    </row>
    <row r="887" customFormat="false" ht="15" hidden="false" customHeight="false" outlineLevel="0" collapsed="false">
      <c r="A887" s="0" t="n">
        <v>0.854525227066616</v>
      </c>
      <c r="B887" s="0" t="n">
        <v>-1.09193390039531</v>
      </c>
      <c r="C887" s="0" t="n">
        <v>0.890247500836509</v>
      </c>
    </row>
    <row r="888" customFormat="false" ht="15" hidden="false" customHeight="false" outlineLevel="0" collapsed="false">
      <c r="A888" s="0" t="n">
        <v>0.171839339793531</v>
      </c>
      <c r="B888" s="0" t="n">
        <v>0.553251219984784</v>
      </c>
      <c r="C888" s="0" t="n">
        <v>-1.17559460562485</v>
      </c>
    </row>
    <row r="889" customFormat="false" ht="15" hidden="false" customHeight="false" outlineLevel="0" collapsed="false">
      <c r="A889" s="0" t="n">
        <v>-0.895069842276605</v>
      </c>
      <c r="B889" s="0" t="n">
        <v>0.597228218253385</v>
      </c>
      <c r="C889" s="0" t="n">
        <v>-0.948348004224201</v>
      </c>
    </row>
    <row r="890" customFormat="false" ht="15" hidden="false" customHeight="false" outlineLevel="0" collapsed="false">
      <c r="A890" s="0" t="n">
        <v>0.463206292099123</v>
      </c>
      <c r="B890" s="0" t="n">
        <v>-1.36713780646025</v>
      </c>
      <c r="C890" s="0" t="n">
        <v>0.848174212666668</v>
      </c>
    </row>
    <row r="891" customFormat="false" ht="15" hidden="false" customHeight="false" outlineLevel="0" collapsed="false">
      <c r="A891" s="0" t="n">
        <v>-1.23252331476851</v>
      </c>
      <c r="B891" s="0" t="n">
        <v>0.552299937679523</v>
      </c>
      <c r="C891" s="0" t="n">
        <v>0.625630933646001</v>
      </c>
    </row>
    <row r="892" customFormat="false" ht="15" hidden="false" customHeight="false" outlineLevel="0" collapsed="false">
      <c r="A892" s="0" t="n">
        <v>-0.696771818429575</v>
      </c>
      <c r="B892" s="0" t="n">
        <v>0.582026567084727</v>
      </c>
      <c r="C892" s="0" t="n">
        <v>0.260442263333556</v>
      </c>
    </row>
    <row r="893" customFormat="false" ht="15" hidden="false" customHeight="false" outlineLevel="0" collapsed="false">
      <c r="A893" s="0" t="n">
        <v>-0.538841856192738</v>
      </c>
      <c r="B893" s="0" t="n">
        <v>-1.00855468407621</v>
      </c>
      <c r="C893" s="0" t="n">
        <v>-1.96262569167258</v>
      </c>
    </row>
    <row r="894" customFormat="false" ht="15" hidden="false" customHeight="false" outlineLevel="0" collapsed="false">
      <c r="A894" s="0" t="n">
        <v>0.349650047299694</v>
      </c>
      <c r="B894" s="0" t="n">
        <v>-1.56480277136206</v>
      </c>
      <c r="C894" s="0" t="n">
        <v>0.0953441994413082</v>
      </c>
    </row>
    <row r="895" customFormat="false" ht="15" hidden="false" customHeight="false" outlineLevel="0" collapsed="false">
      <c r="A895" s="0" t="n">
        <v>-0.263448216082249</v>
      </c>
      <c r="B895" s="0" t="n">
        <v>0.679142775438196</v>
      </c>
      <c r="C895" s="0" t="n">
        <v>-0.302045499489864</v>
      </c>
    </row>
    <row r="896" customFormat="false" ht="15" hidden="false" customHeight="false" outlineLevel="0" collapsed="false">
      <c r="A896" s="0" t="n">
        <v>-0.329447786347091</v>
      </c>
      <c r="B896" s="0" t="n">
        <v>0.731870704288296</v>
      </c>
      <c r="C896" s="0" t="n">
        <v>0.335058029084118</v>
      </c>
    </row>
    <row r="897" customFormat="false" ht="15" hidden="false" customHeight="false" outlineLevel="0" collapsed="false">
      <c r="A897" s="0" t="n">
        <v>0.316155957182778</v>
      </c>
      <c r="B897" s="0" t="n">
        <v>0.469267589808526</v>
      </c>
      <c r="C897" s="0" t="n">
        <v>-1.53557212320711</v>
      </c>
    </row>
    <row r="898" customFormat="false" ht="15" hidden="false" customHeight="false" outlineLevel="0" collapsed="false">
      <c r="A898" s="0" t="n">
        <v>0.756788679986982</v>
      </c>
      <c r="B898" s="0" t="n">
        <v>0.612468794013602</v>
      </c>
      <c r="C898" s="0" t="n">
        <v>-1.0166831285765</v>
      </c>
    </row>
    <row r="899" customFormat="false" ht="15" hidden="false" customHeight="false" outlineLevel="0" collapsed="false">
      <c r="A899" s="0" t="n">
        <v>-0.244080473674201</v>
      </c>
      <c r="B899" s="0" t="n">
        <v>-0.0393072876276312</v>
      </c>
      <c r="C899" s="0" t="n">
        <v>-0.134496784401733</v>
      </c>
    </row>
    <row r="900" customFormat="false" ht="15" hidden="false" customHeight="false" outlineLevel="0" collapsed="false">
      <c r="A900" s="0" t="n">
        <v>0.333859966568535</v>
      </c>
      <c r="B900" s="0" t="n">
        <v>1.43136678183118</v>
      </c>
      <c r="C900" s="0" t="n">
        <v>1.08176672767283</v>
      </c>
    </row>
    <row r="901" customFormat="false" ht="15" hidden="false" customHeight="false" outlineLevel="0" collapsed="false">
      <c r="A901" s="0" t="n">
        <v>-1.31221919343141</v>
      </c>
      <c r="B901" s="0" t="n">
        <v>0.622069990306049</v>
      </c>
      <c r="C901" s="0" t="n">
        <v>1.32893331953541</v>
      </c>
    </row>
    <row r="902" customFormat="false" ht="15" hidden="false" customHeight="false" outlineLevel="0" collapsed="false">
      <c r="A902" s="0" t="n">
        <v>0.386808520689203</v>
      </c>
      <c r="B902" s="0" t="n">
        <v>1.09098042518597</v>
      </c>
      <c r="C902" s="0" t="n">
        <v>2.01227044570077</v>
      </c>
    </row>
    <row r="903" customFormat="false" ht="15" hidden="false" customHeight="false" outlineLevel="0" collapsed="false">
      <c r="A903" s="0" t="n">
        <v>1.02370954610698</v>
      </c>
      <c r="B903" s="0" t="n">
        <v>0.249308595641729</v>
      </c>
      <c r="C903" s="0" t="n">
        <v>1.04508847408475</v>
      </c>
    </row>
    <row r="904" customFormat="false" ht="15" hidden="false" customHeight="false" outlineLevel="0" collapsed="false">
      <c r="A904" s="0" t="n">
        <v>0.144887833096891</v>
      </c>
      <c r="B904" s="0" t="n">
        <v>0.0239030432849555</v>
      </c>
      <c r="C904" s="0" t="n">
        <v>-0.351414235713733</v>
      </c>
    </row>
    <row r="905" customFormat="false" ht="15" hidden="false" customHeight="false" outlineLevel="0" collapsed="false">
      <c r="A905" s="0" t="n">
        <v>1.56341335883211</v>
      </c>
      <c r="B905" s="0" t="n">
        <v>-0.818428665942001</v>
      </c>
      <c r="C905" s="0" t="n">
        <v>1.53236772467812</v>
      </c>
    </row>
    <row r="906" customFormat="false" ht="15" hidden="false" customHeight="false" outlineLevel="0" collapsed="false">
      <c r="A906" s="0" t="n">
        <v>0.499864123740371</v>
      </c>
      <c r="B906" s="0" t="n">
        <v>-1.39930617480194</v>
      </c>
      <c r="C906" s="0" t="n">
        <v>0.367649292991422</v>
      </c>
    </row>
    <row r="907" customFormat="false" ht="15" hidden="false" customHeight="false" outlineLevel="0" collapsed="false">
      <c r="A907" s="0" t="n">
        <v>-2.10002650765162</v>
      </c>
      <c r="B907" s="0" t="n">
        <v>0.625508016831036</v>
      </c>
      <c r="C907" s="0" t="n">
        <v>0.885231482988991</v>
      </c>
    </row>
    <row r="908" customFormat="false" ht="15" hidden="false" customHeight="false" outlineLevel="0" collapsed="false">
      <c r="A908" s="0" t="n">
        <v>-0.592355955652054</v>
      </c>
      <c r="B908" s="0" t="n">
        <v>0.123547695955582</v>
      </c>
      <c r="C908" s="0" t="n">
        <v>1.95415743375029</v>
      </c>
    </row>
    <row r="909" customFormat="false" ht="15" hidden="false" customHeight="false" outlineLevel="0" collapsed="false">
      <c r="A909" s="0" t="n">
        <v>-0.505746704261937</v>
      </c>
      <c r="B909" s="0" t="n">
        <v>-1.0589075870566</v>
      </c>
      <c r="C909" s="0" t="n">
        <v>1.4816634024626</v>
      </c>
    </row>
    <row r="910" customFormat="false" ht="15" hidden="false" customHeight="false" outlineLevel="0" collapsed="false">
      <c r="A910" s="0" t="n">
        <v>1.9625871905308</v>
      </c>
      <c r="B910" s="0" t="n">
        <v>0.00369567184784733</v>
      </c>
      <c r="C910" s="0" t="n">
        <v>1.01146303540836</v>
      </c>
    </row>
    <row r="911" customFormat="false" ht="15" hidden="false" customHeight="false" outlineLevel="0" collapsed="false">
      <c r="A911" s="0" t="n">
        <v>1.34147591553088</v>
      </c>
      <c r="B911" s="0" t="n">
        <v>-0.742484232538384</v>
      </c>
      <c r="C911" s="0" t="n">
        <v>-0.485305835367868</v>
      </c>
    </row>
    <row r="912" customFormat="false" ht="15" hidden="false" customHeight="false" outlineLevel="0" collapsed="false">
      <c r="A912" s="0" t="n">
        <v>1.23087451315474</v>
      </c>
      <c r="B912" s="0" t="n">
        <v>1.68501427870851</v>
      </c>
      <c r="C912" s="0" t="n">
        <v>0.562880860174355</v>
      </c>
    </row>
    <row r="913" customFormat="false" ht="15" hidden="false" customHeight="false" outlineLevel="0" collapsed="false">
      <c r="A913" s="0" t="n">
        <v>-0.879814353502054</v>
      </c>
      <c r="B913" s="0" t="n">
        <v>1.98706111169944</v>
      </c>
      <c r="C913" s="0" t="n">
        <v>-0.530970897811965</v>
      </c>
    </row>
    <row r="914" customFormat="false" ht="15" hidden="false" customHeight="false" outlineLevel="0" collapsed="false">
      <c r="A914" s="0" t="n">
        <v>-0.335137781171452</v>
      </c>
      <c r="B914" s="0" t="n">
        <v>0.342337834489622</v>
      </c>
      <c r="C914" s="0" t="n">
        <v>1.55416042071477</v>
      </c>
    </row>
    <row r="915" customFormat="false" ht="15" hidden="false" customHeight="false" outlineLevel="0" collapsed="false">
      <c r="A915" s="0" t="n">
        <v>0.853975976552224</v>
      </c>
      <c r="B915" s="0" t="n">
        <v>0.41486550036191</v>
      </c>
      <c r="C915" s="0" t="n">
        <v>0.463288530118106</v>
      </c>
    </row>
    <row r="916" customFormat="false" ht="15" hidden="false" customHeight="false" outlineLevel="0" collapsed="false">
      <c r="A916" s="0" t="n">
        <v>0.0435146686434661</v>
      </c>
      <c r="B916" s="0" t="n">
        <v>0.558139514518506</v>
      </c>
      <c r="C916" s="0" t="n">
        <v>-2.5295600776943</v>
      </c>
    </row>
    <row r="917" customFormat="false" ht="15" hidden="false" customHeight="false" outlineLevel="0" collapsed="false">
      <c r="A917" s="0" t="n">
        <v>-0.296607459069798</v>
      </c>
      <c r="B917" s="0" t="n">
        <v>0.241321934916781</v>
      </c>
      <c r="C917" s="0" t="n">
        <v>-1.15101408361951</v>
      </c>
    </row>
    <row r="918" customFormat="false" ht="15" hidden="false" customHeight="false" outlineLevel="0" collapsed="false">
      <c r="A918" s="0" t="n">
        <v>0.38632331781156</v>
      </c>
      <c r="B918" s="0" t="n">
        <v>-0.204471220986122</v>
      </c>
      <c r="C918" s="0" t="n">
        <v>1.75547569831549</v>
      </c>
    </row>
    <row r="919" customFormat="false" ht="15" hidden="false" customHeight="false" outlineLevel="0" collapsed="false">
      <c r="A919" s="0" t="n">
        <v>1.57301972521486</v>
      </c>
      <c r="B919" s="0" t="n">
        <v>-0.465805569118163</v>
      </c>
      <c r="C919" s="0" t="n">
        <v>-0.150837711566695</v>
      </c>
    </row>
    <row r="920" customFormat="false" ht="15" hidden="false" customHeight="false" outlineLevel="0" collapsed="false">
      <c r="A920" s="0" t="n">
        <v>-0.0739475656083926</v>
      </c>
      <c r="B920" s="0" t="n">
        <v>-0.451659476159623</v>
      </c>
      <c r="C920" s="0" t="n">
        <v>0.195024984028127</v>
      </c>
    </row>
    <row r="921" customFormat="false" ht="15" hidden="false" customHeight="false" outlineLevel="0" collapsed="false">
      <c r="A921" s="0" t="n">
        <v>-0.75828206888759</v>
      </c>
      <c r="B921" s="0" t="n">
        <v>-1.13061533493753</v>
      </c>
      <c r="C921" s="0" t="n">
        <v>0.622711223900269</v>
      </c>
    </row>
    <row r="922" customFormat="false" ht="15" hidden="false" customHeight="false" outlineLevel="0" collapsed="false">
      <c r="A922" s="0" t="n">
        <v>0.629529584221811</v>
      </c>
      <c r="B922" s="0" t="n">
        <v>-0.804315759659992</v>
      </c>
      <c r="C922" s="0" t="n">
        <v>0.8953554307626</v>
      </c>
    </row>
    <row r="923" customFormat="false" ht="15" hidden="false" customHeight="false" outlineLevel="0" collapsed="false">
      <c r="A923" s="0" t="n">
        <v>-0.631577729165331</v>
      </c>
      <c r="B923" s="0" t="n">
        <v>0.253165238037981</v>
      </c>
      <c r="C923" s="0" t="n">
        <v>0.820344012612456</v>
      </c>
    </row>
    <row r="924" customFormat="false" ht="15" hidden="false" customHeight="false" outlineLevel="0" collapsed="false">
      <c r="A924" s="0" t="n">
        <v>-0.033612564703713</v>
      </c>
      <c r="B924" s="0" t="n">
        <v>0.454740912141134</v>
      </c>
      <c r="C924" s="0" t="n">
        <v>-0.516429643887572</v>
      </c>
    </row>
    <row r="925" customFormat="false" ht="15" hidden="false" customHeight="false" outlineLevel="0" collapsed="false">
      <c r="A925" s="0" t="n">
        <v>-0.196466583428097</v>
      </c>
      <c r="B925" s="0" t="n">
        <v>-0.20585943088034</v>
      </c>
      <c r="C925" s="0" t="n">
        <v>-0.746578346540239</v>
      </c>
    </row>
    <row r="926" customFormat="false" ht="15" hidden="false" customHeight="false" outlineLevel="0" collapsed="false">
      <c r="A926" s="0" t="n">
        <v>-0.176774163115782</v>
      </c>
      <c r="B926" s="0" t="n">
        <v>-1.54861829886375</v>
      </c>
      <c r="C926" s="0" t="n">
        <v>-0.491153747142105</v>
      </c>
    </row>
    <row r="927" customFormat="false" ht="15" hidden="false" customHeight="false" outlineLevel="0" collapsed="false">
      <c r="A927" s="0" t="n">
        <v>-0.284875493369671</v>
      </c>
      <c r="B927" s="0" t="n">
        <v>-0.25617975249538</v>
      </c>
      <c r="C927" s="0" t="n">
        <v>-0.241497445870779</v>
      </c>
    </row>
    <row r="928" customFormat="false" ht="15" hidden="false" customHeight="false" outlineLevel="0" collapsed="false">
      <c r="A928" s="0" t="n">
        <v>-0.0617641998601289</v>
      </c>
      <c r="B928" s="0" t="n">
        <v>0.479441518086064</v>
      </c>
      <c r="C928" s="0" t="n">
        <v>0.874517074132523</v>
      </c>
    </row>
    <row r="929" customFormat="false" ht="15" hidden="false" customHeight="false" outlineLevel="0" collapsed="false">
      <c r="A929" s="0" t="n">
        <v>-0.649765226848267</v>
      </c>
      <c r="B929" s="0" t="n">
        <v>-1.20320085538914</v>
      </c>
      <c r="C929" s="0" t="n">
        <v>-1.0420444122431</v>
      </c>
    </row>
    <row r="930" customFormat="false" ht="15" hidden="false" customHeight="false" outlineLevel="0" collapsed="false">
      <c r="A930" s="0" t="n">
        <v>-0.487202921194927</v>
      </c>
      <c r="B930" s="0" t="n">
        <v>-0.351921317816509</v>
      </c>
      <c r="C930" s="0" t="n">
        <v>-0.769996066197457</v>
      </c>
    </row>
    <row r="931" customFormat="false" ht="15" hidden="false" customHeight="false" outlineLevel="0" collapsed="false">
      <c r="A931" s="0" t="n">
        <v>-1.29611666424989</v>
      </c>
      <c r="B931" s="0" t="n">
        <v>-0.456120827474188</v>
      </c>
      <c r="C931" s="0" t="n">
        <v>0.181426620113971</v>
      </c>
    </row>
    <row r="932" customFormat="false" ht="15" hidden="false" customHeight="false" outlineLevel="0" collapsed="false">
      <c r="A932" s="0" t="n">
        <v>0.595029465835565</v>
      </c>
      <c r="B932" s="0" t="n">
        <v>-0.557423053108321</v>
      </c>
      <c r="C932" s="0" t="n">
        <v>-0.412997822143434</v>
      </c>
    </row>
    <row r="933" customFormat="false" ht="15" hidden="false" customHeight="false" outlineLevel="0" collapsed="false">
      <c r="A933" s="0" t="n">
        <v>-0.926698308847311</v>
      </c>
      <c r="B933" s="0" t="n">
        <v>-0.0314391703747764</v>
      </c>
      <c r="C933" s="0" t="n">
        <v>-0.848428634190815</v>
      </c>
    </row>
    <row r="934" customFormat="false" ht="15" hidden="false" customHeight="false" outlineLevel="0" collapsed="false">
      <c r="A934" s="0" t="n">
        <v>0.5731278132412</v>
      </c>
      <c r="B934" s="0" t="n">
        <v>-1.78586649193411</v>
      </c>
      <c r="C934" s="0" t="n">
        <v>-0.359629672452462</v>
      </c>
    </row>
    <row r="935" customFormat="false" ht="15" hidden="false" customHeight="false" outlineLevel="0" collapsed="false">
      <c r="A935" s="0" t="n">
        <v>0.301107339191742</v>
      </c>
      <c r="B935" s="0" t="n">
        <v>0.183834516322504</v>
      </c>
      <c r="C935" s="0" t="n">
        <v>2.6930336639805</v>
      </c>
    </row>
    <row r="936" customFormat="false" ht="15" hidden="false" customHeight="false" outlineLevel="0" collapsed="false">
      <c r="A936" s="0" t="n">
        <v>0.349800024567908</v>
      </c>
      <c r="B936" s="0" t="n">
        <v>-1.00405459684201</v>
      </c>
      <c r="C936" s="0" t="n">
        <v>-0.095464247089073</v>
      </c>
    </row>
    <row r="937" customFormat="false" ht="15" hidden="false" customHeight="false" outlineLevel="0" collapsed="false">
      <c r="A937" s="0" t="n">
        <v>-1.77624633346645</v>
      </c>
      <c r="B937" s="0" t="n">
        <v>-0.0805997492967609</v>
      </c>
      <c r="C937" s="0" t="n">
        <v>-0.833056057000759</v>
      </c>
    </row>
    <row r="938" customFormat="false" ht="15" hidden="false" customHeight="false" outlineLevel="0" collapsed="false">
      <c r="A938" s="0" t="n">
        <v>0.915390275560162</v>
      </c>
      <c r="B938" s="0" t="n">
        <v>-0.549540274595535</v>
      </c>
      <c r="C938" s="0" t="n">
        <v>-0.116765915795247</v>
      </c>
    </row>
    <row r="939" customFormat="false" ht="15" hidden="false" customHeight="false" outlineLevel="0" collapsed="false">
      <c r="A939" s="0" t="n">
        <v>-0.635557841404403</v>
      </c>
      <c r="B939" s="0" t="n">
        <v>1.73885135185333</v>
      </c>
      <c r="C939" s="0" t="n">
        <v>-0.321242766117912</v>
      </c>
    </row>
    <row r="940" customFormat="false" ht="15" hidden="false" customHeight="false" outlineLevel="0" collapsed="false">
      <c r="A940" s="0" t="n">
        <v>1.8325570434792</v>
      </c>
      <c r="B940" s="0" t="n">
        <v>0.814151762118267</v>
      </c>
      <c r="C940" s="0" t="n">
        <v>0.482066727335386</v>
      </c>
    </row>
    <row r="941" customFormat="false" ht="15" hidden="false" customHeight="false" outlineLevel="0" collapsed="false">
      <c r="A941" s="0" t="n">
        <v>0.36873314731752</v>
      </c>
      <c r="B941" s="0" t="n">
        <v>0.393797298216252</v>
      </c>
      <c r="C941" s="0" t="n">
        <v>-1.92767257934561</v>
      </c>
    </row>
    <row r="942" customFormat="false" ht="15" hidden="false" customHeight="false" outlineLevel="0" collapsed="false">
      <c r="A942" s="0" t="n">
        <v>-0.278883394150757</v>
      </c>
      <c r="B942" s="0" t="n">
        <v>0.845157971184322</v>
      </c>
      <c r="C942" s="0" t="n">
        <v>-0.0488971834741055</v>
      </c>
    </row>
    <row r="943" customFormat="false" ht="15" hidden="false" customHeight="false" outlineLevel="0" collapsed="false">
      <c r="A943" s="0" t="n">
        <v>-1.40518984680358</v>
      </c>
      <c r="B943" s="0" t="n">
        <v>-0.0524044505774695</v>
      </c>
      <c r="C943" s="0" t="n">
        <v>1.70410551625549</v>
      </c>
    </row>
    <row r="944" customFormat="false" ht="15" hidden="false" customHeight="false" outlineLevel="0" collapsed="false">
      <c r="A944" s="0" t="n">
        <v>1.24689171553472</v>
      </c>
      <c r="B944" s="0" t="n">
        <v>-0.0620040093660318</v>
      </c>
      <c r="C944" s="0" t="n">
        <v>0.951449277058087</v>
      </c>
    </row>
    <row r="945" customFormat="false" ht="15" hidden="false" customHeight="false" outlineLevel="0" collapsed="false">
      <c r="A945" s="0" t="n">
        <v>-0.366507020368052</v>
      </c>
      <c r="B945" s="0" t="n">
        <v>-1.70387158682672</v>
      </c>
      <c r="C945" s="0" t="n">
        <v>-0.924465988129554</v>
      </c>
    </row>
    <row r="946" customFormat="false" ht="15" hidden="false" customHeight="false" outlineLevel="0" collapsed="false">
      <c r="A946" s="0" t="n">
        <v>1.5628887685082</v>
      </c>
      <c r="B946" s="0" t="n">
        <v>-0.273993081829304</v>
      </c>
      <c r="C946" s="0" t="n">
        <v>-0.243383979375018</v>
      </c>
    </row>
    <row r="947" customFormat="false" ht="15" hidden="false" customHeight="false" outlineLevel="0" collapsed="false">
      <c r="A947" s="0" t="n">
        <v>-0.299838196274881</v>
      </c>
      <c r="B947" s="0" t="n">
        <v>1.90413658957301</v>
      </c>
      <c r="C947" s="0" t="n">
        <v>1.62595891536206</v>
      </c>
    </row>
    <row r="948" customFormat="false" ht="15" hidden="false" customHeight="false" outlineLevel="0" collapsed="false">
      <c r="A948" s="0" t="n">
        <v>2.21878023344813</v>
      </c>
      <c r="B948" s="0" t="n">
        <v>-0.159045210400051</v>
      </c>
      <c r="C948" s="0" t="n">
        <v>0.295624488747095</v>
      </c>
    </row>
    <row r="949" customFormat="false" ht="15" hidden="false" customHeight="false" outlineLevel="0" collapsed="false">
      <c r="A949" s="0" t="n">
        <v>-1.51664254942079</v>
      </c>
      <c r="B949" s="0" t="n">
        <v>1.47693442611827</v>
      </c>
      <c r="C949" s="0" t="n">
        <v>-1.16777955126794</v>
      </c>
    </row>
    <row r="950" customFormat="false" ht="15" hidden="false" customHeight="false" outlineLevel="0" collapsed="false">
      <c r="A950" s="0" t="n">
        <v>0.216775563762629</v>
      </c>
      <c r="B950" s="0" t="n">
        <v>-1.09730252763284</v>
      </c>
      <c r="C950" s="0" t="n">
        <v>-0.588866826738696</v>
      </c>
    </row>
    <row r="951" customFormat="false" ht="15" hidden="false" customHeight="false" outlineLevel="0" collapsed="false">
      <c r="A951" s="0" t="n">
        <v>-0.8372624310497</v>
      </c>
      <c r="B951" s="0" t="n">
        <v>-0.607875260675818</v>
      </c>
      <c r="C951" s="0" t="n">
        <v>-0.539122703148979</v>
      </c>
    </row>
    <row r="952" customFormat="false" ht="15" hidden="false" customHeight="false" outlineLevel="0" collapsed="false">
      <c r="A952" s="0" t="n">
        <v>-0.548268794925077</v>
      </c>
      <c r="B952" s="0" t="n">
        <v>0.833333911780307</v>
      </c>
      <c r="C952" s="0" t="n">
        <v>-1.10486279306252</v>
      </c>
    </row>
    <row r="953" customFormat="false" ht="15" hidden="false" customHeight="false" outlineLevel="0" collapsed="false">
      <c r="A953" s="0" t="n">
        <v>0.220541427013867</v>
      </c>
      <c r="B953" s="0" t="n">
        <v>1.21795915230556</v>
      </c>
      <c r="C953" s="0" t="n">
        <v>-0.513196364513396</v>
      </c>
    </row>
    <row r="954" customFormat="false" ht="15" hidden="false" customHeight="false" outlineLevel="0" collapsed="false">
      <c r="A954" s="0" t="n">
        <v>-0.717918890747602</v>
      </c>
      <c r="B954" s="0" t="n">
        <v>-0.230524625180251</v>
      </c>
      <c r="C954" s="0" t="n">
        <v>1.17972520836071</v>
      </c>
    </row>
    <row r="955" customFormat="false" ht="15" hidden="false" customHeight="false" outlineLevel="0" collapsed="false">
      <c r="A955" s="0" t="n">
        <v>0.194107630953358</v>
      </c>
      <c r="B955" s="0" t="n">
        <v>-0.531214294607599</v>
      </c>
      <c r="C955" s="0" t="n">
        <v>0.48387665118804</v>
      </c>
    </row>
    <row r="956" customFormat="false" ht="15" hidden="false" customHeight="false" outlineLevel="0" collapsed="false">
      <c r="A956" s="0" t="n">
        <v>-1.10229214983642</v>
      </c>
      <c r="B956" s="0" t="n">
        <v>0.681359510442948</v>
      </c>
      <c r="C956" s="0" t="n">
        <v>0.408607307701768</v>
      </c>
    </row>
    <row r="957" customFormat="false" ht="15" hidden="false" customHeight="false" outlineLevel="0" collapsed="false">
      <c r="A957" s="0" t="n">
        <v>-0.307808471138884</v>
      </c>
      <c r="B957" s="0" t="n">
        <v>-0.838585798447231</v>
      </c>
      <c r="C957" s="0" t="n">
        <v>-0.886680922283457</v>
      </c>
    </row>
    <row r="958" customFormat="false" ht="15" hidden="false" customHeight="false" outlineLevel="0" collapsed="false">
      <c r="A958" s="0" t="n">
        <v>0.53481733634591</v>
      </c>
      <c r="B958" s="0" t="n">
        <v>1.22898050248906</v>
      </c>
      <c r="C958" s="0" t="n">
        <v>-0.637307747028795</v>
      </c>
    </row>
    <row r="959" customFormat="false" ht="15" hidden="false" customHeight="false" outlineLevel="0" collapsed="false">
      <c r="A959" s="0" t="n">
        <v>0.458386703551484</v>
      </c>
      <c r="B959" s="0" t="n">
        <v>-2.08702701860207</v>
      </c>
      <c r="C959" s="0" t="n">
        <v>-0.5846177306572</v>
      </c>
    </row>
    <row r="960" customFormat="false" ht="15" hidden="false" customHeight="false" outlineLevel="0" collapsed="false">
      <c r="A960" s="0" t="n">
        <v>-0.031058932870902</v>
      </c>
      <c r="B960" s="0" t="n">
        <v>-0.909683416981834</v>
      </c>
      <c r="C960" s="0" t="n">
        <v>-0.936506374789596</v>
      </c>
    </row>
    <row r="961" customFormat="false" ht="15" hidden="false" customHeight="false" outlineLevel="0" collapsed="false">
      <c r="A961" s="0" t="n">
        <v>-0.667779556468886</v>
      </c>
      <c r="B961" s="0" t="n">
        <v>0.292192728326373</v>
      </c>
      <c r="C961" s="0" t="n">
        <v>-0.187329018406375</v>
      </c>
    </row>
    <row r="962" customFormat="false" ht="15" hidden="false" customHeight="false" outlineLevel="0" collapsed="false">
      <c r="A962" s="0" t="n">
        <v>-2.23823123332497</v>
      </c>
      <c r="B962" s="0" t="n">
        <v>-2.12070015263507</v>
      </c>
      <c r="C962" s="0" t="n">
        <v>-0.606865177857175</v>
      </c>
    </row>
    <row r="963" customFormat="false" ht="15" hidden="false" customHeight="false" outlineLevel="0" collapsed="false">
      <c r="A963" s="0" t="n">
        <v>0.457686586053552</v>
      </c>
      <c r="B963" s="0" t="n">
        <v>-2.74750484272524</v>
      </c>
      <c r="C963" s="0" t="n">
        <v>-0.499730176151631</v>
      </c>
    </row>
    <row r="964" customFormat="false" ht="15" hidden="false" customHeight="false" outlineLevel="0" collapsed="false">
      <c r="A964" s="0" t="n">
        <v>-0.526247856517421</v>
      </c>
      <c r="B964" s="0" t="n">
        <v>1.38833777820845</v>
      </c>
      <c r="C964" s="0" t="n">
        <v>-0.385021811712864</v>
      </c>
    </row>
    <row r="965" customFormat="false" ht="15" hidden="false" customHeight="false" outlineLevel="0" collapsed="false">
      <c r="A965" s="0" t="n">
        <v>0.382988984740929</v>
      </c>
      <c r="B965" s="0" t="n">
        <v>0.141257140087463</v>
      </c>
      <c r="C965" s="0" t="n">
        <v>-2.1305664798072</v>
      </c>
    </row>
    <row r="966" customFormat="false" ht="15" hidden="false" customHeight="false" outlineLevel="0" collapsed="false">
      <c r="A966" s="0" t="n">
        <v>0.768207216631737</v>
      </c>
      <c r="B966" s="0" t="n">
        <v>0.215396505456288</v>
      </c>
      <c r="C966" s="0" t="n">
        <v>0.50826863967459</v>
      </c>
    </row>
    <row r="967" customFormat="false" ht="15" hidden="false" customHeight="false" outlineLevel="0" collapsed="false">
      <c r="A967" s="0" t="n">
        <v>3.92623770643633</v>
      </c>
      <c r="B967" s="0" t="n">
        <v>-2.08411293949859</v>
      </c>
      <c r="C967" s="0" t="n">
        <v>1.72469664976111</v>
      </c>
    </row>
    <row r="968" customFormat="false" ht="15" hidden="false" customHeight="false" outlineLevel="0" collapsed="false">
      <c r="A968" s="0" t="n">
        <v>-0.287447519400356</v>
      </c>
      <c r="B968" s="0" t="n">
        <v>0.287328904403009</v>
      </c>
      <c r="C968" s="0" t="n">
        <v>-0.0455122453012422</v>
      </c>
    </row>
    <row r="969" customFormat="false" ht="15" hidden="false" customHeight="false" outlineLevel="0" collapsed="false">
      <c r="A969" s="0" t="n">
        <v>-0.424236333398044</v>
      </c>
      <c r="B969" s="0" t="n">
        <v>-0.569832928238759</v>
      </c>
      <c r="C969" s="0" t="n">
        <v>0.329508735573009</v>
      </c>
    </row>
    <row r="970" customFormat="false" ht="15" hidden="false" customHeight="false" outlineLevel="0" collapsed="false">
      <c r="A970" s="0" t="n">
        <v>-1.51717369667168</v>
      </c>
      <c r="B970" s="0" t="n">
        <v>0.750579167521766</v>
      </c>
      <c r="C970" s="0" t="n">
        <v>-0.416194404885254</v>
      </c>
    </row>
    <row r="971" customFormat="false" ht="15" hidden="false" customHeight="false" outlineLevel="0" collapsed="false">
      <c r="A971" s="0" t="n">
        <v>-1.13006933904036</v>
      </c>
      <c r="B971" s="0" t="n">
        <v>-0.450012857995814</v>
      </c>
      <c r="C971" s="0" t="n">
        <v>1.25714921686257</v>
      </c>
    </row>
    <row r="972" customFormat="false" ht="15" hidden="false" customHeight="false" outlineLevel="0" collapsed="false">
      <c r="A972" s="0" t="n">
        <v>-0.535335087016223</v>
      </c>
      <c r="B972" s="0" t="n">
        <v>0.35845361820962</v>
      </c>
      <c r="C972" s="0" t="n">
        <v>-0.730956275715473</v>
      </c>
    </row>
    <row r="973" customFormat="false" ht="15" hidden="false" customHeight="false" outlineLevel="0" collapsed="false">
      <c r="A973" s="0" t="n">
        <v>0.75792184992362</v>
      </c>
      <c r="B973" s="0" t="n">
        <v>0.685507738790204</v>
      </c>
      <c r="C973" s="0" t="n">
        <v>1.84860883329641</v>
      </c>
    </row>
    <row r="974" customFormat="false" ht="15" hidden="false" customHeight="false" outlineLevel="0" collapsed="false">
      <c r="A974" s="0" t="n">
        <v>-0.175563945499216</v>
      </c>
      <c r="B974" s="0" t="n">
        <v>0.668654804757907</v>
      </c>
      <c r="C974" s="0" t="n">
        <v>0.0980675395389446</v>
      </c>
    </row>
    <row r="975" customFormat="false" ht="15" hidden="false" customHeight="false" outlineLevel="0" collapsed="false">
      <c r="A975" s="0" t="n">
        <v>1.29587178186301</v>
      </c>
      <c r="B975" s="0" t="n">
        <v>-0.71883238760873</v>
      </c>
      <c r="C975" s="0" t="n">
        <v>0.745005312877281</v>
      </c>
    </row>
    <row r="976" customFormat="false" ht="15" hidden="false" customHeight="false" outlineLevel="0" collapsed="false">
      <c r="A976" s="0" t="n">
        <v>-0.194697296116682</v>
      </c>
      <c r="B976" s="0" t="n">
        <v>-0.0641881771084978</v>
      </c>
      <c r="C976" s="0" t="n">
        <v>0.0917524844483729</v>
      </c>
    </row>
    <row r="977" customFormat="false" ht="15" hidden="false" customHeight="false" outlineLevel="0" collapsed="false">
      <c r="A977" s="0" t="n">
        <v>0.252240396426677</v>
      </c>
      <c r="B977" s="0" t="n">
        <v>-0.116229043121958</v>
      </c>
      <c r="C977" s="0" t="n">
        <v>0.214713183170526</v>
      </c>
    </row>
    <row r="978" customFormat="false" ht="15" hidden="false" customHeight="false" outlineLevel="0" collapsed="false">
      <c r="A978" s="0" t="n">
        <v>1.57811805756218</v>
      </c>
      <c r="B978" s="0" t="n">
        <v>0.985449685615218</v>
      </c>
      <c r="C978" s="0" t="n">
        <v>0.869154592496897</v>
      </c>
    </row>
    <row r="979" customFormat="false" ht="15" hidden="false" customHeight="false" outlineLevel="0" collapsed="false">
      <c r="A979" s="0" t="n">
        <v>-0.455539526023871</v>
      </c>
      <c r="B979" s="0" t="n">
        <v>-0.889240828228324</v>
      </c>
      <c r="C979" s="0" t="n">
        <v>0.955300558237753</v>
      </c>
    </row>
    <row r="980" customFormat="false" ht="15" hidden="false" customHeight="false" outlineLevel="0" collapsed="false">
      <c r="A980" s="0" t="n">
        <v>0.876046792529794</v>
      </c>
      <c r="B980" s="0" t="n">
        <v>1.47267067575098</v>
      </c>
      <c r="C980" s="0" t="n">
        <v>-0.60398062596923</v>
      </c>
    </row>
    <row r="981" customFormat="false" ht="15" hidden="false" customHeight="false" outlineLevel="0" collapsed="false">
      <c r="A981" s="0" t="n">
        <v>-0.229548655360347</v>
      </c>
      <c r="B981" s="0" t="n">
        <v>-1.63948416252543</v>
      </c>
      <c r="C981" s="0" t="n">
        <v>-0.392471106060873</v>
      </c>
    </row>
    <row r="982" customFormat="false" ht="15" hidden="false" customHeight="false" outlineLevel="0" collapsed="false">
      <c r="A982" s="0" t="n">
        <v>0.996570510579447</v>
      </c>
      <c r="B982" s="0" t="n">
        <v>-0.466495379228198</v>
      </c>
      <c r="C982" s="0" t="n">
        <v>0.640479795200824</v>
      </c>
    </row>
    <row r="983" customFormat="false" ht="15" hidden="false" customHeight="false" outlineLevel="0" collapsed="false">
      <c r="A983" s="0" t="n">
        <v>-0.190503105997811</v>
      </c>
      <c r="B983" s="0" t="n">
        <v>0.324057028221561</v>
      </c>
      <c r="C983" s="0" t="n">
        <v>-1.14769138981567</v>
      </c>
    </row>
    <row r="984" customFormat="false" ht="15" hidden="false" customHeight="false" outlineLevel="0" collapsed="false">
      <c r="A984" s="0" t="n">
        <v>0.0852094496339011</v>
      </c>
      <c r="B984" s="0" t="n">
        <v>-2.99113597090072</v>
      </c>
      <c r="C984" s="0" t="n">
        <v>-0.186896158161985</v>
      </c>
    </row>
    <row r="985" customFormat="false" ht="15" hidden="false" customHeight="false" outlineLevel="0" collapsed="false">
      <c r="A985" s="0" t="n">
        <v>-1.63047324371514</v>
      </c>
      <c r="B985" s="0" t="n">
        <v>1.20599451654682</v>
      </c>
      <c r="C985" s="0" t="n">
        <v>0.777407352764511</v>
      </c>
    </row>
    <row r="986" customFormat="false" ht="15" hidden="false" customHeight="false" outlineLevel="0" collapsed="false">
      <c r="A986" s="0" t="n">
        <v>0.466670981966081</v>
      </c>
      <c r="B986" s="0" t="n">
        <v>1.52100622715938</v>
      </c>
      <c r="C986" s="0" t="n">
        <v>-0.948916520824837</v>
      </c>
    </row>
    <row r="987" customFormat="false" ht="15" hidden="false" customHeight="false" outlineLevel="0" collapsed="false">
      <c r="A987" s="0" t="n">
        <v>1.74736319791556</v>
      </c>
      <c r="B987" s="0" t="n">
        <v>0.932191564260385</v>
      </c>
      <c r="C987" s="0" t="n">
        <v>-0.236555287218946</v>
      </c>
    </row>
    <row r="988" customFormat="false" ht="15" hidden="false" customHeight="false" outlineLevel="0" collapsed="false">
      <c r="A988" s="0" t="n">
        <v>1.13562014718294</v>
      </c>
      <c r="B988" s="0" t="n">
        <v>-1.10629351241163</v>
      </c>
      <c r="C988" s="0" t="n">
        <v>-0.824514161527674</v>
      </c>
    </row>
    <row r="989" customFormat="false" ht="15" hidden="false" customHeight="false" outlineLevel="0" collapsed="false">
      <c r="A989" s="0" t="n">
        <v>-0.6085897232397</v>
      </c>
      <c r="B989" s="0" t="n">
        <v>-0.528977708064015</v>
      </c>
      <c r="C989" s="0" t="n">
        <v>-1.05655764276025</v>
      </c>
    </row>
    <row r="990" customFormat="false" ht="15" hidden="false" customHeight="false" outlineLevel="0" collapsed="false">
      <c r="A990" s="0" t="n">
        <v>1.22308306709533</v>
      </c>
      <c r="B990" s="0" t="n">
        <v>-0.258854400369832</v>
      </c>
      <c r="C990" s="0" t="n">
        <v>0.35250496835688</v>
      </c>
    </row>
    <row r="991" customFormat="false" ht="15" hidden="false" customHeight="false" outlineLevel="0" collapsed="false">
      <c r="A991" s="0" t="n">
        <v>-0.570351366413681</v>
      </c>
      <c r="B991" s="0" t="n">
        <v>-1.82060330054852</v>
      </c>
      <c r="C991" s="0" t="n">
        <v>0.270057358391422</v>
      </c>
    </row>
    <row r="992" customFormat="false" ht="15" hidden="false" customHeight="false" outlineLevel="0" collapsed="false">
      <c r="A992" s="0" t="n">
        <v>-1.91225497541978</v>
      </c>
      <c r="B992" s="0" t="n">
        <v>-0.0686340460854686</v>
      </c>
      <c r="C992" s="0" t="n">
        <v>-1.36831503883281</v>
      </c>
    </row>
    <row r="993" customFormat="false" ht="15" hidden="false" customHeight="false" outlineLevel="0" collapsed="false">
      <c r="A993" s="0" t="n">
        <v>1.98727599923081</v>
      </c>
      <c r="B993" s="0" t="n">
        <v>0.911362722174722</v>
      </c>
      <c r="C993" s="0" t="n">
        <v>0.10575379127148</v>
      </c>
    </row>
    <row r="994" customFormat="false" ht="15" hidden="false" customHeight="false" outlineLevel="0" collapsed="false">
      <c r="A994" s="0" t="n">
        <v>1.26370667765467</v>
      </c>
      <c r="B994" s="0" t="n">
        <v>-0.846315977465736</v>
      </c>
      <c r="C994" s="0" t="n">
        <v>0.543479378670093</v>
      </c>
    </row>
    <row r="995" customFormat="false" ht="15" hidden="false" customHeight="false" outlineLevel="0" collapsed="false">
      <c r="A995" s="0" t="n">
        <v>0.199810433718714</v>
      </c>
      <c r="B995" s="0" t="n">
        <v>0.26402008133367</v>
      </c>
      <c r="C995" s="0" t="n">
        <v>1.27235350010677</v>
      </c>
    </row>
    <row r="996" customFormat="false" ht="15" hidden="false" customHeight="false" outlineLevel="0" collapsed="false">
      <c r="A996" s="0" t="n">
        <v>0.732492102779802</v>
      </c>
      <c r="B996" s="0" t="n">
        <v>0.288723662825023</v>
      </c>
      <c r="C996" s="0" t="n">
        <v>-1.6548874362283</v>
      </c>
    </row>
    <row r="997" customFormat="false" ht="15" hidden="false" customHeight="false" outlineLevel="0" collapsed="false">
      <c r="A997" s="0" t="n">
        <v>-0.960046295279464</v>
      </c>
      <c r="B997" s="0" t="n">
        <v>-0.122708933595724</v>
      </c>
      <c r="C997" s="0" t="n">
        <v>0.0933723742766512</v>
      </c>
    </row>
    <row r="998" customFormat="false" ht="15" hidden="false" customHeight="false" outlineLevel="0" collapsed="false">
      <c r="A998" s="0" t="n">
        <v>-1.13020372467392</v>
      </c>
      <c r="B998" s="0" t="n">
        <v>2.41167667557842</v>
      </c>
      <c r="C998" s="0" t="n">
        <v>1.51639405525357</v>
      </c>
    </row>
    <row r="999" customFormat="false" ht="15" hidden="false" customHeight="false" outlineLevel="0" collapsed="false">
      <c r="A999" s="0" t="n">
        <v>0.602118320392484</v>
      </c>
      <c r="B999" s="0" t="n">
        <v>0.0720368612837448</v>
      </c>
      <c r="C999" s="0" t="n">
        <v>-0.212208969901152</v>
      </c>
    </row>
    <row r="1000" customFormat="false" ht="15" hidden="false" customHeight="false" outlineLevel="0" collapsed="false">
      <c r="A1000" s="0" t="n">
        <v>-0.951918460022236</v>
      </c>
      <c r="B1000" s="0" t="n">
        <v>0.0774805185188625</v>
      </c>
      <c r="C1000" s="0" t="n">
        <v>0.257752540142751</v>
      </c>
    </row>
    <row r="1001" customFormat="false" ht="15" hidden="false" customHeight="false" outlineLevel="0" collapsed="false">
      <c r="A1001" s="0" t="n">
        <v>-1.24176057548162</v>
      </c>
      <c r="B1001" s="0" t="n">
        <v>0.334176417244897</v>
      </c>
      <c r="C1001" s="0" t="n">
        <v>-0.155259048824749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1" t="s">
        <v>42</v>
      </c>
    </row>
    <row r="3" customFormat="false" ht="15" hidden="false" customHeight="false" outlineLevel="0" collapsed="false">
      <c r="A3" s="1" t="s">
        <v>16</v>
      </c>
      <c r="B3" s="0" t="n">
        <f aca="false">SQRT(Parametric!B3)</f>
        <v>0.0147307210078329</v>
      </c>
    </row>
    <row r="4" customFormat="false" ht="15" hidden="false" customHeight="false" outlineLevel="0" collapsed="false">
      <c r="A4" s="1" t="s">
        <v>17</v>
      </c>
      <c r="B4" s="0" t="n">
        <f aca="false">Parametric!B4/B3</f>
        <v>0.0104963394279704</v>
      </c>
      <c r="C4" s="0" t="n">
        <f aca="false">SQRT(Parametric!C4-B4^2)</f>
        <v>0.0125210453449207</v>
      </c>
    </row>
    <row r="5" customFormat="false" ht="15" hidden="false" customHeight="false" outlineLevel="0" collapsed="false">
      <c r="A5" s="1" t="s">
        <v>18</v>
      </c>
      <c r="B5" s="0" t="n">
        <f aca="false">Parametric!B5/B3</f>
        <v>0.0105970587948331</v>
      </c>
      <c r="C5" s="0" t="n">
        <f aca="false">(Parametric!C5-B5*B4)/C4</f>
        <v>0.00374324689522204</v>
      </c>
      <c r="D5" s="0" t="n">
        <f aca="false">SQRT(Parametric!D5-B5^2-C5^2)</f>
        <v>0.00876022349582605</v>
      </c>
    </row>
    <row r="7" customFormat="false" ht="15" hidden="false" customHeight="false" outlineLevel="0" collapsed="false">
      <c r="A7" s="1" t="s">
        <v>1</v>
      </c>
      <c r="B7" s="1" t="s">
        <v>35</v>
      </c>
      <c r="C7" s="1" t="s">
        <v>36</v>
      </c>
    </row>
    <row r="8" customFormat="false" ht="15" hidden="false" customHeight="false" outlineLevel="0" collapsed="false">
      <c r="A8" s="0" t="n">
        <v>0.99</v>
      </c>
      <c r="B8" s="0" t="n">
        <f aca="false">-PERCENTILE($J$15:$J$1014,1-A8)</f>
        <v>29875.3305613068</v>
      </c>
      <c r="C8" s="0" t="n">
        <f aca="false">B8/Inputs!$B$2</f>
        <v>0.0298753305613068</v>
      </c>
    </row>
    <row r="9" customFormat="false" ht="15" hidden="false" customHeight="false" outlineLevel="0" collapsed="false">
      <c r="A9" s="0" t="n">
        <v>0.95</v>
      </c>
      <c r="B9" s="0" t="n">
        <f aca="false">-PERCENTILE($J$15:$J$1014,1-A9)</f>
        <v>19594.8806395555</v>
      </c>
      <c r="C9" s="0" t="n">
        <f aca="false">B9/Inputs!$B$2</f>
        <v>0.0195948806395555</v>
      </c>
    </row>
    <row r="10" customFormat="false" ht="15" hidden="false" customHeight="false" outlineLevel="0" collapsed="false">
      <c r="A10" s="0" t="n">
        <v>0.9</v>
      </c>
      <c r="B10" s="0" t="n">
        <f aca="false">-PERCENTILE($J$15:$J$1014,1-A10)</f>
        <v>15355.6350858194</v>
      </c>
      <c r="C10" s="0" t="n">
        <f aca="false">B10/Inputs!$B$2</f>
        <v>0.0153556350858194</v>
      </c>
    </row>
    <row r="14" customFormat="false" ht="15" hidden="false" customHeight="false" outlineLevel="0" collapsed="false">
      <c r="D14" s="1" t="s">
        <v>43</v>
      </c>
      <c r="E14" s="1" t="s">
        <v>44</v>
      </c>
      <c r="F14" s="1" t="s">
        <v>45</v>
      </c>
      <c r="G14" s="1" t="s">
        <v>46</v>
      </c>
      <c r="H14" s="1" t="s">
        <v>47</v>
      </c>
      <c r="I14" s="1" t="s">
        <v>48</v>
      </c>
      <c r="J14" s="1" t="s">
        <v>29</v>
      </c>
    </row>
    <row r="15" customFormat="false" ht="15" hidden="false" customHeight="false" outlineLevel="0" collapsed="false">
      <c r="D15" s="0" t="n">
        <f aca="false">MC_Shocks!A2</f>
        <v>0.496714153011233</v>
      </c>
      <c r="E15" s="0" t="n">
        <f aca="false">MC_Shocks!B2</f>
        <v>-0.138264301171185</v>
      </c>
      <c r="F15" s="0" t="n">
        <f aca="false">MC_Shocks!C2</f>
        <v>0.647688538100693</v>
      </c>
      <c r="G15" s="0" t="n">
        <f aca="false">$B$3*D15</f>
        <v>0.00731695760865051</v>
      </c>
      <c r="H15" s="0" t="n">
        <f aca="false">$B$4*D15+$C$4*E15</f>
        <v>0.00348246676413453</v>
      </c>
      <c r="I15" s="0" t="n">
        <f aca="false">$B$5*D15+$C$5*E15+$D$5*F15</f>
        <v>0.0104200480170536</v>
      </c>
      <c r="J15" s="0" t="n">
        <f aca="false">SUMPRODUCT(G15:I15,Inputs!$B$4:$D$4)*Inputs!$B$2</f>
        <v>7097.53747781664</v>
      </c>
    </row>
    <row r="16" customFormat="false" ht="15" hidden="false" customHeight="false" outlineLevel="0" collapsed="false">
      <c r="D16" s="0" t="n">
        <f aca="false">MC_Shocks!A3</f>
        <v>1.52302985640803</v>
      </c>
      <c r="E16" s="0" t="n">
        <f aca="false">MC_Shocks!B3</f>
        <v>-0.234153374723336</v>
      </c>
      <c r="F16" s="0" t="n">
        <f aca="false">MC_Shocks!C3</f>
        <v>-0.234136956949181</v>
      </c>
      <c r="G16" s="0" t="n">
        <f aca="false">$B$3*D16</f>
        <v>0.0224353279013465</v>
      </c>
      <c r="H16" s="0" t="n">
        <f aca="false">$B$4*D16+$C$4*E16</f>
        <v>0.0130543933092145</v>
      </c>
      <c r="I16" s="0" t="n">
        <f aca="false">$B$5*D16+$C$5*E16+$D$5*F16</f>
        <v>0.0132120509701958</v>
      </c>
      <c r="J16" s="0" t="n">
        <f aca="false">SUMPRODUCT(G16:I16,Inputs!$B$4:$D$4)*Inputs!$B$2</f>
        <v>16854.0644443617</v>
      </c>
    </row>
    <row r="17" customFormat="false" ht="15" hidden="false" customHeight="false" outlineLevel="0" collapsed="false">
      <c r="D17" s="0" t="n">
        <f aca="false">MC_Shocks!A4</f>
        <v>1.57921281550739</v>
      </c>
      <c r="E17" s="0" t="n">
        <f aca="false">MC_Shocks!B4</f>
        <v>0.767434729152909</v>
      </c>
      <c r="F17" s="0" t="n">
        <f aca="false">MC_Shocks!C4</f>
        <v>-0.469474385934952</v>
      </c>
      <c r="G17" s="0" t="n">
        <f aca="false">$B$3*D17</f>
        <v>0.0232629433972337</v>
      </c>
      <c r="H17" s="0" t="n">
        <f aca="false">$B$4*D17+$C$4*E17</f>
        <v>0.0261850387835568</v>
      </c>
      <c r="I17" s="0" t="n">
        <f aca="false">$B$5*D17+$C$5*E17+$D$5*F17</f>
        <v>0.0154950081763171</v>
      </c>
      <c r="J17" s="0" t="n">
        <f aca="false">SUMPRODUCT(G17:I17,Inputs!$B$4:$D$4)*Inputs!$B$2</f>
        <v>21809.1914468557</v>
      </c>
    </row>
    <row r="18" customFormat="false" ht="15" hidden="false" customHeight="false" outlineLevel="0" collapsed="false">
      <c r="D18" s="0" t="n">
        <f aca="false">MC_Shocks!A5</f>
        <v>0.542560043585965</v>
      </c>
      <c r="E18" s="0" t="n">
        <f aca="false">MC_Shocks!B5</f>
        <v>-0.463417692812462</v>
      </c>
      <c r="F18" s="0" t="n">
        <f aca="false">MC_Shocks!C5</f>
        <v>-0.465729753570257</v>
      </c>
      <c r="G18" s="0" t="n">
        <f aca="false">$B$3*D18</f>
        <v>0.00799230063206252</v>
      </c>
      <c r="H18" s="0" t="n">
        <f aca="false">$B$4*D18+$C$4*E18</f>
        <v>-0.000107579567810675</v>
      </c>
      <c r="I18" s="0" t="n">
        <f aca="false">$B$5*D18+$C$5*E18+$D$5*F18</f>
        <v>-6.50428881349653E-005</v>
      </c>
      <c r="J18" s="0" t="n">
        <f aca="false">SUMPRODUCT(G18:I18,Inputs!$B$4:$D$4)*Inputs!$B$2</f>
        <v>3145.13351604132</v>
      </c>
    </row>
    <row r="19" customFormat="false" ht="15" hidden="false" customHeight="false" outlineLevel="0" collapsed="false">
      <c r="D19" s="0" t="n">
        <f aca="false">MC_Shocks!A6</f>
        <v>0.241962271566034</v>
      </c>
      <c r="E19" s="0" t="n">
        <f aca="false">MC_Shocks!B6</f>
        <v>-1.9132802446578</v>
      </c>
      <c r="F19" s="0" t="n">
        <f aca="false">MC_Shocks!C6</f>
        <v>-1.72491783251303</v>
      </c>
      <c r="G19" s="0" t="n">
        <f aca="false">$B$3*D19</f>
        <v>0.00356427871686076</v>
      </c>
      <c r="H19" s="0" t="n">
        <f aca="false">$B$4*D19+$C$4*E19</f>
        <v>-0.0214165505697813</v>
      </c>
      <c r="I19" s="0" t="n">
        <f aca="false">$B$5*D19+$C$5*E19+$D$5*F19</f>
        <v>-0.0197084576423383</v>
      </c>
      <c r="J19" s="0" t="n">
        <f aca="false">SUMPRODUCT(G19:I19,Inputs!$B$4:$D$4)*Inputs!$B$2</f>
        <v>-10911.7909768916</v>
      </c>
    </row>
    <row r="20" customFormat="false" ht="15" hidden="false" customHeight="false" outlineLevel="0" collapsed="false">
      <c r="D20" s="0" t="n">
        <f aca="false">MC_Shocks!A7</f>
        <v>-0.562287529240973</v>
      </c>
      <c r="E20" s="0" t="n">
        <f aca="false">MC_Shocks!B7</f>
        <v>-1.01283112033442</v>
      </c>
      <c r="F20" s="0" t="n">
        <f aca="false">MC_Shocks!C7</f>
        <v>0.314247332595274</v>
      </c>
      <c r="G20" s="0" t="n">
        <f aca="false">$B$3*D20</f>
        <v>-0.00828290071943247</v>
      </c>
      <c r="H20" s="0" t="n">
        <f aca="false">$B$4*D20+$C$4*E20</f>
        <v>-0.0185836651474822</v>
      </c>
      <c r="I20" s="0" t="n">
        <f aca="false">$B$5*D20+$C$5*E20+$D$5*F20</f>
        <v>-0.00699699408704235</v>
      </c>
      <c r="J20" s="0" t="n">
        <f aca="false">SUMPRODUCT(G20:I20,Inputs!$B$4:$D$4)*Inputs!$B$2</f>
        <v>-10987.3580581303</v>
      </c>
    </row>
    <row r="21" customFormat="false" ht="15" hidden="false" customHeight="false" outlineLevel="0" collapsed="false">
      <c r="D21" s="0" t="n">
        <f aca="false">MC_Shocks!A8</f>
        <v>-0.908024075521211</v>
      </c>
      <c r="E21" s="0" t="n">
        <f aca="false">MC_Shocks!B8</f>
        <v>-1.41230370133529</v>
      </c>
      <c r="F21" s="0" t="n">
        <f aca="false">MC_Shocks!C8</f>
        <v>1.46564876892155</v>
      </c>
      <c r="G21" s="0" t="n">
        <f aca="false">$B$3*D21</f>
        <v>-0.0133758493248984</v>
      </c>
      <c r="H21" s="0" t="n">
        <f aca="false">$B$4*D21+$C$4*E21</f>
        <v>-0.0272144475906581</v>
      </c>
      <c r="I21" s="0" t="n">
        <f aca="false">$B$5*D21+$C$5*E21+$D$5*F21</f>
        <v>-0.00206957517842106</v>
      </c>
      <c r="J21" s="0" t="n">
        <f aca="false">SUMPRODUCT(G21:I21,Inputs!$B$4:$D$4)*Inputs!$B$2</f>
        <v>-14135.5465606831</v>
      </c>
    </row>
    <row r="22" customFormat="false" ht="15" hidden="false" customHeight="false" outlineLevel="0" collapsed="false">
      <c r="D22" s="0" t="n">
        <f aca="false">MC_Shocks!A9</f>
        <v>-0.225776300486536</v>
      </c>
      <c r="E22" s="0" t="n">
        <f aca="false">MC_Shocks!B9</f>
        <v>0.0675282046879238</v>
      </c>
      <c r="F22" s="0" t="n">
        <f aca="false">MC_Shocks!C9</f>
        <v>-1.42474818621346</v>
      </c>
      <c r="G22" s="0" t="n">
        <f aca="false">$B$3*D22</f>
        <v>-0.00332584769264781</v>
      </c>
      <c r="H22" s="0" t="n">
        <f aca="false">$B$4*D22+$C$4*E22</f>
        <v>-0.00152430097173953</v>
      </c>
      <c r="I22" s="0" t="n">
        <f aca="false">$B$5*D22+$C$5*E22+$D$5*F22</f>
        <v>-0.0146209025247004</v>
      </c>
      <c r="J22" s="0" t="n">
        <f aca="false">SUMPRODUCT(G22:I22,Inputs!$B$4:$D$4)*Inputs!$B$2</f>
        <v>-6173.90012599111</v>
      </c>
    </row>
    <row r="23" customFormat="false" ht="15" hidden="false" customHeight="false" outlineLevel="0" collapsed="false">
      <c r="D23" s="0" t="n">
        <f aca="false">MC_Shocks!A10</f>
        <v>-0.544382724525183</v>
      </c>
      <c r="E23" s="0" t="n">
        <f aca="false">MC_Shocks!B10</f>
        <v>0.110922589709866</v>
      </c>
      <c r="F23" s="0" t="n">
        <f aca="false">MC_Shocks!C10</f>
        <v>-1.1509935774223</v>
      </c>
      <c r="G23" s="0" t="n">
        <f aca="false">$B$3*D23</f>
        <v>-0.00801915003646444</v>
      </c>
      <c r="H23" s="0" t="n">
        <f aca="false">$B$4*D23+$C$4*E23</f>
        <v>-0.00432515907980634</v>
      </c>
      <c r="I23" s="0" t="n">
        <f aca="false">$B$5*D23+$C$5*E23+$D$5*F23</f>
        <v>-0.0154366060796231</v>
      </c>
      <c r="J23" s="0" t="n">
        <f aca="false">SUMPRODUCT(G23:I23,Inputs!$B$4:$D$4)*Inputs!$B$2</f>
        <v>-9136.1895624146</v>
      </c>
    </row>
    <row r="24" customFormat="false" ht="15" hidden="false" customHeight="false" outlineLevel="0" collapsed="false">
      <c r="D24" s="0" t="n">
        <f aca="false">MC_Shocks!A11</f>
        <v>0.375698018345672</v>
      </c>
      <c r="E24" s="0" t="n">
        <f aca="false">MC_Shocks!B11</f>
        <v>-0.600638689918805</v>
      </c>
      <c r="F24" s="0" t="n">
        <f aca="false">MC_Shocks!C11</f>
        <v>-0.291693749793277</v>
      </c>
      <c r="G24" s="0" t="n">
        <f aca="false">$B$3*D24</f>
        <v>0.00553430269144579</v>
      </c>
      <c r="H24" s="0" t="n">
        <f aca="false">$B$4*D24+$C$4*E24</f>
        <v>-0.00357717034941509</v>
      </c>
      <c r="I24" s="0" t="n">
        <f aca="false">$B$5*D24+$C$5*E24+$D$5*F24</f>
        <v>-0.000822347362202092</v>
      </c>
      <c r="J24" s="0" t="n">
        <f aca="false">SUMPRODUCT(G24:I24,Inputs!$B$4:$D$4)*Inputs!$B$2</f>
        <v>893.865763093164</v>
      </c>
    </row>
    <row r="25" customFormat="false" ht="15" hidden="false" customHeight="false" outlineLevel="0" collapsed="false">
      <c r="D25" s="0" t="n">
        <f aca="false">MC_Shocks!A12</f>
        <v>-0.601706612229397</v>
      </c>
      <c r="E25" s="0" t="n">
        <f aca="false">MC_Shocks!B12</f>
        <v>1.85227818450894</v>
      </c>
      <c r="F25" s="0" t="n">
        <f aca="false">MC_Shocks!C12</f>
        <v>-0.0134972247379339</v>
      </c>
      <c r="G25" s="0" t="n">
        <f aca="false">$B$3*D25</f>
        <v>-0.00886357223331956</v>
      </c>
      <c r="H25" s="0" t="n">
        <f aca="false">$B$4*D25+$C$4*E25</f>
        <v>0.0168767423016298</v>
      </c>
      <c r="I25" s="0" t="n">
        <f aca="false">$B$5*D25+$C$5*E25+$D$5*F25</f>
        <v>0.000438975510938137</v>
      </c>
      <c r="J25" s="0" t="n">
        <f aca="false">SUMPRODUCT(G25:I25,Inputs!$B$4:$D$4)*Inputs!$B$2</f>
        <v>1649.28645044257</v>
      </c>
    </row>
    <row r="26" customFormat="false" ht="15" hidden="false" customHeight="false" outlineLevel="0" collapsed="false">
      <c r="D26" s="0" t="n">
        <f aca="false">MC_Shocks!A13</f>
        <v>-1.0577109289559</v>
      </c>
      <c r="E26" s="0" t="n">
        <f aca="false">MC_Shocks!B13</f>
        <v>0.822544912103189</v>
      </c>
      <c r="F26" s="0" t="n">
        <f aca="false">MC_Shocks!C13</f>
        <v>-1.22084364997102</v>
      </c>
      <c r="G26" s="0" t="n">
        <f aca="false">$B$3*D26</f>
        <v>-0.0155808446013852</v>
      </c>
      <c r="H26" s="0" t="n">
        <f aca="false">$B$4*D26+$C$4*E26</f>
        <v>-0.00080297078431716</v>
      </c>
      <c r="I26" s="0" t="n">
        <f aca="false">$B$5*D26+$C$5*E26+$D$5*F26</f>
        <v>-0.0188244994408785</v>
      </c>
      <c r="J26" s="0" t="n">
        <f aca="false">SUMPRODUCT(G26:I26,Inputs!$B$4:$D$4)*Inputs!$B$2</f>
        <v>-12120.5789081128</v>
      </c>
    </row>
    <row r="27" customFormat="false" ht="15" hidden="false" customHeight="false" outlineLevel="0" collapsed="false">
      <c r="D27" s="0" t="n">
        <f aca="false">MC_Shocks!A14</f>
        <v>0.208863595004755</v>
      </c>
      <c r="E27" s="0" t="n">
        <f aca="false">MC_Shocks!B14</f>
        <v>-1.95967012387978</v>
      </c>
      <c r="F27" s="0" t="n">
        <f aca="false">MC_Shocks!C14</f>
        <v>-1.32818604889843</v>
      </c>
      <c r="G27" s="0" t="n">
        <f aca="false">$B$3*D27</f>
        <v>0.00307671134670806</v>
      </c>
      <c r="H27" s="0" t="n">
        <f aca="false">$B$4*D27+$C$4*E27</f>
        <v>-0.0223448152948689</v>
      </c>
      <c r="I27" s="0" t="n">
        <f aca="false">$B$5*D27+$C$5*E27+$D$5*F27</f>
        <v>-0.0167573959428952</v>
      </c>
      <c r="J27" s="0" t="n">
        <f aca="false">SUMPRODUCT(G27:I27,Inputs!$B$4:$D$4)*Inputs!$B$2</f>
        <v>-10499.978832646</v>
      </c>
    </row>
    <row r="28" customFormat="false" ht="15" hidden="false" customHeight="false" outlineLevel="0" collapsed="false">
      <c r="D28" s="0" t="n">
        <f aca="false">MC_Shocks!A15</f>
        <v>0.196861235869124</v>
      </c>
      <c r="E28" s="0" t="n">
        <f aca="false">MC_Shocks!B15</f>
        <v>0.73846657999541</v>
      </c>
      <c r="F28" s="0" t="n">
        <f aca="false">MC_Shocks!C15</f>
        <v>0.171368281189971</v>
      </c>
      <c r="G28" s="0" t="n">
        <f aca="false">$B$3*D28</f>
        <v>0.00289990794284525</v>
      </c>
      <c r="H28" s="0" t="n">
        <f aca="false">$B$4*D28+$C$4*E28</f>
        <v>0.0113126958857231</v>
      </c>
      <c r="I28" s="0" t="n">
        <f aca="false">$B$5*D28+$C$5*E28+$D$5*F28</f>
        <v>0.00635163726704138</v>
      </c>
      <c r="J28" s="0" t="n">
        <f aca="false">SUMPRODUCT(G28:I28,Inputs!$B$4:$D$4)*Inputs!$B$2</f>
        <v>6459.26312296743</v>
      </c>
    </row>
    <row r="29" customFormat="false" ht="15" hidden="false" customHeight="false" outlineLevel="0" collapsed="false">
      <c r="D29" s="0" t="n">
        <f aca="false">MC_Shocks!A16</f>
        <v>-0.115648282388241</v>
      </c>
      <c r="E29" s="0" t="n">
        <f aca="false">MC_Shocks!B16</f>
        <v>-0.301103695589289</v>
      </c>
      <c r="F29" s="0" t="n">
        <f aca="false">MC_Shocks!C16</f>
        <v>-1.47852199036743</v>
      </c>
      <c r="G29" s="0" t="n">
        <f aca="false">$B$3*D29</f>
        <v>-0.00170358258289625</v>
      </c>
      <c r="H29" s="0" t="n">
        <f aca="false">$B$4*D29+$C$4*E29</f>
        <v>-0.00498401665220541</v>
      </c>
      <c r="I29" s="0" t="n">
        <f aca="false">$B$5*D29+$C$5*E29+$D$5*F29</f>
        <v>-0.0153048202007564</v>
      </c>
      <c r="J29" s="0" t="n">
        <f aca="false">SUMPRODUCT(G29:I29,Inputs!$B$4:$D$4)*Inputs!$B$2</f>
        <v>-6768.08408904703</v>
      </c>
    </row>
    <row r="30" customFormat="false" ht="15" hidden="false" customHeight="false" outlineLevel="0" collapsed="false">
      <c r="D30" s="0" t="n">
        <f aca="false">MC_Shocks!A17</f>
        <v>-0.719844208394709</v>
      </c>
      <c r="E30" s="0" t="n">
        <f aca="false">MC_Shocks!B17</f>
        <v>-0.460638770959788</v>
      </c>
      <c r="F30" s="0" t="n">
        <f aca="false">MC_Shocks!C17</f>
        <v>1.05712222621892</v>
      </c>
      <c r="G30" s="0" t="n">
        <f aca="false">$B$3*D30</f>
        <v>-0.0106038242029668</v>
      </c>
      <c r="H30" s="0" t="n">
        <f aca="false">$B$4*D30+$C$4*E30</f>
        <v>-0.0133234080853855</v>
      </c>
      <c r="I30" s="0" t="n">
        <f aca="false">$B$5*D30+$C$5*E30+$D$5*F30</f>
        <v>-9.18890846100667E-005</v>
      </c>
      <c r="J30" s="0" t="n">
        <f aca="false">SUMPRODUCT(G30:I30,Inputs!$B$4:$D$4)*Inputs!$B$2</f>
        <v>-8266.1188321854</v>
      </c>
    </row>
    <row r="31" customFormat="false" ht="15" hidden="false" customHeight="false" outlineLevel="0" collapsed="false">
      <c r="D31" s="0" t="n">
        <f aca="false">MC_Shocks!A18</f>
        <v>0.343618289568461</v>
      </c>
      <c r="E31" s="0" t="n">
        <f aca="false">MC_Shocks!B18</f>
        <v>-1.76304015536273</v>
      </c>
      <c r="F31" s="0" t="n">
        <f aca="false">MC_Shocks!C18</f>
        <v>0.324083969394795</v>
      </c>
      <c r="G31" s="0" t="n">
        <f aca="false">$B$3*D31</f>
        <v>0.00506174515682176</v>
      </c>
      <c r="H31" s="0" t="n">
        <f aca="false">$B$4*D31+$C$4*E31</f>
        <v>-0.0184683715292436</v>
      </c>
      <c r="I31" s="0" t="n">
        <f aca="false">$B$5*D31+$C$5*E31+$D$5*F31</f>
        <v>-0.000119103366863509</v>
      </c>
      <c r="J31" s="0" t="n">
        <f aca="false">SUMPRODUCT(G31:I31,Inputs!$B$4:$D$4)*Inputs!$B$2</f>
        <v>-3551.54440610342</v>
      </c>
    </row>
    <row r="32" customFormat="false" ht="15" hidden="false" customHeight="false" outlineLevel="0" collapsed="false">
      <c r="D32" s="0" t="n">
        <f aca="false">MC_Shocks!A19</f>
        <v>-0.385082280416317</v>
      </c>
      <c r="E32" s="0" t="n">
        <f aca="false">MC_Shocks!B19</f>
        <v>-0.676922000305959</v>
      </c>
      <c r="F32" s="0" t="n">
        <f aca="false">MC_Shocks!C19</f>
        <v>0.611676288840868</v>
      </c>
      <c r="G32" s="0" t="n">
        <f aca="false">$B$3*D32</f>
        <v>-0.00567253963787285</v>
      </c>
      <c r="H32" s="0" t="n">
        <f aca="false">$B$4*D32+$C$4*E32</f>
        <v>-0.0125177253837518</v>
      </c>
      <c r="I32" s="0" t="n">
        <f aca="false">$B$5*D32+$C$5*E32+$D$5*F32</f>
        <v>-0.00125620474502944</v>
      </c>
      <c r="J32" s="0" t="n">
        <f aca="false">SUMPRODUCT(G32:I32,Inputs!$B$4:$D$4)*Inputs!$B$2</f>
        <v>-6401.19489378352</v>
      </c>
    </row>
    <row r="33" customFormat="false" ht="15" hidden="false" customHeight="false" outlineLevel="0" collapsed="false">
      <c r="D33" s="0" t="n">
        <f aca="false">MC_Shocks!A20</f>
        <v>1.03099952249595</v>
      </c>
      <c r="E33" s="0" t="n">
        <f aca="false">MC_Shocks!B20</f>
        <v>0.931280119116199</v>
      </c>
      <c r="F33" s="0" t="n">
        <f aca="false">MC_Shocks!C20</f>
        <v>-0.839217523222639</v>
      </c>
      <c r="G33" s="0" t="n">
        <f aca="false">$B$3*D33</f>
        <v>0.0151873663250968</v>
      </c>
      <c r="H33" s="0" t="n">
        <f aca="false">$B$4*D33+$C$4*E33</f>
        <v>0.0224823215384699</v>
      </c>
      <c r="I33" s="0" t="n">
        <f aca="false">$B$5*D33+$C$5*E33+$D$5*F33</f>
        <v>0.00705984090675429</v>
      </c>
      <c r="J33" s="0" t="n">
        <f aca="false">SUMPRODUCT(G33:I33,Inputs!$B$4:$D$4)*Inputs!$B$2</f>
        <v>14937.595263606</v>
      </c>
    </row>
    <row r="34" customFormat="false" ht="15" hidden="false" customHeight="false" outlineLevel="0" collapsed="false">
      <c r="D34" s="0" t="n">
        <f aca="false">MC_Shocks!A21</f>
        <v>-0.309212375851215</v>
      </c>
      <c r="E34" s="0" t="n">
        <f aca="false">MC_Shocks!B21</f>
        <v>0.331263431403564</v>
      </c>
      <c r="F34" s="0" t="n">
        <f aca="false">MC_Shocks!C21</f>
        <v>0.975545127122359</v>
      </c>
      <c r="G34" s="0" t="n">
        <f aca="false">$B$3*D34</f>
        <v>-0.00455492124083342</v>
      </c>
      <c r="H34" s="0" t="n">
        <f aca="false">$B$4*D34+$C$4*E34</f>
        <v>0.000902166393454546</v>
      </c>
      <c r="I34" s="0" t="n">
        <f aca="false">$B$5*D34+$C$5*E34+$D$5*F34</f>
        <v>0.00650925242797254</v>
      </c>
      <c r="J34" s="0" t="n">
        <f aca="false">SUMPRODUCT(G34:I34,Inputs!$B$4:$D$4)*Inputs!$B$2</f>
        <v>401.457150094757</v>
      </c>
    </row>
    <row r="35" customFormat="false" ht="15" hidden="false" customHeight="false" outlineLevel="0" collapsed="false">
      <c r="D35" s="0" t="n">
        <f aca="false">MC_Shocks!A22</f>
        <v>-0.47917423784529</v>
      </c>
      <c r="E35" s="0" t="n">
        <f aca="false">MC_Shocks!B22</f>
        <v>-0.185658976663817</v>
      </c>
      <c r="F35" s="0" t="n">
        <f aca="false">MC_Shocks!C22</f>
        <v>-1.10633497400603</v>
      </c>
      <c r="G35" s="0" t="n">
        <f aca="false">$B$3*D35</f>
        <v>-0.00705858201183995</v>
      </c>
      <c r="H35" s="0" t="n">
        <f aca="false">$B$4*D35+$C$4*E35</f>
        <v>-0.00735421991106239</v>
      </c>
      <c r="I35" s="0" t="n">
        <f aca="false">$B$5*D35+$C$5*E35+$D$5*F35</f>
        <v>-0.0154645465929245</v>
      </c>
      <c r="J35" s="0" t="n">
        <f aca="false">SUMPRODUCT(G35:I35,Inputs!$B$4:$D$4)*Inputs!$B$2</f>
        <v>-9669.06275593206</v>
      </c>
    </row>
    <row r="36" customFormat="false" ht="15" hidden="false" customHeight="false" outlineLevel="0" collapsed="false">
      <c r="D36" s="0" t="n">
        <f aca="false">MC_Shocks!A23</f>
        <v>-1.19620662408067</v>
      </c>
      <c r="E36" s="0" t="n">
        <f aca="false">MC_Shocks!B23</f>
        <v>0.812525822394198</v>
      </c>
      <c r="F36" s="0" t="n">
        <f aca="false">MC_Shocks!C23</f>
        <v>1.35624002857082</v>
      </c>
      <c r="G36" s="0" t="n">
        <f aca="false">$B$3*D36</f>
        <v>-0.0176209860470541</v>
      </c>
      <c r="H36" s="0" t="n">
        <f aca="false">$B$4*D36+$C$4*E36</f>
        <v>-0.00238211808622056</v>
      </c>
      <c r="I36" s="0" t="n">
        <f aca="false">$B$5*D36+$C$5*E36+$D$5*F36</f>
        <v>0.00224617860007902</v>
      </c>
      <c r="J36" s="0" t="n">
        <f aca="false">SUMPRODUCT(G36:I36,Inputs!$B$4:$D$4)*Inputs!$B$2</f>
        <v>-7089.17626466408</v>
      </c>
    </row>
    <row r="37" customFormat="false" ht="15" hidden="false" customHeight="false" outlineLevel="0" collapsed="false">
      <c r="D37" s="0" t="n">
        <f aca="false">MC_Shocks!A24</f>
        <v>-0.0720101215803339</v>
      </c>
      <c r="E37" s="0" t="n">
        <f aca="false">MC_Shocks!B24</f>
        <v>1.00353289789202</v>
      </c>
      <c r="F37" s="0" t="n">
        <f aca="false">MC_Shocks!C24</f>
        <v>0.361636025047634</v>
      </c>
      <c r="G37" s="0" t="n">
        <f aca="false">$B$3*D37</f>
        <v>-0.00106076101074003</v>
      </c>
      <c r="H37" s="0" t="n">
        <f aca="false">$B$4*D37+$C$4*E37</f>
        <v>0.0118094382412691</v>
      </c>
      <c r="I37" s="0" t="n">
        <f aca="false">$B$5*D37+$C$5*E37+$D$5*F37</f>
        <v>0.00616138831563704</v>
      </c>
      <c r="J37" s="0" t="n">
        <f aca="false">SUMPRODUCT(G37:I37,Inputs!$B$4:$D$4)*Inputs!$B$2</f>
        <v>4966.94356277582</v>
      </c>
    </row>
    <row r="38" customFormat="false" ht="15" hidden="false" customHeight="false" outlineLevel="0" collapsed="false">
      <c r="D38" s="0" t="n">
        <f aca="false">MC_Shocks!A25</f>
        <v>-0.645119754605124</v>
      </c>
      <c r="E38" s="0" t="n">
        <f aca="false">MC_Shocks!B25</f>
        <v>0.361395605508414</v>
      </c>
      <c r="F38" s="0" t="n">
        <f aca="false">MC_Shocks!C25</f>
        <v>1.53803656646597</v>
      </c>
      <c r="G38" s="0" t="n">
        <f aca="false">$B$3*D38</f>
        <v>-0.00950307912172973</v>
      </c>
      <c r="H38" s="0" t="n">
        <f aca="false">$B$4*D38+$C$4*E38</f>
        <v>-0.00224634515199842</v>
      </c>
      <c r="I38" s="0" t="n">
        <f aca="false">$B$5*D38+$C$5*E38+$D$5*F38</f>
        <v>0.00798996507600225</v>
      </c>
      <c r="J38" s="0" t="n">
        <f aca="false">SUMPRODUCT(G38:I38,Inputs!$B$4:$D$4)*Inputs!$B$2</f>
        <v>-2078.14567149074</v>
      </c>
    </row>
    <row r="39" customFormat="false" ht="15" hidden="false" customHeight="false" outlineLevel="0" collapsed="false">
      <c r="D39" s="0" t="n">
        <f aca="false">MC_Shocks!A26</f>
        <v>-0.0358260391099515</v>
      </c>
      <c r="E39" s="0" t="n">
        <f aca="false">MC_Shocks!B26</f>
        <v>1.56464365581401</v>
      </c>
      <c r="F39" s="0" t="n">
        <f aca="false">MC_Shocks!C26</f>
        <v>-2.61974510408974</v>
      </c>
      <c r="G39" s="0" t="n">
        <f aca="false">$B$3*D39</f>
        <v>-0.000527743386944407</v>
      </c>
      <c r="H39" s="0" t="n">
        <f aca="false">$B$4*D39+$C$4*E39</f>
        <v>0.0192149318962318</v>
      </c>
      <c r="I39" s="0" t="n">
        <f aca="false">$B$5*D39+$C$5*E39+$D$5*F39</f>
        <v>-0.0174723557500017</v>
      </c>
      <c r="J39" s="0" t="n">
        <f aca="false">SUMPRODUCT(G39:I39,Inputs!$B$4:$D$4)*Inputs!$B$2</f>
        <v>311.675489091259</v>
      </c>
    </row>
    <row r="40" customFormat="false" ht="15" hidden="false" customHeight="false" outlineLevel="0" collapsed="false">
      <c r="D40" s="0" t="n">
        <f aca="false">MC_Shocks!A27</f>
        <v>0.821902504375224</v>
      </c>
      <c r="E40" s="0" t="n">
        <f aca="false">MC_Shocks!B27</f>
        <v>0.0870470682381712</v>
      </c>
      <c r="F40" s="0" t="n">
        <f aca="false">MC_Shocks!C27</f>
        <v>-0.299007350465868</v>
      </c>
      <c r="G40" s="0" t="n">
        <f aca="false">$B$3*D40</f>
        <v>0.0121072164875906</v>
      </c>
      <c r="H40" s="0" t="n">
        <f aca="false">$B$4*D40+$C$4*E40</f>
        <v>0.00971688795117379</v>
      </c>
      <c r="I40" s="0" t="n">
        <f aca="false">$B$5*D40+$C$5*E40+$D$5*F40</f>
        <v>0.00641621661342976</v>
      </c>
      <c r="J40" s="0" t="n">
        <f aca="false">SUMPRODUCT(G40:I40,Inputs!$B$4:$D$4)*Inputs!$B$2</f>
        <v>9682.81796441731</v>
      </c>
    </row>
    <row r="41" customFormat="false" ht="15" hidden="false" customHeight="false" outlineLevel="0" collapsed="false">
      <c r="D41" s="0" t="n">
        <f aca="false">MC_Shocks!A28</f>
        <v>0.0917607765355023</v>
      </c>
      <c r="E41" s="0" t="n">
        <f aca="false">MC_Shocks!B28</f>
        <v>-1.98756891460089</v>
      </c>
      <c r="F41" s="0" t="n">
        <f aca="false">MC_Shocks!C28</f>
        <v>-0.219671887837512</v>
      </c>
      <c r="G41" s="0" t="n">
        <f aca="false">$B$3*D41</f>
        <v>0.00135170239860659</v>
      </c>
      <c r="H41" s="0" t="n">
        <f aca="false">$B$4*D41+$C$4*E41</f>
        <v>-0.0239232882491818</v>
      </c>
      <c r="I41" s="0" t="n">
        <f aca="false">$B$5*D41+$C$5*E41+$D$5*F41</f>
        <v>-0.00839194165782001</v>
      </c>
      <c r="J41" s="0" t="n">
        <f aca="false">SUMPRODUCT(G41:I41,Inputs!$B$4:$D$4)*Inputs!$B$2</f>
        <v>-9153.8880126579</v>
      </c>
    </row>
    <row r="42" customFormat="false" ht="15" hidden="false" customHeight="false" outlineLevel="0" collapsed="false">
      <c r="D42" s="0" t="n">
        <f aca="false">MC_Shocks!A29</f>
        <v>0.357112571511746</v>
      </c>
      <c r="E42" s="0" t="n">
        <f aca="false">MC_Shocks!B29</f>
        <v>1.47789404474152</v>
      </c>
      <c r="F42" s="0" t="n">
        <f aca="false">MC_Shocks!C29</f>
        <v>-0.518270218273647</v>
      </c>
      <c r="G42" s="0" t="n">
        <f aca="false">$B$3*D42</f>
        <v>0.00526052565932932</v>
      </c>
      <c r="H42" s="0" t="n">
        <f aca="false">$B$4*D42+$C$4*E42</f>
        <v>0.0222531531137794</v>
      </c>
      <c r="I42" s="0" t="n">
        <f aca="false">$B$5*D42+$C$5*E42+$D$5*F42</f>
        <v>0.00477630226782215</v>
      </c>
      <c r="J42" s="0" t="n">
        <f aca="false">SUMPRODUCT(G42:I42,Inputs!$B$4:$D$4)*Inputs!$B$2</f>
        <v>10213.0468782122</v>
      </c>
    </row>
    <row r="43" customFormat="false" ht="15" hidden="false" customHeight="false" outlineLevel="0" collapsed="false">
      <c r="D43" s="0" t="n">
        <f aca="false">MC_Shocks!A30</f>
        <v>-0.808493602893188</v>
      </c>
      <c r="E43" s="0" t="n">
        <f aca="false">MC_Shocks!B30</f>
        <v>-0.501757043584537</v>
      </c>
      <c r="F43" s="0" t="n">
        <f aca="false">MC_Shocks!C30</f>
        <v>0.915402117702074</v>
      </c>
      <c r="G43" s="0" t="n">
        <f aca="false">$B$3*D43</f>
        <v>-0.0119096937008372</v>
      </c>
      <c r="H43" s="0" t="n">
        <f aca="false">$B$4*D43+$C$4*E43</f>
        <v>-0.0147687459761649</v>
      </c>
      <c r="I43" s="0" t="n">
        <f aca="false">$B$5*D43+$C$5*E43+$D$5*F43</f>
        <v>-0.00242672760103654</v>
      </c>
      <c r="J43" s="0" t="n">
        <f aca="false">SUMPRODUCT(G43:I43,Inputs!$B$4:$D$4)*Inputs!$B$2</f>
        <v>-9922.51955349532</v>
      </c>
    </row>
    <row r="44" customFormat="false" ht="15" hidden="false" customHeight="false" outlineLevel="0" collapsed="false">
      <c r="D44" s="0" t="n">
        <f aca="false">MC_Shocks!A31</f>
        <v>0.328751109659685</v>
      </c>
      <c r="E44" s="0" t="n">
        <f aca="false">MC_Shocks!B31</f>
        <v>-0.529760203767039</v>
      </c>
      <c r="F44" s="0" t="n">
        <f aca="false">MC_Shocks!C31</f>
        <v>0.513267433113356</v>
      </c>
      <c r="G44" s="0" t="n">
        <f aca="false">$B$3*D44</f>
        <v>0.0048427408774123</v>
      </c>
      <c r="H44" s="0" t="n">
        <f aca="false">$B$4*D44+$C$4*E44</f>
        <v>-0.00318246829899155</v>
      </c>
      <c r="I44" s="0" t="n">
        <f aca="false">$B$5*D44+$C$5*E44+$D$5*F44</f>
        <v>0.00599710902716909</v>
      </c>
      <c r="J44" s="0" t="n">
        <f aca="false">SUMPRODUCT(G44:I44,Inputs!$B$4:$D$4)*Inputs!$B$2</f>
        <v>2781.48856941818</v>
      </c>
    </row>
    <row r="45" customFormat="false" ht="15" hidden="false" customHeight="false" outlineLevel="0" collapsed="false">
      <c r="D45" s="0" t="n">
        <f aca="false">MC_Shocks!A32</f>
        <v>0.0970775493480404</v>
      </c>
      <c r="E45" s="0" t="n">
        <f aca="false">MC_Shocks!B32</f>
        <v>0.968644990532889</v>
      </c>
      <c r="F45" s="0" t="n">
        <f aca="false">MC_Shocks!C32</f>
        <v>-0.702053093877352</v>
      </c>
      <c r="G45" s="0" t="n">
        <f aca="false">$B$3*D45</f>
        <v>0.00143002229557012</v>
      </c>
      <c r="H45" s="0" t="n">
        <f aca="false">$B$4*D45+$C$4*E45</f>
        <v>0.0131474067583851</v>
      </c>
      <c r="I45" s="0" t="n">
        <f aca="false">$B$5*D45+$C$5*E45+$D$5*F45</f>
        <v>-0.00149552815681763</v>
      </c>
      <c r="J45" s="0" t="n">
        <f aca="false">SUMPRODUCT(G45:I45,Inputs!$B$4:$D$4)*Inputs!$B$2</f>
        <v>4067.57249869829</v>
      </c>
    </row>
    <row r="46" customFormat="false" ht="15" hidden="false" customHeight="false" outlineLevel="0" collapsed="false">
      <c r="D46" s="0" t="n">
        <f aca="false">MC_Shocks!A33</f>
        <v>-0.327662146597768</v>
      </c>
      <c r="E46" s="0" t="n">
        <f aca="false">MC_Shocks!B33</f>
        <v>-0.392108153132158</v>
      </c>
      <c r="F46" s="0" t="n">
        <f aca="false">MC_Shocks!C33</f>
        <v>-1.46351494813212</v>
      </c>
      <c r="G46" s="0" t="n">
        <f aca="false">$B$3*D46</f>
        <v>-0.00482669966635938</v>
      </c>
      <c r="H46" s="0" t="n">
        <f aca="false">$B$4*D46+$C$4*E46</f>
        <v>-0.0083488570738684</v>
      </c>
      <c r="I46" s="0" t="n">
        <f aca="false">$B$5*D46+$C$5*E46+$D$5*F46</f>
        <v>-0.0177607306942606</v>
      </c>
      <c r="J46" s="0" t="n">
        <f aca="false">SUMPRODUCT(G46:I46,Inputs!$B$4:$D$4)*Inputs!$B$2</f>
        <v>-9763.55619698245</v>
      </c>
    </row>
    <row r="47" customFormat="false" ht="15" hidden="false" customHeight="false" outlineLevel="0" collapsed="false">
      <c r="D47" s="0" t="n">
        <f aca="false">MC_Shocks!A34</f>
        <v>0.296120277064576</v>
      </c>
      <c r="E47" s="0" t="n">
        <f aca="false">MC_Shocks!B34</f>
        <v>0.261055272179889</v>
      </c>
      <c r="F47" s="0" t="n">
        <f aca="false">MC_Shocks!C34</f>
        <v>0.00511345664246089</v>
      </c>
      <c r="G47" s="0" t="n">
        <f aca="false">$B$3*D47</f>
        <v>0.00436206518620046</v>
      </c>
      <c r="H47" s="0" t="n">
        <f aca="false">$B$4*D47+$C$4*E47</f>
        <v>0.00637686384006942</v>
      </c>
      <c r="I47" s="0" t="n">
        <f aca="false">$B$5*D47+$C$5*E47+$D$5*F47</f>
        <v>0.00415999334648848</v>
      </c>
      <c r="J47" s="0" t="n">
        <f aca="false">SUMPRODUCT(G47:I47,Inputs!$B$4:$D$4)*Inputs!$B$2</f>
        <v>4905.88323044755</v>
      </c>
    </row>
    <row r="48" customFormat="false" ht="15" hidden="false" customHeight="false" outlineLevel="0" collapsed="false">
      <c r="D48" s="0" t="n">
        <f aca="false">MC_Shocks!A35</f>
        <v>-0.234587133375147</v>
      </c>
      <c r="E48" s="0" t="n">
        <f aca="false">MC_Shocks!B35</f>
        <v>-1.41537074205041</v>
      </c>
      <c r="F48" s="0" t="n">
        <f aca="false">MC_Shocks!C35</f>
        <v>-0.420645322765359</v>
      </c>
      <c r="G48" s="0" t="n">
        <f aca="false">$B$3*D48</f>
        <v>-0.00345563761377658</v>
      </c>
      <c r="H48" s="0" t="n">
        <f aca="false">$B$4*D48+$C$4*E48</f>
        <v>-0.0201842274184273</v>
      </c>
      <c r="I48" s="0" t="n">
        <f aca="false">$B$5*D48+$C$5*E48+$D$5*F48</f>
        <v>-0.0114689628205546</v>
      </c>
      <c r="J48" s="0" t="n">
        <f aca="false">SUMPRODUCT(G48:I48,Inputs!$B$4:$D$4)*Inputs!$B$2</f>
        <v>-10878.2121172052</v>
      </c>
    </row>
    <row r="49" customFormat="false" ht="15" hidden="false" customHeight="false" outlineLevel="0" collapsed="false">
      <c r="D49" s="0" t="n">
        <f aca="false">MC_Shocks!A36</f>
        <v>-0.34271451652677</v>
      </c>
      <c r="E49" s="0" t="n">
        <f aca="false">MC_Shocks!B36</f>
        <v>-0.802277269221619</v>
      </c>
      <c r="F49" s="0" t="n">
        <f aca="false">MC_Shocks!C36</f>
        <v>-0.161285711666009</v>
      </c>
      <c r="G49" s="0" t="n">
        <f aca="false">$B$3*D49</f>
        <v>-0.00504843192829019</v>
      </c>
      <c r="H49" s="0" t="n">
        <f aca="false">$B$4*D49+$C$4*E49</f>
        <v>-0.0136425979594807</v>
      </c>
      <c r="I49" s="0" t="n">
        <f aca="false">$B$5*D49+$C$5*E49+$D$5*F49</f>
        <v>-0.00804778665947563</v>
      </c>
      <c r="J49" s="0" t="n">
        <f aca="false">SUMPRODUCT(G49:I49,Inputs!$B$4:$D$4)*Inputs!$B$2</f>
        <v>-8526.48815700299</v>
      </c>
    </row>
    <row r="50" customFormat="false" ht="15" hidden="false" customHeight="false" outlineLevel="0" collapsed="false">
      <c r="D50" s="0" t="n">
        <f aca="false">MC_Shocks!A37</f>
        <v>0.404050856814538</v>
      </c>
      <c r="E50" s="0" t="n">
        <f aca="false">MC_Shocks!B37</f>
        <v>1.88618590121053</v>
      </c>
      <c r="F50" s="0" t="n">
        <f aca="false">MC_Shocks!C37</f>
        <v>0.174577812831839</v>
      </c>
      <c r="G50" s="0" t="n">
        <f aca="false">$B$3*D50</f>
        <v>0.00595196044471082</v>
      </c>
      <c r="H50" s="0" t="n">
        <f aca="false">$B$4*D50+$C$4*E50</f>
        <v>0.0278580741372947</v>
      </c>
      <c r="I50" s="0" t="n">
        <f aca="false">$B$5*D50+$C$5*E50+$D$5*F50</f>
        <v>0.0128715508621037</v>
      </c>
      <c r="J50" s="0" t="n">
        <f aca="false">SUMPRODUCT(G50:I50,Inputs!$B$4:$D$4)*Inputs!$B$2</f>
        <v>14599.6716777038</v>
      </c>
    </row>
    <row r="51" customFormat="false" ht="15" hidden="false" customHeight="false" outlineLevel="0" collapsed="false">
      <c r="D51" s="0" t="n">
        <f aca="false">MC_Shocks!A38</f>
        <v>0.257550390722764</v>
      </c>
      <c r="E51" s="0" t="n">
        <f aca="false">MC_Shocks!B38</f>
        <v>-0.0744459157661672</v>
      </c>
      <c r="F51" s="0" t="n">
        <f aca="false">MC_Shocks!C38</f>
        <v>-1.91877121529904</v>
      </c>
      <c r="G51" s="0" t="n">
        <f aca="false">$B$3*D51</f>
        <v>0.00379390295119541</v>
      </c>
      <c r="H51" s="0" t="n">
        <f aca="false">$B$4*D51+$C$4*E51</f>
        <v>0.0017711956337802</v>
      </c>
      <c r="I51" s="0" t="n">
        <f aca="false">$B$5*D51+$C$5*E51+$D$5*F51</f>
        <v>-0.0143582574933097</v>
      </c>
      <c r="J51" s="0" t="n">
        <f aca="false">SUMPRODUCT(G51:I51,Inputs!$B$4:$D$4)*Inputs!$B$2</f>
        <v>-2258.55737738067</v>
      </c>
    </row>
    <row r="52" customFormat="false" ht="15" hidden="false" customHeight="false" outlineLevel="0" collapsed="false">
      <c r="D52" s="0" t="n">
        <f aca="false">MC_Shocks!A39</f>
        <v>-0.0265138754492169</v>
      </c>
      <c r="E52" s="0" t="n">
        <f aca="false">MC_Shocks!B39</f>
        <v>0.0602302099410264</v>
      </c>
      <c r="F52" s="0" t="n">
        <f aca="false">MC_Shocks!C39</f>
        <v>2.46324211248529</v>
      </c>
      <c r="G52" s="0" t="n">
        <f aca="false">$B$3*D52</f>
        <v>-0.000390568502078845</v>
      </c>
      <c r="H52" s="0" t="n">
        <f aca="false">$B$4*D52+$C$4*E52</f>
        <v>0.000475846553539773</v>
      </c>
      <c r="I52" s="0" t="n">
        <f aca="false">$B$5*D52+$C$5*E52+$D$5*F52</f>
        <v>0.0215230388790479</v>
      </c>
      <c r="J52" s="0" t="n">
        <f aca="false">SUMPRODUCT(G52:I52,Inputs!$B$4:$D$4)*Inputs!$B$2</f>
        <v>6443.43822894476</v>
      </c>
    </row>
    <row r="53" customFormat="false" ht="15" hidden="false" customHeight="false" outlineLevel="0" collapsed="false">
      <c r="D53" s="0" t="n">
        <f aca="false">MC_Shocks!A40</f>
        <v>-0.192360964781123</v>
      </c>
      <c r="E53" s="0" t="n">
        <f aca="false">MC_Shocks!B40</f>
        <v>0.301547342333613</v>
      </c>
      <c r="F53" s="0" t="n">
        <f aca="false">MC_Shocks!C40</f>
        <v>-0.0347117697052433</v>
      </c>
      <c r="G53" s="0" t="n">
        <f aca="false">$B$3*D53</f>
        <v>-0.00283361570498829</v>
      </c>
      <c r="H53" s="0" t="n">
        <f aca="false">$B$4*D53+$C$4*E53</f>
        <v>0.00175660196796496</v>
      </c>
      <c r="I53" s="0" t="n">
        <f aca="false">$B$5*D53+$C$5*E53+$D$5*F53</f>
        <v>-0.0012137771612172</v>
      </c>
      <c r="J53" s="0" t="n">
        <f aca="false">SUMPRODUCT(G53:I53,Inputs!$B$4:$D$4)*Inputs!$B$2</f>
        <v>-970.598839970988</v>
      </c>
    </row>
    <row r="54" customFormat="false" ht="15" hidden="false" customHeight="false" outlineLevel="0" collapsed="false">
      <c r="D54" s="0" t="n">
        <f aca="false">MC_Shocks!A41</f>
        <v>-1.16867803761953</v>
      </c>
      <c r="E54" s="0" t="n">
        <f aca="false">MC_Shocks!B41</f>
        <v>1.14282281451502</v>
      </c>
      <c r="F54" s="0" t="n">
        <f aca="false">MC_Shocks!C41</f>
        <v>0.751933032686774</v>
      </c>
      <c r="G54" s="0" t="n">
        <f aca="false">$B$3*D54</f>
        <v>-0.017215470120155</v>
      </c>
      <c r="H54" s="0" t="n">
        <f aca="false">$B$4*D54+$C$4*E54</f>
        <v>0.00204249491688351</v>
      </c>
      <c r="I54" s="0" t="n">
        <f aca="false">$B$5*D54+$C$5*E54+$D$5*F54</f>
        <v>-0.00151958050443169</v>
      </c>
      <c r="J54" s="0" t="n">
        <f aca="false">SUMPRODUCT(G54:I54,Inputs!$B$4:$D$4)*Inputs!$B$2</f>
        <v>-6729.31372432646</v>
      </c>
    </row>
    <row r="55" customFormat="false" ht="15" hidden="false" customHeight="false" outlineLevel="0" collapsed="false">
      <c r="D55" s="0" t="n">
        <f aca="false">MC_Shocks!A42</f>
        <v>0.791031947043047</v>
      </c>
      <c r="E55" s="0" t="n">
        <f aca="false">MC_Shocks!B42</f>
        <v>-0.909387454794739</v>
      </c>
      <c r="F55" s="0" t="n">
        <f aca="false">MC_Shocks!C42</f>
        <v>1.4027943109361</v>
      </c>
      <c r="G55" s="0" t="n">
        <f aca="false">$B$3*D55</f>
        <v>0.011652470920174</v>
      </c>
      <c r="H55" s="0" t="n">
        <f aca="false">$B$4*D55+$C$4*E55</f>
        <v>-0.00308354174305482</v>
      </c>
      <c r="I55" s="0" t="n">
        <f aca="false">$B$5*D55+$C$5*E55+$D$5*F55</f>
        <v>0.0172673419671657</v>
      </c>
      <c r="J55" s="0" t="n">
        <f aca="false">SUMPRODUCT(G55:I55,Inputs!$B$4:$D$4)*Inputs!$B$2</f>
        <v>8916.12843530287</v>
      </c>
    </row>
    <row r="56" customFormat="false" ht="15" hidden="false" customHeight="false" outlineLevel="0" collapsed="false">
      <c r="D56" s="0" t="n">
        <f aca="false">MC_Shocks!A43</f>
        <v>-1.40185106279228</v>
      </c>
      <c r="E56" s="0" t="n">
        <f aca="false">MC_Shocks!B43</f>
        <v>0.58685709380027</v>
      </c>
      <c r="F56" s="0" t="n">
        <f aca="false">MC_Shocks!C43</f>
        <v>2.19045562580998</v>
      </c>
      <c r="G56" s="0" t="n">
        <f aca="false">$B$3*D56</f>
        <v>-0.0206502769005272</v>
      </c>
      <c r="H56" s="0" t="n">
        <f aca="false">$B$4*D56+$C$4*E56</f>
        <v>-0.00736624030006723</v>
      </c>
      <c r="I56" s="0" t="n">
        <f aca="false">$B$5*D56+$C$5*E56+$D$5*F56</f>
        <v>0.00653013370008273</v>
      </c>
      <c r="J56" s="0" t="n">
        <f aca="false">SUMPRODUCT(G56:I56,Inputs!$B$4:$D$4)*Inputs!$B$2</f>
        <v>-8510.94274020623</v>
      </c>
    </row>
    <row r="57" customFormat="false" ht="15" hidden="false" customHeight="false" outlineLevel="0" collapsed="false">
      <c r="D57" s="0" t="n">
        <f aca="false">MC_Shocks!A44</f>
        <v>-0.990536325130688</v>
      </c>
      <c r="E57" s="0" t="n">
        <f aca="false">MC_Shocks!B44</f>
        <v>-0.566297729602772</v>
      </c>
      <c r="F57" s="0" t="n">
        <f aca="false">MC_Shocks!C44</f>
        <v>0.0996513650876412</v>
      </c>
      <c r="G57" s="0" t="n">
        <f aca="false">$B$3*D57</f>
        <v>-0.0145913142536243</v>
      </c>
      <c r="H57" s="0" t="n">
        <f aca="false">$B$4*D57+$C$4*E57</f>
        <v>-0.017487645035388</v>
      </c>
      <c r="I57" s="0" t="n">
        <f aca="false">$B$5*D57+$C$5*E57+$D$5*F57</f>
        <v>-0.0117435956641028</v>
      </c>
      <c r="J57" s="0" t="n">
        <f aca="false">SUMPRODUCT(G57:I57,Inputs!$B$4:$D$4)*Inputs!$B$2</f>
        <v>-14605.897911297</v>
      </c>
    </row>
    <row r="58" customFormat="false" ht="15" hidden="false" customHeight="false" outlineLevel="0" collapsed="false">
      <c r="D58" s="0" t="n">
        <f aca="false">MC_Shocks!A45</f>
        <v>-0.503475654116199</v>
      </c>
      <c r="E58" s="0" t="n">
        <f aca="false">MC_Shocks!B45</f>
        <v>-1.55066343106613</v>
      </c>
      <c r="F58" s="0" t="n">
        <f aca="false">MC_Shocks!C45</f>
        <v>0.0685629748060273</v>
      </c>
      <c r="G58" s="0" t="n">
        <f aca="false">$B$3*D58</f>
        <v>-0.00741655939502192</v>
      </c>
      <c r="H58" s="0" t="n">
        <f aca="false">$B$4*D58+$C$4*E58</f>
        <v>-0.0247005784944123</v>
      </c>
      <c r="I58" s="0" t="n">
        <f aca="false">$B$5*D58+$C$5*E58+$D$5*F58</f>
        <v>-0.0105392501994696</v>
      </c>
      <c r="J58" s="0" t="n">
        <f aca="false">SUMPRODUCT(G58:I58,Inputs!$B$4:$D$4)*Inputs!$B$2</f>
        <v>-13538.5723661733</v>
      </c>
    </row>
    <row r="59" customFormat="false" ht="15" hidden="false" customHeight="false" outlineLevel="0" collapsed="false">
      <c r="D59" s="0" t="n">
        <f aca="false">MC_Shocks!A46</f>
        <v>-1.06230371372611</v>
      </c>
      <c r="E59" s="0" t="n">
        <f aca="false">MC_Shocks!B46</f>
        <v>0.473592430635182</v>
      </c>
      <c r="F59" s="0" t="n">
        <f aca="false">MC_Shocks!C46</f>
        <v>-0.919424234233803</v>
      </c>
      <c r="G59" s="0" t="n">
        <f aca="false">$B$3*D59</f>
        <v>-0.0156484996324841</v>
      </c>
      <c r="H59" s="0" t="n">
        <f aca="false">$B$4*D59+$C$4*E59</f>
        <v>-0.00522042805586836</v>
      </c>
      <c r="I59" s="0" t="n">
        <f aca="false">$B$5*D59+$C$5*E59+$D$5*F59</f>
        <v>-0.0175388832961161</v>
      </c>
      <c r="J59" s="0" t="n">
        <f aca="false">SUMPRODUCT(G59:I59,Inputs!$B$4:$D$4)*Inputs!$B$2</f>
        <v>-13087.193258589</v>
      </c>
    </row>
    <row r="60" customFormat="false" ht="15" hidden="false" customHeight="false" outlineLevel="0" collapsed="false">
      <c r="D60" s="0" t="n">
        <f aca="false">MC_Shocks!A47</f>
        <v>1.54993440501754</v>
      </c>
      <c r="E60" s="0" t="n">
        <f aca="false">MC_Shocks!B47</f>
        <v>-0.783253292336237</v>
      </c>
      <c r="F60" s="0" t="n">
        <f aca="false">MC_Shocks!C47</f>
        <v>-0.322061516205676</v>
      </c>
      <c r="G60" s="0" t="n">
        <f aca="false">$B$3*D60</f>
        <v>0.0228316513007549</v>
      </c>
      <c r="H60" s="0" t="n">
        <f aca="false">$B$4*D60+$C$4*E60</f>
        <v>0.00646148761625295</v>
      </c>
      <c r="I60" s="0" t="n">
        <f aca="false">$B$5*D60+$C$5*E60+$D$5*F60</f>
        <v>0.0106715047020292</v>
      </c>
      <c r="J60" s="0" t="n">
        <f aca="false">SUMPRODUCT(G60:I60,Inputs!$B$4:$D$4)*Inputs!$B$2</f>
        <v>14272.5582157866</v>
      </c>
    </row>
    <row r="61" customFormat="false" ht="15" hidden="false" customHeight="false" outlineLevel="0" collapsed="false">
      <c r="D61" s="0" t="n">
        <f aca="false">MC_Shocks!A48</f>
        <v>0.81351721736967</v>
      </c>
      <c r="E61" s="0" t="n">
        <f aca="false">MC_Shocks!B48</f>
        <v>-1.23086431643396</v>
      </c>
      <c r="F61" s="0" t="n">
        <f aca="false">MC_Shocks!C48</f>
        <v>0.227459934604129</v>
      </c>
      <c r="G61" s="0" t="n">
        <f aca="false">$B$3*D61</f>
        <v>0.0119836951641412</v>
      </c>
      <c r="H61" s="0" t="n">
        <f aca="false">$B$4*D61+$C$4*E61</f>
        <v>-0.00687275507550432</v>
      </c>
      <c r="I61" s="0" t="n">
        <f aca="false">$B$5*D61+$C$5*E61+$D$5*F61</f>
        <v>0.00600606061562257</v>
      </c>
      <c r="J61" s="0" t="n">
        <f aca="false">SUMPRODUCT(G61:I61,Inputs!$B$4:$D$4)*Inputs!$B$2</f>
        <v>4533.46972769195</v>
      </c>
    </row>
    <row r="62" customFormat="false" ht="15" hidden="false" customHeight="false" outlineLevel="0" collapsed="false">
      <c r="D62" s="0" t="n">
        <f aca="false">MC_Shocks!A49</f>
        <v>1.30714275428243</v>
      </c>
      <c r="E62" s="0" t="n">
        <f aca="false">MC_Shocks!B49</f>
        <v>-1.60748323456123</v>
      </c>
      <c r="F62" s="0" t="n">
        <f aca="false">MC_Shocks!C49</f>
        <v>0.184633858532304</v>
      </c>
      <c r="G62" s="0" t="n">
        <f aca="false">$B$3*D62</f>
        <v>0.0192551552307448</v>
      </c>
      <c r="H62" s="0" t="n">
        <f aca="false">$B$4*D62+$C$4*E62</f>
        <v>-0.00640715644138045</v>
      </c>
      <c r="I62" s="0" t="n">
        <f aca="false">$B$5*D62+$C$5*E62+$D$5*F62</f>
        <v>0.0094520958591179</v>
      </c>
      <c r="J62" s="0" t="n">
        <f aca="false">SUMPRODUCT(G62:I62,Inputs!$B$4:$D$4)*Inputs!$B$2</f>
        <v>8615.54391761914</v>
      </c>
    </row>
    <row r="63" customFormat="false" ht="15" hidden="false" customHeight="false" outlineLevel="0" collapsed="false">
      <c r="D63" s="0" t="n">
        <f aca="false">MC_Shocks!A50</f>
        <v>0.259882794248424</v>
      </c>
      <c r="E63" s="0" t="n">
        <f aca="false">MC_Shocks!B50</f>
        <v>0.78182287177731</v>
      </c>
      <c r="F63" s="0" t="n">
        <f aca="false">MC_Shocks!C50</f>
        <v>-1.23695071087808</v>
      </c>
      <c r="G63" s="0" t="n">
        <f aca="false">$B$3*D63</f>
        <v>0.00382826093680958</v>
      </c>
      <c r="H63" s="0" t="n">
        <f aca="false">$B$4*D63+$C$4*E63</f>
        <v>0.0125170576491406</v>
      </c>
      <c r="I63" s="0" t="n">
        <f aca="false">$B$5*D63+$C$5*E63+$D$5*F63</f>
        <v>-0.00515541539280285</v>
      </c>
      <c r="J63" s="0" t="n">
        <f aca="false">SUMPRODUCT(G63:I63,Inputs!$B$4:$D$4)*Inputs!$B$2</f>
        <v>3739.79705162516</v>
      </c>
    </row>
    <row r="64" customFormat="false" ht="15" hidden="false" customHeight="false" outlineLevel="0" collapsed="false">
      <c r="D64" s="0" t="n">
        <f aca="false">MC_Shocks!A51</f>
        <v>-1.32045661308428</v>
      </c>
      <c r="E64" s="0" t="n">
        <f aca="false">MC_Shocks!B51</f>
        <v>0.521941565616898</v>
      </c>
      <c r="F64" s="0" t="n">
        <f aca="false">MC_Shocks!C51</f>
        <v>0.296984673233186</v>
      </c>
      <c r="G64" s="0" t="n">
        <f aca="false">$B$3*D64</f>
        <v>-0.0194512779702925</v>
      </c>
      <c r="H64" s="0" t="n">
        <f aca="false">$B$4*D64+$C$4*E64</f>
        <v>-0.00732470680035263</v>
      </c>
      <c r="I64" s="0" t="n">
        <f aca="false">$B$5*D64+$C$5*E64+$D$5*F64</f>
        <v>-0.00943754810753992</v>
      </c>
      <c r="J64" s="0" t="n">
        <f aca="false">SUMPRODUCT(G64:I64,Inputs!$B$4:$D$4)*Inputs!$B$2</f>
        <v>-12809.1876604848</v>
      </c>
    </row>
    <row r="65" customFormat="false" ht="15" hidden="false" customHeight="false" outlineLevel="0" collapsed="false">
      <c r="D65" s="0" t="n">
        <f aca="false">MC_Shocks!A52</f>
        <v>0.250492850345877</v>
      </c>
      <c r="E65" s="0" t="n">
        <f aca="false">MC_Shocks!B52</f>
        <v>0.346448209496976</v>
      </c>
      <c r="F65" s="0" t="n">
        <f aca="false">MC_Shocks!C52</f>
        <v>-0.680024721578491</v>
      </c>
      <c r="G65" s="0" t="n">
        <f aca="false">$B$3*D65</f>
        <v>0.00368994029290195</v>
      </c>
      <c r="H65" s="0" t="n">
        <f aca="false">$B$4*D65+$C$4*E65</f>
        <v>0.00696715172228831</v>
      </c>
      <c r="I65" s="0" t="n">
        <f aca="false">$B$5*D65+$C$5*E65+$D$5*F65</f>
        <v>-0.00200583989635909</v>
      </c>
      <c r="J65" s="0" t="n">
        <f aca="false">SUMPRODUCT(G65:I65,Inputs!$B$4:$D$4)*Inputs!$B$2</f>
        <v>2964.36966493955</v>
      </c>
    </row>
    <row r="66" customFormat="false" ht="15" hidden="false" customHeight="false" outlineLevel="0" collapsed="false">
      <c r="D66" s="0" t="n">
        <f aca="false">MC_Shocks!A53</f>
        <v>0.232253697161004</v>
      </c>
      <c r="E66" s="0" t="n">
        <f aca="false">MC_Shocks!B53</f>
        <v>0.293072473298681</v>
      </c>
      <c r="F66" s="0" t="n">
        <f aca="false">MC_Shocks!C53</f>
        <v>-0.714351418026368</v>
      </c>
      <c r="G66" s="0" t="n">
        <f aca="false">$B$3*D66</f>
        <v>0.00342126441591646</v>
      </c>
      <c r="H66" s="0" t="n">
        <f aca="false">$B$4*D66+$C$4*E66</f>
        <v>0.00610738736632377</v>
      </c>
      <c r="I66" s="0" t="n">
        <f aca="false">$B$5*D66+$C$5*E66+$D$5*F66</f>
        <v>-0.00269962936658839</v>
      </c>
      <c r="J66" s="0" t="n">
        <f aca="false">SUMPRODUCT(G66:I66,Inputs!$B$4:$D$4)*Inputs!$B$2</f>
        <v>2390.8331662872</v>
      </c>
    </row>
    <row r="67" customFormat="false" ht="15" hidden="false" customHeight="false" outlineLevel="0" collapsed="false">
      <c r="D67" s="0" t="n">
        <f aca="false">MC_Shocks!A54</f>
        <v>1.86577451114476</v>
      </c>
      <c r="E67" s="0" t="n">
        <f aca="false">MC_Shocks!B54</f>
        <v>0.473832920911788</v>
      </c>
      <c r="F67" s="0" t="n">
        <f aca="false">MC_Shocks!C54</f>
        <v>-1.19130349720265</v>
      </c>
      <c r="G67" s="0" t="n">
        <f aca="false">$B$3*D67</f>
        <v>0.0274842037871993</v>
      </c>
      <c r="H67" s="0" t="n">
        <f aca="false">$B$4*D67+$C$4*E67</f>
        <v>0.0255166860536835</v>
      </c>
      <c r="I67" s="0" t="n">
        <f aca="false">$B$5*D67+$C$5*E67+$D$5*F67</f>
        <v>0.0111093109157047</v>
      </c>
      <c r="J67" s="0" t="n">
        <f aca="false">SUMPRODUCT(G67:I67,Inputs!$B$4:$D$4)*Inputs!$B$2</f>
        <v>21981.4806056962</v>
      </c>
    </row>
    <row r="68" customFormat="false" ht="15" hidden="false" customHeight="false" outlineLevel="0" collapsed="false">
      <c r="D68" s="0" t="n">
        <f aca="false">MC_Shocks!A55</f>
        <v>0.65655360863383</v>
      </c>
      <c r="E68" s="0" t="n">
        <f aca="false">MC_Shocks!B55</f>
        <v>-0.974681670227321</v>
      </c>
      <c r="F68" s="0" t="n">
        <f aca="false">MC_Shocks!C55</f>
        <v>0.787084603742452</v>
      </c>
      <c r="G68" s="0" t="n">
        <f aca="false">$B$3*D68</f>
        <v>0.00967150803547088</v>
      </c>
      <c r="H68" s="0" t="n">
        <f aca="false">$B$4*D68+$C$4*E68</f>
        <v>-0.00531262386089981</v>
      </c>
      <c r="I68" s="0" t="n">
        <f aca="false">$B$5*D68+$C$5*E68+$D$5*F68</f>
        <v>0.0102041000956519</v>
      </c>
      <c r="J68" s="0" t="n">
        <f aca="false">SUMPRODUCT(G68:I68,Inputs!$B$4:$D$4)*Inputs!$B$2</f>
        <v>5336.04608461397</v>
      </c>
    </row>
    <row r="69" customFormat="false" ht="15" hidden="false" customHeight="false" outlineLevel="0" collapsed="false">
      <c r="D69" s="0" t="n">
        <f aca="false">MC_Shocks!A56</f>
        <v>1.1585955790074</v>
      </c>
      <c r="E69" s="0" t="n">
        <f aca="false">MC_Shocks!B56</f>
        <v>-0.820682318351711</v>
      </c>
      <c r="F69" s="0" t="n">
        <f aca="false">MC_Shocks!C56</f>
        <v>0.963376129244322</v>
      </c>
      <c r="G69" s="0" t="n">
        <f aca="false">$B$3*D69</f>
        <v>0.0170669482352667</v>
      </c>
      <c r="H69" s="0" t="n">
        <f aca="false">$B$4*D69+$C$4*E69</f>
        <v>0.00188521193515118</v>
      </c>
      <c r="I69" s="0" t="n">
        <f aca="false">$B$5*D69+$C$5*E69+$D$5*F69</f>
        <v>0.0176450791327656</v>
      </c>
      <c r="J69" s="0" t="n">
        <f aca="false">SUMPRODUCT(G69:I69,Inputs!$B$4:$D$4)*Inputs!$B$2</f>
        <v>12685.8666144817</v>
      </c>
    </row>
    <row r="70" customFormat="false" ht="15" hidden="false" customHeight="false" outlineLevel="0" collapsed="false">
      <c r="D70" s="0" t="n">
        <f aca="false">MC_Shocks!A57</f>
        <v>0.412780926936498</v>
      </c>
      <c r="E70" s="0" t="n">
        <f aca="false">MC_Shocks!B57</f>
        <v>0.82206015999449</v>
      </c>
      <c r="F70" s="0" t="n">
        <f aca="false">MC_Shocks!C57</f>
        <v>1.89679298265395</v>
      </c>
      <c r="G70" s="0" t="n">
        <f aca="false">$B$3*D70</f>
        <v>0.00608056067205623</v>
      </c>
      <c r="H70" s="0" t="n">
        <f aca="false">$B$4*D70+$C$4*E70</f>
        <v>0.0146257412580615</v>
      </c>
      <c r="I70" s="0" t="n">
        <f aca="false">$B$5*D70+$C$5*E70+$D$5*F70</f>
        <v>0.02406776834708</v>
      </c>
      <c r="J70" s="0" t="n">
        <f aca="false">SUMPRODUCT(G70:I70,Inputs!$B$4:$D$4)*Inputs!$B$2</f>
        <v>14040.2771503649</v>
      </c>
    </row>
    <row r="71" customFormat="false" ht="15" hidden="false" customHeight="false" outlineLevel="0" collapsed="false">
      <c r="D71" s="0" t="n">
        <f aca="false">MC_Shocks!A58</f>
        <v>-0.245388116002871</v>
      </c>
      <c r="E71" s="0" t="n">
        <f aca="false">MC_Shocks!B58</f>
        <v>-0.75373616435749</v>
      </c>
      <c r="F71" s="0" t="n">
        <f aca="false">MC_Shocks!C58</f>
        <v>-0.889514429625523</v>
      </c>
      <c r="G71" s="0" t="n">
        <f aca="false">$B$3*D71</f>
        <v>-0.00361474387547603</v>
      </c>
      <c r="H71" s="0" t="n">
        <f aca="false">$B$4*D71+$C$4*E71</f>
        <v>-0.012013241649183</v>
      </c>
      <c r="I71" s="0" t="n">
        <f aca="false">$B$5*D71+$C$5*E71+$D$5*F71</f>
        <v>-0.0132141580561653</v>
      </c>
      <c r="J71" s="0" t="n">
        <f aca="false">SUMPRODUCT(G71:I71,Inputs!$B$4:$D$4)*Inputs!$B$2</f>
        <v>-9014.1174617949</v>
      </c>
    </row>
    <row r="72" customFormat="false" ht="15" hidden="false" customHeight="false" outlineLevel="0" collapsed="false">
      <c r="D72" s="0" t="n">
        <f aca="false">MC_Shocks!A59</f>
        <v>-0.815810284965438</v>
      </c>
      <c r="E72" s="0" t="n">
        <f aca="false">MC_Shocks!B59</f>
        <v>-0.0771017094141042</v>
      </c>
      <c r="F72" s="0" t="n">
        <f aca="false">MC_Shocks!C59</f>
        <v>0.341151974816644</v>
      </c>
      <c r="G72" s="0" t="n">
        <f aca="false">$B$3*D72</f>
        <v>-0.0120174737031466</v>
      </c>
      <c r="H72" s="0" t="n">
        <f aca="false">$B$4*D72+$C$4*E72</f>
        <v>-0.00952841565957136</v>
      </c>
      <c r="I72" s="0" t="n">
        <f aca="false">$B$5*D72+$C$5*E72+$D$5*F72</f>
        <v>-0.00594523274415275</v>
      </c>
      <c r="J72" s="0" t="n">
        <f aca="false">SUMPRODUCT(G72:I72,Inputs!$B$4:$D$4)*Inputs!$B$2</f>
        <v>-9449.08400237585</v>
      </c>
    </row>
    <row r="73" customFormat="false" ht="15" hidden="false" customHeight="false" outlineLevel="0" collapsed="false">
      <c r="D73" s="0" t="n">
        <f aca="false">MC_Shocks!A60</f>
        <v>0.276690799330019</v>
      </c>
      <c r="E73" s="0" t="n">
        <f aca="false">MC_Shocks!B60</f>
        <v>0.827183249036024</v>
      </c>
      <c r="F73" s="0" t="n">
        <f aca="false">MC_Shocks!C60</f>
        <v>0.013001891877907</v>
      </c>
      <c r="G73" s="0" t="n">
        <f aca="false">$B$3*D73</f>
        <v>0.0040758549703648</v>
      </c>
      <c r="H73" s="0" t="n">
        <f aca="false">$B$4*D73+$C$4*E73</f>
        <v>0.0132614395161032</v>
      </c>
      <c r="I73" s="0" t="n">
        <f aca="false">$B$5*D73+$C$5*E73+$D$5*F73</f>
        <v>0.00614235927594239</v>
      </c>
      <c r="J73" s="0" t="n">
        <f aca="false">SUMPRODUCT(G73:I73,Inputs!$B$4:$D$4)*Inputs!$B$2</f>
        <v>7451.48162575959</v>
      </c>
    </row>
    <row r="74" customFormat="false" ht="15" hidden="false" customHeight="false" outlineLevel="0" collapsed="false">
      <c r="D74" s="0" t="n">
        <f aca="false">MC_Shocks!A61</f>
        <v>1.45353407715732</v>
      </c>
      <c r="E74" s="0" t="n">
        <f aca="false">MC_Shocks!B61</f>
        <v>-0.264656833237956</v>
      </c>
      <c r="F74" s="0" t="n">
        <f aca="false">MC_Shocks!C61</f>
        <v>2.72016916658962</v>
      </c>
      <c r="G74" s="0" t="n">
        <f aca="false">$B$3*D74</f>
        <v>0.0214116049659823</v>
      </c>
      <c r="H74" s="0" t="n">
        <f aca="false">$B$4*D74+$C$4*E74</f>
        <v>0.0119430068341493</v>
      </c>
      <c r="I74" s="0" t="n">
        <f aca="false">$B$5*D74+$C$5*E74+$D$5*F74</f>
        <v>0.0382418000523923</v>
      </c>
      <c r="J74" s="0" t="n">
        <f aca="false">SUMPRODUCT(G74:I74,Inputs!$B$4:$D$4)*Inputs!$B$2</f>
        <v>23620.0840523554</v>
      </c>
    </row>
    <row r="75" customFormat="false" ht="15" hidden="false" customHeight="false" outlineLevel="0" collapsed="false">
      <c r="D75" s="0" t="n">
        <f aca="false">MC_Shocks!A62</f>
        <v>0.625667347765006</v>
      </c>
      <c r="E75" s="0" t="n">
        <f aca="false">MC_Shocks!B62</f>
        <v>-0.857157556416283</v>
      </c>
      <c r="F75" s="0" t="n">
        <f aca="false">MC_Shocks!C62</f>
        <v>-1.07089249806111</v>
      </c>
      <c r="G75" s="0" t="n">
        <f aca="false">$B$3*D75</f>
        <v>0.00921653114363709</v>
      </c>
      <c r="H75" s="0" t="n">
        <f aca="false">$B$4*D75+$C$4*E75</f>
        <v>-0.00416529178049019</v>
      </c>
      <c r="I75" s="0" t="n">
        <f aca="false">$B$5*D75+$C$5*E75+$D$5*F75</f>
        <v>-0.0059595763145171</v>
      </c>
      <c r="J75" s="0" t="n">
        <f aca="false">SUMPRODUCT(G75:I75,Inputs!$B$4:$D$4)*Inputs!$B$2</f>
        <v>649.152028952651</v>
      </c>
    </row>
    <row r="76" customFormat="false" ht="15" hidden="false" customHeight="false" outlineLevel="0" collapsed="false">
      <c r="D76" s="0" t="n">
        <f aca="false">MC_Shocks!A63</f>
        <v>0.482472415243185</v>
      </c>
      <c r="E76" s="0" t="n">
        <f aca="false">MC_Shocks!B63</f>
        <v>-0.223462785325851</v>
      </c>
      <c r="F76" s="0" t="n">
        <f aca="false">MC_Shocks!C63</f>
        <v>0.714000494092092</v>
      </c>
      <c r="G76" s="0" t="n">
        <f aca="false">$B$3*D76</f>
        <v>0.00710716654292268</v>
      </c>
      <c r="H76" s="0" t="n">
        <f aca="false">$B$4*D76+$C$4*E76</f>
        <v>0.00226620656705788</v>
      </c>
      <c r="I76" s="0" t="n">
        <f aca="false">$B$5*D76+$C$5*E76+$D$5*F76</f>
        <v>0.0105311160782255</v>
      </c>
      <c r="J76" s="0" t="n">
        <f aca="false">SUMPRODUCT(G76:I76,Inputs!$B$4:$D$4)*Inputs!$B$2</f>
        <v>6682.06341075408</v>
      </c>
    </row>
    <row r="77" customFormat="false" ht="15" hidden="false" customHeight="false" outlineLevel="0" collapsed="false">
      <c r="D77" s="0" t="n">
        <f aca="false">MC_Shocks!A64</f>
        <v>0.473237624573545</v>
      </c>
      <c r="E77" s="0" t="n">
        <f aca="false">MC_Shocks!B64</f>
        <v>-0.0728289126568728</v>
      </c>
      <c r="F77" s="0" t="n">
        <f aca="false">MC_Shocks!C64</f>
        <v>-0.846793718068405</v>
      </c>
      <c r="G77" s="0" t="n">
        <f aca="false">$B$3*D77</f>
        <v>0.00697113141800247</v>
      </c>
      <c r="H77" s="0" t="n">
        <f aca="false">$B$4*D77+$C$4*E77</f>
        <v>0.00405536861981236</v>
      </c>
      <c r="I77" s="0" t="n">
        <f aca="false">$B$5*D77+$C$5*E77+$D$5*F77</f>
        <v>-0.00267579189479296</v>
      </c>
      <c r="J77" s="0" t="n">
        <f aca="false">SUMPRODUCT(G77:I77,Inputs!$B$4:$D$4)*Inputs!$B$2</f>
        <v>3202.32558470681</v>
      </c>
    </row>
    <row r="78" customFormat="false" ht="15" hidden="false" customHeight="false" outlineLevel="0" collapsed="false">
      <c r="D78" s="0" t="n">
        <f aca="false">MC_Shocks!A65</f>
        <v>-1.51484722468587</v>
      </c>
      <c r="E78" s="0" t="n">
        <f aca="false">MC_Shocks!B65</f>
        <v>-0.446514952067021</v>
      </c>
      <c r="F78" s="0" t="n">
        <f aca="false">MC_Shocks!C65</f>
        <v>0.856398794323472</v>
      </c>
      <c r="G78" s="0" t="n">
        <f aca="false">$B$3*D78</f>
        <v>-0.0223147918363375</v>
      </c>
      <c r="H78" s="0" t="n">
        <f aca="false">$B$4*D78+$C$4*E78</f>
        <v>-0.021491184613838</v>
      </c>
      <c r="I78" s="0" t="n">
        <f aca="false">$B$5*D78+$C$5*E78+$D$5*F78</f>
        <v>-0.0102220959733514</v>
      </c>
      <c r="J78" s="0" t="n">
        <f aca="false">SUMPRODUCT(G78:I78,Inputs!$B$4:$D$4)*Inputs!$B$2</f>
        <v>-18439.9009106918</v>
      </c>
    </row>
    <row r="79" customFormat="false" ht="15" hidden="false" customHeight="false" outlineLevel="0" collapsed="false">
      <c r="D79" s="0" t="n">
        <f aca="false">MC_Shocks!A66</f>
        <v>0.214093744130204</v>
      </c>
      <c r="E79" s="0" t="n">
        <f aca="false">MC_Shocks!B66</f>
        <v>-1.24573877871199</v>
      </c>
      <c r="F79" s="0" t="n">
        <f aca="false">MC_Shocks!C66</f>
        <v>0.173180925851182</v>
      </c>
      <c r="G79" s="0" t="n">
        <f aca="false">$B$3*D79</f>
        <v>0.0031537552143044</v>
      </c>
      <c r="H79" s="0" t="n">
        <f aca="false">$B$4*D79+$C$4*E79</f>
        <v>-0.0133507511283832</v>
      </c>
      <c r="I79" s="0" t="n">
        <f aca="false">$B$5*D79+$C$5*E79+$D$5*F79</f>
        <v>-0.000877240205847185</v>
      </c>
      <c r="J79" s="0" t="n">
        <f aca="false">SUMPRODUCT(G79:I79,Inputs!$B$4:$D$4)*Inputs!$B$2</f>
        <v>-3006.89531454736</v>
      </c>
    </row>
    <row r="80" customFormat="false" ht="15" hidden="false" customHeight="false" outlineLevel="0" collapsed="false">
      <c r="D80" s="0" t="n">
        <f aca="false">MC_Shocks!A67</f>
        <v>0.385317379728837</v>
      </c>
      <c r="E80" s="0" t="n">
        <f aca="false">MC_Shocks!B67</f>
        <v>-0.883857436201133</v>
      </c>
      <c r="F80" s="0" t="n">
        <f aca="false">MC_Shocks!C67</f>
        <v>0.153725105945528</v>
      </c>
      <c r="G80" s="0" t="n">
        <f aca="false">$B$3*D80</f>
        <v>0.00567600282025472</v>
      </c>
      <c r="H80" s="0" t="n">
        <f aca="false">$B$4*D80+$C$4*E80</f>
        <v>-0.00702239703198969</v>
      </c>
      <c r="I80" s="0" t="n">
        <f aca="false">$B$5*D80+$C$5*E80+$D$5*F80</f>
        <v>0.00212140060878108</v>
      </c>
      <c r="J80" s="0" t="n">
        <f aca="false">SUMPRODUCT(G80:I80,Inputs!$B$4:$D$4)*Inputs!$B$2</f>
        <v>800.102201139303</v>
      </c>
    </row>
    <row r="81" customFormat="false" ht="15" hidden="false" customHeight="false" outlineLevel="0" collapsed="false">
      <c r="D81" s="0" t="n">
        <f aca="false">MC_Shocks!A68</f>
        <v>0.0582087184459999</v>
      </c>
      <c r="E81" s="0" t="n">
        <f aca="false">MC_Shocks!B68</f>
        <v>-1.14297029783062</v>
      </c>
      <c r="F81" s="0" t="n">
        <f aca="false">MC_Shocks!C68</f>
        <v>0.357787360348283</v>
      </c>
      <c r="G81" s="0" t="n">
        <f aca="false">$B$3*D81</f>
        <v>0.000857456391651523</v>
      </c>
      <c r="H81" s="0" t="n">
        <f aca="false">$B$4*D81+$C$4*E81</f>
        <v>-0.0137002044605583</v>
      </c>
      <c r="I81" s="0" t="n">
        <f aca="false">$B$5*D81+$C$5*E81+$D$5*F81</f>
        <v>-0.000527281566308731</v>
      </c>
      <c r="J81" s="0" t="n">
        <f aca="false">SUMPRODUCT(G81:I81,Inputs!$B$4:$D$4)*Inputs!$B$2</f>
        <v>-3925.26325139951</v>
      </c>
    </row>
    <row r="82" customFormat="false" ht="15" hidden="false" customHeight="false" outlineLevel="0" collapsed="false">
      <c r="D82" s="0" t="n">
        <f aca="false">MC_Shocks!A69</f>
        <v>0.560784526368234</v>
      </c>
      <c r="E82" s="0" t="n">
        <f aca="false">MC_Shocks!B69</f>
        <v>1.08305124317528</v>
      </c>
      <c r="F82" s="0" t="n">
        <f aca="false">MC_Shocks!C69</f>
        <v>1.0538020520349</v>
      </c>
      <c r="G82" s="0" t="n">
        <f aca="false">$B$3*D82</f>
        <v>0.00826076040344019</v>
      </c>
      <c r="H82" s="0" t="n">
        <f aca="false">$B$4*D82+$C$4*E82</f>
        <v>0.0194471184613849</v>
      </c>
      <c r="I82" s="0" t="n">
        <f aca="false">$B$5*D82+$C$5*E82+$D$5*F82</f>
        <v>0.0192283362967249</v>
      </c>
      <c r="J82" s="0" t="n">
        <f aca="false">SUMPRODUCT(G82:I82,Inputs!$B$4:$D$4)*Inputs!$B$2</f>
        <v>14906.940588809</v>
      </c>
    </row>
    <row r="83" customFormat="false" ht="15" hidden="false" customHeight="false" outlineLevel="0" collapsed="false">
      <c r="D83" s="0" t="n">
        <f aca="false">MC_Shocks!A70</f>
        <v>-1.37766936795709</v>
      </c>
      <c r="E83" s="0" t="n">
        <f aca="false">MC_Shocks!B70</f>
        <v>-0.937825039915123</v>
      </c>
      <c r="F83" s="0" t="n">
        <f aca="false">MC_Shocks!C70</f>
        <v>0.51503526720866</v>
      </c>
      <c r="G83" s="0" t="n">
        <f aca="false">$B$3*D83</f>
        <v>-0.0202940631004134</v>
      </c>
      <c r="H83" s="0" t="n">
        <f aca="false">$B$4*D83+$C$4*E83</f>
        <v>-0.0262030351559743</v>
      </c>
      <c r="I83" s="0" t="n">
        <f aca="false">$B$5*D83+$C$5*E83+$D$5*F83</f>
        <v>-0.0135979299120253</v>
      </c>
      <c r="J83" s="0" t="n">
        <f aca="false">SUMPRODUCT(G83:I83,Inputs!$B$4:$D$4)*Inputs!$B$2</f>
        <v>-20057.9147605653</v>
      </c>
    </row>
    <row r="84" customFormat="false" ht="15" hidden="false" customHeight="false" outlineLevel="0" collapsed="false">
      <c r="D84" s="0" t="n">
        <f aca="false">MC_Shocks!A71</f>
        <v>0.513785950912209</v>
      </c>
      <c r="E84" s="0" t="n">
        <f aca="false">MC_Shocks!B71</f>
        <v>0.515047686306048</v>
      </c>
      <c r="F84" s="0" t="n">
        <f aca="false">MC_Shocks!C71</f>
        <v>3.85273149065472</v>
      </c>
      <c r="G84" s="0" t="n">
        <f aca="false">$B$3*D84</f>
        <v>0.00756843750063189</v>
      </c>
      <c r="H84" s="0" t="n">
        <f aca="false">$B$4*D84+$C$4*E84</f>
        <v>0.0118418071691316</v>
      </c>
      <c r="I84" s="0" t="n">
        <f aca="false">$B$5*D84+$C$5*E84+$D$5*F84</f>
        <v>0.0411233595099747</v>
      </c>
      <c r="J84" s="0" t="n">
        <f aca="false">SUMPRODUCT(G84:I84,Inputs!$B$4:$D$4)*Inputs!$B$2</f>
        <v>18916.9250039847</v>
      </c>
    </row>
    <row r="85" customFormat="false" ht="15" hidden="false" customHeight="false" outlineLevel="0" collapsed="false">
      <c r="D85" s="0" t="n">
        <f aca="false">MC_Shocks!A72</f>
        <v>0.570890510693167</v>
      </c>
      <c r="E85" s="0" t="n">
        <f aca="false">MC_Shocks!B72</f>
        <v>1.1355656401806</v>
      </c>
      <c r="F85" s="0" t="n">
        <f aca="false">MC_Shocks!C72</f>
        <v>0.954001763493202</v>
      </c>
      <c r="G85" s="0" t="n">
        <f aca="false">$B$3*D85</f>
        <v>0.00840962883904031</v>
      </c>
      <c r="H85" s="0" t="n">
        <f aca="false">$B$4*D85+$C$4*E85</f>
        <v>0.020210729449278</v>
      </c>
      <c r="I85" s="0" t="n">
        <f aca="false">$B$5*D85+$C$5*E85+$D$5*F85</f>
        <v>0.0186577315277673</v>
      </c>
      <c r="J85" s="0" t="n">
        <f aca="false">SUMPRODUCT(G85:I85,Inputs!$B$4:$D$4)*Inputs!$B$2</f>
        <v>15024.3898287297</v>
      </c>
    </row>
    <row r="86" customFormat="false" ht="15" hidden="false" customHeight="false" outlineLevel="0" collapsed="false">
      <c r="D86" s="0" t="n">
        <f aca="false">MC_Shocks!A73</f>
        <v>0.651391251305798</v>
      </c>
      <c r="E86" s="0" t="n">
        <f aca="false">MC_Shocks!B73</f>
        <v>-0.315269244640346</v>
      </c>
      <c r="F86" s="0" t="n">
        <f aca="false">MC_Shocks!C73</f>
        <v>0.758969220493267</v>
      </c>
      <c r="G86" s="0" t="n">
        <f aca="false">$B$3*D86</f>
        <v>0.0095954627899289</v>
      </c>
      <c r="H86" s="0" t="n">
        <f aca="false">$B$4*D86+$C$4*E86</f>
        <v>0.00288972316611535</v>
      </c>
      <c r="I86" s="0" t="n">
        <f aca="false">$B$5*D86+$C$5*E86+$D$5*F86</f>
        <v>0.0123714407653424</v>
      </c>
      <c r="J86" s="0" t="n">
        <f aca="false">SUMPRODUCT(G86:I86,Inputs!$B$4:$D$4)*Inputs!$B$2</f>
        <v>8416.53429540888</v>
      </c>
    </row>
    <row r="87" customFormat="false" ht="15" hidden="false" customHeight="false" outlineLevel="0" collapsed="false">
      <c r="D87" s="0" t="n">
        <f aca="false">MC_Shocks!A74</f>
        <v>-0.772825214537572</v>
      </c>
      <c r="E87" s="0" t="n">
        <f aca="false">MC_Shocks!B74</f>
        <v>-0.236818606740009</v>
      </c>
      <c r="F87" s="0" t="n">
        <f aca="false">MC_Shocks!C74</f>
        <v>-0.485363547829104</v>
      </c>
      <c r="G87" s="0" t="n">
        <f aca="false">$B$3*D87</f>
        <v>-0.0113842726231716</v>
      </c>
      <c r="H87" s="0" t="n">
        <f aca="false">$B$4*D87+$C$4*E87</f>
        <v>-0.011077052283793</v>
      </c>
      <c r="I87" s="0" t="n">
        <f aca="false">$B$5*D87+$C$5*E87+$D$5*F87</f>
        <v>-0.0133280379067045</v>
      </c>
      <c r="J87" s="0" t="n">
        <f aca="false">SUMPRODUCT(G87:I87,Inputs!$B$4:$D$4)*Inputs!$B$2</f>
        <v>-11875.2361064179</v>
      </c>
    </row>
    <row r="88" customFormat="false" ht="15" hidden="false" customHeight="false" outlineLevel="0" collapsed="false">
      <c r="D88" s="0" t="n">
        <f aca="false">MC_Shocks!A75</f>
        <v>0.0818741393863226</v>
      </c>
      <c r="E88" s="0" t="n">
        <f aca="false">MC_Shocks!B75</f>
        <v>2.31465856667351</v>
      </c>
      <c r="F88" s="0" t="n">
        <f aca="false">MC_Shocks!C75</f>
        <v>-1.86726519259175</v>
      </c>
      <c r="G88" s="0" t="n">
        <f aca="false">$B$3*D88</f>
        <v>0.00120606510505634</v>
      </c>
      <c r="H88" s="0" t="n">
        <f aca="false">$B$4*D88+$C$4*E88</f>
        <v>0.0298413236286999</v>
      </c>
      <c r="I88" s="0" t="n">
        <f aca="false">$B$5*D88+$C$5*E88+$D$5*F88</f>
        <v>-0.00682569685102745</v>
      </c>
      <c r="J88" s="0" t="n">
        <f aca="false">SUMPRODUCT(G88:I88,Inputs!$B$4:$D$4)*Inputs!$B$2</f>
        <v>7387.11407532426</v>
      </c>
    </row>
    <row r="89" customFormat="false" ht="15" hidden="false" customHeight="false" outlineLevel="0" collapsed="false">
      <c r="D89" s="0" t="n">
        <f aca="false">MC_Shocks!A76</f>
        <v>0.686260190374514</v>
      </c>
      <c r="E89" s="0" t="n">
        <f aca="false">MC_Shocks!B76</f>
        <v>-1.61271587118965</v>
      </c>
      <c r="F89" s="0" t="n">
        <f aca="false">MC_Shocks!C76</f>
        <v>-0.471931865789434</v>
      </c>
      <c r="G89" s="0" t="n">
        <f aca="false">$B$3*D89</f>
        <v>0.0101091074031893</v>
      </c>
      <c r="H89" s="0" t="n">
        <f aca="false">$B$4*D89+$C$4*E89</f>
        <v>-0.0129896686575644</v>
      </c>
      <c r="I89" s="0" t="n">
        <f aca="false">$B$5*D89+$C$5*E89+$D$5*F89</f>
        <v>-0.00289868271087151</v>
      </c>
      <c r="J89" s="0" t="n">
        <f aca="false">SUMPRODUCT(G89:I89,Inputs!$B$4:$D$4)*Inputs!$B$2</f>
        <v>-722.862449255066</v>
      </c>
    </row>
    <row r="90" customFormat="false" ht="15" hidden="false" customHeight="false" outlineLevel="0" collapsed="false">
      <c r="D90" s="0" t="n">
        <f aca="false">MC_Shocks!A77</f>
        <v>1.08895059696737</v>
      </c>
      <c r="E90" s="0" t="n">
        <f aca="false">MC_Shocks!B77</f>
        <v>0.0642800190954628</v>
      </c>
      <c r="F90" s="0" t="n">
        <f aca="false">MC_Shocks!C77</f>
        <v>-1.07774477792931</v>
      </c>
      <c r="G90" s="0" t="n">
        <f aca="false">$B$3*D90</f>
        <v>0.0160410274352394</v>
      </c>
      <c r="H90" s="0" t="n">
        <f aca="false">$B$4*D90+$C$4*E90</f>
        <v>0.0122348481199271</v>
      </c>
      <c r="I90" s="0" t="n">
        <f aca="false">$B$5*D90+$C$5*E90+$D$5*F90</f>
        <v>0.00233900435651557</v>
      </c>
      <c r="J90" s="0" t="n">
        <f aca="false">SUMPRODUCT(G90:I90,Inputs!$B$4:$D$4)*Inputs!$B$2</f>
        <v>10788.5667170286</v>
      </c>
    </row>
    <row r="91" customFormat="false" ht="15" hidden="false" customHeight="false" outlineLevel="0" collapsed="false">
      <c r="D91" s="0" t="n">
        <f aca="false">MC_Shocks!A78</f>
        <v>-0.715303709259968</v>
      </c>
      <c r="E91" s="0" t="n">
        <f aca="false">MC_Shocks!B78</f>
        <v>0.679597748934676</v>
      </c>
      <c r="F91" s="0" t="n">
        <f aca="false">MC_Shocks!C78</f>
        <v>-0.730366631717137</v>
      </c>
      <c r="G91" s="0" t="n">
        <f aca="false">$B$3*D91</f>
        <v>-0.0105369393769766</v>
      </c>
      <c r="H91" s="0" t="n">
        <f aca="false">$B$4*D91+$C$4*E91</f>
        <v>0.00100120370423823</v>
      </c>
      <c r="I91" s="0" t="n">
        <f aca="false">$B$5*D91+$C$5*E91+$D$5*F91</f>
        <v>-0.0114343882272263</v>
      </c>
      <c r="J91" s="0" t="n">
        <f aca="false">SUMPRODUCT(G91:I91,Inputs!$B$4:$D$4)*Inputs!$B$2</f>
        <v>-7344.73110768707</v>
      </c>
    </row>
    <row r="92" customFormat="false" ht="15" hidden="false" customHeight="false" outlineLevel="0" collapsed="false">
      <c r="D92" s="0" t="n">
        <f aca="false">MC_Shocks!A79</f>
        <v>0.216458589581975</v>
      </c>
      <c r="E92" s="0" t="n">
        <f aca="false">MC_Shocks!B79</f>
        <v>0.0455718399038138</v>
      </c>
      <c r="F92" s="0" t="n">
        <f aca="false">MC_Shocks!C79</f>
        <v>-0.651600347605817</v>
      </c>
      <c r="G92" s="0" t="n">
        <f aca="false">$B$3*D92</f>
        <v>0.00318859109288108</v>
      </c>
      <c r="H92" s="0" t="n">
        <f aca="false">$B$4*D92+$C$4*E92</f>
        <v>0.00284262990223926</v>
      </c>
      <c r="I92" s="0" t="n">
        <f aca="false">$B$5*D92+$C$5*E92+$D$5*F92</f>
        <v>-0.00324375362630855</v>
      </c>
      <c r="J92" s="0" t="n">
        <f aca="false">SUMPRODUCT(G92:I92,Inputs!$B$4:$D$4)*Inputs!$B$2</f>
        <v>1155.09931993164</v>
      </c>
    </row>
    <row r="93" customFormat="false" ht="15" hidden="false" customHeight="false" outlineLevel="0" collapsed="false">
      <c r="D93" s="0" t="n">
        <f aca="false">MC_Shocks!A80</f>
        <v>2.14394408932533</v>
      </c>
      <c r="E93" s="0" t="n">
        <f aca="false">MC_Shocks!B80</f>
        <v>0.633919022318011</v>
      </c>
      <c r="F93" s="0" t="n">
        <f aca="false">MC_Shocks!C80</f>
        <v>-2.02514258665761</v>
      </c>
      <c r="G93" s="0" t="n">
        <f aca="false">$B$3*D93</f>
        <v>0.0315818422362438</v>
      </c>
      <c r="H93" s="0" t="n">
        <f aca="false">$B$4*D93+$C$4*E93</f>
        <v>0.030440893699601</v>
      </c>
      <c r="I93" s="0" t="n">
        <f aca="false">$B$5*D93+$C$5*E93+$D$5*F93</f>
        <v>0.00735171530949361</v>
      </c>
      <c r="J93" s="0" t="n">
        <f aca="false">SUMPRODUCT(G93:I93,Inputs!$B$4:$D$4)*Inputs!$B$2</f>
        <v>23970.5195972259</v>
      </c>
    </row>
    <row r="94" customFormat="false" ht="15" hidden="false" customHeight="false" outlineLevel="0" collapsed="false">
      <c r="D94" s="0" t="n">
        <f aca="false">MC_Shocks!A81</f>
        <v>0.186454314769428</v>
      </c>
      <c r="E94" s="0" t="n">
        <f aca="false">MC_Shocks!B81</f>
        <v>-0.661786464768388</v>
      </c>
      <c r="F94" s="0" t="n">
        <f aca="false">MC_Shocks!C81</f>
        <v>0.852433334796224</v>
      </c>
      <c r="G94" s="0" t="n">
        <f aca="false">$B$3*D94</f>
        <v>0.0027466064915751</v>
      </c>
      <c r="H94" s="0" t="n">
        <f aca="false">$B$4*D94+$C$4*E94</f>
        <v>-0.00632917055839019</v>
      </c>
      <c r="I94" s="0" t="n">
        <f aca="false">$B$5*D94+$C$5*E94+$D$5*F94</f>
        <v>0.00696614373472494</v>
      </c>
      <c r="J94" s="0" t="n">
        <f aca="false">SUMPRODUCT(G94:I94,Inputs!$B$4:$D$4)*Inputs!$B$2</f>
        <v>1289.73454953047</v>
      </c>
    </row>
    <row r="95" customFormat="false" ht="15" hidden="false" customHeight="false" outlineLevel="0" collapsed="false">
      <c r="D95" s="0" t="n">
        <f aca="false">MC_Shocks!A82</f>
        <v>-0.792520738432701</v>
      </c>
      <c r="E95" s="0" t="n">
        <f aca="false">MC_Shocks!B82</f>
        <v>-0.114736441466899</v>
      </c>
      <c r="F95" s="0" t="n">
        <f aca="false">MC_Shocks!C82</f>
        <v>0.504987278980457</v>
      </c>
      <c r="G95" s="0" t="n">
        <f aca="false">$B$3*D95</f>
        <v>-0.0116744018907739</v>
      </c>
      <c r="H95" s="0" t="n">
        <f aca="false">$B$4*D95+$C$4*E95</f>
        <v>-0.00975518686061722</v>
      </c>
      <c r="I95" s="0" t="n">
        <f aca="false">$B$5*D95+$C$5*E95+$D$5*F95</f>
        <v>-0.00440407426316782</v>
      </c>
      <c r="J95" s="0" t="n">
        <f aca="false">SUMPRODUCT(G95:I95,Inputs!$B$4:$D$4)*Inputs!$B$2</f>
        <v>-8917.53909344505</v>
      </c>
    </row>
    <row r="96" customFormat="false" ht="15" hidden="false" customHeight="false" outlineLevel="0" collapsed="false">
      <c r="D96" s="0" t="n">
        <f aca="false">MC_Shocks!A83</f>
        <v>0.865755194170122</v>
      </c>
      <c r="E96" s="0" t="n">
        <f aca="false">MC_Shocks!B83</f>
        <v>-1.20029640705578</v>
      </c>
      <c r="F96" s="0" t="n">
        <f aca="false">MC_Shocks!C83</f>
        <v>-0.334501235840948</v>
      </c>
      <c r="G96" s="0" t="n">
        <f aca="false">$B$3*D96</f>
        <v>0.0127531982264023</v>
      </c>
      <c r="H96" s="0" t="n">
        <f aca="false">$B$4*D96+$C$4*E96</f>
        <v>-0.00594170536055274</v>
      </c>
      <c r="I96" s="0" t="n">
        <f aca="false">$B$5*D96+$C$5*E96+$D$5*F96</f>
        <v>0.00175114730989851</v>
      </c>
      <c r="J96" s="0" t="n">
        <f aca="false">SUMPRODUCT(G96:I96,Inputs!$B$4:$D$4)*Inputs!$B$2</f>
        <v>3844.11187536465</v>
      </c>
    </row>
    <row r="97" customFormat="false" ht="15" hidden="false" customHeight="false" outlineLevel="0" collapsed="false">
      <c r="D97" s="0" t="n">
        <f aca="false">MC_Shocks!A84</f>
        <v>-0.474945311160956</v>
      </c>
      <c r="E97" s="0" t="n">
        <f aca="false">MC_Shocks!B84</f>
        <v>-0.653329232573712</v>
      </c>
      <c r="F97" s="0" t="n">
        <f aca="false">MC_Shocks!C84</f>
        <v>1.7654542402811</v>
      </c>
      <c r="G97" s="0" t="n">
        <f aca="false">$B$3*D97</f>
        <v>-0.00699628687269045</v>
      </c>
      <c r="H97" s="0" t="n">
        <f aca="false">$B$4*D97+$C$4*E97</f>
        <v>-0.0131655521418861</v>
      </c>
      <c r="I97" s="0" t="n">
        <f aca="false">$B$5*D97+$C$5*E97+$D$5*F97</f>
        <v>0.00798717770842389</v>
      </c>
      <c r="J97" s="0" t="n">
        <f aca="false">SUMPRODUCT(G97:I97,Inputs!$B$4:$D$4)*Inputs!$B$2</f>
        <v>-4352.02707911483</v>
      </c>
    </row>
    <row r="98" customFormat="false" ht="15" hidden="false" customHeight="false" outlineLevel="0" collapsed="false">
      <c r="D98" s="0" t="n">
        <f aca="false">MC_Shocks!A85</f>
        <v>0.404981710960956</v>
      </c>
      <c r="E98" s="0" t="n">
        <f aca="false">MC_Shocks!B85</f>
        <v>-1.26088395433505</v>
      </c>
      <c r="F98" s="0" t="n">
        <f aca="false">MC_Shocks!C85</f>
        <v>0.917861947054776</v>
      </c>
      <c r="G98" s="0" t="n">
        <f aca="false">$B$3*D98</f>
        <v>0.00596567259744067</v>
      </c>
      <c r="H98" s="0" t="n">
        <f aca="false">$B$4*D98+$C$4*E98</f>
        <v>-0.0115367596665456</v>
      </c>
      <c r="I98" s="0" t="n">
        <f aca="false">$B$5*D98+$C$5*E98+$D$5*F98</f>
        <v>0.0076124908490993</v>
      </c>
      <c r="J98" s="0" t="n">
        <f aca="false">SUMPRODUCT(G98:I98,Inputs!$B$4:$D$4)*Inputs!$B$2</f>
        <v>1208.98839374238</v>
      </c>
    </row>
    <row r="99" customFormat="false" ht="15" hidden="false" customHeight="false" outlineLevel="0" collapsed="false">
      <c r="D99" s="0" t="n">
        <f aca="false">MC_Shocks!A86</f>
        <v>2.12215619701263</v>
      </c>
      <c r="E99" s="0" t="n">
        <f aca="false">MC_Shocks!B86</f>
        <v>1.03246526055115</v>
      </c>
      <c r="F99" s="0" t="n">
        <f aca="false">MC_Shocks!C86</f>
        <v>-1.51936996595401</v>
      </c>
      <c r="G99" s="0" t="n">
        <f aca="false">$B$3*D99</f>
        <v>0.0312608908732368</v>
      </c>
      <c r="H99" s="0" t="n">
        <f aca="false">$B$4*D99+$C$4*E99</f>
        <v>0.0352024161074316</v>
      </c>
      <c r="I99" s="0" t="n">
        <f aca="false">$B$5*D99+$C$5*E99+$D$5*F99</f>
        <v>0.0130433658979423</v>
      </c>
      <c r="J99" s="0" t="n">
        <f aca="false">SUMPRODUCT(G99:I99,Inputs!$B$4:$D$4)*Inputs!$B$2</f>
        <v>26978.0909509069</v>
      </c>
    </row>
    <row r="100" customFormat="false" ht="15" hidden="false" customHeight="false" outlineLevel="0" collapsed="false">
      <c r="D100" s="0" t="n">
        <f aca="false">MC_Shocks!A87</f>
        <v>-0.484234072866251</v>
      </c>
      <c r="E100" s="0" t="n">
        <f aca="false">MC_Shocks!B87</f>
        <v>1.26691114918662</v>
      </c>
      <c r="F100" s="0" t="n">
        <f aca="false">MC_Shocks!C87</f>
        <v>-0.707669465618781</v>
      </c>
      <c r="G100" s="0" t="n">
        <f aca="false">$B$3*D100</f>
        <v>-0.00713311702987939</v>
      </c>
      <c r="H100" s="0" t="n">
        <f aca="false">$B$4*D100+$C$4*E100</f>
        <v>0.0107803667555585</v>
      </c>
      <c r="I100" s="0" t="n">
        <f aca="false">$B$5*D100+$C$5*E100+$D$5*F100</f>
        <v>-0.00658843839490246</v>
      </c>
      <c r="J100" s="0" t="n">
        <f aca="false">SUMPRODUCT(G100:I100,Inputs!$B$4:$D$4)*Inputs!$B$2</f>
        <v>-1595.66830375493</v>
      </c>
    </row>
    <row r="101" customFormat="false" ht="15" hidden="false" customHeight="false" outlineLevel="0" collapsed="false">
      <c r="D101" s="0" t="n">
        <f aca="false">MC_Shocks!A88</f>
        <v>0.443819428146228</v>
      </c>
      <c r="E101" s="0" t="n">
        <f aca="false">MC_Shocks!B88</f>
        <v>0.774634053429337</v>
      </c>
      <c r="F101" s="0" t="n">
        <f aca="false">MC_Shocks!C88</f>
        <v>-0.926930471578083</v>
      </c>
      <c r="G101" s="0" t="n">
        <f aca="false">$B$3*D101</f>
        <v>0.00653778017387805</v>
      </c>
      <c r="H101" s="0" t="n">
        <f aca="false">$B$4*D101+$C$4*E101</f>
        <v>0.0143577074712589</v>
      </c>
      <c r="I101" s="0" t="n">
        <f aca="false">$B$5*D101+$C$5*E101+$D$5*F101</f>
        <v>-0.000517291006328018</v>
      </c>
      <c r="J101" s="0" t="n">
        <f aca="false">SUMPRODUCT(G101:I101,Inputs!$B$4:$D$4)*Inputs!$B$2</f>
        <v>6767.23700903049</v>
      </c>
    </row>
    <row r="102" customFormat="false" ht="15" hidden="false" customHeight="false" outlineLevel="0" collapsed="false">
      <c r="D102" s="0" t="n">
        <f aca="false">MC_Shocks!A89</f>
        <v>-0.0595253560618001</v>
      </c>
      <c r="E102" s="0" t="n">
        <f aca="false">MC_Shocks!B89</f>
        <v>-3.24126734006907</v>
      </c>
      <c r="F102" s="0" t="n">
        <f aca="false">MC_Shocks!C89</f>
        <v>-1.02438764133429</v>
      </c>
      <c r="G102" s="0" t="n">
        <f aca="false">$B$3*D102</f>
        <v>-0.000876851413038294</v>
      </c>
      <c r="H102" s="0" t="n">
        <f aca="false">$B$4*D102+$C$4*E102</f>
        <v>-0.0412088536818107</v>
      </c>
      <c r="I102" s="0" t="n">
        <f aca="false">$B$5*D102+$C$5*E102+$D$5*F102</f>
        <v>-0.0217375222897189</v>
      </c>
      <c r="J102" s="0" t="n">
        <f aca="false">SUMPRODUCT(G102:I102,Inputs!$B$4:$D$4)*Inputs!$B$2</f>
        <v>-19234.6533566742</v>
      </c>
    </row>
    <row r="103" customFormat="false" ht="15" hidden="false" customHeight="false" outlineLevel="0" collapsed="false">
      <c r="D103" s="0" t="n">
        <f aca="false">MC_Shocks!A90</f>
        <v>-0.25256815139316</v>
      </c>
      <c r="E103" s="0" t="n">
        <f aca="false">MC_Shocks!B90</f>
        <v>-1.24778318196485</v>
      </c>
      <c r="F103" s="0" t="n">
        <f aca="false">MC_Shocks!C90</f>
        <v>1.63241130393164</v>
      </c>
      <c r="G103" s="0" t="n">
        <f aca="false">$B$3*D103</f>
        <v>-0.00372051097363676</v>
      </c>
      <c r="H103" s="0" t="n">
        <f aca="false">$B$4*D103+$C$4*E103</f>
        <v>-0.0182745908477289</v>
      </c>
      <c r="I103" s="0" t="n">
        <f aca="false">$B$5*D103+$C$5*E103+$D$5*F103</f>
        <v>0.00695304778773811</v>
      </c>
      <c r="J103" s="0" t="n">
        <f aca="false">SUMPRODUCT(G103:I103,Inputs!$B$4:$D$4)*Inputs!$B$2</f>
        <v>-4884.66730745193</v>
      </c>
    </row>
    <row r="104" customFormat="false" ht="15" hidden="false" customHeight="false" outlineLevel="0" collapsed="false">
      <c r="D104" s="0" t="n">
        <f aca="false">MC_Shocks!A91</f>
        <v>-1.43014137796063</v>
      </c>
      <c r="E104" s="0" t="n">
        <f aca="false">MC_Shocks!B91</f>
        <v>-0.440044486696984</v>
      </c>
      <c r="F104" s="0" t="n">
        <f aca="false">MC_Shocks!C91</f>
        <v>0.130740577286091</v>
      </c>
      <c r="G104" s="0" t="n">
        <f aca="false">$B$3*D104</f>
        <v>-0.0210670136404958</v>
      </c>
      <c r="H104" s="0" t="n">
        <f aca="false">$B$4*D104+$C$4*E104</f>
        <v>-0.0205210663047753</v>
      </c>
      <c r="I104" s="0" t="n">
        <f aca="false">$B$5*D104+$C$5*E104+$D$5*F104</f>
        <v>-0.0156571707487611</v>
      </c>
      <c r="J104" s="0" t="n">
        <f aca="false">SUMPRODUCT(G104:I104,Inputs!$B$4:$D$4)*Inputs!$B$2</f>
        <v>-19280.2765722593</v>
      </c>
    </row>
    <row r="105" customFormat="false" ht="15" hidden="false" customHeight="false" outlineLevel="0" collapsed="false">
      <c r="D105" s="0" t="n">
        <f aca="false">MC_Shocks!A92</f>
        <v>1.44127328906612</v>
      </c>
      <c r="E105" s="0" t="n">
        <f aca="false">MC_Shocks!B92</f>
        <v>-1.43586215117944</v>
      </c>
      <c r="F105" s="0" t="n">
        <f aca="false">MC_Shocks!C92</f>
        <v>1.16316375215496</v>
      </c>
      <c r="G105" s="0" t="n">
        <f aca="false">$B$3*D105</f>
        <v>0.0212309947172747</v>
      </c>
      <c r="H105" s="0" t="n">
        <f aca="false">$B$4*D105+$C$4*E105</f>
        <v>-0.00285040145346788</v>
      </c>
      <c r="I105" s="0" t="n">
        <f aca="false">$B$5*D105+$C$5*E105+$D$5*F105</f>
        <v>0.0200880456754079</v>
      </c>
      <c r="J105" s="0" t="n">
        <f aca="false">SUMPRODUCT(G105:I105,Inputs!$B$4:$D$4)*Inputs!$B$2</f>
        <v>13663.6911534919</v>
      </c>
    </row>
    <row r="106" customFormat="false" ht="15" hidden="false" customHeight="false" outlineLevel="0" collapsed="false">
      <c r="D106" s="0" t="n">
        <f aca="false">MC_Shocks!A93</f>
        <v>0.0102330610195871</v>
      </c>
      <c r="E106" s="0" t="n">
        <f aca="false">MC_Shocks!B93</f>
        <v>-0.981508651047951</v>
      </c>
      <c r="F106" s="0" t="n">
        <f aca="false">MC_Shocks!C93</f>
        <v>0.462103474263271</v>
      </c>
      <c r="G106" s="0" t="n">
        <f aca="false">$B$3*D106</f>
        <v>0.000150740366935667</v>
      </c>
      <c r="H106" s="0" t="n">
        <f aca="false">$B$4*D106+$C$4*E106</f>
        <v>-0.0121821046443546</v>
      </c>
      <c r="I106" s="0" t="n">
        <f aca="false">$B$5*D106+$C$5*E106+$D$5*F106</f>
        <v>0.000482540851350815</v>
      </c>
      <c r="J106" s="0" t="n">
        <f aca="false">SUMPRODUCT(G106:I106,Inputs!$B$4:$D$4)*Inputs!$B$2</f>
        <v>-3449.57299112686</v>
      </c>
    </row>
    <row r="107" customFormat="false" ht="15" hidden="false" customHeight="false" outlineLevel="0" collapsed="false">
      <c r="D107" s="0" t="n">
        <f aca="false">MC_Shocks!A94</f>
        <v>0.19905969557347</v>
      </c>
      <c r="E107" s="0" t="n">
        <f aca="false">MC_Shocks!B94</f>
        <v>-0.600216877158795</v>
      </c>
      <c r="F107" s="0" t="n">
        <f aca="false">MC_Shocks!C94</f>
        <v>0.0698020849900189</v>
      </c>
      <c r="G107" s="0" t="n">
        <f aca="false">$B$3*D107</f>
        <v>0.00293229283939694</v>
      </c>
      <c r="H107" s="0" t="n">
        <f aca="false">$B$4*D107+$C$4*E107</f>
        <v>-0.00542594460452435</v>
      </c>
      <c r="I107" s="0" t="n">
        <f aca="false">$B$5*D107+$C$5*E107+$D$5*F107</f>
        <v>0.000474169200776326</v>
      </c>
      <c r="J107" s="0" t="n">
        <f aca="false">SUMPRODUCT(G107:I107,Inputs!$B$4:$D$4)*Inputs!$B$2</f>
        <v>-312.615485365631</v>
      </c>
    </row>
    <row r="108" customFormat="false" ht="15" hidden="false" customHeight="false" outlineLevel="0" collapsed="false">
      <c r="D108" s="0" t="n">
        <f aca="false">MC_Shocks!A95</f>
        <v>-0.38531359686176</v>
      </c>
      <c r="E108" s="0" t="n">
        <f aca="false">MC_Shocks!B95</f>
        <v>0.113517345251248</v>
      </c>
      <c r="F108" s="0" t="n">
        <f aca="false">MC_Shocks!C95</f>
        <v>0.662130674521047</v>
      </c>
      <c r="G108" s="0" t="n">
        <f aca="false">$B$3*D108</f>
        <v>-0.0056759470958952</v>
      </c>
      <c r="H108" s="0" t="n">
        <f aca="false">$B$4*D108+$C$4*E108</f>
        <v>-0.00262302647154728</v>
      </c>
      <c r="I108" s="0" t="n">
        <f aca="false">$B$5*D108+$C$5*E108+$D$5*F108</f>
        <v>0.00214214530201931</v>
      </c>
      <c r="J108" s="0" t="n">
        <f aca="false">SUMPRODUCT(G108:I108,Inputs!$B$4:$D$4)*Inputs!$B$2</f>
        <v>-2414.64318921647</v>
      </c>
    </row>
    <row r="109" customFormat="false" ht="15" hidden="false" customHeight="false" outlineLevel="0" collapsed="false">
      <c r="D109" s="0" t="n">
        <f aca="false">MC_Shocks!A96</f>
        <v>1.58601681614535</v>
      </c>
      <c r="E109" s="0" t="n">
        <f aca="false">MC_Shocks!B96</f>
        <v>-1.23781549882685</v>
      </c>
      <c r="F109" s="0" t="n">
        <f aca="false">MC_Shocks!C96</f>
        <v>2.13303337465627</v>
      </c>
      <c r="G109" s="0" t="n">
        <f aca="false">$B$3*D109</f>
        <v>0.0233631712323686</v>
      </c>
      <c r="H109" s="0" t="n">
        <f aca="false">$B$4*D109+$C$4*E109</f>
        <v>0.00114862685127391</v>
      </c>
      <c r="I109" s="0" t="n">
        <f aca="false">$B$5*D109+$C$5*E109+$D$5*F109</f>
        <v>0.03085951351349</v>
      </c>
      <c r="J109" s="0" t="n">
        <f aca="false">SUMPRODUCT(G109:I109,Inputs!$B$4:$D$4)*Inputs!$B$2</f>
        <v>18947.7106023766</v>
      </c>
    </row>
    <row r="110" customFormat="false" ht="15" hidden="false" customHeight="false" outlineLevel="0" collapsed="false">
      <c r="D110" s="0" t="n">
        <f aca="false">MC_Shocks!A97</f>
        <v>-1.9520877995225</v>
      </c>
      <c r="E110" s="0" t="n">
        <f aca="false">MC_Shocks!B97</f>
        <v>-0.151785095035583</v>
      </c>
      <c r="F110" s="0" t="n">
        <f aca="false">MC_Shocks!C97</f>
        <v>0.588317206484577</v>
      </c>
      <c r="G110" s="0" t="n">
        <f aca="false">$B$3*D110</f>
        <v>-0.0287556607575605</v>
      </c>
      <c r="H110" s="0" t="n">
        <f aca="false">$B$4*D110+$C$4*E110</f>
        <v>-0.0223902841946116</v>
      </c>
      <c r="I110" s="0" t="n">
        <f aca="false">$B$5*D110+$C$5*E110+$D$5*F110</f>
        <v>-0.0161007680547044</v>
      </c>
      <c r="J110" s="0" t="n">
        <f aca="false">SUMPRODUCT(G110:I110,Inputs!$B$4:$D$4)*Inputs!$B$2</f>
        <v>-23049.579977819</v>
      </c>
    </row>
    <row r="111" customFormat="false" ht="15" hidden="false" customHeight="false" outlineLevel="0" collapsed="false">
      <c r="D111" s="0" t="n">
        <f aca="false">MC_Shocks!A98</f>
        <v>0.280991867735033</v>
      </c>
      <c r="E111" s="0" t="n">
        <f aca="false">MC_Shocks!B98</f>
        <v>-0.622699519820594</v>
      </c>
      <c r="F111" s="0" t="n">
        <f aca="false">MC_Shocks!C98</f>
        <v>-0.208122250357275</v>
      </c>
      <c r="G111" s="0" t="n">
        <f aca="false">$B$3*D111</f>
        <v>0.00413921280907466</v>
      </c>
      <c r="H111" s="0" t="n">
        <f aca="false">$B$4*D111+$C$4*E111</f>
        <v>-0.00484746290368772</v>
      </c>
      <c r="I111" s="0" t="n">
        <f aca="false">$B$5*D111+$C$5*E111+$D$5*F111</f>
        <v>-0.00117642812855057</v>
      </c>
      <c r="J111" s="0" t="n">
        <f aca="false">SUMPRODUCT(G111:I111,Inputs!$B$4:$D$4)*Inputs!$B$2</f>
        <v>-151.482186041625</v>
      </c>
    </row>
    <row r="112" customFormat="false" ht="15" hidden="false" customHeight="false" outlineLevel="0" collapsed="false">
      <c r="D112" s="0" t="n">
        <f aca="false">MC_Shocks!A99</f>
        <v>-0.493000934658833</v>
      </c>
      <c r="E112" s="0" t="n">
        <f aca="false">MC_Shocks!B99</f>
        <v>-0.589364756944212</v>
      </c>
      <c r="F112" s="0" t="n">
        <f aca="false">MC_Shocks!C99</f>
        <v>0.849602097021025</v>
      </c>
      <c r="G112" s="0" t="n">
        <f aca="false">$B$3*D112</f>
        <v>-0.00726225922506014</v>
      </c>
      <c r="H112" s="0" t="n">
        <f aca="false">$B$4*D112+$C$4*E112</f>
        <v>-0.0125541679948824</v>
      </c>
      <c r="I112" s="0" t="n">
        <f aca="false">$B$5*D112+$C$5*E112+$D$5*F112</f>
        <v>1.2206565354618E-005</v>
      </c>
      <c r="J112" s="0" t="n">
        <f aca="false">SUMPRODUCT(G112:I112,Inputs!$B$4:$D$4)*Inputs!$B$2</f>
        <v>-6667.49211888238</v>
      </c>
    </row>
    <row r="113" customFormat="false" ht="15" hidden="false" customHeight="false" outlineLevel="0" collapsed="false">
      <c r="D113" s="0" t="n">
        <f aca="false">MC_Shocks!A100</f>
        <v>0.357015485965047</v>
      </c>
      <c r="E113" s="0" t="n">
        <f aca="false">MC_Shocks!B100</f>
        <v>-0.692909595260654</v>
      </c>
      <c r="F113" s="0" t="n">
        <f aca="false">MC_Shocks!C100</f>
        <v>0.899599875433251</v>
      </c>
      <c r="G113" s="0" t="n">
        <f aca="false">$B$3*D113</f>
        <v>0.00525909551922701</v>
      </c>
      <c r="H113" s="0" t="n">
        <f aca="false">$B$4*D113+$C$4*E113</f>
        <v>-0.00492859674045835</v>
      </c>
      <c r="I113" s="0" t="n">
        <f aca="false">$B$5*D113+$C$5*E113+$D$5*F113</f>
        <v>0.00907027836992107</v>
      </c>
      <c r="J113" s="0" t="n">
        <f aca="false">SUMPRODUCT(G113:I113,Inputs!$B$4:$D$4)*Inputs!$B$2</f>
        <v>3346.14269652962</v>
      </c>
    </row>
    <row r="114" customFormat="false" ht="15" hidden="false" customHeight="false" outlineLevel="0" collapsed="false">
      <c r="D114" s="0" t="n">
        <f aca="false">MC_Shocks!A101</f>
        <v>0.307299520876609</v>
      </c>
      <c r="E114" s="0" t="n">
        <f aca="false">MC_Shocks!B101</f>
        <v>0.81286211883896</v>
      </c>
      <c r="F114" s="0" t="n">
        <f aca="false">MC_Shocks!C101</f>
        <v>0.629628841923612</v>
      </c>
      <c r="G114" s="0" t="n">
        <f aca="false">$B$3*D114</f>
        <v>0.00452674350787406</v>
      </c>
      <c r="H114" s="0" t="n">
        <f aca="false">$B$4*D114+$C$4*E114</f>
        <v>0.0134034035263245</v>
      </c>
      <c r="I114" s="0" t="n">
        <f aca="false">$B$5*D114+$C$5*E114+$D$5*F114</f>
        <v>0.01181490406761</v>
      </c>
      <c r="J114" s="0" t="n">
        <f aca="false">SUMPRODUCT(G114:I114,Inputs!$B$4:$D$4)*Inputs!$B$2</f>
        <v>9376.18968132996</v>
      </c>
    </row>
    <row r="115" customFormat="false" ht="15" hidden="false" customHeight="false" outlineLevel="0" collapsed="false">
      <c r="D115" s="0" t="n">
        <f aca="false">MC_Shocks!A102</f>
        <v>-0.828995010922072</v>
      </c>
      <c r="E115" s="0" t="n">
        <f aca="false">MC_Shocks!B102</f>
        <v>-0.56018104019697</v>
      </c>
      <c r="F115" s="0" t="n">
        <f aca="false">MC_Shocks!C102</f>
        <v>0.747293605123262</v>
      </c>
      <c r="G115" s="0" t="n">
        <f aca="false">$B$3*D115</f>
        <v>-0.0122116942227785</v>
      </c>
      <c r="H115" s="0" t="n">
        <f aca="false">$B$4*D115+$C$4*E115</f>
        <v>-0.0157154652244031</v>
      </c>
      <c r="I115" s="0" t="n">
        <f aca="false">$B$5*D115+$C$5*E115+$D$5*F115</f>
        <v>-0.00433534581296273</v>
      </c>
      <c r="J115" s="0" t="n">
        <f aca="false">SUMPRODUCT(G115:I115,Inputs!$B$4:$D$4)*Inputs!$B$2</f>
        <v>-10899.9210003211</v>
      </c>
    </row>
    <row r="116" customFormat="false" ht="15" hidden="false" customHeight="false" outlineLevel="0" collapsed="false">
      <c r="D116" s="0" t="n">
        <f aca="false">MC_Shocks!A103</f>
        <v>0.610370265433465</v>
      </c>
      <c r="E116" s="0" t="n">
        <f aca="false">MC_Shocks!B103</f>
        <v>-0.0209015939641481</v>
      </c>
      <c r="F116" s="0" t="n">
        <f aca="false">MC_Shocks!C103</f>
        <v>0.117327383308782</v>
      </c>
      <c r="G116" s="0" t="n">
        <f aca="false">$B$3*D116</f>
        <v>0.0089911940915773</v>
      </c>
      <c r="H116" s="0" t="n">
        <f aca="false">$B$4*D116+$C$4*E116</f>
        <v>0.00614494367692379</v>
      </c>
      <c r="I116" s="0" t="n">
        <f aca="false">$B$5*D116+$C$5*E116+$D$5*F116</f>
        <v>0.00741770386267022</v>
      </c>
      <c r="J116" s="0" t="n">
        <f aca="false">SUMPRODUCT(G116:I116,Inputs!$B$4:$D$4)*Inputs!$B$2</f>
        <v>7665.27189850912</v>
      </c>
    </row>
    <row r="117" customFormat="false" ht="15" hidden="false" customHeight="false" outlineLevel="0" collapsed="false">
      <c r="D117" s="0" t="n">
        <f aca="false">MC_Shocks!A104</f>
        <v>1.27766489578843</v>
      </c>
      <c r="E117" s="0" t="n">
        <f aca="false">MC_Shocks!B104</f>
        <v>-0.59157138883583</v>
      </c>
      <c r="F117" s="0" t="n">
        <f aca="false">MC_Shocks!C104</f>
        <v>0.547097381170038</v>
      </c>
      <c r="G117" s="0" t="n">
        <f aca="false">$B$3*D117</f>
        <v>0.0188209251213612</v>
      </c>
      <c r="H117" s="0" t="n">
        <f aca="false">$B$4*D117+$C$4*E117</f>
        <v>0.00600371223702657</v>
      </c>
      <c r="I117" s="0" t="n">
        <f aca="false">$B$5*D117+$C$5*E117+$D$5*F117</f>
        <v>0.016117787589233</v>
      </c>
      <c r="J117" s="0" t="n">
        <f aca="false">SUMPRODUCT(G117:I117,Inputs!$B$4:$D$4)*Inputs!$B$2</f>
        <v>14164.8199964224</v>
      </c>
    </row>
    <row r="118" customFormat="false" ht="15" hidden="false" customHeight="false" outlineLevel="0" collapsed="false">
      <c r="D118" s="0" t="n">
        <f aca="false">MC_Shocks!A105</f>
        <v>-0.202192652433894</v>
      </c>
      <c r="E118" s="0" t="n">
        <f aca="false">MC_Shocks!B105</f>
        <v>-0.21768120322722</v>
      </c>
      <c r="F118" s="0" t="n">
        <f aca="false">MC_Shocks!C105</f>
        <v>1.09877685198719</v>
      </c>
      <c r="G118" s="0" t="n">
        <f aca="false">$B$3*D118</f>
        <v>-0.00297844355283743</v>
      </c>
      <c r="H118" s="0" t="n">
        <f aca="false">$B$4*D118+$C$4*E118</f>
        <v>-0.00484787892613271</v>
      </c>
      <c r="I118" s="0" t="n">
        <f aca="false">$B$5*D118+$C$5*E118+$D$5*F118</f>
        <v>0.00666804888159424</v>
      </c>
      <c r="J118" s="0" t="n">
        <f aca="false">SUMPRODUCT(G118:I118,Inputs!$B$4:$D$4)*Inputs!$B$2</f>
        <v>-645.32643449651</v>
      </c>
    </row>
    <row r="119" customFormat="false" ht="15" hidden="false" customHeight="false" outlineLevel="0" collapsed="false">
      <c r="D119" s="0" t="n">
        <f aca="false">MC_Shocks!A106</f>
        <v>0.82541634898803</v>
      </c>
      <c r="E119" s="0" t="n">
        <f aca="false">MC_Shocks!B106</f>
        <v>0.813509636000639</v>
      </c>
      <c r="F119" s="0" t="n">
        <f aca="false">MC_Shocks!C106</f>
        <v>1.30547880715433</v>
      </c>
      <c r="G119" s="0" t="n">
        <f aca="false">$B$3*D119</f>
        <v>0.0121589779522467</v>
      </c>
      <c r="H119" s="0" t="n">
        <f aca="false">$B$4*D119+$C$4*E119</f>
        <v>0.0188498412092683</v>
      </c>
      <c r="I119" s="0" t="n">
        <f aca="false">$B$5*D119+$C$5*E119+$D$5*F119</f>
        <v>0.0232284391193716</v>
      </c>
      <c r="J119" s="0" t="n">
        <f aca="false">SUMPRODUCT(G119:I119,Inputs!$B$4:$D$4)*Inputs!$B$2</f>
        <v>17487.0752794907</v>
      </c>
    </row>
    <row r="120" customFormat="false" ht="15" hidden="false" customHeight="false" outlineLevel="0" collapsed="false">
      <c r="D120" s="0" t="n">
        <f aca="false">MC_Shocks!A107</f>
        <v>0.0210038416327591</v>
      </c>
      <c r="E120" s="0" t="n">
        <f aca="false">MC_Shocks!B107</f>
        <v>0.681952971294964</v>
      </c>
      <c r="F120" s="0" t="n">
        <f aca="false">MC_Shocks!C107</f>
        <v>-0.310266756593456</v>
      </c>
      <c r="G120" s="0" t="n">
        <f aca="false">$B$3*D120</f>
        <v>0.00030940173118488</v>
      </c>
      <c r="H120" s="0" t="n">
        <f aca="false">$B$4*D120+$C$4*E120</f>
        <v>0.0087592275277564</v>
      </c>
      <c r="I120" s="0" t="n">
        <f aca="false">$B$5*D120+$C$5*E120+$D$5*F120</f>
        <v>5.72911561032966E-005</v>
      </c>
      <c r="J120" s="0" t="n">
        <f aca="false">SUMPRODUCT(G120:I120,Inputs!$B$4:$D$4)*Inputs!$B$2</f>
        <v>2768.71629763186</v>
      </c>
    </row>
    <row r="121" customFormat="false" ht="15" hidden="false" customHeight="false" outlineLevel="0" collapsed="false">
      <c r="D121" s="0" t="n">
        <f aca="false">MC_Shocks!A108</f>
        <v>0.324166352488442</v>
      </c>
      <c r="E121" s="0" t="n">
        <f aca="false">MC_Shocks!B108</f>
        <v>-0.130143054367685</v>
      </c>
      <c r="F121" s="0" t="n">
        <f aca="false">MC_Shocks!C108</f>
        <v>0.0969959649927182</v>
      </c>
      <c r="G121" s="0" t="n">
        <f aca="false">$B$3*D121</f>
        <v>0.00477520409863407</v>
      </c>
      <c r="H121" s="0" t="n">
        <f aca="false">$B$4*D121+$C$4*E121</f>
        <v>0.00177303298178152</v>
      </c>
      <c r="I121" s="0" t="n">
        <f aca="false">$B$5*D121+$C$5*E121+$D$5*F121</f>
        <v>0.0037977586439596</v>
      </c>
      <c r="J121" s="0" t="n">
        <f aca="false">SUMPRODUCT(G121:I121,Inputs!$B$4:$D$4)*Inputs!$B$2</f>
        <v>3581.31912717596</v>
      </c>
    </row>
    <row r="122" customFormat="false" ht="15" hidden="false" customHeight="false" outlineLevel="0" collapsed="false">
      <c r="D122" s="0" t="n">
        <f aca="false">MC_Shocks!A109</f>
        <v>0.595157025436914</v>
      </c>
      <c r="E122" s="0" t="n">
        <f aca="false">MC_Shocks!B109</f>
        <v>-0.818220683233473</v>
      </c>
      <c r="F122" s="0" t="n">
        <f aca="false">MC_Shocks!C109</f>
        <v>2.09238727568546</v>
      </c>
      <c r="G122" s="0" t="n">
        <f aca="false">$B$3*D122</f>
        <v>0.0087670920975629</v>
      </c>
      <c r="H122" s="0" t="n">
        <f aca="false">$B$4*D122+$C$4*E122</f>
        <v>-0.00399800812499124</v>
      </c>
      <c r="I122" s="0" t="n">
        <f aca="false">$B$5*D122+$C$5*E122+$D$5*F122</f>
        <v>0.02157389213342</v>
      </c>
      <c r="J122" s="0" t="n">
        <f aca="false">SUMPRODUCT(G122:I122,Inputs!$B$4:$D$4)*Inputs!$B$2</f>
        <v>8779.6020415538</v>
      </c>
    </row>
    <row r="123" customFormat="false" ht="15" hidden="false" customHeight="false" outlineLevel="0" collapsed="false">
      <c r="D123" s="0" t="n">
        <f aca="false">MC_Shocks!A110</f>
        <v>-1.0060173814997</v>
      </c>
      <c r="E123" s="0" t="n">
        <f aca="false">MC_Shocks!B110</f>
        <v>-1.21418861278773</v>
      </c>
      <c r="F123" s="0" t="n">
        <f aca="false">MC_Shocks!C110</f>
        <v>1.15811087350007</v>
      </c>
      <c r="G123" s="0" t="n">
        <f aca="false">$B$3*D123</f>
        <v>-0.0148193613759027</v>
      </c>
      <c r="H123" s="0" t="n">
        <f aca="false">$B$4*D123+$C$4*E123</f>
        <v>-0.0257624105846603</v>
      </c>
      <c r="I123" s="0" t="n">
        <f aca="false">$B$5*D123+$C$5*E123+$D$5*F123</f>
        <v>-0.00506052301060111</v>
      </c>
      <c r="J123" s="0" t="n">
        <f aca="false">SUMPRODUCT(G123:I123,Inputs!$B$4:$D$4)*Inputs!$B$2</f>
        <v>-15174.6246289395</v>
      </c>
    </row>
    <row r="124" customFormat="false" ht="15" hidden="false" customHeight="false" outlineLevel="0" collapsed="false">
      <c r="D124" s="0" t="n">
        <f aca="false">MC_Shocks!A111</f>
        <v>0.791662693962936</v>
      </c>
      <c r="E124" s="0" t="n">
        <f aca="false">MC_Shocks!B111</f>
        <v>0.624119817052155</v>
      </c>
      <c r="F124" s="0" t="n">
        <f aca="false">MC_Shocks!C111</f>
        <v>0.62834550926428</v>
      </c>
      <c r="G124" s="0" t="n">
        <f aca="false">$B$3*D124</f>
        <v>0.0116617622770774</v>
      </c>
      <c r="H124" s="0" t="n">
        <f aca="false">$B$4*D124+$C$4*E124</f>
        <v>0.01612419287827</v>
      </c>
      <c r="I124" s="0" t="n">
        <f aca="false">$B$5*D124+$C$5*E124+$D$5*F124</f>
        <v>0.016229977774782</v>
      </c>
      <c r="J124" s="0" t="n">
        <f aca="false">SUMPRODUCT(G124:I124,Inputs!$B$4:$D$4)*Inputs!$B$2</f>
        <v>14370.9561067466</v>
      </c>
    </row>
    <row r="125" customFormat="false" ht="15" hidden="false" customHeight="false" outlineLevel="0" collapsed="false">
      <c r="D125" s="0" t="n">
        <f aca="false">MC_Shocks!A112</f>
        <v>-0.0122467728469146</v>
      </c>
      <c r="E125" s="0" t="n">
        <f aca="false">MC_Shocks!B112</f>
        <v>-0.897254371485832</v>
      </c>
      <c r="F125" s="0" t="n">
        <f aca="false">MC_Shocks!C112</f>
        <v>0.0758045581937263</v>
      </c>
      <c r="G125" s="0" t="n">
        <f aca="false">$B$3*D125</f>
        <v>-0.000180403794054203</v>
      </c>
      <c r="H125" s="0" t="n">
        <f aca="false">$B$4*D125+$C$4*E125</f>
        <v>-0.0113631089560009</v>
      </c>
      <c r="I125" s="0" t="n">
        <f aca="false">$B$5*D125+$C$5*E125+$D$5*F125</f>
        <v>-0.00282435954041507</v>
      </c>
      <c r="J125" s="0" t="n">
        <f aca="false">SUMPRODUCT(G125:I125,Inputs!$B$4:$D$4)*Inputs!$B$2</f>
        <v>-4328.40206654646</v>
      </c>
    </row>
    <row r="126" customFormat="false" ht="15" hidden="false" customHeight="false" outlineLevel="0" collapsed="false">
      <c r="D126" s="0" t="n">
        <f aca="false">MC_Shocks!A113</f>
        <v>-0.677161711512112</v>
      </c>
      <c r="E126" s="0" t="n">
        <f aca="false">MC_Shocks!B113</f>
        <v>0.975119733417751</v>
      </c>
      <c r="F126" s="0" t="n">
        <f aca="false">MC_Shocks!C113</f>
        <v>-0.147057381502139</v>
      </c>
      <c r="G126" s="0" t="n">
        <f aca="false">$B$3*D126</f>
        <v>-0.00997508024947157</v>
      </c>
      <c r="H126" s="0" t="n">
        <f aca="false">$B$4*D126+$C$4*E126</f>
        <v>0.00510179922719414</v>
      </c>
      <c r="I126" s="0" t="n">
        <f aca="false">$B$5*D126+$C$5*E126+$D$5*F126</f>
        <v>-0.00481406408458762</v>
      </c>
      <c r="J126" s="0" t="n">
        <f aca="false">SUMPRODUCT(G126:I126,Inputs!$B$4:$D$4)*Inputs!$B$2</f>
        <v>-3903.71155700667</v>
      </c>
    </row>
    <row r="127" customFormat="false" ht="15" hidden="false" customHeight="false" outlineLevel="0" collapsed="false">
      <c r="D127" s="0" t="n">
        <f aca="false">MC_Shocks!A114</f>
        <v>-0.825497196792512</v>
      </c>
      <c r="E127" s="0" t="n">
        <f aca="false">MC_Shocks!B114</f>
        <v>-0.321385841652993</v>
      </c>
      <c r="F127" s="0" t="n">
        <f aca="false">MC_Shocks!C114</f>
        <v>0.412931454275624</v>
      </c>
      <c r="G127" s="0" t="n">
        <f aca="false">$B$3*D127</f>
        <v>-0.0121601688986986</v>
      </c>
      <c r="H127" s="0" t="n">
        <f aca="false">$B$4*D127+$C$4*E127</f>
        <v>-0.0126887854709249</v>
      </c>
      <c r="I127" s="0" t="n">
        <f aca="false">$B$5*D127+$C$5*E127+$D$5*F127</f>
        <v>-0.00633349705540512</v>
      </c>
      <c r="J127" s="0" t="n">
        <f aca="false">SUMPRODUCT(G127:I127,Inputs!$B$4:$D$4)*Inputs!$B$2</f>
        <v>-10570.7523173785</v>
      </c>
    </row>
    <row r="128" customFormat="false" ht="15" hidden="false" customHeight="false" outlineLevel="0" collapsed="false">
      <c r="D128" s="0" t="n">
        <f aca="false">MC_Shocks!A115</f>
        <v>-0.563724552803975</v>
      </c>
      <c r="E128" s="0" t="n">
        <f aca="false">MC_Shocks!B115</f>
        <v>-0.822220395566432</v>
      </c>
      <c r="F128" s="0" t="n">
        <f aca="false">MC_Shocks!C115</f>
        <v>0.243687211491912</v>
      </c>
      <c r="G128" s="0" t="n">
        <f aca="false">$B$3*D128</f>
        <v>-0.00830406911262074</v>
      </c>
      <c r="H128" s="0" t="n">
        <f aca="false">$B$4*D128+$C$4*E128</f>
        <v>-0.0162121031065172</v>
      </c>
      <c r="I128" s="0" t="n">
        <f aca="false">$B$5*D128+$C$5*E128+$D$5*F128</f>
        <v>-0.00691684173730323</v>
      </c>
      <c r="J128" s="0" t="n">
        <f aca="false">SUMPRODUCT(G128:I128,Inputs!$B$4:$D$4)*Inputs!$B$2</f>
        <v>-10260.3110981944</v>
      </c>
    </row>
    <row r="129" customFormat="false" ht="15" hidden="false" customHeight="false" outlineLevel="0" collapsed="false">
      <c r="D129" s="0" t="n">
        <f aca="false">MC_Shocks!A116</f>
        <v>0.244966571108723</v>
      </c>
      <c r="E129" s="0" t="n">
        <f aca="false">MC_Shocks!B116</f>
        <v>-0.50694317537113</v>
      </c>
      <c r="F129" s="0" t="n">
        <f aca="false">MC_Shocks!C116</f>
        <v>-0.471038305618323</v>
      </c>
      <c r="G129" s="0" t="n">
        <f aca="false">$B$3*D129</f>
        <v>0.00360853421524806</v>
      </c>
      <c r="H129" s="0" t="n">
        <f aca="false">$B$4*D129+$C$4*E129</f>
        <v>-0.00377620620725679</v>
      </c>
      <c r="I129" s="0" t="n">
        <f aca="false">$B$5*D129+$C$5*E129+$D$5*F129</f>
        <v>-0.0034280891427659</v>
      </c>
      <c r="J129" s="0" t="n">
        <f aca="false">SUMPRODUCT(G129:I129,Inputs!$B$4:$D$4)*Inputs!$B$2</f>
        <v>-717.874918907583</v>
      </c>
    </row>
    <row r="130" customFormat="false" ht="15" hidden="false" customHeight="false" outlineLevel="0" collapsed="false">
      <c r="D130" s="0" t="n">
        <f aca="false">MC_Shocks!A117</f>
        <v>0.232049937357636</v>
      </c>
      <c r="E130" s="0" t="n">
        <f aca="false">MC_Shocks!B117</f>
        <v>-1.44808434149732</v>
      </c>
      <c r="F130" s="0" t="n">
        <f aca="false">MC_Shocks!C117</f>
        <v>-1.40746377437656</v>
      </c>
      <c r="G130" s="0" t="n">
        <f aca="false">$B$3*D130</f>
        <v>0.00341826288710045</v>
      </c>
      <c r="H130" s="0" t="n">
        <f aca="false">$B$4*D130+$C$4*E130</f>
        <v>-0.0156958547964126</v>
      </c>
      <c r="I130" s="0" t="n">
        <f aca="false">$B$5*D130+$C$5*E130+$D$5*F130</f>
        <v>-0.0152911876116308</v>
      </c>
      <c r="J130" s="0" t="n">
        <f aca="false">SUMPRODUCT(G130:I130,Inputs!$B$4:$D$4)*Inputs!$B$2</f>
        <v>-7928.80756757283</v>
      </c>
    </row>
    <row r="131" customFormat="false" ht="15" hidden="false" customHeight="false" outlineLevel="0" collapsed="false">
      <c r="D131" s="0" t="n">
        <f aca="false">MC_Shocks!A118</f>
        <v>-0.718444221252436</v>
      </c>
      <c r="E131" s="0" t="n">
        <f aca="false">MC_Shocks!B118</f>
        <v>-0.213447151711847</v>
      </c>
      <c r="F131" s="0" t="n">
        <f aca="false">MC_Shocks!C118</f>
        <v>0.310907565598005</v>
      </c>
      <c r="G131" s="0" t="n">
        <f aca="false">$B$3*D131</f>
        <v>-0.0105832013829594</v>
      </c>
      <c r="H131" s="0" t="n">
        <f aca="false">$B$4*D131+$C$4*E131</f>
        <v>-0.0102136158716576</v>
      </c>
      <c r="I131" s="0" t="n">
        <f aca="false">$B$5*D131+$C$5*E131+$D$5*F131</f>
        <v>-0.0056887612801778</v>
      </c>
      <c r="J131" s="0" t="n">
        <f aca="false">SUMPRODUCT(G131:I131,Inputs!$B$4:$D$4)*Inputs!$B$2</f>
        <v>-9003.99369873439</v>
      </c>
    </row>
    <row r="132" customFormat="false" ht="15" hidden="false" customHeight="false" outlineLevel="0" collapsed="false">
      <c r="D132" s="0" t="n">
        <f aca="false">MC_Shocks!A119</f>
        <v>1.47535621694955</v>
      </c>
      <c r="E132" s="0" t="n">
        <f aca="false">MC_Shocks!B119</f>
        <v>0.857659623202019</v>
      </c>
      <c r="F132" s="0" t="n">
        <f aca="false">MC_Shocks!C119</f>
        <v>-0.159938529963427</v>
      </c>
      <c r="G132" s="0" t="n">
        <f aca="false">$B$3*D132</f>
        <v>0.0217330608190557</v>
      </c>
      <c r="H132" s="0" t="n">
        <f aca="false">$B$4*D132+$C$4*E132</f>
        <v>0.0262246346628888</v>
      </c>
      <c r="I132" s="0" t="n">
        <f aca="false">$B$5*D132+$C$5*E132+$D$5*F132</f>
        <v>0.0174437710279717</v>
      </c>
      <c r="J132" s="0" t="n">
        <f aca="false">SUMPRODUCT(G132:I132,Inputs!$B$4:$D$4)*Inputs!$B$2</f>
        <v>21793.7460348804</v>
      </c>
    </row>
    <row r="133" customFormat="false" ht="15" hidden="false" customHeight="false" outlineLevel="0" collapsed="false">
      <c r="D133" s="0" t="n">
        <f aca="false">MC_Shocks!A120</f>
        <v>-0.0190162079026888</v>
      </c>
      <c r="E133" s="0" t="n">
        <f aca="false">MC_Shocks!B120</f>
        <v>-1.00252936463781</v>
      </c>
      <c r="F133" s="0" t="n">
        <f aca="false">MC_Shocks!C120</f>
        <v>-0.0185131359923899</v>
      </c>
      <c r="G133" s="0" t="n">
        <f aca="false">$B$3*D133</f>
        <v>-0.000280122453241457</v>
      </c>
      <c r="H133" s="0" t="n">
        <f aca="false">$B$4*D133+$C$4*E133</f>
        <v>-0.012752316207024</v>
      </c>
      <c r="I133" s="0" t="n">
        <f aca="false">$B$5*D133+$C$5*E133+$D$5*F133</f>
        <v>-0.00411641001365093</v>
      </c>
      <c r="J133" s="0" t="n">
        <f aca="false">SUMPRODUCT(G133:I133,Inputs!$B$4:$D$4)*Inputs!$B$2</f>
        <v>-5172.66684749906</v>
      </c>
    </row>
    <row r="134" customFormat="false" ht="15" hidden="false" customHeight="false" outlineLevel="0" collapsed="false">
      <c r="D134" s="0" t="n">
        <f aca="false">MC_Shocks!A121</f>
        <v>-0.288658638920138</v>
      </c>
      <c r="E134" s="0" t="n">
        <f aca="false">MC_Shocks!B121</f>
        <v>0.32271856033809</v>
      </c>
      <c r="F134" s="0" t="n">
        <f aca="false">MC_Shocks!C121</f>
        <v>-0.827230943552323</v>
      </c>
      <c r="G134" s="0" t="n">
        <f aca="false">$B$3*D134</f>
        <v>-0.00425214987643334</v>
      </c>
      <c r="H134" s="0" t="n">
        <f aca="false">$B$4*D134+$C$4*E134</f>
        <v>0.00101091467471903</v>
      </c>
      <c r="I134" s="0" t="n">
        <f aca="false">$B$5*D134+$C$5*E134+$D$5*F134</f>
        <v>-0.00909764526743854</v>
      </c>
      <c r="J134" s="0" t="n">
        <f aca="false">SUMPRODUCT(G134:I134,Inputs!$B$4:$D$4)*Inputs!$B$2</f>
        <v>-4126.87912838919</v>
      </c>
    </row>
    <row r="135" customFormat="false" ht="15" hidden="false" customHeight="false" outlineLevel="0" collapsed="false">
      <c r="D135" s="0" t="n">
        <f aca="false">MC_Shocks!A122</f>
        <v>0.519346514241172</v>
      </c>
      <c r="E135" s="0" t="n">
        <f aca="false">MC_Shocks!B122</f>
        <v>1.53273891300258</v>
      </c>
      <c r="F135" s="0" t="n">
        <f aca="false">MC_Shocks!C122</f>
        <v>-0.108760148456858</v>
      </c>
      <c r="G135" s="0" t="n">
        <f aca="false">$B$3*D135</f>
        <v>0.00765034860767724</v>
      </c>
      <c r="H135" s="0" t="n">
        <f aca="false">$B$4*D135+$C$4*E135</f>
        <v>0.0246427307258383</v>
      </c>
      <c r="I135" s="0" t="n">
        <f aca="false">$B$5*D135+$C$5*E135+$D$5*F135</f>
        <v>0.010288202515667</v>
      </c>
      <c r="J135" s="0" t="n">
        <f aca="false">SUMPRODUCT(G135:I135,Inputs!$B$4:$D$4)*Inputs!$B$2</f>
        <v>13539.4194155225</v>
      </c>
    </row>
    <row r="136" customFormat="false" ht="15" hidden="false" customHeight="false" outlineLevel="0" collapsed="false">
      <c r="D136" s="0" t="n">
        <f aca="false">MC_Shocks!A123</f>
        <v>0.401711722098942</v>
      </c>
      <c r="E136" s="0" t="n">
        <f aca="false">MC_Shocks!B123</f>
        <v>0.690143991711113</v>
      </c>
      <c r="F136" s="0" t="n">
        <f aca="false">MC_Shocks!C123</f>
        <v>-0.401220471885836</v>
      </c>
      <c r="G136" s="0" t="n">
        <f aca="false">$B$3*D136</f>
        <v>0.00591750330381562</v>
      </c>
      <c r="H136" s="0" t="n">
        <f aca="false">$B$4*D136+$C$4*E136</f>
        <v>0.0128578268020844</v>
      </c>
      <c r="I136" s="0" t="n">
        <f aca="false">$B$5*D136+$C$5*E136+$D$5*F136</f>
        <v>0.0033255610870642</v>
      </c>
      <c r="J136" s="0" t="n">
        <f aca="false">SUMPRODUCT(G136:I136,Inputs!$B$4:$D$4)*Inputs!$B$2</f>
        <v>7222.01768827082</v>
      </c>
    </row>
    <row r="137" customFormat="false" ht="15" hidden="false" customHeight="false" outlineLevel="0" collapsed="false">
      <c r="D137" s="0" t="n">
        <f aca="false">MC_Shocks!A124</f>
        <v>0.224092481810417</v>
      </c>
      <c r="E137" s="0" t="n">
        <f aca="false">MC_Shocks!B124</f>
        <v>0.0125924007817949</v>
      </c>
      <c r="F137" s="0" t="n">
        <f aca="false">MC_Shocks!C124</f>
        <v>0.0976760985488317</v>
      </c>
      <c r="G137" s="0" t="n">
        <f aca="false">$B$3*D137</f>
        <v>0.00330104382950213</v>
      </c>
      <c r="H137" s="0" t="n">
        <f aca="false">$B$4*D137+$C$4*E137</f>
        <v>0.00250982077352868</v>
      </c>
      <c r="I137" s="0" t="n">
        <f aca="false">$B$5*D137+$C$5*E137+$D$5*F137</f>
        <v>0.003277522123843</v>
      </c>
      <c r="J137" s="0" t="n">
        <f aca="false">SUMPRODUCT(G137:I137,Inputs!$B$4:$D$4)*Inputs!$B$2</f>
        <v>3056.62040101235</v>
      </c>
    </row>
    <row r="138" customFormat="false" ht="15" hidden="false" customHeight="false" outlineLevel="0" collapsed="false">
      <c r="D138" s="0" t="n">
        <f aca="false">MC_Shocks!A125</f>
        <v>-0.773009783855467</v>
      </c>
      <c r="E138" s="0" t="n">
        <f aca="false">MC_Shocks!B125</f>
        <v>0.0245101742589427</v>
      </c>
      <c r="F138" s="0" t="n">
        <f aca="false">MC_Shocks!C125</f>
        <v>0.49799829124545</v>
      </c>
      <c r="G138" s="0" t="n">
        <f aca="false">$B$3*D138</f>
        <v>-0.0113869914623001</v>
      </c>
      <c r="H138" s="0" t="n">
        <f aca="false">$B$4*D138+$C$4*E138</f>
        <v>-0.00780688006918085</v>
      </c>
      <c r="I138" s="0" t="n">
        <f aca="false">$B$5*D138+$C$5*E138+$D$5*F138</f>
        <v>-0.00373730616295187</v>
      </c>
      <c r="J138" s="0" t="n">
        <f aca="false">SUMPRODUCT(G138:I138,Inputs!$B$4:$D$4)*Inputs!$B$2</f>
        <v>-8018.05245455986</v>
      </c>
    </row>
    <row r="139" customFormat="false" ht="15" hidden="false" customHeight="false" outlineLevel="0" collapsed="false">
      <c r="D139" s="0" t="n">
        <f aca="false">MC_Shocks!A126</f>
        <v>1.45114360779504</v>
      </c>
      <c r="E139" s="0" t="n">
        <f aca="false">MC_Shocks!B126</f>
        <v>0.959270826085207</v>
      </c>
      <c r="F139" s="0" t="n">
        <f aca="false">MC_Shocks!C126</f>
        <v>2.15318245751156</v>
      </c>
      <c r="G139" s="0" t="n">
        <f aca="false">$B$3*D139</f>
        <v>0.0213763916287289</v>
      </c>
      <c r="H139" s="0" t="n">
        <f aca="false">$B$4*D139+$C$4*E139</f>
        <v>0.0272427693776186</v>
      </c>
      <c r="I139" s="0" t="n">
        <f aca="false">$B$5*D139+$C$5*E139+$D$5*F139</f>
        <v>0.0378310012280641</v>
      </c>
      <c r="J139" s="0" t="n">
        <f aca="false">SUMPRODUCT(G139:I139,Inputs!$B$4:$D$4)*Inputs!$B$2</f>
        <v>28072.6878331964</v>
      </c>
    </row>
    <row r="140" customFormat="false" ht="15" hidden="false" customHeight="false" outlineLevel="0" collapsed="false">
      <c r="D140" s="0" t="n">
        <f aca="false">MC_Shocks!A127</f>
        <v>-0.76734756288805</v>
      </c>
      <c r="E140" s="0" t="n">
        <f aca="false">MC_Shocks!B127</f>
        <v>0.872320636720678</v>
      </c>
      <c r="F140" s="0" t="n">
        <f aca="false">MC_Shocks!C127</f>
        <v>0.183342005738352</v>
      </c>
      <c r="G140" s="0" t="n">
        <f aca="false">$B$3*D140</f>
        <v>-0.0113035828649444</v>
      </c>
      <c r="H140" s="0" t="n">
        <f aca="false">$B$4*D140+$C$4*E140</f>
        <v>0.00286802576839088</v>
      </c>
      <c r="I140" s="0" t="n">
        <f aca="false">$B$5*D140+$C$5*E140+$D$5*F140</f>
        <v>-0.00326019877851279</v>
      </c>
      <c r="J140" s="0" t="n">
        <f aca="false">SUMPRODUCT(G140:I140,Inputs!$B$4:$D$4)*Inputs!$B$2</f>
        <v>-4639.08504901433</v>
      </c>
    </row>
    <row r="141" customFormat="false" ht="15" hidden="false" customHeight="false" outlineLevel="0" collapsed="false">
      <c r="D141" s="0" t="n">
        <f aca="false">MC_Shocks!A128</f>
        <v>2.18980293321767</v>
      </c>
      <c r="E141" s="0" t="n">
        <f aca="false">MC_Shocks!B128</f>
        <v>-0.808298285355152</v>
      </c>
      <c r="F141" s="0" t="n">
        <f aca="false">MC_Shocks!C128</f>
        <v>-0.839721842180776</v>
      </c>
      <c r="G141" s="0" t="n">
        <f aca="false">$B$3*D141</f>
        <v>0.0322573760713637</v>
      </c>
      <c r="H141" s="0" t="n">
        <f aca="false">$B$4*D141+$C$4*E141</f>
        <v>0.0128641753842643</v>
      </c>
      <c r="I141" s="0" t="n">
        <f aca="false">$B$5*D141+$C$5*E141+$D$5*F141</f>
        <v>0.0128236593735064</v>
      </c>
      <c r="J141" s="0" t="n">
        <f aca="false">SUMPRODUCT(G141:I141,Inputs!$B$4:$D$4)*Inputs!$B$2</f>
        <v>20609.3008558767</v>
      </c>
    </row>
    <row r="142" customFormat="false" ht="15" hidden="false" customHeight="false" outlineLevel="0" collapsed="false">
      <c r="D142" s="0" t="n">
        <f aca="false">MC_Shocks!A129</f>
        <v>-0.599392645444022</v>
      </c>
      <c r="E142" s="0" t="n">
        <f aca="false">MC_Shocks!B129</f>
        <v>-2.12389572430981</v>
      </c>
      <c r="F142" s="0" t="n">
        <f aca="false">MC_Shocks!C129</f>
        <v>-0.525755021680761</v>
      </c>
      <c r="G142" s="0" t="n">
        <f aca="false">$B$3*D142</f>
        <v>-0.00882948583418281</v>
      </c>
      <c r="H142" s="0" t="n">
        <f aca="false">$B$4*D142+$C$4*E142</f>
        <v>-0.0328848233291758</v>
      </c>
      <c r="I142" s="0" t="n">
        <f aca="false">$B$5*D142+$C$5*E142+$D$5*F142</f>
        <v>-0.0189077966747353</v>
      </c>
      <c r="J142" s="0" t="n">
        <f aca="false">SUMPRODUCT(G142:I142,Inputs!$B$4:$D$4)*Inputs!$B$2</f>
        <v>-19069.5803348464</v>
      </c>
    </row>
    <row r="143" customFormat="false" ht="15" hidden="false" customHeight="false" outlineLevel="0" collapsed="false">
      <c r="D143" s="0" t="n">
        <f aca="false">MC_Shocks!A130</f>
        <v>-0.759132661553698</v>
      </c>
      <c r="E143" s="0" t="n">
        <f aca="false">MC_Shocks!B130</f>
        <v>0.150393786476208</v>
      </c>
      <c r="F143" s="0" t="n">
        <f aca="false">MC_Shocks!C130</f>
        <v>0.341755975777159</v>
      </c>
      <c r="G143" s="0" t="n">
        <f aca="false">$B$3*D143</f>
        <v>-0.0111825714452812</v>
      </c>
      <c r="H143" s="0" t="n">
        <f aca="false">$B$4*D143+$C$4*E143</f>
        <v>-0.00608502666646325</v>
      </c>
      <c r="I143" s="0" t="n">
        <f aca="false">$B$5*D143+$C$5*E143+$D$5*F143</f>
        <v>-0.00448775364443291</v>
      </c>
      <c r="J143" s="0" t="n">
        <f aca="false">SUMPRODUCT(G143:I143,Inputs!$B$4:$D$4)*Inputs!$B$2</f>
        <v>-7644.86267138132</v>
      </c>
    </row>
    <row r="144" customFormat="false" ht="15" hidden="false" customHeight="false" outlineLevel="0" collapsed="false">
      <c r="D144" s="0" t="n">
        <f aca="false">MC_Shocks!A131</f>
        <v>1.87617083921589</v>
      </c>
      <c r="E144" s="0" t="n">
        <f aca="false">MC_Shocks!B131</f>
        <v>0.95042383818605</v>
      </c>
      <c r="F144" s="0" t="n">
        <f aca="false">MC_Shocks!C131</f>
        <v>-0.576903655662403</v>
      </c>
      <c r="G144" s="0" t="n">
        <f aca="false">$B$3*D144</f>
        <v>0.027637349195521</v>
      </c>
      <c r="H144" s="0" t="n">
        <f aca="false">$B$4*D144+$C$4*E144</f>
        <v>0.031593225928091</v>
      </c>
      <c r="I144" s="0" t="n">
        <f aca="false">$B$5*D144+$C$5*E144+$D$5*F144</f>
        <v>0.0183857588145954</v>
      </c>
      <c r="J144" s="0" t="n">
        <f aca="false">SUMPRODUCT(G144:I144,Inputs!$B$4:$D$4)*Inputs!$B$2</f>
        <v>26048.6351010143</v>
      </c>
    </row>
    <row r="145" customFormat="false" ht="15" hidden="false" customHeight="false" outlineLevel="0" collapsed="false">
      <c r="D145" s="0" t="n">
        <f aca="false">MC_Shocks!A132</f>
        <v>-0.898414671348358</v>
      </c>
      <c r="E145" s="0" t="n">
        <f aca="false">MC_Shocks!B132</f>
        <v>0.491919171506506</v>
      </c>
      <c r="F145" s="0" t="n">
        <f aca="false">MC_Shocks!C132</f>
        <v>-1.32023320702064</v>
      </c>
      <c r="G145" s="0" t="n">
        <f aca="false">$B$3*D145</f>
        <v>-0.0132342958729766</v>
      </c>
      <c r="H145" s="0" t="n">
        <f aca="false">$B$4*D145+$C$4*E145</f>
        <v>-0.00327072308507204</v>
      </c>
      <c r="I145" s="0" t="n">
        <f aca="false">$B$5*D145+$C$5*E145+$D$5*F145</f>
        <v>-0.0192447161430893</v>
      </c>
      <c r="J145" s="0" t="n">
        <f aca="false">SUMPRODUCT(G145:I145,Inputs!$B$4:$D$4)*Inputs!$B$2</f>
        <v>-12048.350117639</v>
      </c>
    </row>
    <row r="146" customFormat="false" ht="15" hidden="false" customHeight="false" outlineLevel="0" collapsed="false">
      <c r="D146" s="0" t="n">
        <f aca="false">MC_Shocks!A133</f>
        <v>1.83145876585435</v>
      </c>
      <c r="E146" s="0" t="n">
        <f aca="false">MC_Shocks!B133</f>
        <v>1.17944012072129</v>
      </c>
      <c r="F146" s="0" t="n">
        <f aca="false">MC_Shocks!C133</f>
        <v>-0.469175652104705</v>
      </c>
      <c r="G146" s="0" t="n">
        <f aca="false">$B$3*D146</f>
        <v>0.0269787081171505</v>
      </c>
      <c r="H146" s="0" t="n">
        <f aca="false">$B$4*D146+$C$4*E146</f>
        <v>0.0339914360879089</v>
      </c>
      <c r="I146" s="0" t="n">
        <f aca="false">$B$5*D146+$C$5*E146+$D$5*F146</f>
        <v>0.0197129282208242</v>
      </c>
      <c r="J146" s="0" t="n">
        <f aca="false">SUMPRODUCT(G146:I146,Inputs!$B$4:$D$4)*Inputs!$B$2</f>
        <v>26902.7925394801</v>
      </c>
    </row>
    <row r="147" customFormat="false" ht="15" hidden="false" customHeight="false" outlineLevel="0" collapsed="false">
      <c r="D147" s="0" t="n">
        <f aca="false">MC_Shocks!A134</f>
        <v>-1.71313452909088</v>
      </c>
      <c r="E147" s="0" t="n">
        <f aca="false">MC_Shocks!B134</f>
        <v>1.35387237416541</v>
      </c>
      <c r="F147" s="0" t="n">
        <f aca="false">MC_Shocks!C134</f>
        <v>-0.114539845252618</v>
      </c>
      <c r="G147" s="0" t="n">
        <f aca="false">$B$3*D147</f>
        <v>-0.025235706796923</v>
      </c>
      <c r="H147" s="0" t="n">
        <f aca="false">$B$4*D147+$C$4*E147</f>
        <v>-0.00102974411495348</v>
      </c>
      <c r="I147" s="0" t="n">
        <f aca="false">$B$5*D147+$C$5*E147+$D$5*F147</f>
        <v>-0.0140897034107035</v>
      </c>
      <c r="J147" s="0" t="n">
        <f aca="false">SUMPRODUCT(G147:I147,Inputs!$B$4:$D$4)*Inputs!$B$2</f>
        <v>-14630.1169764663</v>
      </c>
    </row>
    <row r="148" customFormat="false" ht="15" hidden="false" customHeight="false" outlineLevel="0" collapsed="false">
      <c r="D148" s="0" t="n">
        <f aca="false">MC_Shocks!A135</f>
        <v>1.23781631197346</v>
      </c>
      <c r="E148" s="0" t="n">
        <f aca="false">MC_Shocks!B135</f>
        <v>-1.59442765879437</v>
      </c>
      <c r="F148" s="0" t="n">
        <f aca="false">MC_Shocks!C135</f>
        <v>-0.599375022953773</v>
      </c>
      <c r="G148" s="0" t="n">
        <f aca="false">$B$3*D148</f>
        <v>0.0182339267506258</v>
      </c>
      <c r="H148" s="0" t="n">
        <f aca="false">$B$4*D148+$C$4*E148</f>
        <v>-0.00697136085500805</v>
      </c>
      <c r="I148" s="0" t="n">
        <f aca="false">$B$5*D148+$C$5*E148+$D$5*F148</f>
        <v>0.00189821669285719</v>
      </c>
      <c r="J148" s="0" t="n">
        <f aca="false">SUMPRODUCT(G148:I148,Inputs!$B$4:$D$4)*Inputs!$B$2</f>
        <v>5771.62745160505</v>
      </c>
    </row>
    <row r="149" customFormat="false" ht="15" hidden="false" customHeight="false" outlineLevel="0" collapsed="false">
      <c r="D149" s="0" t="n">
        <f aca="false">MC_Shocks!A136</f>
        <v>0.00524369971818317</v>
      </c>
      <c r="E149" s="0" t="n">
        <f aca="false">MC_Shocks!B136</f>
        <v>0.0469805937647421</v>
      </c>
      <c r="F149" s="0" t="n">
        <f aca="false">MC_Shocks!C136</f>
        <v>-0.450065471479244</v>
      </c>
      <c r="G149" s="0" t="n">
        <f aca="false">$B$3*D149</f>
        <v>7.72434775974084E-005</v>
      </c>
      <c r="H149" s="0" t="n">
        <f aca="false">$B$4*D149+$C$4*E149</f>
        <v>0.000643285796960035</v>
      </c>
      <c r="I149" s="0" t="n">
        <f aca="false">$B$5*D149+$C$5*E149+$D$5*F149</f>
        <v>-0.0037112463619509</v>
      </c>
      <c r="J149" s="0" t="n">
        <f aca="false">SUMPRODUCT(G149:I149,Inputs!$B$4:$D$4)*Inputs!$B$2</f>
        <v>-889.490778458297</v>
      </c>
    </row>
    <row r="150" customFormat="false" ht="15" hidden="false" customHeight="false" outlineLevel="0" collapsed="false">
      <c r="D150" s="0" t="n">
        <f aca="false">MC_Shocks!A137</f>
        <v>0.622849932347499</v>
      </c>
      <c r="E150" s="0" t="n">
        <f aca="false">MC_Shocks!B137</f>
        <v>-1.06762042938259</v>
      </c>
      <c r="F150" s="0" t="n">
        <f aca="false">MC_Shocks!C137</f>
        <v>-0.142379485021294</v>
      </c>
      <c r="G150" s="0" t="n">
        <f aca="false">$B$3*D150</f>
        <v>0.00917502858315862</v>
      </c>
      <c r="H150" s="0" t="n">
        <f aca="false">$B$4*D150+$C$4*E150</f>
        <v>-0.0068300795048554</v>
      </c>
      <c r="I150" s="0" t="n">
        <f aca="false">$B$5*D150+$C$5*E150+$D$5*F150</f>
        <v>0.00135673438587511</v>
      </c>
      <c r="J150" s="0" t="n">
        <f aca="false">SUMPRODUCT(G150:I150,Inputs!$B$4:$D$4)*Inputs!$B$2</f>
        <v>2028.00789756936</v>
      </c>
    </row>
    <row r="151" customFormat="false" ht="15" hidden="false" customHeight="false" outlineLevel="0" collapsed="false">
      <c r="D151" s="0" t="n">
        <f aca="false">MC_Shocks!A138</f>
        <v>0.120295631711899</v>
      </c>
      <c r="E151" s="0" t="n">
        <f aca="false">MC_Shocks!B138</f>
        <v>0.514438834058749</v>
      </c>
      <c r="F151" s="0" t="n">
        <f aca="false">MC_Shocks!C138</f>
        <v>0.71161487808889</v>
      </c>
      <c r="G151" s="0" t="n">
        <f aca="false">$B$3*D151</f>
        <v>0.001772041389209</v>
      </c>
      <c r="H151" s="0" t="n">
        <f aca="false">$B$4*D151+$C$4*E151</f>
        <v>0.00770397575058792</v>
      </c>
      <c r="I151" s="0" t="n">
        <f aca="false">$B$5*D151+$C$5*E151+$D$5*F151</f>
        <v>0.00943435682539833</v>
      </c>
      <c r="J151" s="0" t="n">
        <f aca="false">SUMPRODUCT(G151:I151,Inputs!$B$4:$D$4)*Inputs!$B$2</f>
        <v>5850.31632847947</v>
      </c>
    </row>
    <row r="152" customFormat="false" ht="15" hidden="false" customHeight="false" outlineLevel="0" collapsed="false">
      <c r="D152" s="0" t="n">
        <f aca="false">MC_Shocks!A139</f>
        <v>-1.12464209183787</v>
      </c>
      <c r="E152" s="0" t="n">
        <f aca="false">MC_Shocks!B139</f>
        <v>-1.53411417073562</v>
      </c>
      <c r="F152" s="0" t="n">
        <f aca="false">MC_Shocks!C139</f>
        <v>1.27767682189851</v>
      </c>
      <c r="G152" s="0" t="n">
        <f aca="false">$B$3*D152</f>
        <v>-0.0165667888885293</v>
      </c>
      <c r="H152" s="0" t="n">
        <f aca="false">$B$4*D152+$C$4*E152</f>
        <v>-0.031013338226979</v>
      </c>
      <c r="I152" s="0" t="n">
        <f aca="false">$B$5*D152+$C$5*E152+$D$5*F152</f>
        <v>-0.00646773196160459</v>
      </c>
      <c r="J152" s="0" t="n">
        <f aca="false">SUMPRODUCT(G152:I152,Inputs!$B$4:$D$4)*Inputs!$B$2</f>
        <v>-17871.0366119868</v>
      </c>
    </row>
    <row r="153" customFormat="false" ht="15" hidden="false" customHeight="false" outlineLevel="0" collapsed="false">
      <c r="D153" s="0" t="n">
        <f aca="false">MC_Shocks!A140</f>
        <v>0.332314011979592</v>
      </c>
      <c r="E153" s="0" t="n">
        <f aca="false">MC_Shocks!B140</f>
        <v>-0.748486536556554</v>
      </c>
      <c r="F153" s="0" t="n">
        <f aca="false">MC_Shocks!C140</f>
        <v>1.55115197552252</v>
      </c>
      <c r="G153" s="0" t="n">
        <f aca="false">$B$3*D153</f>
        <v>0.00489522499746502</v>
      </c>
      <c r="H153" s="0" t="n">
        <f aca="false">$B$4*D153+$C$4*E153</f>
        <v>-0.00588375319787882</v>
      </c>
      <c r="I153" s="0" t="n">
        <f aca="false">$B$5*D153+$C$5*E153+$D$5*F153</f>
        <v>0.0143082192007832</v>
      </c>
      <c r="J153" s="0" t="n">
        <f aca="false">SUMPRODUCT(G153:I153,Inputs!$B$4:$D$4)*Inputs!$B$2</f>
        <v>4485.42979985732</v>
      </c>
    </row>
    <row r="154" customFormat="false" ht="15" hidden="false" customHeight="false" outlineLevel="0" collapsed="false">
      <c r="D154" s="0" t="n">
        <f aca="false">MC_Shocks!A141</f>
        <v>0.115674634292859</v>
      </c>
      <c r="E154" s="0" t="n">
        <f aca="false">MC_Shocks!B141</f>
        <v>1.17929718406383</v>
      </c>
      <c r="F154" s="0" t="n">
        <f aca="false">MC_Shocks!C141</f>
        <v>0.067518481410109</v>
      </c>
      <c r="G154" s="0" t="n">
        <f aca="false">$B$3*D154</f>
        <v>0.00170397076545121</v>
      </c>
      <c r="H154" s="0" t="n">
        <f aca="false">$B$4*D154+$C$4*E154</f>
        <v>0.0159801937415446</v>
      </c>
      <c r="I154" s="0" t="n">
        <f aca="false">$B$5*D154+$C$5*E154+$D$5*F154</f>
        <v>0.00623168841071459</v>
      </c>
      <c r="J154" s="0" t="n">
        <f aca="false">SUMPRODUCT(G154:I154,Inputs!$B$4:$D$4)*Inputs!$B$2</f>
        <v>7345.15295185824</v>
      </c>
    </row>
    <row r="155" customFormat="false" ht="15" hidden="false" customHeight="false" outlineLevel="0" collapsed="false">
      <c r="D155" s="0" t="n">
        <f aca="false">MC_Shocks!A142</f>
        <v>2.06074792488199</v>
      </c>
      <c r="E155" s="0" t="n">
        <f aca="false">MC_Shocks!B142</f>
        <v>1.7553408424432</v>
      </c>
      <c r="F155" s="0" t="n">
        <f aca="false">MC_Shocks!C142</f>
        <v>-0.248964148479074</v>
      </c>
      <c r="G155" s="0" t="n">
        <f aca="false">$B$3*D155</f>
        <v>0.0303563027489072</v>
      </c>
      <c r="H155" s="0" t="n">
        <f aca="false">$B$4*D155+$C$4*E155</f>
        <v>0.0436090119790695</v>
      </c>
      <c r="I155" s="0" t="n">
        <f aca="false">$B$5*D155+$C$5*E155+$D$5*F155</f>
        <v>0.026227559496712</v>
      </c>
      <c r="J155" s="0" t="n">
        <f aca="false">SUMPRODUCT(G155:I155,Inputs!$B$4:$D$4)*Inputs!$B$2</f>
        <v>33093.4925422973</v>
      </c>
    </row>
    <row r="156" customFormat="false" ht="15" hidden="false" customHeight="false" outlineLevel="0" collapsed="false">
      <c r="D156" s="0" t="n">
        <f aca="false">MC_Shocks!A143</f>
        <v>0.971570950954355</v>
      </c>
      <c r="E156" s="0" t="n">
        <f aca="false">MC_Shocks!B143</f>
        <v>0.645375949585148</v>
      </c>
      <c r="F156" s="0" t="n">
        <f aca="false">MC_Shocks!C143</f>
        <v>1.36863155753235</v>
      </c>
      <c r="G156" s="0" t="n">
        <f aca="false">$B$3*D156</f>
        <v>0.0143119406178235</v>
      </c>
      <c r="H156" s="0" t="n">
        <f aca="false">$B$4*D156+$C$4*E156</f>
        <v>0.0182787200088497</v>
      </c>
      <c r="I156" s="0" t="n">
        <f aca="false">$B$5*D156+$C$5*E156+$D$5*F156</f>
        <v>0.0247011143375747</v>
      </c>
      <c r="J156" s="0" t="n">
        <f aca="false">SUMPRODUCT(G156:I156,Inputs!$B$4:$D$4)*Inputs!$B$2</f>
        <v>18618.7265510567</v>
      </c>
    </row>
    <row r="157" customFormat="false" ht="15" hidden="false" customHeight="false" outlineLevel="0" collapsed="false">
      <c r="D157" s="0" t="n">
        <f aca="false">MC_Shocks!A144</f>
        <v>-0.964923460580105</v>
      </c>
      <c r="E157" s="0" t="n">
        <f aca="false">MC_Shocks!B144</f>
        <v>0.686051459998439</v>
      </c>
      <c r="F157" s="0" t="n">
        <f aca="false">MC_Shocks!C144</f>
        <v>1.05842448684959</v>
      </c>
      <c r="G157" s="0" t="n">
        <f aca="false">$B$3*D157</f>
        <v>-0.0142140182917182</v>
      </c>
      <c r="H157" s="0" t="n">
        <f aca="false">$B$4*D157+$C$4*E157</f>
        <v>-0.00153808272467107</v>
      </c>
      <c r="I157" s="0" t="n">
        <f aca="false">$B$5*D157+$C$5*E157+$D$5*F157</f>
        <v>0.00161474441157789</v>
      </c>
      <c r="J157" s="0" t="n">
        <f aca="false">SUMPRODUCT(G157:I157,Inputs!$B$4:$D$4)*Inputs!$B$2</f>
        <v>-5662.60881061523</v>
      </c>
    </row>
    <row r="158" customFormat="false" ht="15" hidden="false" customHeight="false" outlineLevel="0" collapsed="false">
      <c r="D158" s="0" t="n">
        <f aca="false">MC_Shocks!A145</f>
        <v>-1.75873948642311</v>
      </c>
      <c r="E158" s="0" t="n">
        <f aca="false">MC_Shocks!B145</f>
        <v>-1.18325851266578</v>
      </c>
      <c r="F158" s="0" t="n">
        <f aca="false">MC_Shocks!C145</f>
        <v>-2.0392321777601</v>
      </c>
      <c r="G158" s="0" t="n">
        <f aca="false">$B$3*D158</f>
        <v>-0.0259075006999583</v>
      </c>
      <c r="H158" s="0" t="n">
        <f aca="false">$B$4*D158+$C$4*E158</f>
        <v>-0.0332759601067228</v>
      </c>
      <c r="I158" s="0" t="n">
        <f aca="false">$B$5*D158+$C$5*E158+$D$5*F158</f>
        <v>-0.0409308241332601</v>
      </c>
      <c r="J158" s="0" t="n">
        <f aca="false">SUMPRODUCT(G158:I158,Inputs!$B$4:$D$4)*Inputs!$B$2</f>
        <v>-32625.0355519782</v>
      </c>
    </row>
    <row r="159" customFormat="false" ht="15" hidden="false" customHeight="false" outlineLevel="0" collapsed="false">
      <c r="D159" s="0" t="n">
        <f aca="false">MC_Shocks!A146</f>
        <v>-0.269406834444558</v>
      </c>
      <c r="E159" s="0" t="n">
        <f aca="false">MC_Shocks!B146</f>
        <v>0.717542255795962</v>
      </c>
      <c r="F159" s="0" t="n">
        <f aca="false">MC_Shocks!C146</f>
        <v>1.50235705209603</v>
      </c>
      <c r="G159" s="0" t="n">
        <f aca="false">$B$3*D159</f>
        <v>-0.00396855691580622</v>
      </c>
      <c r="H159" s="0" t="n">
        <f aca="false">$B$4*D159+$C$4*E159</f>
        <v>0.00615659354317281</v>
      </c>
      <c r="I159" s="0" t="n">
        <f aca="false">$B$5*D159+$C$5*E159+$D$5*F159</f>
        <v>0.0129920013037516</v>
      </c>
      <c r="J159" s="0" t="n">
        <f aca="false">SUMPRODUCT(G159:I159,Inputs!$B$4:$D$4)*Inputs!$B$2</f>
        <v>4157.15568775483</v>
      </c>
    </row>
    <row r="160" customFormat="false" ht="15" hidden="false" customHeight="false" outlineLevel="0" collapsed="false">
      <c r="D160" s="0" t="n">
        <f aca="false">MC_Shocks!A147</f>
        <v>0.0740947804197752</v>
      </c>
      <c r="E160" s="0" t="n">
        <f aca="false">MC_Shocks!B147</f>
        <v>1.62861554557129</v>
      </c>
      <c r="F160" s="0" t="n">
        <f aca="false">MC_Shocks!C147</f>
        <v>-1.38010145821489</v>
      </c>
      <c r="G160" s="0" t="n">
        <f aca="false">$B$3*D160</f>
        <v>0.00109146953850035</v>
      </c>
      <c r="H160" s="0" t="n">
        <f aca="false">$B$4*D160+$C$4*E160</f>
        <v>0.0211696930606677</v>
      </c>
      <c r="I160" s="0" t="n">
        <f aca="false">$B$5*D160+$C$5*E160+$D$5*F160</f>
        <v>-0.00520850039190918</v>
      </c>
      <c r="J160" s="0" t="n">
        <f aca="false">SUMPRODUCT(G160:I160,Inputs!$B$4:$D$4)*Inputs!$B$2</f>
        <v>5224.94561602771</v>
      </c>
    </row>
    <row r="161" customFormat="false" ht="15" hidden="false" customHeight="false" outlineLevel="0" collapsed="false">
      <c r="D161" s="0" t="n">
        <f aca="false">MC_Shocks!A148</f>
        <v>-1.70338243935516</v>
      </c>
      <c r="E161" s="0" t="n">
        <f aca="false">MC_Shocks!B148</f>
        <v>-0.0555476988966188</v>
      </c>
      <c r="F161" s="0" t="n">
        <f aca="false">MC_Shocks!C148</f>
        <v>0.384065448939307</v>
      </c>
      <c r="G161" s="0" t="n">
        <f aca="false">$B$3*D161</f>
        <v>-0.0250920514837827</v>
      </c>
      <c r="H161" s="0" t="n">
        <f aca="false">$B$4*D161+$C$4*E161</f>
        <v>-0.0185747955158064</v>
      </c>
      <c r="I161" s="0" t="n">
        <f aca="false">$B$5*D161+$C$5*E161+$D$5*F161</f>
        <v>-0.0148942734416312</v>
      </c>
      <c r="J161" s="0" t="n">
        <f aca="false">SUMPRODUCT(G161:I161,Inputs!$B$4:$D$4)*Inputs!$B$2</f>
        <v>-20077.5412807444</v>
      </c>
    </row>
    <row r="162" customFormat="false" ht="15" hidden="false" customHeight="false" outlineLevel="0" collapsed="false">
      <c r="D162" s="0" t="n">
        <f aca="false">MC_Shocks!A149</f>
        <v>-0.0326947480940931</v>
      </c>
      <c r="E162" s="0" t="n">
        <f aca="false">MC_Shocks!B149</f>
        <v>-2.06744210003988</v>
      </c>
      <c r="F162" s="0" t="n">
        <f aca="false">MC_Shocks!C149</f>
        <v>-0.0891200395127884</v>
      </c>
      <c r="G162" s="0" t="n">
        <f aca="false">$B$3*D162</f>
        <v>-0.000481617212595463</v>
      </c>
      <c r="H162" s="0" t="n">
        <f aca="false">$B$4*D162+$C$4*E162</f>
        <v>-0.0262297114561049</v>
      </c>
      <c r="I162" s="0" t="n">
        <f aca="false">$B$5*D162+$C$5*E162+$D$5*F162</f>
        <v>-0.00886612585394985</v>
      </c>
      <c r="J162" s="0" t="n">
        <f aca="false">SUMPRODUCT(G162:I162,Inputs!$B$4:$D$4)*Inputs!$B$2</f>
        <v>-10721.3980780546</v>
      </c>
    </row>
    <row r="163" customFormat="false" ht="15" hidden="false" customHeight="false" outlineLevel="0" collapsed="false">
      <c r="D163" s="0" t="n">
        <f aca="false">MC_Shocks!A150</f>
        <v>-1.30446950050485</v>
      </c>
      <c r="E163" s="0" t="n">
        <f aca="false">MC_Shocks!B150</f>
        <v>0.669672548830039</v>
      </c>
      <c r="F163" s="0" t="n">
        <f aca="false">MC_Shocks!C150</f>
        <v>0.366598246096848</v>
      </c>
      <c r="G163" s="0" t="n">
        <f aca="false">$B$3*D163</f>
        <v>-0.0192157762751642</v>
      </c>
      <c r="H163" s="0" t="n">
        <f aca="false">$B$4*D163+$C$4*E163</f>
        <v>-0.00530715430058439</v>
      </c>
      <c r="I163" s="0" t="n">
        <f aca="false">$B$5*D163+$C$5*E163+$D$5*F163</f>
        <v>-0.00810530773470681</v>
      </c>
      <c r="J163" s="0" t="n">
        <f aca="false">SUMPRODUCT(G163:I163,Inputs!$B$4:$D$4)*Inputs!$B$2</f>
        <v>-11710.049120653</v>
      </c>
    </row>
    <row r="164" customFormat="false" ht="15" hidden="false" customHeight="false" outlineLevel="0" collapsed="false">
      <c r="D164" s="0" t="n">
        <f aca="false">MC_Shocks!A151</f>
        <v>-0.939879786327355</v>
      </c>
      <c r="E164" s="0" t="n">
        <f aca="false">MC_Shocks!B151</f>
        <v>-0.513866917336694</v>
      </c>
      <c r="F164" s="0" t="n">
        <f aca="false">MC_Shocks!C151</f>
        <v>-1.05921352188895</v>
      </c>
      <c r="G164" s="0" t="n">
        <f aca="false">$B$3*D164</f>
        <v>-0.0138451069132899</v>
      </c>
      <c r="H164" s="0" t="n">
        <f aca="false">$B$4*D164+$C$4*E164</f>
        <v>-0.0162994482320075</v>
      </c>
      <c r="I164" s="0" t="n">
        <f aca="false">$B$5*D164+$C$5*E164+$D$5*F164</f>
        <v>-0.0211624392802123</v>
      </c>
      <c r="J164" s="0" t="n">
        <f aca="false">SUMPRODUCT(G164:I164,Inputs!$B$4:$D$4)*Inputs!$B$2</f>
        <v>-16776.6090189819</v>
      </c>
    </row>
    <row r="165" customFormat="false" ht="15" hidden="false" customHeight="false" outlineLevel="0" collapsed="false">
      <c r="D165" s="0" t="n">
        <f aca="false">MC_Shocks!A152</f>
        <v>-0.0626790972731719</v>
      </c>
      <c r="E165" s="0" t="n">
        <f aca="false">MC_Shocks!B152</f>
        <v>0.955142320501238</v>
      </c>
      <c r="F165" s="0" t="n">
        <f aca="false">MC_Shocks!C152</f>
        <v>-0.985726046335544</v>
      </c>
      <c r="G165" s="0" t="n">
        <f aca="false">$B$3*D165</f>
        <v>-0.000923308294953917</v>
      </c>
      <c r="H165" s="0" t="n">
        <f aca="false">$B$4*D165+$C$4*E165</f>
        <v>0.0113014792258308</v>
      </c>
      <c r="I165" s="0" t="n">
        <f aca="false">$B$5*D165+$C$5*E165+$D$5*F165</f>
        <v>-0.00572406102485578</v>
      </c>
      <c r="J165" s="0" t="n">
        <f aca="false">SUMPRODUCT(G165:I165,Inputs!$B$4:$D$4)*Inputs!$B$2</f>
        <v>1303.90214231093</v>
      </c>
    </row>
    <row r="166" customFormat="false" ht="15" hidden="false" customHeight="false" outlineLevel="0" collapsed="false">
      <c r="D166" s="0" t="n">
        <f aca="false">MC_Shocks!A153</f>
        <v>0.504046515517844</v>
      </c>
      <c r="E166" s="0" t="n">
        <f aca="false">MC_Shocks!B153</f>
        <v>-0.530257618372441</v>
      </c>
      <c r="F166" s="0" t="n">
        <f aca="false">MC_Shocks!C153</f>
        <v>-0.792872832262344</v>
      </c>
      <c r="G166" s="0" t="n">
        <f aca="false">$B$3*D166</f>
        <v>0.0074249685950637</v>
      </c>
      <c r="H166" s="0" t="n">
        <f aca="false">$B$4*D166+$C$4*E166</f>
        <v>-0.00134873636976994</v>
      </c>
      <c r="I166" s="0" t="n">
        <f aca="false">$B$5*D166+$C$5*E166+$D$5*F166</f>
        <v>-0.00358921783775385</v>
      </c>
      <c r="J166" s="0" t="n">
        <f aca="false">SUMPRODUCT(G166:I166,Inputs!$B$4:$D$4)*Inputs!$B$2</f>
        <v>1488.60117576834</v>
      </c>
    </row>
    <row r="167" customFormat="false" ht="15" hidden="false" customHeight="false" outlineLevel="0" collapsed="false">
      <c r="D167" s="0" t="n">
        <f aca="false">MC_Shocks!A154</f>
        <v>-0.107030359954558</v>
      </c>
      <c r="E167" s="0" t="n">
        <f aca="false">MC_Shocks!B154</f>
        <v>-1.03524232241937</v>
      </c>
      <c r="F167" s="0" t="n">
        <f aca="false">MC_Shocks!C154</f>
        <v>-0.553649305347182</v>
      </c>
      <c r="G167" s="0" t="n">
        <f aca="false">$B$3*D167</f>
        <v>-0.00157663437185853</v>
      </c>
      <c r="H167" s="0" t="n">
        <f aca="false">$B$4*D167+$C$4*E167</f>
        <v>-0.0140857430491748</v>
      </c>
      <c r="I167" s="0" t="n">
        <f aca="false">$B$5*D167+$C$5*E167+$D$5*F167</f>
        <v>-0.00985946627961953</v>
      </c>
      <c r="J167" s="0" t="n">
        <f aca="false">SUMPRODUCT(G167:I167,Inputs!$B$4:$D$4)*Inputs!$B$2</f>
        <v>-7814.21654738172</v>
      </c>
    </row>
    <row r="168" customFormat="false" ht="15" hidden="false" customHeight="false" outlineLevel="0" collapsed="false">
      <c r="D168" s="0" t="n">
        <f aca="false">MC_Shocks!A155</f>
        <v>-1.19787789258885</v>
      </c>
      <c r="E168" s="0" t="n">
        <f aca="false">MC_Shocks!B155</f>
        <v>1.96472513291639</v>
      </c>
      <c r="F168" s="0" t="n">
        <f aca="false">MC_Shocks!C155</f>
        <v>0.0352635519717286</v>
      </c>
      <c r="G168" s="0" t="n">
        <f aca="false">$B$3*D168</f>
        <v>-0.0176456050371772</v>
      </c>
      <c r="H168" s="0" t="n">
        <f aca="false">$B$4*D168+$C$4*E168</f>
        <v>0.012027079525677</v>
      </c>
      <c r="I168" s="0" t="n">
        <f aca="false">$B$5*D168+$C$5*E168+$D$5*F168</f>
        <v>-0.00503061460651181</v>
      </c>
      <c r="J168" s="0" t="n">
        <f aca="false">SUMPRODUCT(G168:I168,Inputs!$B$4:$D$4)*Inputs!$B$2</f>
        <v>-4959.30253912131</v>
      </c>
    </row>
    <row r="169" customFormat="false" ht="15" hidden="false" customHeight="false" outlineLevel="0" collapsed="false">
      <c r="D169" s="0" t="n">
        <f aca="false">MC_Shocks!A156</f>
        <v>-0.699725507992586</v>
      </c>
      <c r="E169" s="0" t="n">
        <f aca="false">MC_Shocks!B156</f>
        <v>0.213979910734222</v>
      </c>
      <c r="F169" s="0" t="n">
        <f aca="false">MC_Shocks!C156</f>
        <v>-0.11232804969083</v>
      </c>
      <c r="G169" s="0" t="n">
        <f aca="false">$B$3*D169</f>
        <v>-0.010307461240303</v>
      </c>
      <c r="H169" s="0" t="n">
        <f aca="false">$B$4*D169+$C$4*E169</f>
        <v>-0.0046653042730939</v>
      </c>
      <c r="I169" s="0" t="n">
        <f aca="false">$B$5*D169+$C$5*E169+$D$5*F169</f>
        <v>-0.00759807153208806</v>
      </c>
      <c r="J169" s="0" t="n">
        <f aca="false">SUMPRODUCT(G169:I169,Inputs!$B$4:$D$4)*Inputs!$B$2</f>
        <v>-7801.99723767577</v>
      </c>
    </row>
    <row r="170" customFormat="false" ht="15" hidden="false" customHeight="false" outlineLevel="0" collapsed="false">
      <c r="D170" s="0" t="n">
        <f aca="false">MC_Shocks!A157</f>
        <v>-0.220969599533223</v>
      </c>
      <c r="E170" s="0" t="n">
        <f aca="false">MC_Shocks!B157</f>
        <v>0.614166700043425</v>
      </c>
      <c r="F170" s="0" t="n">
        <f aca="false">MC_Shocks!C157</f>
        <v>0.757507710047305</v>
      </c>
      <c r="G170" s="0" t="n">
        <f aca="false">$B$3*D170</f>
        <v>-0.00325504152193648</v>
      </c>
      <c r="H170" s="0" t="n">
        <f aca="false">$B$4*D170+$C$4*E170</f>
        <v>0.00537063718062062</v>
      </c>
      <c r="I170" s="0" t="n">
        <f aca="false">$B$5*D170+$C$5*E170+$D$5*F170</f>
        <v>0.00659328659478782</v>
      </c>
      <c r="J170" s="0" t="n">
        <f aca="false">SUMPRODUCT(G170:I170,Inputs!$B$4:$D$4)*Inputs!$B$2</f>
        <v>2287.16052384794</v>
      </c>
    </row>
    <row r="171" customFormat="false" ht="15" hidden="false" customHeight="false" outlineLevel="0" collapsed="false">
      <c r="D171" s="0" t="n">
        <f aca="false">MC_Shocks!A158</f>
        <v>-0.530501147610528</v>
      </c>
      <c r="E171" s="0" t="n">
        <f aca="false">MC_Shocks!B158</f>
        <v>-0.57581824064468</v>
      </c>
      <c r="F171" s="0" t="n">
        <f aca="false">MC_Shocks!C158</f>
        <v>-0.275051697151644</v>
      </c>
      <c r="G171" s="0" t="n">
        <f aca="false">$B$3*D171</f>
        <v>-0.00781466439978588</v>
      </c>
      <c r="H171" s="0" t="n">
        <f aca="false">$B$4*D171+$C$4*E171</f>
        <v>-0.0127781664137924</v>
      </c>
      <c r="I171" s="0" t="n">
        <f aca="false">$B$5*D171+$C$5*E171+$D$5*F171</f>
        <v>-0.0101866960334153</v>
      </c>
      <c r="J171" s="0" t="n">
        <f aca="false">SUMPRODUCT(G171:I171,Inputs!$B$4:$D$4)*Inputs!$B$2</f>
        <v>-10015.3244940767</v>
      </c>
    </row>
    <row r="172" customFormat="false" ht="15" hidden="false" customHeight="false" outlineLevel="0" collapsed="false">
      <c r="D172" s="0" t="n">
        <f aca="false">MC_Shocks!A159</f>
        <v>-2.30192116473559</v>
      </c>
      <c r="E172" s="0" t="n">
        <f aca="false">MC_Shocks!B159</f>
        <v>-1.51519106219855</v>
      </c>
      <c r="F172" s="0" t="n">
        <f aca="false">MC_Shocks!C159</f>
        <v>1.36687426744453</v>
      </c>
      <c r="G172" s="0" t="n">
        <f aca="false">$B$3*D172</f>
        <v>-0.0339089584597457</v>
      </c>
      <c r="H172" s="0" t="n">
        <f aca="false">$B$4*D172+$C$4*E172</f>
        <v>-0.0431335218775002</v>
      </c>
      <c r="I172" s="0" t="n">
        <f aca="false">$B$5*D172+$C$5*E172+$D$5*F172</f>
        <v>-0.0180912040895091</v>
      </c>
      <c r="J172" s="0" t="n">
        <f aca="false">SUMPRODUCT(G172:I172,Inputs!$B$4:$D$4)*Inputs!$B$2</f>
        <v>-31931.0011740011</v>
      </c>
    </row>
    <row r="173" customFormat="false" ht="15" hidden="false" customHeight="false" outlineLevel="0" collapsed="false">
      <c r="D173" s="0" t="n">
        <f aca="false">MC_Shocks!A160</f>
        <v>1.64496771350128</v>
      </c>
      <c r="E173" s="0" t="n">
        <f aca="false">MC_Shocks!B160</f>
        <v>-0.249036039556378</v>
      </c>
      <c r="F173" s="0" t="n">
        <f aca="false">MC_Shocks!C160</f>
        <v>0.576556963055766</v>
      </c>
      <c r="G173" s="0" t="n">
        <f aca="false">$B$3*D173</f>
        <v>0.0242315604544803</v>
      </c>
      <c r="H173" s="0" t="n">
        <f aca="false">$B$4*D173+$C$4*E173</f>
        <v>0.0141479479251569</v>
      </c>
      <c r="I173" s="0" t="n">
        <f aca="false">$B$5*D173+$C$5*E173+$D$5*F173</f>
        <v>0.0215503840481507</v>
      </c>
      <c r="J173" s="0" t="n">
        <f aca="false">SUMPRODUCT(G173:I173,Inputs!$B$4:$D$4)*Inputs!$B$2</f>
        <v>20402.1237737844</v>
      </c>
    </row>
    <row r="174" customFormat="false" ht="15" hidden="false" customHeight="false" outlineLevel="0" collapsed="false">
      <c r="D174" s="0" t="n">
        <f aca="false">MC_Shocks!A161</f>
        <v>0.311250154543536</v>
      </c>
      <c r="E174" s="0" t="n">
        <f aca="false">MC_Shocks!B161</f>
        <v>3.07888080845524</v>
      </c>
      <c r="F174" s="0" t="n">
        <f aca="false">MC_Shocks!C161</f>
        <v>1.11957491143458</v>
      </c>
      <c r="G174" s="0" t="n">
        <f aca="false">$B$3*D174</f>
        <v>0.00458493919022571</v>
      </c>
      <c r="H174" s="0" t="n">
        <f aca="false">$B$4*D174+$C$4*E174</f>
        <v>0.0418177934833712</v>
      </c>
      <c r="I174" s="0" t="n">
        <f aca="false">$B$5*D174+$C$5*E174+$D$5*F174</f>
        <v>0.0246310736590941</v>
      </c>
      <c r="J174" s="0" t="n">
        <f aca="false">SUMPRODUCT(G174:I174,Inputs!$B$4:$D$4)*Inputs!$B$2</f>
        <v>21768.6358188299</v>
      </c>
    </row>
    <row r="175" customFormat="false" ht="15" hidden="false" customHeight="false" outlineLevel="0" collapsed="false">
      <c r="D175" s="0" t="n">
        <f aca="false">MC_Shocks!A162</f>
        <v>-0.127917591480767</v>
      </c>
      <c r="E175" s="0" t="n">
        <f aca="false">MC_Shocks!B162</f>
        <v>-0.955540440600426</v>
      </c>
      <c r="F175" s="0" t="n">
        <f aca="false">MC_Shocks!C162</f>
        <v>-1.60644632025757</v>
      </c>
      <c r="G175" s="0" t="n">
        <f aca="false">$B$3*D175</f>
        <v>-0.00188431835209712</v>
      </c>
      <c r="H175" s="0" t="n">
        <f aca="false">$B$4*D175+$C$4*E175</f>
        <v>-0.013307031644654</v>
      </c>
      <c r="I175" s="0" t="n">
        <f aca="false">$B$5*D175+$C$5*E175+$D$5*F175</f>
        <v>-0.0190052028248555</v>
      </c>
      <c r="J175" s="0" t="n">
        <f aca="false">SUMPRODUCT(G175:I175,Inputs!$B$4:$D$4)*Inputs!$B$2</f>
        <v>-10447.3976816917</v>
      </c>
    </row>
    <row r="176" customFormat="false" ht="15" hidden="false" customHeight="false" outlineLevel="0" collapsed="false">
      <c r="D176" s="0" t="n">
        <f aca="false">MC_Shocks!A163</f>
        <v>0.203463635867223</v>
      </c>
      <c r="E176" s="0" t="n">
        <f aca="false">MC_Shocks!B163</f>
        <v>-0.756350745284303</v>
      </c>
      <c r="F176" s="0" t="n">
        <f aca="false">MC_Shocks!C163</f>
        <v>-1.42225370959767</v>
      </c>
      <c r="G176" s="0" t="n">
        <f aca="false">$B$3*D176</f>
        <v>0.00299716605519937</v>
      </c>
      <c r="H176" s="0" t="n">
        <f aca="false">$B$4*D176+$C$4*E176</f>
        <v>-0.00733467859505796</v>
      </c>
      <c r="I176" s="0" t="n">
        <f aca="false">$B$5*D176+$C$5*E176+$D$5*F176</f>
        <v>-0.0131343518309322</v>
      </c>
      <c r="J176" s="0" t="n">
        <f aca="false">SUMPRODUCT(G176:I176,Inputs!$B$4:$D$4)*Inputs!$B$2</f>
        <v>-4941.84270571729</v>
      </c>
    </row>
    <row r="177" customFormat="false" ht="15" hidden="false" customHeight="false" outlineLevel="0" collapsed="false">
      <c r="D177" s="0" t="n">
        <f aca="false">MC_Shocks!A164</f>
        <v>-0.646572884242527</v>
      </c>
      <c r="E177" s="0" t="n">
        <f aca="false">MC_Shocks!B164</f>
        <v>-1.0815480036144</v>
      </c>
      <c r="F177" s="0" t="n">
        <f aca="false">MC_Shocks!C164</f>
        <v>1.68714163507257</v>
      </c>
      <c r="G177" s="0" t="n">
        <f aca="false">$B$3*D177</f>
        <v>-0.00952448476900652</v>
      </c>
      <c r="H177" s="0" t="n">
        <f aca="false">$B$4*D177+$C$4*E177</f>
        <v>-0.0203287600538956</v>
      </c>
      <c r="I177" s="0" t="n">
        <f aca="false">$B$5*D177+$C$5*E177+$D$5*F177</f>
        <v>0.003879465716323</v>
      </c>
      <c r="J177" s="0" t="n">
        <f aca="false">SUMPRODUCT(G177:I177,Inputs!$B$4:$D$4)*Inputs!$B$2</f>
        <v>-8744.58220887439</v>
      </c>
    </row>
    <row r="178" customFormat="false" ht="15" hidden="false" customHeight="false" outlineLevel="0" collapsed="false">
      <c r="D178" s="0" t="n">
        <f aca="false">MC_Shocks!A165</f>
        <v>0.881639756949451</v>
      </c>
      <c r="E178" s="0" t="n">
        <f aca="false">MC_Shocks!B165</f>
        <v>-0.00797264131661737</v>
      </c>
      <c r="F178" s="0" t="n">
        <f aca="false">MC_Shocks!C165</f>
        <v>1.47994413889003</v>
      </c>
      <c r="G178" s="0" t="n">
        <f aca="false">$B$3*D178</f>
        <v>0.012987189289036</v>
      </c>
      <c r="H178" s="0" t="n">
        <f aca="false">$B$4*D178+$C$4*E178</f>
        <v>0.00915416433869057</v>
      </c>
      <c r="I178" s="0" t="n">
        <f aca="false">$B$5*D178+$C$5*E178+$D$5*F178</f>
        <v>0.022277586193415</v>
      </c>
      <c r="J178" s="0" t="n">
        <f aca="false">SUMPRODUCT(G178:I178,Inputs!$B$4:$D$4)*Inputs!$B$2</f>
        <v>14624.4008752461</v>
      </c>
    </row>
    <row r="179" customFormat="false" ht="15" hidden="false" customHeight="false" outlineLevel="0" collapsed="false">
      <c r="D179" s="0" t="n">
        <f aca="false">MC_Shocks!A166</f>
        <v>0.0773683076476183</v>
      </c>
      <c r="E179" s="0" t="n">
        <f aca="false">MC_Shocks!B166</f>
        <v>-0.861284201328264</v>
      </c>
      <c r="F179" s="0" t="n">
        <f aca="false">MC_Shocks!C166</f>
        <v>1.52312407726966</v>
      </c>
      <c r="G179" s="0" t="n">
        <f aca="false">$B$3*D179</f>
        <v>0.00113969095480525</v>
      </c>
      <c r="H179" s="0" t="n">
        <f aca="false">$B$4*D179+$C$4*E179</f>
        <v>-0.00997209452165793</v>
      </c>
      <c r="I179" s="0" t="n">
        <f aca="false">$B$5*D179+$C$5*E179+$D$5*F179</f>
        <v>0.0109387844212288</v>
      </c>
      <c r="J179" s="0" t="n">
        <f aca="false">SUMPRODUCT(G179:I179,Inputs!$B$4:$D$4)*Inputs!$B$2</f>
        <v>745.883351793347</v>
      </c>
    </row>
    <row r="180" customFormat="false" ht="15" hidden="false" customHeight="false" outlineLevel="0" collapsed="false">
      <c r="D180" s="0" t="n">
        <f aca="false">MC_Shocks!A167</f>
        <v>0.538910043684659</v>
      </c>
      <c r="E180" s="0" t="n">
        <f aca="false">MC_Shocks!B167</f>
        <v>-1.03724615432646</v>
      </c>
      <c r="F180" s="0" t="n">
        <f aca="false">MC_Shocks!C167</f>
        <v>-0.190338678083608</v>
      </c>
      <c r="G180" s="0" t="n">
        <f aca="false">$B$3*D180</f>
        <v>0.00793853350183777</v>
      </c>
      <c r="H180" s="0" t="n">
        <f aca="false">$B$4*D180+$C$4*E180</f>
        <v>-0.00733082339250962</v>
      </c>
      <c r="I180" s="0" t="n">
        <f aca="false">$B$5*D180+$C$5*E180+$D$5*F180</f>
        <v>0.000160783611376408</v>
      </c>
      <c r="J180" s="0" t="n">
        <f aca="false">SUMPRODUCT(G180:I180,Inputs!$B$4:$D$4)*Inputs!$B$2</f>
        <v>1024.40146639514</v>
      </c>
    </row>
    <row r="181" customFormat="false" ht="15" hidden="false" customHeight="false" outlineLevel="0" collapsed="false">
      <c r="D181" s="0" t="n">
        <f aca="false">MC_Shocks!A168</f>
        <v>-0.875618253384757</v>
      </c>
      <c r="E181" s="0" t="n">
        <f aca="false">MC_Shocks!B168</f>
        <v>-1.38279973096434</v>
      </c>
      <c r="F181" s="0" t="n">
        <f aca="false">MC_Shocks!C168</f>
        <v>0.926177547531641</v>
      </c>
      <c r="G181" s="0" t="n">
        <f aca="false">$B$3*D181</f>
        <v>-0.0128984881999768</v>
      </c>
      <c r="H181" s="0" t="n">
        <f aca="false">$B$4*D181+$C$4*E181</f>
        <v>-0.0265048845312015</v>
      </c>
      <c r="I181" s="0" t="n">
        <f aca="false">$B$5*D181+$C$5*E181+$D$5*F181</f>
        <v>-0.00634161659940025</v>
      </c>
      <c r="J181" s="0" t="n">
        <f aca="false">SUMPRODUCT(G181:I181,Inputs!$B$4:$D$4)*Inputs!$B$2</f>
        <v>-15013.3456191713</v>
      </c>
    </row>
    <row r="182" customFormat="false" ht="15" hidden="false" customHeight="false" outlineLevel="0" collapsed="false">
      <c r="D182" s="0" t="n">
        <f aca="false">MC_Shocks!A169</f>
        <v>1.90941664047013</v>
      </c>
      <c r="E182" s="0" t="n">
        <f aca="false">MC_Shocks!B169</f>
        <v>-1.39856757381914</v>
      </c>
      <c r="F182" s="0" t="n">
        <f aca="false">MC_Shocks!C169</f>
        <v>0.562969236690571</v>
      </c>
      <c r="G182" s="0" t="n">
        <f aca="false">$B$3*D182</f>
        <v>0.0281270838184791</v>
      </c>
      <c r="H182" s="0" t="n">
        <f aca="false">$B$4*D182+$C$4*E182</f>
        <v>0.00253035715806419</v>
      </c>
      <c r="I182" s="0" t="n">
        <f aca="false">$B$5*D182+$C$5*E182+$D$5*F182</f>
        <v>0.019930753009122</v>
      </c>
      <c r="J182" s="0" t="n">
        <f aca="false">SUMPRODUCT(G182:I182,Inputs!$B$4:$D$4)*Inputs!$B$2</f>
        <v>17989.1665775475</v>
      </c>
    </row>
    <row r="183" customFormat="false" ht="15" hidden="false" customHeight="false" outlineLevel="0" collapsed="false">
      <c r="D183" s="0" t="n">
        <f aca="false">MC_Shocks!A170</f>
        <v>-0.650642569121827</v>
      </c>
      <c r="E183" s="0" t="n">
        <f aca="false">MC_Shocks!B170</f>
        <v>-0.487125383764696</v>
      </c>
      <c r="F183" s="0" t="n">
        <f aca="false">MC_Shocks!C170</f>
        <v>-0.592393924238869</v>
      </c>
      <c r="G183" s="0" t="n">
        <f aca="false">$B$3*D183</f>
        <v>-0.00958443416155329</v>
      </c>
      <c r="H183" s="0" t="n">
        <f aca="false">$B$4*D183+$C$4*E183</f>
        <v>-0.012928684270569</v>
      </c>
      <c r="I183" s="0" t="n">
        <f aca="false">$B$5*D183+$C$5*E183+$D$5*F183</f>
        <v>-0.0139078313136683</v>
      </c>
      <c r="J183" s="0" t="n">
        <f aca="false">SUMPRODUCT(G183:I183,Inputs!$B$4:$D$4)*Inputs!$B$2</f>
        <v>-11884.7283398925</v>
      </c>
    </row>
    <row r="184" customFormat="false" ht="15" hidden="false" customHeight="false" outlineLevel="0" collapsed="false">
      <c r="D184" s="0" t="n">
        <f aca="false">MC_Shocks!A171</f>
        <v>-0.863990769679816</v>
      </c>
      <c r="E184" s="0" t="n">
        <f aca="false">MC_Shocks!B171</f>
        <v>0.048521627944827</v>
      </c>
      <c r="F184" s="0" t="n">
        <f aca="false">MC_Shocks!C171</f>
        <v>-0.830950116411038</v>
      </c>
      <c r="G184" s="0" t="n">
        <f aca="false">$B$3*D184</f>
        <v>-0.0127272069814962</v>
      </c>
      <c r="H184" s="0" t="n">
        <f aca="false">$B$4*D184+$C$4*E184</f>
        <v>-0.00846119887748616</v>
      </c>
      <c r="I184" s="0" t="n">
        <f aca="false">$B$5*D184+$C$5*E184+$D$5*F184</f>
        <v>-0.0162534412849779</v>
      </c>
      <c r="J184" s="0" t="n">
        <f aca="false">SUMPRODUCT(G184:I184,Inputs!$B$4:$D$4)*Inputs!$B$2</f>
        <v>-12505.2748413377</v>
      </c>
    </row>
    <row r="185" customFormat="false" ht="15" hidden="false" customHeight="false" outlineLevel="0" collapsed="false">
      <c r="D185" s="0" t="n">
        <f aca="false">MC_Shocks!A172</f>
        <v>0.270456825779839</v>
      </c>
      <c r="E185" s="0" t="n">
        <f aca="false">MC_Shocks!B172</f>
        <v>-0.050238109449137</v>
      </c>
      <c r="F185" s="0" t="n">
        <f aca="false">MC_Shocks!C172</f>
        <v>-0.23894804686641</v>
      </c>
      <c r="G185" s="0" t="n">
        <f aca="false">$B$3*D185</f>
        <v>0.00398402404522688</v>
      </c>
      <c r="H185" s="0" t="n">
        <f aca="false">$B$4*D185+$C$4*E185</f>
        <v>0.0022097729975409</v>
      </c>
      <c r="I185" s="0" t="n">
        <f aca="false">$B$5*D185+$C$5*E185+$D$5*F185</f>
        <v>0.000584754942594716</v>
      </c>
      <c r="J185" s="0" t="n">
        <f aca="false">SUMPRODUCT(G185:I185,Inputs!$B$4:$D$4)*Inputs!$B$2</f>
        <v>2431.96800013144</v>
      </c>
    </row>
    <row r="186" customFormat="false" ht="15" hidden="false" customHeight="false" outlineLevel="0" collapsed="false">
      <c r="D186" s="0" t="n">
        <f aca="false">MC_Shocks!A173</f>
        <v>-0.907563662041598</v>
      </c>
      <c r="E186" s="0" t="n">
        <f aca="false">MC_Shocks!B173</f>
        <v>-0.576771330568333</v>
      </c>
      <c r="F186" s="0" t="n">
        <f aca="false">MC_Shocks!C173</f>
        <v>0.755391225825756</v>
      </c>
      <c r="G186" s="0" t="n">
        <f aca="false">$B$3*D186</f>
        <v>-0.013369067102382</v>
      </c>
      <c r="H186" s="0" t="n">
        <f aca="false">$B$4*D186+$C$4*E186</f>
        <v>-0.0167478762329767</v>
      </c>
      <c r="I186" s="0" t="n">
        <f aca="false">$B$5*D186+$C$5*E186+$D$5*F186</f>
        <v>-0.00515910701409224</v>
      </c>
      <c r="J186" s="0" t="n">
        <f aca="false">SUMPRODUCT(G186:I186,Inputs!$B$4:$D$4)*Inputs!$B$2</f>
        <v>-11919.7218150735</v>
      </c>
    </row>
    <row r="187" customFormat="false" ht="15" hidden="false" customHeight="false" outlineLevel="0" collapsed="false">
      <c r="D187" s="0" t="n">
        <f aca="false">MC_Shocks!A174</f>
        <v>0.500917187624381</v>
      </c>
      <c r="E187" s="0" t="n">
        <f aca="false">MC_Shocks!B174</f>
        <v>-0.977555244798551</v>
      </c>
      <c r="F187" s="0" t="n">
        <f aca="false">MC_Shocks!C174</f>
        <v>0.0993323054292259</v>
      </c>
      <c r="G187" s="0" t="n">
        <f aca="false">$B$3*D187</f>
        <v>0.00737887133892306</v>
      </c>
      <c r="H187" s="0" t="n">
        <f aca="false">$B$4*D187+$C$4*E187</f>
        <v>-0.00698221672067786</v>
      </c>
      <c r="I187" s="0" t="n">
        <f aca="false">$B$5*D187+$C$5*E187+$D$5*F187</f>
        <v>0.00251919144951349</v>
      </c>
      <c r="J187" s="0" t="n">
        <f aca="false">SUMPRODUCT(G187:I187,Inputs!$B$4:$D$4)*Inputs!$B$2</f>
        <v>1612.64095421991</v>
      </c>
    </row>
    <row r="188" customFormat="false" ht="15" hidden="false" customHeight="false" outlineLevel="0" collapsed="false">
      <c r="D188" s="0" t="n">
        <f aca="false">MC_Shocks!A175</f>
        <v>0.751387123371789</v>
      </c>
      <c r="E188" s="0" t="n">
        <f aca="false">MC_Shocks!B175</f>
        <v>-1.66940528112137</v>
      </c>
      <c r="F188" s="0" t="n">
        <f aca="false">MC_Shocks!C175</f>
        <v>0.543360192379935</v>
      </c>
      <c r="G188" s="0" t="n">
        <f aca="false">$B$3*D188</f>
        <v>0.011068474083268</v>
      </c>
      <c r="H188" s="0" t="n">
        <f aca="false">$B$4*D188+$C$4*E188</f>
        <v>-0.0130158849352542</v>
      </c>
      <c r="I188" s="0" t="n">
        <f aca="false">$B$5*D188+$C$5*E188+$D$5*F188</f>
        <v>0.00647345411260979</v>
      </c>
      <c r="J188" s="0" t="n">
        <f aca="false">SUMPRODUCT(G188:I188,Inputs!$B$4:$D$4)*Inputs!$B$2</f>
        <v>2464.66038651387</v>
      </c>
    </row>
    <row r="189" customFormat="false" ht="15" hidden="false" customHeight="false" outlineLevel="0" collapsed="false">
      <c r="D189" s="0" t="n">
        <f aca="false">MC_Shocks!A176</f>
        <v>-0.662623758945847</v>
      </c>
      <c r="E189" s="0" t="n">
        <f aca="false">MC_Shocks!B176</f>
        <v>0.570598668593159</v>
      </c>
      <c r="F189" s="0" t="n">
        <f aca="false">MC_Shocks!C176</f>
        <v>-0.763259156542517</v>
      </c>
      <c r="G189" s="0" t="n">
        <f aca="false">$B$3*D189</f>
        <v>-0.00976092572619281</v>
      </c>
      <c r="H189" s="0" t="n">
        <f aca="false">$B$4*D189+$C$4*E189</f>
        <v>0.000189367916273086</v>
      </c>
      <c r="I189" s="0" t="n">
        <f aca="false">$B$5*D189+$C$5*E189+$D$5*F189</f>
        <v>-0.0115722920343214</v>
      </c>
      <c r="J189" s="0" t="n">
        <f aca="false">SUMPRODUCT(G189:I189,Inputs!$B$4:$D$4)*Inputs!$B$2</f>
        <v>-7319.24752589163</v>
      </c>
    </row>
    <row r="190" customFormat="false" ht="15" hidden="false" customHeight="false" outlineLevel="0" collapsed="false">
      <c r="D190" s="0" t="n">
        <f aca="false">MC_Shocks!A177</f>
        <v>-1.80488210066452</v>
      </c>
      <c r="E190" s="0" t="n">
        <f aca="false">MC_Shocks!B177</f>
        <v>-1.62754243788316</v>
      </c>
      <c r="F190" s="0" t="n">
        <f aca="false">MC_Shocks!C177</f>
        <v>0.048084946661382</v>
      </c>
      <c r="G190" s="0" t="n">
        <f aca="false">$B$3*D190</f>
        <v>-0.0265872146769205</v>
      </c>
      <c r="H190" s="0" t="n">
        <f aca="false">$B$4*D190+$C$4*E190</f>
        <v>-0.0393231878215608</v>
      </c>
      <c r="I190" s="0" t="n">
        <f aca="false">$B$5*D190+$C$5*E190+$D$5*F190</f>
        <v>-0.0247975000363935</v>
      </c>
      <c r="J190" s="0" t="n">
        <f aca="false">SUMPRODUCT(G190:I190,Inputs!$B$4:$D$4)*Inputs!$B$2</f>
        <v>-29871.0922281545</v>
      </c>
    </row>
    <row r="191" customFormat="false" ht="15" hidden="false" customHeight="false" outlineLevel="0" collapsed="false">
      <c r="D191" s="0" t="n">
        <f aca="false">MC_Shocks!A178</f>
        <v>0.259722501721482</v>
      </c>
      <c r="E191" s="0" t="n">
        <f aca="false">MC_Shocks!B178</f>
        <v>-0.904316625104409</v>
      </c>
      <c r="F191" s="0" t="n">
        <f aca="false">MC_Shocks!C178</f>
        <v>0.638592458777374</v>
      </c>
      <c r="G191" s="0" t="n">
        <f aca="false">$B$3*D191</f>
        <v>0.00382589971231556</v>
      </c>
      <c r="H191" s="0" t="n">
        <f aca="false">$B$4*D191+$C$4*E191</f>
        <v>-0.00859685393394763</v>
      </c>
      <c r="I191" s="0" t="n">
        <f aca="false">$B$5*D191+$C$5*E191+$D$5*F191</f>
        <v>0.00496142688350282</v>
      </c>
      <c r="J191" s="0" t="n">
        <f aca="false">SUMPRODUCT(G191:I191,Inputs!$B$4:$D$4)*Inputs!$B$2</f>
        <v>439.731769792781</v>
      </c>
    </row>
    <row r="192" customFormat="false" ht="15" hidden="false" customHeight="false" outlineLevel="0" collapsed="false">
      <c r="D192" s="0" t="n">
        <f aca="false">MC_Shocks!A179</f>
        <v>-1.66152006226896</v>
      </c>
      <c r="E192" s="0" t="n">
        <f aca="false">MC_Shocks!B179</f>
        <v>-0.0660797986473166</v>
      </c>
      <c r="F192" s="0" t="n">
        <f aca="false">MC_Shocks!C179</f>
        <v>-1.21101619976246</v>
      </c>
      <c r="G192" s="0" t="n">
        <f aca="false">$B$3*D192</f>
        <v>-0.0244753884862013</v>
      </c>
      <c r="H192" s="0" t="n">
        <f aca="false">$B$4*D192+$C$4*E192</f>
        <v>-0.0182672666952037</v>
      </c>
      <c r="I192" s="0" t="n">
        <f aca="false">$B$5*D192+$C$5*E192+$D$5*F192</f>
        <v>-0.0284633513567675</v>
      </c>
      <c r="J192" s="0" t="n">
        <f aca="false">SUMPRODUCT(G192:I192,Inputs!$B$4:$D$4)*Inputs!$B$2</f>
        <v>-23809.3408100719</v>
      </c>
    </row>
    <row r="193" customFormat="false" ht="15" hidden="false" customHeight="false" outlineLevel="0" collapsed="false">
      <c r="D193" s="0" t="n">
        <f aca="false">MC_Shocks!A180</f>
        <v>-0.651836107802159</v>
      </c>
      <c r="E193" s="0" t="n">
        <f aca="false">MC_Shocks!B180</f>
        <v>0.047398671316414</v>
      </c>
      <c r="F193" s="0" t="n">
        <f aca="false">MC_Shocks!C180</f>
        <v>-0.860413365283952</v>
      </c>
      <c r="G193" s="0" t="n">
        <f aca="false">$B$3*D193</f>
        <v>-0.00960201584686532</v>
      </c>
      <c r="H193" s="0" t="n">
        <f aca="false">$B$4*D193+$C$4*E193</f>
        <v>-0.00624841212605673</v>
      </c>
      <c r="I193" s="0" t="n">
        <f aca="false">$B$5*D193+$C$5*E193+$D$5*F193</f>
        <v>-0.0142675340084151</v>
      </c>
      <c r="J193" s="0" t="n">
        <f aca="false">SUMPRODUCT(G193:I193,Inputs!$B$4:$D$4)*Inputs!$B$2</f>
        <v>-9995.59017908767</v>
      </c>
    </row>
    <row r="194" customFormat="false" ht="15" hidden="false" customHeight="false" outlineLevel="0" collapsed="false">
      <c r="D194" s="0" t="n">
        <f aca="false">MC_Shocks!A181</f>
        <v>-0.384555544229825</v>
      </c>
      <c r="E194" s="0" t="n">
        <f aca="false">MC_Shocks!B181</f>
        <v>1.00629280921444</v>
      </c>
      <c r="F194" s="0" t="n">
        <f aca="false">MC_Shocks!C181</f>
        <v>-0.576891869523149</v>
      </c>
      <c r="G194" s="0" t="n">
        <f aca="false">$B$3*D194</f>
        <v>-0.00566478043406492</v>
      </c>
      <c r="H194" s="0" t="n">
        <f aca="false">$B$4*D194+$C$4*E194</f>
        <v>0.0085634123732975</v>
      </c>
      <c r="I194" s="0" t="n">
        <f aca="false">$B$5*D194+$C$5*E194+$D$5*F194</f>
        <v>-0.00536205698825399</v>
      </c>
      <c r="J194" s="0" t="n">
        <f aca="false">SUMPRODUCT(G194:I194,Inputs!$B$4:$D$4)*Inputs!$B$2</f>
        <v>-1305.50555811291</v>
      </c>
    </row>
    <row r="195" customFormat="false" ht="15" hidden="false" customHeight="false" outlineLevel="0" collapsed="false">
      <c r="D195" s="0" t="n">
        <f aca="false">MC_Shocks!A182</f>
        <v>0.835692112065142</v>
      </c>
      <c r="E195" s="0" t="n">
        <f aca="false">MC_Shocks!B182</f>
        <v>-1.12970685465762</v>
      </c>
      <c r="F195" s="0" t="n">
        <f aca="false">MC_Shocks!C182</f>
        <v>0.529804177915283</v>
      </c>
      <c r="G195" s="0" t="n">
        <f aca="false">$B$3*D195</f>
        <v>0.0123103473512783</v>
      </c>
      <c r="H195" s="0" t="n">
        <f aca="false">$B$4*D195+$C$4*E195</f>
        <v>-0.00537340268812256</v>
      </c>
      <c r="I195" s="0" t="n">
        <f aca="false">$B$5*D195+$C$5*E195+$D$5*F195</f>
        <v>0.00926830977728465</v>
      </c>
      <c r="J195" s="0" t="n">
        <f aca="false">SUMPRODUCT(G195:I195,Inputs!$B$4:$D$4)*Inputs!$B$2</f>
        <v>6092.61106725993</v>
      </c>
    </row>
    <row r="196" customFormat="false" ht="15" hidden="false" customHeight="false" outlineLevel="0" collapsed="false">
      <c r="D196" s="0" t="n">
        <f aca="false">MC_Shocks!A183</f>
        <v>1.4415686206579</v>
      </c>
      <c r="E196" s="0" t="n">
        <f aca="false">MC_Shocks!B183</f>
        <v>-2.47164450012729</v>
      </c>
      <c r="F196" s="0" t="n">
        <f aca="false">MC_Shocks!C183</f>
        <v>-0.796895255470477</v>
      </c>
      <c r="G196" s="0" t="n">
        <f aca="false">$B$3*D196</f>
        <v>0.0212353451645581</v>
      </c>
      <c r="H196" s="0" t="n">
        <f aca="false">$B$4*D196+$C$4*E196</f>
        <v>-0.0158163793114812</v>
      </c>
      <c r="I196" s="0" t="n">
        <f aca="false">$B$5*D196+$C$5*E196+$D$5*F196</f>
        <v>-0.000956568711980636</v>
      </c>
      <c r="J196" s="0" t="n">
        <f aca="false">SUMPRODUCT(G196:I196,Inputs!$B$4:$D$4)*Inputs!$B$2</f>
        <v>3462.25365878468</v>
      </c>
    </row>
    <row r="197" customFormat="false" ht="15" hidden="false" customHeight="false" outlineLevel="0" collapsed="false">
      <c r="D197" s="0" t="n">
        <f aca="false">MC_Shocks!A184</f>
        <v>0.57707212718054</v>
      </c>
      <c r="E197" s="0" t="n">
        <f aca="false">MC_Shocks!B184</f>
        <v>-0.203045386042993</v>
      </c>
      <c r="F197" s="0" t="n">
        <f aca="false">MC_Shocks!C184</f>
        <v>0.371145873371309</v>
      </c>
      <c r="G197" s="0" t="n">
        <f aca="false">$B$3*D197</f>
        <v>0.00850068850689322</v>
      </c>
      <c r="H197" s="0" t="n">
        <f aca="false">$B$4*D197+$C$4*E197</f>
        <v>0.0035148044355866</v>
      </c>
      <c r="I197" s="0" t="n">
        <f aca="false">$B$5*D197+$C$5*E197+$D$5*F197</f>
        <v>0.00860653904998322</v>
      </c>
      <c r="J197" s="0" t="n">
        <f aca="false">SUMPRODUCT(G197:I197,Inputs!$B$4:$D$4)*Inputs!$B$2</f>
        <v>7036.67844842823</v>
      </c>
    </row>
    <row r="198" customFormat="false" ht="15" hidden="false" customHeight="false" outlineLevel="0" collapsed="false">
      <c r="D198" s="0" t="n">
        <f aca="false">MC_Shocks!A185</f>
        <v>-0.603985186715821</v>
      </c>
      <c r="E198" s="0" t="n">
        <f aca="false">MC_Shocks!B185</f>
        <v>0.0865897874728999</v>
      </c>
      <c r="F198" s="0" t="n">
        <f aca="false">MC_Shocks!C185</f>
        <v>-0.15567723539208</v>
      </c>
      <c r="G198" s="0" t="n">
        <f aca="false">$B$3*D198</f>
        <v>-0.00889713727837464</v>
      </c>
      <c r="H198" s="0" t="n">
        <f aca="false">$B$4*D198+$C$4*E198</f>
        <v>-0.00525543887388008</v>
      </c>
      <c r="I198" s="0" t="n">
        <f aca="false">$B$5*D198+$C$5*E198+$D$5*F198</f>
        <v>-0.00744010695696688</v>
      </c>
      <c r="J198" s="0" t="n">
        <f aca="false">SUMPRODUCT(G198:I198,Inputs!$B$4:$D$4)*Inputs!$B$2</f>
        <v>-7367.51866060394</v>
      </c>
    </row>
    <row r="199" customFormat="false" ht="15" hidden="false" customHeight="false" outlineLevel="0" collapsed="false">
      <c r="D199" s="0" t="n">
        <f aca="false">MC_Shocks!A186</f>
        <v>1.16778206165981</v>
      </c>
      <c r="E199" s="0" t="n">
        <f aca="false">MC_Shocks!B186</f>
        <v>0.254420843301213</v>
      </c>
      <c r="F199" s="0" t="n">
        <f aca="false">MC_Shocks!C186</f>
        <v>0.337602662075202</v>
      </c>
      <c r="G199" s="0" t="n">
        <f aca="false">$B$3*D199</f>
        <v>0.0172022717482626</v>
      </c>
      <c r="H199" s="0" t="n">
        <f aca="false">$B$4*D199+$C$4*E199</f>
        <v>0.0154430518127438</v>
      </c>
      <c r="I199" s="0" t="n">
        <f aca="false">$B$5*D199+$C$5*E199+$D$5*F199</f>
        <v>0.0162848899712921</v>
      </c>
      <c r="J199" s="0" t="n">
        <f aca="false">SUMPRODUCT(G199:I199,Inputs!$B$4:$D$4)*Inputs!$B$2</f>
        <v>16399.2912345158</v>
      </c>
    </row>
    <row r="200" customFormat="false" ht="15" hidden="false" customHeight="false" outlineLevel="0" collapsed="false">
      <c r="D200" s="0" t="n">
        <f aca="false">MC_Shocks!A187</f>
        <v>-0.411876966122467</v>
      </c>
      <c r="E200" s="0" t="n">
        <f aca="false">MC_Shocks!B187</f>
        <v>-0.487606224072494</v>
      </c>
      <c r="F200" s="0" t="n">
        <f aca="false">MC_Shocks!C187</f>
        <v>-0.432558187819621</v>
      </c>
      <c r="G200" s="0" t="n">
        <f aca="false">$B$3*D200</f>
        <v>-0.00606724467750272</v>
      </c>
      <c r="H200" s="0" t="n">
        <f aca="false">$B$4*D200+$C$4*E200</f>
        <v>-0.0104285400810613</v>
      </c>
      <c r="I200" s="0" t="n">
        <f aca="false">$B$5*D200+$C$5*E200+$D$5*F200</f>
        <v>-0.00997922131083696</v>
      </c>
      <c r="J200" s="0" t="n">
        <f aca="false">SUMPRODUCT(G200:I200,Inputs!$B$4:$D$4)*Inputs!$B$2</f>
        <v>-8549.22628857057</v>
      </c>
    </row>
    <row r="201" customFormat="false" ht="15" hidden="false" customHeight="false" outlineLevel="0" collapsed="false">
      <c r="D201" s="0" t="n">
        <f aca="false">MC_Shocks!A188</f>
        <v>0.394452142378297</v>
      </c>
      <c r="E201" s="0" t="n">
        <f aca="false">MC_Shocks!B188</f>
        <v>-0.420984480820263</v>
      </c>
      <c r="F201" s="0" t="n">
        <f aca="false">MC_Shocks!C188</f>
        <v>0.289774856896413</v>
      </c>
      <c r="G201" s="0" t="n">
        <f aca="false">$B$3*D201</f>
        <v>0.00581056446031668</v>
      </c>
      <c r="H201" s="0" t="n">
        <f aca="false">$B$4*D201+$C$4*E201</f>
        <v>-0.0011308621993657</v>
      </c>
      <c r="I201" s="0" t="n">
        <f aca="false">$B$5*D201+$C$5*E201+$D$5*F201</f>
        <v>0.00514267620364717</v>
      </c>
      <c r="J201" s="0" t="n">
        <f aca="false">SUMPRODUCT(G201:I201,Inputs!$B$4:$D$4)*Inputs!$B$2</f>
        <v>3527.76998541112</v>
      </c>
    </row>
    <row r="202" customFormat="false" ht="15" hidden="false" customHeight="false" outlineLevel="0" collapsed="false">
      <c r="D202" s="0" t="n">
        <f aca="false">MC_Shocks!A189</f>
        <v>2.07540079864544</v>
      </c>
      <c r="E202" s="0" t="n">
        <f aca="false">MC_Shocks!B189</f>
        <v>0.871124703431692</v>
      </c>
      <c r="F202" s="0" t="n">
        <f aca="false">MC_Shocks!C189</f>
        <v>-0.326023532167841</v>
      </c>
      <c r="G202" s="0" t="n">
        <f aca="false">$B$3*D202</f>
        <v>0.0305721501442796</v>
      </c>
      <c r="H202" s="0" t="n">
        <f aca="false">$B$4*D202+$C$4*E202</f>
        <v>0.0326915031444121</v>
      </c>
      <c r="I202" s="0" t="n">
        <f aca="false">$B$5*D202+$C$5*E202+$D$5*F202</f>
        <v>0.0223979401208723</v>
      </c>
      <c r="J202" s="0" t="n">
        <f aca="false">SUMPRODUCT(G202:I202,Inputs!$B$4:$D$4)*Inputs!$B$2</f>
        <v>28755.6930372972</v>
      </c>
    </row>
    <row r="203" customFormat="false" ht="15" hidden="false" customHeight="false" outlineLevel="0" collapsed="false">
      <c r="D203" s="0" t="n">
        <f aca="false">MC_Shocks!A190</f>
        <v>1.20121392216395</v>
      </c>
      <c r="E203" s="0" t="n">
        <f aca="false">MC_Shocks!B190</f>
        <v>-0.408075373021551</v>
      </c>
      <c r="F203" s="0" t="n">
        <f aca="false">MC_Shocks!C190</f>
        <v>-2.03812453517785</v>
      </c>
      <c r="G203" s="0" t="n">
        <f aca="false">$B$3*D203</f>
        <v>0.0176947471581218</v>
      </c>
      <c r="H203" s="0" t="n">
        <f aca="false">$B$4*D203+$C$4*E203</f>
        <v>0.00749881880288808</v>
      </c>
      <c r="I203" s="0" t="n">
        <f aca="false">$B$5*D203+$C$5*E203+$D$5*F203</f>
        <v>-0.00665261875522066</v>
      </c>
      <c r="J203" s="0" t="n">
        <f aca="false">SUMPRODUCT(G203:I203,Inputs!$B$4:$D$4)*Inputs!$B$2</f>
        <v>7331.75887754895</v>
      </c>
    </row>
    <row r="204" customFormat="false" ht="15" hidden="false" customHeight="false" outlineLevel="0" collapsed="false">
      <c r="D204" s="0" t="n">
        <f aca="false">MC_Shocks!A191</f>
        <v>-1.0080863109174</v>
      </c>
      <c r="E204" s="0" t="n">
        <f aca="false">MC_Shocks!B191</f>
        <v>-1.87079192102586</v>
      </c>
      <c r="F204" s="0" t="n">
        <f aca="false">MC_Shocks!C191</f>
        <v>-0.351513484041309</v>
      </c>
      <c r="G204" s="0" t="n">
        <f aca="false">$B$3*D204</f>
        <v>-0.0148498381979398</v>
      </c>
      <c r="H204" s="0" t="n">
        <f aca="false">$B$4*D204+$C$4*E204</f>
        <v>-0.0340054865661555</v>
      </c>
      <c r="I204" s="0" t="n">
        <f aca="false">$B$5*D204+$C$5*E204+$D$5*F204</f>
        <v>-0.020764922639043</v>
      </c>
      <c r="J204" s="0" t="n">
        <f aca="false">SUMPRODUCT(G204:I204,Inputs!$B$4:$D$4)*Inputs!$B$2</f>
        <v>-22371.0580407355</v>
      </c>
    </row>
    <row r="205" customFormat="false" ht="15" hidden="false" customHeight="false" outlineLevel="0" collapsed="false">
      <c r="D205" s="0" t="n">
        <f aca="false">MC_Shocks!A192</f>
        <v>0.0184183791895517</v>
      </c>
      <c r="E205" s="0" t="n">
        <f aca="false">MC_Shocks!B192</f>
        <v>1.67643731227528</v>
      </c>
      <c r="F205" s="0" t="n">
        <f aca="false">MC_Shocks!C192</f>
        <v>0.326927373764163</v>
      </c>
      <c r="G205" s="0" t="n">
        <f aca="false">$B$3*D205</f>
        <v>0.000271316005257762</v>
      </c>
      <c r="H205" s="0" t="n">
        <f aca="false">$B$4*D205+$C$4*E205</f>
        <v>0.0211840731646023</v>
      </c>
      <c r="I205" s="0" t="n">
        <f aca="false">$B$5*D205+$C$5*E205+$D$5*F205</f>
        <v>0.00933445627246357</v>
      </c>
      <c r="J205" s="0" t="n">
        <f aca="false">SUMPRODUCT(G205:I205,Inputs!$B$4:$D$4)*Inputs!$B$2</f>
        <v>9264.08523322288</v>
      </c>
    </row>
    <row r="206" customFormat="false" ht="15" hidden="false" customHeight="false" outlineLevel="0" collapsed="false">
      <c r="D206" s="0" t="n">
        <f aca="false">MC_Shocks!A193</f>
        <v>-0.219100528808864</v>
      </c>
      <c r="E206" s="0" t="n">
        <f aca="false">MC_Shocks!B193</f>
        <v>0.829405581183489</v>
      </c>
      <c r="F206" s="0" t="n">
        <f aca="false">MC_Shocks!C193</f>
        <v>-2.21113530900789</v>
      </c>
      <c r="G206" s="0" t="n">
        <f aca="false">$B$3*D206</f>
        <v>-0.00322750876255204</v>
      </c>
      <c r="H206" s="0" t="n">
        <f aca="false">$B$4*D206+$C$4*E206</f>
        <v>0.00808527137210311</v>
      </c>
      <c r="I206" s="0" t="n">
        <f aca="false">$B$5*D206+$C$5*E206+$D$5*F206</f>
        <v>-0.0185871908055431</v>
      </c>
      <c r="J206" s="0" t="n">
        <f aca="false">SUMPRODUCT(G206:I206,Inputs!$B$4:$D$4)*Inputs!$B$2</f>
        <v>-4441.57933505282</v>
      </c>
    </row>
    <row r="207" customFormat="false" ht="15" hidden="false" customHeight="false" outlineLevel="0" collapsed="false">
      <c r="D207" s="0" t="n">
        <f aca="false">MC_Shocks!A194</f>
        <v>0.235614558108566</v>
      </c>
      <c r="E207" s="0" t="n">
        <f aca="false">MC_Shocks!B194</f>
        <v>0.770865193886967</v>
      </c>
      <c r="F207" s="0" t="n">
        <f aca="false">MC_Shocks!C194</f>
        <v>-1.47858624577984</v>
      </c>
      <c r="G207" s="0" t="n">
        <f aca="false">$B$3*D207</f>
        <v>0.00347077232088113</v>
      </c>
      <c r="H207" s="0" t="n">
        <f aca="false">$B$4*D207+$C$4*E207</f>
        <v>0.0121251284235585</v>
      </c>
      <c r="I207" s="0" t="n">
        <f aca="false">$B$5*D207+$C$5*E207+$D$5*F207</f>
        <v>-0.00757038590203858</v>
      </c>
      <c r="J207" s="0" t="n">
        <f aca="false">SUMPRODUCT(G207:I207,Inputs!$B$4:$D$4)*Inputs!$B$2</f>
        <v>2754.73168480843</v>
      </c>
    </row>
    <row r="208" customFormat="false" ht="15" hidden="false" customHeight="false" outlineLevel="0" collapsed="false">
      <c r="D208" s="0" t="n">
        <f aca="false">MC_Shocks!A195</f>
        <v>1.14375404320693</v>
      </c>
      <c r="E208" s="0" t="n">
        <f aca="false">MC_Shocks!B195</f>
        <v>0.338496407494414</v>
      </c>
      <c r="F208" s="0" t="n">
        <f aca="false">MC_Shocks!C195</f>
        <v>-0.415287913900801</v>
      </c>
      <c r="G208" s="0" t="n">
        <f aca="false">$B$3*D208</f>
        <v>0.0168483217120622</v>
      </c>
      <c r="H208" s="0" t="n">
        <f aca="false">$B$4*D208+$C$4*E208</f>
        <v>0.0162435595269437</v>
      </c>
      <c r="I208" s="0" t="n">
        <f aca="false">$B$5*D208+$C$5*E208+$D$5*F208</f>
        <v>0.00974948952820282</v>
      </c>
      <c r="J208" s="0" t="n">
        <f aca="false">SUMPRODUCT(G208:I208,Inputs!$B$4:$D$4)*Inputs!$B$2</f>
        <v>14537.2434013688</v>
      </c>
    </row>
    <row r="209" customFormat="false" ht="15" hidden="false" customHeight="false" outlineLevel="0" collapsed="false">
      <c r="D209" s="0" t="n">
        <f aca="false">MC_Shocks!A196</f>
        <v>0.632781866106285</v>
      </c>
      <c r="E209" s="0" t="n">
        <f aca="false">MC_Shocks!B196</f>
        <v>2.2706928578044</v>
      </c>
      <c r="F209" s="0" t="n">
        <f aca="false">MC_Shocks!C196</f>
        <v>0.181866255058495</v>
      </c>
      <c r="G209" s="0" t="n">
        <f aca="false">$B$3*D209</f>
        <v>0.00932133312842758</v>
      </c>
      <c r="H209" s="0" t="n">
        <f aca="false">$B$4*D209+$C$4*E209</f>
        <v>0.0350733414874724</v>
      </c>
      <c r="I209" s="0" t="n">
        <f aca="false">$B$5*D209+$C$5*E209+$D$5*F209</f>
        <v>0.016798579670073</v>
      </c>
      <c r="J209" s="0" t="n">
        <f aca="false">SUMPRODUCT(G209:I209,Inputs!$B$4:$D$4)*Inputs!$B$2</f>
        <v>19290.1095986346</v>
      </c>
    </row>
    <row r="210" customFormat="false" ht="15" hidden="false" customHeight="false" outlineLevel="0" collapsed="false">
      <c r="D210" s="0" t="n">
        <f aca="false">MC_Shocks!A197</f>
        <v>0.248220586300336</v>
      </c>
      <c r="E210" s="0" t="n">
        <f aca="false">MC_Shocks!B197</f>
        <v>-0.459360899540244</v>
      </c>
      <c r="F210" s="0" t="n">
        <f aca="false">MC_Shocks!C197</f>
        <v>-0.849844369464792</v>
      </c>
      <c r="G210" s="0" t="n">
        <f aca="false">$B$3*D210</f>
        <v>0.00365646820519097</v>
      </c>
      <c r="H210" s="0" t="n">
        <f aca="false">$B$4*D210+$C$4*E210</f>
        <v>-0.0031462711260088</v>
      </c>
      <c r="I210" s="0" t="n">
        <f aca="false">$B$5*D210+$C$5*E210+$D$5*F210</f>
        <v>-0.00653391972705876</v>
      </c>
      <c r="J210" s="0" t="n">
        <f aca="false">SUMPRODUCT(G210:I210,Inputs!$B$4:$D$4)*Inputs!$B$2</f>
        <v>-1441.46997384388</v>
      </c>
    </row>
    <row r="211" customFormat="false" ht="15" hidden="false" customHeight="false" outlineLevel="0" collapsed="false">
      <c r="D211" s="0" t="n">
        <f aca="false">MC_Shocks!A198</f>
        <v>0.830335816544246</v>
      </c>
      <c r="E211" s="0" t="n">
        <f aca="false">MC_Shocks!B198</f>
        <v>-0.856083825908867</v>
      </c>
      <c r="F211" s="0" t="n">
        <f aca="false">MC_Shocks!C198</f>
        <v>0.0715662372193925</v>
      </c>
      <c r="G211" s="0" t="n">
        <f aca="false">$B$3*D211</f>
        <v>0.0122314452563244</v>
      </c>
      <c r="H211" s="0" t="n">
        <f aca="false">$B$4*D211+$C$4*E211</f>
        <v>-0.00200357783360876</v>
      </c>
      <c r="I211" s="0" t="n">
        <f aca="false">$B$5*D211+$C$5*E211+$D$5*F211</f>
        <v>0.00622152057678915</v>
      </c>
      <c r="J211" s="0" t="n">
        <f aca="false">SUMPRODUCT(G211:I211,Inputs!$B$4:$D$4)*Inputs!$B$2</f>
        <v>6157.96092548389</v>
      </c>
    </row>
    <row r="212" customFormat="false" ht="15" hidden="false" customHeight="false" outlineLevel="0" collapsed="false">
      <c r="D212" s="0" t="n">
        <f aca="false">MC_Shocks!A199</f>
        <v>-0.477657446765117</v>
      </c>
      <c r="E212" s="0" t="n">
        <f aca="false">MC_Shocks!B199</f>
        <v>0.478979825746392</v>
      </c>
      <c r="F212" s="0" t="n">
        <f aca="false">MC_Shocks!C199</f>
        <v>0.333662105286948</v>
      </c>
      <c r="G212" s="0" t="n">
        <f aca="false">$B$3*D212</f>
        <v>-0.00703623858561075</v>
      </c>
      <c r="H212" s="0" t="n">
        <f aca="false">$B$4*D212+$C$4*E212</f>
        <v>0.000983673425928422</v>
      </c>
      <c r="I212" s="0" t="n">
        <f aca="false">$B$5*D212+$C$5*E212+$D$5*F212</f>
        <v>-0.000345869687159126</v>
      </c>
      <c r="J212" s="0" t="n">
        <f aca="false">SUMPRODUCT(G212:I212,Inputs!$B$4:$D$4)*Inputs!$B$2</f>
        <v>-2623.15431261351</v>
      </c>
    </row>
    <row r="213" customFormat="false" ht="15" hidden="false" customHeight="false" outlineLevel="0" collapsed="false">
      <c r="D213" s="0" t="n">
        <f aca="false">MC_Shocks!A200</f>
        <v>1.0375399442579</v>
      </c>
      <c r="E213" s="0" t="n">
        <f aca="false">MC_Shocks!B200</f>
        <v>-0.510016398854747</v>
      </c>
      <c r="F213" s="0" t="n">
        <f aca="false">MC_Shocks!C200</f>
        <v>-0.269874935293371</v>
      </c>
      <c r="G213" s="0" t="n">
        <f aca="false">$B$3*D213</f>
        <v>0.0152837114533456</v>
      </c>
      <c r="H213" s="0" t="n">
        <f aca="false">$B$4*D213+$C$4*E213</f>
        <v>0.00450443296829493</v>
      </c>
      <c r="I213" s="0" t="n">
        <f aca="false">$B$5*D213+$C$5*E213+$D$5*F213</f>
        <v>0.00672158974067195</v>
      </c>
      <c r="J213" s="0" t="n">
        <f aca="false">SUMPRODUCT(G213:I213,Inputs!$B$4:$D$4)*Inputs!$B$2</f>
        <v>9481.29139402832</v>
      </c>
    </row>
    <row r="214" customFormat="false" ht="15" hidden="false" customHeight="false" outlineLevel="0" collapsed="false">
      <c r="D214" s="0" t="n">
        <f aca="false">MC_Shocks!A201</f>
        <v>-0.978763715782307</v>
      </c>
      <c r="E214" s="0" t="n">
        <f aca="false">MC_Shocks!B201</f>
        <v>-0.444293260076112</v>
      </c>
      <c r="F214" s="0" t="n">
        <f aca="false">MC_Shocks!C201</f>
        <v>0.377300493044852</v>
      </c>
      <c r="G214" s="0" t="n">
        <f aca="false">$B$3*D214</f>
        <v>-0.0144178952297791</v>
      </c>
      <c r="H214" s="0" t="n">
        <f aca="false">$B$4*D214+$C$4*E214</f>
        <v>-0.0158364522364882</v>
      </c>
      <c r="I214" s="0" t="n">
        <f aca="false">$B$5*D214+$C$5*E214+$D$5*F214</f>
        <v>-0.00872987936458416</v>
      </c>
      <c r="J214" s="0" t="n">
        <f aca="false">SUMPRODUCT(G214:I214,Inputs!$B$4:$D$4)*Inputs!$B$2</f>
        <v>-13137.0575722333</v>
      </c>
    </row>
    <row r="215" customFormat="false" ht="15" hidden="false" customHeight="false" outlineLevel="0" collapsed="false">
      <c r="D215" s="0" t="n">
        <f aca="false">MC_Shocks!A202</f>
        <v>0.756988616645352</v>
      </c>
      <c r="E215" s="0" t="n">
        <f aca="false">MC_Shocks!B202</f>
        <v>-0.922165324177625</v>
      </c>
      <c r="F215" s="0" t="n">
        <f aca="false">MC_Shocks!C202</f>
        <v>0.86960592010566</v>
      </c>
      <c r="G215" s="0" t="n">
        <f aca="false">$B$3*D215</f>
        <v>0.0111509881179081</v>
      </c>
      <c r="H215" s="0" t="n">
        <f aca="false">$B$4*D215+$C$4*E215</f>
        <v>-0.00360086437612216</v>
      </c>
      <c r="I215" s="0" t="n">
        <f aca="false">$B$5*D215+$C$5*E215+$D$5*F215</f>
        <v>0.0121879026044199</v>
      </c>
      <c r="J215" s="0" t="n">
        <f aca="false">SUMPRODUCT(G215:I215,Inputs!$B$4:$D$4)*Inputs!$B$2</f>
        <v>7036.50671565255</v>
      </c>
    </row>
    <row r="216" customFormat="false" ht="15" hidden="false" customHeight="false" outlineLevel="0" collapsed="false">
      <c r="D216" s="0" t="n">
        <f aca="false">MC_Shocks!A203</f>
        <v>1.35563785880495</v>
      </c>
      <c r="E216" s="0" t="n">
        <f aca="false">MC_Shocks!B203</f>
        <v>0.413434903223701</v>
      </c>
      <c r="F216" s="0" t="n">
        <f aca="false">MC_Shocks!C203</f>
        <v>1.87679581255807</v>
      </c>
      <c r="G216" s="0" t="n">
        <f aca="false">$B$3*D216</f>
        <v>0.0199695230857117</v>
      </c>
      <c r="H216" s="0" t="n">
        <f aca="false">$B$4*D216+$C$4*E216</f>
        <v>0.0194058722778606</v>
      </c>
      <c r="I216" s="0" t="n">
        <f aca="false">$B$5*D216+$C$5*E216+$D$5*F216</f>
        <v>0.0323545137861654</v>
      </c>
      <c r="J216" s="0" t="n">
        <f aca="false">SUMPRODUCT(G216:I216,Inputs!$B$4:$D$4)*Inputs!$B$2</f>
        <v>23515.9250534925</v>
      </c>
    </row>
    <row r="217" customFormat="false" ht="15" hidden="false" customHeight="false" outlineLevel="0" collapsed="false">
      <c r="D217" s="0" t="n">
        <f aca="false">MC_Shocks!A204</f>
        <v>-0.773789199103573</v>
      </c>
      <c r="E217" s="0" t="n">
        <f aca="false">MC_Shocks!B204</f>
        <v>-1.24465470331142</v>
      </c>
      <c r="F217" s="0" t="n">
        <f aca="false">MC_Shocks!C204</f>
        <v>-1.77872024890428</v>
      </c>
      <c r="G217" s="0" t="n">
        <f aca="false">$B$3*D217</f>
        <v>-0.0113984728108692</v>
      </c>
      <c r="H217" s="0" t="n">
        <f aca="false">$B$4*D217+$C$4*E217</f>
        <v>-0.0237063320584195</v>
      </c>
      <c r="I217" s="0" t="n">
        <f aca="false">$B$5*D217+$C$5*E217+$D$5*F217</f>
        <v>-0.0284409264084542</v>
      </c>
      <c r="J217" s="0" t="n">
        <f aca="false">SUMPRODUCT(G217:I217,Inputs!$B$4:$D$4)*Inputs!$B$2</f>
        <v>-20203.5666644098</v>
      </c>
    </row>
    <row r="218" customFormat="false" ht="15" hidden="false" customHeight="false" outlineLevel="0" collapsed="false">
      <c r="D218" s="0" t="n">
        <f aca="false">MC_Shocks!A205</f>
        <v>1.49604431148918</v>
      </c>
      <c r="E218" s="0" t="n">
        <f aca="false">MC_Shocks!B205</f>
        <v>0.654365656354058</v>
      </c>
      <c r="F218" s="0" t="n">
        <f aca="false">MC_Shocks!C205</f>
        <v>-0.0555846709104551</v>
      </c>
      <c r="G218" s="0" t="n">
        <f aca="false">$B$3*D218</f>
        <v>0.0220378113679027</v>
      </c>
      <c r="H218" s="0" t="n">
        <f aca="false">$B$4*D218+$C$4*E218</f>
        <v>0.0238963309480426</v>
      </c>
      <c r="I218" s="0" t="n">
        <f aca="false">$B$5*D218+$C$5*E218+$D$5*F218</f>
        <v>0.0178161875998962</v>
      </c>
      <c r="J218" s="0" t="n">
        <f aca="false">SUMPRODUCT(G218:I218,Inputs!$B$4:$D$4)*Inputs!$B$2</f>
        <v>21328.8801115427</v>
      </c>
    </row>
    <row r="219" customFormat="false" ht="15" hidden="false" customHeight="false" outlineLevel="0" collapsed="false">
      <c r="D219" s="0" t="n">
        <f aca="false">MC_Shocks!A206</f>
        <v>0.27996862631982</v>
      </c>
      <c r="E219" s="0" t="n">
        <f aca="false">MC_Shocks!B206</f>
        <v>-1.12548904729838</v>
      </c>
      <c r="F219" s="0" t="n">
        <f aca="false">MC_Shocks!C206</f>
        <v>2.44575197961683</v>
      </c>
      <c r="G219" s="0" t="n">
        <f aca="false">$B$3*D219</f>
        <v>0.0041241397252635</v>
      </c>
      <c r="H219" s="0" t="n">
        <f aca="false">$B$4*D219+$C$4*E219</f>
        <v>-0.0111536536653991</v>
      </c>
      <c r="I219" s="0" t="n">
        <f aca="false">$B$5*D219+$C$5*E219+$D$5*F219</f>
        <v>0.0201791945687161</v>
      </c>
      <c r="J219" s="0" t="n">
        <f aca="false">SUMPRODUCT(G219:I219,Inputs!$B$4:$D$4)*Inputs!$B$2</f>
        <v>4357.31816110051</v>
      </c>
    </row>
    <row r="220" customFormat="false" ht="15" hidden="false" customHeight="false" outlineLevel="0" collapsed="false">
      <c r="D220" s="0" t="n">
        <f aca="false">MC_Shocks!A207</f>
        <v>0.129221181975228</v>
      </c>
      <c r="E220" s="0" t="n">
        <f aca="false">MC_Shocks!B207</f>
        <v>0.109394794604893</v>
      </c>
      <c r="F220" s="0" t="n">
        <f aca="false">MC_Shocks!C207</f>
        <v>0.725766623898692</v>
      </c>
      <c r="G220" s="0" t="n">
        <f aca="false">$B$3*D220</f>
        <v>0.00190352117997949</v>
      </c>
      <c r="H220" s="0" t="n">
        <f aca="false">$B$4*D220+$C$4*E220</f>
        <v>0.00272608657104166</v>
      </c>
      <c r="I220" s="0" t="n">
        <f aca="false">$B$5*D220+$C$5*E220+$D$5*F220</f>
        <v>0.0081367340193512</v>
      </c>
      <c r="J220" s="0" t="n">
        <f aca="false">SUMPRODUCT(G220:I220,Inputs!$B$4:$D$4)*Inputs!$B$2</f>
        <v>4020.25464910965</v>
      </c>
    </row>
    <row r="221" customFormat="false" ht="15" hidden="false" customHeight="false" outlineLevel="0" collapsed="false">
      <c r="D221" s="0" t="n">
        <f aca="false">MC_Shocks!A208</f>
        <v>0.481009231736713</v>
      </c>
      <c r="E221" s="0" t="n">
        <f aca="false">MC_Shocks!B208</f>
        <v>0.223884024279131</v>
      </c>
      <c r="F221" s="0" t="n">
        <f aca="false">MC_Shocks!C208</f>
        <v>-0.790474455445312</v>
      </c>
      <c r="G221" s="0" t="n">
        <f aca="false">$B$3*D221</f>
        <v>0.00708561279490558</v>
      </c>
      <c r="H221" s="0" t="n">
        <f aca="false">$B$4*D221+$C$4*E221</f>
        <v>0.00785209818429812</v>
      </c>
      <c r="I221" s="0" t="n">
        <f aca="false">$B$5*D221+$C$5*E221+$D$5*F221</f>
        <v>-0.000989396609098189</v>
      </c>
      <c r="J221" s="0" t="n">
        <f aca="false">SUMPRODUCT(G221:I221,Inputs!$B$4:$D$4)*Inputs!$B$2</f>
        <v>4893.05559052221</v>
      </c>
    </row>
    <row r="222" customFormat="false" ht="15" hidden="false" customHeight="false" outlineLevel="0" collapsed="false">
      <c r="D222" s="0" t="n">
        <f aca="false">MC_Shocks!A209</f>
        <v>0.471468357135996</v>
      </c>
      <c r="E222" s="0" t="n">
        <f aca="false">MC_Shocks!B209</f>
        <v>1.88202449647503</v>
      </c>
      <c r="F222" s="0" t="n">
        <f aca="false">MC_Shocks!C209</f>
        <v>1.34542004615498</v>
      </c>
      <c r="G222" s="0" t="n">
        <f aca="false">$B$3*D222</f>
        <v>0.00694506883299169</v>
      </c>
      <c r="H222" s="0" t="n">
        <f aca="false">$B$4*D222+$C$4*E222</f>
        <v>0.0285136059666623</v>
      </c>
      <c r="I222" s="0" t="n">
        <f aca="false">$B$5*D222+$C$5*E222+$D$5*F222</f>
        <v>0.0238272405537177</v>
      </c>
      <c r="J222" s="0" t="n">
        <f aca="false">SUMPRODUCT(G222:I222,Inputs!$B$4:$D$4)*Inputs!$B$2</f>
        <v>18480.2814893107</v>
      </c>
    </row>
    <row r="223" customFormat="false" ht="15" hidden="false" customHeight="false" outlineLevel="0" collapsed="false">
      <c r="D223" s="0" t="n">
        <f aca="false">MC_Shocks!A210</f>
        <v>1.5931866266394</v>
      </c>
      <c r="E223" s="0" t="n">
        <f aca="false">MC_Shocks!B210</f>
        <v>-0.511215676431185</v>
      </c>
      <c r="F223" s="0" t="n">
        <f aca="false">MC_Shocks!C210</f>
        <v>-0.989604820258581</v>
      </c>
      <c r="G223" s="0" t="n">
        <f aca="false">$B$3*D223</f>
        <v>0.0234687877104354</v>
      </c>
      <c r="H223" s="0" t="n">
        <f aca="false">$B$4*D223+$C$4*E223</f>
        <v>0.010321672939681</v>
      </c>
      <c r="I223" s="0" t="n">
        <f aca="false">$B$5*D223+$C$5*E223+$D$5*F223</f>
        <v>0.00630032646203772</v>
      </c>
      <c r="J223" s="0" t="n">
        <f aca="false">SUMPRODUCT(G223:I223,Inputs!$B$4:$D$4)*Inputs!$B$2</f>
        <v>14374.1149046898</v>
      </c>
    </row>
    <row r="224" customFormat="false" ht="15" hidden="false" customHeight="false" outlineLevel="0" collapsed="false">
      <c r="D224" s="0" t="n">
        <f aca="false">MC_Shocks!A211</f>
        <v>-0.125786920099648</v>
      </c>
      <c r="E224" s="0" t="n">
        <f aca="false">MC_Shocks!B211</f>
        <v>0.0557249122886946</v>
      </c>
      <c r="F224" s="0" t="n">
        <f aca="false">MC_Shocks!C211</f>
        <v>1.09419151847095</v>
      </c>
      <c r="G224" s="0" t="n">
        <f aca="false">$B$3*D224</f>
        <v>-0.00185293202642249</v>
      </c>
      <c r="H224" s="0" t="n">
        <f aca="false">$B$4*D224+$C$4*E224</f>
        <v>-0.000622568055356422</v>
      </c>
      <c r="I224" s="0" t="n">
        <f aca="false">$B$5*D224+$C$5*E224+$D$5*F224</f>
        <v>0.00846098296603702</v>
      </c>
      <c r="J224" s="0" t="n">
        <f aca="false">SUMPRODUCT(G224:I224,Inputs!$B$4:$D$4)*Inputs!$B$2</f>
        <v>1610.35166263518</v>
      </c>
    </row>
    <row r="225" customFormat="false" ht="15" hidden="false" customHeight="false" outlineLevel="0" collapsed="false">
      <c r="D225" s="0" t="n">
        <f aca="false">MC_Shocks!A212</f>
        <v>-1.69246462971482</v>
      </c>
      <c r="E225" s="0" t="n">
        <f aca="false">MC_Shocks!B212</f>
        <v>1.52955031946061</v>
      </c>
      <c r="F225" s="0" t="n">
        <f aca="false">MC_Shocks!C212</f>
        <v>-0.158007898578989</v>
      </c>
      <c r="G225" s="0" t="n">
        <f aca="false">$B$3*D225</f>
        <v>-0.0249312242759543</v>
      </c>
      <c r="H225" s="0" t="n">
        <f aca="false">$B$4*D225+$C$4*E225</f>
        <v>0.00138688568398332</v>
      </c>
      <c r="I225" s="0" t="n">
        <f aca="false">$B$5*D225+$C$5*E225+$D$5*F225</f>
        <v>-0.0135938472105143</v>
      </c>
      <c r="J225" s="0" t="n">
        <f aca="false">SUMPRODUCT(G225:I225,Inputs!$B$4:$D$4)*Inputs!$B$2</f>
        <v>-13634.578168341</v>
      </c>
    </row>
    <row r="226" customFormat="false" ht="15" hidden="false" customHeight="false" outlineLevel="0" collapsed="false">
      <c r="D226" s="0" t="n">
        <f aca="false">MC_Shocks!A213</f>
        <v>-0.42688106994742</v>
      </c>
      <c r="E226" s="0" t="n">
        <f aca="false">MC_Shocks!B213</f>
        <v>-1.01210437526017</v>
      </c>
      <c r="F226" s="0" t="n">
        <f aca="false">MC_Shocks!C213</f>
        <v>-1.65485667186577</v>
      </c>
      <c r="G226" s="0" t="n">
        <f aca="false">$B$3*D226</f>
        <v>-0.00628826594492066</v>
      </c>
      <c r="H226" s="0" t="n">
        <f aca="false">$B$4*D226+$C$4*E226</f>
        <v>-0.0171532933819684</v>
      </c>
      <c r="I226" s="0" t="n">
        <f aca="false">$B$5*D226+$C$5*E226+$D$5*F226</f>
        <v>-0.0228091546560704</v>
      </c>
      <c r="J226" s="0" t="n">
        <f aca="false">SUMPRODUCT(G226:I226,Inputs!$B$4:$D$4)*Inputs!$B$2</f>
        <v>-14504.0407893799</v>
      </c>
    </row>
    <row r="227" customFormat="false" ht="15" hidden="false" customHeight="false" outlineLevel="0" collapsed="false">
      <c r="D227" s="0" t="n">
        <f aca="false">MC_Shocks!A214</f>
        <v>0.823170583961915</v>
      </c>
      <c r="E227" s="0" t="n">
        <f aca="false">MC_Shocks!B214</f>
        <v>0.0733179671884039</v>
      </c>
      <c r="F227" s="0" t="n">
        <f aca="false">MC_Shocks!C214</f>
        <v>-1.28996089974105</v>
      </c>
      <c r="G227" s="0" t="n">
        <f aca="false">$B$3*D227</f>
        <v>0.0121258962141979</v>
      </c>
      <c r="H227" s="0" t="n">
        <f aca="false">$B$4*D227+$C$4*E227</f>
        <v>0.00955829544814824</v>
      </c>
      <c r="I227" s="0" t="n">
        <f aca="false">$B$5*D227+$C$5*E227+$D$5*F227</f>
        <v>-0.00230271145314499</v>
      </c>
      <c r="J227" s="0" t="n">
        <f aca="false">SUMPRODUCT(G227:I227,Inputs!$B$4:$D$4)*Inputs!$B$2</f>
        <v>7027.03368418013</v>
      </c>
    </row>
    <row r="228" customFormat="false" ht="15" hidden="false" customHeight="false" outlineLevel="0" collapsed="false">
      <c r="D228" s="0" t="n">
        <f aca="false">MC_Shocks!A215</f>
        <v>-1.29507877206362</v>
      </c>
      <c r="E228" s="0" t="n">
        <f aca="false">MC_Shocks!B215</f>
        <v>-0.335784699290128</v>
      </c>
      <c r="F228" s="0" t="n">
        <f aca="false">MC_Shocks!C215</f>
        <v>1.66902152528939</v>
      </c>
      <c r="G228" s="0" t="n">
        <f aca="false">$B$3*D228</f>
        <v>-0.019077444074436</v>
      </c>
      <c r="H228" s="0" t="n">
        <f aca="false">$B$4*D228+$C$4*E228</f>
        <v>-0.017797961823481</v>
      </c>
      <c r="I228" s="0" t="n">
        <f aca="false">$B$5*D228+$C$5*E228+$D$5*F228</f>
        <v>-0.000359949343699687</v>
      </c>
      <c r="J228" s="0" t="n">
        <f aca="false">SUMPRODUCT(G228:I228,Inputs!$B$4:$D$4)*Inputs!$B$2</f>
        <v>-13078.3509799286</v>
      </c>
    </row>
    <row r="229" customFormat="false" ht="15" hidden="false" customHeight="false" outlineLevel="0" collapsed="false">
      <c r="D229" s="0" t="n">
        <f aca="false">MC_Shocks!A216</f>
        <v>-0.259591351363605</v>
      </c>
      <c r="E229" s="0" t="n">
        <f aca="false">MC_Shocks!B216</f>
        <v>-1.50314295311811</v>
      </c>
      <c r="F229" s="0" t="n">
        <f aca="false">MC_Shocks!C216</f>
        <v>-0.245743064085944</v>
      </c>
      <c r="G229" s="0" t="n">
        <f aca="false">$B$3*D229</f>
        <v>-0.00382396777298359</v>
      </c>
      <c r="H229" s="0" t="n">
        <f aca="false">$B$4*D229+$C$4*E229</f>
        <v>-0.0215456800123677</v>
      </c>
      <c r="I229" s="0" t="n">
        <f aca="false">$B$5*D229+$C$5*E229+$D$5*F229</f>
        <v>-0.0105303041693065</v>
      </c>
      <c r="J229" s="0" t="n">
        <f aca="false">SUMPRODUCT(G229:I229,Inputs!$B$4:$D$4)*Inputs!$B$2</f>
        <v>-11152.3823636957</v>
      </c>
    </row>
    <row r="230" customFormat="false" ht="15" hidden="false" customHeight="false" outlineLevel="0" collapsed="false">
      <c r="D230" s="0" t="n">
        <f aca="false">MC_Shocks!A217</f>
        <v>-0.272723569747671</v>
      </c>
      <c r="E230" s="0" t="n">
        <f aca="false">MC_Shocks!B217</f>
        <v>-2.69688664294157</v>
      </c>
      <c r="F230" s="0" t="n">
        <f aca="false">MC_Shocks!C217</f>
        <v>-0.0542948665178122</v>
      </c>
      <c r="G230" s="0" t="n">
        <f aca="false">$B$3*D230</f>
        <v>-0.0040174148182132</v>
      </c>
      <c r="H230" s="0" t="n">
        <f aca="false">$B$4*D230+$C$4*E230</f>
        <v>-0.0366304391044616</v>
      </c>
      <c r="I230" s="0" t="n">
        <f aca="false">$B$5*D230+$C$5*E230+$D$5*F230</f>
        <v>-0.0134608154216817</v>
      </c>
      <c r="J230" s="0" t="n">
        <f aca="false">SUMPRODUCT(G230:I230,Inputs!$B$4:$D$4)*Inputs!$B$2</f>
        <v>-16634.3422851283</v>
      </c>
    </row>
    <row r="231" customFormat="false" ht="15" hidden="false" customHeight="false" outlineLevel="0" collapsed="false">
      <c r="D231" s="0" t="n">
        <f aca="false">MC_Shocks!A218</f>
        <v>-0.230934530208678</v>
      </c>
      <c r="E231" s="0" t="n">
        <f aca="false">MC_Shocks!B218</f>
        <v>0.696206364813418</v>
      </c>
      <c r="F231" s="0" t="n">
        <f aca="false">MC_Shocks!C218</f>
        <v>1.84895609494535</v>
      </c>
      <c r="G231" s="0" t="n">
        <f aca="false">$B$3*D231</f>
        <v>-0.003401832135579</v>
      </c>
      <c r="H231" s="0" t="n">
        <f aca="false">$B$4*D231+$C$4*E231</f>
        <v>0.00629326424854203</v>
      </c>
      <c r="I231" s="0" t="n">
        <f aca="false">$B$5*D231+$C$5*E231+$D$5*F231</f>
        <v>0.0163561141448341</v>
      </c>
      <c r="J231" s="0" t="n">
        <f aca="false">SUMPRODUCT(G231:I231,Inputs!$B$4:$D$4)*Inputs!$B$2</f>
        <v>5434.08066378124</v>
      </c>
    </row>
    <row r="232" customFormat="false" ht="15" hidden="false" customHeight="false" outlineLevel="0" collapsed="false">
      <c r="D232" s="0" t="n">
        <f aca="false">MC_Shocks!A219</f>
        <v>1.12656502954776</v>
      </c>
      <c r="E232" s="0" t="n">
        <f aca="false">MC_Shocks!B219</f>
        <v>-0.268888690554831</v>
      </c>
      <c r="F232" s="0" t="n">
        <f aca="false">MC_Shocks!C219</f>
        <v>-1.10652590874167</v>
      </c>
      <c r="G232" s="0" t="n">
        <f aca="false">$B$3*D232</f>
        <v>0.0165951151474491</v>
      </c>
      <c r="H232" s="0" t="n">
        <f aca="false">$B$4*D232+$C$4*E232</f>
        <v>0.00845804145064134</v>
      </c>
      <c r="I232" s="0" t="n">
        <f aca="false">$B$5*D232+$C$5*E232+$D$5*F232</f>
        <v>0.00123834483374175</v>
      </c>
      <c r="J232" s="0" t="n">
        <f aca="false">SUMPRODUCT(G232:I232,Inputs!$B$4:$D$4)*Inputs!$B$2</f>
        <v>9546.96194429456</v>
      </c>
    </row>
    <row r="233" customFormat="false" ht="15" hidden="false" customHeight="false" outlineLevel="0" collapsed="false">
      <c r="D233" s="0" t="n">
        <f aca="false">MC_Shocks!A220</f>
        <v>2.57335980324986</v>
      </c>
      <c r="E233" s="0" t="n">
        <f aca="false">MC_Shocks!B220</f>
        <v>0.0592184340144883</v>
      </c>
      <c r="F233" s="0" t="n">
        <f aca="false">MC_Shocks!C220</f>
        <v>0.0139292919129462</v>
      </c>
      <c r="G233" s="0" t="n">
        <f aca="false">$B$3*D233</f>
        <v>0.0379074453144455</v>
      </c>
      <c r="H233" s="0" t="n">
        <f aca="false">$B$4*D233+$C$4*E233</f>
        <v>0.0277523346627562</v>
      </c>
      <c r="I233" s="0" t="n">
        <f aca="false">$B$5*D233+$C$5*E233+$D$5*F233</f>
        <v>0.0276137380648596</v>
      </c>
      <c r="J233" s="0" t="n">
        <f aca="false">SUMPRODUCT(G233:I233,Inputs!$B$4:$D$4)*Inputs!$B$2</f>
        <v>31772.7999440629</v>
      </c>
    </row>
    <row r="234" customFormat="false" ht="15" hidden="false" customHeight="false" outlineLevel="0" collapsed="false">
      <c r="D234" s="0" t="n">
        <f aca="false">MC_Shocks!A221</f>
        <v>-0.0241250871100033</v>
      </c>
      <c r="E234" s="0" t="n">
        <f aca="false">MC_Shocks!B221</f>
        <v>0.198084760767855</v>
      </c>
      <c r="F234" s="0" t="n">
        <f aca="false">MC_Shocks!C221</f>
        <v>-0.144360411923943</v>
      </c>
      <c r="G234" s="0" t="n">
        <f aca="false">$B$3*D234</f>
        <v>-0.000355379927507125</v>
      </c>
      <c r="H234" s="0" t="n">
        <f aca="false">$B$4*D234+$C$4*E234</f>
        <v>0.00222700316867613</v>
      </c>
      <c r="I234" s="0" t="n">
        <f aca="false">$B$5*D234+$C$5*E234+$D$5*F234</f>
        <v>-0.00077880427320335</v>
      </c>
      <c r="J234" s="0" t="n">
        <f aca="false">SUMPRODUCT(G234:I234,Inputs!$B$4:$D$4)*Inputs!$B$2</f>
        <v>292.307697638983</v>
      </c>
    </row>
    <row r="235" customFormat="false" ht="15" hidden="false" customHeight="false" outlineLevel="0" collapsed="false">
      <c r="D235" s="0" t="n">
        <f aca="false">MC_Shocks!A222</f>
        <v>-0.573662006880236</v>
      </c>
      <c r="E235" s="0" t="n">
        <f aca="false">MC_Shocks!B222</f>
        <v>-0.546858941240392</v>
      </c>
      <c r="F235" s="0" t="n">
        <f aca="false">MC_Shocks!C222</f>
        <v>-0.0327532702159984</v>
      </c>
      <c r="G235" s="0" t="n">
        <f aca="false">$B$3*D235</f>
        <v>-0.0084504549761463</v>
      </c>
      <c r="H235" s="0" t="n">
        <f aca="false">$B$4*D235+$C$4*E235</f>
        <v>-0.0128685967416919</v>
      </c>
      <c r="I235" s="0" t="n">
        <f aca="false">$B$5*D235+$C$5*E235+$D$5*F235</f>
        <v>-0.00841308401650566</v>
      </c>
      <c r="J235" s="0" t="n">
        <f aca="false">SUMPRODUCT(G235:I235,Inputs!$B$4:$D$4)*Inputs!$B$2</f>
        <v>-9764.68621791778</v>
      </c>
    </row>
    <row r="236" customFormat="false" ht="15" hidden="false" customHeight="false" outlineLevel="0" collapsed="false">
      <c r="D236" s="0" t="n">
        <f aca="false">MC_Shocks!A223</f>
        <v>-0.543424771133765</v>
      </c>
      <c r="E236" s="0" t="n">
        <f aca="false">MC_Shocks!B223</f>
        <v>-0.712845782677164</v>
      </c>
      <c r="F236" s="0" t="n">
        <f aca="false">MC_Shocks!C223</f>
        <v>0.106430227691897</v>
      </c>
      <c r="G236" s="0" t="n">
        <f aca="false">$B$3*D236</f>
        <v>-0.00800503869231696</v>
      </c>
      <c r="H236" s="0" t="n">
        <f aca="false">$B$4*D236+$C$4*E236</f>
        <v>-0.0146295452202233</v>
      </c>
      <c r="I236" s="0" t="n">
        <f aca="false">$B$5*D236+$C$5*E236+$D$5*F236</f>
        <v>-0.00749470943175899</v>
      </c>
      <c r="J236" s="0" t="n">
        <f aca="false">SUMPRODUCT(G236:I236,Inputs!$B$4:$D$4)*Inputs!$B$2</f>
        <v>-9839.29187252148</v>
      </c>
    </row>
    <row r="237" customFormat="false" ht="15" hidden="false" customHeight="false" outlineLevel="0" collapsed="false">
      <c r="D237" s="0" t="n">
        <f aca="false">MC_Shocks!A224</f>
        <v>-0.254977217420855</v>
      </c>
      <c r="E237" s="0" t="n">
        <f aca="false">MC_Shocks!B224</f>
        <v>1.50399298858269</v>
      </c>
      <c r="F237" s="0" t="n">
        <f aca="false">MC_Shocks!C224</f>
        <v>-2.65096980839301</v>
      </c>
      <c r="G237" s="0" t="n">
        <f aca="false">$B$3*D237</f>
        <v>-0.00375599825318018</v>
      </c>
      <c r="H237" s="0" t="n">
        <f aca="false">$B$4*D237+$C$4*E237</f>
        <v>0.0161552369880379</v>
      </c>
      <c r="I237" s="0" t="n">
        <f aca="false">$B$5*D237+$C$5*E237+$D$5*F237</f>
        <v>-0.0202952794816138</v>
      </c>
      <c r="J237" s="0" t="n">
        <f aca="false">SUMPRODUCT(G237:I237,Inputs!$B$4:$D$4)*Inputs!$B$2</f>
        <v>-2744.41204934485</v>
      </c>
    </row>
    <row r="238" customFormat="false" ht="15" hidden="false" customHeight="false" outlineLevel="0" collapsed="false">
      <c r="D238" s="0" t="n">
        <f aca="false">MC_Shocks!A225</f>
        <v>1.09150685192246</v>
      </c>
      <c r="E238" s="0" t="n">
        <f aca="false">MC_Shocks!B225</f>
        <v>1.24608519249763</v>
      </c>
      <c r="F238" s="0" t="n">
        <f aca="false">MC_Shocks!C225</f>
        <v>-2.07339023240815</v>
      </c>
      <c r="G238" s="0" t="n">
        <f aca="false">$B$3*D238</f>
        <v>0.0160786829138078</v>
      </c>
      <c r="H238" s="0" t="n">
        <f aca="false">$B$4*D238+$C$4*E238</f>
        <v>0.0270591156046306</v>
      </c>
      <c r="I238" s="0" t="n">
        <f aca="false">$B$5*D238+$C$5*E238+$D$5*F238</f>
        <v>-0.00193219501717365</v>
      </c>
      <c r="J238" s="0" t="n">
        <f aca="false">SUMPRODUCT(G238:I238,Inputs!$B$4:$D$4)*Inputs!$B$2</f>
        <v>13969.5493417602</v>
      </c>
    </row>
    <row r="239" customFormat="false" ht="15" hidden="false" customHeight="false" outlineLevel="0" collapsed="false">
      <c r="D239" s="0" t="n">
        <f aca="false">MC_Shocks!A226</f>
        <v>-0.342687594080349</v>
      </c>
      <c r="E239" s="0" t="n">
        <f aca="false">MC_Shocks!B226</f>
        <v>-0.371440865995792</v>
      </c>
      <c r="F239" s="0" t="n">
        <f aca="false">MC_Shocks!C226</f>
        <v>-1.40751169471782</v>
      </c>
      <c r="G239" s="0" t="n">
        <f aca="false">$B$3*D239</f>
        <v>-0.00504803534124312</v>
      </c>
      <c r="H239" s="0" t="n">
        <f aca="false">$B$4*D239+$C$4*E239</f>
        <v>-0.00824779323131177</v>
      </c>
      <c r="I239" s="0" t="n">
        <f aca="false">$B$5*D239+$C$5*E239+$D$5*F239</f>
        <v>-0.0173519924698437</v>
      </c>
      <c r="J239" s="0" t="n">
        <f aca="false">SUMPRODUCT(G239:I239,Inputs!$B$4:$D$4)*Inputs!$B$2</f>
        <v>-9699.14984684389</v>
      </c>
    </row>
    <row r="240" customFormat="false" ht="15" hidden="false" customHeight="false" outlineLevel="0" collapsed="false">
      <c r="D240" s="0" t="n">
        <f aca="false">MC_Shocks!A227</f>
        <v>-0.777816687590875</v>
      </c>
      <c r="E240" s="0" t="n">
        <f aca="false">MC_Shocks!B227</f>
        <v>-1.11057584546583</v>
      </c>
      <c r="F240" s="0" t="n">
        <f aca="false">MC_Shocks!C227</f>
        <v>1.75227044342362</v>
      </c>
      <c r="G240" s="0" t="n">
        <f aca="false">$B$3*D240</f>
        <v>-0.0114578006201379</v>
      </c>
      <c r="H240" s="0" t="n">
        <f aca="false">$B$4*D240+$C$4*E240</f>
        <v>-0.0220697984857447</v>
      </c>
      <c r="I240" s="0" t="n">
        <f aca="false">$B$5*D240+$C$5*E240+$D$5*F240</f>
        <v>0.00295055195406974</v>
      </c>
      <c r="J240" s="0" t="n">
        <f aca="false">SUMPRODUCT(G240:I240,Inputs!$B$4:$D$4)*Inputs!$B$2</f>
        <v>-10318.8942075576</v>
      </c>
    </row>
    <row r="241" customFormat="false" ht="15" hidden="false" customHeight="false" outlineLevel="0" collapsed="false">
      <c r="D241" s="0" t="n">
        <f aca="false">MC_Shocks!A228</f>
        <v>0.935678393147461</v>
      </c>
      <c r="E241" s="0" t="n">
        <f aca="false">MC_Shocks!B228</f>
        <v>1.27155509499416</v>
      </c>
      <c r="F241" s="0" t="n">
        <f aca="false">MC_Shocks!C228</f>
        <v>0.721672064043235</v>
      </c>
      <c r="G241" s="0" t="n">
        <f aca="false">$B$3*D241</f>
        <v>0.0137832173625127</v>
      </c>
      <c r="H241" s="0" t="n">
        <f aca="false">$B$4*D241+$C$4*E241</f>
        <v>0.0257423970128804</v>
      </c>
      <c r="I241" s="0" t="n">
        <f aca="false">$B$5*D241+$C$5*E241+$D$5*F241</f>
        <v>0.0209971921783921</v>
      </c>
      <c r="J241" s="0" t="n">
        <f aca="false">SUMPRODUCT(G241:I241,Inputs!$B$4:$D$4)*Inputs!$B$2</f>
        <v>19535.1637023868</v>
      </c>
    </row>
    <row r="242" customFormat="false" ht="15" hidden="false" customHeight="false" outlineLevel="0" collapsed="false">
      <c r="D242" s="0" t="n">
        <f aca="false">MC_Shocks!A229</f>
        <v>-1.12905177121723</v>
      </c>
      <c r="E242" s="0" t="n">
        <f aca="false">MC_Shocks!B229</f>
        <v>-0.524520266279774</v>
      </c>
      <c r="F242" s="0" t="n">
        <f aca="false">MC_Shocks!C229</f>
        <v>0.489374561227918</v>
      </c>
      <c r="G242" s="0" t="n">
        <f aca="false">$B$3*D242</f>
        <v>-0.0166317466452006</v>
      </c>
      <c r="H242" s="0" t="n">
        <f aca="false">$B$4*D242+$C$4*E242</f>
        <v>-0.0184184526608661</v>
      </c>
      <c r="I242" s="0" t="n">
        <f aca="false">$B$5*D242+$C$5*E242+$D$5*F242</f>
        <v>-0.00964100633070388</v>
      </c>
      <c r="J242" s="0" t="n">
        <f aca="false">SUMPRODUCT(G242:I242,Inputs!$B$4:$D$4)*Inputs!$B$2</f>
        <v>-15070.5363555512</v>
      </c>
    </row>
    <row r="243" customFormat="false" ht="15" hidden="false" customHeight="false" outlineLevel="0" collapsed="false">
      <c r="D243" s="0" t="n">
        <f aca="false">MC_Shocks!A230</f>
        <v>-1.22212780889195</v>
      </c>
      <c r="E243" s="0" t="n">
        <f aca="false">MC_Shocks!B230</f>
        <v>0.712998430172388</v>
      </c>
      <c r="F243" s="0" t="n">
        <f aca="false">MC_Shocks!C230</f>
        <v>-0.240325398158135</v>
      </c>
      <c r="G243" s="0" t="n">
        <f aca="false">$B$3*D243</f>
        <v>-0.0180028237887014</v>
      </c>
      <c r="H243" s="0" t="n">
        <f aca="false">$B$4*D243+$C$4*E243</f>
        <v>-0.00390038263144583</v>
      </c>
      <c r="I243" s="0" t="n">
        <f aca="false">$B$5*D243+$C$5*E243+$D$5*F243</f>
        <v>-0.0123873352851762</v>
      </c>
      <c r="J243" s="0" t="n">
        <f aca="false">SUMPRODUCT(G243:I243,Inputs!$B$4:$D$4)*Inputs!$B$2</f>
        <v>-12087.4448904672</v>
      </c>
    </row>
    <row r="244" customFormat="false" ht="15" hidden="false" customHeight="false" outlineLevel="0" collapsed="false">
      <c r="D244" s="0" t="n">
        <f aca="false">MC_Shocks!A231</f>
        <v>-0.374820807549598</v>
      </c>
      <c r="E244" s="0" t="n">
        <f aca="false">MC_Shocks!B231</f>
        <v>0.710959968203492</v>
      </c>
      <c r="F244" s="0" t="n">
        <f aca="false">MC_Shocks!C231</f>
        <v>0.44426331148604</v>
      </c>
      <c r="G244" s="0" t="n">
        <f aca="false">$B$3*D244</f>
        <v>-0.00552138074394376</v>
      </c>
      <c r="H244" s="0" t="n">
        <f aca="false">$B$4*D244+$C$4*E244</f>
        <v>0.00496771557959274</v>
      </c>
      <c r="I244" s="0" t="n">
        <f aca="false">$B$5*D244+$C$5*E244+$D$5*F244</f>
        <v>0.00258114645808846</v>
      </c>
      <c r="J244" s="0" t="n">
        <f aca="false">SUMPRODUCT(G244:I244,Inputs!$B$4:$D$4)*Inputs!$B$2</f>
        <v>56.1063137268546</v>
      </c>
    </row>
    <row r="245" customFormat="false" ht="15" hidden="false" customHeight="false" outlineLevel="0" collapsed="false">
      <c r="D245" s="0" t="n">
        <f aca="false">MC_Shocks!A232</f>
        <v>-0.36096616581908</v>
      </c>
      <c r="E245" s="0" t="n">
        <f aca="false">MC_Shocks!B232</f>
        <v>1.15932980336425</v>
      </c>
      <c r="F245" s="0" t="n">
        <f aca="false">MC_Shocks!C232</f>
        <v>-1.0810633275999</v>
      </c>
      <c r="G245" s="0" t="n">
        <f aca="false">$B$3*D245</f>
        <v>-0.00531729188194803</v>
      </c>
      <c r="H245" s="0" t="n">
        <f aca="false">$B$4*D245+$C$4*E245</f>
        <v>0.0107271976391916</v>
      </c>
      <c r="I245" s="0" t="n">
        <f aca="false">$B$5*D245+$C$5*E245+$D$5*F245</f>
        <v>-0.00895587835806518</v>
      </c>
      <c r="J245" s="0" t="n">
        <f aca="false">SUMPRODUCT(G245:I245,Inputs!$B$4:$D$4)*Inputs!$B$2</f>
        <v>-1595.52096844128</v>
      </c>
    </row>
    <row r="246" customFormat="false" ht="15" hidden="false" customHeight="false" outlineLevel="0" collapsed="false">
      <c r="D246" s="0" t="n">
        <f aca="false">MC_Shocks!A233</f>
        <v>0.615935606944264</v>
      </c>
      <c r="E246" s="0" t="n">
        <f aca="false">MC_Shocks!B233</f>
        <v>0.593101257968384</v>
      </c>
      <c r="F246" s="0" t="n">
        <f aca="false">MC_Shocks!C233</f>
        <v>-0.30954643931399</v>
      </c>
      <c r="G246" s="0" t="n">
        <f aca="false">$B$3*D246</f>
        <v>0.0090731755846862</v>
      </c>
      <c r="H246" s="0" t="n">
        <f aca="false">$B$4*D246+$C$4*E246</f>
        <v>0.0138913169414116</v>
      </c>
      <c r="I246" s="0" t="n">
        <f aca="false">$B$5*D246+$C$5*E246+$D$5*F246</f>
        <v>0.00603553429233432</v>
      </c>
      <c r="J246" s="0" t="n">
        <f aca="false">SUMPRODUCT(G246:I246,Inputs!$B$4:$D$4)*Inputs!$B$2</f>
        <v>9607.32560399824</v>
      </c>
    </row>
    <row r="247" customFormat="false" ht="15" hidden="false" customHeight="false" outlineLevel="0" collapsed="false">
      <c r="D247" s="0" t="n">
        <f aca="false">MC_Shocks!A234</f>
        <v>0.326133022242118</v>
      </c>
      <c r="E247" s="0" t="n">
        <f aca="false">MC_Shocks!B234</f>
        <v>-1.2511135763853</v>
      </c>
      <c r="F247" s="0" t="n">
        <f aca="false">MC_Shocks!C234</f>
        <v>0.924027019206901</v>
      </c>
      <c r="G247" s="0" t="n">
        <f aca="false">$B$3*D247</f>
        <v>0.00480417456209001</v>
      </c>
      <c r="H247" s="0" t="n">
        <f aca="false">$B$4*D247+$C$4*E247</f>
        <v>-0.0122420469214432</v>
      </c>
      <c r="I247" s="0" t="n">
        <f aca="false">$B$5*D247+$C$5*E247+$D$5*F247</f>
        <v>0.00686750700569631</v>
      </c>
      <c r="J247" s="0" t="n">
        <f aca="false">SUMPRODUCT(G247:I247,Inputs!$B$4:$D$4)*Inputs!$B$2</f>
        <v>309.307850111951</v>
      </c>
    </row>
    <row r="248" customFormat="false" ht="15" hidden="false" customHeight="false" outlineLevel="0" collapsed="false">
      <c r="D248" s="0" t="n">
        <f aca="false">MC_Shocks!A235</f>
        <v>-0.184902136442989</v>
      </c>
      <c r="E248" s="0" t="n">
        <f aca="false">MC_Shocks!B235</f>
        <v>-0.52272302051904</v>
      </c>
      <c r="F248" s="0" t="n">
        <f aca="false">MC_Shocks!C235</f>
        <v>1.04900922583689</v>
      </c>
      <c r="G248" s="0" t="n">
        <f aca="false">$B$3*D248</f>
        <v>-0.00272374178569393</v>
      </c>
      <c r="H248" s="0" t="n">
        <f aca="false">$B$4*D248+$C$4*E248</f>
        <v>-0.00848583422781529</v>
      </c>
      <c r="I248" s="0" t="n">
        <f aca="false">$B$5*D248+$C$5*E248+$D$5*F248</f>
        <v>0.00527345513271902</v>
      </c>
      <c r="J248" s="0" t="n">
        <f aca="false">SUMPRODUCT(G248:I248,Inputs!$B$4:$D$4)*Inputs!$B$2</f>
        <v>-2053.21044280645</v>
      </c>
    </row>
    <row r="249" customFormat="false" ht="15" hidden="false" customHeight="false" outlineLevel="0" collapsed="false">
      <c r="D249" s="0" t="n">
        <f aca="false">MC_Shocks!A236</f>
        <v>-0.704343690542759</v>
      </c>
      <c r="E249" s="0" t="n">
        <f aca="false">MC_Shocks!B236</f>
        <v>-1.40846129636356</v>
      </c>
      <c r="F249" s="0" t="n">
        <f aca="false">MC_Shocks!C236</f>
        <v>-1.5566291735239</v>
      </c>
      <c r="G249" s="0" t="n">
        <f aca="false">$B$3*D249</f>
        <v>-0.0103754903990128</v>
      </c>
      <c r="H249" s="0" t="n">
        <f aca="false">$B$4*D249+$C$4*E249</f>
        <v>-0.02502843820822</v>
      </c>
      <c r="I249" s="0" t="n">
        <f aca="false">$B$5*D249+$C$5*E249+$D$5*F249</f>
        <v>-0.0263726093352971</v>
      </c>
      <c r="J249" s="0" t="n">
        <f aca="false">SUMPRODUCT(G249:I249,Inputs!$B$4:$D$4)*Inputs!$B$2</f>
        <v>-19570.5104226602</v>
      </c>
    </row>
    <row r="250" customFormat="false" ht="15" hidden="false" customHeight="false" outlineLevel="0" collapsed="false">
      <c r="D250" s="0" t="n">
        <f aca="false">MC_Shocks!A237</f>
        <v>0.60600995134564</v>
      </c>
      <c r="E250" s="0" t="n">
        <f aca="false">MC_Shocks!B237</f>
        <v>-1.28042935249628</v>
      </c>
      <c r="F250" s="0" t="n">
        <f aca="false">MC_Shocks!C237</f>
        <v>1.75479418198437</v>
      </c>
      <c r="G250" s="0" t="n">
        <f aca="false">$B$3*D250</f>
        <v>0.00892696352124303</v>
      </c>
      <c r="H250" s="0" t="n">
        <f aca="false">$B$4*D250+$C$4*E250</f>
        <v>-0.00967142783752172</v>
      </c>
      <c r="I250" s="0" t="n">
        <f aca="false">$B$5*D250+$C$5*E250+$D$5*F250</f>
        <v>0.0170013491097391</v>
      </c>
      <c r="J250" s="0" t="n">
        <f aca="false">SUMPRODUCT(G250:I250,Inputs!$B$4:$D$4)*Inputs!$B$2</f>
        <v>5769.76179016243</v>
      </c>
    </row>
    <row r="251" customFormat="false" ht="15" hidden="false" customHeight="false" outlineLevel="0" collapsed="false">
      <c r="D251" s="0" t="n">
        <f aca="false">MC_Shocks!A238</f>
        <v>-2.08192940788372</v>
      </c>
      <c r="E251" s="0" t="n">
        <f aca="false">MC_Shocks!B238</f>
        <v>1.69645636829004</v>
      </c>
      <c r="F251" s="0" t="n">
        <f aca="false">MC_Shocks!C238</f>
        <v>0.211017467202618</v>
      </c>
      <c r="G251" s="0" t="n">
        <f aca="false">$B$3*D251</f>
        <v>-0.0306683212655379</v>
      </c>
      <c r="H251" s="0" t="n">
        <f aca="false">$B$4*D251+$C$4*E251</f>
        <v>-0.000611230617181907</v>
      </c>
      <c r="I251" s="0" t="n">
        <f aca="false">$B$5*D251+$C$5*E251+$D$5*F251</f>
        <v>-0.0138635131343365</v>
      </c>
      <c r="J251" s="0" t="n">
        <f aca="false">SUMPRODUCT(G251:I251,Inputs!$B$4:$D$4)*Inputs!$B$2</f>
        <v>-16609.7516316707</v>
      </c>
    </row>
    <row r="252" customFormat="false" ht="15" hidden="false" customHeight="false" outlineLevel="0" collapsed="false">
      <c r="D252" s="0" t="n">
        <f aca="false">MC_Shocks!A239</f>
        <v>-0.0967131118703924</v>
      </c>
      <c r="E252" s="0" t="n">
        <f aca="false">MC_Shocks!B239</f>
        <v>-0.54491908680895</v>
      </c>
      <c r="F252" s="0" t="n">
        <f aca="false">MC_Shocks!C239</f>
        <v>0.399136114352071</v>
      </c>
      <c r="G252" s="0" t="n">
        <f aca="false">$B$3*D252</f>
        <v>-0.00142465386876209</v>
      </c>
      <c r="H252" s="0" t="n">
        <f aca="false">$B$4*D252+$C$4*E252</f>
        <v>-0.00783809024457453</v>
      </c>
      <c r="I252" s="0" t="n">
        <f aca="false">$B$5*D252+$C$5*E252+$D$5*F252</f>
        <v>0.000431880354413072</v>
      </c>
      <c r="J252" s="0" t="n">
        <f aca="false">SUMPRODUCT(G252:I252,Inputs!$B$4:$D$4)*Inputs!$B$2</f>
        <v>-2791.72451455327</v>
      </c>
    </row>
    <row r="253" customFormat="false" ht="15" hidden="false" customHeight="false" outlineLevel="0" collapsed="false">
      <c r="D253" s="0" t="n">
        <f aca="false">MC_Shocks!A240</f>
        <v>-0.0376347024248484</v>
      </c>
      <c r="E253" s="0" t="n">
        <f aca="false">MC_Shocks!B240</f>
        <v>1.10330188201652</v>
      </c>
      <c r="F253" s="0" t="n">
        <f aca="false">MC_Shocks!C240</f>
        <v>0.11422764866204</v>
      </c>
      <c r="G253" s="0" t="n">
        <f aca="false">$B$3*D253</f>
        <v>-0.000554386301633255</v>
      </c>
      <c r="H253" s="0" t="n">
        <f aca="false">$B$4*D253+$C$4*E253</f>
        <v>0.0134194662829433</v>
      </c>
      <c r="I253" s="0" t="n">
        <f aca="false">$B$5*D253+$C$5*E253+$D$5*F253</f>
        <v>0.00473177392171097</v>
      </c>
      <c r="J253" s="0" t="n">
        <f aca="false">SUMPRODUCT(G253:I253,Inputs!$B$4:$D$4)*Inputs!$B$2</f>
        <v>5223.61754074298</v>
      </c>
    </row>
    <row r="254" customFormat="false" ht="15" hidden="false" customHeight="false" outlineLevel="0" collapsed="false">
      <c r="D254" s="0" t="n">
        <f aca="false">MC_Shocks!A241</f>
        <v>0.150301761461878</v>
      </c>
      <c r="E254" s="0" t="n">
        <f aca="false">MC_Shocks!B241</f>
        <v>-0.363612212213856</v>
      </c>
      <c r="F254" s="0" t="n">
        <f aca="false">MC_Shocks!C241</f>
        <v>-0.0569456237210675</v>
      </c>
      <c r="G254" s="0" t="n">
        <f aca="false">$B$3*D254</f>
        <v>0.00221405331508077</v>
      </c>
      <c r="H254" s="0" t="n">
        <f aca="false">$B$4*D254+$C$4*E254</f>
        <v>-0.0029751866921709</v>
      </c>
      <c r="I254" s="0" t="n">
        <f aca="false">$B$5*D254+$C$5*E254+$D$5*F254</f>
        <v>-0.000267190072161599</v>
      </c>
      <c r="J254" s="0" t="n">
        <f aca="false">SUMPRODUCT(G254:I254,Inputs!$B$4:$D$4)*Inputs!$B$2</f>
        <v>-87.0917032674407</v>
      </c>
    </row>
    <row r="255" customFormat="false" ht="15" hidden="false" customHeight="false" outlineLevel="0" collapsed="false">
      <c r="D255" s="0" t="n">
        <f aca="false">MC_Shocks!A242</f>
        <v>0.307801768892059</v>
      </c>
      <c r="E255" s="0" t="n">
        <f aca="false">MC_Shocks!B242</f>
        <v>-1.71016839265663</v>
      </c>
      <c r="F255" s="0" t="n">
        <f aca="false">MC_Shocks!C242</f>
        <v>-1.34818542210571</v>
      </c>
      <c r="G255" s="0" t="n">
        <f aca="false">$B$3*D255</f>
        <v>0.00453414198326639</v>
      </c>
      <c r="H255" s="0" t="n">
        <f aca="false">$B$4*D255+$C$4*E255</f>
        <v>-0.018182304149083</v>
      </c>
      <c r="I255" s="0" t="n">
        <f aca="false">$B$5*D255+$C$5*E255+$D$5*F255</f>
        <v>-0.0149501946954766</v>
      </c>
      <c r="J255" s="0" t="n">
        <f aca="false">SUMPRODUCT(G255:I255,Inputs!$B$4:$D$4)*Inputs!$B$2</f>
        <v>-8126.09286006132</v>
      </c>
    </row>
    <row r="256" customFormat="false" ht="15" hidden="false" customHeight="false" outlineLevel="0" collapsed="false">
      <c r="D256" s="0" t="n">
        <f aca="false">MC_Shocks!A243</f>
        <v>0.743264094022715</v>
      </c>
      <c r="E256" s="0" t="n">
        <f aca="false">MC_Shocks!B243</f>
        <v>0.170865438127942</v>
      </c>
      <c r="F256" s="0" t="n">
        <f aca="false">MC_Shocks!C243</f>
        <v>-0.183983336352679</v>
      </c>
      <c r="G256" s="0" t="n">
        <f aca="false">$B$3*D256</f>
        <v>0.0109488160041883</v>
      </c>
      <c r="H256" s="0" t="n">
        <f aca="false">$B$4*D256+$C$4*E256</f>
        <v>0.00994096611416499</v>
      </c>
      <c r="I256" s="0" t="n">
        <f aca="false">$B$5*D256+$C$5*E256+$D$5*F256</f>
        <v>0.00690426967926305</v>
      </c>
      <c r="J256" s="0" t="n">
        <f aca="false">SUMPRODUCT(G256:I256,Inputs!$B$4:$D$4)*Inputs!$B$2</f>
        <v>9433.09713970374</v>
      </c>
    </row>
    <row r="257" customFormat="false" ht="15" hidden="false" customHeight="false" outlineLevel="0" collapsed="false">
      <c r="D257" s="0" t="n">
        <f aca="false">MC_Shocks!A244</f>
        <v>0.0184339330653932</v>
      </c>
      <c r="E257" s="0" t="n">
        <f aca="false">MC_Shocks!B244</f>
        <v>0.347581705361671</v>
      </c>
      <c r="F257" s="0" t="n">
        <f aca="false">MC_Shocks!C244</f>
        <v>-0.539759680309362</v>
      </c>
      <c r="G257" s="0" t="n">
        <f aca="false">$B$3*D257</f>
        <v>0.000271545125063373</v>
      </c>
      <c r="H257" s="0" t="n">
        <f aca="false">$B$4*D257+$C$4*E257</f>
        <v>0.00454557511234519</v>
      </c>
      <c r="I257" s="0" t="n">
        <f aca="false">$B$5*D257+$C$5*E257+$D$5*F257</f>
        <v>-0.00323198582160058</v>
      </c>
      <c r="J257" s="0" t="n">
        <f aca="false">SUMPRODUCT(G257:I257,Inputs!$B$4:$D$4)*Inputs!$B$2</f>
        <v>502.694837248732</v>
      </c>
    </row>
    <row r="258" customFormat="false" ht="15" hidden="false" customHeight="false" outlineLevel="0" collapsed="false">
      <c r="D258" s="0" t="n">
        <f aca="false">MC_Shocks!A245</f>
        <v>-0.778304725402313</v>
      </c>
      <c r="E258" s="0" t="n">
        <f aca="false">MC_Shocks!B245</f>
        <v>0.195845255097682</v>
      </c>
      <c r="F258" s="0" t="n">
        <f aca="false">MC_Shocks!C245</f>
        <v>-0.978372777615032</v>
      </c>
      <c r="G258" s="0" t="n">
        <f aca="false">$B$3*D258</f>
        <v>-0.0114649897689795</v>
      </c>
      <c r="H258" s="0" t="n">
        <f aca="false">$B$4*D258+$C$4*E258</f>
        <v>-0.00571716325655032</v>
      </c>
      <c r="I258" s="0" t="n">
        <f aca="false">$B$5*D258+$C$5*E258+$D$5*F258</f>
        <v>-0.0160854079864362</v>
      </c>
      <c r="J258" s="0" t="n">
        <f aca="false">SUMPRODUCT(G258:I258,Inputs!$B$4:$D$4)*Inputs!$B$2</f>
        <v>-11126.7672804877</v>
      </c>
    </row>
    <row r="259" customFormat="false" ht="15" hidden="false" customHeight="false" outlineLevel="0" collapsed="false">
      <c r="D259" s="0" t="n">
        <f aca="false">MC_Shocks!A246</f>
        <v>0.408252755714472</v>
      </c>
      <c r="E259" s="0" t="n">
        <f aca="false">MC_Shocks!B246</f>
        <v>-1.70258360423784</v>
      </c>
      <c r="F259" s="0" t="n">
        <f aca="false">MC_Shocks!C246</f>
        <v>1.02915563732564</v>
      </c>
      <c r="G259" s="0" t="n">
        <f aca="false">$B$3*D259</f>
        <v>0.00601385744510886</v>
      </c>
      <c r="H259" s="0" t="n">
        <f aca="false">$B$4*D259+$C$4*E259</f>
        <v>-0.0170329670157971</v>
      </c>
      <c r="I259" s="0" t="n">
        <f aca="false">$B$5*D259+$C$5*E259+$D$5*F259</f>
        <v>0.00696872106000159</v>
      </c>
      <c r="J259" s="0" t="n">
        <f aca="false">SUMPRODUCT(G259:I259,Inputs!$B$4:$D$4)*Inputs!$B$2</f>
        <v>-613.730808695105</v>
      </c>
    </row>
    <row r="260" customFormat="false" ht="15" hidden="false" customHeight="false" outlineLevel="0" collapsed="false">
      <c r="D260" s="0" t="n">
        <f aca="false">MC_Shocks!A247</f>
        <v>0.472597482413043</v>
      </c>
      <c r="E260" s="0" t="n">
        <f aca="false">MC_Shocks!B247</f>
        <v>0.256029734313876</v>
      </c>
      <c r="F260" s="0" t="n">
        <f aca="false">MC_Shocks!C247</f>
        <v>0.982690983945514</v>
      </c>
      <c r="G260" s="0" t="n">
        <f aca="false">$B$3*D260</f>
        <v>0.00696170166243077</v>
      </c>
      <c r="H260" s="0" t="n">
        <f aca="false">$B$4*D260+$C$4*E260</f>
        <v>0.00816630350120358</v>
      </c>
      <c r="I260" s="0" t="n">
        <f aca="false">$B$5*D260+$C$5*E260+$D$5*F260</f>
        <v>0.014575118462172</v>
      </c>
      <c r="J260" s="0" t="n">
        <f aca="false">SUMPRODUCT(G260:I260,Inputs!$B$4:$D$4)*Inputs!$B$2</f>
        <v>9607.10725398497</v>
      </c>
    </row>
    <row r="261" customFormat="false" ht="15" hidden="false" customHeight="false" outlineLevel="0" collapsed="false">
      <c r="D261" s="0" t="n">
        <f aca="false">MC_Shocks!A248</f>
        <v>1.66547444446258</v>
      </c>
      <c r="E261" s="0" t="n">
        <f aca="false">MC_Shocks!B248</f>
        <v>1.01437006501813</v>
      </c>
      <c r="F261" s="0" t="n">
        <f aca="false">MC_Shocks!C248</f>
        <v>-1.84087423133165</v>
      </c>
      <c r="G261" s="0" t="n">
        <f aca="false">$B$3*D261</f>
        <v>0.0245336393870538</v>
      </c>
      <c r="H261" s="0" t="n">
        <f aca="false">$B$4*D261+$C$4*E261</f>
        <v>0.0301823586583117</v>
      </c>
      <c r="I261" s="0" t="n">
        <f aca="false">$B$5*D261+$C$5*E261+$D$5*F261</f>
        <v>0.00531969851157505</v>
      </c>
      <c r="J261" s="0" t="n">
        <f aca="false">SUMPRODUCT(G261:I261,Inputs!$B$4:$D$4)*Inputs!$B$2</f>
        <v>20464.0729057875</v>
      </c>
    </row>
    <row r="262" customFormat="false" ht="15" hidden="false" customHeight="false" outlineLevel="0" collapsed="false">
      <c r="D262" s="0" t="n">
        <f aca="false">MC_Shocks!A249</f>
        <v>-1.2795769667357</v>
      </c>
      <c r="E262" s="0" t="n">
        <f aca="false">MC_Shocks!B249</f>
        <v>-0.624818577695679</v>
      </c>
      <c r="F262" s="0" t="n">
        <f aca="false">MC_Shocks!C249</f>
        <v>0.0260910502108338</v>
      </c>
      <c r="G262" s="0" t="n">
        <f aca="false">$B$3*D262</f>
        <v>-0.0188490913050327</v>
      </c>
      <c r="H262" s="0" t="n">
        <f aca="false">$B$4*D262+$C$4*E262</f>
        <v>-0.0212542559107471</v>
      </c>
      <c r="I262" s="0" t="n">
        <f aca="false">$B$5*D262+$C$5*E262+$D$5*F262</f>
        <v>-0.0156700391189611</v>
      </c>
      <c r="J262" s="0" t="n">
        <f aca="false">SUMPRODUCT(G262:I262,Inputs!$B$4:$D$4)*Inputs!$B$2</f>
        <v>-18616.9250309256</v>
      </c>
    </row>
    <row r="263" customFormat="false" ht="15" hidden="false" customHeight="false" outlineLevel="0" collapsed="false">
      <c r="D263" s="0" t="n">
        <f aca="false">MC_Shocks!A250</f>
        <v>0.517659020469123</v>
      </c>
      <c r="E263" s="0" t="n">
        <f aca="false">MC_Shocks!B250</f>
        <v>-0.725743813153466</v>
      </c>
      <c r="F263" s="0" t="n">
        <f aca="false">MC_Shocks!C250</f>
        <v>0.186766764477078</v>
      </c>
      <c r="G263" s="0" t="n">
        <f aca="false">$B$3*D263</f>
        <v>0.00762549060771873</v>
      </c>
      <c r="H263" s="0" t="n">
        <f aca="false">$B$4*D263+$C$4*E263</f>
        <v>-0.0036535464064956</v>
      </c>
      <c r="I263" s="0" t="n">
        <f aca="false">$B$5*D263+$C$5*E263+$D$5*F263</f>
        <v>0.00440514339868521</v>
      </c>
      <c r="J263" s="0" t="n">
        <f aca="false">SUMPRODUCT(G263:I263,Inputs!$B$4:$D$4)*Inputs!$B$2</f>
        <v>3275.67534074438</v>
      </c>
    </row>
    <row r="264" customFormat="false" ht="15" hidden="false" customHeight="false" outlineLevel="0" collapsed="false">
      <c r="D264" s="0" t="n">
        <f aca="false">MC_Shocks!A251</f>
        <v>-0.755382932353323</v>
      </c>
      <c r="E264" s="0" t="n">
        <f aca="false">MC_Shocks!B251</f>
        <v>-0.611517802991948</v>
      </c>
      <c r="F264" s="0" t="n">
        <f aca="false">MC_Shocks!C251</f>
        <v>-1.40666109684822</v>
      </c>
      <c r="G264" s="0" t="n">
        <f aca="false">$B$3*D264</f>
        <v>-0.0111273352305755</v>
      </c>
      <c r="H264" s="0" t="n">
        <f aca="false">$B$4*D264+$C$4*E264</f>
        <v>-0.0155855977965645</v>
      </c>
      <c r="I264" s="0" t="n">
        <f aca="false">$B$5*D264+$C$5*E264+$D$5*F264</f>
        <v>-0.0226165650554585</v>
      </c>
      <c r="J264" s="0" t="n">
        <f aca="false">SUMPRODUCT(G264:I264,Inputs!$B$4:$D$4)*Inputs!$B$2</f>
        <v>-15911.5829478371</v>
      </c>
    </row>
    <row r="265" customFormat="false" ht="15" hidden="false" customHeight="false" outlineLevel="0" collapsed="false">
      <c r="D265" s="0" t="n">
        <f aca="false">MC_Shocks!A252</f>
        <v>-0.923233246110904</v>
      </c>
      <c r="E265" s="0" t="n">
        <f aca="false">MC_Shocks!B252</f>
        <v>-1.35168460561633</v>
      </c>
      <c r="F265" s="0" t="n">
        <f aca="false">MC_Shocks!C252</f>
        <v>-0.975873252977333</v>
      </c>
      <c r="G265" s="0" t="n">
        <f aca="false">$B$3*D265</f>
        <v>-0.0135998913736157</v>
      </c>
      <c r="H265" s="0" t="n">
        <f aca="false">$B$4*D265+$C$4*E265</f>
        <v>-0.0266150737613203</v>
      </c>
      <c r="I265" s="0" t="n">
        <f aca="false">$B$5*D265+$C$5*E265+$D$5*F265</f>
        <v>-0.0233921139933549</v>
      </c>
      <c r="J265" s="0" t="n">
        <f aca="false">SUMPRODUCT(G265:I265,Inputs!$B$4:$D$4)*Inputs!$B$2</f>
        <v>-20442.1128758488</v>
      </c>
    </row>
    <row r="266" customFormat="false" ht="15" hidden="false" customHeight="false" outlineLevel="0" collapsed="false">
      <c r="D266" s="0" t="n">
        <f aca="false">MC_Shocks!A253</f>
        <v>1.05364179660784</v>
      </c>
      <c r="E266" s="0" t="n">
        <f aca="false">MC_Shocks!B253</f>
        <v>-0.949398888831943</v>
      </c>
      <c r="F266" s="0" t="n">
        <f aca="false">MC_Shocks!C253</f>
        <v>2.63238206483739</v>
      </c>
      <c r="G266" s="0" t="n">
        <f aca="false">$B$3*D266</f>
        <v>0.0155209033480219</v>
      </c>
      <c r="H266" s="0" t="n">
        <f aca="false">$B$4*D266+$C$4*E266</f>
        <v>-0.000828084604789649</v>
      </c>
      <c r="I266" s="0" t="n">
        <f aca="false">$B$5*D266+$C$5*E266+$D$5*F266</f>
        <v>0.0306719248387791</v>
      </c>
      <c r="J266" s="0" t="n">
        <f aca="false">SUMPRODUCT(G266:I266,Inputs!$B$4:$D$4)*Inputs!$B$2</f>
        <v>15161.5134094056</v>
      </c>
    </row>
    <row r="267" customFormat="false" ht="15" hidden="false" customHeight="false" outlineLevel="0" collapsed="false">
      <c r="D267" s="0" t="n">
        <f aca="false">MC_Shocks!A254</f>
        <v>0.493317900880889</v>
      </c>
      <c r="E267" s="0" t="n">
        <f aca="false">MC_Shocks!B254</f>
        <v>0.184836123694874</v>
      </c>
      <c r="F267" s="0" t="n">
        <f aca="false">MC_Shocks!C254</f>
        <v>-0.858357780181214</v>
      </c>
      <c r="G267" s="0" t="n">
        <f aca="false">$B$3*D267</f>
        <v>0.00726692836604616</v>
      </c>
      <c r="H267" s="0" t="n">
        <f aca="false">$B$4*D267+$C$4*E267</f>
        <v>0.00749237361970253</v>
      </c>
      <c r="I267" s="0" t="n">
        <f aca="false">$B$5*D267+$C$5*E267+$D$5*F267</f>
        <v>-0.0015997999474444</v>
      </c>
      <c r="J267" s="0" t="n">
        <f aca="false">SUMPRODUCT(G267:I267,Inputs!$B$4:$D$4)*Inputs!$B$2</f>
        <v>4674.5434480959</v>
      </c>
    </row>
    <row r="268" customFormat="false" ht="15" hidden="false" customHeight="false" outlineLevel="0" collapsed="false">
      <c r="D268" s="0" t="n">
        <f aca="false">MC_Shocks!A255</f>
        <v>0.700309879408991</v>
      </c>
      <c r="E268" s="0" t="n">
        <f aca="false">MC_Shocks!B255</f>
        <v>-0.575637826237774</v>
      </c>
      <c r="F268" s="0" t="n">
        <f aca="false">MC_Shocks!C255</f>
        <v>0.122009814645361</v>
      </c>
      <c r="G268" s="0" t="n">
        <f aca="false">$B$3*D268</f>
        <v>0.010316069452603</v>
      </c>
      <c r="H268" s="0" t="n">
        <f aca="false">$B$4*D268+$C$4*E268</f>
        <v>0.000143102874463037</v>
      </c>
      <c r="I268" s="0" t="n">
        <f aca="false">$B$5*D268+$C$5*E268+$D$5*F268</f>
        <v>0.00633530370584034</v>
      </c>
      <c r="J268" s="0" t="n">
        <f aca="false">SUMPRODUCT(G268:I268,Inputs!$B$4:$D$4)*Inputs!$B$2</f>
        <v>6069.9497551322</v>
      </c>
    </row>
    <row r="269" customFormat="false" ht="15" hidden="false" customHeight="false" outlineLevel="0" collapsed="false">
      <c r="D269" s="0" t="n">
        <f aca="false">MC_Shocks!A256</f>
        <v>2.5600845382688</v>
      </c>
      <c r="E269" s="0" t="n">
        <f aca="false">MC_Shocks!B256</f>
        <v>-0.0960598997246499</v>
      </c>
      <c r="F269" s="0" t="n">
        <f aca="false">MC_Shocks!C256</f>
        <v>1.14927332628568</v>
      </c>
      <c r="G269" s="0" t="n">
        <f aca="false">$B$3*D269</f>
        <v>0.0377118910897044</v>
      </c>
      <c r="H269" s="0" t="n">
        <f aca="false">$B$4*D269+$C$4*E269</f>
        <v>0.0256687459176872</v>
      </c>
      <c r="I269" s="0" t="n">
        <f aca="false">$B$5*D269+$C$5*E269+$D$5*F269</f>
        <v>0.0368376816464319</v>
      </c>
      <c r="J269" s="0" t="n">
        <f aca="false">SUMPRODUCT(G269:I269,Inputs!$B$4:$D$4)*Inputs!$B$2</f>
        <v>33836.6847051175</v>
      </c>
    </row>
    <row r="270" customFormat="false" ht="15" hidden="false" customHeight="false" outlineLevel="0" collapsed="false">
      <c r="D270" s="0" t="n">
        <f aca="false">MC_Shocks!A257</f>
        <v>-0.703176425125887</v>
      </c>
      <c r="E270" s="0" t="n">
        <f aca="false">MC_Shocks!B257</f>
        <v>-0.0349884904969617</v>
      </c>
      <c r="F270" s="0" t="n">
        <f aca="false">MC_Shocks!C257</f>
        <v>1.77080063563551</v>
      </c>
      <c r="G270" s="0" t="n">
        <f aca="false">$B$3*D270</f>
        <v>-0.0103582957378148</v>
      </c>
      <c r="H270" s="0" t="n">
        <f aca="false">$B$4*D270+$C$4*E270</f>
        <v>-0.00781887091193088</v>
      </c>
      <c r="I270" s="0" t="n">
        <f aca="false">$B$5*D270+$C$5*E270+$D$5*F270</f>
        <v>0.00793003685609704</v>
      </c>
      <c r="J270" s="0" t="n">
        <f aca="false">SUMPRODUCT(G270:I270,Inputs!$B$4:$D$4)*Inputs!$B$2</f>
        <v>-4109.96851187606</v>
      </c>
    </row>
    <row r="271" customFormat="false" ht="15" hidden="false" customHeight="false" outlineLevel="0" collapsed="false">
      <c r="D271" s="0" t="n">
        <f aca="false">MC_Shocks!A258</f>
        <v>-0.626967057787767</v>
      </c>
      <c r="E271" s="0" t="n">
        <f aca="false">MC_Shocks!B258</f>
        <v>1.81244855799693</v>
      </c>
      <c r="F271" s="0" t="n">
        <f aca="false">MC_Shocks!C258</f>
        <v>0.707751935455475</v>
      </c>
      <c r="G271" s="0" t="n">
        <f aca="false">$B$3*D271</f>
        <v>-0.00923567680937347</v>
      </c>
      <c r="H271" s="0" t="n">
        <f aca="false">$B$4*D271+$C$4*E271</f>
        <v>0.0161128915313193</v>
      </c>
      <c r="I271" s="0" t="n">
        <f aca="false">$B$5*D271+$C$5*E271+$D$5*F271</f>
        <v>0.00634050079786458</v>
      </c>
      <c r="J271" s="0" t="n">
        <f aca="false">SUMPRODUCT(G271:I271,Inputs!$B$4:$D$4)*Inputs!$B$2</f>
        <v>3041.74697500578</v>
      </c>
    </row>
    <row r="272" customFormat="false" ht="15" hidden="false" customHeight="false" outlineLevel="0" collapsed="false">
      <c r="D272" s="0" t="n">
        <f aca="false">MC_Shocks!A259</f>
        <v>-0.562466775894268</v>
      </c>
      <c r="E272" s="0" t="n">
        <f aca="false">MC_Shocks!B259</f>
        <v>0.632407739055521</v>
      </c>
      <c r="F272" s="0" t="n">
        <f aca="false">MC_Shocks!C259</f>
        <v>0.97255444962673</v>
      </c>
      <c r="G272" s="0" t="n">
        <f aca="false">$B$3*D272</f>
        <v>-0.00828554115187375</v>
      </c>
      <c r="H272" s="0" t="n">
        <f aca="false">$B$4*D272+$C$4*E272</f>
        <v>0.00201456378045056</v>
      </c>
      <c r="I272" s="0" t="n">
        <f aca="false">$B$5*D272+$C$5*E272+$D$5*F272</f>
        <v>0.00492655915203244</v>
      </c>
      <c r="J272" s="0" t="n">
        <f aca="false">SUMPRODUCT(G272:I272,Inputs!$B$4:$D$4)*Inputs!$B$2</f>
        <v>-1231.8795810046</v>
      </c>
    </row>
    <row r="273" customFormat="false" ht="15" hidden="false" customHeight="false" outlineLevel="0" collapsed="false">
      <c r="D273" s="0" t="n">
        <f aca="false">MC_Shocks!A260</f>
        <v>0.621809962217196</v>
      </c>
      <c r="E273" s="0" t="n">
        <f aca="false">MC_Shocks!B260</f>
        <v>-1.57022471989046</v>
      </c>
      <c r="F273" s="0" t="n">
        <f aca="false">MC_Shocks!C260</f>
        <v>-0.727137175824869</v>
      </c>
      <c r="G273" s="0" t="n">
        <f aca="false">$B$3*D273</f>
        <v>0.00915970907331266</v>
      </c>
      <c r="H273" s="0" t="n">
        <f aca="false">$B$4*D273+$C$4*E273</f>
        <v>-0.0131341264963386</v>
      </c>
      <c r="I273" s="0" t="n">
        <f aca="false">$B$5*D273+$C$5*E273+$D$5*F273</f>
        <v>-0.00565826625105187</v>
      </c>
      <c r="J273" s="0" t="n">
        <f aca="false">SUMPRODUCT(G273:I273,Inputs!$B$4:$D$4)*Inputs!$B$2</f>
        <v>-1973.83419489208</v>
      </c>
    </row>
    <row r="274" customFormat="false" ht="15" hidden="false" customHeight="false" outlineLevel="0" collapsed="false">
      <c r="D274" s="0" t="n">
        <f aca="false">MC_Shocks!A261</f>
        <v>-0.247518635551505</v>
      </c>
      <c r="E274" s="0" t="n">
        <f aca="false">MC_Shocks!B261</f>
        <v>-0.0744334291000463</v>
      </c>
      <c r="F274" s="0" t="n">
        <f aca="false">MC_Shocks!C261</f>
        <v>0.620672097550678</v>
      </c>
      <c r="G274" s="0" t="n">
        <f aca="false">$B$3*D274</f>
        <v>-0.00364612796454869</v>
      </c>
      <c r="H274" s="0" t="n">
        <f aca="false">$B$4*D274+$C$4*E274</f>
        <v>-0.0035300239544363</v>
      </c>
      <c r="I274" s="0" t="n">
        <f aca="false">$B$5*D274+$C$5*E274+$D$5*F274</f>
        <v>0.00253563405603144</v>
      </c>
      <c r="J274" s="0" t="n">
        <f aca="false">SUMPRODUCT(G274:I274,Inputs!$B$4:$D$4)*Inputs!$B$2</f>
        <v>-1756.76815534094</v>
      </c>
    </row>
    <row r="275" customFormat="false" ht="15" hidden="false" customHeight="false" outlineLevel="0" collapsed="false">
      <c r="D275" s="0" t="n">
        <f aca="false">MC_Shocks!A262</f>
        <v>0.177701000933254</v>
      </c>
      <c r="E275" s="0" t="n">
        <f aca="false">MC_Shocks!B262</f>
        <v>-1.3353443587101</v>
      </c>
      <c r="F275" s="0" t="n">
        <f aca="false">MC_Shocks!C262</f>
        <v>0.380197851005963</v>
      </c>
      <c r="G275" s="0" t="n">
        <f aca="false">$B$3*D275</f>
        <v>0.00261766386756042</v>
      </c>
      <c r="H275" s="0" t="n">
        <f aca="false">$B$4*D275+$C$4*E275</f>
        <v>-0.0148546972440077</v>
      </c>
      <c r="I275" s="0" t="n">
        <f aca="false">$B$5*D275+$C$5*E275+$D$5*F275</f>
        <v>0.000215202477441542</v>
      </c>
      <c r="J275" s="0" t="n">
        <f aca="false">SUMPRODUCT(G275:I275,Inputs!$B$4:$D$4)*Inputs!$B$2</f>
        <v>-3344.78288294567</v>
      </c>
    </row>
    <row r="276" customFormat="false" ht="15" hidden="false" customHeight="false" outlineLevel="0" collapsed="false">
      <c r="D276" s="0" t="n">
        <f aca="false">MC_Shocks!A263</f>
        <v>0.610585745283823</v>
      </c>
      <c r="E276" s="0" t="n">
        <f aca="false">MC_Shocks!B263</f>
        <v>0.55979044793104</v>
      </c>
      <c r="F276" s="0" t="n">
        <f aca="false">MC_Shocks!C263</f>
        <v>1.08078072555462</v>
      </c>
      <c r="G276" s="0" t="n">
        <f aca="false">$B$3*D276</f>
        <v>0.00899436826513574</v>
      </c>
      <c r="H276" s="0" t="n">
        <f aca="false">$B$4*D276+$C$4*E276</f>
        <v>0.0134180768145773</v>
      </c>
      <c r="I276" s="0" t="n">
        <f aca="false">$B$5*D276+$C$5*E276+$D$5*F276</f>
        <v>0.018033727604092</v>
      </c>
      <c r="J276" s="0" t="n">
        <f aca="false">SUMPRODUCT(G276:I276,Inputs!$B$4:$D$4)*Inputs!$B$2</f>
        <v>13033.2886316551</v>
      </c>
    </row>
    <row r="277" customFormat="false" ht="15" hidden="false" customHeight="false" outlineLevel="0" collapsed="false">
      <c r="D277" s="0" t="n">
        <f aca="false">MC_Shocks!A264</f>
        <v>0.833922154548904</v>
      </c>
      <c r="E277" s="0" t="n">
        <f aca="false">MC_Shocks!B264</f>
        <v>0.459180079228437</v>
      </c>
      <c r="F277" s="0" t="n">
        <f aca="false">MC_Shocks!C264</f>
        <v>-0.070165711458647</v>
      </c>
      <c r="G277" s="0" t="n">
        <f aca="false">$B$3*D277</f>
        <v>0.0122842746009108</v>
      </c>
      <c r="H277" s="0" t="n">
        <f aca="false">$B$4*D277+$C$4*E277</f>
        <v>0.0145025445841532</v>
      </c>
      <c r="I277" s="0" t="n">
        <f aca="false">$B$5*D277+$C$5*E277+$D$5*F277</f>
        <v>0.00994127919386691</v>
      </c>
      <c r="J277" s="0" t="n">
        <f aca="false">SUMPRODUCT(G277:I277,Inputs!$B$4:$D$4)*Inputs!$B$2</f>
        <v>12246.8569737704</v>
      </c>
    </row>
    <row r="278" customFormat="false" ht="15" hidden="false" customHeight="false" outlineLevel="0" collapsed="false">
      <c r="D278" s="0" t="n">
        <f aca="false">MC_Shocks!A265</f>
        <v>-1.66096093351599</v>
      </c>
      <c r="E278" s="0" t="n">
        <f aca="false">MC_Shocks!B265</f>
        <v>0.429618219132586</v>
      </c>
      <c r="F278" s="0" t="n">
        <f aca="false">MC_Shocks!C265</f>
        <v>0.207687687163111</v>
      </c>
      <c r="G278" s="0" t="n">
        <f aca="false">$B$3*D278</f>
        <v>-0.0244671521165338</v>
      </c>
      <c r="H278" s="0" t="n">
        <f aca="false">$B$4*D278+$C$4*E278</f>
        <v>-0.0120547405320192</v>
      </c>
      <c r="I278" s="0" t="n">
        <f aca="false">$B$5*D278+$C$5*E278+$D$5*F278</f>
        <v>-0.0141737430466109</v>
      </c>
      <c r="J278" s="0" t="n">
        <f aca="false">SUMPRODUCT(G278:I278,Inputs!$B$4:$D$4)*Inputs!$B$2</f>
        <v>-17655.4059202026</v>
      </c>
    </row>
    <row r="279" customFormat="false" ht="15" hidden="false" customHeight="false" outlineLevel="0" collapsed="false">
      <c r="D279" s="0" t="n">
        <f aca="false">MC_Shocks!A266</f>
        <v>0.271578837195374</v>
      </c>
      <c r="E279" s="0" t="n">
        <f aca="false">MC_Shocks!B266</f>
        <v>-1.27674857582031</v>
      </c>
      <c r="F279" s="0" t="n">
        <f aca="false">MC_Shocks!C266</f>
        <v>-1.08105654040826</v>
      </c>
      <c r="G279" s="0" t="n">
        <f aca="false">$B$3*D279</f>
        <v>0.00400055208235673</v>
      </c>
      <c r="H279" s="0" t="n">
        <f aca="false">$B$4*D279+$C$4*E279</f>
        <v>-0.0131356431552528</v>
      </c>
      <c r="I279" s="0" t="n">
        <f aca="false">$B$5*D279+$C$5*E279+$D$5*F279</f>
        <v>-0.0113715451428276</v>
      </c>
      <c r="J279" s="0" t="n">
        <f aca="false">SUMPRODUCT(G279:I279,Inputs!$B$4:$D$4)*Inputs!$B$2</f>
        <v>-5751.93565648144</v>
      </c>
    </row>
    <row r="280" customFormat="false" ht="15" hidden="false" customHeight="false" outlineLevel="0" collapsed="false">
      <c r="D280" s="0" t="n">
        <f aca="false">MC_Shocks!A267</f>
        <v>1.0531528533329</v>
      </c>
      <c r="E280" s="0" t="n">
        <f aca="false">MC_Shocks!B267</f>
        <v>-0.039555153856655</v>
      </c>
      <c r="F280" s="0" t="n">
        <f aca="false">MC_Shocks!C267</f>
        <v>0.681500697372624</v>
      </c>
      <c r="G280" s="0" t="n">
        <f aca="false">$B$3*D280</f>
        <v>0.0155137008610502</v>
      </c>
      <c r="H280" s="0" t="n">
        <f aca="false">$B$4*D280+$C$4*E280</f>
        <v>0.0105589779430532</v>
      </c>
      <c r="I280" s="0" t="n">
        <f aca="false">$B$5*D280+$C$5*E280+$D$5*F280</f>
        <v>0.0169823564213966</v>
      </c>
      <c r="J280" s="0" t="n">
        <f aca="false">SUMPRODUCT(G280:I280,Inputs!$B$4:$D$4)*Inputs!$B$2</f>
        <v>14467.880653755</v>
      </c>
    </row>
    <row r="281" customFormat="false" ht="15" hidden="false" customHeight="false" outlineLevel="0" collapsed="false">
      <c r="D281" s="0" t="n">
        <f aca="false">MC_Shocks!A268</f>
        <v>0.0283183761304612</v>
      </c>
      <c r="E281" s="0" t="n">
        <f aca="false">MC_Shocks!B268</f>
        <v>0.0297561394957452</v>
      </c>
      <c r="F281" s="0" t="n">
        <f aca="false">MC_Shocks!C268</f>
        <v>0.938283805975998</v>
      </c>
      <c r="G281" s="0" t="n">
        <f aca="false">$B$3*D281</f>
        <v>0.000417150098172699</v>
      </c>
      <c r="H281" s="0" t="n">
        <f aca="false">$B$4*D281+$C$4*E281</f>
        <v>0.000669817259830265</v>
      </c>
      <c r="I281" s="0" t="n">
        <f aca="false">$B$5*D281+$C$5*E281+$D$5*F281</f>
        <v>0.00863105191647396</v>
      </c>
      <c r="J281" s="0" t="n">
        <f aca="false">SUMPRODUCT(G281:I281,Inputs!$B$4:$D$4)*Inputs!$B$2</f>
        <v>2957.12079216035</v>
      </c>
    </row>
    <row r="282" customFormat="false" ht="15" hidden="false" customHeight="false" outlineLevel="0" collapsed="false">
      <c r="D282" s="0" t="n">
        <f aca="false">MC_Shocks!A269</f>
        <v>-0.516044728217374</v>
      </c>
      <c r="E282" s="0" t="n">
        <f aca="false">MC_Shocks!B269</f>
        <v>0.0961207769409834</v>
      </c>
      <c r="F282" s="0" t="n">
        <f aca="false">MC_Shocks!C269</f>
        <v>-0.462275288705043</v>
      </c>
      <c r="G282" s="0" t="n">
        <f aca="false">$B$3*D282</f>
        <v>-0.00760171091893311</v>
      </c>
      <c r="H282" s="0" t="n">
        <f aca="false">$B$4*D282+$C$4*E282</f>
        <v>-0.00421304802071721</v>
      </c>
      <c r="I282" s="0" t="n">
        <f aca="false">$B$5*D282+$C$5*E282+$D$5*F282</f>
        <v>-0.00915838737148621</v>
      </c>
      <c r="J282" s="0" t="n">
        <f aca="false">SUMPRODUCT(G282:I282,Inputs!$B$4:$D$4)*Inputs!$B$2</f>
        <v>-7052.11498523427</v>
      </c>
    </row>
    <row r="283" customFormat="false" ht="15" hidden="false" customHeight="false" outlineLevel="0" collapsed="false">
      <c r="D283" s="0" t="n">
        <f aca="false">MC_Shocks!A270</f>
        <v>-0.434496227432316</v>
      </c>
      <c r="E283" s="0" t="n">
        <f aca="false">MC_Shocks!B270</f>
        <v>-0.309172123468639</v>
      </c>
      <c r="F283" s="0" t="n">
        <f aca="false">MC_Shocks!C270</f>
        <v>0.222133771633713</v>
      </c>
      <c r="G283" s="0" t="n">
        <f aca="false">$B$3*D283</f>
        <v>-0.00640044270526137</v>
      </c>
      <c r="H283" s="0" t="n">
        <f aca="false">$B$4*D283+$C$4*E283</f>
        <v>-0.00843177806063843</v>
      </c>
      <c r="I283" s="0" t="n">
        <f aca="false">$B$5*D283+$C$5*E283+$D$5*F283</f>
        <v>-0.00381574817401451</v>
      </c>
      <c r="J283" s="0" t="n">
        <f aca="false">SUMPRODUCT(G283:I283,Inputs!$B$4:$D$4)*Inputs!$B$2</f>
        <v>-6234.43495250043</v>
      </c>
    </row>
    <row r="284" customFormat="false" ht="15" hidden="false" customHeight="false" outlineLevel="0" collapsed="false">
      <c r="D284" s="0" t="n">
        <f aca="false">MC_Shocks!A271</f>
        <v>-0.478748621663477</v>
      </c>
      <c r="E284" s="0" t="n">
        <f aca="false">MC_Shocks!B271</f>
        <v>1.25575612557352</v>
      </c>
      <c r="F284" s="0" t="n">
        <f aca="false">MC_Shocks!C271</f>
        <v>-0.894607302219504</v>
      </c>
      <c r="G284" s="0" t="n">
        <f aca="false">$B$3*D284</f>
        <v>-0.00705231237860925</v>
      </c>
      <c r="H284" s="0" t="n">
        <f aca="false">$B$4*D284+$C$4*E284</f>
        <v>0.0106982713568151</v>
      </c>
      <c r="I284" s="0" t="n">
        <f aca="false">$B$5*D284+$C$5*E284+$D$5*F284</f>
        <v>-0.0082096819819449</v>
      </c>
      <c r="J284" s="0" t="n">
        <f aca="false">SUMPRODUCT(G284:I284,Inputs!$B$4:$D$4)*Inputs!$B$2</f>
        <v>-2074.34813898263</v>
      </c>
    </row>
    <row r="285" customFormat="false" ht="15" hidden="false" customHeight="false" outlineLevel="0" collapsed="false">
      <c r="D285" s="0" t="n">
        <f aca="false">MC_Shocks!A272</f>
        <v>-0.186871644161359</v>
      </c>
      <c r="E285" s="0" t="n">
        <f aca="false">MC_Shocks!B272</f>
        <v>-0.439731058274175</v>
      </c>
      <c r="F285" s="0" t="n">
        <f aca="false">MC_Shocks!C272</f>
        <v>1.44697788435373</v>
      </c>
      <c r="G285" s="0" t="n">
        <f aca="false">$B$3*D285</f>
        <v>-0.00275275405441601</v>
      </c>
      <c r="H285" s="0" t="n">
        <f aca="false">$B$4*D285+$C$4*E285</f>
        <v>-0.00746736072680141</v>
      </c>
      <c r="I285" s="0" t="n">
        <f aca="false">$B$5*D285+$C$5*E285+$D$5*F285</f>
        <v>0.00904953794157368</v>
      </c>
      <c r="J285" s="0" t="n">
        <f aca="false">SUMPRODUCT(G285:I285,Inputs!$B$4:$D$4)*Inputs!$B$2</f>
        <v>-626.448457334725</v>
      </c>
    </row>
    <row r="286" customFormat="false" ht="15" hidden="false" customHeight="false" outlineLevel="0" collapsed="false">
      <c r="D286" s="0" t="n">
        <f aca="false">MC_Shocks!A273</f>
        <v>0.196554776511575</v>
      </c>
      <c r="E286" s="0" t="n">
        <f aca="false">MC_Shocks!B273</f>
        <v>1.03184453946864</v>
      </c>
      <c r="F286" s="0" t="n">
        <f aca="false">MC_Shocks!C273</f>
        <v>-1.48556037303697</v>
      </c>
      <c r="G286" s="0" t="n">
        <f aca="false">$B$3*D286</f>
        <v>0.00289539357554896</v>
      </c>
      <c r="H286" s="0" t="n">
        <f aca="false">$B$4*D286+$C$4*E286</f>
        <v>0.0149828779180499</v>
      </c>
      <c r="I286" s="0" t="n">
        <f aca="false">$B$5*D286+$C$5*E286+$D$5*F286</f>
        <v>-0.00706848949253037</v>
      </c>
      <c r="J286" s="0" t="n">
        <f aca="false">SUMPRODUCT(G286:I286,Inputs!$B$4:$D$4)*Inputs!$B$2</f>
        <v>3532.47395787544</v>
      </c>
    </row>
    <row r="287" customFormat="false" ht="15" hidden="false" customHeight="false" outlineLevel="0" collapsed="false">
      <c r="D287" s="0" t="n">
        <f aca="false">MC_Shocks!A274</f>
        <v>0.267050265869259</v>
      </c>
      <c r="E287" s="0" t="n">
        <f aca="false">MC_Shocks!B274</f>
        <v>0.889630795623437</v>
      </c>
      <c r="F287" s="0" t="n">
        <f aca="false">MC_Shocks!C274</f>
        <v>0.0822839892754242</v>
      </c>
      <c r="G287" s="0" t="n">
        <f aca="false">$B$3*D287</f>
        <v>0.00393384296158766</v>
      </c>
      <c r="H287" s="0" t="n">
        <f aca="false">$B$4*D287+$C$4*E287</f>
        <v>0.0139421577671324</v>
      </c>
      <c r="I287" s="0" t="n">
        <f aca="false">$B$5*D287+$C$5*E287+$D$5*F287</f>
        <v>0.00688088121838457</v>
      </c>
      <c r="J287" s="0" t="n">
        <f aca="false">SUMPRODUCT(G287:I287,Inputs!$B$4:$D$4)*Inputs!$B$2</f>
        <v>7820.44888029015</v>
      </c>
    </row>
    <row r="288" customFormat="false" ht="15" hidden="false" customHeight="false" outlineLevel="0" collapsed="false">
      <c r="D288" s="0" t="n">
        <f aca="false">MC_Shocks!A275</f>
        <v>1.06548037506535</v>
      </c>
      <c r="E288" s="0" t="n">
        <f aca="false">MC_Shocks!B275</f>
        <v>-0.517288450100372</v>
      </c>
      <c r="F288" s="0" t="n">
        <f aca="false">MC_Shocks!C275</f>
        <v>1.40934744018558</v>
      </c>
      <c r="G288" s="0" t="n">
        <f aca="false">$B$3*D288</f>
        <v>0.0156952941444089</v>
      </c>
      <c r="H288" s="0" t="n">
        <f aca="false">$B$4*D288+$C$4*E288</f>
        <v>0.0047066515304166</v>
      </c>
      <c r="I288" s="0" t="n">
        <f aca="false">$B$5*D288+$C$5*E288+$D$5*F288</f>
        <v>0.0217008183538319</v>
      </c>
      <c r="J288" s="0" t="n">
        <f aca="false">SUMPRODUCT(G288:I288,Inputs!$B$4:$D$4)*Inputs!$B$2</f>
        <v>14200.3586230381</v>
      </c>
    </row>
    <row r="289" customFormat="false" ht="15" hidden="false" customHeight="false" outlineLevel="0" collapsed="false">
      <c r="D289" s="0" t="n">
        <f aca="false">MC_Shocks!A276</f>
        <v>2.29889812361925</v>
      </c>
      <c r="E289" s="0" t="n">
        <f aca="false">MC_Shocks!B276</f>
        <v>-0.362838560439659</v>
      </c>
      <c r="F289" s="0" t="n">
        <f aca="false">MC_Shocks!C276</f>
        <v>-0.445502521400772</v>
      </c>
      <c r="G289" s="0" t="n">
        <f aca="false">$B$3*D289</f>
        <v>0.0338644268844658</v>
      </c>
      <c r="H289" s="0" t="n">
        <f aca="false">$B$4*D289+$C$4*E289</f>
        <v>0.0195868969476811</v>
      </c>
      <c r="I289" s="0" t="n">
        <f aca="false">$B$5*D289+$C$5*E289+$D$5*F289</f>
        <v>0.0191006626090673</v>
      </c>
      <c r="J289" s="0" t="n">
        <f aca="false">SUMPRODUCT(G289:I289,Inputs!$B$4:$D$4)*Inputs!$B$2</f>
        <v>25152.0386208109</v>
      </c>
    </row>
    <row r="290" customFormat="false" ht="15" hidden="false" customHeight="false" outlineLevel="0" collapsed="false">
      <c r="D290" s="0" t="n">
        <f aca="false">MC_Shocks!A277</f>
        <v>1.4533844771177</v>
      </c>
      <c r="E290" s="0" t="n">
        <f aca="false">MC_Shocks!B277</f>
        <v>1.57957214573071</v>
      </c>
      <c r="F290" s="0" t="n">
        <f aca="false">MC_Shocks!C277</f>
        <v>-0.522860027153268</v>
      </c>
      <c r="G290" s="0" t="n">
        <f aca="false">$B$3*D290</f>
        <v>0.021409401249536</v>
      </c>
      <c r="H290" s="0" t="n">
        <f aca="false">$B$4*D290+$C$4*E290</f>
        <v>0.0350331112534385</v>
      </c>
      <c r="I290" s="0" t="n">
        <f aca="false">$B$5*D290+$C$5*E290+$D$5*F290</f>
        <v>0.0167339585909035</v>
      </c>
      <c r="J290" s="0" t="n">
        <f aca="false">SUMPRODUCT(G290:I290,Inputs!$B$4:$D$4)*Inputs!$B$2</f>
        <v>24093.881453117</v>
      </c>
    </row>
    <row r="291" customFormat="false" ht="15" hidden="false" customHeight="false" outlineLevel="0" collapsed="false">
      <c r="D291" s="0" t="n">
        <f aca="false">MC_Shocks!A278</f>
        <v>-0.420186817095857</v>
      </c>
      <c r="E291" s="0" t="n">
        <f aca="false">MC_Shocks!B278</f>
        <v>-0.281784608860507</v>
      </c>
      <c r="F291" s="0" t="n">
        <f aca="false">MC_Shocks!C278</f>
        <v>-1.34445051103428</v>
      </c>
      <c r="G291" s="0" t="n">
        <f aca="false">$B$3*D291</f>
        <v>-0.0061896547738084</v>
      </c>
      <c r="H291" s="0" t="n">
        <f aca="false">$B$4*D291+$C$4*E291</f>
        <v>-0.00793866132043976</v>
      </c>
      <c r="I291" s="0" t="n">
        <f aca="false">$B$5*D291+$C$5*E291+$D$5*F291</f>
        <v>-0.0172852207235549</v>
      </c>
      <c r="J291" s="0" t="n">
        <f aca="false">SUMPRODUCT(G291:I291,Inputs!$B$4:$D$4)*Inputs!$B$2</f>
        <v>-10043.0265227217</v>
      </c>
    </row>
    <row r="292" customFormat="false" ht="15" hidden="false" customHeight="false" outlineLevel="0" collapsed="false">
      <c r="D292" s="0" t="n">
        <f aca="false">MC_Shocks!A279</f>
        <v>-0.918651946484198</v>
      </c>
      <c r="E292" s="0" t="n">
        <f aca="false">MC_Shocks!B279</f>
        <v>-1.00414076675207</v>
      </c>
      <c r="F292" s="0" t="n">
        <f aca="false">MC_Shocks!C279</f>
        <v>-0.767797565104128</v>
      </c>
      <c r="G292" s="0" t="n">
        <f aca="false">$B$3*D292</f>
        <v>-0.0135324055269614</v>
      </c>
      <c r="H292" s="0" t="n">
        <f aca="false">$B$4*D292+$C$4*E292</f>
        <v>-0.0222153747196499</v>
      </c>
      <c r="I292" s="0" t="n">
        <f aca="false">$B$5*D292+$C$5*E292+$D$5*F292</f>
        <v>-0.0202198337662547</v>
      </c>
      <c r="J292" s="0" t="n">
        <f aca="false">SUMPRODUCT(G292:I292,Inputs!$B$4:$D$4)*Inputs!$B$2</f>
        <v>-18143.5247565559</v>
      </c>
    </row>
    <row r="293" customFormat="false" ht="15" hidden="false" customHeight="false" outlineLevel="0" collapsed="false">
      <c r="D293" s="0" t="n">
        <f aca="false">MC_Shocks!A280</f>
        <v>-0.0346848873867812</v>
      </c>
      <c r="E293" s="0" t="n">
        <f aca="false">MC_Shocks!B280</f>
        <v>0.234214732536521</v>
      </c>
      <c r="F293" s="0" t="n">
        <f aca="false">MC_Shocks!C280</f>
        <v>1.55050049281408</v>
      </c>
      <c r="G293" s="0" t="n">
        <f aca="false">$B$3*D293</f>
        <v>-0.000510933399282777</v>
      </c>
      <c r="H293" s="0" t="n">
        <f aca="false">$B$4*D293+$C$4*E293</f>
        <v>0.00256854893550566</v>
      </c>
      <c r="I293" s="0" t="n">
        <f aca="false">$B$5*D293+$C$5*E293+$D$5*F293</f>
        <v>0.0140918966268925</v>
      </c>
      <c r="J293" s="0" t="n">
        <f aca="false">SUMPRODUCT(G293:I293,Inputs!$B$4:$D$4)*Inputs!$B$2</f>
        <v>4793.76030900632</v>
      </c>
    </row>
    <row r="294" customFormat="false" ht="15" hidden="false" customHeight="false" outlineLevel="0" collapsed="false">
      <c r="D294" s="0" t="n">
        <f aca="false">MC_Shocks!A281</f>
        <v>-0.998354040738791</v>
      </c>
      <c r="E294" s="0" t="n">
        <f aca="false">MC_Shocks!B281</f>
        <v>0.984322398476584</v>
      </c>
      <c r="F294" s="0" t="n">
        <f aca="false">MC_Shocks!C281</f>
        <v>-0.213988844225509</v>
      </c>
      <c r="G294" s="0" t="n">
        <f aca="false">$B$3*D294</f>
        <v>-0.0147064748411658</v>
      </c>
      <c r="H294" s="0" t="n">
        <f aca="false">$B$4*D294+$C$4*E294</f>
        <v>0.00184568250446627</v>
      </c>
      <c r="I294" s="0" t="n">
        <f aca="false">$B$5*D294+$C$5*E294+$D$5*F294</f>
        <v>-0.00876964480680217</v>
      </c>
      <c r="J294" s="0" t="n">
        <f aca="false">SUMPRODUCT(G294:I294,Inputs!$B$4:$D$4)*Inputs!$B$2</f>
        <v>-7959.77862716709</v>
      </c>
    </row>
    <row r="295" customFormat="false" ht="15" hidden="false" customHeight="false" outlineLevel="0" collapsed="false">
      <c r="D295" s="0" t="n">
        <f aca="false">MC_Shocks!A282</f>
        <v>-0.049463709652433</v>
      </c>
      <c r="E295" s="0" t="n">
        <f aca="false">MC_Shocks!B282</f>
        <v>0.674819492166604</v>
      </c>
      <c r="F295" s="0" t="n">
        <f aca="false">MC_Shocks!C282</f>
        <v>-1.1227220215623</v>
      </c>
      <c r="G295" s="0" t="n">
        <f aca="false">$B$3*D295</f>
        <v>-0.000728636106902443</v>
      </c>
      <c r="H295" s="0" t="n">
        <f aca="false">$B$4*D295+$C$4*E295</f>
        <v>0.00793025757517587</v>
      </c>
      <c r="I295" s="0" t="n">
        <f aca="false">$B$5*D295+$C$5*E295+$D$5*F295</f>
        <v>-0.00783344970308081</v>
      </c>
      <c r="J295" s="0" t="n">
        <f aca="false">SUMPRODUCT(G295:I295,Inputs!$B$4:$D$4)*Inputs!$B$2</f>
        <v>-262.412081132458</v>
      </c>
    </row>
    <row r="296" customFormat="false" ht="15" hidden="false" customHeight="false" outlineLevel="0" collapsed="false">
      <c r="D296" s="0" t="n">
        <f aca="false">MC_Shocks!A283</f>
        <v>0.382409746184051</v>
      </c>
      <c r="E296" s="0" t="n">
        <f aca="false">MC_Shocks!B283</f>
        <v>0.166452208213056</v>
      </c>
      <c r="F296" s="0" t="n">
        <f aca="false">MC_Shocks!C283</f>
        <v>0.492451264008149</v>
      </c>
      <c r="G296" s="0" t="n">
        <f aca="false">$B$3*D296</f>
        <v>0.00563317128171345</v>
      </c>
      <c r="H296" s="0" t="n">
        <f aca="false">$B$4*D296+$C$4*E296</f>
        <v>0.00609805814330964</v>
      </c>
      <c r="I296" s="0" t="n">
        <f aca="false">$B$5*D296+$C$5*E296+$D$5*F296</f>
        <v>0.00898947340913939</v>
      </c>
      <c r="J296" s="0" t="n">
        <f aca="false">SUMPRODUCT(G296:I296,Inputs!$B$4:$D$4)*Inputs!$B$2</f>
        <v>6779.52797842009</v>
      </c>
    </row>
    <row r="297" customFormat="false" ht="15" hidden="false" customHeight="false" outlineLevel="0" collapsed="false">
      <c r="D297" s="0" t="n">
        <f aca="false">MC_Shocks!A284</f>
        <v>0.289168643907818</v>
      </c>
      <c r="E297" s="0" t="n">
        <f aca="false">MC_Shocks!B284</f>
        <v>2.45530013991089</v>
      </c>
      <c r="F297" s="0" t="n">
        <f aca="false">MC_Shocks!C284</f>
        <v>-0.637739984251316</v>
      </c>
      <c r="G297" s="0" t="n">
        <f aca="false">$B$3*D297</f>
        <v>0.00425966261761946</v>
      </c>
      <c r="H297" s="0" t="n">
        <f aca="false">$B$4*D297+$C$4*E297</f>
        <v>0.0337781366255967</v>
      </c>
      <c r="I297" s="0" t="n">
        <f aca="false">$B$5*D297+$C$5*E297+$D$5*F297</f>
        <v>0.0066683869524069</v>
      </c>
      <c r="J297" s="0" t="n">
        <f aca="false">SUMPRODUCT(G297:I297,Inputs!$B$4:$D$4)*Inputs!$B$2</f>
        <v>13837.8221204489</v>
      </c>
    </row>
    <row r="298" customFormat="false" ht="15" hidden="false" customHeight="false" outlineLevel="0" collapsed="false">
      <c r="D298" s="0" t="n">
        <f aca="false">MC_Shocks!A285</f>
        <v>-0.530996955001818</v>
      </c>
      <c r="E298" s="0" t="n">
        <f aca="false">MC_Shocks!B285</f>
        <v>-0.623140526424764</v>
      </c>
      <c r="F298" s="0" t="n">
        <f aca="false">MC_Shocks!C285</f>
        <v>-0.555477119160255</v>
      </c>
      <c r="G298" s="0" t="n">
        <f aca="false">$B$3*D298</f>
        <v>-0.00782196800014059</v>
      </c>
      <c r="H298" s="0" t="n">
        <f aca="false">$B$4*D298+$C$4*E298</f>
        <v>-0.01337589506254</v>
      </c>
      <c r="I298" s="0" t="n">
        <f aca="false">$B$5*D298+$C$5*E298+$D$5*F298</f>
        <v>-0.0128256785035196</v>
      </c>
      <c r="J298" s="0" t="n">
        <f aca="false">SUMPRODUCT(G298:I298,Inputs!$B$4:$D$4)*Inputs!$B$2</f>
        <v>-10989.2592698741</v>
      </c>
    </row>
    <row r="299" customFormat="false" ht="15" hidden="false" customHeight="false" outlineLevel="0" collapsed="false">
      <c r="D299" s="0" t="n">
        <f aca="false">MC_Shocks!A286</f>
        <v>-0.637387127306518</v>
      </c>
      <c r="E299" s="0" t="n">
        <f aca="false">MC_Shocks!B286</f>
        <v>1.18901653110755</v>
      </c>
      <c r="F299" s="0" t="n">
        <f aca="false">MC_Shocks!C286</f>
        <v>1.42050424798986</v>
      </c>
      <c r="G299" s="0" t="n">
        <f aca="false">$B$3*D299</f>
        <v>-0.0093891719463364</v>
      </c>
      <c r="H299" s="0" t="n">
        <f aca="false">$B$4*D299+$C$4*E299</f>
        <v>0.00819749826662976</v>
      </c>
      <c r="I299" s="0" t="n">
        <f aca="false">$B$5*D299+$C$5*E299+$D$5*F299</f>
        <v>0.0101402882644605</v>
      </c>
      <c r="J299" s="0" t="n">
        <f aca="false">SUMPRODUCT(G299:I299,Inputs!$B$4:$D$4)*Inputs!$B$2</f>
        <v>1745.66718079252</v>
      </c>
    </row>
    <row r="300" customFormat="false" ht="15" hidden="false" customHeight="false" outlineLevel="0" collapsed="false">
      <c r="D300" s="0" t="n">
        <f aca="false">MC_Shocks!A287</f>
        <v>-0.570746293749476</v>
      </c>
      <c r="E300" s="0" t="n">
        <f aca="false">MC_Shocks!B287</f>
        <v>-0.832355573104229</v>
      </c>
      <c r="F300" s="0" t="n">
        <f aca="false">MC_Shocks!C287</f>
        <v>0.471415556386404</v>
      </c>
      <c r="G300" s="0" t="n">
        <f aca="false">$B$3*D300</f>
        <v>-0.0084075044194782</v>
      </c>
      <c r="H300" s="0" t="n">
        <f aca="false">$B$4*D300+$C$4*E300</f>
        <v>-0.0164127087003861</v>
      </c>
      <c r="I300" s="0" t="n">
        <f aca="false">$B$5*D300+$C$5*E300+$D$5*F300</f>
        <v>-0.00503423881318538</v>
      </c>
      <c r="J300" s="0" t="n">
        <f aca="false">SUMPRODUCT(G300:I300,Inputs!$B$4:$D$4)*Inputs!$B$2</f>
        <v>-9797.08602186271</v>
      </c>
    </row>
    <row r="301" customFormat="false" ht="15" hidden="false" customHeight="false" outlineLevel="0" collapsed="false">
      <c r="D301" s="0" t="n">
        <f aca="false">MC_Shocks!A288</f>
        <v>-0.552223044280971</v>
      </c>
      <c r="E301" s="0" t="n">
        <f aca="false">MC_Shocks!B288</f>
        <v>0.632931817755511</v>
      </c>
      <c r="F301" s="0" t="n">
        <f aca="false">MC_Shocks!C288</f>
        <v>0.2029230208513</v>
      </c>
      <c r="G301" s="0" t="n">
        <f aca="false">$B$3*D301</f>
        <v>-0.00813464359939916</v>
      </c>
      <c r="H301" s="0" t="n">
        <f aca="false">$B$4*D301+$C$4*E301</f>
        <v>0.00212864747763963</v>
      </c>
      <c r="I301" s="0" t="n">
        <f aca="false">$B$5*D301+$C$5*E301+$D$5*F301</f>
        <v>-0.00170506899130107</v>
      </c>
      <c r="J301" s="0" t="n">
        <f aca="false">SUMPRODUCT(G301:I301,Inputs!$B$4:$D$4)*Inputs!$B$2</f>
        <v>-3126.7838938581</v>
      </c>
    </row>
    <row r="302" customFormat="false" ht="15" hidden="false" customHeight="false" outlineLevel="0" collapsed="false">
      <c r="D302" s="0" t="n">
        <f aca="false">MC_Shocks!A289</f>
        <v>-1.51574411499723</v>
      </c>
      <c r="E302" s="0" t="n">
        <f aca="false">MC_Shocks!B289</f>
        <v>1.54750520133006</v>
      </c>
      <c r="F302" s="0" t="n">
        <f aca="false">MC_Shocks!C289</f>
        <v>1.79587767309552</v>
      </c>
      <c r="G302" s="0" t="n">
        <f aca="false">$B$3*D302</f>
        <v>-0.0223280036772889</v>
      </c>
      <c r="H302" s="0" t="n">
        <f aca="false">$B$4*D302+$C$4*E302</f>
        <v>0.0034666180803948</v>
      </c>
      <c r="I302" s="0" t="n">
        <f aca="false">$B$5*D302+$C$5*E302+$D$5*F302</f>
        <v>0.00546255432315156</v>
      </c>
      <c r="J302" s="0" t="n">
        <f aca="false">SUMPRODUCT(G302:I302,Inputs!$B$4:$D$4)*Inputs!$B$2</f>
        <v>-6252.44974985164</v>
      </c>
    </row>
    <row r="303" customFormat="false" ht="15" hidden="false" customHeight="false" outlineLevel="0" collapsed="false">
      <c r="D303" s="0" t="n">
        <f aca="false">MC_Shocks!A290</f>
        <v>-0.612788690484386</v>
      </c>
      <c r="E303" s="0" t="n">
        <f aca="false">MC_Shocks!B290</f>
        <v>-0.387701559935984</v>
      </c>
      <c r="F303" s="0" t="n">
        <f aca="false">MC_Shocks!C290</f>
        <v>0.285865390724905</v>
      </c>
      <c r="G303" s="0" t="n">
        <f aca="false">$B$3*D303</f>
        <v>-0.00902681923628078</v>
      </c>
      <c r="H303" s="0" t="n">
        <f aca="false">$B$4*D303+$C$4*E303</f>
        <v>-0.0112864669052005</v>
      </c>
      <c r="I303" s="0" t="n">
        <f aca="false">$B$5*D303+$C$5*E303+$D$5*F303</f>
        <v>-0.00544077572990314</v>
      </c>
      <c r="J303" s="0" t="n">
        <f aca="false">SUMPRODUCT(G303:I303,Inputs!$B$4:$D$4)*Inputs!$B$2</f>
        <v>-8628.90048504341</v>
      </c>
    </row>
    <row r="304" customFormat="false" ht="15" hidden="false" customHeight="false" outlineLevel="0" collapsed="false">
      <c r="D304" s="0" t="n">
        <f aca="false">MC_Shocks!A291</f>
        <v>0.334456789987025</v>
      </c>
      <c r="E304" s="0" t="n">
        <f aca="false">MC_Shocks!B291</f>
        <v>0.65854427267283</v>
      </c>
      <c r="F304" s="0" t="n">
        <f aca="false">MC_Shocks!C291</f>
        <v>2.01020453876635</v>
      </c>
      <c r="G304" s="0" t="n">
        <f aca="false">$B$3*D304</f>
        <v>0.00492678966247424</v>
      </c>
      <c r="H304" s="0" t="n">
        <f aca="false">$B$4*D304+$C$4*E304</f>
        <v>0.0117562346914675</v>
      </c>
      <c r="I304" s="0" t="n">
        <f aca="false">$B$5*D304+$C$5*E304+$D$5*F304</f>
        <v>0.0236191931037896</v>
      </c>
      <c r="J304" s="0" t="n">
        <f aca="false">SUMPRODUCT(G304:I304,Inputs!$B$4:$D$4)*Inputs!$B$2</f>
        <v>12583.3442035668</v>
      </c>
    </row>
    <row r="305" customFormat="false" ht="15" hidden="false" customHeight="false" outlineLevel="0" collapsed="false">
      <c r="D305" s="0" t="n">
        <f aca="false">MC_Shocks!A292</f>
        <v>-0.176947227494049</v>
      </c>
      <c r="E305" s="0" t="n">
        <f aca="false">MC_Shocks!B292</f>
        <v>-0.798297244538454</v>
      </c>
      <c r="F305" s="0" t="n">
        <f aca="false">MC_Shocks!C292</f>
        <v>-1.37931922801453</v>
      </c>
      <c r="G305" s="0" t="n">
        <f aca="false">$B$3*D305</f>
        <v>-0.00260656024132439</v>
      </c>
      <c r="H305" s="0" t="n">
        <f aca="false">$B$4*D305+$C$4*E305</f>
        <v>-0.011852814158207</v>
      </c>
      <c r="I305" s="0" t="n">
        <f aca="false">$B$5*D305+$C$5*E305+$D$5*F305</f>
        <v>-0.0169464885649175</v>
      </c>
      <c r="J305" s="0" t="n">
        <f aca="false">SUMPRODUCT(G305:I305,Inputs!$B$4:$D$4)*Inputs!$B$2</f>
        <v>-9682.41491346712</v>
      </c>
    </row>
    <row r="306" customFormat="false" ht="15" hidden="false" customHeight="false" outlineLevel="0" collapsed="false">
      <c r="D306" s="0" t="n">
        <f aca="false">MC_Shocks!A293</f>
        <v>-0.730930039941919</v>
      </c>
      <c r="E306" s="0" t="n">
        <f aca="false">MC_Shocks!B293</f>
        <v>-0.0331269728737971</v>
      </c>
      <c r="F306" s="0" t="n">
        <f aca="false">MC_Shocks!C293</f>
        <v>1.79455786351779</v>
      </c>
      <c r="G306" s="0" t="n">
        <f aca="false">$B$3*D306</f>
        <v>-0.0107671264946286</v>
      </c>
      <c r="H306" s="0" t="n">
        <f aca="false">$B$4*D306+$C$4*E306</f>
        <v>-0.00808687412682309</v>
      </c>
      <c r="I306" s="0" t="n">
        <f aca="false">$B$5*D306+$C$5*E306+$D$5*F306</f>
        <v>0.00785101691407574</v>
      </c>
      <c r="J306" s="0" t="n">
        <f aca="false">SUMPRODUCT(G306:I306,Inputs!$B$4:$D$4)*Inputs!$B$2</f>
        <v>-4377.60776167564</v>
      </c>
    </row>
    <row r="307" customFormat="false" ht="15" hidden="false" customHeight="false" outlineLevel="0" collapsed="false">
      <c r="D307" s="0" t="n">
        <f aca="false">MC_Shocks!A294</f>
        <v>-0.517611299036171</v>
      </c>
      <c r="E307" s="0" t="n">
        <f aca="false">MC_Shocks!B294</f>
        <v>0.223787951638899</v>
      </c>
      <c r="F307" s="0" t="n">
        <f aca="false">MC_Shocks!C294</f>
        <v>-0.0164228960727521</v>
      </c>
      <c r="G307" s="0" t="n">
        <f aca="false">$B$3*D307</f>
        <v>-0.00762478763660382</v>
      </c>
      <c r="H307" s="0" t="n">
        <f aca="false">$B$4*D307+$C$4*E307</f>
        <v>-0.00263096479631876</v>
      </c>
      <c r="I307" s="0" t="n">
        <f aca="false">$B$5*D307+$C$5*E307+$D$5*F307</f>
        <v>-0.00479133205364188</v>
      </c>
      <c r="J307" s="0" t="n">
        <f aca="false">SUMPRODUCT(G307:I307,Inputs!$B$4:$D$4)*Inputs!$B$2</f>
        <v>-5276.60410962972</v>
      </c>
    </row>
    <row r="308" customFormat="false" ht="15" hidden="false" customHeight="false" outlineLevel="0" collapsed="false">
      <c r="D308" s="0" t="n">
        <f aca="false">MC_Shocks!A295</f>
        <v>1.18839327344808</v>
      </c>
      <c r="E308" s="0" t="n">
        <f aca="false">MC_Shocks!B295</f>
        <v>2.52693242587362</v>
      </c>
      <c r="F308" s="0" t="n">
        <f aca="false">MC_Shocks!C295</f>
        <v>-0.530868772920321</v>
      </c>
      <c r="G308" s="0" t="n">
        <f aca="false">$B$3*D308</f>
        <v>0.017505889758749</v>
      </c>
      <c r="H308" s="0" t="n">
        <f aca="false">$B$4*D308+$C$4*E308</f>
        <v>0.0441136146599419</v>
      </c>
      <c r="I308" s="0" t="n">
        <f aca="false">$B$5*D308+$C$5*E308+$D$5*F308</f>
        <v>0.0174018762499639</v>
      </c>
      <c r="J308" s="0" t="n">
        <f aca="false">SUMPRODUCT(G308:I308,Inputs!$B$4:$D$4)*Inputs!$B$2</f>
        <v>25457.0031764714</v>
      </c>
    </row>
    <row r="309" customFormat="false" ht="15" hidden="false" customHeight="false" outlineLevel="0" collapsed="false">
      <c r="D309" s="0" t="n">
        <f aca="false">MC_Shocks!A296</f>
        <v>-0.489439442518222</v>
      </c>
      <c r="E309" s="0" t="n">
        <f aca="false">MC_Shocks!B296</f>
        <v>1.04416087706907</v>
      </c>
      <c r="F309" s="0" t="n">
        <f aca="false">MC_Shocks!C296</f>
        <v>0.681891489626311</v>
      </c>
      <c r="G309" s="0" t="n">
        <f aca="false">$B$3*D309</f>
        <v>-0.00720979587796521</v>
      </c>
      <c r="H309" s="0" t="n">
        <f aca="false">$B$4*D309+$C$4*E309</f>
        <v>0.00793666317106613</v>
      </c>
      <c r="I309" s="0" t="n">
        <f aca="false">$B$5*D309+$C$5*E309+$D$5*F309</f>
        <v>0.00469545526135342</v>
      </c>
      <c r="J309" s="0" t="n">
        <f aca="false">SUMPRODUCT(G309:I309,Inputs!$B$4:$D$4)*Inputs!$B$2</f>
        <v>905.71717853978</v>
      </c>
    </row>
    <row r="310" customFormat="false" ht="15" hidden="false" customHeight="false" outlineLevel="0" collapsed="false">
      <c r="D310" s="0" t="n">
        <f aca="false">MC_Shocks!A297</f>
        <v>1.84670732573603</v>
      </c>
      <c r="E310" s="0" t="n">
        <f aca="false">MC_Shocks!B297</f>
        <v>0.583928185325964</v>
      </c>
      <c r="F310" s="0" t="n">
        <f aca="false">MC_Shocks!C297</f>
        <v>-0.35929209078706</v>
      </c>
      <c r="G310" s="0" t="n">
        <f aca="false">$B$3*D310</f>
        <v>0.0272033303985388</v>
      </c>
      <c r="H310" s="0" t="n">
        <f aca="false">$B$4*D310+$C$4*E310</f>
        <v>0.0266950582016885</v>
      </c>
      <c r="I310" s="0" t="n">
        <f aca="false">$B$5*D310+$C$5*E310+$D$5*F310</f>
        <v>0.0186079744588506</v>
      </c>
      <c r="J310" s="0" t="n">
        <f aca="false">SUMPRODUCT(G310:I310,Inputs!$B$4:$D$4)*Inputs!$B$2</f>
        <v>24472.2419575772</v>
      </c>
    </row>
    <row r="311" customFormat="false" ht="15" hidden="false" customHeight="false" outlineLevel="0" collapsed="false">
      <c r="D311" s="0" t="n">
        <f aca="false">MC_Shocks!A298</f>
        <v>0.590654830692309</v>
      </c>
      <c r="E311" s="0" t="n">
        <f aca="false">MC_Shocks!B298</f>
        <v>1.10870358058291</v>
      </c>
      <c r="F311" s="0" t="n">
        <f aca="false">MC_Shocks!C298</f>
        <v>0.820482181197364</v>
      </c>
      <c r="G311" s="0" t="n">
        <f aca="false">$B$3*D311</f>
        <v>0.00870077152285721</v>
      </c>
      <c r="H311" s="0" t="n">
        <f aca="false">$B$4*D311+$C$4*E311</f>
        <v>0.0200818413942713</v>
      </c>
      <c r="I311" s="0" t="n">
        <f aca="false">$B$5*D311+$C$5*E311+$D$5*F311</f>
        <v>0.0175969624856689</v>
      </c>
      <c r="J311" s="0" t="n">
        <f aca="false">SUMPRODUCT(G311:I311,Inputs!$B$4:$D$4)*Inputs!$B$2</f>
        <v>14783.9497731249</v>
      </c>
    </row>
    <row r="312" customFormat="false" ht="15" hidden="false" customHeight="false" outlineLevel="0" collapsed="false">
      <c r="D312" s="0" t="n">
        <f aca="false">MC_Shocks!A299</f>
        <v>0.507274031107298</v>
      </c>
      <c r="E312" s="0" t="n">
        <f aca="false">MC_Shocks!B299</f>
        <v>1.06667468958915</v>
      </c>
      <c r="F312" s="0" t="n">
        <f aca="false">MC_Shocks!C299</f>
        <v>1.16929559044567</v>
      </c>
      <c r="G312" s="0" t="n">
        <f aca="false">$B$3*D312</f>
        <v>0.00747251222676037</v>
      </c>
      <c r="H312" s="0" t="n">
        <f aca="false">$B$4*D312+$C$4*E312</f>
        <v>0.018680402570122</v>
      </c>
      <c r="I312" s="0" t="n">
        <f aca="false">$B$5*D312+$C$5*E312+$D$5*F312</f>
        <v>0.0196117301577406</v>
      </c>
      <c r="J312" s="0" t="n">
        <f aca="false">SUMPRODUCT(G312:I312,Inputs!$B$4:$D$4)*Inputs!$B$2</f>
        <v>14476.6447090629</v>
      </c>
    </row>
    <row r="313" customFormat="false" ht="15" hidden="false" customHeight="false" outlineLevel="0" collapsed="false">
      <c r="D313" s="0" t="n">
        <f aca="false">MC_Shocks!A300</f>
        <v>1.38215899103753</v>
      </c>
      <c r="E313" s="0" t="n">
        <f aca="false">MC_Shocks!B300</f>
        <v>0.648709887589643</v>
      </c>
      <c r="F313" s="0" t="n">
        <f aca="false">MC_Shocks!C300</f>
        <v>-0.167118080316854</v>
      </c>
      <c r="G313" s="0" t="n">
        <f aca="false">$B$3*D313</f>
        <v>0.0203601984854417</v>
      </c>
      <c r="H313" s="0" t="n">
        <f aca="false">$B$4*D313+$C$4*E313</f>
        <v>0.0226301358315592</v>
      </c>
      <c r="I313" s="0" t="n">
        <f aca="false">$B$5*D313+$C$5*E313+$D$5*F313</f>
        <v>0.0156111096306826</v>
      </c>
      <c r="J313" s="0" t="n">
        <f aca="false">SUMPRODUCT(G313:I313,Inputs!$B$4:$D$4)*Inputs!$B$2</f>
        <v>19616.4530328492</v>
      </c>
    </row>
    <row r="314" customFormat="false" ht="15" hidden="false" customHeight="false" outlineLevel="0" collapsed="false">
      <c r="D314" s="0" t="n">
        <f aca="false">MC_Shocks!A301</f>
        <v>0.146713686433323</v>
      </c>
      <c r="E314" s="0" t="n">
        <f aca="false">MC_Shocks!B301</f>
        <v>1.20650896650836</v>
      </c>
      <c r="F314" s="0" t="n">
        <f aca="false">MC_Shocks!C301</f>
        <v>-0.816935670987236</v>
      </c>
      <c r="G314" s="0" t="n">
        <f aca="false">$B$3*D314</f>
        <v>0.00216119838287996</v>
      </c>
      <c r="H314" s="0" t="n">
        <f aca="false">$B$4*D314+$C$4*E314</f>
        <v>0.0166467101302375</v>
      </c>
      <c r="I314" s="0" t="n">
        <f aca="false">$B$5*D314+$C$5*E314+$D$5*F314</f>
        <v>-0.00108554455548021</v>
      </c>
      <c r="J314" s="0" t="n">
        <f aca="false">SUMPRODUCT(G314:I314,Inputs!$B$4:$D$4)*Inputs!$B$2</f>
        <v>5532.82902557916</v>
      </c>
    </row>
    <row r="315" customFormat="false" ht="15" hidden="false" customHeight="false" outlineLevel="0" collapsed="false">
      <c r="D315" s="0" t="n">
        <f aca="false">MC_Shocks!A302</f>
        <v>0.368673308872901</v>
      </c>
      <c r="E315" s="0" t="n">
        <f aca="false">MC_Shocks!B302</f>
        <v>-0.393338812327361</v>
      </c>
      <c r="F315" s="0" t="n">
        <f aca="false">MC_Shocks!C302</f>
        <v>0.0287448229348175</v>
      </c>
      <c r="G315" s="0" t="n">
        <f aca="false">$B$3*D315</f>
        <v>0.00543082365604133</v>
      </c>
      <c r="H315" s="0" t="n">
        <f aca="false">$B$4*D315+$C$4*E315</f>
        <v>-0.00105529291710519</v>
      </c>
      <c r="I315" s="0" t="n">
        <f aca="false">$B$5*D315+$C$5*E315+$D$5*F315</f>
        <v>0.00268629951545403</v>
      </c>
      <c r="J315" s="0" t="n">
        <f aca="false">SUMPRODUCT(G315:I315,Inputs!$B$4:$D$4)*Inputs!$B$2</f>
        <v>2661.63144192118</v>
      </c>
    </row>
    <row r="316" customFormat="false" ht="15" hidden="false" customHeight="false" outlineLevel="0" collapsed="false">
      <c r="D316" s="0" t="n">
        <f aca="false">MC_Shocks!A303</f>
        <v>1.2784518626073</v>
      </c>
      <c r="E316" s="0" t="n">
        <f aca="false">MC_Shocks!B303</f>
        <v>0.191099068019903</v>
      </c>
      <c r="F316" s="0" t="n">
        <f aca="false">MC_Shocks!C303</f>
        <v>0.0464365481561488</v>
      </c>
      <c r="G316" s="0" t="n">
        <f aca="false">$B$3*D316</f>
        <v>0.0188325177100125</v>
      </c>
      <c r="H316" s="0" t="n">
        <f aca="false">$B$4*D316+$C$4*E316</f>
        <v>0.0158118247882964</v>
      </c>
      <c r="I316" s="0" t="n">
        <f aca="false">$B$5*D316+$C$5*E316+$D$5*F316</f>
        <v>0.0146699550876813</v>
      </c>
      <c r="J316" s="0" t="n">
        <f aca="false">SUMPRODUCT(G316:I316,Inputs!$B$4:$D$4)*Inputs!$B$2</f>
        <v>16677.5410467983</v>
      </c>
    </row>
    <row r="317" customFormat="false" ht="15" hidden="false" customHeight="false" outlineLevel="0" collapsed="false">
      <c r="D317" s="0" t="n">
        <f aca="false">MC_Shocks!A304</f>
        <v>-1.35985614097992</v>
      </c>
      <c r="E317" s="0" t="n">
        <f aca="false">MC_Shocks!B304</f>
        <v>0.746253566027221</v>
      </c>
      <c r="F317" s="0" t="n">
        <f aca="false">MC_Shocks!C304</f>
        <v>0.645484181141075</v>
      </c>
      <c r="G317" s="0" t="n">
        <f aca="false">$B$3*D317</f>
        <v>-0.0200316614235635</v>
      </c>
      <c r="H317" s="0" t="n">
        <f aca="false">$B$4*D317+$C$4*E317</f>
        <v>-0.00492963688989957</v>
      </c>
      <c r="I317" s="0" t="n">
        <f aca="false">$B$5*D317+$C$5*E317+$D$5*F317</f>
        <v>-0.00596247844458322</v>
      </c>
      <c r="J317" s="0" t="n">
        <f aca="false">SUMPRODUCT(G317:I317,Inputs!$B$4:$D$4)*Inputs!$B$2</f>
        <v>-11280.2991697702</v>
      </c>
    </row>
    <row r="318" customFormat="false" ht="15" hidden="false" customHeight="false" outlineLevel="0" collapsed="false">
      <c r="D318" s="0" t="n">
        <f aca="false">MC_Shocks!A305</f>
        <v>2.16325472330546</v>
      </c>
      <c r="E318" s="0" t="n">
        <f aca="false">MC_Shocks!B305</f>
        <v>-0.307778234953001</v>
      </c>
      <c r="F318" s="0" t="n">
        <f aca="false">MC_Shocks!C305</f>
        <v>0.219150327663939</v>
      </c>
      <c r="G318" s="0" t="n">
        <f aca="false">$B$3*D318</f>
        <v>0.0318663017978896</v>
      </c>
      <c r="H318" s="0" t="n">
        <f aca="false">$B$4*D318+$C$4*E318</f>
        <v>0.018852550608948</v>
      </c>
      <c r="I318" s="0" t="n">
        <f aca="false">$B$5*D318+$C$5*E318+$D$5*F318</f>
        <v>0.0236918534181833</v>
      </c>
      <c r="J318" s="0" t="n">
        <f aca="false">SUMPRODUCT(G318:I318,Inputs!$B$4:$D$4)*Inputs!$B$2</f>
        <v>25509.8419272952</v>
      </c>
    </row>
    <row r="319" customFormat="false" ht="15" hidden="false" customHeight="false" outlineLevel="0" collapsed="false">
      <c r="D319" s="0" t="n">
        <f aca="false">MC_Shocks!A306</f>
        <v>0.249383683710755</v>
      </c>
      <c r="E319" s="0" t="n">
        <f aca="false">MC_Shocks!B306</f>
        <v>1.57745327976347</v>
      </c>
      <c r="F319" s="0" t="n">
        <f aca="false">MC_Shocks!C306</f>
        <v>-0.0952955323869521</v>
      </c>
      <c r="G319" s="0" t="n">
        <f aca="false">$B$3*D319</f>
        <v>0.00367360146864879</v>
      </c>
      <c r="H319" s="0" t="n">
        <f aca="false">$B$4*D319+$C$4*E319</f>
        <v>0.022368979837438</v>
      </c>
      <c r="I319" s="0" t="n">
        <f aca="false">$B$5*D319+$C$5*E319+$D$5*F319</f>
        <v>0.00771272048872396</v>
      </c>
      <c r="J319" s="0" t="n">
        <f aca="false">SUMPRODUCT(G319:I319,Inputs!$B$4:$D$4)*Inputs!$B$2</f>
        <v>10493.9506853081</v>
      </c>
    </row>
    <row r="320" customFormat="false" ht="15" hidden="false" customHeight="false" outlineLevel="0" collapsed="false">
      <c r="D320" s="0" t="n">
        <f aca="false">MC_Shocks!A307</f>
        <v>0.279021525770339</v>
      </c>
      <c r="E320" s="0" t="n">
        <f aca="false">MC_Shocks!B307</f>
        <v>0.607896509716539</v>
      </c>
      <c r="F320" s="0" t="n">
        <f aca="false">MC_Shocks!C307</f>
        <v>0.186609123156358</v>
      </c>
      <c r="G320" s="0" t="n">
        <f aca="false">$B$3*D320</f>
        <v>0.00411018825130273</v>
      </c>
      <c r="H320" s="0" t="n">
        <f aca="false">$B$4*D320+$C$4*E320</f>
        <v>0.0105402044053755</v>
      </c>
      <c r="I320" s="0" t="n">
        <f aca="false">$B$5*D320+$C$5*E320+$D$5*F320</f>
        <v>0.00686705186143491</v>
      </c>
      <c r="J320" s="0" t="n">
        <f aca="false">SUMPRODUCT(G320:I320,Inputs!$B$4:$D$4)*Inputs!$B$2</f>
        <v>6866.2521805642</v>
      </c>
    </row>
    <row r="321" customFormat="false" ht="15" hidden="false" customHeight="false" outlineLevel="0" collapsed="false">
      <c r="D321" s="0" t="n">
        <f aca="false">MC_Shocks!A308</f>
        <v>-0.446433614550528</v>
      </c>
      <c r="E321" s="0" t="n">
        <f aca="false">MC_Shocks!B308</f>
        <v>0.194089992898308</v>
      </c>
      <c r="F321" s="0" t="n">
        <f aca="false">MC_Shocks!C308</f>
        <v>1.07363174985977</v>
      </c>
      <c r="G321" s="0" t="n">
        <f aca="false">$B$3*D321</f>
        <v>-0.00657628902446226</v>
      </c>
      <c r="H321" s="0" t="n">
        <f aca="false">$B$4*D321+$C$4*E321</f>
        <v>-0.00225570914830299</v>
      </c>
      <c r="I321" s="0" t="n">
        <f aca="false">$B$5*D321+$C$5*E321+$D$5*F321</f>
        <v>0.00540089758291486</v>
      </c>
      <c r="J321" s="0" t="n">
        <f aca="false">SUMPRODUCT(G321:I321,Inputs!$B$4:$D$4)*Inputs!$B$2</f>
        <v>-1686.95907940135</v>
      </c>
    </row>
    <row r="322" customFormat="false" ht="15" hidden="false" customHeight="false" outlineLevel="0" collapsed="false">
      <c r="D322" s="0" t="n">
        <f aca="false">MC_Shocks!A309</f>
        <v>-1.02651529941106</v>
      </c>
      <c r="E322" s="0" t="n">
        <f aca="false">MC_Shocks!B309</f>
        <v>0.132969674146876</v>
      </c>
      <c r="F322" s="0" t="n">
        <f aca="false">MC_Shocks!C309</f>
        <v>-0.700120814939173</v>
      </c>
      <c r="G322" s="0" t="n">
        <f aca="false">$B$3*D322</f>
        <v>-0.0151213104858964</v>
      </c>
      <c r="H322" s="0" t="n">
        <f aca="false">$B$4*D322+$C$4*E322</f>
        <v>-0.00910973369113075</v>
      </c>
      <c r="I322" s="0" t="n">
        <f aca="false">$B$5*D322+$C$5*E322+$D$5*F322</f>
        <v>-0.0165135194746928</v>
      </c>
      <c r="J322" s="0" t="n">
        <f aca="false">SUMPRODUCT(G322:I322,Inputs!$B$4:$D$4)*Inputs!$B$2</f>
        <v>-13735.5001441056</v>
      </c>
    </row>
    <row r="323" customFormat="false" ht="15" hidden="false" customHeight="false" outlineLevel="0" collapsed="false">
      <c r="D323" s="0" t="n">
        <f aca="false">MC_Shocks!A310</f>
        <v>1.19504662892484</v>
      </c>
      <c r="E323" s="0" t="n">
        <f aca="false">MC_Shocks!B310</f>
        <v>-1.52318690478378</v>
      </c>
      <c r="F323" s="0" t="n">
        <f aca="false">MC_Shocks!C310</f>
        <v>-0.558921847271588</v>
      </c>
      <c r="G323" s="0" t="n">
        <f aca="false">$B$3*D323</f>
        <v>0.0176038984820431</v>
      </c>
      <c r="H323" s="0" t="n">
        <f aca="false">$B$4*D323+$C$4*E323</f>
        <v>-0.00652827725414011</v>
      </c>
      <c r="I323" s="0" t="n">
        <f aca="false">$B$5*D323+$C$5*E323+$D$5*F323</f>
        <v>0.00206603443830986</v>
      </c>
      <c r="J323" s="0" t="n">
        <f aca="false">SUMPRODUCT(G323:I323,Inputs!$B$4:$D$4)*Inputs!$B$2</f>
        <v>5702.88654806816</v>
      </c>
    </row>
    <row r="324" customFormat="false" ht="15" hidden="false" customHeight="false" outlineLevel="0" collapsed="false">
      <c r="D324" s="0" t="n">
        <f aca="false">MC_Shocks!A311</f>
        <v>0.377211875064521</v>
      </c>
      <c r="E324" s="0" t="n">
        <f aca="false">MC_Shocks!B311</f>
        <v>1.56552402923434</v>
      </c>
      <c r="F324" s="0" t="n">
        <f aca="false">MC_Shocks!C311</f>
        <v>-0.0657502610729878</v>
      </c>
      <c r="G324" s="0" t="n">
        <f aca="false">$B$3*D324</f>
        <v>0.00555660289241699</v>
      </c>
      <c r="H324" s="0" t="n">
        <f aca="false">$B$4*D324+$C$4*E324</f>
        <v>0.0235613412355444</v>
      </c>
      <c r="I324" s="0" t="n">
        <f aca="false">$B$5*D324+$C$5*E324+$D$5*F324</f>
        <v>0.00928149239808663</v>
      </c>
      <c r="J324" s="0" t="n">
        <f aca="false">SUMPRODUCT(G324:I324,Inputs!$B$4:$D$4)*Inputs!$B$2</f>
        <v>12075.4912470561</v>
      </c>
    </row>
    <row r="325" customFormat="false" ht="15" hidden="false" customHeight="false" outlineLevel="0" collapsed="false">
      <c r="D325" s="0" t="n">
        <f aca="false">MC_Shocks!A312</f>
        <v>-0.555199526693198</v>
      </c>
      <c r="E325" s="0" t="n">
        <f aca="false">MC_Shocks!B312</f>
        <v>1.88115706944059</v>
      </c>
      <c r="F325" s="0" t="n">
        <f aca="false">MC_Shocks!C312</f>
        <v>-1.44801390041624</v>
      </c>
      <c r="G325" s="0" t="n">
        <f aca="false">$B$3*D325</f>
        <v>-0.0081784893313984</v>
      </c>
      <c r="H325" s="0" t="n">
        <f aca="false">$B$4*D325+$C$4*E325</f>
        <v>0.0177264902849634</v>
      </c>
      <c r="I325" s="0" t="n">
        <f aca="false">$B$5*D325+$C$5*E325+$D$5*F325</f>
        <v>-0.011526772060332</v>
      </c>
      <c r="J325" s="0" t="n">
        <f aca="false">SUMPRODUCT(G325:I325,Inputs!$B$4:$D$4)*Inputs!$B$2</f>
        <v>-1411.48026516993</v>
      </c>
    </row>
    <row r="326" customFormat="false" ht="15" hidden="false" customHeight="false" outlineLevel="0" collapsed="false">
      <c r="D326" s="0" t="n">
        <f aca="false">MC_Shocks!A313</f>
        <v>-2.19880595662008</v>
      </c>
      <c r="E326" s="0" t="n">
        <f aca="false">MC_Shocks!B313</f>
        <v>0.440014450053332</v>
      </c>
      <c r="F326" s="0" t="n">
        <f aca="false">MC_Shocks!C313</f>
        <v>-0.502054224352611</v>
      </c>
      <c r="G326" s="0" t="n">
        <f aca="false">$B$3*D326</f>
        <v>-0.0323899970973316</v>
      </c>
      <c r="H326" s="0" t="n">
        <f aca="false">$B$4*D326+$C$4*E326</f>
        <v>-0.0175699727753894</v>
      </c>
      <c r="I326" s="0" t="n">
        <f aca="false">$B$5*D326+$C$5*E326+$D$5*F326</f>
        <v>-0.0260519004890698</v>
      </c>
      <c r="J326" s="0" t="n">
        <f aca="false">SUMPRODUCT(G326:I326,Inputs!$B$4:$D$4)*Inputs!$B$2</f>
        <v>-26042.5608182704</v>
      </c>
    </row>
    <row r="327" customFormat="false" ht="15" hidden="false" customHeight="false" outlineLevel="0" collapsed="false">
      <c r="D327" s="0" t="n">
        <f aca="false">MC_Shocks!A314</f>
        <v>-1.02123281713071</v>
      </c>
      <c r="E327" s="0" t="n">
        <f aca="false">MC_Shocks!B314</f>
        <v>0.708356447299353</v>
      </c>
      <c r="F327" s="0" t="n">
        <f aca="false">MC_Shocks!C314</f>
        <v>0.243800713771199</v>
      </c>
      <c r="G327" s="0" t="n">
        <f aca="false">$B$3*D327</f>
        <v>-0.0150434957131958</v>
      </c>
      <c r="H327" s="0" t="n">
        <f aca="false">$B$4*D327+$C$4*E327</f>
        <v>-0.00184984308658424</v>
      </c>
      <c r="I327" s="0" t="n">
        <f aca="false">$B$5*D327+$C$5*E327+$D$5*F327</f>
        <v>-0.00603476239320579</v>
      </c>
      <c r="J327" s="0" t="n">
        <f aca="false">SUMPRODUCT(G327:I327,Inputs!$B$4:$D$4)*Inputs!$B$2</f>
        <v>-8382.77992921533</v>
      </c>
    </row>
    <row r="328" customFormat="false" ht="15" hidden="false" customHeight="false" outlineLevel="0" collapsed="false">
      <c r="D328" s="0" t="n">
        <f aca="false">MC_Shocks!A315</f>
        <v>-0.564078630736728</v>
      </c>
      <c r="E328" s="0" t="n">
        <f aca="false">MC_Shocks!B315</f>
        <v>-1.28030439867089</v>
      </c>
      <c r="F328" s="0" t="n">
        <f aca="false">MC_Shocks!C315</f>
        <v>0.872457328280145</v>
      </c>
      <c r="G328" s="0" t="n">
        <f aca="false">$B$3*D328</f>
        <v>-0.00830928493586316</v>
      </c>
      <c r="H328" s="0" t="n">
        <f aca="false">$B$4*D328+$C$4*E328</f>
        <v>-0.0219515102033371</v>
      </c>
      <c r="I328" s="0" t="n">
        <f aca="false">$B$5*D328+$C$5*E328+$D$5*F328</f>
        <v>-0.00312714869378467</v>
      </c>
      <c r="J328" s="0" t="n">
        <f aca="false">SUMPRODUCT(G328:I328,Inputs!$B$4:$D$4)*Inputs!$B$2</f>
        <v>-10847.3116434818</v>
      </c>
    </row>
    <row r="329" customFormat="false" ht="15" hidden="false" customHeight="false" outlineLevel="0" collapsed="false">
      <c r="D329" s="0" t="n">
        <f aca="false">MC_Shocks!A316</f>
        <v>0.650201177958661</v>
      </c>
      <c r="E329" s="0" t="n">
        <f aca="false">MC_Shocks!B316</f>
        <v>-0.0991758637793829</v>
      </c>
      <c r="F329" s="0" t="n">
        <f aca="false">MC_Shocks!C316</f>
        <v>1.84663699604767</v>
      </c>
      <c r="G329" s="0" t="n">
        <f aca="false">$B$3*D329</f>
        <v>0.00957793215147337</v>
      </c>
      <c r="H329" s="0" t="n">
        <f aca="false">$B$4*D329+$C$4*E329</f>
        <v>0.00558294677281694</v>
      </c>
      <c r="I329" s="0" t="n">
        <f aca="false">$B$5*D329+$C$5*E329+$D$5*F329</f>
        <v>0.0226959331681629</v>
      </c>
      <c r="J329" s="0" t="n">
        <f aca="false">SUMPRODUCT(G329:I329,Inputs!$B$4:$D$4)*Inputs!$B$2</f>
        <v>12314.8368428833</v>
      </c>
    </row>
    <row r="330" customFormat="false" ht="15" hidden="false" customHeight="false" outlineLevel="0" collapsed="false">
      <c r="D330" s="0" t="n">
        <f aca="false">MC_Shocks!A317</f>
        <v>-1.07008476632615</v>
      </c>
      <c r="E330" s="0" t="n">
        <f aca="false">MC_Shocks!B317</f>
        <v>-1.52552517092474</v>
      </c>
      <c r="F330" s="0" t="n">
        <f aca="false">MC_Shocks!C317</f>
        <v>-0.691908069881244</v>
      </c>
      <c r="G330" s="0" t="n">
        <f aca="false">$B$3*D330</f>
        <v>-0.0157631201474827</v>
      </c>
      <c r="H330" s="0" t="n">
        <f aca="false">$B$4*D330+$C$4*E330</f>
        <v>-0.0303331427640262</v>
      </c>
      <c r="I330" s="0" t="n">
        <f aca="false">$B$5*D330+$C$5*E330+$D$5*F330</f>
        <v>-0.0231114378745859</v>
      </c>
      <c r="J330" s="0" t="n">
        <f aca="false">SUMPRODUCT(G330:I330,Inputs!$B$4:$D$4)*Inputs!$B$2</f>
        <v>-22338.6222505767</v>
      </c>
    </row>
    <row r="331" customFormat="false" ht="15" hidden="false" customHeight="false" outlineLevel="0" collapsed="false">
      <c r="D331" s="0" t="n">
        <f aca="false">MC_Shocks!A318</f>
        <v>-0.0455860163554978</v>
      </c>
      <c r="E331" s="0" t="n">
        <f aca="false">MC_Shocks!B318</f>
        <v>0.243339449322692</v>
      </c>
      <c r="F331" s="0" t="n">
        <f aca="false">MC_Shocks!C318</f>
        <v>-0.24123605785633</v>
      </c>
      <c r="G331" s="0" t="n">
        <f aca="false">$B$3*D331</f>
        <v>-0.000671514888791347</v>
      </c>
      <c r="H331" s="0" t="n">
        <f aca="false">$B$4*D331+$C$4*E331</f>
        <v>0.00256837797834113</v>
      </c>
      <c r="I331" s="0" t="n">
        <f aca="false">$B$5*D331+$C$5*E331+$D$5*F331</f>
        <v>-0.0016854798394527</v>
      </c>
      <c r="J331" s="0" t="n">
        <f aca="false">SUMPRODUCT(G331:I331,Inputs!$B$4:$D$4)*Inputs!$B$2</f>
        <v>-3.73651385000872</v>
      </c>
    </row>
    <row r="332" customFormat="false" ht="15" hidden="false" customHeight="false" outlineLevel="0" collapsed="false">
      <c r="D332" s="0" t="n">
        <f aca="false">MC_Shocks!A319</f>
        <v>0.352055396514297</v>
      </c>
      <c r="E332" s="0" t="n">
        <f aca="false">MC_Shocks!B319</f>
        <v>-1.25153942419044</v>
      </c>
      <c r="F332" s="0" t="n">
        <f aca="false">MC_Shocks!C319</f>
        <v>1.44376460407326</v>
      </c>
      <c r="G332" s="0" t="n">
        <f aca="false">$B$3*D332</f>
        <v>0.0051860298253541</v>
      </c>
      <c r="H332" s="0" t="n">
        <f aca="false">$B$4*D332+$C$4*E332</f>
        <v>-0.0119752889419817</v>
      </c>
      <c r="I332" s="0" t="n">
        <f aca="false">$B$5*D332+$C$5*E332+$D$5*F332</f>
        <v>0.011693631279096</v>
      </c>
      <c r="J332" s="0" t="n">
        <f aca="false">SUMPRODUCT(G332:I332,Inputs!$B$4:$D$4)*Inputs!$B$2</f>
        <v>1989.91463127593</v>
      </c>
    </row>
    <row r="333" customFormat="false" ht="15" hidden="false" customHeight="false" outlineLevel="0" collapsed="false">
      <c r="D333" s="0" t="n">
        <f aca="false">MC_Shocks!A320</f>
        <v>-0.0821511783925688</v>
      </c>
      <c r="E333" s="0" t="n">
        <f aca="false">MC_Shocks!B320</f>
        <v>1.11729583158813</v>
      </c>
      <c r="F333" s="0" t="n">
        <f aca="false">MC_Shocks!C320</f>
        <v>0.342725346377704</v>
      </c>
      <c r="G333" s="0" t="n">
        <f aca="false">$B$3*D333</f>
        <v>-0.00121014608936564</v>
      </c>
      <c r="H333" s="0" t="n">
        <f aca="false">$B$4*D333+$C$4*E333</f>
        <v>0.0131274251181896</v>
      </c>
      <c r="I333" s="0" t="n">
        <f aca="false">$B$5*D333+$C$5*E333+$D$5*F333</f>
        <v>0.006314103917099</v>
      </c>
      <c r="J333" s="0" t="n">
        <f aca="false">SUMPRODUCT(G333:I333,Inputs!$B$4:$D$4)*Inputs!$B$2</f>
        <v>5348.40027484034</v>
      </c>
    </row>
    <row r="334" customFormat="false" ht="15" hidden="false" customHeight="false" outlineLevel="0" collapsed="false">
      <c r="D334" s="0" t="n">
        <f aca="false">MC_Shocks!A321</f>
        <v>0.456753219153784</v>
      </c>
      <c r="E334" s="0" t="n">
        <f aca="false">MC_Shocks!B321</f>
        <v>0.569767280232204</v>
      </c>
      <c r="F334" s="0" t="n">
        <f aca="false">MC_Shocks!C321</f>
        <v>0.447708560017315</v>
      </c>
      <c r="G334" s="0" t="n">
        <f aca="false">$B$3*D334</f>
        <v>0.00672830424078396</v>
      </c>
      <c r="H334" s="0" t="n">
        <f aca="false">$B$4*D334+$C$4*E334</f>
        <v>0.0119283187748958</v>
      </c>
      <c r="I334" s="0" t="n">
        <f aca="false">$B$5*D334+$C$5*E334+$D$5*F334</f>
        <v>0.0108950473675764</v>
      </c>
      <c r="J334" s="0" t="n">
        <f aca="false">SUMPRODUCT(G334:I334,Inputs!$B$4:$D$4)*Inputs!$B$2</f>
        <v>9538.33153905524</v>
      </c>
    </row>
    <row r="335" customFormat="false" ht="15" hidden="false" customHeight="false" outlineLevel="0" collapsed="false">
      <c r="D335" s="0" t="n">
        <f aca="false">MC_Shocks!A322</f>
        <v>0.642722759867544</v>
      </c>
      <c r="E335" s="0" t="n">
        <f aca="false">MC_Shocks!B322</f>
        <v>1.32915253013243</v>
      </c>
      <c r="F335" s="0" t="n">
        <f aca="false">MC_Shocks!C322</f>
        <v>0.19652116970147</v>
      </c>
      <c r="G335" s="0" t="n">
        <f aca="false">$B$3*D335</f>
        <v>0.00946776966099319</v>
      </c>
      <c r="H335" s="0" t="n">
        <f aca="false">$B$4*D335+$C$4*E335</f>
        <v>0.0233886153457558</v>
      </c>
      <c r="I335" s="0" t="n">
        <f aca="false">$B$5*D335+$C$5*E335+$D$5*F335</f>
        <v>0.0135078863250346</v>
      </c>
      <c r="J335" s="0" t="n">
        <f aca="false">SUMPRODUCT(G335:I335,Inputs!$B$4:$D$4)*Inputs!$B$2</f>
        <v>14856.0583656344</v>
      </c>
    </row>
    <row r="336" customFormat="false" ht="15" hidden="false" customHeight="false" outlineLevel="0" collapsed="false">
      <c r="D336" s="0" t="n">
        <f aca="false">MC_Shocks!A323</f>
        <v>0.709003757588512</v>
      </c>
      <c r="E336" s="0" t="n">
        <f aca="false">MC_Shocks!B323</f>
        <v>-0.0897356942872267</v>
      </c>
      <c r="F336" s="0" t="n">
        <f aca="false">MC_Shocks!C323</f>
        <v>1.44011721544947</v>
      </c>
      <c r="G336" s="0" t="n">
        <f aca="false">$B$3*D336</f>
        <v>0.0104441365465416</v>
      </c>
      <c r="H336" s="0" t="n">
        <f aca="false">$B$4*D336+$C$4*E336</f>
        <v>0.00631835939812714</v>
      </c>
      <c r="I336" s="0" t="n">
        <f aca="false">$B$5*D336+$C$5*E336+$D$5*F336</f>
        <v>0.0197932003134159</v>
      </c>
      <c r="J336" s="0" t="n">
        <f aca="false">SUMPRODUCT(G336:I336,Inputs!$B$4:$D$4)*Inputs!$B$2</f>
        <v>12011.1225320795</v>
      </c>
    </row>
    <row r="337" customFormat="false" ht="15" hidden="false" customHeight="false" outlineLevel="0" collapsed="false">
      <c r="D337" s="0" t="n">
        <f aca="false">MC_Shocks!A324</f>
        <v>-0.67639230205927</v>
      </c>
      <c r="E337" s="0" t="n">
        <f aca="false">MC_Shocks!B324</f>
        <v>1.80094043291082</v>
      </c>
      <c r="F337" s="0" t="n">
        <f aca="false">MC_Shocks!C324</f>
        <v>-0.0401579506443434</v>
      </c>
      <c r="G337" s="0" t="n">
        <f aca="false">$B$3*D337</f>
        <v>-0.00996374629348096</v>
      </c>
      <c r="H337" s="0" t="n">
        <f aca="false">$B$4*D337+$C$4*E337</f>
        <v>0.015450013635097</v>
      </c>
      <c r="I337" s="0" t="n">
        <f aca="false">$B$5*D337+$C$5*E337+$D$5*F337</f>
        <v>-0.000778196932100152</v>
      </c>
      <c r="J337" s="0" t="n">
        <f aca="false">SUMPRODUCT(G337:I337,Inputs!$B$4:$D$4)*Inputs!$B$2</f>
        <v>416.046493506676</v>
      </c>
    </row>
    <row r="338" customFormat="false" ht="15" hidden="false" customHeight="false" outlineLevel="0" collapsed="false">
      <c r="D338" s="0" t="n">
        <f aca="false">MC_Shocks!A325</f>
        <v>-1.43077510211805</v>
      </c>
      <c r="E338" s="0" t="n">
        <f aca="false">MC_Shocks!B325</f>
        <v>0.128104414910789</v>
      </c>
      <c r="F338" s="0" t="n">
        <f aca="false">MC_Shocks!C325</f>
        <v>-0.681051657474881</v>
      </c>
      <c r="G338" s="0" t="n">
        <f aca="false">$B$3*D338</f>
        <v>-0.0210763488542546</v>
      </c>
      <c r="H338" s="0" t="n">
        <f aca="false">$B$4*D338+$C$4*E338</f>
        <v>-0.0134138999289375</v>
      </c>
      <c r="I338" s="0" t="n">
        <f aca="false">$B$5*D338+$C$5*E338+$D$5*F338</f>
        <v>-0.020648646157632</v>
      </c>
      <c r="J338" s="0" t="n">
        <f aca="false">SUMPRODUCT(G338:I338,Inputs!$B$4:$D$4)*Inputs!$B$2</f>
        <v>-18649.3033676727</v>
      </c>
    </row>
    <row r="339" customFormat="false" ht="15" hidden="false" customHeight="false" outlineLevel="0" collapsed="false">
      <c r="D339" s="0" t="n">
        <f aca="false">MC_Shocks!A326</f>
        <v>0.840643548988724</v>
      </c>
      <c r="E339" s="0" t="n">
        <f aca="false">MC_Shocks!B326</f>
        <v>-0.652623979302391</v>
      </c>
      <c r="F339" s="0" t="n">
        <f aca="false">MC_Shocks!C326</f>
        <v>-0.44618343321478</v>
      </c>
      <c r="G339" s="0" t="n">
        <f aca="false">$B$3*D339</f>
        <v>0.0123832855871874</v>
      </c>
      <c r="H339" s="0" t="n">
        <f aca="false">$B$4*D339+$C$4*E339</f>
        <v>0.000652145590091479</v>
      </c>
      <c r="I339" s="0" t="n">
        <f aca="false">$B$5*D339+$C$5*E339+$D$5*F339</f>
        <v>0.00255674983476311</v>
      </c>
      <c r="J339" s="0" t="n">
        <f aca="false">SUMPRODUCT(G339:I339,Inputs!$B$4:$D$4)*Inputs!$B$2</f>
        <v>5915.98286233135</v>
      </c>
    </row>
    <row r="340" customFormat="false" ht="15" hidden="false" customHeight="false" outlineLevel="0" collapsed="false">
      <c r="D340" s="0" t="n">
        <f aca="false">MC_Shocks!A327</f>
        <v>-1.88954073094553</v>
      </c>
      <c r="E340" s="0" t="n">
        <f aca="false">MC_Shocks!B327</f>
        <v>-0.452306319249077</v>
      </c>
      <c r="F340" s="0" t="n">
        <f aca="false">MC_Shocks!C327</f>
        <v>-2.42387932662896</v>
      </c>
      <c r="G340" s="0" t="n">
        <f aca="false">$B$3*D340</f>
        <v>-0.0278342973404953</v>
      </c>
      <c r="H340" s="0" t="n">
        <f aca="false">$B$4*D340+$C$4*E340</f>
        <v>-0.0254966088080914</v>
      </c>
      <c r="I340" s="0" t="n">
        <f aca="false">$B$5*D340+$C$5*E340+$D$5*F340</f>
        <v>-0.0429503930744622</v>
      </c>
      <c r="J340" s="0" t="n">
        <f aca="false">SUMPRODUCT(G340:I340,Inputs!$B$4:$D$4)*Inputs!$B$2</f>
        <v>-31667.8195009642</v>
      </c>
    </row>
    <row r="341" customFormat="false" ht="15" hidden="false" customHeight="false" outlineLevel="0" collapsed="false">
      <c r="D341" s="0" t="n">
        <f aca="false">MC_Shocks!A328</f>
        <v>-1.58390282348572</v>
      </c>
      <c r="E341" s="0" t="n">
        <f aca="false">MC_Shocks!B328</f>
        <v>0.760414656144297</v>
      </c>
      <c r="F341" s="0" t="n">
        <f aca="false">MC_Shocks!C328</f>
        <v>0.785800158650832</v>
      </c>
      <c r="G341" s="0" t="n">
        <f aca="false">$B$3*D341</f>
        <v>-0.023332030596287</v>
      </c>
      <c r="H341" s="0" t="n">
        <f aca="false">$B$4*D341+$C$4*E341</f>
        <v>-0.00710399526570177</v>
      </c>
      <c r="I341" s="0" t="n">
        <f aca="false">$B$5*D341+$C$5*E341+$D$5*F341</f>
        <v>-0.00705450653225006</v>
      </c>
      <c r="J341" s="0" t="n">
        <f aca="false">SUMPRODUCT(G341:I341,Inputs!$B$4:$D$4)*Inputs!$B$2</f>
        <v>-13580.3627779004</v>
      </c>
    </row>
    <row r="342" customFormat="false" ht="15" hidden="false" customHeight="false" outlineLevel="0" collapsed="false">
      <c r="D342" s="0" t="n">
        <f aca="false">MC_Shocks!A329</f>
        <v>0.425457561784965</v>
      </c>
      <c r="E342" s="0" t="n">
        <f aca="false">MC_Shocks!B329</f>
        <v>-0.966976143129213</v>
      </c>
      <c r="F342" s="0" t="n">
        <f aca="false">MC_Shocks!C329</f>
        <v>-0.0477113561419799</v>
      </c>
      <c r="G342" s="0" t="n">
        <f aca="false">$B$3*D342</f>
        <v>0.00626729664332716</v>
      </c>
      <c r="H342" s="0" t="n">
        <f aca="false">$B$4*D342+$C$4*E342</f>
        <v>-0.00764180515488571</v>
      </c>
      <c r="I342" s="0" t="n">
        <f aca="false">$B$5*D342+$C$5*E342+$D$5*F342</f>
        <v>0.000471006208326708</v>
      </c>
      <c r="J342" s="0" t="n">
        <f aca="false">SUMPRODUCT(G342:I342,Inputs!$B$4:$D$4)*Inputs!$B$2</f>
        <v>355.678973363164</v>
      </c>
    </row>
    <row r="343" customFormat="false" ht="15" hidden="false" customHeight="false" outlineLevel="0" collapsed="false">
      <c r="D343" s="0" t="n">
        <f aca="false">MC_Shocks!A330</f>
        <v>-0.0036025390905684</v>
      </c>
      <c r="E343" s="0" t="n">
        <f aca="false">MC_Shocks!B330</f>
        <v>-1.15836468919254</v>
      </c>
      <c r="F343" s="0" t="n">
        <f aca="false">MC_Shocks!C330</f>
        <v>1.50339830176715</v>
      </c>
      <c r="G343" s="0" t="n">
        <f aca="false">$B$3*D343</f>
        <v>-5.30679982629753E-005</v>
      </c>
      <c r="H343" s="0" t="n">
        <f aca="false">$B$4*D343+$C$4*E343</f>
        <v>-0.0145417502724319</v>
      </c>
      <c r="I343" s="0" t="n">
        <f aca="false">$B$5*D343+$C$5*E343+$D$5*F343</f>
        <v>0.00879588378181731</v>
      </c>
      <c r="J343" s="0" t="n">
        <f aca="false">SUMPRODUCT(G343:I343,Inputs!$B$4:$D$4)*Inputs!$B$2</f>
        <v>-1744.98714648957</v>
      </c>
    </row>
    <row r="344" customFormat="false" ht="15" hidden="false" customHeight="false" outlineLevel="0" collapsed="false">
      <c r="D344" s="0" t="n">
        <f aca="false">MC_Shocks!A331</f>
        <v>0.877362290575671</v>
      </c>
      <c r="E344" s="0" t="n">
        <f aca="false">MC_Shocks!B331</f>
        <v>-0.220964173829664</v>
      </c>
      <c r="F344" s="0" t="n">
        <f aca="false">MC_Shocks!C331</f>
        <v>0.0268858389945308</v>
      </c>
      <c r="G344" s="0" t="n">
        <f aca="false">$B$3*D344</f>
        <v>0.0129241791252635</v>
      </c>
      <c r="H344" s="0" t="n">
        <f aca="false">$B$4*D344+$C$4*E344</f>
        <v>0.00644238996305965</v>
      </c>
      <c r="I344" s="0" t="n">
        <f aca="false">$B$5*D344+$C$5*E344+$D$5*F344</f>
        <v>0.00870586227842154</v>
      </c>
      <c r="J344" s="0" t="n">
        <f aca="false">SUMPRODUCT(G344:I344,Inputs!$B$4:$D$4)*Inputs!$B$2</f>
        <v>9714.14732254974</v>
      </c>
    </row>
    <row r="345" customFormat="false" ht="15" hidden="false" customHeight="false" outlineLevel="0" collapsed="false">
      <c r="D345" s="0" t="n">
        <f aca="false">MC_Shocks!A332</f>
        <v>0.208382807947553</v>
      </c>
      <c r="E345" s="0" t="n">
        <f aca="false">MC_Shocks!B332</f>
        <v>-2.04173486842429</v>
      </c>
      <c r="F345" s="0" t="n">
        <f aca="false">MC_Shocks!C332</f>
        <v>-0.247177382520597</v>
      </c>
      <c r="G345" s="0" t="n">
        <f aca="false">$B$3*D345</f>
        <v>0.00306962900670423</v>
      </c>
      <c r="H345" s="0" t="n">
        <f aca="false">$B$4*D345+$C$4*E345</f>
        <v>-0.0233773981866751</v>
      </c>
      <c r="I345" s="0" t="n">
        <f aca="false">$B$5*D345+$C$5*E345+$D$5*F345</f>
        <v>-0.0075998019534369</v>
      </c>
      <c r="J345" s="0" t="n">
        <f aca="false">SUMPRODUCT(G345:I345,Inputs!$B$4:$D$4)*Inputs!$B$2</f>
        <v>-8065.30843935191</v>
      </c>
    </row>
    <row r="346" customFormat="false" ht="15" hidden="false" customHeight="false" outlineLevel="0" collapsed="false">
      <c r="D346" s="0" t="n">
        <f aca="false">MC_Shocks!A333</f>
        <v>-0.681984247997799</v>
      </c>
      <c r="E346" s="0" t="n">
        <f aca="false">MC_Shocks!B333</f>
        <v>-1.00162000989492</v>
      </c>
      <c r="F346" s="0" t="n">
        <f aca="false">MC_Shocks!C333</f>
        <v>-0.281100292885955</v>
      </c>
      <c r="G346" s="0" t="n">
        <f aca="false">$B$3*D346</f>
        <v>-0.0100461196889923</v>
      </c>
      <c r="H346" s="0" t="n">
        <f aca="false">$B$4*D346+$C$4*E346</f>
        <v>-0.0196996677137881</v>
      </c>
      <c r="I346" s="0" t="n">
        <f aca="false">$B$5*D346+$C$5*E346+$D$5*F346</f>
        <v>-0.0134388395558373</v>
      </c>
      <c r="J346" s="0" t="n">
        <f aca="false">SUMPRODUCT(G346:I346,Inputs!$B$4:$D$4)*Inputs!$B$2</f>
        <v>-13960.0000564845</v>
      </c>
    </row>
    <row r="347" customFormat="false" ht="15" hidden="false" customHeight="false" outlineLevel="0" collapsed="false">
      <c r="D347" s="0" t="n">
        <f aca="false">MC_Shocks!A334</f>
        <v>1.79768652684952</v>
      </c>
      <c r="E347" s="0" t="n">
        <f aca="false">MC_Shocks!B334</f>
        <v>0.64084286126701</v>
      </c>
      <c r="F347" s="0" t="n">
        <f aca="false">MC_Shocks!C334</f>
        <v>-0.571178989782797</v>
      </c>
      <c r="G347" s="0" t="n">
        <f aca="false">$B$3*D347</f>
        <v>0.0264812186865605</v>
      </c>
      <c r="H347" s="0" t="n">
        <f aca="false">$B$4*D347+$C$4*E347</f>
        <v>0.0268931504957947</v>
      </c>
      <c r="I347" s="0" t="n">
        <f aca="false">$B$5*D347+$C$5*E347+$D$5*F347</f>
        <v>0.0164453672638492</v>
      </c>
      <c r="J347" s="0" t="n">
        <f aca="false">SUMPRODUCT(G347:I347,Inputs!$B$4:$D$4)*Inputs!$B$2</f>
        <v>23594.0428025174</v>
      </c>
    </row>
    <row r="348" customFormat="false" ht="15" hidden="false" customHeight="false" outlineLevel="0" collapsed="false">
      <c r="D348" s="0" t="n">
        <f aca="false">MC_Shocks!A335</f>
        <v>0.572582781356159</v>
      </c>
      <c r="E348" s="0" t="n">
        <f aca="false">MC_Shocks!B335</f>
        <v>1.399355436586</v>
      </c>
      <c r="F348" s="0" t="n">
        <f aca="false">MC_Shocks!C335</f>
        <v>0.924633682912769</v>
      </c>
      <c r="G348" s="0" t="n">
        <f aca="false">$B$3*D348</f>
        <v>0.00843455720604658</v>
      </c>
      <c r="H348" s="0" t="n">
        <f aca="false">$B$4*D348+$C$4*E348</f>
        <v>0.0235314160988802</v>
      </c>
      <c r="I348" s="0" t="n">
        <f aca="false">$B$5*D348+$C$5*E348+$D$5*F348</f>
        <v>0.0194058240063375</v>
      </c>
      <c r="J348" s="0" t="n">
        <f aca="false">SUMPRODUCT(G348:I348,Inputs!$B$4:$D$4)*Inputs!$B$2</f>
        <v>16254.9949139839</v>
      </c>
    </row>
    <row r="349" customFormat="false" ht="15" hidden="false" customHeight="false" outlineLevel="0" collapsed="false">
      <c r="D349" s="0" t="n">
        <f aca="false">MC_Shocks!A336</f>
        <v>0.0596303699201741</v>
      </c>
      <c r="E349" s="0" t="n">
        <f aca="false">MC_Shocks!B336</f>
        <v>-0.646936777705574</v>
      </c>
      <c r="F349" s="0" t="n">
        <f aca="false">MC_Shocks!C336</f>
        <v>0.69822331361359</v>
      </c>
      <c r="G349" s="0" t="n">
        <f aca="false">$B$3*D349</f>
        <v>0.000878398342887958</v>
      </c>
      <c r="H349" s="0" t="n">
        <f aca="false">$B$4*D349+$C$4*E349</f>
        <v>-0.00747442412605077</v>
      </c>
      <c r="I349" s="0" t="n">
        <f aca="false">$B$5*D349+$C$5*E349+$D$5*F349</f>
        <v>0.00432685472870168</v>
      </c>
      <c r="J349" s="0" t="n">
        <f aca="false">SUMPRODUCT(G349:I349,Inputs!$B$4:$D$4)*Inputs!$B$2</f>
        <v>-592.911482049542</v>
      </c>
    </row>
    <row r="350" customFormat="false" ht="15" hidden="false" customHeight="false" outlineLevel="0" collapsed="false">
      <c r="D350" s="0" t="n">
        <f aca="false">MC_Shocks!A337</f>
        <v>0.39348538542175</v>
      </c>
      <c r="E350" s="0" t="n">
        <f aca="false">MC_Shocks!B337</f>
        <v>0.895193220027732</v>
      </c>
      <c r="F350" s="0" t="n">
        <f aca="false">MC_Shocks!C337</f>
        <v>0.63517180168197</v>
      </c>
      <c r="G350" s="0" t="n">
        <f aca="false">$B$3*D350</f>
        <v>0.00579632343330741</v>
      </c>
      <c r="H350" s="0" t="n">
        <f aca="false">$B$4*D350+$C$4*E350</f>
        <v>0.0153389110657652</v>
      </c>
      <c r="I350" s="0" t="n">
        <f aca="false">$B$5*D350+$C$5*E350+$D$5*F350</f>
        <v>0.013084963946695</v>
      </c>
      <c r="J350" s="0" t="n">
        <f aca="false">SUMPRODUCT(G350:I350,Inputs!$B$4:$D$4)*Inputs!$B$2</f>
        <v>10845.691877061</v>
      </c>
    </row>
    <row r="351" customFormat="false" ht="15" hidden="false" customHeight="false" outlineLevel="0" collapsed="false">
      <c r="D351" s="0" t="n">
        <f aca="false">MC_Shocks!A338</f>
        <v>1.04955271531934</v>
      </c>
      <c r="E351" s="0" t="n">
        <f aca="false">MC_Shocks!B338</f>
        <v>-0.535235211560568</v>
      </c>
      <c r="F351" s="0" t="n">
        <f aca="false">MC_Shocks!C338</f>
        <v>1.31739406563433</v>
      </c>
      <c r="G351" s="0" t="n">
        <f aca="false">$B$3*D351</f>
        <v>0.0154606682323826</v>
      </c>
      <c r="H351" s="0" t="n">
        <f aca="false">$B$4*D351+$C$4*E351</f>
        <v>0.00431475719339161</v>
      </c>
      <c r="I351" s="0" t="n">
        <f aca="false">$B$5*D351+$C$5*E351+$D$5*F351</f>
        <v>0.0206593207356598</v>
      </c>
      <c r="J351" s="0" t="n">
        <f aca="false">SUMPRODUCT(G351:I351,Inputs!$B$4:$D$4)*Inputs!$B$2</f>
        <v>13676.4906716685</v>
      </c>
    </row>
    <row r="352" customFormat="false" ht="15" hidden="false" customHeight="false" outlineLevel="0" collapsed="false">
      <c r="D352" s="0" t="n">
        <f aca="false">MC_Shocks!A339</f>
        <v>0.1975996046924</v>
      </c>
      <c r="E352" s="0" t="n">
        <f aca="false">MC_Shocks!B339</f>
        <v>2.07526087262527</v>
      </c>
      <c r="F352" s="0" t="n">
        <f aca="false">MC_Shocks!C339</f>
        <v>-0.689187818089568</v>
      </c>
      <c r="G352" s="0" t="n">
        <f aca="false">$B$3*D352</f>
        <v>0.00291078464798181</v>
      </c>
      <c r="H352" s="0" t="n">
        <f aca="false">$B$4*D352+$C$4*E352</f>
        <v>0.0280585080103648</v>
      </c>
      <c r="I352" s="0" t="n">
        <f aca="false">$B$5*D352+$C$5*E352+$D$5*F352</f>
        <v>0.00382474912992613</v>
      </c>
      <c r="J352" s="0" t="n">
        <f aca="false">SUMPRODUCT(G352:I352,Inputs!$B$4:$D$4)*Inputs!$B$2</f>
        <v>10729.29100128</v>
      </c>
    </row>
    <row r="353" customFormat="false" ht="15" hidden="false" customHeight="false" outlineLevel="0" collapsed="false">
      <c r="D353" s="0" t="n">
        <f aca="false">MC_Shocks!A340</f>
        <v>1.73596380316525</v>
      </c>
      <c r="E353" s="0" t="n">
        <f aca="false">MC_Shocks!B340</f>
        <v>0.197910783462648</v>
      </c>
      <c r="F353" s="0" t="n">
        <f aca="false">MC_Shocks!C340</f>
        <v>-0.651418003614448</v>
      </c>
      <c r="G353" s="0" t="n">
        <f aca="false">$B$3*D353</f>
        <v>0.0255719984641239</v>
      </c>
      <c r="H353" s="0" t="n">
        <f aca="false">$B$4*D353+$C$4*E353</f>
        <v>0.0206993152066774</v>
      </c>
      <c r="I353" s="0" t="n">
        <f aca="false">$B$5*D353+$C$5*E353+$D$5*F353</f>
        <v>0.0134303721127044</v>
      </c>
      <c r="J353" s="0" t="n">
        <f aca="false">SUMPRODUCT(G353:I353,Inputs!$B$4:$D$4)*Inputs!$B$2</f>
        <v>20467.7055814641</v>
      </c>
    </row>
    <row r="354" customFormat="false" ht="15" hidden="false" customHeight="false" outlineLevel="0" collapsed="false">
      <c r="D354" s="0" t="n">
        <f aca="false">MC_Shocks!A341</f>
        <v>-0.483885834054322</v>
      </c>
      <c r="E354" s="0" t="n">
        <f aca="false">MC_Shocks!B341</f>
        <v>-0.32034730819432</v>
      </c>
      <c r="F354" s="0" t="n">
        <f aca="false">MC_Shocks!C341</f>
        <v>0.424165946401916</v>
      </c>
      <c r="G354" s="0" t="n">
        <f aca="false">$B$3*D354</f>
        <v>-0.00712798722109676</v>
      </c>
      <c r="H354" s="0" t="n">
        <f aca="false">$B$4*D354+$C$4*E354</f>
        <v>-0.00909011313064506</v>
      </c>
      <c r="I354" s="0" t="n">
        <f aca="false">$B$5*D354+$C$5*E354+$D$5*F354</f>
        <v>-0.00261111721045227</v>
      </c>
      <c r="J354" s="0" t="n">
        <f aca="false">SUMPRODUCT(G354:I354,Inputs!$B$4:$D$4)*Inputs!$B$2</f>
        <v>-6361.5639907679</v>
      </c>
    </row>
    <row r="355" customFormat="false" ht="15" hidden="false" customHeight="false" outlineLevel="0" collapsed="false">
      <c r="D355" s="0" t="n">
        <f aca="false">MC_Shocks!A342</f>
        <v>0.5228354880355</v>
      </c>
      <c r="E355" s="0" t="n">
        <f aca="false">MC_Shocks!B342</f>
        <v>-0.573700003938579</v>
      </c>
      <c r="F355" s="0" t="n">
        <f aca="false">MC_Shocks!C342</f>
        <v>-0.0243545922609828</v>
      </c>
      <c r="G355" s="0" t="n">
        <f aca="false">$B$3*D355</f>
        <v>0.00770174370724512</v>
      </c>
      <c r="H355" s="0" t="n">
        <f aca="false">$B$4*D355+$C$4*E355</f>
        <v>-0.00169546501628697</v>
      </c>
      <c r="I355" s="0" t="n">
        <f aca="false">$B$5*D355+$C$5*E355+$D$5*F355</f>
        <v>0.00317966597684957</v>
      </c>
      <c r="J355" s="0" t="n">
        <f aca="false">SUMPRODUCT(G355:I355,Inputs!$B$4:$D$4)*Inputs!$B$2</f>
        <v>3525.95777106683</v>
      </c>
    </row>
    <row r="356" customFormat="false" ht="15" hidden="false" customHeight="false" outlineLevel="0" collapsed="false">
      <c r="D356" s="0" t="n">
        <f aca="false">MC_Shocks!A343</f>
        <v>2.14227035861186</v>
      </c>
      <c r="E356" s="0" t="n">
        <f aca="false">MC_Shocks!B343</f>
        <v>1.72754317010071</v>
      </c>
      <c r="F356" s="0" t="n">
        <f aca="false">MC_Shocks!C343</f>
        <v>0.436323669674032</v>
      </c>
      <c r="G356" s="0" t="n">
        <f aca="false">$B$3*D356</f>
        <v>0.0315571869760616</v>
      </c>
      <c r="H356" s="0" t="n">
        <f aca="false">$B$4*D356+$C$4*E356</f>
        <v>0.0441166431986089</v>
      </c>
      <c r="I356" s="0" t="n">
        <f aca="false">$B$5*D356+$C$5*E356+$D$5*F356</f>
        <v>0.0329906784153432</v>
      </c>
      <c r="J356" s="0" t="n">
        <f aca="false">SUMPRODUCT(G356:I356,Inputs!$B$4:$D$4)*Inputs!$B$2</f>
        <v>35755.0712746103</v>
      </c>
    </row>
    <row r="357" customFormat="false" ht="15" hidden="false" customHeight="false" outlineLevel="0" collapsed="false">
      <c r="D357" s="0" t="n">
        <f aca="false">MC_Shocks!A344</f>
        <v>0.0380034781682003</v>
      </c>
      <c r="E357" s="0" t="n">
        <f aca="false">MC_Shocks!B344</f>
        <v>0.120031326718261</v>
      </c>
      <c r="F357" s="0" t="n">
        <f aca="false">MC_Shocks!C344</f>
        <v>0.613517972730417</v>
      </c>
      <c r="G357" s="0" t="n">
        <f aca="false">$B$3*D357</f>
        <v>0.000559818634223028</v>
      </c>
      <c r="H357" s="0" t="n">
        <f aca="false">$B$4*D357+$C$4*E357</f>
        <v>0.00190181509094723</v>
      </c>
      <c r="I357" s="0" t="n">
        <f aca="false">$B$5*D357+$C$5*E357+$D$5*F357</f>
        <v>0.00622658654344865</v>
      </c>
      <c r="J357" s="0" t="n">
        <f aca="false">SUMPRODUCT(G357:I357,Inputs!$B$4:$D$4)*Inputs!$B$2</f>
        <v>2662.44794400798</v>
      </c>
    </row>
    <row r="358" customFormat="false" ht="15" hidden="false" customHeight="false" outlineLevel="0" collapsed="false">
      <c r="D358" s="0" t="n">
        <f aca="false">MC_Shocks!A345</f>
        <v>-1.02279256519841</v>
      </c>
      <c r="E358" s="0" t="n">
        <f aca="false">MC_Shocks!B345</f>
        <v>-0.257376537423345</v>
      </c>
      <c r="F358" s="0" t="n">
        <f aca="false">MC_Shocks!C345</f>
        <v>-1.66858407387759</v>
      </c>
      <c r="G358" s="0" t="n">
        <f aca="false">$B$3*D358</f>
        <v>-0.0150664719268235</v>
      </c>
      <c r="H358" s="0" t="n">
        <f aca="false">$B$4*D358+$C$4*E358</f>
        <v>-0.0139582012245233</v>
      </c>
      <c r="I358" s="0" t="n">
        <f aca="false">$B$5*D358+$C$5*E358+$D$5*F358</f>
        <v>-0.0264191862816822</v>
      </c>
      <c r="J358" s="0" t="n">
        <f aca="false">SUMPRODUCT(G358:I358,Inputs!$B$4:$D$4)*Inputs!$B$2</f>
        <v>-18139.8050225911</v>
      </c>
    </row>
    <row r="359" customFormat="false" ht="15" hidden="false" customHeight="false" outlineLevel="0" collapsed="false">
      <c r="D359" s="0" t="n">
        <f aca="false">MC_Shocks!A346</f>
        <v>0.399223122605279</v>
      </c>
      <c r="E359" s="0" t="n">
        <f aca="false">MC_Shocks!B346</f>
        <v>0.647195939702741</v>
      </c>
      <c r="F359" s="0" t="n">
        <f aca="false">MC_Shocks!C346</f>
        <v>-0.483186462299374</v>
      </c>
      <c r="G359" s="0" t="n">
        <f aca="false">$B$3*D359</f>
        <v>0.00588084443897425</v>
      </c>
      <c r="H359" s="0" t="n">
        <f aca="false">$B$4*D359+$C$4*E359</f>
        <v>0.0122939511104258</v>
      </c>
      <c r="I359" s="0" t="n">
        <f aca="false">$B$5*D359+$C$5*E359+$D$5*F359</f>
        <v>0.00242038369449757</v>
      </c>
      <c r="J359" s="0" t="n">
        <f aca="false">SUMPRODUCT(G359:I359,Inputs!$B$4:$D$4)*Inputs!$B$2</f>
        <v>6766.63821706671</v>
      </c>
    </row>
    <row r="360" customFormat="false" ht="15" hidden="false" customHeight="false" outlineLevel="0" collapsed="false">
      <c r="D360" s="0" t="n">
        <f aca="false">MC_Shocks!A347</f>
        <v>1.57398676329003</v>
      </c>
      <c r="E360" s="0" t="n">
        <f aca="false">MC_Shocks!B347</f>
        <v>-1.22576566300234</v>
      </c>
      <c r="F360" s="0" t="n">
        <f aca="false">MC_Shocks!C347</f>
        <v>-1.46437488020982</v>
      </c>
      <c r="G360" s="0" t="n">
        <f aca="false">$B$3*D360</f>
        <v>0.0231859598800475</v>
      </c>
      <c r="H360" s="0" t="n">
        <f aca="false">$B$4*D360+$C$4*E360</f>
        <v>0.00117323187392558</v>
      </c>
      <c r="I360" s="0" t="n">
        <f aca="false">$B$5*D360+$C$5*E360+$D$5*F360</f>
        <v>-0.000736964471741264</v>
      </c>
      <c r="J360" s="0" t="n">
        <f aca="false">SUMPRODUCT(G360:I360,Inputs!$B$4:$D$4)*Inputs!$B$2</f>
        <v>9405.26417267428</v>
      </c>
    </row>
    <row r="361" customFormat="false" ht="15" hidden="false" customHeight="false" outlineLevel="0" collapsed="false">
      <c r="D361" s="0" t="n">
        <f aca="false">MC_Shocks!A348</f>
        <v>0.224451818559972</v>
      </c>
      <c r="E361" s="0" t="n">
        <f aca="false">MC_Shocks!B348</f>
        <v>1.04709830261216</v>
      </c>
      <c r="F361" s="0" t="n">
        <f aca="false">MC_Shocks!C348</f>
        <v>1.68392769145787</v>
      </c>
      <c r="G361" s="0" t="n">
        <f aca="false">$B$3*D361</f>
        <v>0.00330633711890769</v>
      </c>
      <c r="H361" s="0" t="n">
        <f aca="false">$B$4*D361+$C$4*E361</f>
        <v>0.0154666878004269</v>
      </c>
      <c r="I361" s="0" t="n">
        <f aca="false">$B$5*D361+$C$5*E361+$D$5*F361</f>
        <v>0.0210496595161138</v>
      </c>
      <c r="J361" s="0" t="n">
        <f aca="false">SUMPRODUCT(G361:I361,Inputs!$B$4:$D$4)*Inputs!$B$2</f>
        <v>12277.4390425253</v>
      </c>
    </row>
    <row r="362" customFormat="false" ht="15" hidden="false" customHeight="false" outlineLevel="0" collapsed="false">
      <c r="D362" s="0" t="n">
        <f aca="false">MC_Shocks!A349</f>
        <v>-0.45888426286894</v>
      </c>
      <c r="E362" s="0" t="n">
        <f aca="false">MC_Shocks!B349</f>
        <v>1.0786808334313</v>
      </c>
      <c r="F362" s="0" t="n">
        <f aca="false">MC_Shocks!C349</f>
        <v>-0.0385084695007072</v>
      </c>
      <c r="G362" s="0" t="n">
        <f aca="false">$B$3*D362</f>
        <v>-0.00675969605120742</v>
      </c>
      <c r="H362" s="0" t="n">
        <f aca="false">$B$4*D362+$C$4*E362</f>
        <v>0.0086896066468637</v>
      </c>
      <c r="I362" s="0" t="n">
        <f aca="false">$B$5*D362+$C$5*E362+$D$5*F362</f>
        <v>-0.00116239763227699</v>
      </c>
      <c r="J362" s="0" t="n">
        <f aca="false">SUMPRODUCT(G362:I362,Inputs!$B$4:$D$4)*Inputs!$B$2</f>
        <v>-445.715716106957</v>
      </c>
    </row>
    <row r="363" customFormat="false" ht="15" hidden="false" customHeight="false" outlineLevel="0" collapsed="false">
      <c r="D363" s="0" t="n">
        <f aca="false">MC_Shocks!A350</f>
        <v>-0.17262729994082</v>
      </c>
      <c r="E363" s="0" t="n">
        <f aca="false">MC_Shocks!B350</f>
        <v>0.883659937486672</v>
      </c>
      <c r="F363" s="0" t="n">
        <f aca="false">MC_Shocks!C350</f>
        <v>0.65232287841342</v>
      </c>
      <c r="G363" s="0" t="n">
        <f aca="false">$B$3*D363</f>
        <v>-0.00254292459376371</v>
      </c>
      <c r="H363" s="0" t="n">
        <f aca="false">$B$4*D363+$C$4*E363</f>
        <v>0.00925239141204749</v>
      </c>
      <c r="I363" s="0" t="n">
        <f aca="false">$B$5*D363+$C$5*E363+$D$5*F363</f>
        <v>0.00719290987670505</v>
      </c>
      <c r="J363" s="0" t="n">
        <f aca="false">SUMPRODUCT(G363:I363,Inputs!$B$4:$D$4)*Inputs!$B$2</f>
        <v>3916.42054912028</v>
      </c>
    </row>
    <row r="364" customFormat="false" ht="15" hidden="false" customHeight="false" outlineLevel="0" collapsed="false">
      <c r="D364" s="0" t="n">
        <f aca="false">MC_Shocks!A351</f>
        <v>-1.57639215698425</v>
      </c>
      <c r="E364" s="0" t="n">
        <f aca="false">MC_Shocks!B351</f>
        <v>1.4765403497259</v>
      </c>
      <c r="F364" s="0" t="n">
        <f aca="false">MC_Shocks!C351</f>
        <v>1.38009135414745</v>
      </c>
      <c r="G364" s="0" t="n">
        <f aca="false">$B$3*D364</f>
        <v>-0.0232213930634709</v>
      </c>
      <c r="H364" s="0" t="n">
        <f aca="false">$B$4*D364+$C$4*E364</f>
        <v>0.00194148152122594</v>
      </c>
      <c r="I364" s="0" t="n">
        <f aca="false">$B$5*D364+$C$5*E364+$D$5*F364</f>
        <v>0.000911843415494541</v>
      </c>
      <c r="J364" s="0" t="n">
        <f aca="false">SUMPRODUCT(G364:I364,Inputs!$B$4:$D$4)*Inputs!$B$2</f>
        <v>-8432.55974437223</v>
      </c>
    </row>
    <row r="365" customFormat="false" ht="15" hidden="false" customHeight="false" outlineLevel="0" collapsed="false">
      <c r="D365" s="0" t="n">
        <f aca="false">MC_Shocks!A352</f>
        <v>-0.625562701509529</v>
      </c>
      <c r="E365" s="0" t="n">
        <f aca="false">MC_Shocks!B352</f>
        <v>0.395803533437409</v>
      </c>
      <c r="F365" s="0" t="n">
        <f aca="false">MC_Shocks!C352</f>
        <v>0.494030186282739</v>
      </c>
      <c r="G365" s="0" t="n">
        <f aca="false">$B$3*D365</f>
        <v>-0.00921498962884315</v>
      </c>
      <c r="H365" s="0" t="n">
        <f aca="false">$B$4*D365+$C$4*E365</f>
        <v>-0.00161024445867251</v>
      </c>
      <c r="I365" s="0" t="n">
        <f aca="false">$B$5*D365+$C$5*E365+$D$5*F365</f>
        <v>-0.000819719534572261</v>
      </c>
      <c r="J365" s="0" t="n">
        <f aca="false">SUMPRODUCT(G365:I365,Inputs!$B$4:$D$4)*Inputs!$B$2</f>
        <v>-4414.98504951069</v>
      </c>
    </row>
    <row r="366" customFormat="false" ht="15" hidden="false" customHeight="false" outlineLevel="0" collapsed="false">
      <c r="D366" s="0" t="n">
        <f aca="false">MC_Shocks!A353</f>
        <v>0.260673765823907</v>
      </c>
      <c r="E366" s="0" t="n">
        <f aca="false">MC_Shocks!B353</f>
        <v>-0.55030515384542</v>
      </c>
      <c r="F366" s="0" t="n">
        <f aca="false">MC_Shocks!C353</f>
        <v>-0.671623367938052</v>
      </c>
      <c r="G366" s="0" t="n">
        <f aca="false">$B$3*D366</f>
        <v>0.00383991251841315</v>
      </c>
      <c r="H366" s="0" t="n">
        <f aca="false">$B$4*D366+$C$4*E366</f>
        <v>-0.00415427545878706</v>
      </c>
      <c r="I366" s="0" t="n">
        <f aca="false">$B$5*D366+$C$5*E366+$D$5*F366</f>
        <v>-0.0051811236440068</v>
      </c>
      <c r="J366" s="0" t="n">
        <f aca="false">SUMPRODUCT(G366:I366,Inputs!$B$4:$D$4)*Inputs!$B$2</f>
        <v>-1264.6547234729</v>
      </c>
    </row>
    <row r="367" customFormat="false" ht="15" hidden="false" customHeight="false" outlineLevel="0" collapsed="false">
      <c r="D367" s="0" t="n">
        <f aca="false">MC_Shocks!A354</f>
        <v>-0.0255540709914453</v>
      </c>
      <c r="E367" s="0" t="n">
        <f aca="false">MC_Shocks!B354</f>
        <v>1.17272901925937</v>
      </c>
      <c r="F367" s="0" t="n">
        <f aca="false">MC_Shocks!C354</f>
        <v>0.543600154594432</v>
      </c>
      <c r="G367" s="0" t="n">
        <f aca="false">$B$3*D367</f>
        <v>-0.000376429890389337</v>
      </c>
      <c r="H367" s="0" t="n">
        <f aca="false">$B$4*D367+$C$4*E367</f>
        <v>0.0144155690245582</v>
      </c>
      <c r="I367" s="0" t="n">
        <f aca="false">$B$5*D367+$C$5*E367+$D$5*F367</f>
        <v>0.00888107511414854</v>
      </c>
      <c r="J367" s="0" t="n">
        <f aca="false">SUMPRODUCT(G367:I367,Inputs!$B$4:$D$4)*Inputs!$B$2</f>
        <v>6838.42128545628</v>
      </c>
    </row>
    <row r="368" customFormat="false" ht="15" hidden="false" customHeight="false" outlineLevel="0" collapsed="false">
      <c r="D368" s="0" t="n">
        <f aca="false">MC_Shocks!A355</f>
        <v>-0.370614332086106</v>
      </c>
      <c r="E368" s="0" t="n">
        <f aca="false">MC_Shocks!B355</f>
        <v>0.771698710648345</v>
      </c>
      <c r="F368" s="0" t="n">
        <f aca="false">MC_Shocks!C355</f>
        <v>-2.84854262063008</v>
      </c>
      <c r="G368" s="0" t="n">
        <f aca="false">$B$3*D368</f>
        <v>-0.00545941632746477</v>
      </c>
      <c r="H368" s="0" t="n">
        <f aca="false">$B$4*D368+$C$4*E368</f>
        <v>0.00577238072219844</v>
      </c>
      <c r="I368" s="0" t="n">
        <f aca="false">$B$5*D368+$C$5*E368+$D$5*F368</f>
        <v>-0.0259926330587485</v>
      </c>
      <c r="J368" s="0" t="n">
        <f aca="false">SUMPRODUCT(G368:I368,Inputs!$B$4:$D$4)*Inputs!$B$2</f>
        <v>-8249.84223195093</v>
      </c>
    </row>
    <row r="369" customFormat="false" ht="15" hidden="false" customHeight="false" outlineLevel="0" collapsed="false">
      <c r="D369" s="0" t="n">
        <f aca="false">MC_Shocks!A356</f>
        <v>1.1487657003721</v>
      </c>
      <c r="E369" s="0" t="n">
        <f aca="false">MC_Shocks!B356</f>
        <v>-1.7397137787781</v>
      </c>
      <c r="F369" s="0" t="n">
        <f aca="false">MC_Shocks!C356</f>
        <v>-0.362440941403132</v>
      </c>
      <c r="G369" s="0" t="n">
        <f aca="false">$B$3*D369</f>
        <v>0.0169221470355493</v>
      </c>
      <c r="H369" s="0" t="n">
        <f aca="false">$B$4*D369+$C$4*E369</f>
        <v>-0.00972520039694817</v>
      </c>
      <c r="I369" s="0" t="n">
        <f aca="false">$B$5*D369+$C$5*E369+$D$5*F369</f>
        <v>0.00248629581661566</v>
      </c>
      <c r="J369" s="0" t="n">
        <f aca="false">SUMPRODUCT(G369:I369,Inputs!$B$4:$D$4)*Inputs!$B$2</f>
        <v>4597.18744011995</v>
      </c>
    </row>
    <row r="370" customFormat="false" ht="15" hidden="false" customHeight="false" outlineLevel="0" collapsed="false">
      <c r="D370" s="0" t="n">
        <f aca="false">MC_Shocks!A357</f>
        <v>-1.11966989462614</v>
      </c>
      <c r="E370" s="0" t="n">
        <f aca="false">MC_Shocks!B357</f>
        <v>-1.29468147572091</v>
      </c>
      <c r="F370" s="0" t="n">
        <f aca="false">MC_Shocks!C357</f>
        <v>1.16082678737852</v>
      </c>
      <c r="G370" s="0" t="n">
        <f aca="false">$B$3*D370</f>
        <v>-0.0164935448386074</v>
      </c>
      <c r="H370" s="0" t="n">
        <f aca="false">$B$4*D370+$C$4*E370</f>
        <v>-0.0279632007260061</v>
      </c>
      <c r="I370" s="0" t="n">
        <f aca="false">$B$5*D370+$C$5*E370+$D$5*F370</f>
        <v>-0.00654241802107405</v>
      </c>
      <c r="J370" s="0" t="n">
        <f aca="false">SUMPRODUCT(G370:I370,Inputs!$B$4:$D$4)*Inputs!$B$2</f>
        <v>-16949.103559567</v>
      </c>
    </row>
    <row r="371" customFormat="false" ht="15" hidden="false" customHeight="false" outlineLevel="0" collapsed="false">
      <c r="D371" s="0" t="n">
        <f aca="false">MC_Shocks!A358</f>
        <v>-0.467701201311891</v>
      </c>
      <c r="E371" s="0" t="n">
        <f aca="false">MC_Shocks!B358</f>
        <v>0.346503881730716</v>
      </c>
      <c r="F371" s="0" t="n">
        <f aca="false">MC_Shocks!C358</f>
        <v>-0.0469205788791841</v>
      </c>
      <c r="G371" s="0" t="n">
        <f aca="false">$B$3*D371</f>
        <v>-0.00688957591155378</v>
      </c>
      <c r="H371" s="0" t="n">
        <f aca="false">$B$4*D371+$C$4*E371</f>
        <v>-0.000570559744497791</v>
      </c>
      <c r="I371" s="0" t="n">
        <f aca="false">$B$5*D371+$C$5*E371+$D$5*F371</f>
        <v>-0.00407024230678049</v>
      </c>
      <c r="J371" s="0" t="n">
        <f aca="false">SUMPRODUCT(G371:I371,Inputs!$B$4:$D$4)*Inputs!$B$2</f>
        <v>-4148.070980005</v>
      </c>
    </row>
    <row r="372" customFormat="false" ht="15" hidden="false" customHeight="false" outlineLevel="0" collapsed="false">
      <c r="D372" s="0" t="n">
        <f aca="false">MC_Shocks!A359</f>
        <v>0.477040827223122</v>
      </c>
      <c r="E372" s="0" t="n">
        <f aca="false">MC_Shocks!B359</f>
        <v>0.0768218910602554</v>
      </c>
      <c r="F372" s="0" t="n">
        <f aca="false">MC_Shocks!C359</f>
        <v>-1.28299222418857</v>
      </c>
      <c r="G372" s="0" t="n">
        <f aca="false">$B$3*D372</f>
        <v>0.00702715533516964</v>
      </c>
      <c r="H372" s="0" t="n">
        <f aca="false">$B$4*D372+$C$4*E372</f>
        <v>0.00596907282498166</v>
      </c>
      <c r="I372" s="0" t="n">
        <f aca="false">$B$5*D372+$C$5*E372+$D$5*F372</f>
        <v>-0.0058965056284832</v>
      </c>
      <c r="J372" s="0" t="n">
        <f aca="false">SUMPRODUCT(G372:I372,Inputs!$B$4:$D$4)*Inputs!$B$2</f>
        <v>2832.63229301739</v>
      </c>
    </row>
    <row r="373" customFormat="false" ht="15" hidden="false" customHeight="false" outlineLevel="0" collapsed="false">
      <c r="D373" s="0" t="n">
        <f aca="false">MC_Shocks!A360</f>
        <v>0.99626681944714</v>
      </c>
      <c r="E373" s="0" t="n">
        <f aca="false">MC_Shocks!B360</f>
        <v>-0.493756583161313</v>
      </c>
      <c r="F373" s="0" t="n">
        <f aca="false">MC_Shocks!C360</f>
        <v>-1.55658189865975</v>
      </c>
      <c r="G373" s="0" t="n">
        <f aca="false">$B$3*D373</f>
        <v>0.0146757285666369</v>
      </c>
      <c r="H373" s="0" t="n">
        <f aca="false">$B$4*D373+$C$4*E373</f>
        <v>0.00427480613062576</v>
      </c>
      <c r="I373" s="0" t="n">
        <f aca="false">$B$5*D373+$C$5*E373+$D$5*F373</f>
        <v>-0.00492676005770797</v>
      </c>
      <c r="J373" s="0" t="n">
        <f aca="false">SUMPRODUCT(G373:I373,Inputs!$B$4:$D$4)*Inputs!$B$2</f>
        <v>5674.70524853009</v>
      </c>
    </row>
    <row r="374" customFormat="false" ht="15" hidden="false" customHeight="false" outlineLevel="0" collapsed="false">
      <c r="D374" s="0" t="n">
        <f aca="false">MC_Shocks!A361</f>
        <v>-0.428115160965913</v>
      </c>
      <c r="E374" s="0" t="n">
        <f aca="false">MC_Shocks!B361</f>
        <v>1.50075979063431</v>
      </c>
      <c r="F374" s="0" t="n">
        <f aca="false">MC_Shocks!C361</f>
        <v>0.850221742113493</v>
      </c>
      <c r="G374" s="0" t="n">
        <f aca="false">$B$3*D374</f>
        <v>-0.00630644499541235</v>
      </c>
      <c r="H374" s="0" t="n">
        <f aca="false">$B$4*D374+$C$4*E374</f>
        <v>0.0142974393466075</v>
      </c>
      <c r="I374" s="0" t="n">
        <f aca="false">$B$5*D374+$C$5*E374+$D$5*F374</f>
        <v>0.00852908537697552</v>
      </c>
      <c r="J374" s="0" t="n">
        <f aca="false">SUMPRODUCT(G374:I374,Inputs!$B$4:$D$4)*Inputs!$B$2</f>
        <v>4325.37941890996</v>
      </c>
    </row>
    <row r="375" customFormat="false" ht="15" hidden="false" customHeight="false" outlineLevel="0" collapsed="false">
      <c r="D375" s="0" t="n">
        <f aca="false">MC_Shocks!A362</f>
        <v>-0.348652134407859</v>
      </c>
      <c r="E375" s="0" t="n">
        <f aca="false">MC_Shocks!B362</f>
        <v>-0.349257704318429</v>
      </c>
      <c r="F375" s="0" t="n">
        <f aca="false">MC_Shocks!C362</f>
        <v>-0.321635051217383</v>
      </c>
      <c r="G375" s="0" t="n">
        <f aca="false">$B$3*D375</f>
        <v>-0.00513589732074764</v>
      </c>
      <c r="H375" s="0" t="n">
        <f aca="false">$B$4*D375+$C$4*E375</f>
        <v>-0.00803264269786517</v>
      </c>
      <c r="I375" s="0" t="n">
        <f aca="false">$B$5*D375+$C$5*E375+$D$5*F375</f>
        <v>-0.00781963991734221</v>
      </c>
      <c r="J375" s="0" t="n">
        <f aca="false">SUMPRODUCT(G375:I375,Inputs!$B$4:$D$4)*Inputs!$B$2</f>
        <v>-6810.04371286127</v>
      </c>
    </row>
    <row r="376" customFormat="false" ht="15" hidden="false" customHeight="false" outlineLevel="0" collapsed="false">
      <c r="D376" s="0" t="n">
        <f aca="false">MC_Shocks!A363</f>
        <v>2.07674798356084</v>
      </c>
      <c r="E376" s="0" t="n">
        <f aca="false">MC_Shocks!B363</f>
        <v>0.381935452231553</v>
      </c>
      <c r="F376" s="0" t="n">
        <f aca="false">MC_Shocks!C363</f>
        <v>0.43004164719107</v>
      </c>
      <c r="G376" s="0" t="n">
        <f aca="false">$B$3*D376</f>
        <v>0.0305919951494144</v>
      </c>
      <c r="H376" s="0" t="n">
        <f aca="false">$B$4*D376+$C$4*E376</f>
        <v>0.0265804828580317</v>
      </c>
      <c r="I376" s="0" t="n">
        <f aca="false">$B$5*D376+$C$5*E376+$D$5*F376</f>
        <v>0.0272043601214933</v>
      </c>
      <c r="J376" s="0" t="n">
        <f aca="false">SUMPRODUCT(G376:I376,Inputs!$B$4:$D$4)*Inputs!$B$2</f>
        <v>28372.2509536232</v>
      </c>
    </row>
    <row r="377" customFormat="false" ht="15" hidden="false" customHeight="false" outlineLevel="0" collapsed="false">
      <c r="D377" s="0" t="n">
        <f aca="false">MC_Shocks!A364</f>
        <v>1.03028345403184</v>
      </c>
      <c r="E377" s="0" t="n">
        <f aca="false">MC_Shocks!B364</f>
        <v>0.238789159026514</v>
      </c>
      <c r="F377" s="0" t="n">
        <f aca="false">MC_Shocks!C364</f>
        <v>-0.259042145820703</v>
      </c>
      <c r="G377" s="0" t="n">
        <f aca="false">$B$3*D377</f>
        <v>0.0151768181203295</v>
      </c>
      <c r="H377" s="0" t="n">
        <f aca="false">$B$4*D377+$C$4*E377</f>
        <v>0.0138040947285864</v>
      </c>
      <c r="I377" s="0" t="n">
        <f aca="false">$B$5*D377+$C$5*E377+$D$5*F377</f>
        <v>0.00954255402363013</v>
      </c>
      <c r="J377" s="0" t="n">
        <f aca="false">SUMPRODUCT(G377:I377,Inputs!$B$4:$D$4)*Inputs!$B$2</f>
        <v>13074.7218737968</v>
      </c>
    </row>
    <row r="378" customFormat="false" ht="15" hidden="false" customHeight="false" outlineLevel="0" collapsed="false">
      <c r="D378" s="0" t="n">
        <f aca="false">MC_Shocks!A365</f>
        <v>-0.196349849084978</v>
      </c>
      <c r="E378" s="0" t="n">
        <f aca="false">MC_Shocks!B365</f>
        <v>-0.071601259414064</v>
      </c>
      <c r="F378" s="0" t="n">
        <f aca="false">MC_Shocks!C365</f>
        <v>-0.0372222365098416</v>
      </c>
      <c r="G378" s="0" t="n">
        <f aca="false">$B$3*D378</f>
        <v>-0.00289237484680092</v>
      </c>
      <c r="H378" s="0" t="n">
        <f aca="false">$B$4*D378+$C$4*E378</f>
        <v>-0.00295747727850361</v>
      </c>
      <c r="I378" s="0" t="n">
        <f aca="false">$B$5*D378+$C$5*E378+$D$5*F378</f>
        <v>-0.00267482719794652</v>
      </c>
      <c r="J378" s="0" t="n">
        <f aca="false">SUMPRODUCT(G378:I378,Inputs!$B$4:$D$4)*Inputs!$B$2</f>
        <v>-2846.6412816554</v>
      </c>
    </row>
    <row r="379" customFormat="false" ht="15" hidden="false" customHeight="false" outlineLevel="0" collapsed="false">
      <c r="D379" s="0" t="n">
        <f aca="false">MC_Shocks!A366</f>
        <v>0.72762954363698</v>
      </c>
      <c r="E379" s="0" t="n">
        <f aca="false">MC_Shocks!B366</f>
        <v>0.0519458858072994</v>
      </c>
      <c r="F379" s="0" t="n">
        <f aca="false">MC_Shocks!C366</f>
        <v>0.732640077215579</v>
      </c>
      <c r="G379" s="0" t="n">
        <f aca="false">$B$3*D379</f>
        <v>0.0107185078043731</v>
      </c>
      <c r="H379" s="0" t="n">
        <f aca="false">$B$4*D379+$C$4*E379</f>
        <v>0.00828786345950818</v>
      </c>
      <c r="I379" s="0" t="n">
        <f aca="false">$B$5*D379+$C$5*E379+$D$5*F379</f>
        <v>0.0143232701489541</v>
      </c>
      <c r="J379" s="0" t="n">
        <f aca="false">SUMPRODUCT(G379:I379,Inputs!$B$4:$D$4)*Inputs!$B$2</f>
        <v>11070.743204288</v>
      </c>
    </row>
    <row r="380" customFormat="false" ht="15" hidden="false" customHeight="false" outlineLevel="0" collapsed="false">
      <c r="D380" s="0" t="n">
        <f aca="false">MC_Shocks!A367</f>
        <v>-0.0807165801085823</v>
      </c>
      <c r="E380" s="0" t="n">
        <f aca="false">MC_Shocks!B367</f>
        <v>0.0786351903160906</v>
      </c>
      <c r="F380" s="0" t="n">
        <f aca="false">MC_Shocks!C367</f>
        <v>-1.99820068453211</v>
      </c>
      <c r="G380" s="0" t="n">
        <f aca="false">$B$3*D380</f>
        <v>-0.00118901342228592</v>
      </c>
      <c r="H380" s="0" t="n">
        <f aca="false">$B$4*D380+$C$4*E380</f>
        <v>0.000137366161369596</v>
      </c>
      <c r="I380" s="0" t="n">
        <f aca="false">$B$5*D380+$C$5*E380+$D$5*F380</f>
        <v>-0.0180656919991365</v>
      </c>
      <c r="J380" s="0" t="n">
        <f aca="false">SUMPRODUCT(G380:I380,Inputs!$B$4:$D$4)*Inputs!$B$2</f>
        <v>-5854.10312024443</v>
      </c>
    </row>
    <row r="381" customFormat="false" ht="15" hidden="false" customHeight="false" outlineLevel="0" collapsed="false">
      <c r="D381" s="0" t="n">
        <f aca="false">MC_Shocks!A368</f>
        <v>0.916327674702481</v>
      </c>
      <c r="E381" s="0" t="n">
        <f aca="false">MC_Shocks!B368</f>
        <v>0.346488475897993</v>
      </c>
      <c r="F381" s="0" t="n">
        <f aca="false">MC_Shocks!C368</f>
        <v>0.998010109859652</v>
      </c>
      <c r="G381" s="0" t="n">
        <f aca="false">$B$3*D381</f>
        <v>0.0134981673277985</v>
      </c>
      <c r="H381" s="0" t="n">
        <f aca="false">$B$4*D381+$C$4*E381</f>
        <v>0.0139564842191313</v>
      </c>
      <c r="I381" s="0" t="n">
        <f aca="false">$B$5*D381+$C$5*E381+$D$5*F381</f>
        <v>0.0197501617692548</v>
      </c>
      <c r="J381" s="0" t="n">
        <f aca="false">SUMPRODUCT(G381:I381,Inputs!$B$4:$D$4)*Inputs!$B$2</f>
        <v>15511.2607276352</v>
      </c>
    </row>
    <row r="382" customFormat="false" ht="15" hidden="false" customHeight="false" outlineLevel="0" collapsed="false">
      <c r="D382" s="0" t="n">
        <f aca="false">MC_Shocks!A369</f>
        <v>-2.89625537819369</v>
      </c>
      <c r="E382" s="0" t="n">
        <f aca="false">MC_Shocks!B369</f>
        <v>2.08837470478073</v>
      </c>
      <c r="F382" s="0" t="n">
        <f aca="false">MC_Shocks!C369</f>
        <v>-0.139589628155174</v>
      </c>
      <c r="G382" s="0" t="n">
        <f aca="false">$B$3*D382</f>
        <v>-0.0426639299436069</v>
      </c>
      <c r="H382" s="0" t="n">
        <f aca="false">$B$4*D382+$C$4*E382</f>
        <v>-0.00425144514386083</v>
      </c>
      <c r="I382" s="0" t="n">
        <f aca="false">$B$5*D382+$C$5*E382+$D$5*F382</f>
        <v>-0.024097322738178</v>
      </c>
      <c r="J382" s="0" t="n">
        <f aca="false">SUMPRODUCT(G382:I382,Inputs!$B$4:$D$4)*Inputs!$B$2</f>
        <v>-25570.2023420544</v>
      </c>
    </row>
    <row r="383" customFormat="false" ht="15" hidden="false" customHeight="false" outlineLevel="0" collapsed="false">
      <c r="D383" s="0" t="n">
        <f aca="false">MC_Shocks!A370</f>
        <v>1.10818281673752</v>
      </c>
      <c r="E383" s="0" t="n">
        <f aca="false">MC_Shocks!B370</f>
        <v>-1.03990592712553</v>
      </c>
      <c r="F383" s="0" t="n">
        <f aca="false">MC_Shocks!C370</f>
        <v>0.61277390506257</v>
      </c>
      <c r="G383" s="0" t="n">
        <f aca="false">$B$3*D383</f>
        <v>0.0163243318990348</v>
      </c>
      <c r="H383" s="0" t="n">
        <f aca="false">$B$4*D383+$C$4*E383</f>
        <v>-0.00138884627526928</v>
      </c>
      <c r="I383" s="0" t="n">
        <f aca="false">$B$5*D383+$C$5*E383+$D$5*F383</f>
        <v>0.0132188901921138</v>
      </c>
      <c r="J383" s="0" t="n">
        <f aca="false">SUMPRODUCT(G383:I383,Inputs!$B$4:$D$4)*Inputs!$B$2</f>
        <v>10078.7459346673</v>
      </c>
    </row>
    <row r="384" customFormat="false" ht="15" hidden="false" customHeight="false" outlineLevel="0" collapsed="false">
      <c r="D384" s="0" t="n">
        <f aca="false">MC_Shocks!A371</f>
        <v>-1.05341556317366</v>
      </c>
      <c r="E384" s="0" t="n">
        <f aca="false">MC_Shocks!B371</f>
        <v>-0.623768960695805</v>
      </c>
      <c r="F384" s="0" t="n">
        <f aca="false">MC_Shocks!C371</f>
        <v>1.91403135386679</v>
      </c>
      <c r="G384" s="0" t="n">
        <f aca="false">$B$3*D384</f>
        <v>-0.0155175707664203</v>
      </c>
      <c r="H384" s="0" t="n">
        <f aca="false">$B$4*D384+$C$4*E384</f>
        <v>-0.0188672467514035</v>
      </c>
      <c r="I384" s="0" t="n">
        <f aca="false">$B$5*D384+$C$5*E384+$D$5*F384</f>
        <v>0.00326931455408763</v>
      </c>
      <c r="J384" s="0" t="n">
        <f aca="false">SUMPRODUCT(G384:I384,Inputs!$B$4:$D$4)*Inputs!$B$2</f>
        <v>-10886.4079657629</v>
      </c>
    </row>
    <row r="385" customFormat="false" ht="15" hidden="false" customHeight="false" outlineLevel="0" collapsed="false">
      <c r="D385" s="0" t="n">
        <f aca="false">MC_Shocks!A372</f>
        <v>-0.190682400763347</v>
      </c>
      <c r="E385" s="0" t="n">
        <f aca="false">MC_Shocks!B372</f>
        <v>0.217432873179723</v>
      </c>
      <c r="F385" s="0" t="n">
        <f aca="false">MC_Shocks!C372</f>
        <v>0.870067730688754</v>
      </c>
      <c r="G385" s="0" t="n">
        <f aca="false">$B$3*D385</f>
        <v>-0.00280888924674865</v>
      </c>
      <c r="H385" s="0" t="n">
        <f aca="false">$B$4*D385+$C$4*E385</f>
        <v>0.000721019663207333</v>
      </c>
      <c r="I385" s="0" t="n">
        <f aca="false">$B$5*D385+$C$5*E385+$D$5*F385</f>
        <v>0.00641522009275977</v>
      </c>
      <c r="J385" s="0" t="n">
        <f aca="false">SUMPRODUCT(G385:I385,Inputs!$B$4:$D$4)*Inputs!$B$2</f>
        <v>1017.31622809067</v>
      </c>
    </row>
    <row r="386" customFormat="false" ht="15" hidden="false" customHeight="false" outlineLevel="0" collapsed="false">
      <c r="D386" s="0" t="n">
        <f aca="false">MC_Shocks!A373</f>
        <v>0.495681887972605</v>
      </c>
      <c r="E386" s="0" t="n">
        <f aca="false">MC_Shocks!B373</f>
        <v>0.150418905143576</v>
      </c>
      <c r="F386" s="0" t="n">
        <f aca="false">MC_Shocks!C373</f>
        <v>0.364961002466225</v>
      </c>
      <c r="G386" s="0" t="n">
        <f aca="false">$B$3*D386</f>
        <v>0.00730175160036034</v>
      </c>
      <c r="H386" s="0" t="n">
        <f aca="false">$B$4*D386+$C$4*E386</f>
        <v>0.00708624727649368</v>
      </c>
      <c r="I386" s="0" t="n">
        <f aca="false">$B$5*D386+$C$5*E386+$D$5*F386</f>
        <v>0.00901296515890582</v>
      </c>
      <c r="J386" s="0" t="n">
        <f aca="false">SUMPRODUCT(G386:I386,Inputs!$B$4:$D$4)*Inputs!$B$2</f>
        <v>7750.46437076399</v>
      </c>
    </row>
    <row r="387" customFormat="false" ht="15" hidden="false" customHeight="false" outlineLevel="0" collapsed="false">
      <c r="D387" s="0" t="n">
        <f aca="false">MC_Shocks!A374</f>
        <v>2.40341558523828</v>
      </c>
      <c r="E387" s="0" t="n">
        <f aca="false">MC_Shocks!B374</f>
        <v>-0.0576187970335854</v>
      </c>
      <c r="F387" s="0" t="n">
        <f aca="false">MC_Shocks!C374</f>
        <v>0.201099046714968</v>
      </c>
      <c r="G387" s="0" t="n">
        <f aca="false">$B$3*D387</f>
        <v>0.0354040444520225</v>
      </c>
      <c r="H387" s="0" t="n">
        <f aca="false">$B$4*D387+$C$4*E387</f>
        <v>0.0245056181987577</v>
      </c>
      <c r="I387" s="0" t="n">
        <f aca="false">$B$5*D387+$C$5*E387+$D$5*F387</f>
        <v>0.0270151274761065</v>
      </c>
      <c r="J387" s="0" t="n">
        <f aca="false">SUMPRODUCT(G387:I387,Inputs!$B$4:$D$4)*Inputs!$B$2</f>
        <v>29617.8414832683</v>
      </c>
    </row>
    <row r="388" customFormat="false" ht="15" hidden="false" customHeight="false" outlineLevel="0" collapsed="false">
      <c r="D388" s="0" t="n">
        <f aca="false">MC_Shocks!A375</f>
        <v>1.05065439600761</v>
      </c>
      <c r="E388" s="0" t="n">
        <f aca="false">MC_Shocks!B375</f>
        <v>1.10552593295798</v>
      </c>
      <c r="F388" s="0" t="n">
        <f aca="false">MC_Shocks!C375</f>
        <v>1.18703030556038</v>
      </c>
      <c r="G388" s="0" t="n">
        <f aca="false">$B$3*D388</f>
        <v>0.0154768967832414</v>
      </c>
      <c r="H388" s="0" t="n">
        <f aca="false">$B$4*D388+$C$4*E388</f>
        <v>0.0248703654985377</v>
      </c>
      <c r="I388" s="0" t="n">
        <f aca="false">$B$5*D388+$C$5*E388+$D$5*F388</f>
        <v>0.0256707536967026</v>
      </c>
      <c r="J388" s="0" t="n">
        <f aca="false">SUMPRODUCT(G388:I388,Inputs!$B$4:$D$4)*Inputs!$B$2</f>
        <v>21353.0944718686</v>
      </c>
    </row>
    <row r="389" customFormat="false" ht="15" hidden="false" customHeight="false" outlineLevel="0" collapsed="false">
      <c r="D389" s="0" t="n">
        <f aca="false">MC_Shocks!A376</f>
        <v>0.638730222029185</v>
      </c>
      <c r="E389" s="0" t="n">
        <f aca="false">MC_Shocks!B376</f>
        <v>-1.14300491273048</v>
      </c>
      <c r="F389" s="0" t="n">
        <f aca="false">MC_Shocks!C376</f>
        <v>1.6334315323011</v>
      </c>
      <c r="G389" s="0" t="n">
        <f aca="false">$B$3*D389</f>
        <v>0.0094089566999831</v>
      </c>
      <c r="H389" s="0" t="n">
        <f aca="false">$B$4*D389+$C$4*E389</f>
        <v>-0.00760728712844428</v>
      </c>
      <c r="I389" s="0" t="n">
        <f aca="false">$B$5*D389+$C$5*E389+$D$5*F389</f>
        <v>0.0167993374141654</v>
      </c>
      <c r="J389" s="0" t="n">
        <f aca="false">SUMPRODUCT(G389:I389,Inputs!$B$4:$D$4)*Inputs!$B$2</f>
        <v>6521.19776570957</v>
      </c>
    </row>
    <row r="390" customFormat="false" ht="15" hidden="false" customHeight="false" outlineLevel="0" collapsed="false">
      <c r="D390" s="0" t="n">
        <f aca="false">MC_Shocks!A377</f>
        <v>-1.14634539301869</v>
      </c>
      <c r="E390" s="0" t="n">
        <f aca="false">MC_Shocks!B377</f>
        <v>0.302635465239033</v>
      </c>
      <c r="F390" s="0" t="n">
        <f aca="false">MC_Shocks!C377</f>
        <v>-0.754275850019358</v>
      </c>
      <c r="G390" s="0" t="n">
        <f aca="false">$B$3*D390</f>
        <v>-0.0168864941631729</v>
      </c>
      <c r="H390" s="0" t="n">
        <f aca="false">$B$4*D390+$C$4*E390</f>
        <v>-0.00824311796357514</v>
      </c>
      <c r="I390" s="0" t="n">
        <f aca="false">$B$5*D390+$C$5*E390+$D$5*F390</f>
        <v>-0.0176226752870388</v>
      </c>
      <c r="J390" s="0" t="n">
        <f aca="false">SUMPRODUCT(G390:I390,Inputs!$B$4:$D$4)*Inputs!$B$2</f>
        <v>-14514.3356404533</v>
      </c>
    </row>
    <row r="391" customFormat="false" ht="15" hidden="false" customHeight="false" outlineLevel="0" collapsed="false">
      <c r="D391" s="0" t="n">
        <f aca="false">MC_Shocks!A378</f>
        <v>-0.0641383465929925</v>
      </c>
      <c r="E391" s="0" t="n">
        <f aca="false">MC_Shocks!B378</f>
        <v>0.32876241030348</v>
      </c>
      <c r="F391" s="0" t="n">
        <f aca="false">MC_Shocks!C378</f>
        <v>0.321357215450273</v>
      </c>
      <c r="G391" s="0" t="n">
        <f aca="false">$B$3*D391</f>
        <v>-0.000944804089565065</v>
      </c>
      <c r="H391" s="0" t="n">
        <f aca="false">$B$4*D391+$C$4*E391</f>
        <v>0.00344323119092643</v>
      </c>
      <c r="I391" s="0" t="n">
        <f aca="false">$B$5*D391+$C$5*E391+$D$5*F391</f>
        <v>0.00336612207112561</v>
      </c>
      <c r="J391" s="0" t="n">
        <f aca="false">SUMPRODUCT(G391:I391,Inputs!$B$4:$D$4)*Inputs!$B$2</f>
        <v>1664.88434278959</v>
      </c>
    </row>
    <row r="392" customFormat="false" ht="15" hidden="false" customHeight="false" outlineLevel="0" collapsed="false">
      <c r="D392" s="0" t="n">
        <f aca="false">MC_Shocks!A379</f>
        <v>0.421920754235285</v>
      </c>
      <c r="E392" s="0" t="n">
        <f aca="false">MC_Shocks!B379</f>
        <v>1.61371126905865</v>
      </c>
      <c r="F392" s="0" t="n">
        <f aca="false">MC_Shocks!C379</f>
        <v>0.45353430151398</v>
      </c>
      <c r="G392" s="0" t="n">
        <f aca="false">$B$3*D392</f>
        <v>0.00621519691805442</v>
      </c>
      <c r="H392" s="0" t="n">
        <f aca="false">$B$4*D392+$C$4*E392</f>
        <v>0.0246339754216516</v>
      </c>
      <c r="I392" s="0" t="n">
        <f aca="false">$B$5*D392+$C$5*E392+$D$5*F392</f>
        <v>0.0144847005813661</v>
      </c>
      <c r="J392" s="0" t="n">
        <f aca="false">SUMPRODUCT(G392:I392,Inputs!$B$4:$D$4)*Inputs!$B$2</f>
        <v>14221.6815681271</v>
      </c>
    </row>
    <row r="393" customFormat="false" ht="15" hidden="false" customHeight="false" outlineLevel="0" collapsed="false">
      <c r="D393" s="0" t="n">
        <f aca="false">MC_Shocks!A380</f>
        <v>-0.244156635290649</v>
      </c>
      <c r="E393" s="0" t="n">
        <f aca="false">MC_Shocks!B380</f>
        <v>0.964087168288357</v>
      </c>
      <c r="F393" s="0" t="n">
        <f aca="false">MC_Shocks!C380</f>
        <v>1.18947048892464</v>
      </c>
      <c r="G393" s="0" t="n">
        <f aca="false">$B$3*D393</f>
        <v>-0.00359660327667776</v>
      </c>
      <c r="H393" s="0" t="n">
        <f aca="false">$B$4*D393+$C$4*E393</f>
        <v>0.00950862823299286</v>
      </c>
      <c r="I393" s="0" t="n">
        <f aca="false">$B$5*D393+$C$5*E393+$D$5*F393</f>
        <v>0.0114415014047645</v>
      </c>
      <c r="J393" s="0" t="n">
        <f aca="false">SUMPRODUCT(G393:I393,Inputs!$B$4:$D$4)*Inputs!$B$2</f>
        <v>4846.39758065611</v>
      </c>
    </row>
    <row r="394" customFormat="false" ht="15" hidden="false" customHeight="false" outlineLevel="0" collapsed="false">
      <c r="D394" s="0" t="n">
        <f aca="false">MC_Shocks!A381</f>
        <v>-1.22760781513699</v>
      </c>
      <c r="E394" s="0" t="n">
        <f aca="false">MC_Shocks!B381</f>
        <v>0.597400069849858</v>
      </c>
      <c r="F394" s="0" t="n">
        <f aca="false">MC_Shocks!C381</f>
        <v>0.701172742310898</v>
      </c>
      <c r="G394" s="0" t="n">
        <f aca="false">$B$3*D394</f>
        <v>-0.0180835482318184</v>
      </c>
      <c r="H394" s="0" t="n">
        <f aca="false">$B$4*D394+$C$4*E394</f>
        <v>-0.00540531494845812</v>
      </c>
      <c r="I394" s="0" t="n">
        <f aca="false">$B$5*D394+$C$5*E394+$D$5*F394</f>
        <v>-0.0046303863055077</v>
      </c>
      <c r="J394" s="0" t="n">
        <f aca="false">SUMPRODUCT(G394:I394,Inputs!$B$4:$D$4)*Inputs!$B$2</f>
        <v>-10244.1296689171</v>
      </c>
    </row>
    <row r="395" customFormat="false" ht="15" hidden="false" customHeight="false" outlineLevel="0" collapsed="false">
      <c r="D395" s="0" t="n">
        <f aca="false">MC_Shocks!A382</f>
        <v>-0.297563503359992</v>
      </c>
      <c r="E395" s="0" t="n">
        <f aca="false">MC_Shocks!B382</f>
        <v>1.37570681331162</v>
      </c>
      <c r="F395" s="0" t="n">
        <f aca="false">MC_Shocks!C382</f>
        <v>-0.150055587032527</v>
      </c>
      <c r="G395" s="0" t="n">
        <f aca="false">$B$3*D395</f>
        <v>-0.0043833249501094</v>
      </c>
      <c r="H395" s="0" t="n">
        <f aca="false">$B$4*D395+$C$4*E395</f>
        <v>0.0141019598581486</v>
      </c>
      <c r="I395" s="0" t="n">
        <f aca="false">$B$5*D395+$C$5*E395+$D$5*F395</f>
        <v>0.00068179183815986</v>
      </c>
      <c r="J395" s="0" t="n">
        <f aca="false">SUMPRODUCT(G395:I395,Inputs!$B$4:$D$4)*Inputs!$B$2</f>
        <v>2681.79552884878</v>
      </c>
    </row>
    <row r="396" customFormat="false" ht="15" hidden="false" customHeight="false" outlineLevel="0" collapsed="false">
      <c r="D396" s="0" t="n">
        <f aca="false">MC_Shocks!A383</f>
        <v>0.125576453471542</v>
      </c>
      <c r="E396" s="0" t="n">
        <f aca="false">MC_Shocks!B383</f>
        <v>-0.17307182428387</v>
      </c>
      <c r="F396" s="0" t="n">
        <f aca="false">MC_Shocks!C383</f>
        <v>0.0155790475814675</v>
      </c>
      <c r="G396" s="0" t="n">
        <f aca="false">$B$3*D396</f>
        <v>0.0018498317012424</v>
      </c>
      <c r="H396" s="0" t="n">
        <f aca="false">$B$4*D396+$C$4*E396</f>
        <v>-0.000848947079988437</v>
      </c>
      <c r="I396" s="0" t="n">
        <f aca="false">$B$5*D396+$C$5*E396+$D$5*F396</f>
        <v>0.000819366430449314</v>
      </c>
      <c r="J396" s="0" t="n">
        <f aca="false">SUMPRODUCT(G396:I396,Inputs!$B$4:$D$4)*Inputs!$B$2</f>
        <v>731.058485635224</v>
      </c>
    </row>
    <row r="397" customFormat="false" ht="15" hidden="false" customHeight="false" outlineLevel="0" collapsed="false">
      <c r="D397" s="0" t="n">
        <f aca="false">MC_Shocks!A384</f>
        <v>-1.0962750868952</v>
      </c>
      <c r="E397" s="0" t="n">
        <f aca="false">MC_Shocks!B384</f>
        <v>-1.44005088259429</v>
      </c>
      <c r="F397" s="0" t="n">
        <f aca="false">MC_Shocks!C384</f>
        <v>1.59450506322497</v>
      </c>
      <c r="G397" s="0" t="n">
        <f aca="false">$B$3*D397</f>
        <v>-0.016148922452891</v>
      </c>
      <c r="H397" s="0" t="n">
        <f aca="false">$B$4*D397+$C$4*E397</f>
        <v>-0.0295378178184359</v>
      </c>
      <c r="I397" s="0" t="n">
        <f aca="false">$B$5*D397+$C$5*E397+$D$5*F397</f>
        <v>-0.00303953682729509</v>
      </c>
      <c r="J397" s="0" t="n">
        <f aca="false">SUMPRODUCT(G397:I397,Inputs!$B$4:$D$4)*Inputs!$B$2</f>
        <v>-16232.7753748757</v>
      </c>
    </row>
    <row r="398" customFormat="false" ht="15" hidden="false" customHeight="false" outlineLevel="0" collapsed="false">
      <c r="D398" s="0" t="n">
        <f aca="false">MC_Shocks!A385</f>
        <v>-0.846961348318328</v>
      </c>
      <c r="E398" s="0" t="n">
        <f aca="false">MC_Shocks!B385</f>
        <v>-0.991392349456307</v>
      </c>
      <c r="F398" s="0" t="n">
        <f aca="false">MC_Shocks!C385</f>
        <v>-2.15339011360372</v>
      </c>
      <c r="G398" s="0" t="n">
        <f aca="false">$B$3*D398</f>
        <v>-0.0124763513264953</v>
      </c>
      <c r="H398" s="0" t="n">
        <f aca="false">$B$4*D398+$C$4*E398</f>
        <v>-0.0213032623564705</v>
      </c>
      <c r="I398" s="0" t="n">
        <f aca="false">$B$5*D398+$C$5*E398+$D$5*F398</f>
        <v>-0.0315505042080004</v>
      </c>
      <c r="J398" s="0" t="n">
        <f aca="false">SUMPRODUCT(G398:I398,Inputs!$B$4:$D$4)*Inputs!$B$2</f>
        <v>-20846.6704999394</v>
      </c>
    </row>
    <row r="399" customFormat="false" ht="15" hidden="false" customHeight="false" outlineLevel="0" collapsed="false">
      <c r="D399" s="0" t="n">
        <f aca="false">MC_Shocks!A386</f>
        <v>-0.638961747689502</v>
      </c>
      <c r="E399" s="0" t="n">
        <f aca="false">MC_Shocks!B386</f>
        <v>-1.3230897934075</v>
      </c>
      <c r="F399" s="0" t="n">
        <f aca="false">MC_Shocks!C386</f>
        <v>1.64201516013637</v>
      </c>
      <c r="G399" s="0" t="n">
        <f aca="false">$B$3*D399</f>
        <v>-0.0094123672398914</v>
      </c>
      <c r="H399" s="0" t="n">
        <f aca="false">$B$4*D399+$C$4*E399</f>
        <v>-0.0232732266838952</v>
      </c>
      <c r="I399" s="0" t="n">
        <f aca="false">$B$5*D399+$C$5*E399+$D$5*F399</f>
        <v>0.00266065281714162</v>
      </c>
      <c r="J399" s="0" t="n">
        <f aca="false">SUMPRODUCT(G399:I399,Inputs!$B$4:$D$4)*Inputs!$B$2</f>
        <v>-9948.71905598262</v>
      </c>
    </row>
    <row r="400" customFormat="false" ht="15" hidden="false" customHeight="false" outlineLevel="0" collapsed="false">
      <c r="D400" s="0" t="n">
        <f aca="false">MC_Shocks!A387</f>
        <v>1.00981708934263</v>
      </c>
      <c r="E400" s="0" t="n">
        <f aca="false">MC_Shocks!B387</f>
        <v>-0.688150345177724</v>
      </c>
      <c r="F400" s="0" t="n">
        <f aca="false">MC_Shocks!C387</f>
        <v>2.25243580534431</v>
      </c>
      <c r="G400" s="0" t="n">
        <f aca="false">$B$3*D400</f>
        <v>0.0148753338120482</v>
      </c>
      <c r="H400" s="0" t="n">
        <f aca="false">$B$4*D400+$C$4*E400</f>
        <v>0.00198302125381227</v>
      </c>
      <c r="I400" s="0" t="n">
        <f aca="false">$B$5*D400+$C$5*E400+$D$5*F400</f>
        <v>0.0278570154895757</v>
      </c>
      <c r="J400" s="0" t="n">
        <f aca="false">SUMPRODUCT(G400:I400,Inputs!$B$4:$D$4)*Inputs!$B$2</f>
        <v>14902.1445478357</v>
      </c>
    </row>
    <row r="401" customFormat="false" ht="15" hidden="false" customHeight="false" outlineLevel="0" collapsed="false">
      <c r="D401" s="0" t="n">
        <f aca="false">MC_Shocks!A388</f>
        <v>0.981765486991594</v>
      </c>
      <c r="E401" s="0" t="n">
        <f aca="false">MC_Shocks!B388</f>
        <v>-0.324831383508623</v>
      </c>
      <c r="F401" s="0" t="n">
        <f aca="false">MC_Shocks!C388</f>
        <v>-2.49940571487357</v>
      </c>
      <c r="G401" s="0" t="n">
        <f aca="false">$B$3*D401</f>
        <v>0.0144621134839924</v>
      </c>
      <c r="H401" s="0" t="n">
        <f aca="false">$B$4*D401+$C$4*E401</f>
        <v>0.00623771530776562</v>
      </c>
      <c r="I401" s="0" t="n">
        <f aca="false">$B$5*D401+$C$5*E401+$D$5*F401</f>
        <v>-0.0127074501484388</v>
      </c>
      <c r="J401" s="0" t="n">
        <f aca="false">SUMPRODUCT(G401:I401,Inputs!$B$4:$D$4)*Inputs!$B$2</f>
        <v>3843.924941395</v>
      </c>
    </row>
    <row r="402" customFormat="false" ht="15" hidden="false" customHeight="false" outlineLevel="0" collapsed="false">
      <c r="D402" s="0" t="n">
        <f aca="false">MC_Shocks!A389</f>
        <v>2.29094257259074</v>
      </c>
      <c r="E402" s="0" t="n">
        <f aca="false">MC_Shocks!B389</f>
        <v>-1.3895724667636</v>
      </c>
      <c r="F402" s="0" t="n">
        <f aca="false">MC_Shocks!C389</f>
        <v>-1.64539874695689</v>
      </c>
      <c r="G402" s="0" t="n">
        <f aca="false">$B$3*D402</f>
        <v>0.0337472358818013</v>
      </c>
      <c r="H402" s="0" t="n">
        <f aca="false">$B$4*D402+$C$4*E402</f>
        <v>0.00664761098549981</v>
      </c>
      <c r="I402" s="0" t="n">
        <f aca="false">$B$5*D402+$C$5*E402+$D$5*F402</f>
        <v>0.00466167955233697</v>
      </c>
      <c r="J402" s="0" t="n">
        <f aca="false">SUMPRODUCT(G402:I402,Inputs!$B$4:$D$4)*Inputs!$B$2</f>
        <v>16891.6815140715</v>
      </c>
    </row>
    <row r="403" customFormat="false" ht="15" hidden="false" customHeight="false" outlineLevel="0" collapsed="false">
      <c r="D403" s="0" t="n">
        <f aca="false">MC_Shocks!A390</f>
        <v>1.02257043200964</v>
      </c>
      <c r="E403" s="0" t="n">
        <f aca="false">MC_Shocks!B390</f>
        <v>2.43975240633927</v>
      </c>
      <c r="F403" s="0" t="n">
        <f aca="false">MC_Shocks!C390</f>
        <v>1.38427281851052</v>
      </c>
      <c r="G403" s="0" t="n">
        <f aca="false">$B$3*D403</f>
        <v>0.0150631997447932</v>
      </c>
      <c r="H403" s="0" t="n">
        <f aca="false">$B$4*D403+$C$4*E403</f>
        <v>0.0412814968535328</v>
      </c>
      <c r="I403" s="0" t="n">
        <f aca="false">$B$5*D403+$C$5*E403+$D$5*F403</f>
        <v>0.0320953738793532</v>
      </c>
      <c r="J403" s="0" t="n">
        <f aca="false">SUMPRODUCT(G403:I403,Inputs!$B$4:$D$4)*Inputs!$B$2</f>
        <v>28038.3411177831</v>
      </c>
    </row>
    <row r="404" customFormat="false" ht="15" hidden="false" customHeight="false" outlineLevel="0" collapsed="false">
      <c r="D404" s="0" t="n">
        <f aca="false">MC_Shocks!A391</f>
        <v>0.56390912005236</v>
      </c>
      <c r="E404" s="0" t="n">
        <f aca="false">MC_Shocks!B391</f>
        <v>0.594754341665286</v>
      </c>
      <c r="F404" s="0" t="n">
        <f aca="false">MC_Shocks!C391</f>
        <v>0.853415558780308</v>
      </c>
      <c r="G404" s="0" t="n">
        <f aca="false">$B$3*D404</f>
        <v>0.00830678792126388</v>
      </c>
      <c r="H404" s="0" t="n">
        <f aca="false">$B$4*D404+$C$4*E404</f>
        <v>0.0133659276116771</v>
      </c>
      <c r="I404" s="0" t="n">
        <f aca="false">$B$5*D404+$C$5*E404+$D$5*F404</f>
        <v>0.0156782014727266</v>
      </c>
      <c r="J404" s="0" t="n">
        <f aca="false">SUMPRODUCT(G404:I404,Inputs!$B$4:$D$4)*Inputs!$B$2</f>
        <v>12035.9538938267</v>
      </c>
    </row>
    <row r="405" customFormat="false" ht="15" hidden="false" customHeight="false" outlineLevel="0" collapsed="false">
      <c r="D405" s="0" t="n">
        <f aca="false">MC_Shocks!A392</f>
        <v>0.758928589786765</v>
      </c>
      <c r="E405" s="0" t="n">
        <f aca="false">MC_Shocks!B392</f>
        <v>0.281191423969376</v>
      </c>
      <c r="F405" s="0" t="n">
        <f aca="false">MC_Shocks!C392</f>
        <v>0.104201103951876</v>
      </c>
      <c r="G405" s="0" t="n">
        <f aca="false">$B$3*D405</f>
        <v>0.0111795653210169</v>
      </c>
      <c r="H405" s="0" t="n">
        <f aca="false">$B$4*D405+$C$4*E405</f>
        <v>0.0114867826501161</v>
      </c>
      <c r="I405" s="0" t="n">
        <f aca="false">$B$5*D405+$C$5*E405+$D$5*F405</f>
        <v>0.0100078047709168</v>
      </c>
      <c r="J405" s="0" t="n">
        <f aca="false">SUMPRODUCT(G405:I405,Inputs!$B$4:$D$4)*Inputs!$B$2</f>
        <v>10920.2023547167</v>
      </c>
    </row>
    <row r="406" customFormat="false" ht="15" hidden="false" customHeight="false" outlineLevel="0" collapsed="false">
      <c r="D406" s="0" t="n">
        <f aca="false">MC_Shocks!A393</f>
        <v>-0.0625931278995224</v>
      </c>
      <c r="E406" s="0" t="n">
        <f aca="false">MC_Shocks!B393</f>
        <v>-0.753964588866676</v>
      </c>
      <c r="F406" s="0" t="n">
        <f aca="false">MC_Shocks!C393</f>
        <v>-0.280675076866774</v>
      </c>
      <c r="G406" s="0" t="n">
        <f aca="false">$B$3*D406</f>
        <v>-0.000922041904095469</v>
      </c>
      <c r="H406" s="0" t="n">
        <f aca="false">$B$4*D406+$C$4*E406</f>
        <v>-0.0100974235219559</v>
      </c>
      <c r="I406" s="0" t="n">
        <f aca="false">$B$5*D406+$C$5*E406+$D$5*F406</f>
        <v>-0.0059443550659474</v>
      </c>
      <c r="J406" s="0" t="n">
        <f aca="false">SUMPRODUCT(G406:I406,Inputs!$B$4:$D$4)*Inputs!$B$2</f>
        <v>-5181.35033800917</v>
      </c>
    </row>
    <row r="407" customFormat="false" ht="15" hidden="false" customHeight="false" outlineLevel="0" collapsed="false">
      <c r="D407" s="0" t="n">
        <f aca="false">MC_Shocks!A394</f>
        <v>-1.69295681419539</v>
      </c>
      <c r="E407" s="0" t="n">
        <f aca="false">MC_Shocks!B394</f>
        <v>-0.0983396267947499</v>
      </c>
      <c r="F407" s="0" t="n">
        <f aca="false">MC_Shocks!C394</f>
        <v>-0.988591107150918</v>
      </c>
      <c r="G407" s="0" t="n">
        <f aca="false">$B$3*D407</f>
        <v>-0.0249384745082219</v>
      </c>
      <c r="H407" s="0" t="n">
        <f aca="false">$B$4*D407+$C$4*E407</f>
        <v>-0.0190011642849898</v>
      </c>
      <c r="I407" s="0" t="n">
        <f aca="false">$B$5*D407+$C$5*E407+$D$5*F407</f>
        <v>-0.0269687514444468</v>
      </c>
      <c r="J407" s="0" t="n">
        <f aca="false">SUMPRODUCT(G407:I407,Inputs!$B$4:$D$4)*Inputs!$B$2</f>
        <v>-23766.3645221197</v>
      </c>
    </row>
    <row r="408" customFormat="false" ht="15" hidden="false" customHeight="false" outlineLevel="0" collapsed="false">
      <c r="D408" s="0" t="n">
        <f aca="false">MC_Shocks!A395</f>
        <v>-1.10358931721577</v>
      </c>
      <c r="E408" s="0" t="n">
        <f aca="false">MC_Shocks!B395</f>
        <v>0.179894151153479</v>
      </c>
      <c r="F408" s="0" t="n">
        <f aca="false">MC_Shocks!C395</f>
        <v>1.3920022863446</v>
      </c>
      <c r="G408" s="0" t="n">
        <f aca="false">$B$3*D408</f>
        <v>-0.0162566663391304</v>
      </c>
      <c r="H408" s="0" t="n">
        <f aca="false">$B$4*D408+$C$4*E408</f>
        <v>-0.00933118523870007</v>
      </c>
      <c r="I408" s="0" t="n">
        <f aca="false">$B$5*D408+$C$5*E408+$D$5*F408</f>
        <v>0.00117283847796814</v>
      </c>
      <c r="J408" s="0" t="n">
        <f aca="false">SUMPRODUCT(G408:I408,Inputs!$B$4:$D$4)*Inputs!$B$2</f>
        <v>-8950.17056387172</v>
      </c>
    </row>
    <row r="409" customFormat="false" ht="15" hidden="false" customHeight="false" outlineLevel="0" collapsed="false">
      <c r="D409" s="0" t="n">
        <f aca="false">MC_Shocks!A396</f>
        <v>0.918316606002313</v>
      </c>
      <c r="E409" s="0" t="n">
        <f aca="false">MC_Shocks!B396</f>
        <v>-1.57050060362318</v>
      </c>
      <c r="F409" s="0" t="n">
        <f aca="false">MC_Shocks!C396</f>
        <v>-0.989628136570338</v>
      </c>
      <c r="G409" s="0" t="n">
        <f aca="false">$B$3*D409</f>
        <v>0.0135274657198801</v>
      </c>
      <c r="H409" s="0" t="n">
        <f aca="false">$B$4*D409+$C$4*E409</f>
        <v>-0.0100253464732491</v>
      </c>
      <c r="I409" s="0" t="n">
        <f aca="false">$B$5*D409+$C$5*E409+$D$5*F409</f>
        <v>-0.00481668009649271</v>
      </c>
      <c r="J409" s="0" t="n">
        <f aca="false">SUMPRODUCT(G409:I409,Inputs!$B$4:$D$4)*Inputs!$B$2</f>
        <v>958.378317029512</v>
      </c>
    </row>
    <row r="410" customFormat="false" ht="15" hidden="false" customHeight="false" outlineLevel="0" collapsed="false">
      <c r="D410" s="0" t="n">
        <f aca="false">MC_Shocks!A397</f>
        <v>0.940771187988216</v>
      </c>
      <c r="E410" s="0" t="n">
        <f aca="false">MC_Shocks!B397</f>
        <v>-0.98248739353831</v>
      </c>
      <c r="F410" s="0" t="n">
        <f aca="false">MC_Shocks!C397</f>
        <v>-0.224633149997025</v>
      </c>
      <c r="G410" s="0" t="n">
        <f aca="false">$B$3*D410</f>
        <v>0.013858237902462</v>
      </c>
      <c r="H410" s="0" t="n">
        <f aca="false">$B$4*D410+$C$4*E410</f>
        <v>-0.00242711549212686</v>
      </c>
      <c r="I410" s="0" t="n">
        <f aca="false">$B$5*D410+$C$5*E410+$D$5*F410</f>
        <v>0.0043238781075937</v>
      </c>
      <c r="J410" s="0" t="n">
        <f aca="false">SUMPRODUCT(G410:I410,Inputs!$B$4:$D$4)*Inputs!$B$2</f>
        <v>6112.32394562484</v>
      </c>
    </row>
    <row r="411" customFormat="false" ht="15" hidden="false" customHeight="false" outlineLevel="0" collapsed="false">
      <c r="D411" s="0" t="n">
        <f aca="false">MC_Shocks!A398</f>
        <v>0.550052099024552</v>
      </c>
      <c r="E411" s="0" t="n">
        <f aca="false">MC_Shocks!B398</f>
        <v>-0.968344454863635</v>
      </c>
      <c r="F411" s="0" t="n">
        <f aca="false">MC_Shocks!C398</f>
        <v>0.10537550614596</v>
      </c>
      <c r="G411" s="0" t="n">
        <f aca="false">$B$3*D411</f>
        <v>0.00810266401050357</v>
      </c>
      <c r="H411" s="0" t="n">
        <f aca="false">$B$4*D411+$C$4*E411</f>
        <v>-0.0063511512944208</v>
      </c>
      <c r="I411" s="0" t="n">
        <f aca="false">$B$5*D411+$C$5*E411+$D$5*F411</f>
        <v>0.00312729504423516</v>
      </c>
      <c r="J411" s="0" t="n">
        <f aca="false">SUMPRODUCT(G411:I411,Inputs!$B$4:$D$4)*Inputs!$B$2</f>
        <v>2273.90872914574</v>
      </c>
    </row>
    <row r="412" customFormat="false" ht="15" hidden="false" customHeight="false" outlineLevel="0" collapsed="false">
      <c r="D412" s="0" t="n">
        <f aca="false">MC_Shocks!A399</f>
        <v>-1.3340254949182</v>
      </c>
      <c r="E412" s="0" t="n">
        <f aca="false">MC_Shocks!B399</f>
        <v>-0.601367643951214</v>
      </c>
      <c r="F412" s="0" t="n">
        <f aca="false">MC_Shocks!C399</f>
        <v>0.319781934142537</v>
      </c>
      <c r="G412" s="0" t="n">
        <f aca="false">$B$3*D412</f>
        <v>-0.0196511573829763</v>
      </c>
      <c r="H412" s="0" t="n">
        <f aca="false">$B$4*D412+$C$4*E412</f>
        <v>-0.0215321359391089</v>
      </c>
      <c r="I412" s="0" t="n">
        <f aca="false">$B$5*D412+$C$5*E412+$D$5*F412</f>
        <v>-0.0135864529565458</v>
      </c>
      <c r="J412" s="0" t="n">
        <f aca="false">SUMPRODUCT(G412:I412,Inputs!$B$4:$D$4)*Inputs!$B$2</f>
        <v>-18396.0396218869</v>
      </c>
    </row>
    <row r="413" customFormat="false" ht="15" hidden="false" customHeight="false" outlineLevel="0" collapsed="false">
      <c r="D413" s="0" t="n">
        <f aca="false">MC_Shocks!A400</f>
        <v>-1.59299373353167</v>
      </c>
      <c r="E413" s="0" t="n">
        <f aca="false">MC_Shocks!B400</f>
        <v>0.440474737960399</v>
      </c>
      <c r="F413" s="0" t="n">
        <f aca="false">MC_Shocks!C400</f>
        <v>-0.0196377989266812</v>
      </c>
      <c r="G413" s="0" t="n">
        <f aca="false">$B$3*D413</f>
        <v>-0.0234659462558812</v>
      </c>
      <c r="H413" s="0" t="n">
        <f aca="false">$B$4*D413+$C$4*E413</f>
        <v>-0.011205398766484</v>
      </c>
      <c r="I413" s="0" t="n">
        <f aca="false">$B$5*D413+$C$5*E413+$D$5*F413</f>
        <v>-0.0154042740663056</v>
      </c>
      <c r="J413" s="0" t="n">
        <f aca="false">SUMPRODUCT(G413:I413,Inputs!$B$4:$D$4)*Inputs!$B$2</f>
        <v>-17369.2803521894</v>
      </c>
    </row>
    <row r="414" customFormat="false" ht="15" hidden="false" customHeight="false" outlineLevel="0" collapsed="false">
      <c r="D414" s="0" t="n">
        <f aca="false">MC_Shocks!A401</f>
        <v>0.552489954417148</v>
      </c>
      <c r="E414" s="0" t="n">
        <f aca="false">MC_Shocks!B401</f>
        <v>0.223914134064661</v>
      </c>
      <c r="F414" s="0" t="n">
        <f aca="false">MC_Shocks!C401</f>
        <v>1.36414042997384</v>
      </c>
      <c r="G414" s="0" t="n">
        <f aca="false">$B$3*D414</f>
        <v>0.00813857537814934</v>
      </c>
      <c r="H414" s="0" t="n">
        <f aca="false">$B$4*D414+$C$4*E414</f>
        <v>0.00860276111809852</v>
      </c>
      <c r="I414" s="0" t="n">
        <f aca="false">$B$5*D414+$C$5*E414+$D$5*F414</f>
        <v>0.0186431094639102</v>
      </c>
      <c r="J414" s="0" t="n">
        <f aca="false">SUMPRODUCT(G414:I414,Inputs!$B$4:$D$4)*Inputs!$B$2</f>
        <v>11429.1913258623</v>
      </c>
    </row>
    <row r="415" customFormat="false" ht="15" hidden="false" customHeight="false" outlineLevel="0" collapsed="false">
      <c r="D415" s="0" t="n">
        <f aca="false">MC_Shocks!A402</f>
        <v>0.125224502647907</v>
      </c>
      <c r="E415" s="0" t="n">
        <f aca="false">MC_Shocks!B402</f>
        <v>-0.429405541125253</v>
      </c>
      <c r="F415" s="0" t="n">
        <f aca="false">MC_Shocks!C402</f>
        <v>0.122297503032284</v>
      </c>
      <c r="G415" s="0" t="n">
        <f aca="false">$B$3*D415</f>
        <v>0.00184464721185096</v>
      </c>
      <c r="H415" s="0" t="n">
        <f aca="false">$B$4*D415+$C$4*E415</f>
        <v>-0.00406220736729828</v>
      </c>
      <c r="I415" s="0" t="n">
        <f aca="false">$B$5*D415+$C$5*E415+$D$5*F415</f>
        <v>0.000790993918049635</v>
      </c>
      <c r="J415" s="0" t="n">
        <f aca="false">SUMPRODUCT(G415:I415,Inputs!$B$4:$D$4)*Inputs!$B$2</f>
        <v>-243.50515003421</v>
      </c>
    </row>
    <row r="416" customFormat="false" ht="15" hidden="false" customHeight="false" outlineLevel="0" collapsed="false">
      <c r="D416" s="0" t="n">
        <f aca="false">MC_Shocks!A403</f>
        <v>0.543298029036388</v>
      </c>
      <c r="E416" s="0" t="n">
        <f aca="false">MC_Shocks!B403</f>
        <v>0.0488600703257043</v>
      </c>
      <c r="F416" s="0" t="n">
        <f aca="false">MC_Shocks!C403</f>
        <v>0.0405916912038824</v>
      </c>
      <c r="G416" s="0" t="n">
        <f aca="false">$B$3*D416</f>
        <v>0.00800317168984055</v>
      </c>
      <c r="H416" s="0" t="n">
        <f aca="false">$B$4*D416+$C$4*E416</f>
        <v>0.00631441967941738</v>
      </c>
      <c r="I416" s="0" t="n">
        <f aca="false">$B$5*D416+$C$5*E416+$D$5*F416</f>
        <v>0.00629584875038214</v>
      </c>
      <c r="J416" s="0" t="n">
        <f aca="false">SUMPRODUCT(G416:I416,Inputs!$B$4:$D$4)*Inputs!$B$2</f>
        <v>6984.34920487608</v>
      </c>
    </row>
    <row r="417" customFormat="false" ht="15" hidden="false" customHeight="false" outlineLevel="0" collapsed="false">
      <c r="D417" s="0" t="n">
        <f aca="false">MC_Shocks!A404</f>
        <v>-0.701991687806755</v>
      </c>
      <c r="E417" s="0" t="n">
        <f aca="false">MC_Shocks!B404</f>
        <v>-0.662900917550948</v>
      </c>
      <c r="F417" s="0" t="n">
        <f aca="false">MC_Shocks!C404</f>
        <v>-1.40260527179969</v>
      </c>
      <c r="G417" s="0" t="n">
        <f aca="false">$B$3*D417</f>
        <v>-0.0103408437028991</v>
      </c>
      <c r="H417" s="0" t="n">
        <f aca="false">$B$4*D417+$C$4*E417</f>
        <v>-0.0156685554786784</v>
      </c>
      <c r="I417" s="0" t="n">
        <f aca="false">$B$5*D417+$C$5*E417+$D$5*F417</f>
        <v>-0.0222075846480239</v>
      </c>
      <c r="J417" s="0" t="n">
        <f aca="false">SUMPRODUCT(G417:I417,Inputs!$B$4:$D$4)*Inputs!$B$2</f>
        <v>-15499.1795191703</v>
      </c>
    </row>
    <row r="418" customFormat="false" ht="15" hidden="false" customHeight="false" outlineLevel="0" collapsed="false">
      <c r="D418" s="0" t="n">
        <f aca="false">MC_Shocks!A405</f>
        <v>1.74957674318694</v>
      </c>
      <c r="E418" s="0" t="n">
        <f aca="false">MC_Shocks!B405</f>
        <v>-1.24386323539129</v>
      </c>
      <c r="F418" s="0" t="n">
        <f aca="false">MC_Shocks!C405</f>
        <v>-0.692905197795907</v>
      </c>
      <c r="G418" s="0" t="n">
        <f aca="false">$B$3*D418</f>
        <v>0.0257725268856798</v>
      </c>
      <c r="H418" s="0" t="n">
        <f aca="false">$B$4*D418+$C$4*E418</f>
        <v>0.00278968337855904</v>
      </c>
      <c r="I418" s="0" t="n">
        <f aca="false">$B$5*D418+$C$5*E418+$D$5*F418</f>
        <v>0.00781427602555366</v>
      </c>
      <c r="J418" s="0" t="n">
        <f aca="false">SUMPRODUCT(G418:I418,Inputs!$B$4:$D$4)*Inputs!$B$2</f>
        <v>13490.1985755057</v>
      </c>
    </row>
    <row r="419" customFormat="false" ht="15" hidden="false" customHeight="false" outlineLevel="0" collapsed="false">
      <c r="D419" s="0" t="n">
        <f aca="false">MC_Shocks!A406</f>
        <v>-0.718407265569197</v>
      </c>
      <c r="E419" s="0" t="n">
        <f aca="false">MC_Shocks!B406</f>
        <v>0.894924376944441</v>
      </c>
      <c r="F419" s="0" t="n">
        <f aca="false">MC_Shocks!C406</f>
        <v>-0.294949678292028</v>
      </c>
      <c r="G419" s="0" t="n">
        <f aca="false">$B$3*D419</f>
        <v>-0.0105826569991</v>
      </c>
      <c r="H419" s="0" t="n">
        <f aca="false">$B$4*D419+$C$4*E419</f>
        <v>0.00366474219706188</v>
      </c>
      <c r="I419" s="0" t="n">
        <f aca="false">$B$5*D419+$C$5*E419+$D$5*F419</f>
        <v>-0.00684690623827643</v>
      </c>
      <c r="J419" s="0" t="n">
        <f aca="false">SUMPRODUCT(G419:I419,Inputs!$B$4:$D$4)*Inputs!$B$2</f>
        <v>-5187.71201200436</v>
      </c>
    </row>
    <row r="420" customFormat="false" ht="15" hidden="false" customHeight="false" outlineLevel="0" collapsed="false">
      <c r="D420" s="0" t="n">
        <f aca="false">MC_Shocks!A407</f>
        <v>1.24774207267373</v>
      </c>
      <c r="E420" s="0" t="n">
        <f aca="false">MC_Shocks!B407</f>
        <v>-0.673490624243869</v>
      </c>
      <c r="F420" s="0" t="n">
        <f aca="false">MC_Shocks!C407</f>
        <v>0.278994162223802</v>
      </c>
      <c r="G420" s="0" t="n">
        <f aca="false">$B$3*D420</f>
        <v>0.018380140362292</v>
      </c>
      <c r="H420" s="0" t="n">
        <f aca="false">$B$4*D420+$C$4*E420</f>
        <v>0.00466391766780637</v>
      </c>
      <c r="I420" s="0" t="n">
        <f aca="false">$B$5*D420+$C$5*E420+$D$5*F420</f>
        <v>0.0131454056318597</v>
      </c>
      <c r="J420" s="0" t="n">
        <f aca="false">SUMPRODUCT(G420:I420,Inputs!$B$4:$D$4)*Inputs!$B$2</f>
        <v>12694.8531348166</v>
      </c>
    </row>
    <row r="421" customFormat="false" ht="15" hidden="false" customHeight="false" outlineLevel="0" collapsed="false">
      <c r="D421" s="0" t="n">
        <f aca="false">MC_Shocks!A408</f>
        <v>-0.835347053259757</v>
      </c>
      <c r="E421" s="0" t="n">
        <f aca="false">MC_Shocks!B408</f>
        <v>2.14514912777339</v>
      </c>
      <c r="F421" s="0" t="n">
        <f aca="false">MC_Shocks!C408</f>
        <v>-1.18759841902951</v>
      </c>
      <c r="G421" s="0" t="n">
        <f aca="false">$B$3*D421</f>
        <v>-0.0123052643862848</v>
      </c>
      <c r="H421" s="0" t="n">
        <f aca="false">$B$4*D421+$C$4*E421</f>
        <v>0.0180914232892983</v>
      </c>
      <c r="I421" s="0" t="n">
        <f aca="false">$B$5*D421+$C$5*E421+$D$5*F421</f>
        <v>-0.0112260265991464</v>
      </c>
      <c r="J421" s="0" t="n">
        <f aca="false">SUMPRODUCT(G421:I421,Inputs!$B$4:$D$4)*Inputs!$B$2</f>
        <v>-2862.48674746837</v>
      </c>
    </row>
    <row r="422" customFormat="false" ht="15" hidden="false" customHeight="false" outlineLevel="0" collapsed="false">
      <c r="D422" s="0" t="n">
        <f aca="false">MC_Shocks!A409</f>
        <v>0.309820710227028</v>
      </c>
      <c r="E422" s="0" t="n">
        <f aca="false">MC_Shocks!B409</f>
        <v>0.633776880932099</v>
      </c>
      <c r="F422" s="0" t="n">
        <f aca="false">MC_Shocks!C409</f>
        <v>0.413799097451498</v>
      </c>
      <c r="G422" s="0" t="n">
        <f aca="false">$B$3*D422</f>
        <v>0.00456388244480299</v>
      </c>
      <c r="H422" s="0" t="n">
        <f aca="false">$B$4*D422+$C$4*E422</f>
        <v>0.0111875324010709</v>
      </c>
      <c r="I422" s="0" t="n">
        <f aca="false">$B$5*D422+$C$5*E422+$D$5*F422</f>
        <v>0.00928054419999158</v>
      </c>
      <c r="J422" s="0" t="n">
        <f aca="false">SUMPRODUCT(G422:I422,Inputs!$B$4:$D$4)*Inputs!$B$2</f>
        <v>7965.97595823995</v>
      </c>
    </row>
    <row r="423" customFormat="false" ht="15" hidden="false" customHeight="false" outlineLevel="0" collapsed="false">
      <c r="D423" s="0" t="n">
        <f aca="false">MC_Shocks!A410</f>
        <v>-0.185287658877708</v>
      </c>
      <c r="E423" s="0" t="n">
        <f aca="false">MC_Shocks!B410</f>
        <v>-0.129820699733426</v>
      </c>
      <c r="F423" s="0" t="n">
        <f aca="false">MC_Shocks!C410</f>
        <v>0.0438114719791096</v>
      </c>
      <c r="G423" s="0" t="n">
        <f aca="false">$B$3*D423</f>
        <v>-0.00272942080912204</v>
      </c>
      <c r="H423" s="0" t="n">
        <f aca="false">$B$4*D423+$C$4*E423</f>
        <v>-0.00357033302746597</v>
      </c>
      <c r="I423" s="0" t="n">
        <f aca="false">$B$5*D423+$C$5*E423+$D$5*F423</f>
        <v>-0.00206565686007864</v>
      </c>
      <c r="J423" s="0" t="n">
        <f aca="false">SUMPRODUCT(G423:I423,Inputs!$B$4:$D$4)*Inputs!$B$2</f>
        <v>-2782.5652899122</v>
      </c>
    </row>
    <row r="424" customFormat="false" ht="15" hidden="false" customHeight="false" outlineLevel="0" collapsed="false">
      <c r="D424" s="0" t="n">
        <f aca="false">MC_Shocks!A411</f>
        <v>-0.147002001628489</v>
      </c>
      <c r="E424" s="0" t="n">
        <f aca="false">MC_Shocks!B411</f>
        <v>0.96387911679491</v>
      </c>
      <c r="F424" s="0" t="n">
        <f aca="false">MC_Shocks!C411</f>
        <v>2.21052300159135</v>
      </c>
      <c r="G424" s="0" t="n">
        <f aca="false">$B$3*D424</f>
        <v>-0.00216544547358227</v>
      </c>
      <c r="H424" s="0" t="n">
        <f aca="false">$B$4*D424+$C$4*E424</f>
        <v>0.0105257912227275</v>
      </c>
      <c r="I424" s="0" t="n">
        <f aca="false">$B$5*D424+$C$5*E424+$D$5*F424</f>
        <v>0.0214149241937011</v>
      </c>
      <c r="J424" s="0" t="n">
        <f aca="false">SUMPRODUCT(G424:I424,Inputs!$B$4:$D$4)*Inputs!$B$2</f>
        <v>8716.03643549568</v>
      </c>
    </row>
    <row r="425" customFormat="false" ht="15" hidden="false" customHeight="false" outlineLevel="0" collapsed="false">
      <c r="D425" s="0" t="n">
        <f aca="false">MC_Shocks!A412</f>
        <v>-0.557491785007834</v>
      </c>
      <c r="E425" s="0" t="n">
        <f aca="false">MC_Shocks!B412</f>
        <v>-1.36980297957908</v>
      </c>
      <c r="F425" s="0" t="n">
        <f aca="false">MC_Shocks!C412</f>
        <v>-0.0882820483512548</v>
      </c>
      <c r="G425" s="0" t="n">
        <f aca="false">$B$3*D425</f>
        <v>-0.00821225594910918</v>
      </c>
      <c r="H425" s="0" t="n">
        <f aca="false">$B$4*D425+$C$4*E425</f>
        <v>-0.0230029882246644</v>
      </c>
      <c r="I425" s="0" t="n">
        <f aca="false">$B$5*D425+$C$5*E425+$D$5*F425</f>
        <v>-0.0118086544479661</v>
      </c>
      <c r="J425" s="0" t="n">
        <f aca="false">SUMPRODUCT(G425:I425,Inputs!$B$4:$D$4)*Inputs!$B$2</f>
        <v>-13728.3951814328</v>
      </c>
    </row>
    <row r="426" customFormat="false" ht="15" hidden="false" customHeight="false" outlineLevel="0" collapsed="false">
      <c r="D426" s="0" t="n">
        <f aca="false">MC_Shocks!A413</f>
        <v>2.57970933765432</v>
      </c>
      <c r="E426" s="0" t="n">
        <f aca="false">MC_Shocks!B413</f>
        <v>-0.803674567969731</v>
      </c>
      <c r="F426" s="0" t="n">
        <f aca="false">MC_Shocks!C413</f>
        <v>1.63911680544407</v>
      </c>
      <c r="G426" s="0" t="n">
        <f aca="false">$B$3*D426</f>
        <v>0.0380009785342873</v>
      </c>
      <c r="H426" s="0" t="n">
        <f aca="false">$B$4*D426+$C$4*E426</f>
        <v>0.0170146591254158</v>
      </c>
      <c r="I426" s="0" t="n">
        <f aca="false">$B$5*D426+$C$5*E426+$D$5*F426</f>
        <v>0.0386880087448357</v>
      </c>
      <c r="J426" s="0" t="n">
        <f aca="false">SUMPRODUCT(G426:I426,Inputs!$B$4:$D$4)*Inputs!$B$2</f>
        <v>31911.1917747903</v>
      </c>
    </row>
    <row r="427" customFormat="false" ht="15" hidden="false" customHeight="false" outlineLevel="0" collapsed="false">
      <c r="D427" s="0" t="n">
        <f aca="false">MC_Shocks!A414</f>
        <v>1.67770081407644</v>
      </c>
      <c r="E427" s="0" t="n">
        <f aca="false">MC_Shocks!B414</f>
        <v>-0.553588241707995</v>
      </c>
      <c r="F427" s="0" t="n">
        <f aca="false">MC_Shocks!C414</f>
        <v>0.568983079185275</v>
      </c>
      <c r="G427" s="0" t="n">
        <f aca="false">$B$3*D427</f>
        <v>0.0247137426267742</v>
      </c>
      <c r="H427" s="0" t="n">
        <f aca="false">$B$4*D427+$C$4*E427</f>
        <v>0.0106782137262878</v>
      </c>
      <c r="I427" s="0" t="n">
        <f aca="false">$B$5*D427+$C$5*E427+$D$5*F427</f>
        <v>0.0206908956389089</v>
      </c>
      <c r="J427" s="0" t="n">
        <f aca="false">SUMPRODUCT(G427:I427,Inputs!$B$4:$D$4)*Inputs!$B$2</f>
        <v>19296.2298602687</v>
      </c>
    </row>
    <row r="428" customFormat="false" ht="15" hidden="false" customHeight="false" outlineLevel="0" collapsed="false">
      <c r="D428" s="0" t="n">
        <f aca="false">MC_Shocks!A415</f>
        <v>1.62839662312854</v>
      </c>
      <c r="E428" s="0" t="n">
        <f aca="false">MC_Shocks!B415</f>
        <v>-0.379127740987487</v>
      </c>
      <c r="F428" s="0" t="n">
        <f aca="false">MC_Shocks!C415</f>
        <v>-0.203580360102362</v>
      </c>
      <c r="G428" s="0" t="n">
        <f aca="false">$B$3*D428</f>
        <v>0.0239874563454038</v>
      </c>
      <c r="H428" s="0" t="n">
        <f aca="false">$B$4*D428+$C$4*E428</f>
        <v>0.0123451280432962</v>
      </c>
      <c r="I428" s="0" t="n">
        <f aca="false">$B$5*D428+$C$5*E428+$D$5*F428</f>
        <v>0.0140536365633994</v>
      </c>
      <c r="J428" s="0" t="n">
        <f aca="false">SUMPRODUCT(G428:I428,Inputs!$B$4:$D$4)*Inputs!$B$2</f>
        <v>17514.6119201702</v>
      </c>
    </row>
    <row r="429" customFormat="false" ht="15" hidden="false" customHeight="false" outlineLevel="0" collapsed="false">
      <c r="D429" s="0" t="n">
        <f aca="false">MC_Shocks!A416</f>
        <v>-0.581680913948644</v>
      </c>
      <c r="E429" s="0" t="n">
        <f aca="false">MC_Shocks!B416</f>
        <v>-1.01475673069287</v>
      </c>
      <c r="F429" s="0" t="n">
        <f aca="false">MC_Shocks!C416</f>
        <v>-0.649277545066007</v>
      </c>
      <c r="G429" s="0" t="n">
        <f aca="false">$B$3*D429</f>
        <v>-0.00856857925895875</v>
      </c>
      <c r="H429" s="0" t="n">
        <f aca="false">$B$4*D429+$C$4*E429</f>
        <v>-0.0188113353506458</v>
      </c>
      <c r="I429" s="0" t="n">
        <f aca="false">$B$5*D429+$C$5*E429+$D$5*F429</f>
        <v>-0.0156504082321173</v>
      </c>
      <c r="J429" s="0" t="n">
        <f aca="false">SUMPRODUCT(G429:I429,Inputs!$B$4:$D$4)*Inputs!$B$2</f>
        <v>-13765.9547784124</v>
      </c>
    </row>
    <row r="430" customFormat="false" ht="15" hidden="false" customHeight="false" outlineLevel="0" collapsed="false">
      <c r="D430" s="0" t="n">
        <f aca="false">MC_Shocks!A417</f>
        <v>-1.22394026676226</v>
      </c>
      <c r="E430" s="0" t="n">
        <f aca="false">MC_Shocks!B417</f>
        <v>0.0340834682592261</v>
      </c>
      <c r="F430" s="0" t="n">
        <f aca="false">MC_Shocks!C417</f>
        <v>-0.769973231058642</v>
      </c>
      <c r="G430" s="0" t="n">
        <f aca="false">$B$3*D430</f>
        <v>-0.0180295225999274</v>
      </c>
      <c r="H430" s="0" t="n">
        <f aca="false">$B$4*D430+$C$4*E430</f>
        <v>-0.0124201318279113</v>
      </c>
      <c r="I430" s="0" t="n">
        <f aca="false">$B$5*D430+$C$5*E430+$D$5*F430</f>
        <v>-0.0195877217213806</v>
      </c>
      <c r="J430" s="0" t="n">
        <f aca="false">SUMPRODUCT(G430:I430,Inputs!$B$4:$D$4)*Inputs!$B$2</f>
        <v>-16814.1651047586</v>
      </c>
    </row>
    <row r="431" customFormat="false" ht="15" hidden="false" customHeight="false" outlineLevel="0" collapsed="false">
      <c r="D431" s="0" t="n">
        <f aca="false">MC_Shocks!A418</f>
        <v>0.233785911790748</v>
      </c>
      <c r="E431" s="0" t="n">
        <f aca="false">MC_Shocks!B418</f>
        <v>-1.55589564620363</v>
      </c>
      <c r="F431" s="0" t="n">
        <f aca="false">MC_Shocks!C418</f>
        <v>0.330880232214457</v>
      </c>
      <c r="G431" s="0" t="n">
        <f aca="false">$B$3*D431</f>
        <v>0.00344383504215134</v>
      </c>
      <c r="H431" s="0" t="n">
        <f aca="false">$B$4*D431+$C$4*E431</f>
        <v>-0.017027543654447</v>
      </c>
      <c r="I431" s="0" t="n">
        <f aca="false">$B$5*D431+$C$5*E431+$D$5*F431</f>
        <v>-0.00044807370974153</v>
      </c>
      <c r="J431" s="0" t="n">
        <f aca="false">SUMPRODUCT(G431:I431,Inputs!$B$4:$D$4)*Inputs!$B$2</f>
        <v>-3865.15119239603</v>
      </c>
    </row>
    <row r="432" customFormat="false" ht="15" hidden="false" customHeight="false" outlineLevel="0" collapsed="false">
      <c r="D432" s="0" t="n">
        <f aca="false">MC_Shocks!A419</f>
        <v>0.833528961608925</v>
      </c>
      <c r="E432" s="0" t="n">
        <f aca="false">MC_Shocks!B419</f>
        <v>-1.99373564257146</v>
      </c>
      <c r="F432" s="0" t="n">
        <f aca="false">MC_Shocks!C419</f>
        <v>0.374056569847572</v>
      </c>
      <c r="G432" s="0" t="n">
        <f aca="false">$B$3*D432</f>
        <v>0.0122784825854098</v>
      </c>
      <c r="H432" s="0" t="n">
        <f aca="false">$B$4*D432+$C$4*E432</f>
        <v>-0.0162146514823308</v>
      </c>
      <c r="I432" s="0" t="n">
        <f aca="false">$B$5*D432+$C$5*E432+$D$5*F432</f>
        <v>0.00464672981136365</v>
      </c>
      <c r="J432" s="0" t="n">
        <f aca="false">SUMPRODUCT(G432:I432,Inputs!$B$4:$D$4)*Inputs!$B$2</f>
        <v>1441.01653287377</v>
      </c>
    </row>
    <row r="433" customFormat="false" ht="15" hidden="false" customHeight="false" outlineLevel="0" collapsed="false">
      <c r="D433" s="0" t="n">
        <f aca="false">MC_Shocks!A420</f>
        <v>1.22766899247329</v>
      </c>
      <c r="E433" s="0" t="n">
        <f aca="false">MC_Shocks!B420</f>
        <v>-1.20964101869121</v>
      </c>
      <c r="F433" s="0" t="n">
        <f aca="false">MC_Shocks!C420</f>
        <v>1.6725723868377</v>
      </c>
      <c r="G433" s="0" t="n">
        <f aca="false">$B$3*D433</f>
        <v>0.0180844494180914</v>
      </c>
      <c r="H433" s="0" t="n">
        <f aca="false">$B$4*D433+$C$4*E433</f>
        <v>-0.00225993959591454</v>
      </c>
      <c r="I433" s="0" t="n">
        <f aca="false">$B$5*D433+$C$5*E433+$D$5*F433</f>
        <v>0.0231338034279294</v>
      </c>
      <c r="J433" s="0" t="n">
        <f aca="false">SUMPRODUCT(G433:I433,Inputs!$B$4:$D$4)*Inputs!$B$2</f>
        <v>13495.938916841</v>
      </c>
    </row>
    <row r="434" customFormat="false" ht="15" hidden="false" customHeight="false" outlineLevel="0" collapsed="false">
      <c r="D434" s="0" t="n">
        <f aca="false">MC_Shocks!A421</f>
        <v>0.419019009366045</v>
      </c>
      <c r="E434" s="0" t="n">
        <f aca="false">MC_Shocks!B421</f>
        <v>-0.705011855758409</v>
      </c>
      <c r="F434" s="0" t="n">
        <f aca="false">MC_Shocks!C421</f>
        <v>-0.055769077657706</v>
      </c>
      <c r="G434" s="0" t="n">
        <f aca="false">$B$3*D434</f>
        <v>0.00617245212394975</v>
      </c>
      <c r="H434" s="0" t="n">
        <f aca="false">$B$4*D434+$C$4*E434</f>
        <v>-0.0044293196655798</v>
      </c>
      <c r="I434" s="0" t="n">
        <f aca="false">$B$5*D434+$C$5*E434+$D$5*F434</f>
        <v>0.00131278605380473</v>
      </c>
      <c r="J434" s="0" t="n">
        <f aca="false">SUMPRODUCT(G434:I434,Inputs!$B$4:$D$4)*Inputs!$B$2</f>
        <v>1534.02076604738</v>
      </c>
    </row>
    <row r="435" customFormat="false" ht="15" hidden="false" customHeight="false" outlineLevel="0" collapsed="false">
      <c r="D435" s="0" t="n">
        <f aca="false">MC_Shocks!A422</f>
        <v>0.558326912521722</v>
      </c>
      <c r="E435" s="0" t="n">
        <f aca="false">MC_Shocks!B422</f>
        <v>0.0760053914124115</v>
      </c>
      <c r="F435" s="0" t="n">
        <f aca="false">MC_Shocks!C422</f>
        <v>0.538755992446369</v>
      </c>
      <c r="G435" s="0" t="n">
        <f aca="false">$B$3*D435</f>
        <v>0.00822455797952224</v>
      </c>
      <c r="H435" s="0" t="n">
        <f aca="false">$B$4*D435+$C$4*E435</f>
        <v>0.00681205573793196</v>
      </c>
      <c r="I435" s="0" t="n">
        <f aca="false">$B$5*D435+$C$5*E435+$D$5*F435</f>
        <v>0.0109207529677008</v>
      </c>
      <c r="J435" s="0" t="n">
        <f aca="false">SUMPRODUCT(G435:I435,Inputs!$B$4:$D$4)*Inputs!$B$2</f>
        <v>8609.66580349871</v>
      </c>
    </row>
    <row r="436" customFormat="false" ht="15" hidden="false" customHeight="false" outlineLevel="0" collapsed="false">
      <c r="D436" s="0" t="n">
        <f aca="false">MC_Shocks!A423</f>
        <v>-0.920673593079366</v>
      </c>
      <c r="E436" s="0" t="n">
        <f aca="false">MC_Shocks!B423</f>
        <v>0.169360824036078</v>
      </c>
      <c r="F436" s="0" t="n">
        <f aca="false">MC_Shocks!C423</f>
        <v>-1.41371449690498</v>
      </c>
      <c r="G436" s="0" t="n">
        <f aca="false">$B$3*D436</f>
        <v>-0.0135621858389313</v>
      </c>
      <c r="H436" s="0" t="n">
        <f aca="false">$B$4*D436+$C$4*E436</f>
        <v>-0.00754312797792123</v>
      </c>
      <c r="I436" s="0" t="n">
        <f aca="false">$B$5*D436+$C$5*E436+$D$5*F436</f>
        <v>-0.0215069277701439</v>
      </c>
      <c r="J436" s="0" t="n">
        <f aca="false">SUMPRODUCT(G436:I436,Inputs!$B$4:$D$4)*Inputs!$B$2</f>
        <v>-14139.891059992</v>
      </c>
    </row>
    <row r="437" customFormat="false" ht="15" hidden="false" customHeight="false" outlineLevel="0" collapsed="false">
      <c r="D437" s="0" t="n">
        <f aca="false">MC_Shocks!A424</f>
        <v>-0.1112260613487</v>
      </c>
      <c r="E437" s="0" t="n">
        <f aca="false">MC_Shocks!B424</f>
        <v>-0.90390764146479</v>
      </c>
      <c r="F437" s="0" t="n">
        <f aca="false">MC_Shocks!C424</f>
        <v>-0.735529942589767</v>
      </c>
      <c r="G437" s="0" t="n">
        <f aca="false">$B$3*D437</f>
        <v>-0.00163844007852781</v>
      </c>
      <c r="H437" s="0" t="n">
        <f aca="false">$B$4*D437+$C$4*E437</f>
        <v>-0.0124853350595531</v>
      </c>
      <c r="I437" s="0" t="n">
        <f aca="false">$B$5*D437+$C$5*E437+$D$5*F437</f>
        <v>-0.0110056252690689</v>
      </c>
      <c r="J437" s="0" t="n">
        <f aca="false">SUMPRODUCT(G437:I437,Inputs!$B$4:$D$4)*Inputs!$B$2</f>
        <v>-7702.66412999774</v>
      </c>
    </row>
    <row r="438" customFormat="false" ht="15" hidden="false" customHeight="false" outlineLevel="0" collapsed="false">
      <c r="D438" s="0" t="n">
        <f aca="false">MC_Shocks!A425</f>
        <v>1.23609317521044</v>
      </c>
      <c r="E438" s="0" t="n">
        <f aca="false">MC_Shocks!B425</f>
        <v>1.09131012059427</v>
      </c>
      <c r="F438" s="0" t="n">
        <f aca="false">MC_Shocks!C425</f>
        <v>0.609138120907177</v>
      </c>
      <c r="G438" s="0" t="n">
        <f aca="false">$B$3*D438</f>
        <v>0.0182085437037113</v>
      </c>
      <c r="H438" s="0" t="n">
        <f aca="false">$B$4*D438+$C$4*E438</f>
        <v>0.0266387970369381</v>
      </c>
      <c r="I438" s="0" t="n">
        <f aca="false">$B$5*D438+$C$5*E438+$D$5*F438</f>
        <v>0.0225201813532102</v>
      </c>
      <c r="J438" s="0" t="n">
        <f aca="false">SUMPRODUCT(G438:I438,Inputs!$B$4:$D$4)*Inputs!$B$2</f>
        <v>22031.110998529</v>
      </c>
    </row>
    <row r="439" customFormat="false" ht="15" hidden="false" customHeight="false" outlineLevel="0" collapsed="false">
      <c r="D439" s="0" t="n">
        <f aca="false">MC_Shocks!A426</f>
        <v>-1.09231276467258</v>
      </c>
      <c r="E439" s="0" t="n">
        <f aca="false">MC_Shocks!B426</f>
        <v>-0.316408449694802</v>
      </c>
      <c r="F439" s="0" t="n">
        <f aca="false">MC_Shocks!C426</f>
        <v>1.21309769997918</v>
      </c>
      <c r="G439" s="0" t="n">
        <f aca="false">$B$3*D439</f>
        <v>-0.0160905545896864</v>
      </c>
      <c r="H439" s="0" t="n">
        <f aca="false">$B$4*D439+$C$4*E439</f>
        <v>-0.0154270500856528</v>
      </c>
      <c r="I439" s="0" t="n">
        <f aca="false">$B$5*D439+$C$5*E439+$D$5*F439</f>
        <v>-0.00213269056243394</v>
      </c>
      <c r="J439" s="0" t="n">
        <f aca="false">SUMPRODUCT(G439:I439,Inputs!$B$4:$D$4)*Inputs!$B$2</f>
        <v>-11704.1440303006</v>
      </c>
    </row>
    <row r="440" customFormat="false" ht="15" hidden="false" customHeight="false" outlineLevel="0" collapsed="false">
      <c r="D440" s="0" t="n">
        <f aca="false">MC_Shocks!A427</f>
        <v>0.141716913639905</v>
      </c>
      <c r="E440" s="0" t="n">
        <f aca="false">MC_Shocks!B427</f>
        <v>2.31932953998169</v>
      </c>
      <c r="F440" s="0" t="n">
        <f aca="false">MC_Shocks!C427</f>
        <v>0.393317839394372</v>
      </c>
      <c r="G440" s="0" t="n">
        <f aca="false">$B$3*D440</f>
        <v>0.00208759231692059</v>
      </c>
      <c r="H440" s="0" t="n">
        <f aca="false">$B$4*D440+$C$4*E440</f>
        <v>0.0305279391681736</v>
      </c>
      <c r="I440" s="0" t="n">
        <f aca="false">$B$5*D440+$C$5*E440+$D$5*F440</f>
        <v>0.0136291577435877</v>
      </c>
      <c r="J440" s="0" t="n">
        <f aca="false">SUMPRODUCT(G440:I440,Inputs!$B$4:$D$4)*Inputs!$B$2</f>
        <v>14082.1660002966</v>
      </c>
    </row>
    <row r="441" customFormat="false" ht="15" hidden="false" customHeight="false" outlineLevel="0" collapsed="false">
      <c r="D441" s="0" t="n">
        <f aca="false">MC_Shocks!A428</f>
        <v>0.192049116490032</v>
      </c>
      <c r="E441" s="0" t="n">
        <f aca="false">MC_Shocks!B428</f>
        <v>-0.309116464202501</v>
      </c>
      <c r="F441" s="0" t="n">
        <f aca="false">MC_Shocks!C428</f>
        <v>0.133540904782282</v>
      </c>
      <c r="G441" s="0" t="n">
        <f aca="false">$B$3*D441</f>
        <v>0.00282902195481546</v>
      </c>
      <c r="H441" s="0" t="n">
        <f aca="false">$B$4*D441+$C$4*E441</f>
        <v>-0.00185464855161987</v>
      </c>
      <c r="I441" s="0" t="n">
        <f aca="false">$B$5*D441+$C$5*E441+$D$5*F441</f>
        <v>0.00204790470578021</v>
      </c>
      <c r="J441" s="0" t="n">
        <f aca="false">SUMPRODUCT(G441:I441,Inputs!$B$4:$D$4)*Inputs!$B$2</f>
        <v>1189.58562817429</v>
      </c>
    </row>
    <row r="442" customFormat="false" ht="15" hidden="false" customHeight="false" outlineLevel="0" collapsed="false">
      <c r="D442" s="0" t="n">
        <f aca="false">MC_Shocks!A429</f>
        <v>-0.152469836380544</v>
      </c>
      <c r="E442" s="0" t="n">
        <f aca="false">MC_Shocks!B429</f>
        <v>0.708108676688591</v>
      </c>
      <c r="F442" s="0" t="n">
        <f aca="false">MC_Shocks!C429</f>
        <v>0.956702316794584</v>
      </c>
      <c r="G442" s="0" t="n">
        <f aca="false">$B$3*D442</f>
        <v>-0.00224599062183173</v>
      </c>
      <c r="H442" s="0" t="n">
        <f aca="false">$B$4*D442+$C$4*E442</f>
        <v>0.00726588569477231</v>
      </c>
      <c r="I442" s="0" t="n">
        <f aca="false">$B$5*D442+$C$5*E442+$D$5*F442</f>
        <v>0.00941581989902628</v>
      </c>
      <c r="J442" s="0" t="n">
        <f aca="false">SUMPRODUCT(G442:I442,Inputs!$B$4:$D$4)*Inputs!$B$2</f>
        <v>4106.11542940689</v>
      </c>
    </row>
    <row r="443" customFormat="false" ht="15" hidden="false" customHeight="false" outlineLevel="0" collapsed="false">
      <c r="D443" s="0" t="n">
        <f aca="false">MC_Shocks!A430</f>
        <v>-0.78598946050795</v>
      </c>
      <c r="E443" s="0" t="n">
        <f aca="false">MC_Shocks!B430</f>
        <v>-1.33123295355778</v>
      </c>
      <c r="F443" s="0" t="n">
        <f aca="false">MC_Shocks!C430</f>
        <v>-1.8362053731033</v>
      </c>
      <c r="G443" s="0" t="n">
        <f aca="false">$B$3*D443</f>
        <v>-0.0115781914578397</v>
      </c>
      <c r="H443" s="0" t="n">
        <f aca="false">$B$4*D443+$C$4*E443</f>
        <v>-0.0249184403404483</v>
      </c>
      <c r="I443" s="0" t="n">
        <f aca="false">$B$5*D443+$C$5*E443+$D$5*F443</f>
        <v>-0.0293978795979659</v>
      </c>
      <c r="J443" s="0" t="n">
        <f aca="false">SUMPRODUCT(G443:I443,Inputs!$B$4:$D$4)*Inputs!$B$2</f>
        <v>-20926.1725646602</v>
      </c>
    </row>
    <row r="444" customFormat="false" ht="15" hidden="false" customHeight="false" outlineLevel="0" collapsed="false">
      <c r="D444" s="0" t="n">
        <f aca="false">MC_Shocks!A431</f>
        <v>0.507991326912544</v>
      </c>
      <c r="E444" s="0" t="n">
        <f aca="false">MC_Shocks!B431</f>
        <v>-1.10336660617387</v>
      </c>
      <c r="F444" s="0" t="n">
        <f aca="false">MC_Shocks!C431</f>
        <v>-2.15289059295248</v>
      </c>
      <c r="G444" s="0" t="n">
        <f aca="false">$B$3*D444</f>
        <v>0.00748307851114753</v>
      </c>
      <c r="H444" s="0" t="n">
        <f aca="false">$B$4*D444+$C$4*E444</f>
        <v>-0.00848325391423518</v>
      </c>
      <c r="I444" s="0" t="n">
        <f aca="false">$B$5*D444+$C$5*E444+$D$5*F444</f>
        <v>-0.0176067624206197</v>
      </c>
      <c r="J444" s="0" t="n">
        <f aca="false">SUMPRODUCT(G444:I444,Inputs!$B$4:$D$4)*Inputs!$B$2</f>
        <v>-4833.77349599746</v>
      </c>
    </row>
    <row r="445" customFormat="false" ht="15" hidden="false" customHeight="false" outlineLevel="0" collapsed="false">
      <c r="D445" s="0" t="n">
        <f aca="false">MC_Shocks!A432</f>
        <v>0.388578604530964</v>
      </c>
      <c r="E445" s="0" t="n">
        <f aca="false">MC_Shocks!B432</f>
        <v>2.49299951743279</v>
      </c>
      <c r="F445" s="0" t="n">
        <f aca="false">MC_Shocks!C432</f>
        <v>-0.00607091153989332</v>
      </c>
      <c r="G445" s="0" t="n">
        <f aca="false">$B$3*D445</f>
        <v>0.00572404301295868</v>
      </c>
      <c r="H445" s="0" t="n">
        <f aca="false">$B$4*D445+$C$4*E445</f>
        <v>0.0352936129302454</v>
      </c>
      <c r="I445" s="0" t="n">
        <f aca="false">$B$5*D445+$C$5*E445+$D$5*F445</f>
        <v>0.0133965204801363</v>
      </c>
      <c r="J445" s="0" t="n">
        <f aca="false">SUMPRODUCT(G445:I445,Inputs!$B$4:$D$4)*Inputs!$B$2</f>
        <v>16896.657228298</v>
      </c>
    </row>
    <row r="446" customFormat="false" ht="15" hidden="false" customHeight="false" outlineLevel="0" collapsed="false">
      <c r="D446" s="0" t="n">
        <f aca="false">MC_Shocks!A433</f>
        <v>0.838490774451642</v>
      </c>
      <c r="E446" s="0" t="n">
        <f aca="false">MC_Shocks!B433</f>
        <v>0.081829358547565</v>
      </c>
      <c r="F446" s="0" t="n">
        <f aca="false">MC_Shocks!C433</f>
        <v>-0.0988896531911427</v>
      </c>
      <c r="G446" s="0" t="n">
        <f aca="false">$B$3*D446</f>
        <v>0.0123515736660889</v>
      </c>
      <c r="H446" s="0" t="n">
        <f aca="false">$B$4*D446+$C$4*E446</f>
        <v>0.009825672884786</v>
      </c>
      <c r="I446" s="0" t="n">
        <f aca="false">$B$5*D446+$C$5*E446+$D$5*F446</f>
        <v>0.00832554806473125</v>
      </c>
      <c r="J446" s="0" t="n">
        <f aca="false">SUMPRODUCT(G446:I446,Inputs!$B$4:$D$4)*Inputs!$B$2</f>
        <v>10385.9957512907</v>
      </c>
    </row>
    <row r="447" customFormat="false" ht="15" hidden="false" customHeight="false" outlineLevel="0" collapsed="false">
      <c r="D447" s="0" t="n">
        <f aca="false">MC_Shocks!A434</f>
        <v>0.919076482987769</v>
      </c>
      <c r="E447" s="0" t="n">
        <f aca="false">MC_Shocks!B434</f>
        <v>-0.290274544188651</v>
      </c>
      <c r="F447" s="0" t="n">
        <f aca="false">MC_Shocks!C434</f>
        <v>0.267392314071903</v>
      </c>
      <c r="G447" s="0" t="n">
        <f aca="false">$B$3*D447</f>
        <v>0.0135386592557531</v>
      </c>
      <c r="H447" s="0" t="n">
        <f aca="false">$B$4*D447+$C$4*E447</f>
        <v>0.00601239799544257</v>
      </c>
      <c r="I447" s="0" t="n">
        <f aca="false">$B$5*D447+$C$5*E447+$D$5*F447</f>
        <v>0.0109953546732096</v>
      </c>
      <c r="J447" s="0" t="n">
        <f aca="false">SUMPRODUCT(G447:I447,Inputs!$B$4:$D$4)*Inputs!$B$2</f>
        <v>10517.7895028969</v>
      </c>
    </row>
    <row r="448" customFormat="false" ht="15" hidden="false" customHeight="false" outlineLevel="0" collapsed="false">
      <c r="D448" s="0" t="n">
        <f aca="false">MC_Shocks!A435</f>
        <v>0.321697806196014</v>
      </c>
      <c r="E448" s="0" t="n">
        <f aca="false">MC_Shocks!B435</f>
        <v>-0.668090453643049</v>
      </c>
      <c r="F448" s="0" t="n">
        <f aca="false">MC_Shocks!C435</f>
        <v>0.992042349536523</v>
      </c>
      <c r="G448" s="0" t="n">
        <f aca="false">$B$3*D448</f>
        <v>0.00473884063190539</v>
      </c>
      <c r="H448" s="0" t="n">
        <f aca="false">$B$4*D448+$C$4*E448</f>
        <v>-0.00498854149750644</v>
      </c>
      <c r="I448" s="0" t="n">
        <f aca="false">$B$5*D448+$C$5*E448+$D$5*F448</f>
        <v>0.00959873574936549</v>
      </c>
      <c r="J448" s="0" t="n">
        <f aca="false">SUMPRODUCT(G448:I448,Inputs!$B$4:$D$4)*Inputs!$B$2</f>
        <v>3278.59452831987</v>
      </c>
    </row>
    <row r="449" customFormat="false" ht="15" hidden="false" customHeight="false" outlineLevel="0" collapsed="false">
      <c r="D449" s="0" t="n">
        <f aca="false">MC_Shocks!A436</f>
        <v>-0.174959756695409</v>
      </c>
      <c r="E449" s="0" t="n">
        <f aca="false">MC_Shocks!B436</f>
        <v>-0.755745159492845</v>
      </c>
      <c r="F449" s="0" t="n">
        <f aca="false">MC_Shocks!C436</f>
        <v>0.536509843570404</v>
      </c>
      <c r="G449" s="0" t="n">
        <f aca="false">$B$3*D449</f>
        <v>-0.00257728336347839</v>
      </c>
      <c r="H449" s="0" t="n">
        <f aca="false">$B$4*D449+$C$4*E449</f>
        <v>-0.0112991564037243</v>
      </c>
      <c r="I449" s="0" t="n">
        <f aca="false">$B$5*D449+$C$5*E449+$D$5*F449</f>
        <v>1.69465871057879E-005</v>
      </c>
      <c r="J449" s="0" t="n">
        <f aca="false">SUMPRODUCT(G449:I449,Inputs!$B$4:$D$4)*Inputs!$B$2</f>
        <v>-4415.57629037692</v>
      </c>
    </row>
    <row r="450" customFormat="false" ht="15" hidden="false" customHeight="false" outlineLevel="0" collapsed="false">
      <c r="D450" s="0" t="n">
        <f aca="false">MC_Shocks!A437</f>
        <v>-0.898467981791037</v>
      </c>
      <c r="E450" s="0" t="n">
        <f aca="false">MC_Shocks!B437</f>
        <v>0.0281811573691283</v>
      </c>
      <c r="F450" s="0" t="n">
        <f aca="false">MC_Shocks!C437</f>
        <v>-0.00911899664420354</v>
      </c>
      <c r="G450" s="0" t="n">
        <f aca="false">$B$3*D450</f>
        <v>-0.0132350811742345</v>
      </c>
      <c r="H450" s="0" t="n">
        <f aca="false">$B$4*D450+$C$4*E450</f>
        <v>-0.00907776735275102</v>
      </c>
      <c r="I450" s="0" t="n">
        <f aca="false">$B$5*D450+$C$5*E450+$D$5*F450</f>
        <v>-0.00949551344714983</v>
      </c>
      <c r="J450" s="0" t="n">
        <f aca="false">SUMPRODUCT(G450:I450,Inputs!$B$4:$D$4)*Inputs!$B$2</f>
        <v>-10866.0167096641</v>
      </c>
    </row>
    <row r="451" customFormat="false" ht="15" hidden="false" customHeight="false" outlineLevel="0" collapsed="false">
      <c r="D451" s="0" t="n">
        <f aca="false">MC_Shocks!A438</f>
        <v>1.08589556583158</v>
      </c>
      <c r="E451" s="0" t="n">
        <f aca="false">MC_Shocks!B438</f>
        <v>0.474698232879953</v>
      </c>
      <c r="F451" s="0" t="n">
        <f aca="false">MC_Shocks!C438</f>
        <v>-0.0250269587451439</v>
      </c>
      <c r="G451" s="0" t="n">
        <f aca="false">$B$3*D451</f>
        <v>0.0159960246239079</v>
      </c>
      <c r="H451" s="0" t="n">
        <f aca="false">$B$4*D451+$C$4*E451</f>
        <v>0.0173416465413398</v>
      </c>
      <c r="I451" s="0" t="n">
        <f aca="false">$B$5*D451+$C$5*E451+$D$5*F451</f>
        <v>0.0130649700905328</v>
      </c>
      <c r="J451" s="0" t="n">
        <f aca="false">SUMPRODUCT(G451:I451,Inputs!$B$4:$D$4)*Inputs!$B$2</f>
        <v>15520.3948391249</v>
      </c>
    </row>
    <row r="452" customFormat="false" ht="15" hidden="false" customHeight="false" outlineLevel="0" collapsed="false">
      <c r="D452" s="0" t="n">
        <f aca="false">MC_Shocks!A439</f>
        <v>0.817766299200287</v>
      </c>
      <c r="E452" s="0" t="n">
        <f aca="false">MC_Shocks!B439</f>
        <v>1.39020754901731</v>
      </c>
      <c r="F452" s="0" t="n">
        <f aca="false">MC_Shocks!C439</f>
        <v>0.557810306351862</v>
      </c>
      <c r="G452" s="0" t="n">
        <f aca="false">$B$3*D452</f>
        <v>0.0120462872031275</v>
      </c>
      <c r="H452" s="0" t="n">
        <f aca="false">$B$4*D452+$C$4*E452</f>
        <v>0.0259904044092582</v>
      </c>
      <c r="I452" s="0" t="n">
        <f aca="false">$B$5*D452+$C$5*E452+$D$5*F452</f>
        <v>0.0187563505965493</v>
      </c>
      <c r="J452" s="0" t="n">
        <f aca="false">SUMPRODUCT(G452:I452,Inputs!$B$4:$D$4)*Inputs!$B$2</f>
        <v>18242.5413829932</v>
      </c>
    </row>
    <row r="453" customFormat="false" ht="15" hidden="false" customHeight="false" outlineLevel="0" collapsed="false">
      <c r="D453" s="0" t="n">
        <f aca="false">MC_Shocks!A440</f>
        <v>0.0103526198433806</v>
      </c>
      <c r="E453" s="0" t="n">
        <f aca="false">MC_Shocks!B440</f>
        <v>-1.31183623235016</v>
      </c>
      <c r="F453" s="0" t="n">
        <f aca="false">MC_Shocks!C440</f>
        <v>-1.06511366307537</v>
      </c>
      <c r="G453" s="0" t="n">
        <f aca="false">$B$3*D453</f>
        <v>0.000152501554612995</v>
      </c>
      <c r="H453" s="0" t="n">
        <f aca="false">$B$4*D453+$C$4*E453</f>
        <v>-0.0163168963385214</v>
      </c>
      <c r="I453" s="0" t="n">
        <f aca="false">$B$5*D453+$C$5*E453+$D$5*F453</f>
        <v>-0.0141314533196219</v>
      </c>
      <c r="J453" s="0" t="n">
        <f aca="false">SUMPRODUCT(G453:I453,Inputs!$B$4:$D$4)*Inputs!$B$2</f>
        <v>-9073.50427559778</v>
      </c>
    </row>
    <row r="454" customFormat="false" ht="15" hidden="false" customHeight="false" outlineLevel="0" collapsed="false">
      <c r="D454" s="0" t="n">
        <f aca="false">MC_Shocks!A441</f>
        <v>-0.305224704354668</v>
      </c>
      <c r="E454" s="0" t="n">
        <f aca="false">MC_Shocks!B441</f>
        <v>-0.609512202159283</v>
      </c>
      <c r="F454" s="0" t="n">
        <f aca="false">MC_Shocks!C441</f>
        <v>-0.186971302985446</v>
      </c>
      <c r="G454" s="0" t="n">
        <f aca="false">$B$3*D454</f>
        <v>-0.0044961799645469</v>
      </c>
      <c r="H454" s="0" t="n">
        <f aca="false">$B$4*D454+$C$4*E454</f>
        <v>-0.0108354720202273</v>
      </c>
      <c r="I454" s="0" t="n">
        <f aca="false">$B$5*D454+$C$5*E454+$D$5*F454</f>
        <v>-0.00715394919747297</v>
      </c>
      <c r="J454" s="0" t="n">
        <f aca="false">SUMPRODUCT(G454:I454,Inputs!$B$4:$D$4)*Inputs!$B$2</f>
        <v>-7195.29835112885</v>
      </c>
    </row>
    <row r="455" customFormat="false" ht="15" hidden="false" customHeight="false" outlineLevel="0" collapsed="false">
      <c r="D455" s="0" t="n">
        <f aca="false">MC_Shocks!A442</f>
        <v>0.0566499248971072</v>
      </c>
      <c r="E455" s="0" t="n">
        <f aca="false">MC_Shocks!B442</f>
        <v>0.529692754356731</v>
      </c>
      <c r="F455" s="0" t="n">
        <f aca="false">MC_Shocks!C442</f>
        <v>-0.0704987780590912</v>
      </c>
      <c r="G455" s="0" t="n">
        <f aca="false">$B$3*D455</f>
        <v>0.000834494238773974</v>
      </c>
      <c r="H455" s="0" t="n">
        <f aca="false">$B$4*D455+$C$4*E455</f>
        <v>0.00722692383646561</v>
      </c>
      <c r="I455" s="0" t="n">
        <f aca="false">$B$5*D455+$C$5*E455+$D$5*F455</f>
        <v>0.00196550829104469</v>
      </c>
      <c r="J455" s="0" t="n">
        <f aca="false">SUMPRODUCT(G455:I455,Inputs!$B$4:$D$4)*Inputs!$B$2</f>
        <v>3091.52733376268</v>
      </c>
    </row>
    <row r="456" customFormat="false" ht="15" hidden="false" customHeight="false" outlineLevel="0" collapsed="false">
      <c r="D456" s="0" t="n">
        <f aca="false">MC_Shocks!A443</f>
        <v>0.486501643826202</v>
      </c>
      <c r="E456" s="0" t="n">
        <f aca="false">MC_Shocks!B443</f>
        <v>0.0644744148101202</v>
      </c>
      <c r="F456" s="0" t="n">
        <f aca="false">MC_Shocks!C443</f>
        <v>-1.97546656635387</v>
      </c>
      <c r="G456" s="0" t="n">
        <f aca="false">$B$3*D456</f>
        <v>0.00716651998505589</v>
      </c>
      <c r="H456" s="0" t="n">
        <f aca="false">$B$4*D456+$C$4*E456</f>
        <v>0.0059137734572901</v>
      </c>
      <c r="I456" s="0" t="n">
        <f aca="false">$B$5*D456+$C$5*E456+$D$5*F456</f>
        <v>-0.0119086984533235</v>
      </c>
      <c r="J456" s="0" t="n">
        <f aca="false">SUMPRODUCT(G456:I456,Inputs!$B$4:$D$4)*Inputs!$B$2</f>
        <v>1068.13049521233</v>
      </c>
    </row>
    <row r="457" customFormat="false" ht="15" hidden="false" customHeight="false" outlineLevel="0" collapsed="false">
      <c r="D457" s="0" t="n">
        <f aca="false">MC_Shocks!A444</f>
        <v>-0.939335393818754</v>
      </c>
      <c r="E457" s="0" t="n">
        <f aca="false">MC_Shocks!B444</f>
        <v>-0.144087555721616</v>
      </c>
      <c r="F457" s="0" t="n">
        <f aca="false">MC_Shocks!C444</f>
        <v>-1.20969474284111</v>
      </c>
      <c r="G457" s="0" t="n">
        <f aca="false">$B$3*D457</f>
        <v>-0.0138370876191269</v>
      </c>
      <c r="H457" s="0" t="n">
        <f aca="false">$B$4*D457+$C$4*E457</f>
        <v>-0.011663709949057</v>
      </c>
      <c r="I457" s="0" t="n">
        <f aca="false">$B$5*D457+$C$5*E457+$D$5*F457</f>
        <v>-0.0210907440009741</v>
      </c>
      <c r="J457" s="0" t="n">
        <f aca="false">SUMPRODUCT(G457:I457,Inputs!$B$4:$D$4)*Inputs!$B$2</f>
        <v>-15361.1712326601</v>
      </c>
    </row>
    <row r="458" customFormat="false" ht="15" hidden="false" customHeight="false" outlineLevel="0" collapsed="false">
      <c r="D458" s="0" t="n">
        <f aca="false">MC_Shocks!A445</f>
        <v>0.599928729996205</v>
      </c>
      <c r="E458" s="0" t="n">
        <f aca="false">MC_Shocks!B445</f>
        <v>1.5307508323437</v>
      </c>
      <c r="F458" s="0" t="n">
        <f aca="false">MC_Shocks!C445</f>
        <v>1.21876185169732</v>
      </c>
      <c r="G458" s="0" t="n">
        <f aca="false">$B$3*D458</f>
        <v>0.00883738274615762</v>
      </c>
      <c r="H458" s="0" t="n">
        <f aca="false">$B$4*D458+$C$4*E458</f>
        <v>0.0254636561661818</v>
      </c>
      <c r="I458" s="0" t="n">
        <f aca="false">$B$5*D458+$C$5*E458+$D$5*F458</f>
        <v>0.0227640845340637</v>
      </c>
      <c r="J458" s="0" t="n">
        <f aca="false">SUMPRODUCT(G458:I458,Inputs!$B$4:$D$4)*Inputs!$B$2</f>
        <v>18003.2753085367</v>
      </c>
    </row>
    <row r="459" customFormat="false" ht="15" hidden="false" customHeight="false" outlineLevel="0" collapsed="false">
      <c r="D459" s="0" t="n">
        <f aca="false">MC_Shocks!A446</f>
        <v>-0.213442870930208</v>
      </c>
      <c r="E459" s="0" t="n">
        <f aca="false">MC_Shocks!B446</f>
        <v>1.49072613684995</v>
      </c>
      <c r="F459" s="0" t="n">
        <f aca="false">MC_Shocks!C446</f>
        <v>0.148667457202112</v>
      </c>
      <c r="G459" s="0" t="n">
        <f aca="false">$B$3*D459</f>
        <v>-0.00314416738278379</v>
      </c>
      <c r="H459" s="0" t="n">
        <f aca="false">$B$4*D459+$C$4*E459</f>
        <v>0.0164250807345927</v>
      </c>
      <c r="I459" s="0" t="n">
        <f aca="false">$B$5*D459+$C$5*E459+$D$5*F459</f>
        <v>0.00462064948245119</v>
      </c>
      <c r="J459" s="0" t="n">
        <f aca="false">SUMPRODUCT(G459:I459,Inputs!$B$4:$D$4)*Inputs!$B$2</f>
        <v>5056.05211199966</v>
      </c>
    </row>
    <row r="460" customFormat="false" ht="15" hidden="false" customHeight="false" outlineLevel="0" collapsed="false">
      <c r="D460" s="0" t="n">
        <f aca="false">MC_Shocks!A447</f>
        <v>-0.337085971118039</v>
      </c>
      <c r="E460" s="0" t="n">
        <f aca="false">MC_Shocks!B447</f>
        <v>-0.61340266354094</v>
      </c>
      <c r="F460" s="0" t="n">
        <f aca="false">MC_Shocks!C447</f>
        <v>-0.302469686488128</v>
      </c>
      <c r="G460" s="0" t="n">
        <f aca="false">$B$3*D460</f>
        <v>-0.00496551939619427</v>
      </c>
      <c r="H460" s="0" t="n">
        <f aca="false">$B$4*D460+$C$4*E460</f>
        <v>-0.0112186113341532</v>
      </c>
      <c r="I460" s="0" t="n">
        <f aca="false">$B$5*D460+$C$5*E460+$D$5*F460</f>
        <v>-0.00851793952502028</v>
      </c>
      <c r="J460" s="0" t="n">
        <f aca="false">SUMPRODUCT(G460:I460,Inputs!$B$4:$D$4)*Inputs!$B$2</f>
        <v>-7907.17301622974</v>
      </c>
    </row>
    <row r="461" customFormat="false" ht="15" hidden="false" customHeight="false" outlineLevel="0" collapsed="false">
      <c r="D461" s="0" t="n">
        <f aca="false">MC_Shocks!A448</f>
        <v>-0.388176818541229</v>
      </c>
      <c r="E461" s="0" t="n">
        <f aca="false">MC_Shocks!B448</f>
        <v>0.170416222375488</v>
      </c>
      <c r="F461" s="0" t="n">
        <f aca="false">MC_Shocks!C448</f>
        <v>0.160573981049865</v>
      </c>
      <c r="G461" s="0" t="n">
        <f aca="false">$B$3*D461</f>
        <v>-0.00571812441563903</v>
      </c>
      <c r="H461" s="0" t="n">
        <f aca="false">$B$4*D461+$C$4*E461</f>
        <v>-0.00194064639760483</v>
      </c>
      <c r="I461" s="0" t="n">
        <f aca="false">$B$5*D461+$C$5*E461+$D$5*F461</f>
        <v>-0.0020689586119588</v>
      </c>
      <c r="J461" s="0" t="n">
        <f aca="false">SUMPRODUCT(G461:I461,Inputs!$B$4:$D$4)*Inputs!$B$2</f>
        <v>-3490.1312691247</v>
      </c>
    </row>
    <row r="462" customFormat="false" ht="15" hidden="false" customHeight="false" outlineLevel="0" collapsed="false">
      <c r="D462" s="0" t="n">
        <f aca="false">MC_Shocks!A449</f>
        <v>0.00304602015341447</v>
      </c>
      <c r="E462" s="0" t="n">
        <f aca="false">MC_Shocks!B449</f>
        <v>0.43693816974635</v>
      </c>
      <c r="F462" s="0" t="n">
        <f aca="false">MC_Shocks!C449</f>
        <v>1.19064627478634</v>
      </c>
      <c r="G462" s="0" t="n">
        <f aca="false">$B$3*D462</f>
        <v>4.4870073064185E-005</v>
      </c>
      <c r="H462" s="0" t="n">
        <f aca="false">$B$4*D462+$C$4*E462</f>
        <v>0.00550289469775537</v>
      </c>
      <c r="I462" s="0" t="n">
        <f aca="false">$B$5*D462+$C$5*E462+$D$5*F462</f>
        <v>0.0120981737735641</v>
      </c>
      <c r="J462" s="0" t="n">
        <f aca="false">SUMPRODUCT(G462:I462,Inputs!$B$4:$D$4)*Inputs!$B$2</f>
        <v>5298.2685706215</v>
      </c>
    </row>
    <row r="463" customFormat="false" ht="15" hidden="false" customHeight="false" outlineLevel="0" collapsed="false">
      <c r="D463" s="0" t="n">
        <f aca="false">MC_Shocks!A450</f>
        <v>0.949554135441324</v>
      </c>
      <c r="E463" s="0" t="n">
        <f aca="false">MC_Shocks!B450</f>
        <v>-1.4848979684499</v>
      </c>
      <c r="F463" s="0" t="n">
        <f aca="false">MC_Shocks!C450</f>
        <v>-2.55392113490196</v>
      </c>
      <c r="G463" s="0" t="n">
        <f aca="false">$B$3*D463</f>
        <v>0.0139876170510201</v>
      </c>
      <c r="H463" s="0" t="n">
        <f aca="false">$B$4*D463+$C$4*E463</f>
        <v>-0.00862563228471674</v>
      </c>
      <c r="I463" s="0" t="n">
        <f aca="false">$B$5*D463+$C$5*E463+$D$5*F463</f>
        <v>-0.0178687786404278</v>
      </c>
      <c r="J463" s="0" t="n">
        <f aca="false">SUMPRODUCT(G463:I463,Inputs!$B$4:$D$4)*Inputs!$B$2</f>
        <v>-2353.27645713531</v>
      </c>
    </row>
    <row r="464" customFormat="false" ht="15" hidden="false" customHeight="false" outlineLevel="0" collapsed="false">
      <c r="D464" s="0" t="n">
        <f aca="false">MC_Shocks!A451</f>
        <v>0.934319911239274</v>
      </c>
      <c r="E464" s="0" t="n">
        <f aca="false">MC_Shocks!B451</f>
        <v>-1.36687869841542</v>
      </c>
      <c r="F464" s="0" t="n">
        <f aca="false">MC_Shocks!C451</f>
        <v>-0.224765401892684</v>
      </c>
      <c r="G464" s="0" t="n">
        <f aca="false">$B$3*D464</f>
        <v>0.013763205944529</v>
      </c>
      <c r="H464" s="0" t="n">
        <f aca="false">$B$4*D464+$C$4*E464</f>
        <v>-0.00730781124118706</v>
      </c>
      <c r="I464" s="0" t="n">
        <f aca="false">$B$5*D464+$C$5*E464+$D$5*F464</f>
        <v>0.0028154834338881</v>
      </c>
      <c r="J464" s="0" t="n">
        <f aca="false">SUMPRODUCT(G464:I464,Inputs!$B$4:$D$4)*Inputs!$B$2</f>
        <v>4157.5840356219</v>
      </c>
    </row>
    <row r="465" customFormat="false" ht="15" hidden="false" customHeight="false" outlineLevel="0" collapsed="false">
      <c r="D465" s="0" t="n">
        <f aca="false">MC_Shocks!A452</f>
        <v>-1.17011302605936</v>
      </c>
      <c r="E465" s="0" t="n">
        <f aca="false">MC_Shocks!B452</f>
        <v>-1.80198043758002</v>
      </c>
      <c r="F465" s="0" t="n">
        <f aca="false">MC_Shocks!C452</f>
        <v>0.541462728204788</v>
      </c>
      <c r="G465" s="0" t="n">
        <f aca="false">$B$3*D465</f>
        <v>-0.0172366085345116</v>
      </c>
      <c r="H465" s="0" t="n">
        <f aca="false">$B$4*D465+$C$4*E465</f>
        <v>-0.034844582260208</v>
      </c>
      <c r="I465" s="0" t="n">
        <f aca="false">$B$5*D465+$C$5*E465+$D$5*F465</f>
        <v>-0.0144016796982397</v>
      </c>
      <c r="J465" s="0" t="n">
        <f aca="false">SUMPRODUCT(G465:I465,Inputs!$B$4:$D$4)*Inputs!$B$2</f>
        <v>-21668.5220013389</v>
      </c>
    </row>
    <row r="466" customFormat="false" ht="15" hidden="false" customHeight="false" outlineLevel="0" collapsed="false">
      <c r="D466" s="0" t="n">
        <f aca="false">MC_Shocks!A453</f>
        <v>0.759155160302647</v>
      </c>
      <c r="E466" s="0" t="n">
        <f aca="false">MC_Shocks!B453</f>
        <v>-0.576510400726719</v>
      </c>
      <c r="F466" s="0" t="n">
        <f aca="false">MC_Shocks!C453</f>
        <v>-2.59104229214491</v>
      </c>
      <c r="G466" s="0" t="n">
        <f aca="false">$B$3*D466</f>
        <v>0.011182902868075</v>
      </c>
      <c r="H466" s="0" t="n">
        <f aca="false">$B$4*D466+$C$4*E466</f>
        <v>0.000749837371714197</v>
      </c>
      <c r="I466" s="0" t="n">
        <f aca="false">$B$5*D466+$C$5*E466+$D$5*F466</f>
        <v>-0.0168113184657822</v>
      </c>
      <c r="J466" s="0" t="n">
        <f aca="false">SUMPRODUCT(G466:I466,Inputs!$B$4:$D$4)*Inputs!$B$2</f>
        <v>-345.283180990416</v>
      </c>
    </row>
    <row r="467" customFormat="false" ht="15" hidden="false" customHeight="false" outlineLevel="0" collapsed="false">
      <c r="D467" s="0" t="n">
        <f aca="false">MC_Shocks!A454</f>
        <v>-0.546244448252483</v>
      </c>
      <c r="E467" s="0" t="n">
        <f aca="false">MC_Shocks!B454</f>
        <v>0.391804005402547</v>
      </c>
      <c r="F467" s="0" t="n">
        <f aca="false">MC_Shocks!C454</f>
        <v>-1.47891156877413</v>
      </c>
      <c r="G467" s="0" t="n">
        <f aca="false">$B$3*D467</f>
        <v>-0.00804657456928496</v>
      </c>
      <c r="H467" s="0" t="n">
        <f aca="false">$B$4*D467+$C$4*E467</f>
        <v>-0.000827771421535626</v>
      </c>
      <c r="I467" s="0" t="n">
        <f aca="false">$B$5*D467+$C$5*E467+$D$5*F467</f>
        <v>-0.0172775612807482</v>
      </c>
      <c r="J467" s="0" t="n">
        <f aca="false">SUMPRODUCT(G467:I467,Inputs!$B$4:$D$4)*Inputs!$B$2</f>
        <v>-8650.22963839913</v>
      </c>
    </row>
    <row r="468" customFormat="false" ht="15" hidden="false" customHeight="false" outlineLevel="0" collapsed="false">
      <c r="D468" s="0" t="n">
        <f aca="false">MC_Shocks!A455</f>
        <v>0.183359919779156</v>
      </c>
      <c r="E468" s="0" t="n">
        <f aca="false">MC_Shocks!B455</f>
        <v>-0.0153098491729956</v>
      </c>
      <c r="F468" s="0" t="n">
        <f aca="false">MC_Shocks!C455</f>
        <v>0.579291499601088</v>
      </c>
      <c r="G468" s="0" t="n">
        <f aca="false">$B$3*D468</f>
        <v>0.00270102382228537</v>
      </c>
      <c r="H468" s="0" t="n">
        <f aca="false">$B$4*D468+$C$4*E468</f>
        <v>0.00173291263976846</v>
      </c>
      <c r="I468" s="0" t="n">
        <f aca="false">$B$5*D468+$C$5*E468+$D$5*F468</f>
        <v>0.00696049031087022</v>
      </c>
      <c r="J468" s="0" t="n">
        <f aca="false">SUMPRODUCT(G468:I468,Inputs!$B$4:$D$4)*Inputs!$B$2</f>
        <v>3688.43041410575</v>
      </c>
    </row>
    <row r="469" customFormat="false" ht="15" hidden="false" customHeight="false" outlineLevel="0" collapsed="false">
      <c r="D469" s="0" t="n">
        <f aca="false">MC_Shocks!A456</f>
        <v>0.119580368414153</v>
      </c>
      <c r="E469" s="0" t="n">
        <f aca="false">MC_Shocks!B456</f>
        <v>-0.973068940881556</v>
      </c>
      <c r="F469" s="0" t="n">
        <f aca="false">MC_Shocks!C456</f>
        <v>1.19657150166449</v>
      </c>
      <c r="G469" s="0" t="n">
        <f aca="false">$B$3*D469</f>
        <v>0.00176150504512277</v>
      </c>
      <c r="H469" s="0" t="n">
        <f aca="false">$B$4*D469+$C$4*E469</f>
        <v>-0.0109286841967152</v>
      </c>
      <c r="I469" s="0" t="n">
        <f aca="false">$B$5*D469+$C$5*E469+$D$5*F469</f>
        <v>0.00810699668631784</v>
      </c>
      <c r="J469" s="0" t="n">
        <f aca="false">SUMPRODUCT(G469:I469,Inputs!$B$4:$D$4)*Inputs!$B$2</f>
        <v>-141.904235070095</v>
      </c>
    </row>
    <row r="470" customFormat="false" ht="15" hidden="false" customHeight="false" outlineLevel="0" collapsed="false">
      <c r="D470" s="0" t="n">
        <f aca="false">MC_Shocks!A457</f>
        <v>-0.15852957302697</v>
      </c>
      <c r="E470" s="0" t="n">
        <f aca="false">MC_Shocks!B457</f>
        <v>-0.0273045395099319</v>
      </c>
      <c r="F470" s="0" t="n">
        <f aca="false">MC_Shocks!C457</f>
        <v>-0.933267959073196</v>
      </c>
      <c r="G470" s="0" t="n">
        <f aca="false">$B$3*D470</f>
        <v>-0.00233525491175117</v>
      </c>
      <c r="H470" s="0" t="n">
        <f aca="false">$B$4*D470+$C$4*E470</f>
        <v>-0.00200586158518833</v>
      </c>
      <c r="I470" s="0" t="n">
        <f aca="false">$B$5*D470+$C$5*E470+$D$5*F470</f>
        <v>-0.00995779074180725</v>
      </c>
      <c r="J470" s="0" t="n">
        <f aca="false">SUMPRODUCT(G470:I470,Inputs!$B$4:$D$4)*Inputs!$B$2</f>
        <v>-4523.19766279914</v>
      </c>
    </row>
    <row r="471" customFormat="false" ht="15" hidden="false" customHeight="false" outlineLevel="0" collapsed="false">
      <c r="D471" s="0" t="n">
        <f aca="false">MC_Shocks!A458</f>
        <v>-0.44328225119151</v>
      </c>
      <c r="E471" s="0" t="n">
        <f aca="false">MC_Shocks!B458</f>
        <v>-0.884802714026901</v>
      </c>
      <c r="F471" s="0" t="n">
        <f aca="false">MC_Shocks!C458</f>
        <v>-0.172946059923423</v>
      </c>
      <c r="G471" s="0" t="n">
        <f aca="false">$B$3*D471</f>
        <v>-0.00652986717002626</v>
      </c>
      <c r="H471" s="0" t="n">
        <f aca="false">$B$4*D471+$C$4*E471</f>
        <v>-0.0157314958745406</v>
      </c>
      <c r="I471" s="0" t="n">
        <f aca="false">$B$5*D471+$C$5*E471+$D$5*F471</f>
        <v>-0.00952456922839936</v>
      </c>
      <c r="J471" s="0" t="n">
        <f aca="false">SUMPRODUCT(G471:I471,Inputs!$B$4:$D$4)*Inputs!$B$2</f>
        <v>-10188.7663988925</v>
      </c>
    </row>
    <row r="472" customFormat="false" ht="15" hidden="false" customHeight="false" outlineLevel="0" collapsed="false">
      <c r="D472" s="0" t="n">
        <f aca="false">MC_Shocks!A459</f>
        <v>1.71170848014234</v>
      </c>
      <c r="E472" s="0" t="n">
        <f aca="false">MC_Shocks!B459</f>
        <v>-1.37190114293136</v>
      </c>
      <c r="F472" s="0" t="n">
        <f aca="false">MC_Shocks!C459</f>
        <v>-1.61356139787674</v>
      </c>
      <c r="G472" s="0" t="n">
        <f aca="false">$B$3*D472</f>
        <v>0.0252147000677186</v>
      </c>
      <c r="H472" s="0" t="n">
        <f aca="false">$B$4*D472+$C$4*E472</f>
        <v>0.000789036789917309</v>
      </c>
      <c r="I472" s="0" t="n">
        <f aca="false">$B$5*D472+$C$5*E472+$D$5*F472</f>
        <v>-0.00113144775978427</v>
      </c>
      <c r="J472" s="0" t="n">
        <f aca="false">SUMPRODUCT(G472:I472,Inputs!$B$4:$D$4)*Inputs!$B$2</f>
        <v>9983.15673612735</v>
      </c>
    </row>
    <row r="473" customFormat="false" ht="15" hidden="false" customHeight="false" outlineLevel="0" collapsed="false">
      <c r="D473" s="0" t="n">
        <f aca="false">MC_Shocks!A460</f>
        <v>1.47117032749361</v>
      </c>
      <c r="E473" s="0" t="n">
        <f aca="false">MC_Shocks!B460</f>
        <v>-0.209323677151866</v>
      </c>
      <c r="F473" s="0" t="n">
        <f aca="false">MC_Shocks!C460</f>
        <v>-0.669072738659917</v>
      </c>
      <c r="G473" s="0" t="n">
        <f aca="false">$B$3*D473</f>
        <v>0.0216713996493106</v>
      </c>
      <c r="H473" s="0" t="n">
        <f aca="false">$B$4*D473+$C$4*E473</f>
        <v>0.0128209518603472</v>
      </c>
      <c r="I473" s="0" t="n">
        <f aca="false">$B$5*D473+$C$5*E473+$D$5*F473</f>
        <v>0.0089453015274432</v>
      </c>
      <c r="J473" s="0" t="n">
        <f aca="false">SUMPRODUCT(G473:I473,Inputs!$B$4:$D$4)*Inputs!$B$2</f>
        <v>15198.4358760613</v>
      </c>
    </row>
    <row r="474" customFormat="false" ht="15" hidden="false" customHeight="false" outlineLevel="0" collapsed="false">
      <c r="D474" s="0" t="n">
        <f aca="false">MC_Shocks!A461</f>
        <v>1.03990468739608</v>
      </c>
      <c r="E474" s="0" t="n">
        <f aca="false">MC_Shocks!B461</f>
        <v>-0.605615539736864</v>
      </c>
      <c r="F474" s="0" t="n">
        <f aca="false">MC_Shocks!C461</f>
        <v>1.82600971354694</v>
      </c>
      <c r="G474" s="0" t="n">
        <f aca="false">$B$3*D474</f>
        <v>0.0153185458247693</v>
      </c>
      <c r="H474" s="0" t="n">
        <f aca="false">$B$4*D474+$C$4*E474</f>
        <v>0.00333225293701275</v>
      </c>
      <c r="I474" s="0" t="n">
        <f aca="false">$B$5*D474+$C$5*E474+$D$5*F474</f>
        <v>0.024749215820761</v>
      </c>
      <c r="J474" s="0" t="n">
        <f aca="false">SUMPRODUCT(G474:I474,Inputs!$B$4:$D$4)*Inputs!$B$2</f>
        <v>14551.8589572398</v>
      </c>
    </row>
    <row r="475" customFormat="false" ht="15" hidden="false" customHeight="false" outlineLevel="0" collapsed="false">
      <c r="D475" s="0" t="n">
        <f aca="false">MC_Shocks!A462</f>
        <v>0.677925871339269</v>
      </c>
      <c r="E475" s="0" t="n">
        <f aca="false">MC_Shocks!B462</f>
        <v>-0.487911408145703</v>
      </c>
      <c r="F475" s="0" t="n">
        <f aca="false">MC_Shocks!C462</f>
        <v>2.1573082132655</v>
      </c>
      <c r="G475" s="0" t="n">
        <f aca="false">$B$3*D475</f>
        <v>0.00998633687469082</v>
      </c>
      <c r="H475" s="0" t="n">
        <f aca="false">$B$4*D475+$C$4*E475</f>
        <v>0.0010065791868831</v>
      </c>
      <c r="I475" s="0" t="n">
        <f aca="false">$B$5*D475+$C$5*E475+$D$5*F475</f>
        <v>0.0242561495510229</v>
      </c>
      <c r="J475" s="0" t="n">
        <f aca="false">SUMPRODUCT(G475:I475,Inputs!$B$4:$D$4)*Inputs!$B$2</f>
        <v>11573.3533712481</v>
      </c>
    </row>
    <row r="476" customFormat="false" ht="15" hidden="false" customHeight="false" outlineLevel="0" collapsed="false">
      <c r="D476" s="0" t="n">
        <f aca="false">MC_Shocks!A463</f>
        <v>-0.605714923003338</v>
      </c>
      <c r="E476" s="0" t="n">
        <f aca="false">MC_Shocks!B463</f>
        <v>0.742095372009307</v>
      </c>
      <c r="F476" s="0" t="n">
        <f aca="false">MC_Shocks!C463</f>
        <v>0.299292580406492</v>
      </c>
      <c r="G476" s="0" t="n">
        <f aca="false">$B$3*D476</f>
        <v>-0.00892261754104319</v>
      </c>
      <c r="H476" s="0" t="n">
        <f aca="false">$B$4*D476+$C$4*E476</f>
        <v>0.00293402037475433</v>
      </c>
      <c r="I476" s="0" t="n">
        <f aca="false">$B$5*D476+$C$5*E476+$D$5*F476</f>
        <v>-0.00101908055973835</v>
      </c>
      <c r="J476" s="0" t="n">
        <f aca="false">SUMPRODUCT(G476:I476,Inputs!$B$4:$D$4)*Inputs!$B$2</f>
        <v>-2994.56507191248</v>
      </c>
    </row>
    <row r="477" customFormat="false" ht="15" hidden="false" customHeight="false" outlineLevel="0" collapsed="false">
      <c r="D477" s="0" t="n">
        <f aca="false">MC_Shocks!A464</f>
        <v>1.3017412893988</v>
      </c>
      <c r="E477" s="0" t="n">
        <f aca="false">MC_Shocks!B464</f>
        <v>1.56151119672685</v>
      </c>
      <c r="F477" s="0" t="n">
        <f aca="false">MC_Shocks!C464</f>
        <v>0.0320041490657666</v>
      </c>
      <c r="G477" s="0" t="n">
        <f aca="false">$B$3*D477</f>
        <v>0.0191755877585104</v>
      </c>
      <c r="H477" s="0" t="n">
        <f aca="false">$B$4*D477+$C$4*E477</f>
        <v>0.0332152709217518</v>
      </c>
      <c r="I477" s="0" t="n">
        <f aca="false">$B$5*D477+$C$5*E477+$D$5*F477</f>
        <v>0.019920114417033</v>
      </c>
      <c r="J477" s="0" t="n">
        <f aca="false">SUMPRODUCT(G477:I477,Inputs!$B$4:$D$4)*Inputs!$B$2</f>
        <v>23610.8507050396</v>
      </c>
    </row>
    <row r="478" customFormat="false" ht="15" hidden="false" customHeight="false" outlineLevel="0" collapsed="false">
      <c r="D478" s="0" t="n">
        <f aca="false">MC_Shocks!A465</f>
        <v>-0.753417870346184</v>
      </c>
      <c r="E478" s="0" t="n">
        <f aca="false">MC_Shocks!B465</f>
        <v>0.459972142939116</v>
      </c>
      <c r="F478" s="0" t="n">
        <f aca="false">MC_Shocks!C465</f>
        <v>-0.677715369752106</v>
      </c>
      <c r="G478" s="0" t="n">
        <f aca="false">$B$3*D478</f>
        <v>-0.0110983884503853</v>
      </c>
      <c r="H478" s="0" t="n">
        <f aca="false">$B$4*D478+$C$4*E478</f>
        <v>-0.0021487976391111</v>
      </c>
      <c r="I478" s="0" t="n">
        <f aca="false">$B$5*D478+$C$5*E478+$D$5*F478</f>
        <v>-0.0121991622787758</v>
      </c>
      <c r="J478" s="0" t="n">
        <f aca="false">SUMPRODUCT(G478:I478,Inputs!$B$4:$D$4)*Inputs!$B$2</f>
        <v>-8743.74335552019</v>
      </c>
    </row>
    <row r="479" customFormat="false" ht="15" hidden="false" customHeight="false" outlineLevel="0" collapsed="false">
      <c r="D479" s="0" t="n">
        <f aca="false">MC_Shocks!A466</f>
        <v>2.01338724752662</v>
      </c>
      <c r="E479" s="0" t="n">
        <f aca="false">MC_Shocks!B466</f>
        <v>0.136535331082737</v>
      </c>
      <c r="F479" s="0" t="n">
        <f aca="false">MC_Shocks!C466</f>
        <v>-0.365321551312109</v>
      </c>
      <c r="G479" s="0" t="n">
        <f aca="false">$B$3*D479</f>
        <v>0.0296586458240434</v>
      </c>
      <c r="H479" s="0" t="n">
        <f aca="false">$B$4*D479+$C$4*E479</f>
        <v>0.0228427610216571</v>
      </c>
      <c r="I479" s="0" t="n">
        <f aca="false">$B$5*D479+$C$5*E479+$D$5*F479</f>
        <v>0.0186467700556345</v>
      </c>
      <c r="J479" s="0" t="n">
        <f aca="false">SUMPRODUCT(G479:I479,Inputs!$B$4:$D$4)*Inputs!$B$2</f>
        <v>24310.3176528048</v>
      </c>
    </row>
    <row r="480" customFormat="false" ht="15" hidden="false" customHeight="false" outlineLevel="0" collapsed="false">
      <c r="D480" s="0" t="n">
        <f aca="false">MC_Shocks!A467</f>
        <v>0.184680305864908</v>
      </c>
      <c r="E480" s="0" t="n">
        <f aca="false">MC_Shocks!B467</f>
        <v>-1.3471262895297</v>
      </c>
      <c r="F480" s="0" t="n">
        <f aca="false">MC_Shocks!C467</f>
        <v>-0.971614038510652</v>
      </c>
      <c r="G480" s="0" t="n">
        <f aca="false">$B$3*D480</f>
        <v>0.00272047406133722</v>
      </c>
      <c r="H480" s="0" t="n">
        <f aca="false">$B$4*D480+$C$4*E480</f>
        <v>-0.0149289621805166</v>
      </c>
      <c r="I480" s="0" t="n">
        <f aca="false">$B$5*D480+$C$5*E480+$D$5*F480</f>
        <v>-0.0115971143702913</v>
      </c>
      <c r="J480" s="0" t="n">
        <f aca="false">SUMPRODUCT(G480:I480,Inputs!$B$4:$D$4)*Inputs!$B$2</f>
        <v>-6869.63334070747</v>
      </c>
    </row>
    <row r="481" customFormat="false" ht="15" hidden="false" customHeight="false" outlineLevel="0" collapsed="false">
      <c r="D481" s="0" t="n">
        <f aca="false">MC_Shocks!A468</f>
        <v>1.20041390794443</v>
      </c>
      <c r="E481" s="0" t="n">
        <f aca="false">MC_Shocks!B468</f>
        <v>-0.656894278971396</v>
      </c>
      <c r="F481" s="0" t="n">
        <f aca="false">MC_Shocks!C468</f>
        <v>-1.04691098268194</v>
      </c>
      <c r="G481" s="0" t="n">
        <f aca="false">$B$3*D481</f>
        <v>0.0176829623718518</v>
      </c>
      <c r="H481" s="0" t="n">
        <f aca="false">$B$4*D481+$C$4*E481</f>
        <v>0.00437494877802124</v>
      </c>
      <c r="I481" s="0" t="n">
        <f aca="false">$B$5*D481+$C$5*E481+$D$5*F481</f>
        <v>0.00109076510184499</v>
      </c>
      <c r="J481" s="0" t="n">
        <f aca="false">SUMPRODUCT(G481:I481,Inputs!$B$4:$D$4)*Inputs!$B$2</f>
        <v>8712.89911270058</v>
      </c>
    </row>
    <row r="482" customFormat="false" ht="15" hidden="false" customHeight="false" outlineLevel="0" collapsed="false">
      <c r="D482" s="0" t="n">
        <f aca="false">MC_Shocks!A469</f>
        <v>0.536652752527286</v>
      </c>
      <c r="E482" s="0" t="n">
        <f aca="false">MC_Shocks!B469</f>
        <v>1.185704154663</v>
      </c>
      <c r="F482" s="0" t="n">
        <f aca="false">MC_Shocks!C469</f>
        <v>0.718953310665067</v>
      </c>
      <c r="G482" s="0" t="n">
        <f aca="false">$B$3*D482</f>
        <v>0.00790528197556506</v>
      </c>
      <c r="H482" s="0" t="n">
        <f aca="false">$B$4*D482+$C$4*E482</f>
        <v>0.0204791449316772</v>
      </c>
      <c r="I482" s="0" t="n">
        <f aca="false">$B$5*D482+$C$5*E482+$D$5*F482</f>
        <v>0.0164235158510249</v>
      </c>
      <c r="J482" s="0" t="n">
        <f aca="false">SUMPRODUCT(G482:I482,Inputs!$B$4:$D$4)*Inputs!$B$2</f>
        <v>14232.9110250366</v>
      </c>
    </row>
    <row r="483" customFormat="false" ht="15" hidden="false" customHeight="false" outlineLevel="0" collapsed="false">
      <c r="D483" s="0" t="n">
        <f aca="false">MC_Shocks!A470</f>
        <v>0.996047685805816</v>
      </c>
      <c r="E483" s="0" t="n">
        <f aca="false">MC_Shocks!B470</f>
        <v>-0.756795088569461</v>
      </c>
      <c r="F483" s="0" t="n">
        <f aca="false">MC_Shocks!C470</f>
        <v>-1.42181066674184</v>
      </c>
      <c r="G483" s="0" t="n">
        <f aca="false">$B$3*D483</f>
        <v>0.0146725005701031</v>
      </c>
      <c r="H483" s="0" t="n">
        <f aca="false">$B$4*D483+$C$4*E483</f>
        <v>0.000978988975870758</v>
      </c>
      <c r="I483" s="0" t="n">
        <f aca="false">$B$5*D483+$C$5*E483+$D$5*F483</f>
        <v>-0.00473307418607323</v>
      </c>
      <c r="J483" s="0" t="n">
        <f aca="false">SUMPRODUCT(G483:I483,Inputs!$B$4:$D$4)*Inputs!$B$2</f>
        <v>4742.77466498051</v>
      </c>
    </row>
    <row r="484" customFormat="false" ht="15" hidden="false" customHeight="false" outlineLevel="0" collapsed="false">
      <c r="D484" s="0" t="n">
        <f aca="false">MC_Shocks!A471</f>
        <v>1.50133365195549</v>
      </c>
      <c r="E484" s="0" t="n">
        <f aca="false">MC_Shocks!B471</f>
        <v>-0.322679838842136</v>
      </c>
      <c r="F484" s="0" t="n">
        <f aca="false">MC_Shocks!C471</f>
        <v>-0.250833016455047</v>
      </c>
      <c r="G484" s="0" t="n">
        <f aca="false">$B$3*D484</f>
        <v>0.0221157271666272</v>
      </c>
      <c r="H484" s="0" t="n">
        <f aca="false">$B$4*D484+$C$4*E484</f>
        <v>0.011718218711525</v>
      </c>
      <c r="I484" s="0" t="n">
        <f aca="false">$B$5*D484+$C$5*E484+$D$5*F484</f>
        <v>0.0125044973912588</v>
      </c>
      <c r="J484" s="0" t="n">
        <f aca="false">SUMPRODUCT(G484:I484,Inputs!$B$4:$D$4)*Inputs!$B$2</f>
        <v>16113.105697486</v>
      </c>
    </row>
    <row r="485" customFormat="false" ht="15" hidden="false" customHeight="false" outlineLevel="0" collapsed="false">
      <c r="D485" s="0" t="n">
        <f aca="false">MC_Shocks!A472</f>
        <v>1.32819414184906</v>
      </c>
      <c r="E485" s="0" t="n">
        <f aca="false">MC_Shocks!B472</f>
        <v>0.55623000940066</v>
      </c>
      <c r="F485" s="0" t="n">
        <f aca="false">MC_Shocks!C472</f>
        <v>0.455887772081608</v>
      </c>
      <c r="G485" s="0" t="n">
        <f aca="false">$B$3*D485</f>
        <v>0.0195652573478166</v>
      </c>
      <c r="H485" s="0" t="n">
        <f aca="false">$B$4*D485+$C$4*E485</f>
        <v>0.0209057577090008</v>
      </c>
      <c r="I485" s="0" t="n">
        <f aca="false">$B$5*D485+$C$5*E485+$D$5*F485</f>
        <v>0.0201507364402948</v>
      </c>
      <c r="J485" s="0" t="n">
        <f aca="false">SUMPRODUCT(G485:I485,Inputs!$B$4:$D$4)*Inputs!$B$2</f>
        <v>20143.0511839153</v>
      </c>
    </row>
    <row r="486" customFormat="false" ht="15" hidden="false" customHeight="false" outlineLevel="0" collapsed="false">
      <c r="D486" s="0" t="n">
        <f aca="false">MC_Shocks!A473</f>
        <v>2.16500234490108</v>
      </c>
      <c r="E486" s="0" t="n">
        <f aca="false">MC_Shocks!B473</f>
        <v>-0.643518230380143</v>
      </c>
      <c r="F486" s="0" t="n">
        <f aca="false">MC_Shocks!C473</f>
        <v>0.927840128081237</v>
      </c>
      <c r="G486" s="0" t="n">
        <f aca="false">$B$3*D486</f>
        <v>0.031892045524042</v>
      </c>
      <c r="H486" s="0" t="n">
        <f aca="false">$B$4*D486+$C$4*E486</f>
        <v>0.0146670785315607</v>
      </c>
      <c r="I486" s="0" t="n">
        <f aca="false">$B$5*D486+$C$5*E486+$D$5*F486</f>
        <v>0.0286618964123666</v>
      </c>
      <c r="J486" s="0" t="n">
        <f aca="false">SUMPRODUCT(G486:I486,Inputs!$B$4:$D$4)*Inputs!$B$2</f>
        <v>25755.510692795</v>
      </c>
    </row>
    <row r="487" customFormat="false" ht="15" hidden="false" customHeight="false" outlineLevel="0" collapsed="false">
      <c r="D487" s="0" t="n">
        <f aca="false">MC_Shocks!A474</f>
        <v>0.0570131248970845</v>
      </c>
      <c r="E487" s="0" t="n">
        <f aca="false">MC_Shocks!B474</f>
        <v>0.268592278863257</v>
      </c>
      <c r="F487" s="0" t="n">
        <f aca="false">MC_Shocks!C474</f>
        <v>1.52846842641253</v>
      </c>
      <c r="G487" s="0" t="n">
        <f aca="false">$B$3*D487</f>
        <v>0.000839844436643686</v>
      </c>
      <c r="H487" s="0" t="n">
        <f aca="false">$B$4*D487+$C$4*E487</f>
        <v>0.00396148521371148</v>
      </c>
      <c r="I487" s="0" t="n">
        <f aca="false">$B$5*D487+$C$5*E487+$D$5*F487</f>
        <v>0.0149993036722344</v>
      </c>
      <c r="J487" s="0" t="n">
        <f aca="false">SUMPRODUCT(G487:I487,Inputs!$B$4:$D$4)*Inputs!$B$2</f>
        <v>6024.17444044124</v>
      </c>
    </row>
    <row r="488" customFormat="false" ht="15" hidden="false" customHeight="false" outlineLevel="0" collapsed="false">
      <c r="D488" s="0" t="n">
        <f aca="false">MC_Shocks!A475</f>
        <v>0.507835756289624</v>
      </c>
      <c r="E488" s="0" t="n">
        <f aca="false">MC_Shocks!B475</f>
        <v>0.538296079049633</v>
      </c>
      <c r="F488" s="0" t="n">
        <f aca="false">MC_Shocks!C475</f>
        <v>1.0725073373098</v>
      </c>
      <c r="G488" s="0" t="n">
        <f aca="false">$B$3*D488</f>
        <v>0.00748078684370429</v>
      </c>
      <c r="H488" s="0" t="n">
        <f aca="false">$B$4*D488+$C$4*E488</f>
        <v>0.0120704460864494</v>
      </c>
      <c r="I488" s="0" t="n">
        <f aca="false">$B$5*D488+$C$5*E488+$D$5*F488</f>
        <v>0.0167919444698796</v>
      </c>
      <c r="J488" s="0" t="n">
        <f aca="false">SUMPRODUCT(G488:I488,Inputs!$B$4:$D$4)*Inputs!$B$2</f>
        <v>11651.0319043804</v>
      </c>
    </row>
    <row r="489" customFormat="false" ht="15" hidden="false" customHeight="false" outlineLevel="0" collapsed="false">
      <c r="D489" s="0" t="n">
        <f aca="false">MC_Shocks!A476</f>
        <v>-0.364952729542885</v>
      </c>
      <c r="E489" s="0" t="n">
        <f aca="false">MC_Shocks!B476</f>
        <v>-0.839209667339006</v>
      </c>
      <c r="F489" s="0" t="n">
        <f aca="false">MC_Shocks!C476</f>
        <v>-1.04480919402103</v>
      </c>
      <c r="G489" s="0" t="n">
        <f aca="false">$B$3*D489</f>
        <v>-0.00537601683994335</v>
      </c>
      <c r="H489" s="0" t="n">
        <f aca="false">$B$4*D489+$C$4*E489</f>
        <v>-0.0143384500230939</v>
      </c>
      <c r="I489" s="0" t="n">
        <f aca="false">$B$5*D489+$C$5*E489+$D$5*F489</f>
        <v>-0.016161556564126</v>
      </c>
      <c r="J489" s="0" t="n">
        <f aca="false">SUMPRODUCT(G489:I489,Inputs!$B$4:$D$4)*Inputs!$B$2</f>
        <v>-11300.4087121433</v>
      </c>
    </row>
    <row r="490" customFormat="false" ht="15" hidden="false" customHeight="false" outlineLevel="0" collapsed="false">
      <c r="D490" s="0" t="n">
        <f aca="false">MC_Shocks!A477</f>
        <v>-1.966356589376</v>
      </c>
      <c r="E490" s="0" t="n">
        <f aca="false">MC_Shocks!B477</f>
        <v>2.05620712994032</v>
      </c>
      <c r="F490" s="0" t="n">
        <f aca="false">MC_Shocks!C477</f>
        <v>-1.10320836572168</v>
      </c>
      <c r="G490" s="0" t="n">
        <f aca="false">$B$3*D490</f>
        <v>-0.0289658503200118</v>
      </c>
      <c r="H490" s="0" t="n">
        <f aca="false">$B$4*D490+$C$4*E490</f>
        <v>0.00510631651401529</v>
      </c>
      <c r="I490" s="0" t="n">
        <f aca="false">$B$5*D490+$C$5*E490+$D$5*F490</f>
        <v>-0.0228050572803294</v>
      </c>
      <c r="J490" s="0" t="n">
        <f aca="false">SUMPRODUCT(G490:I490,Inputs!$B$4:$D$4)*Inputs!$B$2</f>
        <v>-16895.962357899</v>
      </c>
    </row>
    <row r="491" customFormat="false" ht="15" hidden="false" customHeight="false" outlineLevel="0" collapsed="false">
      <c r="D491" s="0" t="n">
        <f aca="false">MC_Shocks!A478</f>
        <v>-0.221253623585772</v>
      </c>
      <c r="E491" s="0" t="n">
        <f aca="false">MC_Shocks!B478</f>
        <v>-0.276813299888921</v>
      </c>
      <c r="F491" s="0" t="n">
        <f aca="false">MC_Shocks!C478</f>
        <v>0.307406697809101</v>
      </c>
      <c r="G491" s="0" t="n">
        <f aca="false">$B$3*D491</f>
        <v>-0.00325922540101409</v>
      </c>
      <c r="H491" s="0" t="n">
        <f aca="false">$B$4*D491+$C$4*E491</f>
        <v>-0.00578834501281095</v>
      </c>
      <c r="I491" s="0" t="n">
        <f aca="false">$B$5*D491+$C$5*E491+$D$5*F491</f>
        <v>-0.000687866806152091</v>
      </c>
      <c r="J491" s="0" t="n">
        <f aca="false">SUMPRODUCT(G491:I491,Inputs!$B$4:$D$4)*Inputs!$B$2</f>
        <v>-3246.55370609455</v>
      </c>
    </row>
    <row r="492" customFormat="false" ht="15" hidden="false" customHeight="false" outlineLevel="0" collapsed="false">
      <c r="D492" s="0" t="n">
        <f aca="false">MC_Shocks!A479</f>
        <v>0.815737212539297</v>
      </c>
      <c r="E492" s="0" t="n">
        <f aca="false">MC_Shocks!B479</f>
        <v>0.860473488359745</v>
      </c>
      <c r="F492" s="0" t="n">
        <f aca="false">MC_Shocks!C479</f>
        <v>-0.583077438568939</v>
      </c>
      <c r="G492" s="0" t="n">
        <f aca="false">$B$3*D492</f>
        <v>0.0120163972936237</v>
      </c>
      <c r="H492" s="0" t="n">
        <f aca="false">$B$4*D492+$C$4*E492</f>
        <v>0.0193362822326933</v>
      </c>
      <c r="I492" s="0" t="n">
        <f aca="false">$B$5*D492+$C$5*E492+$D$5*F492</f>
        <v>0.00675749123889802</v>
      </c>
      <c r="J492" s="0" t="n">
        <f aca="false">SUMPRODUCT(G492:I492,Inputs!$B$4:$D$4)*Inputs!$B$2</f>
        <v>12634.6909589269</v>
      </c>
    </row>
    <row r="493" customFormat="false" ht="15" hidden="false" customHeight="false" outlineLevel="0" collapsed="false">
      <c r="D493" s="0" t="n">
        <f aca="false">MC_Shocks!A480</f>
        <v>-0.167121713786412</v>
      </c>
      <c r="E493" s="0" t="n">
        <f aca="false">MC_Shocks!B480</f>
        <v>0.2825799504883</v>
      </c>
      <c r="F493" s="0" t="n">
        <f aca="false">MC_Shocks!C480</f>
        <v>-0.248691126183547</v>
      </c>
      <c r="G493" s="0" t="n">
        <f aca="false">$B$3*D493</f>
        <v>-0.00246182334013853</v>
      </c>
      <c r="H493" s="0" t="n">
        <f aca="false">$B$4*D493+$C$4*E493</f>
        <v>0.00178403013994315</v>
      </c>
      <c r="I493" s="0" t="n">
        <f aca="false">$B$5*D493+$C$5*E493+$D$5*F493</f>
        <v>-0.0028918219513671</v>
      </c>
      <c r="J493" s="0" t="n">
        <f aca="false">SUMPRODUCT(G493:I493,Inputs!$B$4:$D$4)*Inputs!$B$2</f>
        <v>-1317.0668794826</v>
      </c>
    </row>
    <row r="494" customFormat="false" ht="15" hidden="false" customHeight="false" outlineLevel="0" collapsed="false">
      <c r="D494" s="0" t="n">
        <f aca="false">MC_Shocks!A481</f>
        <v>1.60734557601999</v>
      </c>
      <c r="E494" s="0" t="n">
        <f aca="false">MC_Shocks!B481</f>
        <v>0.490974951638251</v>
      </c>
      <c r="F494" s="0" t="n">
        <f aca="false">MC_Shocks!C481</f>
        <v>0.734877786049818</v>
      </c>
      <c r="G494" s="0" t="n">
        <f aca="false">$B$3*D494</f>
        <v>0.023677359243525</v>
      </c>
      <c r="H494" s="0" t="n">
        <f aca="false">$B$4*D494+$C$4*E494</f>
        <v>0.0230187643766352</v>
      </c>
      <c r="I494" s="0" t="n">
        <f aca="false">$B$5*D494+$C$5*E494+$D$5*F494</f>
        <v>0.0253086696839647</v>
      </c>
      <c r="J494" s="0" t="n">
        <f aca="false">SUMPRODUCT(G494:I494,Inputs!$B$4:$D$4)*Inputs!$B$2</f>
        <v>23969.17391559</v>
      </c>
    </row>
    <row r="495" customFormat="false" ht="15" hidden="false" customHeight="false" outlineLevel="0" collapsed="false">
      <c r="D495" s="0" t="n">
        <f aca="false">MC_Shocks!A482</f>
        <v>0.662881268667413</v>
      </c>
      <c r="E495" s="0" t="n">
        <f aca="false">MC_Shocks!B482</f>
        <v>1.17347385748533</v>
      </c>
      <c r="F495" s="0" t="n">
        <f aca="false">MC_Shocks!C482</f>
        <v>0.181021558703707</v>
      </c>
      <c r="G495" s="0" t="n">
        <f aca="false">$B$3*D495</f>
        <v>0.009764719030058</v>
      </c>
      <c r="H495" s="0" t="n">
        <f aca="false">$B$4*D495+$C$4*E495</f>
        <v>0.0216509461770295</v>
      </c>
      <c r="I495" s="0" t="n">
        <f aca="false">$B$5*D495+$C$5*E495+$D$5*F495</f>
        <v>0.0130029834635256</v>
      </c>
      <c r="J495" s="0" t="n">
        <f aca="false">SUMPRODUCT(G495:I495,Inputs!$B$4:$D$4)*Inputs!$B$2</f>
        <v>14302.0665041897</v>
      </c>
    </row>
    <row r="496" customFormat="false" ht="15" hidden="false" customHeight="false" outlineLevel="0" collapsed="false">
      <c r="D496" s="0" t="n">
        <f aca="false">MC_Shocks!A483</f>
        <v>-1.29683194795585</v>
      </c>
      <c r="E496" s="0" t="n">
        <f aca="false">MC_Shocks!B483</f>
        <v>0.399687951752642</v>
      </c>
      <c r="F496" s="0" t="n">
        <f aca="false">MC_Shocks!C483</f>
        <v>-0.651356893791829</v>
      </c>
      <c r="G496" s="0" t="n">
        <f aca="false">$B$3*D496</f>
        <v>-0.0191032696193821</v>
      </c>
      <c r="H496" s="0" t="n">
        <f aca="false">$B$4*D496+$C$4*E496</f>
        <v>-0.00860747733906728</v>
      </c>
      <c r="I496" s="0" t="n">
        <f aca="false">$B$5*D496+$C$5*E496+$D$5*F496</f>
        <v>-0.0179525056802138</v>
      </c>
      <c r="J496" s="0" t="n">
        <f aca="false">SUMPRODUCT(G496:I496,Inputs!$B$4:$D$4)*Inputs!$B$2</f>
        <v>-15609.3027535372</v>
      </c>
    </row>
    <row r="497" customFormat="false" ht="15" hidden="false" customHeight="false" outlineLevel="0" collapsed="false">
      <c r="D497" s="0" t="n">
        <f aca="false">MC_Shocks!A484</f>
        <v>-0.528616681749757</v>
      </c>
      <c r="E497" s="0" t="n">
        <f aca="false">MC_Shocks!B484</f>
        <v>0.586364018755093</v>
      </c>
      <c r="F497" s="0" t="n">
        <f aca="false">MC_Shocks!C484</f>
        <v>1.23828307143364</v>
      </c>
      <c r="G497" s="0" t="n">
        <f aca="false">$B$3*D497</f>
        <v>-0.00778690485894208</v>
      </c>
      <c r="H497" s="0" t="n">
        <f aca="false">$B$4*D497+$C$4*E497</f>
        <v>0.0017933503485296</v>
      </c>
      <c r="I497" s="0" t="n">
        <f aca="false">$B$5*D497+$C$5*E497+$D$5*F497</f>
        <v>0.00744075969309975</v>
      </c>
      <c r="J497" s="0" t="n">
        <f aca="false">SUMPRODUCT(G497:I497,Inputs!$B$4:$D$4)*Inputs!$B$2</f>
        <v>-344.528931088029</v>
      </c>
    </row>
    <row r="498" customFormat="false" ht="15" hidden="false" customHeight="false" outlineLevel="0" collapsed="false">
      <c r="D498" s="0" t="n">
        <f aca="false">MC_Shocks!A485</f>
        <v>0.0212715767360617</v>
      </c>
      <c r="E498" s="0" t="n">
        <f aca="false">MC_Shocks!B485</f>
        <v>0.308833012598964</v>
      </c>
      <c r="F498" s="0" t="n">
        <f aca="false">MC_Shocks!C485</f>
        <v>1.70221494463524</v>
      </c>
      <c r="G498" s="0" t="n">
        <f aca="false">$B$3*D498</f>
        <v>0.000313345662295634</v>
      </c>
      <c r="H498" s="0" t="n">
        <f aca="false">$B$4*D498+$C$4*E498</f>
        <v>0.0040901858443499</v>
      </c>
      <c r="I498" s="0" t="n">
        <f aca="false">$B$5*D498+$C$5*E498+$D$5*F498</f>
        <v>0.0162932377178238</v>
      </c>
      <c r="J498" s="0" t="n">
        <f aca="false">SUMPRODUCT(G498:I498,Inputs!$B$4:$D$4)*Inputs!$B$2</f>
        <v>6240.36533357038</v>
      </c>
    </row>
    <row r="499" customFormat="false" ht="15" hidden="false" customHeight="false" outlineLevel="0" collapsed="false">
      <c r="D499" s="0" t="n">
        <f aca="false">MC_Shocks!A486</f>
        <v>0.240753179488568</v>
      </c>
      <c r="E499" s="0" t="n">
        <f aca="false">MC_Shocks!B486</f>
        <v>2.6016831141804</v>
      </c>
      <c r="F499" s="0" t="n">
        <f aca="false">MC_Shocks!C486</f>
        <v>0.565509645631544</v>
      </c>
      <c r="G499" s="0" t="n">
        <f aca="false">$B$3*D499</f>
        <v>0.00354646791879483</v>
      </c>
      <c r="H499" s="0" t="n">
        <f aca="false">$B$4*D499+$C$4*E499</f>
        <v>0.0351028193360422</v>
      </c>
      <c r="I499" s="0" t="n">
        <f aca="false">$B$5*D499+$C$5*E499+$D$5*F499</f>
        <v>0.0172440087223685</v>
      </c>
      <c r="J499" s="0" t="n">
        <f aca="false">SUMPRODUCT(G499:I499,Inputs!$B$4:$D$4)*Inputs!$B$2</f>
        <v>17122.6355850411</v>
      </c>
    </row>
    <row r="500" customFormat="false" ht="15" hidden="false" customHeight="false" outlineLevel="0" collapsed="false">
      <c r="D500" s="0" t="n">
        <f aca="false">MC_Shocks!A487</f>
        <v>-1.76076275915582</v>
      </c>
      <c r="E500" s="0" t="n">
        <f aca="false">MC_Shocks!B487</f>
        <v>0.753341621104533</v>
      </c>
      <c r="F500" s="0" t="n">
        <f aca="false">MC_Shocks!C487</f>
        <v>0.381158384882778</v>
      </c>
      <c r="G500" s="0" t="n">
        <f aca="false">$B$3*D500</f>
        <v>-0.0259373049661065</v>
      </c>
      <c r="H500" s="0" t="n">
        <f aca="false">$B$4*D500+$C$4*E500</f>
        <v>-0.0090489389741632</v>
      </c>
      <c r="I500" s="0" t="n">
        <f aca="false">$B$5*D500+$C$5*E500+$D$5*F500</f>
        <v>-0.0124999301594045</v>
      </c>
      <c r="J500" s="0" t="n">
        <f aca="false">SUMPRODUCT(G500:I500,Inputs!$B$4:$D$4)*Inputs!$B$2</f>
        <v>-16839.5827265129</v>
      </c>
    </row>
    <row r="501" customFormat="false" ht="15" hidden="false" customHeight="false" outlineLevel="0" collapsed="false">
      <c r="D501" s="0" t="n">
        <f aca="false">MC_Shocks!A488</f>
        <v>1.28975275408275</v>
      </c>
      <c r="E501" s="0" t="n">
        <f aca="false">MC_Shocks!B488</f>
        <v>0.673181351269958</v>
      </c>
      <c r="F501" s="0" t="n">
        <f aca="false">MC_Shocks!C488</f>
        <v>-0.138455983983774</v>
      </c>
      <c r="G501" s="0" t="n">
        <f aca="false">$B$3*D501</f>
        <v>0.0189989879894771</v>
      </c>
      <c r="H501" s="0" t="n">
        <f aca="false">$B$4*D501+$C$4*E501</f>
        <v>0.0219666169096182</v>
      </c>
      <c r="I501" s="0" t="n">
        <f aca="false">$B$5*D501+$C$5*E501+$D$5*F501</f>
        <v>0.0149745644048431</v>
      </c>
      <c r="J501" s="0" t="n">
        <f aca="false">SUMPRODUCT(G501:I501,Inputs!$B$4:$D$4)*Inputs!$B$2</f>
        <v>18681.9495901292</v>
      </c>
    </row>
    <row r="502" customFormat="false" ht="15" hidden="false" customHeight="false" outlineLevel="0" collapsed="false">
      <c r="D502" s="0" t="n">
        <f aca="false">MC_Shocks!A489</f>
        <v>-1.22429823628937</v>
      </c>
      <c r="E502" s="0" t="n">
        <f aca="false">MC_Shocks!B489</f>
        <v>-0.209023257286025</v>
      </c>
      <c r="F502" s="0" t="n">
        <f aca="false">MC_Shocks!C489</f>
        <v>-0.8505204542093</v>
      </c>
      <c r="G502" s="0" t="n">
        <f aca="false">$B$3*D502</f>
        <v>-0.0180347957491606</v>
      </c>
      <c r="H502" s="0" t="n">
        <f aca="false">$B$4*D502+$C$4*E502</f>
        <v>-0.01546783953178</v>
      </c>
      <c r="I502" s="0" t="n">
        <f aca="false">$B$5*D502+$C$5*E502+$D$5*F502</f>
        <v>-0.021207135317879</v>
      </c>
      <c r="J502" s="0" t="n">
        <f aca="false">SUMPRODUCT(G502:I502,Inputs!$B$4:$D$4)*Inputs!$B$2</f>
        <v>-18216.4107545619</v>
      </c>
    </row>
    <row r="503" customFormat="false" ht="15" hidden="false" customHeight="false" outlineLevel="0" collapsed="false">
      <c r="D503" s="0" t="n">
        <f aca="false">MC_Shocks!A490</f>
        <v>-0.580523449804723</v>
      </c>
      <c r="E503" s="0" t="n">
        <f aca="false">MC_Shocks!B490</f>
        <v>0.58857840442061</v>
      </c>
      <c r="F503" s="0" t="n">
        <f aca="false">MC_Shocks!C490</f>
        <v>1.66990450435141</v>
      </c>
      <c r="G503" s="0" t="n">
        <f aca="false">$B$3*D503</f>
        <v>-0.00855152897757808</v>
      </c>
      <c r="H503" s="0" t="n">
        <f aca="false">$B$4*D503+$C$4*E503</f>
        <v>0.00127624571574482</v>
      </c>
      <c r="I503" s="0" t="n">
        <f aca="false">$B$5*D503+$C$5*E503+$D$5*F503</f>
        <v>0.0106800898303871</v>
      </c>
      <c r="J503" s="0" t="n">
        <f aca="false">SUMPRODUCT(G503:I503,Inputs!$B$4:$D$4)*Inputs!$B$2</f>
        <v>166.289072808356</v>
      </c>
    </row>
    <row r="504" customFormat="false" ht="15" hidden="false" customHeight="false" outlineLevel="0" collapsed="false">
      <c r="D504" s="0" t="n">
        <f aca="false">MC_Shocks!A491</f>
        <v>0.394671529822981</v>
      </c>
      <c r="E504" s="0" t="n">
        <f aca="false">MC_Shocks!B491</f>
        <v>-1.19588306203518</v>
      </c>
      <c r="F504" s="0" t="n">
        <f aca="false">MC_Shocks!C491</f>
        <v>0.444602668220141</v>
      </c>
      <c r="G504" s="0" t="n">
        <f aca="false">$B$3*D504</f>
        <v>0.00581379619555695</v>
      </c>
      <c r="H504" s="0" t="n">
        <f aca="false">$B$4*D504+$C$4*E504</f>
        <v>-0.0108310997073868</v>
      </c>
      <c r="I504" s="0" t="n">
        <f aca="false">$B$5*D504+$C$5*E504+$D$5*F504</f>
        <v>0.00360069058761806</v>
      </c>
      <c r="J504" s="0" t="n">
        <f aca="false">SUMPRODUCT(G504:I504,Inputs!$B$4:$D$4)*Inputs!$B$2</f>
        <v>156.395742292169</v>
      </c>
    </row>
    <row r="505" customFormat="false" ht="15" hidden="false" customHeight="false" outlineLevel="0" collapsed="false">
      <c r="D505" s="0" t="n">
        <f aca="false">MC_Shocks!A492</f>
        <v>1.19663148664565</v>
      </c>
      <c r="E505" s="0" t="n">
        <f aca="false">MC_Shocks!B492</f>
        <v>-0.609782904319382</v>
      </c>
      <c r="F505" s="0" t="n">
        <f aca="false">MC_Shocks!C492</f>
        <v>-0.134017166672918</v>
      </c>
      <c r="G505" s="0" t="n">
        <f aca="false">$B$3*D505</f>
        <v>0.0176272445789654</v>
      </c>
      <c r="H505" s="0" t="n">
        <f aca="false">$B$4*D505+$C$4*E505</f>
        <v>0.00492513085848913</v>
      </c>
      <c r="I505" s="0" t="n">
        <f aca="false">$B$5*D505+$C$5*E505+$D$5*F505</f>
        <v>0.00922418592404739</v>
      </c>
      <c r="J505" s="0" t="n">
        <f aca="false">SUMPRODUCT(G505:I505,Inputs!$B$4:$D$4)*Inputs!$B$2</f>
        <v>11295.6928663471</v>
      </c>
    </row>
    <row r="506" customFormat="false" ht="15" hidden="false" customHeight="false" outlineLevel="0" collapsed="false">
      <c r="D506" s="0" t="n">
        <f aca="false">MC_Shocks!A493</f>
        <v>0.0146881947291971</v>
      </c>
      <c r="E506" s="0" t="n">
        <f aca="false">MC_Shocks!B493</f>
        <v>-0.78489831308224</v>
      </c>
      <c r="F506" s="0" t="n">
        <f aca="false">MC_Shocks!C493</f>
        <v>0.648280433843859</v>
      </c>
      <c r="G506" s="0" t="n">
        <f aca="false">$B$3*D506</f>
        <v>0.000216367698664525</v>
      </c>
      <c r="H506" s="0" t="n">
        <f aca="false">$B$4*D506+$C$4*E506</f>
        <v>-0.00967357509179268</v>
      </c>
      <c r="I506" s="0" t="n">
        <f aca="false">$B$5*D506+$C$5*E506+$D$5*F506</f>
        <v>0.00289666497806843</v>
      </c>
      <c r="J506" s="0" t="n">
        <f aca="false">SUMPRODUCT(G506:I506,Inputs!$B$4:$D$4)*Inputs!$B$2</f>
        <v>-1946.52595465147</v>
      </c>
    </row>
    <row r="507" customFormat="false" ht="15" hidden="false" customHeight="false" outlineLevel="0" collapsed="false">
      <c r="D507" s="0" t="n">
        <f aca="false">MC_Shocks!A494</f>
        <v>-0.120948148607782</v>
      </c>
      <c r="E507" s="0" t="n">
        <f aca="false">MC_Shocks!B494</f>
        <v>0.419532443907028</v>
      </c>
      <c r="F507" s="0" t="n">
        <f aca="false">MC_Shocks!C494</f>
        <v>-0.8874921778021</v>
      </c>
      <c r="G507" s="0" t="n">
        <f aca="false">$B$3*D507</f>
        <v>-0.00178165343355515</v>
      </c>
      <c r="H507" s="0" t="n">
        <f aca="false">$B$4*D507+$C$4*E507</f>
        <v>0.0039834719328534</v>
      </c>
      <c r="I507" s="0" t="n">
        <f aca="false">$B$5*D507+$C$5*E507+$D$5*F507</f>
        <v>-0.00748591095216677</v>
      </c>
      <c r="J507" s="0" t="n">
        <f aca="false">SUMPRODUCT(G507:I507,Inputs!$B$4:$D$4)*Inputs!$B$2</f>
        <v>-1763.39307921607</v>
      </c>
    </row>
    <row r="508" customFormat="false" ht="15" hidden="false" customHeight="false" outlineLevel="0" collapsed="false">
      <c r="D508" s="0" t="n">
        <f aca="false">MC_Shocks!A495</f>
        <v>-0.43745830032341</v>
      </c>
      <c r="E508" s="0" t="n">
        <f aca="false">MC_Shocks!B495</f>
        <v>0.722381357827771</v>
      </c>
      <c r="F508" s="0" t="n">
        <f aca="false">MC_Shocks!C495</f>
        <v>-0.372833152091767</v>
      </c>
      <c r="G508" s="0" t="n">
        <f aca="false">$B$3*D508</f>
        <v>-0.00644407617462495</v>
      </c>
      <c r="H508" s="0" t="n">
        <f aca="false">$B$4*D508+$C$4*E508</f>
        <v>0.00445325893190937</v>
      </c>
      <c r="I508" s="0" t="n">
        <f aca="false">$B$5*D508+$C$5*E508+$D$5*F508</f>
        <v>-0.00519782129293704</v>
      </c>
      <c r="J508" s="0" t="n">
        <f aca="false">SUMPRODUCT(G508:I508,Inputs!$B$4:$D$4)*Inputs!$B$2</f>
        <v>-2800.99917815828</v>
      </c>
    </row>
    <row r="509" customFormat="false" ht="15" hidden="false" customHeight="false" outlineLevel="0" collapsed="false">
      <c r="D509" s="0" t="n">
        <f aca="false">MC_Shocks!A496</f>
        <v>1.72696385123341</v>
      </c>
      <c r="E509" s="0" t="n">
        <f aca="false">MC_Shocks!B496</f>
        <v>-0.399636185614602</v>
      </c>
      <c r="F509" s="0" t="n">
        <f aca="false">MC_Shocks!C496</f>
        <v>0.224684725751886</v>
      </c>
      <c r="G509" s="0" t="n">
        <f aca="false">$B$3*D509</f>
        <v>0.025439422683132</v>
      </c>
      <c r="H509" s="0" t="n">
        <f aca="false">$B$4*D509+$C$4*E509</f>
        <v>0.0131229359608292</v>
      </c>
      <c r="I509" s="0" t="n">
        <f aca="false">$B$5*D509+$C$5*E509+$D$5*F509</f>
        <v>0.0187730889707365</v>
      </c>
      <c r="J509" s="0" t="n">
        <f aca="false">SUMPRODUCT(G509:I509,Inputs!$B$4:$D$4)*Inputs!$B$2</f>
        <v>19744.5765527225</v>
      </c>
    </row>
    <row r="510" customFormat="false" ht="15" hidden="false" customHeight="false" outlineLevel="0" collapsed="false">
      <c r="D510" s="0" t="n">
        <f aca="false">MC_Shocks!A497</f>
        <v>0.93259083187309</v>
      </c>
      <c r="E510" s="0" t="n">
        <f aca="false">MC_Shocks!B497</f>
        <v>-1.41836573293303</v>
      </c>
      <c r="F510" s="0" t="n">
        <f aca="false">MC_Shocks!C497</f>
        <v>-1.76080881198078</v>
      </c>
      <c r="G510" s="0" t="n">
        <f aca="false">$B$3*D510</f>
        <v>0.0137377353587853</v>
      </c>
      <c r="H510" s="0" t="n">
        <f aca="false">$B$4*D510+$C$4*E510</f>
        <v>-0.00797063173898293</v>
      </c>
      <c r="I510" s="0" t="n">
        <f aca="false">$B$5*D510+$C$5*E510+$D$5*F510</f>
        <v>-0.010851651975581</v>
      </c>
      <c r="J510" s="0" t="n">
        <f aca="false">SUMPRODUCT(G510:I510,Inputs!$B$4:$D$4)*Inputs!$B$2</f>
        <v>-151.590970855051</v>
      </c>
    </row>
    <row r="511" customFormat="false" ht="15" hidden="false" customHeight="false" outlineLevel="0" collapsed="false">
      <c r="D511" s="0" t="n">
        <f aca="false">MC_Shocks!A498</f>
        <v>-1.5256563145701</v>
      </c>
      <c r="E511" s="0" t="n">
        <f aca="false">MC_Shocks!B498</f>
        <v>1.26258410342718</v>
      </c>
      <c r="F511" s="0" t="n">
        <f aca="false">MC_Shocks!C498</f>
        <v>-0.551858145892447</v>
      </c>
      <c r="G511" s="0" t="n">
        <f aca="false">$B$3*D511</f>
        <v>-0.0224740175237707</v>
      </c>
      <c r="H511" s="0" t="n">
        <f aca="false">$B$4*D511+$C$4*E511</f>
        <v>-0.000204933717366296</v>
      </c>
      <c r="I511" s="0" t="n">
        <f aca="false">$B$5*D511+$C$5*E511+$D$5*F511</f>
        <v>-0.0162757063371072</v>
      </c>
      <c r="J511" s="0" t="n">
        <f aca="false">SUMPRODUCT(G511:I511,Inputs!$B$4:$D$4)*Inputs!$B$2</f>
        <v>-13933.7990258503</v>
      </c>
    </row>
    <row r="512" customFormat="false" ht="15" hidden="false" customHeight="false" outlineLevel="0" collapsed="false">
      <c r="D512" s="0" t="n">
        <f aca="false">MC_Shocks!A499</f>
        <v>2.55819928566825</v>
      </c>
      <c r="E512" s="0" t="n">
        <f aca="false">MC_Shocks!B499</f>
        <v>-0.564247598657389</v>
      </c>
      <c r="F512" s="0" t="n">
        <f aca="false">MC_Shocks!C499</f>
        <v>0.184551303197037</v>
      </c>
      <c r="G512" s="0" t="n">
        <f aca="false">$B$3*D512</f>
        <v>0.0376841199596165</v>
      </c>
      <c r="H512" s="0" t="n">
        <f aca="false">$B$4*D512+$C$4*E512</f>
        <v>0.0197867582582135</v>
      </c>
      <c r="I512" s="0" t="n">
        <f aca="false">$B$5*D512+$C$5*E512+$D$5*F512</f>
        <v>0.0266139808297678</v>
      </c>
      <c r="J512" s="0" t="n">
        <f aca="false">SUMPRODUCT(G512:I512,Inputs!$B$4:$D$4)*Inputs!$B$2</f>
        <v>28993.869710241</v>
      </c>
    </row>
    <row r="513" customFormat="false" ht="15" hidden="false" customHeight="false" outlineLevel="0" collapsed="false">
      <c r="D513" s="0" t="n">
        <f aca="false">MC_Shocks!A500</f>
        <v>1.54210995256788</v>
      </c>
      <c r="E513" s="0" t="n">
        <f aca="false">MC_Shocks!B500</f>
        <v>2.00609288815912</v>
      </c>
      <c r="F513" s="0" t="n">
        <f aca="false">MC_Shocks!C500</f>
        <v>2.0615035766364</v>
      </c>
      <c r="G513" s="0" t="n">
        <f aca="false">$B$3*D513</f>
        <v>0.0227163914746799</v>
      </c>
      <c r="H513" s="0" t="n">
        <f aca="false">$B$4*D513+$C$4*E513</f>
        <v>0.0413048895161669</v>
      </c>
      <c r="I513" s="0" t="n">
        <f aca="false">$B$5*D513+$C$5*E513+$D$5*F513</f>
        <v>0.0419103628793674</v>
      </c>
      <c r="J513" s="0" t="n">
        <f aca="false">SUMPRODUCT(G513:I513,Inputs!$B$4:$D$4)*Inputs!$B$2</f>
        <v>34051.1323085322</v>
      </c>
    </row>
    <row r="514" customFormat="false" ht="15" hidden="false" customHeight="false" outlineLevel="0" collapsed="false">
      <c r="D514" s="0" t="n">
        <f aca="false">MC_Shocks!A501</f>
        <v>1.20836623059314</v>
      </c>
      <c r="E514" s="0" t="n">
        <f aca="false">MC_Shocks!B501</f>
        <v>1.02406252581146</v>
      </c>
      <c r="F514" s="0" t="n">
        <f aca="false">MC_Shocks!C501</f>
        <v>0.592526949201183</v>
      </c>
      <c r="G514" s="0" t="n">
        <f aca="false">$B$3*D514</f>
        <v>0.0178001058181543</v>
      </c>
      <c r="H514" s="0" t="n">
        <f aca="false">$B$4*D514+$C$4*E514</f>
        <v>0.025505755431322</v>
      </c>
      <c r="I514" s="0" t="n">
        <f aca="false">$B$5*D514+$C$5*E514+$D$5*F514</f>
        <v>0.0218291153638457</v>
      </c>
      <c r="J514" s="0" t="n">
        <f aca="false">SUMPRODUCT(G514:I514,Inputs!$B$4:$D$4)*Inputs!$B$2</f>
        <v>21320.503565812</v>
      </c>
    </row>
    <row r="515" customFormat="false" ht="15" hidden="false" customHeight="false" outlineLevel="0" collapsed="false">
      <c r="D515" s="0" t="n">
        <f aca="false">MC_Shocks!A502</f>
        <v>0.778361076166638</v>
      </c>
      <c r="E515" s="0" t="n">
        <f aca="false">MC_Shocks!B502</f>
        <v>-0.551185716328533</v>
      </c>
      <c r="F515" s="0" t="n">
        <f aca="false">MC_Shocks!C502</f>
        <v>-0.818198883422307</v>
      </c>
      <c r="G515" s="0" t="n">
        <f aca="false">$B$3*D515</f>
        <v>0.0114658198563673</v>
      </c>
      <c r="H515" s="0" t="n">
        <f aca="false">$B$4*D515+$C$4*E515</f>
        <v>0.00126852070534318</v>
      </c>
      <c r="I515" s="0" t="n">
        <f aca="false">$B$5*D515+$C$5*E515+$D$5*F515</f>
        <v>-0.000982491216404814</v>
      </c>
      <c r="J515" s="0" t="n">
        <f aca="false">SUMPRODUCT(G515:I515,Inputs!$B$4:$D$4)*Inputs!$B$2</f>
        <v>4672.13678922845</v>
      </c>
    </row>
    <row r="516" customFormat="false" ht="15" hidden="false" customHeight="false" outlineLevel="0" collapsed="false">
      <c r="D516" s="0" t="n">
        <f aca="false">MC_Shocks!A503</f>
        <v>-0.00337445741095205</v>
      </c>
      <c r="E516" s="0" t="n">
        <f aca="false">MC_Shocks!B503</f>
        <v>-0.170184622524928</v>
      </c>
      <c r="F516" s="0" t="n">
        <f aca="false">MC_Shocks!C503</f>
        <v>-0.453228049327275</v>
      </c>
      <c r="G516" s="0" t="n">
        <f aca="false">$B$3*D516</f>
        <v>-4.97081906735489E-005</v>
      </c>
      <c r="H516" s="0" t="n">
        <f aca="false">$B$4*D516+$C$4*E516</f>
        <v>-0.00216630882601342</v>
      </c>
      <c r="I516" s="0" t="n">
        <f aca="false">$B$5*D516+$C$5*E516+$D$5*F516</f>
        <v>-0.0046431813901497</v>
      </c>
      <c r="J516" s="0" t="n">
        <f aca="false">SUMPRODUCT(G516:I516,Inputs!$B$4:$D$4)*Inputs!$B$2</f>
        <v>-2062.73034111835</v>
      </c>
    </row>
    <row r="517" customFormat="false" ht="15" hidden="false" customHeight="false" outlineLevel="0" collapsed="false">
      <c r="D517" s="0" t="n">
        <f aca="false">MC_Shocks!A504</f>
        <v>0.696387447456715</v>
      </c>
      <c r="E517" s="0" t="n">
        <f aca="false">MC_Shocks!B504</f>
        <v>0.955305208570511</v>
      </c>
      <c r="F517" s="0" t="n">
        <f aca="false">MC_Shocks!C504</f>
        <v>0.0884068862918474</v>
      </c>
      <c r="G517" s="0" t="n">
        <f aca="false">$B$3*D517</f>
        <v>0.0102582892018418</v>
      </c>
      <c r="H517" s="0" t="n">
        <f aca="false">$B$4*D517+$C$4*E517</f>
        <v>0.0192709388566338</v>
      </c>
      <c r="I517" s="0" t="n">
        <f aca="false">$B$5*D517+$C$5*E517+$D$5*F517</f>
        <v>0.0117300660631402</v>
      </c>
      <c r="J517" s="0" t="n">
        <f aca="false">SUMPRODUCT(G517:I517,Inputs!$B$4:$D$4)*Inputs!$B$2</f>
        <v>13403.6171566689</v>
      </c>
    </row>
    <row r="518" customFormat="false" ht="15" hidden="false" customHeight="false" outlineLevel="0" collapsed="false">
      <c r="D518" s="0" t="n">
        <f aca="false">MC_Shocks!A505</f>
        <v>1.47753008105526</v>
      </c>
      <c r="E518" s="0" t="n">
        <f aca="false">MC_Shocks!B505</f>
        <v>-1.14168911413351</v>
      </c>
      <c r="F518" s="0" t="n">
        <f aca="false">MC_Shocks!C505</f>
        <v>-0.193659459279718</v>
      </c>
      <c r="G518" s="0" t="n">
        <f aca="false">$B$3*D518</f>
        <v>0.0217650834047058</v>
      </c>
      <c r="H518" s="0" t="n">
        <f aca="false">$B$4*D518+$C$4*E518</f>
        <v>0.00121351607792467</v>
      </c>
      <c r="I518" s="0" t="n">
        <f aca="false">$B$5*D518+$C$5*E518+$D$5*F518</f>
        <v>0.00968734876291696</v>
      </c>
      <c r="J518" s="0" t="n">
        <f aca="false">SUMPRODUCT(G518:I518,Inputs!$B$4:$D$4)*Inputs!$B$2</f>
        <v>11976.2928141348</v>
      </c>
    </row>
    <row r="519" customFormat="false" ht="15" hidden="false" customHeight="false" outlineLevel="0" collapsed="false">
      <c r="D519" s="0" t="n">
        <f aca="false">MC_Shocks!A506</f>
        <v>-0.716822320602805</v>
      </c>
      <c r="E519" s="0" t="n">
        <f aca="false">MC_Shocks!B506</f>
        <v>-1.86653661707306</v>
      </c>
      <c r="F519" s="0" t="n">
        <f aca="false">MC_Shocks!C506</f>
        <v>-0.0826806858426993</v>
      </c>
      <c r="G519" s="0" t="n">
        <f aca="false">$B$3*D519</f>
        <v>-0.0105593096169873</v>
      </c>
      <c r="H519" s="0" t="n">
        <f aca="false">$B$4*D519+$C$4*E519</f>
        <v>-0.030895000006919</v>
      </c>
      <c r="I519" s="0" t="n">
        <f aca="false">$B$5*D519+$C$5*E519+$D$5*F519</f>
        <v>-0.0153074169603239</v>
      </c>
      <c r="J519" s="0" t="n">
        <f aca="false">SUMPRODUCT(G519:I519,Inputs!$B$4:$D$4)*Inputs!$B$2</f>
        <v>-18084.4489369678</v>
      </c>
    </row>
    <row r="520" customFormat="false" ht="15" hidden="false" customHeight="false" outlineLevel="0" collapsed="false">
      <c r="D520" s="0" t="n">
        <f aca="false">MC_Shocks!A507</f>
        <v>-0.121747508383284</v>
      </c>
      <c r="E520" s="0" t="n">
        <f aca="false">MC_Shocks!B507</f>
        <v>1.51344974324213</v>
      </c>
      <c r="F520" s="0" t="n">
        <f aca="false">MC_Shocks!C507</f>
        <v>0.630811684554778</v>
      </c>
      <c r="G520" s="0" t="n">
        <f aca="false">$B$3*D520</f>
        <v>-0.00179342857939295</v>
      </c>
      <c r="H520" s="0" t="n">
        <f aca="false">$B$4*D520+$C$4*E520</f>
        <v>0.0176720696898926</v>
      </c>
      <c r="I520" s="0" t="n">
        <f aca="false">$B$5*D520+$C$5*E520+$D$5*F520</f>
        <v>0.00990110188848198</v>
      </c>
      <c r="J520" s="0" t="n">
        <f aca="false">SUMPRODUCT(G520:I520,Inputs!$B$4:$D$4)*Inputs!$B$2</f>
        <v>7554.58004175521</v>
      </c>
    </row>
    <row r="521" customFormat="false" ht="15" hidden="false" customHeight="false" outlineLevel="0" collapsed="false">
      <c r="D521" s="0" t="n">
        <f aca="false">MC_Shocks!A508</f>
        <v>-1.02418682432921</v>
      </c>
      <c r="E521" s="0" t="n">
        <f aca="false">MC_Shocks!B508</f>
        <v>1.85409256633419</v>
      </c>
      <c r="F521" s="0" t="n">
        <f aca="false">MC_Shocks!C508</f>
        <v>1.22103369552535</v>
      </c>
      <c r="G521" s="0" t="n">
        <f aca="false">$B$3*D521</f>
        <v>-0.0150870103690919</v>
      </c>
      <c r="H521" s="0" t="n">
        <f aca="false">$B$4*D521+$C$4*E521</f>
        <v>0.0124649645509363</v>
      </c>
      <c r="I521" s="0" t="n">
        <f aca="false">$B$5*D521+$C$5*E521+$D$5*F521</f>
        <v>0.00678348631681122</v>
      </c>
      <c r="J521" s="0" t="n">
        <f aca="false">SUMPRODUCT(G521:I521,Inputs!$B$4:$D$4)*Inputs!$B$2</f>
        <v>-260.26888731251</v>
      </c>
    </row>
    <row r="522" customFormat="false" ht="15" hidden="false" customHeight="false" outlineLevel="0" collapsed="false">
      <c r="D522" s="0" t="n">
        <f aca="false">MC_Shocks!A509</f>
        <v>0.582097703468616</v>
      </c>
      <c r="E522" s="0" t="n">
        <f aca="false">MC_Shocks!B509</f>
        <v>-0.226484098849832</v>
      </c>
      <c r="F522" s="0" t="n">
        <f aca="false">MC_Shocks!C509</f>
        <v>-0.95943923672348</v>
      </c>
      <c r="G522" s="0" t="n">
        <f aca="false">$B$3*D522</f>
        <v>0.00857471886909644</v>
      </c>
      <c r="H522" s="0" t="n">
        <f aca="false">$B$4*D522+$C$4*E522</f>
        <v>0.00327407740424639</v>
      </c>
      <c r="I522" s="0" t="n">
        <f aca="false">$B$5*D522+$C$5*E522+$D$5*F522</f>
        <v>-0.00308416445620498</v>
      </c>
      <c r="J522" s="0" t="n">
        <f aca="false">SUMPRODUCT(G522:I522,Inputs!$B$4:$D$4)*Inputs!$B$2</f>
        <v>3486.861432051</v>
      </c>
    </row>
    <row r="523" customFormat="false" ht="15" hidden="false" customHeight="false" outlineLevel="0" collapsed="false">
      <c r="D523" s="0" t="n">
        <f aca="false">MC_Shocks!A510</f>
        <v>-0.372206776071053</v>
      </c>
      <c r="E523" s="0" t="n">
        <f aca="false">MC_Shocks!B510</f>
        <v>1.08874861970419</v>
      </c>
      <c r="F523" s="0" t="n">
        <f aca="false">MC_Shocks!C510</f>
        <v>1.88458630593461</v>
      </c>
      <c r="G523" s="0" t="n">
        <f aca="false">$B$3*D523</f>
        <v>-0.00548287417552763</v>
      </c>
      <c r="H523" s="0" t="n">
        <f aca="false">$B$4*D523+$C$4*E523</f>
        <v>0.00972546217750357</v>
      </c>
      <c r="I523" s="0" t="n">
        <f aca="false">$B$5*D523+$C$5*E523+$D$5*F523</f>
        <v>0.0166405550376851</v>
      </c>
      <c r="J523" s="0" t="n">
        <f aca="false">SUMPRODUCT(G523:I523,Inputs!$B$4:$D$4)*Inputs!$B$2</f>
        <v>5716.65549434556</v>
      </c>
    </row>
    <row r="524" customFormat="false" ht="15" hidden="false" customHeight="false" outlineLevel="0" collapsed="false">
      <c r="D524" s="0" t="n">
        <f aca="false">MC_Shocks!A511</f>
        <v>1.54324352827219</v>
      </c>
      <c r="E524" s="0" t="n">
        <f aca="false">MC_Shocks!B511</f>
        <v>-0.488849421786274</v>
      </c>
      <c r="F524" s="0" t="n">
        <f aca="false">MC_Shocks!C511</f>
        <v>-1.11961743328901</v>
      </c>
      <c r="G524" s="0" t="n">
        <f aca="false">$B$3*D524</f>
        <v>0.0227330898621214</v>
      </c>
      <c r="H524" s="0" t="n">
        <f aca="false">$B$4*D524+$C$4*E524</f>
        <v>0.0100775021157393</v>
      </c>
      <c r="I524" s="0" t="n">
        <f aca="false">$B$5*D524+$C$5*E524+$D$5*F524</f>
        <v>0.00471585937807868</v>
      </c>
      <c r="J524" s="0" t="n">
        <f aca="false">SUMPRODUCT(G524:I524,Inputs!$B$4:$D$4)*Inputs!$B$2</f>
        <v>13531.2443929939</v>
      </c>
    </row>
    <row r="525" customFormat="false" ht="15" hidden="false" customHeight="false" outlineLevel="0" collapsed="false">
      <c r="D525" s="0" t="n">
        <f aca="false">MC_Shocks!A512</f>
        <v>0.140886246911204</v>
      </c>
      <c r="E525" s="0" t="n">
        <f aca="false">MC_Shocks!B512</f>
        <v>-1.76843936556285</v>
      </c>
      <c r="F525" s="0" t="n">
        <f aca="false">MC_Shocks!C512</f>
        <v>0.323167714184782</v>
      </c>
      <c r="G525" s="0" t="n">
        <f aca="false">$B$3*D525</f>
        <v>0.00207535599708961</v>
      </c>
      <c r="H525" s="0" t="n">
        <f aca="false">$B$4*D525+$C$4*E525</f>
        <v>-0.0206639196176424</v>
      </c>
      <c r="I525" s="0" t="n">
        <f aca="false">$B$5*D525+$C$5*E525+$D$5*F525</f>
        <v>-0.00229570391973626</v>
      </c>
      <c r="J525" s="0" t="n">
        <f aca="false">SUMPRODUCT(G525:I525,Inputs!$B$4:$D$4)*Inputs!$B$2</f>
        <v>-6057.74466237774</v>
      </c>
    </row>
    <row r="526" customFormat="false" ht="15" hidden="false" customHeight="false" outlineLevel="0" collapsed="false">
      <c r="D526" s="0" t="n">
        <f aca="false">MC_Shocks!A513</f>
        <v>-0.147602586298669</v>
      </c>
      <c r="E526" s="0" t="n">
        <f aca="false">MC_Shocks!B513</f>
        <v>-0.466036501868242</v>
      </c>
      <c r="F526" s="0" t="n">
        <f aca="false">MC_Shocks!C513</f>
        <v>-1.5947030672668</v>
      </c>
      <c r="G526" s="0" t="n">
        <f aca="false">$B$3*D526</f>
        <v>-0.00217429251880027</v>
      </c>
      <c r="H526" s="0" t="n">
        <f aca="false">$B$4*D526+$C$4*E526</f>
        <v>-0.00738455101851758</v>
      </c>
      <c r="I526" s="0" t="n">
        <f aca="false">$B$5*D526+$C$5*E526+$D$5*F526</f>
        <v>-0.0172785982526913</v>
      </c>
      <c r="J526" s="0" t="n">
        <f aca="false">SUMPRODUCT(G526:I526,Inputs!$B$4:$D$4)*Inputs!$B$2</f>
        <v>-8268.66178888278</v>
      </c>
    </row>
    <row r="527" customFormat="false" ht="15" hidden="false" customHeight="false" outlineLevel="0" collapsed="false">
      <c r="D527" s="0" t="n">
        <f aca="false">MC_Shocks!A514</f>
        <v>0.513600106569717</v>
      </c>
      <c r="E527" s="0" t="n">
        <f aca="false">MC_Shocks!B514</f>
        <v>-0.532700839661911</v>
      </c>
      <c r="F527" s="0" t="n">
        <f aca="false">MC_Shocks!C514</f>
        <v>-1.16991683571029</v>
      </c>
      <c r="G527" s="0" t="n">
        <f aca="false">$B$3*D527</f>
        <v>0.00756569987947176</v>
      </c>
      <c r="H527" s="0" t="n">
        <f aca="false">$B$4*D527+$C$4*E527</f>
        <v>-0.00127905031988661</v>
      </c>
      <c r="I527" s="0" t="n">
        <f aca="false">$B$5*D527+$C$5*E527+$D$5*F527</f>
        <v>-0.00680011319014651</v>
      </c>
      <c r="J527" s="0" t="n">
        <f aca="false">SUMPRODUCT(G527:I527,Inputs!$B$4:$D$4)*Inputs!$B$2</f>
        <v>602.530898778767</v>
      </c>
    </row>
    <row r="528" customFormat="false" ht="15" hidden="false" customHeight="false" outlineLevel="0" collapsed="false">
      <c r="D528" s="0" t="n">
        <f aca="false">MC_Shocks!A515</f>
        <v>-2.87226221328165</v>
      </c>
      <c r="E528" s="0" t="n">
        <f aca="false">MC_Shocks!B515</f>
        <v>-0.0275149050506363</v>
      </c>
      <c r="F528" s="0" t="n">
        <f aca="false">MC_Shocks!C515</f>
        <v>1.77225159666974</v>
      </c>
      <c r="G528" s="0" t="n">
        <f aca="false">$B$3*D528</f>
        <v>-0.0423104933251927</v>
      </c>
      <c r="H528" s="0" t="n">
        <f aca="false">$B$4*D528+$C$4*E528</f>
        <v>-0.0304927544905378</v>
      </c>
      <c r="I528" s="0" t="n">
        <f aca="false">$B$5*D528+$C$5*E528+$D$5*F528</f>
        <v>-0.0150152065535647</v>
      </c>
      <c r="J528" s="0" t="n">
        <f aca="false">SUMPRODUCT(G528:I528,Inputs!$B$4:$D$4)*Inputs!$B$2</f>
        <v>-30576.5856433078</v>
      </c>
    </row>
    <row r="529" customFormat="false" ht="15" hidden="false" customHeight="false" outlineLevel="0" collapsed="false">
      <c r="D529" s="0" t="n">
        <f aca="false">MC_Shocks!A516</f>
        <v>1.66125921454787</v>
      </c>
      <c r="E529" s="0" t="n">
        <f aca="false">MC_Shocks!B516</f>
        <v>-0.457096256586272</v>
      </c>
      <c r="F529" s="0" t="n">
        <f aca="false">MC_Shocks!C516</f>
        <v>-0.602212060361781</v>
      </c>
      <c r="G529" s="0" t="n">
        <f aca="false">$B$3*D529</f>
        <v>0.0244715460111963</v>
      </c>
      <c r="H529" s="0" t="n">
        <f aca="false">$B$4*D529+$C$4*E529</f>
        <v>0.0117138176380277</v>
      </c>
      <c r="I529" s="0" t="n">
        <f aca="false">$B$5*D529+$C$5*E529+$D$5*F529</f>
        <v>0.0106179251860868</v>
      </c>
      <c r="J529" s="0" t="n">
        <f aca="false">SUMPRODUCT(G529:I529,Inputs!$B$4:$D$4)*Inputs!$B$2</f>
        <v>16488.1412517129</v>
      </c>
    </row>
    <row r="530" customFormat="false" ht="15" hidden="false" customHeight="false" outlineLevel="0" collapsed="false">
      <c r="D530" s="0" t="n">
        <f aca="false">MC_Shocks!A517</f>
        <v>0.468774256075024</v>
      </c>
      <c r="E530" s="0" t="n">
        <f aca="false">MC_Shocks!B517</f>
        <v>-0.998385439188292</v>
      </c>
      <c r="F530" s="0" t="n">
        <f aca="false">MC_Shocks!C517</f>
        <v>0.301791899819466</v>
      </c>
      <c r="G530" s="0" t="n">
        <f aca="false">$B$3*D530</f>
        <v>0.00690538278189561</v>
      </c>
      <c r="H530" s="0" t="n">
        <f aca="false">$B$4*D530+$C$4*E530</f>
        <v>-0.00758041564892738</v>
      </c>
      <c r="I530" s="0" t="n">
        <f aca="false">$B$5*D530+$C$5*E530+$D$5*F530</f>
        <v>0.00387418964930318</v>
      </c>
      <c r="J530" s="0" t="n">
        <f aca="false">SUMPRODUCT(G530:I530,Inputs!$B$4:$D$4)*Inputs!$B$2</f>
        <v>1650.28531287098</v>
      </c>
    </row>
    <row r="531" customFormat="false" ht="15" hidden="false" customHeight="false" outlineLevel="0" collapsed="false">
      <c r="D531" s="0" t="n">
        <f aca="false">MC_Shocks!A518</f>
        <v>0.76608027838469</v>
      </c>
      <c r="E531" s="0" t="n">
        <f aca="false">MC_Shocks!B518</f>
        <v>1.22693322388431</v>
      </c>
      <c r="F531" s="0" t="n">
        <f aca="false">MC_Shocks!C518</f>
        <v>-0.100154076479953</v>
      </c>
      <c r="G531" s="0" t="n">
        <f aca="false">$B$3*D531</f>
        <v>0.0112849148504879</v>
      </c>
      <c r="H531" s="0" t="n">
        <f aca="false">$B$4*D531+$C$4*E531</f>
        <v>0.0234035251624449</v>
      </c>
      <c r="I531" s="0" t="n">
        <f aca="false">$B$5*D531+$C$5*E531+$D$5*F531</f>
        <v>0.011833539638572</v>
      </c>
      <c r="J531" s="0" t="n">
        <f aca="false">SUMPRODUCT(G531:I531,Inputs!$B$4:$D$4)*Inputs!$B$2</f>
        <v>15085.0853805002</v>
      </c>
    </row>
    <row r="532" customFormat="false" ht="15" hidden="false" customHeight="false" outlineLevel="0" collapsed="false">
      <c r="D532" s="0" t="n">
        <f aca="false">MC_Shocks!A519</f>
        <v>-0.203673750176966</v>
      </c>
      <c r="E532" s="0" t="n">
        <f aca="false">MC_Shocks!B519</f>
        <v>-0.877982586756561</v>
      </c>
      <c r="F532" s="0" t="n">
        <f aca="false">MC_Shocks!C519</f>
        <v>-0.82688035403986</v>
      </c>
      <c r="G532" s="0" t="n">
        <f aca="false">$B$3*D532</f>
        <v>-0.00300026119047595</v>
      </c>
      <c r="H532" s="0" t="n">
        <f aca="false">$B$4*D532+$C$4*E532</f>
        <v>-0.0131310885952547</v>
      </c>
      <c r="I532" s="0" t="n">
        <f aca="false">$B$5*D532+$C$5*E532+$D$5*F532</f>
        <v>-0.0126885050032219</v>
      </c>
      <c r="J532" s="0" t="n">
        <f aca="false">SUMPRODUCT(G532:I532,Inputs!$B$4:$D$4)*Inputs!$B$2</f>
        <v>-8945.98255573337</v>
      </c>
    </row>
    <row r="533" customFormat="false" ht="15" hidden="false" customHeight="false" outlineLevel="0" collapsed="false">
      <c r="D533" s="0" t="n">
        <f aca="false">MC_Shocks!A520</f>
        <v>-0.226478891901527</v>
      </c>
      <c r="E533" s="0" t="n">
        <f aca="false">MC_Shocks!B520</f>
        <v>0.367365506816178</v>
      </c>
      <c r="F533" s="0" t="n">
        <f aca="false">MC_Shocks!C520</f>
        <v>0.913584626233249</v>
      </c>
      <c r="G533" s="0" t="n">
        <f aca="false">$B$3*D533</f>
        <v>-0.00333619737076455</v>
      </c>
      <c r="H533" s="0" t="n">
        <f aca="false">$B$4*D533+$C$4*E533</f>
        <v>0.00222260084633609</v>
      </c>
      <c r="I533" s="0" t="n">
        <f aca="false">$B$5*D533+$C$5*E533+$D$5*F533</f>
        <v>0.00697833516768617</v>
      </c>
      <c r="J533" s="0" t="n">
        <f aca="false">SUMPRODUCT(G533:I533,Inputs!$B$4:$D$4)*Inputs!$B$2</f>
        <v>1425.80185590086</v>
      </c>
    </row>
    <row r="534" customFormat="false" ht="15" hidden="false" customHeight="false" outlineLevel="0" collapsed="false">
      <c r="D534" s="0" t="n">
        <f aca="false">MC_Shocks!A521</f>
        <v>-0.803178950680345</v>
      </c>
      <c r="E534" s="0" t="n">
        <f aca="false">MC_Shocks!B521</f>
        <v>1.49268856895952</v>
      </c>
      <c r="F534" s="0" t="n">
        <f aca="false">MC_Shocks!C521</f>
        <v>-0.271123601042569</v>
      </c>
      <c r="G534" s="0" t="n">
        <f aca="false">$B$3*D534</f>
        <v>-0.0118314050418362</v>
      </c>
      <c r="H534" s="0" t="n">
        <f aca="false">$B$4*D534+$C$4*E534</f>
        <v>0.0102595823700449</v>
      </c>
      <c r="I534" s="0" t="n">
        <f aca="false">$B$5*D534+$C$5*E534+$D$5*F534</f>
        <v>-0.0052989360519669</v>
      </c>
      <c r="J534" s="0" t="n">
        <f aca="false">SUMPRODUCT(G534:I534,Inputs!$B$4:$D$4)*Inputs!$B$2</f>
        <v>-3244.36812131106</v>
      </c>
    </row>
    <row r="535" customFormat="false" ht="15" hidden="false" customHeight="false" outlineLevel="0" collapsed="false">
      <c r="D535" s="0" t="n">
        <f aca="false">MC_Shocks!A522</f>
        <v>-0.0213672943484362</v>
      </c>
      <c r="E535" s="0" t="n">
        <f aca="false">MC_Shocks!B522</f>
        <v>-0.747211679147823</v>
      </c>
      <c r="F535" s="0" t="n">
        <f aca="false">MC_Shocks!C522</f>
        <v>-2.42424026027294</v>
      </c>
      <c r="G535" s="0" t="n">
        <f aca="false">$B$3*D535</f>
        <v>-0.000314755651739058</v>
      </c>
      <c r="H535" s="0" t="n">
        <f aca="false">$B$4*D535+$C$4*E535</f>
        <v>-0.00958014969100274</v>
      </c>
      <c r="I535" s="0" t="n">
        <f aca="false">$B$5*D535+$C$5*E535+$D$5*F535</f>
        <v>-0.0242603147601111</v>
      </c>
      <c r="J535" s="0" t="n">
        <f aca="false">SUMPRODUCT(G535:I535,Inputs!$B$4:$D$4)*Inputs!$B$2</f>
        <v>-10278.0415960298</v>
      </c>
    </row>
    <row r="536" customFormat="false" ht="15" hidden="false" customHeight="false" outlineLevel="0" collapsed="false">
      <c r="D536" s="0" t="n">
        <f aca="false">MC_Shocks!A523</f>
        <v>0.88404539636105</v>
      </c>
      <c r="E536" s="0" t="n">
        <f aca="false">MC_Shocks!B523</f>
        <v>0.736843897092433</v>
      </c>
      <c r="F536" s="0" t="n">
        <f aca="false">MC_Shocks!C523</f>
        <v>-0.281327557118213</v>
      </c>
      <c r="G536" s="0" t="n">
        <f aca="false">$B$3*D536</f>
        <v>0.0130226260920537</v>
      </c>
      <c r="H536" s="0" t="n">
        <f aca="false">$B$4*D536+$C$4*E536</f>
        <v>0.0185052963975626</v>
      </c>
      <c r="I536" s="0" t="n">
        <f aca="false">$B$5*D536+$C$5*E536+$D$5*F536</f>
        <v>0.00966197739670384</v>
      </c>
      <c r="J536" s="0" t="n">
        <f aca="false">SUMPRODUCT(G536:I536,Inputs!$B$4:$D$4)*Inputs!$B$2</f>
        <v>13659.2325751014</v>
      </c>
    </row>
    <row r="537" customFormat="false" ht="15" hidden="false" customHeight="false" outlineLevel="0" collapsed="false">
      <c r="D537" s="0" t="n">
        <f aca="false">MC_Shocks!A524</f>
        <v>0.0669907172248719</v>
      </c>
      <c r="E537" s="0" t="n">
        <f aca="false">MC_Shocks!B524</f>
        <v>0.5159392177041</v>
      </c>
      <c r="F537" s="0" t="n">
        <f aca="false">MC_Shocks!C524</f>
        <v>-1.56254585688654</v>
      </c>
      <c r="G537" s="0" t="n">
        <f aca="false">$B$3*D537</f>
        <v>0.000986821565554216</v>
      </c>
      <c r="H537" s="0" t="n">
        <f aca="false">$B$4*D537+$C$4*E537</f>
        <v>0.00716325564661136</v>
      </c>
      <c r="I537" s="0" t="n">
        <f aca="false">$B$5*D537+$C$5*E537+$D$5*F537</f>
        <v>-0.011047058484869</v>
      </c>
      <c r="J537" s="0" t="n">
        <f aca="false">SUMPRODUCT(G537:I537,Inputs!$B$4:$D$4)*Inputs!$B$2</f>
        <v>-770.412225255598</v>
      </c>
    </row>
    <row r="538" customFormat="false" ht="15" hidden="false" customHeight="false" outlineLevel="0" collapsed="false">
      <c r="D538" s="0" t="n">
        <f aca="false">MC_Shocks!A525</f>
        <v>-0.529052677346295</v>
      </c>
      <c r="E538" s="0" t="n">
        <f aca="false">MC_Shocks!B525</f>
        <v>0.794264679621827</v>
      </c>
      <c r="F538" s="0" t="n">
        <f aca="false">MC_Shocks!C525</f>
        <v>-1.25428942316925</v>
      </c>
      <c r="G538" s="0" t="n">
        <f aca="false">$B$3*D538</f>
        <v>-0.00779332738843532</v>
      </c>
      <c r="H538" s="0" t="n">
        <f aca="false">$B$4*D538+$C$4*E538</f>
        <v>0.00439190759271058</v>
      </c>
      <c r="I538" s="0" t="n">
        <f aca="false">$B$5*D538+$C$5*E538+$D$5*F538</f>
        <v>-0.013621129206837</v>
      </c>
      <c r="J538" s="0" t="n">
        <f aca="false">SUMPRODUCT(G538:I538,Inputs!$B$4:$D$4)*Inputs!$B$2</f>
        <v>-5886.09743961205</v>
      </c>
    </row>
    <row r="539" customFormat="false" ht="15" hidden="false" customHeight="false" outlineLevel="0" collapsed="false">
      <c r="D539" s="0" t="n">
        <f aca="false">MC_Shocks!A526</f>
        <v>0.293557932166629</v>
      </c>
      <c r="E539" s="0" t="n">
        <f aca="false">MC_Shocks!B526</f>
        <v>-1.35658180462341</v>
      </c>
      <c r="F539" s="0" t="n">
        <f aca="false">MC_Shocks!C526</f>
        <v>0.466429982433526</v>
      </c>
      <c r="G539" s="0" t="n">
        <f aca="false">$B$3*D539</f>
        <v>0.00432431999838296</v>
      </c>
      <c r="H539" s="0" t="n">
        <f aca="false">$B$4*D539+$C$4*E539</f>
        <v>-0.0139045385919899</v>
      </c>
      <c r="I539" s="0" t="n">
        <f aca="false">$B$5*D539+$C$5*E539+$D$5*F539</f>
        <v>0.00211886092986004</v>
      </c>
      <c r="J539" s="0" t="n">
        <f aca="false">SUMPRODUCT(G539:I539,Inputs!$B$4:$D$4)*Inputs!$B$2</f>
        <v>-1805.97529928578</v>
      </c>
    </row>
    <row r="540" customFormat="false" ht="15" hidden="false" customHeight="false" outlineLevel="0" collapsed="false">
      <c r="D540" s="0" t="n">
        <f aca="false">MC_Shocks!A527</f>
        <v>-0.0356414822974836</v>
      </c>
      <c r="E540" s="0" t="n">
        <f aca="false">MC_Shocks!B527</f>
        <v>-1.61513181590551</v>
      </c>
      <c r="F540" s="0" t="n">
        <f aca="false">MC_Shocks!C527</f>
        <v>1.16473935445717</v>
      </c>
      <c r="G540" s="0" t="n">
        <f aca="false">$B$3*D540</f>
        <v>-0.000525024732029847</v>
      </c>
      <c r="H540" s="0" t="n">
        <f aca="false">$B$4*D540+$C$4*E540</f>
        <v>-0.0205972438008873</v>
      </c>
      <c r="I540" s="0" t="n">
        <f aca="false">$B$5*D540+$C$5*E540+$D$5*F540</f>
        <v>0.0037798450207249</v>
      </c>
      <c r="J540" s="0" t="n">
        <f aca="false">SUMPRODUCT(G540:I540,Inputs!$B$4:$D$4)*Inputs!$B$2</f>
        <v>-5255.22952686066</v>
      </c>
    </row>
    <row r="541" customFormat="false" ht="15" hidden="false" customHeight="false" outlineLevel="0" collapsed="false">
      <c r="D541" s="0" t="n">
        <f aca="false">MC_Shocks!A528</f>
        <v>-0.734591576798049</v>
      </c>
      <c r="E541" s="0" t="n">
        <f aca="false">MC_Shocks!B528</f>
        <v>-0.810252437014381</v>
      </c>
      <c r="F541" s="0" t="n">
        <f aca="false">MC_Shocks!C528</f>
        <v>0.200569197230943</v>
      </c>
      <c r="G541" s="0" t="n">
        <f aca="false">$B$3*D541</f>
        <v>-0.0108210635725161</v>
      </c>
      <c r="H541" s="0" t="n">
        <f aca="false">$B$4*D541+$C$4*E541</f>
        <v>-0.0178557300356898</v>
      </c>
      <c r="I541" s="0" t="n">
        <f aca="false">$B$5*D541+$C$5*E541+$D$5*F541</f>
        <v>-0.0090604540545968</v>
      </c>
      <c r="J541" s="0" t="n">
        <f aca="false">SUMPRODUCT(G541:I541,Inputs!$B$4:$D$4)*Inputs!$B$2</f>
        <v>-12403.2806560924</v>
      </c>
    </row>
    <row r="542" customFormat="false" ht="15" hidden="false" customHeight="false" outlineLevel="0" collapsed="false">
      <c r="D542" s="0" t="n">
        <f aca="false">MC_Shocks!A529</f>
        <v>1.14863734942872</v>
      </c>
      <c r="E542" s="0" t="n">
        <f aca="false">MC_Shocks!B529</f>
        <v>-1.0158218189784</v>
      </c>
      <c r="F542" s="0" t="n">
        <f aca="false">MC_Shocks!C529</f>
        <v>0.0616798498479717</v>
      </c>
      <c r="G542" s="0" t="n">
        <f aca="false">$B$3*D542</f>
        <v>0.0169202563336111</v>
      </c>
      <c r="H542" s="0" t="n">
        <f aca="false">$B$4*D542+$C$4*E542</f>
        <v>-0.000662663558540307</v>
      </c>
      <c r="I542" s="0" t="n">
        <f aca="false">$B$5*D542+$C$5*E542+$D$5*F542</f>
        <v>0.0089100349257049</v>
      </c>
      <c r="J542" s="0" t="n">
        <f aca="false">SUMPRODUCT(G542:I542,Inputs!$B$4:$D$4)*Inputs!$B$2</f>
        <v>9242.31394359382</v>
      </c>
    </row>
    <row r="543" customFormat="false" ht="15" hidden="false" customHeight="false" outlineLevel="0" collapsed="false">
      <c r="D543" s="0" t="n">
        <f aca="false">MC_Shocks!A530</f>
        <v>0.428816500330573</v>
      </c>
      <c r="E543" s="0" t="n">
        <f aca="false">MC_Shocks!B530</f>
        <v>0.693105607263144</v>
      </c>
      <c r="F543" s="0" t="n">
        <f aca="false">MC_Shocks!C530</f>
        <v>0.176441555277225</v>
      </c>
      <c r="G543" s="0" t="n">
        <f aca="false">$B$3*D543</f>
        <v>0.00631677622992497</v>
      </c>
      <c r="H543" s="0" t="n">
        <f aca="false">$B$4*D543+$C$4*E543</f>
        <v>0.0131794102771447</v>
      </c>
      <c r="I543" s="0" t="n">
        <f aca="false">$B$5*D543+$C$5*E543+$D$5*F543</f>
        <v>0.00868432653682605</v>
      </c>
      <c r="J543" s="0" t="n">
        <f aca="false">SUMPRODUCT(G543:I543,Inputs!$B$4:$D$4)*Inputs!$B$2</f>
        <v>9085.8315361612</v>
      </c>
    </row>
    <row r="544" customFormat="false" ht="15" hidden="false" customHeight="false" outlineLevel="0" collapsed="false">
      <c r="D544" s="0" t="n">
        <f aca="false">MC_Shocks!A531</f>
        <v>-0.367027839083322</v>
      </c>
      <c r="E544" s="0" t="n">
        <f aca="false">MC_Shocks!B531</f>
        <v>-0.82759022064872</v>
      </c>
      <c r="F544" s="0" t="n">
        <f aca="false">MC_Shocks!C531</f>
        <v>0.0861438830463748</v>
      </c>
      <c r="G544" s="0" t="n">
        <f aca="false">$B$3*D544</f>
        <v>-0.00540658469964422</v>
      </c>
      <c r="H544" s="0" t="n">
        <f aca="false">$B$4*D544+$C$4*E544</f>
        <v>-0.0142147434582886</v>
      </c>
      <c r="I544" s="0" t="n">
        <f aca="false">$B$5*D544+$C$5*E544+$D$5*F544</f>
        <v>-0.00623265044578142</v>
      </c>
      <c r="J544" s="0" t="n">
        <f aca="false">SUMPRODUCT(G544:I544,Inputs!$B$4:$D$4)*Inputs!$B$2</f>
        <v>-8296.85205107868</v>
      </c>
    </row>
    <row r="545" customFormat="false" ht="15" hidden="false" customHeight="false" outlineLevel="0" collapsed="false">
      <c r="D545" s="0" t="n">
        <f aca="false">MC_Shocks!A532</f>
        <v>-1.07213901198561</v>
      </c>
      <c r="E545" s="0" t="n">
        <f aca="false">MC_Shocks!B532</f>
        <v>-2.92135048349461</v>
      </c>
      <c r="F545" s="0" t="n">
        <f aca="false">MC_Shocks!C532</f>
        <v>0.436559804157668</v>
      </c>
      <c r="G545" s="0" t="n">
        <f aca="false">$B$3*D545</f>
        <v>-0.0157933806671736</v>
      </c>
      <c r="H545" s="0" t="n">
        <f aca="false">$B$4*D545+$C$4*E545</f>
        <v>-0.0478318968560116</v>
      </c>
      <c r="I545" s="0" t="n">
        <f aca="false">$B$5*D545+$C$5*E545+$D$5*F545</f>
        <v>-0.0184724948197271</v>
      </c>
      <c r="J545" s="0" t="n">
        <f aca="false">SUMPRODUCT(G545:I545,Inputs!$B$4:$D$4)*Inputs!$B$2</f>
        <v>-26208.6697695911</v>
      </c>
    </row>
    <row r="546" customFormat="false" ht="15" hidden="false" customHeight="false" outlineLevel="0" collapsed="false">
      <c r="D546" s="0" t="n">
        <f aca="false">MC_Shocks!A533</f>
        <v>0.903934841086195</v>
      </c>
      <c r="E546" s="0" t="n">
        <f aca="false">MC_Shocks!B533</f>
        <v>-2.36293243554184</v>
      </c>
      <c r="F546" s="0" t="n">
        <f aca="false">MC_Shocks!C533</f>
        <v>-1.00973070470994</v>
      </c>
      <c r="G546" s="0" t="n">
        <f aca="false">$B$3*D546</f>
        <v>0.0133156119533005</v>
      </c>
      <c r="H546" s="0" t="n">
        <f aca="false">$B$4*D546+$C$4*E546</f>
        <v>-0.020098377259594</v>
      </c>
      <c r="I546" s="0" t="n">
        <f aca="false">$B$5*D546+$C$5*E546+$D$5*F546</f>
        <v>-0.00811145548912989</v>
      </c>
      <c r="J546" s="0" t="n">
        <f aca="false">SUMPRODUCT(G546:I546,Inputs!$B$4:$D$4)*Inputs!$B$2</f>
        <v>-3136.70504329696</v>
      </c>
    </row>
    <row r="547" customFormat="false" ht="15" hidden="false" customHeight="false" outlineLevel="0" collapsed="false">
      <c r="D547" s="0" t="n">
        <f aca="false">MC_Shocks!A534</f>
        <v>0.619154261005198</v>
      </c>
      <c r="E547" s="0" t="n">
        <f aca="false">MC_Shocks!B534</f>
        <v>2.0574954697117</v>
      </c>
      <c r="F547" s="0" t="n">
        <f aca="false">MC_Shocks!C534</f>
        <v>0.0207937076754079</v>
      </c>
      <c r="G547" s="0" t="n">
        <f aca="false">$B$3*D547</f>
        <v>0.00912058867967854</v>
      </c>
      <c r="H547" s="0" t="n">
        <f aca="false">$B$4*D547+$C$4*E547</f>
        <v>0.0322608473550137</v>
      </c>
      <c r="I547" s="0" t="n">
        <f aca="false">$B$5*D547+$C$5*E547+$D$5*F547</f>
        <v>0.0144450851624187</v>
      </c>
      <c r="J547" s="0" t="n">
        <f aca="false">SUMPRODUCT(G547:I547,Inputs!$B$4:$D$4)*Inputs!$B$2</f>
        <v>17660.0152271011</v>
      </c>
    </row>
    <row r="548" customFormat="false" ht="15" hidden="false" customHeight="false" outlineLevel="0" collapsed="false">
      <c r="D548" s="0" t="n">
        <f aca="false">MC_Shocks!A535</f>
        <v>-0.728002941229134</v>
      </c>
      <c r="E548" s="0" t="n">
        <f aca="false">MC_Shocks!B535</f>
        <v>-0.18289644110484</v>
      </c>
      <c r="F548" s="0" t="n">
        <f aca="false">MC_Shocks!C535</f>
        <v>1.37487641914819</v>
      </c>
      <c r="G548" s="0" t="n">
        <f aca="false">$B$3*D548</f>
        <v>-0.0107240082201282</v>
      </c>
      <c r="H548" s="0" t="n">
        <f aca="false">$B$4*D548+$C$4*E548</f>
        <v>-0.00993142060820007</v>
      </c>
      <c r="I548" s="0" t="n">
        <f aca="false">$B$5*D548+$C$5*E548+$D$5*F548</f>
        <v>0.00364490820454968</v>
      </c>
      <c r="J548" s="0" t="n">
        <f aca="false">SUMPRODUCT(G548:I548,Inputs!$B$4:$D$4)*Inputs!$B$2</f>
        <v>-6175.55700914639</v>
      </c>
    </row>
    <row r="549" customFormat="false" ht="15" hidden="false" customHeight="false" outlineLevel="0" collapsed="false">
      <c r="D549" s="0" t="n">
        <f aca="false">MC_Shocks!A536</f>
        <v>-0.645964179124535</v>
      </c>
      <c r="E549" s="0" t="n">
        <f aca="false">MC_Shocks!B536</f>
        <v>-0.799192006650254</v>
      </c>
      <c r="F549" s="0" t="n">
        <f aca="false">MC_Shocks!C536</f>
        <v>-0.482743522182032</v>
      </c>
      <c r="G549" s="0" t="n">
        <f aca="false">$B$3*D549</f>
        <v>-0.00951551810373735</v>
      </c>
      <c r="H549" s="0" t="n">
        <f aca="false">$B$4*D549+$C$4*E549</f>
        <v>-0.0167869786369673</v>
      </c>
      <c r="I549" s="0" t="n">
        <f aca="false">$B$5*D549+$C$5*E549+$D$5*F549</f>
        <v>-0.0140658345285955</v>
      </c>
      <c r="J549" s="0" t="n">
        <f aca="false">SUMPRODUCT(G549:I549,Inputs!$B$4:$D$4)*Inputs!$B$2</f>
        <v>-13062.0511911638</v>
      </c>
    </row>
    <row r="550" customFormat="false" ht="15" hidden="false" customHeight="false" outlineLevel="0" collapsed="false">
      <c r="D550" s="0" t="n">
        <f aca="false">MC_Shocks!A537</f>
        <v>-0.953328608258712</v>
      </c>
      <c r="E550" s="0" t="n">
        <f aca="false">MC_Shocks!B537</f>
        <v>0.122670315994796</v>
      </c>
      <c r="F550" s="0" t="n">
        <f aca="false">MC_Shocks!C537</f>
        <v>1.62467845846956</v>
      </c>
      <c r="G550" s="0" t="n">
        <f aca="false">$B$3*D550</f>
        <v>-0.0140432177570447</v>
      </c>
      <c r="H550" s="0" t="n">
        <f aca="false">$B$4*D550+$C$4*E550</f>
        <v>-0.00847050006963145</v>
      </c>
      <c r="I550" s="0" t="n">
        <f aca="false">$B$5*D550+$C$5*E550+$D$5*F550</f>
        <v>0.00458925237201692</v>
      </c>
      <c r="J550" s="0" t="n">
        <f aca="false">SUMPRODUCT(G550:I550,Inputs!$B$4:$D$4)*Inputs!$B$2</f>
        <v>-6781.66141210226</v>
      </c>
    </row>
    <row r="551" customFormat="false" ht="15" hidden="false" customHeight="false" outlineLevel="0" collapsed="false">
      <c r="D551" s="0" t="n">
        <f aca="false">MC_Shocks!A538</f>
        <v>0.323079273116029</v>
      </c>
      <c r="E551" s="0" t="n">
        <f aca="false">MC_Shocks!B538</f>
        <v>-0.252353502126288</v>
      </c>
      <c r="F551" s="0" t="n">
        <f aca="false">MC_Shocks!C538</f>
        <v>-0.291811268915544</v>
      </c>
      <c r="G551" s="0" t="n">
        <f aca="false">$B$3*D551</f>
        <v>0.00475919063568568</v>
      </c>
      <c r="H551" s="0" t="n">
        <f aca="false">$B$4*D551+$C$4*E551</f>
        <v>0.000231420069695001</v>
      </c>
      <c r="I551" s="0" t="n">
        <f aca="false">$B$5*D551+$C$5*E551+$D$5*F551</f>
        <v>-7.72633450308912E-005</v>
      </c>
      <c r="J551" s="0" t="n">
        <f aca="false">SUMPRODUCT(G551:I551,Inputs!$B$4:$D$4)*Inputs!$B$2</f>
        <v>1949.92327167351</v>
      </c>
    </row>
    <row r="552" customFormat="false" ht="15" hidden="false" customHeight="false" outlineLevel="0" collapsed="false">
      <c r="D552" s="0" t="n">
        <f aca="false">MC_Shocks!A539</f>
        <v>-1.56319080869666</v>
      </c>
      <c r="E552" s="0" t="n">
        <f aca="false">MC_Shocks!B539</f>
        <v>0.883109777147159</v>
      </c>
      <c r="F552" s="0" t="n">
        <f aca="false">MC_Shocks!C539</f>
        <v>-0.077837197012802</v>
      </c>
      <c r="G552" s="0" t="n">
        <f aca="false">$B$3*D552</f>
        <v>-0.0230269276849192</v>
      </c>
      <c r="H552" s="0" t="n">
        <f aca="false">$B$4*D552+$C$4*E552</f>
        <v>-0.00535032375456124</v>
      </c>
      <c r="I552" s="0" t="n">
        <f aca="false">$B$5*D552+$C$5*E552+$D$5*F552</f>
        <v>-0.0139413982179757</v>
      </c>
      <c r="J552" s="0" t="n">
        <f aca="false">SUMPRODUCT(G552:I552,Inputs!$B$4:$D$4)*Inputs!$B$2</f>
        <v>-14998.2876657287</v>
      </c>
    </row>
    <row r="553" customFormat="false" ht="15" hidden="false" customHeight="false" outlineLevel="0" collapsed="false">
      <c r="D553" s="0" t="n">
        <f aca="false">MC_Shocks!A540</f>
        <v>-0.180479913590626</v>
      </c>
      <c r="E553" s="0" t="n">
        <f aca="false">MC_Shocks!B540</f>
        <v>3.19310756784486</v>
      </c>
      <c r="F553" s="0" t="n">
        <f aca="false">MC_Shocks!C540</f>
        <v>0.298752908365686</v>
      </c>
      <c r="G553" s="0" t="n">
        <f aca="false">$B$3*D553</f>
        <v>-0.0026585992546213</v>
      </c>
      <c r="H553" s="0" t="n">
        <f aca="false">$B$4*D553+$C$4*E553</f>
        <v>0.0380866662152169</v>
      </c>
      <c r="I553" s="0" t="n">
        <f aca="false">$B$5*D553+$C$5*E553+$D$5*F553</f>
        <v>0.0126571759811505</v>
      </c>
      <c r="J553" s="0" t="n">
        <f aca="false">SUMPRODUCT(G553:I553,Inputs!$B$4:$D$4)*Inputs!$B$2</f>
        <v>14159.7129570617</v>
      </c>
    </row>
    <row r="554" customFormat="false" ht="15" hidden="false" customHeight="false" outlineLevel="0" collapsed="false">
      <c r="D554" s="0" t="n">
        <f aca="false">MC_Shocks!A541</f>
        <v>-0.751791050095184</v>
      </c>
      <c r="E554" s="0" t="n">
        <f aca="false">MC_Shocks!B541</f>
        <v>-0.426357596205543</v>
      </c>
      <c r="F554" s="0" t="n">
        <f aca="false">MC_Shocks!C541</f>
        <v>1.14844570919676</v>
      </c>
      <c r="G554" s="0" t="n">
        <f aca="false">$B$3*D554</f>
        <v>-0.0110744242151379</v>
      </c>
      <c r="H554" s="0" t="n">
        <f aca="false">$B$4*D554+$C$4*E554</f>
        <v>-0.0132294968359503</v>
      </c>
      <c r="I554" s="0" t="n">
        <f aca="false">$B$5*D554+$C$5*E554+$D$5*F554</f>
        <v>0.000497905377847293</v>
      </c>
      <c r="J554" s="0" t="n">
        <f aca="false">SUMPRODUCT(G554:I554,Inputs!$B$4:$D$4)*Inputs!$B$2</f>
        <v>-8249.24712348607</v>
      </c>
    </row>
    <row r="555" customFormat="false" ht="15" hidden="false" customHeight="false" outlineLevel="0" collapsed="false">
      <c r="D555" s="0" t="n">
        <f aca="false">MC_Shocks!A542</f>
        <v>0.113270410537765</v>
      </c>
      <c r="E555" s="0" t="n">
        <f aca="false">MC_Shocks!B542</f>
        <v>-1.43827797831737</v>
      </c>
      <c r="F555" s="0" t="n">
        <f aca="false">MC_Shocks!C542</f>
        <v>0.919228934575204</v>
      </c>
      <c r="G555" s="0" t="n">
        <f aca="false">$B$3*D555</f>
        <v>0.00166855481607451</v>
      </c>
      <c r="H555" s="0" t="n">
        <f aca="false">$B$4*D555+$C$4*E555</f>
        <v>-0.0168198191089626</v>
      </c>
      <c r="I555" s="0" t="n">
        <f aca="false">$B$5*D555+$C$5*E555+$D$5*F555</f>
        <v>0.0038691545340897</v>
      </c>
      <c r="J555" s="0" t="n">
        <f aca="false">SUMPRODUCT(G555:I555,Inputs!$B$4:$D$4)*Inputs!$B$2</f>
        <v>-3217.77744603208</v>
      </c>
    </row>
    <row r="556" customFormat="false" ht="15" hidden="false" customHeight="false" outlineLevel="0" collapsed="false">
      <c r="D556" s="0" t="n">
        <f aca="false">MC_Shocks!A543</f>
        <v>-0.668144085538994</v>
      </c>
      <c r="E556" s="0" t="n">
        <f aca="false">MC_Shocks!B543</f>
        <v>1.87329777621755</v>
      </c>
      <c r="F556" s="0" t="n">
        <f aca="false">MC_Shocks!C543</f>
        <v>1.08004806571465</v>
      </c>
      <c r="G556" s="0" t="n">
        <f aca="false">$B$3*D556</f>
        <v>-0.00984224411710858</v>
      </c>
      <c r="H556" s="0" t="n">
        <f aca="false">$B$4*D556+$C$4*E556</f>
        <v>0.0164425792919508</v>
      </c>
      <c r="I556" s="0" t="n">
        <f aca="false">$B$5*D556+$C$5*E556+$D$5*F556</f>
        <v>0.0093933163686709</v>
      </c>
      <c r="J556" s="0" t="n">
        <f aca="false">SUMPRODUCT(G556:I556,Inputs!$B$4:$D$4)*Inputs!$B$2</f>
        <v>3813.87105134307</v>
      </c>
    </row>
    <row r="557" customFormat="false" ht="15" hidden="false" customHeight="false" outlineLevel="0" collapsed="false">
      <c r="D557" s="0" t="n">
        <f aca="false">MC_Shocks!A544</f>
        <v>-0.447321895658751</v>
      </c>
      <c r="E557" s="0" t="n">
        <f aca="false">MC_Shocks!B544</f>
        <v>1.28101636173511</v>
      </c>
      <c r="F557" s="0" t="n">
        <f aca="false">MC_Shocks!C544</f>
        <v>0.0678555105274033</v>
      </c>
      <c r="G557" s="0" t="n">
        <f aca="false">$B$3*D557</f>
        <v>-0.00658937404564402</v>
      </c>
      <c r="H557" s="0" t="n">
        <f aca="false">$B$4*D557+$C$4*E557</f>
        <v>0.0113444215024732</v>
      </c>
      <c r="I557" s="0" t="n">
        <f aca="false">$B$5*D557+$C$5*E557+$D$5*F557</f>
        <v>0.000649293527925035</v>
      </c>
      <c r="J557" s="0" t="n">
        <f aca="false">SUMPRODUCT(G557:I557,Inputs!$B$4:$D$4)*Inputs!$B$2</f>
        <v>962.364890861876</v>
      </c>
    </row>
    <row r="558" customFormat="false" ht="15" hidden="false" customHeight="false" outlineLevel="0" collapsed="false">
      <c r="D558" s="0" t="n">
        <f aca="false">MC_Shocks!A545</f>
        <v>0.85277367512222</v>
      </c>
      <c r="E558" s="0" t="n">
        <f aca="false">MC_Shocks!B545</f>
        <v>0.484732817294475</v>
      </c>
      <c r="F558" s="0" t="n">
        <f aca="false">MC_Shocks!C545</f>
        <v>-0.846356654990874</v>
      </c>
      <c r="G558" s="0" t="n">
        <f aca="false">$B$3*D558</f>
        <v>0.0125619710910498</v>
      </c>
      <c r="H558" s="0" t="n">
        <f aca="false">$B$4*D558+$C$4*E558</f>
        <v>0.0150203635348358</v>
      </c>
      <c r="I558" s="0" t="n">
        <f aca="false">$B$5*D558+$C$5*E558+$D$5*F558</f>
        <v>0.00343709393240606</v>
      </c>
      <c r="J558" s="0" t="n">
        <f aca="false">SUMPRODUCT(G558:I558,Inputs!$B$4:$D$4)*Inputs!$B$2</f>
        <v>10562.0256765925</v>
      </c>
    </row>
    <row r="559" customFormat="false" ht="15" hidden="false" customHeight="false" outlineLevel="0" collapsed="false">
      <c r="D559" s="0" t="n">
        <f aca="false">MC_Shocks!A546</f>
        <v>-0.643549832317462</v>
      </c>
      <c r="E559" s="0" t="n">
        <f aca="false">MC_Shocks!B546</f>
        <v>1.02996081758116</v>
      </c>
      <c r="F559" s="0" t="n">
        <f aca="false">MC_Shocks!C546</f>
        <v>-0.334775332106541</v>
      </c>
      <c r="G559" s="0" t="n">
        <f aca="false">$B$3*D559</f>
        <v>-0.0094799530345062</v>
      </c>
      <c r="H559" s="0" t="n">
        <f aca="false">$B$4*D559+$C$4*E559</f>
        <v>0.00614126862160778</v>
      </c>
      <c r="I559" s="0" t="n">
        <f aca="false">$B$5*D559+$C$5*E559+$D$5*F559</f>
        <v>-0.00589704450800479</v>
      </c>
      <c r="J559" s="0" t="n">
        <f aca="false">SUMPRODUCT(G559:I559,Inputs!$B$4:$D$4)*Inputs!$B$2</f>
        <v>-3718.71397972158</v>
      </c>
    </row>
    <row r="560" customFormat="false" ht="15" hidden="false" customHeight="false" outlineLevel="0" collapsed="false">
      <c r="D560" s="0" t="n">
        <f aca="false">MC_Shocks!A547</f>
        <v>-0.403648463241997</v>
      </c>
      <c r="E560" s="0" t="n">
        <f aca="false">MC_Shocks!B547</f>
        <v>-0.955122579349353</v>
      </c>
      <c r="F560" s="0" t="n">
        <f aca="false">MC_Shocks!C547</f>
        <v>0.423599065593461</v>
      </c>
      <c r="G560" s="0" t="n">
        <f aca="false">$B$3*D560</f>
        <v>-0.00594603289725836</v>
      </c>
      <c r="H560" s="0" t="n">
        <f aca="false">$B$4*D560+$C$4*E560</f>
        <v>-0.0161959644057574</v>
      </c>
      <c r="I560" s="0" t="n">
        <f aca="false">$B$5*D560+$C$5*E560+$D$5*F560</f>
        <v>-0.00414192363990361</v>
      </c>
      <c r="J560" s="0" t="n">
        <f aca="false">SUMPRODUCT(G560:I560,Inputs!$B$4:$D$4)*Inputs!$B$2</f>
        <v>-8479.77957260166</v>
      </c>
    </row>
    <row r="561" customFormat="false" ht="15" hidden="false" customHeight="false" outlineLevel="0" collapsed="false">
      <c r="D561" s="0" t="n">
        <f aca="false">MC_Shocks!A548</f>
        <v>2.06252491924315</v>
      </c>
      <c r="E561" s="0" t="n">
        <f aca="false">MC_Shocks!B548</f>
        <v>-1.06753291425427</v>
      </c>
      <c r="F561" s="0" t="n">
        <f aca="false">MC_Shocks!C548</f>
        <v>0.0242194566727581</v>
      </c>
      <c r="G561" s="0" t="n">
        <f aca="false">$B$3*D561</f>
        <v>0.0303824791570739</v>
      </c>
      <c r="H561" s="0" t="n">
        <f aca="false">$B$4*D561+$C$4*E561</f>
        <v>0.00828233360445015</v>
      </c>
      <c r="I561" s="0" t="n">
        <f aca="false">$B$5*D561+$C$5*E561+$D$5*F561</f>
        <v>0.0180728264215992</v>
      </c>
      <c r="J561" s="0" t="n">
        <f aca="false">SUMPRODUCT(G561:I561,Inputs!$B$4:$D$4)*Inputs!$B$2</f>
        <v>20059.5396706444</v>
      </c>
    </row>
    <row r="562" customFormat="false" ht="15" hidden="false" customHeight="false" outlineLevel="0" collapsed="false">
      <c r="D562" s="0" t="n">
        <f aca="false">MC_Shocks!A549</f>
        <v>1.41222055541543</v>
      </c>
      <c r="E562" s="0" t="n">
        <f aca="false">MC_Shocks!B549</f>
        <v>-0.0796413912457152</v>
      </c>
      <c r="F562" s="0" t="n">
        <f aca="false">MC_Shocks!C549</f>
        <v>0.452371796249734</v>
      </c>
      <c r="G562" s="0" t="n">
        <f aca="false">$B$3*D562</f>
        <v>0.0208030270033516</v>
      </c>
      <c r="H562" s="0" t="n">
        <f aca="false">$B$4*D562+$C$4*E562</f>
        <v>0.013825952825677</v>
      </c>
      <c r="I562" s="0" t="n">
        <f aca="false">$B$5*D562+$C$5*E562+$D$5*F562</f>
        <v>0.0186301449048535</v>
      </c>
      <c r="J562" s="0" t="n">
        <f aca="false">SUMPRODUCT(G562:I562,Inputs!$B$4:$D$4)*Inputs!$B$2</f>
        <v>18058.0401204998</v>
      </c>
    </row>
    <row r="563" customFormat="false" ht="15" hidden="false" customHeight="false" outlineLevel="0" collapsed="false">
      <c r="D563" s="0" t="n">
        <f aca="false">MC_Shocks!A550</f>
        <v>-1.06239352814688</v>
      </c>
      <c r="E563" s="0" t="n">
        <f aca="false">MC_Shocks!B550</f>
        <v>0.428307097207649</v>
      </c>
      <c r="F563" s="0" t="n">
        <f aca="false">MC_Shocks!C550</f>
        <v>-0.187144265004549</v>
      </c>
      <c r="G563" s="0" t="n">
        <f aca="false">$B$3*D563</f>
        <v>-0.015649822663659</v>
      </c>
      <c r="H563" s="0" t="n">
        <f aca="false">$B$4*D563+$C$4*E563</f>
        <v>-0.00578839049182033</v>
      </c>
      <c r="I563" s="0" t="n">
        <f aca="false">$B$5*D563+$C$5*E563+$D$5*F563</f>
        <v>-0.0112944130566005</v>
      </c>
      <c r="J563" s="0" t="n">
        <f aca="false">SUMPRODUCT(G563:I563,Inputs!$B$4:$D$4)*Inputs!$B$2</f>
        <v>-11384.7701299899</v>
      </c>
    </row>
    <row r="564" customFormat="false" ht="15" hidden="false" customHeight="false" outlineLevel="0" collapsed="false">
      <c r="D564" s="0" t="n">
        <f aca="false">MC_Shocks!A551</f>
        <v>0.985729995679863</v>
      </c>
      <c r="E564" s="0" t="n">
        <f aca="false">MC_Shocks!B551</f>
        <v>1.18738605156475</v>
      </c>
      <c r="F564" s="0" t="n">
        <f aca="false">MC_Shocks!C551</f>
        <v>2.58956364201861</v>
      </c>
      <c r="G564" s="0" t="n">
        <f aca="false">$B$3*D564</f>
        <v>0.0145205135554124</v>
      </c>
      <c r="H564" s="0" t="n">
        <f aca="false">$B$4*D564+$C$4*E564</f>
        <v>0.0252138712125562</v>
      </c>
      <c r="I564" s="0" t="n">
        <f aca="false">$B$5*D564+$C$5*E564+$D$5*F564</f>
        <v>0.0375756741317482</v>
      </c>
      <c r="J564" s="0" t="n">
        <f aca="false">SUMPRODUCT(G564:I564,Inputs!$B$4:$D$4)*Inputs!$B$2</f>
        <v>24645.0690254563</v>
      </c>
    </row>
    <row r="565" customFormat="false" ht="15" hidden="false" customHeight="false" outlineLevel="0" collapsed="false">
      <c r="D565" s="0" t="n">
        <f aca="false">MC_Shocks!A552</f>
        <v>0.579633173213576</v>
      </c>
      <c r="E565" s="0" t="n">
        <f aca="false">MC_Shocks!B552</f>
        <v>0.325796316582167</v>
      </c>
      <c r="F565" s="0" t="n">
        <f aca="false">MC_Shocks!C552</f>
        <v>0.194384301577336</v>
      </c>
      <c r="G565" s="0" t="n">
        <f aca="false">$B$3*D565</f>
        <v>0.00853841456149408</v>
      </c>
      <c r="H565" s="0" t="n">
        <f aca="false">$B$4*D565+$C$4*E565</f>
        <v>0.0101633369828947</v>
      </c>
      <c r="I565" s="0" t="n">
        <f aca="false">$B$5*D565+$C$5*E565+$D$5*F565</f>
        <v>0.00906479279239844</v>
      </c>
      <c r="J565" s="0" t="n">
        <f aca="false">SUMPRODUCT(G565:I565,Inputs!$B$4:$D$4)*Inputs!$B$2</f>
        <v>9183.80475718556</v>
      </c>
    </row>
    <row r="566" customFormat="false" ht="15" hidden="false" customHeight="false" outlineLevel="0" collapsed="false">
      <c r="D566" s="0" t="n">
        <f aca="false">MC_Shocks!A553</f>
        <v>-0.353166292810688</v>
      </c>
      <c r="E566" s="0" t="n">
        <f aca="false">MC_Shocks!B553</f>
        <v>0.338483843461691</v>
      </c>
      <c r="F566" s="0" t="n">
        <f aca="false">MC_Shocks!C553</f>
        <v>-0.295401410139029</v>
      </c>
      <c r="G566" s="0" t="n">
        <f aca="false">$B$3*D566</f>
        <v>-0.00520239412876488</v>
      </c>
      <c r="H566" s="0" t="n">
        <f aca="false">$B$4*D566+$C$4*E566</f>
        <v>0.000531218268647908</v>
      </c>
      <c r="I566" s="0" t="n">
        <f aca="false">$B$5*D566+$C$5*E566+$D$5*F566</f>
        <v>-0.00506327774694739</v>
      </c>
      <c r="J566" s="0" t="n">
        <f aca="false">SUMPRODUCT(G566:I566,Inputs!$B$4:$D$4)*Inputs!$B$2</f>
        <v>-3440.5754949958</v>
      </c>
    </row>
    <row r="567" customFormat="false" ht="15" hidden="false" customHeight="false" outlineLevel="0" collapsed="false">
      <c r="D567" s="0" t="n">
        <f aca="false">MC_Shocks!A554</f>
        <v>0.168460976269614</v>
      </c>
      <c r="E567" s="0" t="n">
        <f aca="false">MC_Shocks!B554</f>
        <v>1.31759753560796</v>
      </c>
      <c r="F567" s="0" t="n">
        <f aca="false">MC_Shocks!C554</f>
        <v>-1.00654256527964</v>
      </c>
      <c r="G567" s="0" t="n">
        <f aca="false">$B$3*D567</f>
        <v>0.00248155164213485</v>
      </c>
      <c r="H567" s="0" t="n">
        <f aca="false">$B$4*D567+$C$4*E567</f>
        <v>0.0182659220769961</v>
      </c>
      <c r="I567" s="0" t="n">
        <f aca="false">$B$5*D567+$C$5*E567+$D$5*F567</f>
        <v>-0.00210025407543094</v>
      </c>
      <c r="J567" s="0" t="n">
        <f aca="false">SUMPRODUCT(G567:I567,Inputs!$B$4:$D$4)*Inputs!$B$2</f>
        <v>5842.3210573235</v>
      </c>
    </row>
    <row r="568" customFormat="false" ht="15" hidden="false" customHeight="false" outlineLevel="0" collapsed="false">
      <c r="D568" s="0" t="n">
        <f aca="false">MC_Shocks!A555</f>
        <v>1.13987856112905</v>
      </c>
      <c r="E568" s="0" t="n">
        <f aca="false">MC_Shocks!B555</f>
        <v>1.31711506733987</v>
      </c>
      <c r="F568" s="0" t="n">
        <f aca="false">MC_Shocks!C555</f>
        <v>-0.118068526991079</v>
      </c>
      <c r="G568" s="0" t="n">
        <f aca="false">$B$3*D568</f>
        <v>0.016791233066802</v>
      </c>
      <c r="H568" s="0" t="n">
        <f aca="false">$B$4*D568+$C$4*E568</f>
        <v>0.0284562097669176</v>
      </c>
      <c r="I568" s="0" t="n">
        <f aca="false">$B$5*D568+$C$5*E568+$D$5*F568</f>
        <v>0.0159753403334596</v>
      </c>
      <c r="J568" s="0" t="n">
        <f aca="false">SUMPRODUCT(G568:I568,Inputs!$B$4:$D$4)*Inputs!$B$2</f>
        <v>20045.958256834</v>
      </c>
    </row>
    <row r="569" customFormat="false" ht="15" hidden="false" customHeight="false" outlineLevel="0" collapsed="false">
      <c r="D569" s="0" t="n">
        <f aca="false">MC_Shocks!A556</f>
        <v>-2.1218548990086</v>
      </c>
      <c r="E569" s="0" t="n">
        <f aca="false">MC_Shocks!B556</f>
        <v>-0.607821987094433</v>
      </c>
      <c r="F569" s="0" t="n">
        <f aca="false">MC_Shocks!C556</f>
        <v>1.29699454656111</v>
      </c>
      <c r="G569" s="0" t="n">
        <f aca="false">$B$3*D569</f>
        <v>-0.0312564525363991</v>
      </c>
      <c r="H569" s="0" t="n">
        <f aca="false">$B$4*D569+$C$4*E569</f>
        <v>-0.0298822758989452</v>
      </c>
      <c r="I569" s="0" t="n">
        <f aca="false">$B$5*D569+$C$5*E569+$D$5*F569</f>
        <v>-0.0133986867841948</v>
      </c>
      <c r="J569" s="0" t="n">
        <f aca="false">SUMPRODUCT(G569:I569,Inputs!$B$4:$D$4)*Inputs!$B$2</f>
        <v>-25486.8698195016</v>
      </c>
    </row>
    <row r="570" customFormat="false" ht="15" hidden="false" customHeight="false" outlineLevel="0" collapsed="false">
      <c r="D570" s="0" t="n">
        <f aca="false">MC_Shocks!A557</f>
        <v>-0.0228680622988821</v>
      </c>
      <c r="E570" s="0" t="n">
        <f aca="false">MC_Shocks!B557</f>
        <v>-0.999302232294911</v>
      </c>
      <c r="F570" s="0" t="n">
        <f aca="false">MC_Shocks!C557</f>
        <v>-0.504774921228217</v>
      </c>
      <c r="G570" s="0" t="n">
        <f aca="false">$B$3*D570</f>
        <v>-0.000336863045714575</v>
      </c>
      <c r="H570" s="0" t="n">
        <f aca="false">$B$4*D570+$C$4*E570</f>
        <v>-0.0127523395077941</v>
      </c>
      <c r="I570" s="0" t="n">
        <f aca="false">$B$5*D570+$C$5*E570+$D$5*F570</f>
        <v>-0.00840491030417872</v>
      </c>
      <c r="J570" s="0" t="n">
        <f aca="false">SUMPRODUCT(G570:I570,Inputs!$B$4:$D$4)*Inputs!$B$2</f>
        <v>-6481.92016187766</v>
      </c>
    </row>
    <row r="571" customFormat="false" ht="15" hidden="false" customHeight="false" outlineLevel="0" collapsed="false">
      <c r="D571" s="0" t="n">
        <f aca="false">MC_Shocks!A558</f>
        <v>0.840620026504553</v>
      </c>
      <c r="E571" s="0" t="n">
        <f aca="false">MC_Shocks!B558</f>
        <v>0.546733568201379</v>
      </c>
      <c r="F571" s="0" t="n">
        <f aca="false">MC_Shocks!C558</f>
        <v>-0.238932099169694</v>
      </c>
      <c r="G571" s="0" t="n">
        <f aca="false">$B$3*D571</f>
        <v>0.0123829390840357</v>
      </c>
      <c r="H571" s="0" t="n">
        <f aca="false">$B$4*D571+$C$4*E571</f>
        <v>0.015669108927181</v>
      </c>
      <c r="I571" s="0" t="n">
        <f aca="false">$B$5*D571+$C$5*E571+$D$5*F571</f>
        <v>0.00886155998761301</v>
      </c>
      <c r="J571" s="0" t="n">
        <f aca="false">SUMPRODUCT(G571:I571,Inputs!$B$4:$D$4)*Inputs!$B$2</f>
        <v>12312.3763080525</v>
      </c>
    </row>
    <row r="572" customFormat="false" ht="15" hidden="false" customHeight="false" outlineLevel="0" collapsed="false">
      <c r="D572" s="0" t="n">
        <f aca="false">MC_Shocks!A559</f>
        <v>-0.366824411814688</v>
      </c>
      <c r="E572" s="0" t="n">
        <f aca="false">MC_Shocks!B559</f>
        <v>-0.391758149043822</v>
      </c>
      <c r="F572" s="0" t="n">
        <f aca="false">MC_Shocks!C559</f>
        <v>-0.922410184498503</v>
      </c>
      <c r="G572" s="0" t="n">
        <f aca="false">$B$3*D572</f>
        <v>-0.00540358806930458</v>
      </c>
      <c r="H572" s="0" t="n">
        <f aca="false">$B$4*D572+$C$4*E572</f>
        <v>-0.00875553508529242</v>
      </c>
      <c r="I572" s="0" t="n">
        <f aca="false">$B$5*D572+$C$5*E572+$D$5*F572</f>
        <v>-0.0134342267054996</v>
      </c>
      <c r="J572" s="0" t="n">
        <f aca="false">SUMPRODUCT(G572:I572,Inputs!$B$4:$D$4)*Inputs!$B$2</f>
        <v>-8818.36376495943</v>
      </c>
    </row>
    <row r="573" customFormat="false" ht="15" hidden="false" customHeight="false" outlineLevel="0" collapsed="false">
      <c r="D573" s="0" t="n">
        <f aca="false">MC_Shocks!A560</f>
        <v>1.61537568946944</v>
      </c>
      <c r="E573" s="0" t="n">
        <f aca="false">MC_Shocks!B560</f>
        <v>-0.32232046921134</v>
      </c>
      <c r="F573" s="0" t="n">
        <f aca="false">MC_Shocks!C560</f>
        <v>1.2171585208255</v>
      </c>
      <c r="G573" s="0" t="n">
        <f aca="false">$B$3*D573</f>
        <v>0.0237956486044101</v>
      </c>
      <c r="H573" s="0" t="n">
        <f aca="false">$B$4*D573+$C$4*E573</f>
        <v>0.0129197423297716</v>
      </c>
      <c r="I573" s="0" t="n">
        <f aca="false">$B$5*D573+$C$5*E573+$D$5*F573</f>
        <v>0.0265742867336903</v>
      </c>
      <c r="J573" s="0" t="n">
        <f aca="false">SUMPRODUCT(G573:I573,Inputs!$B$4:$D$4)*Inputs!$B$2</f>
        <v>21366.4681608026</v>
      </c>
    </row>
    <row r="574" customFormat="false" ht="15" hidden="false" customHeight="false" outlineLevel="0" collapsed="false">
      <c r="D574" s="0" t="n">
        <f aca="false">MC_Shocks!A561</f>
        <v>1.52131605192245</v>
      </c>
      <c r="E574" s="0" t="n">
        <f aca="false">MC_Shocks!B561</f>
        <v>0.99831089814796</v>
      </c>
      <c r="F574" s="0" t="n">
        <f aca="false">MC_Shocks!C561</f>
        <v>-0.431620312718048</v>
      </c>
      <c r="G574" s="0" t="n">
        <f aca="false">$B$3*D574</f>
        <v>0.0224100823256075</v>
      </c>
      <c r="H574" s="0" t="n">
        <f aca="false">$B$4*D574+$C$4*E574</f>
        <v>0.0284681456822369</v>
      </c>
      <c r="I574" s="0" t="n">
        <f aca="false">$B$5*D574+$C$5*E574+$D$5*F574</f>
        <v>0.0160773094129559</v>
      </c>
      <c r="J574" s="0" t="n">
        <f aca="false">SUMPRODUCT(G574:I574,Inputs!$B$4:$D$4)*Inputs!$B$2</f>
        <v>22327.6694588008</v>
      </c>
    </row>
    <row r="575" customFormat="false" ht="15" hidden="false" customHeight="false" outlineLevel="0" collapsed="false">
      <c r="D575" s="0" t="n">
        <f aca="false">MC_Shocks!A562</f>
        <v>0.403730090336609</v>
      </c>
      <c r="E575" s="0" t="n">
        <f aca="false">MC_Shocks!B562</f>
        <v>-0.0241956063909162</v>
      </c>
      <c r="F575" s="0" t="n">
        <f aca="false">MC_Shocks!C562</f>
        <v>-0.903701860730128</v>
      </c>
      <c r="G575" s="0" t="n">
        <f aca="false">$B$3*D575</f>
        <v>0.00594723532321578</v>
      </c>
      <c r="H575" s="0" t="n">
        <f aca="false">$B$4*D575+$C$4*E575</f>
        <v>0.00393473378068968</v>
      </c>
      <c r="I575" s="0" t="n">
        <f aca="false">$B$5*D575+$C$5*E575+$D$5*F575</f>
        <v>-0.00372884889755026</v>
      </c>
      <c r="J575" s="0" t="n">
        <f aca="false">SUMPRODUCT(G575:I575,Inputs!$B$4:$D$4)*Inputs!$B$2</f>
        <v>2440.65959422814</v>
      </c>
    </row>
    <row r="576" customFormat="false" ht="15" hidden="false" customHeight="false" outlineLevel="0" collapsed="false">
      <c r="D576" s="0" t="n">
        <f aca="false">MC_Shocks!A563</f>
        <v>0.324359281721603</v>
      </c>
      <c r="E576" s="0" t="n">
        <f aca="false">MC_Shocks!B563</f>
        <v>-1.1790397911598</v>
      </c>
      <c r="F576" s="0" t="n">
        <f aca="false">MC_Shocks!C563</f>
        <v>1.18767938846156</v>
      </c>
      <c r="G576" s="0" t="n">
        <f aca="false">$B$3*D576</f>
        <v>0.00477804608534202</v>
      </c>
      <c r="H576" s="0" t="n">
        <f aca="false">$B$4*D576+$C$4*E576</f>
        <v>-0.0113582255710151</v>
      </c>
      <c r="I576" s="0" t="n">
        <f aca="false">$B$5*D576+$C$5*E576+$D$5*F576</f>
        <v>0.0094281542257608</v>
      </c>
      <c r="J576" s="0" t="n">
        <f aca="false">SUMPRODUCT(G576:I576,Inputs!$B$4:$D$4)*Inputs!$B$2</f>
        <v>1332.19703056052</v>
      </c>
    </row>
    <row r="577" customFormat="false" ht="15" hidden="false" customHeight="false" outlineLevel="0" collapsed="false">
      <c r="D577" s="0" t="n">
        <f aca="false">MC_Shocks!A564</f>
        <v>-0.464617297298393</v>
      </c>
      <c r="E577" s="0" t="n">
        <f aca="false">MC_Shocks!B564</f>
        <v>0.201159655872839</v>
      </c>
      <c r="F577" s="0" t="n">
        <f aca="false">MC_Shocks!C564</f>
        <v>0.283287871546142</v>
      </c>
      <c r="G577" s="0" t="n">
        <f aca="false">$B$3*D577</f>
        <v>-0.006844147781916</v>
      </c>
      <c r="H577" s="0" t="n">
        <f aca="false">$B$4*D577+$C$4*E577</f>
        <v>-0.00235805168379769</v>
      </c>
      <c r="I577" s="0" t="n">
        <f aca="false">$B$5*D577+$C$5*E577+$D$5*F577</f>
        <v>-0.00168892149087652</v>
      </c>
      <c r="J577" s="0" t="n">
        <f aca="false">SUMPRODUCT(G577:I577,Inputs!$B$4:$D$4)*Inputs!$B$2</f>
        <v>-3951.75106516867</v>
      </c>
    </row>
    <row r="578" customFormat="false" ht="15" hidden="false" customHeight="false" outlineLevel="0" collapsed="false">
      <c r="D578" s="0" t="n">
        <f aca="false">MC_Shocks!A565</f>
        <v>-0.258904973704077</v>
      </c>
      <c r="E578" s="0" t="n">
        <f aca="false">MC_Shocks!B565</f>
        <v>0.586693801475275</v>
      </c>
      <c r="F578" s="0" t="n">
        <f aca="false">MC_Shocks!C565</f>
        <v>-0.474903656622524</v>
      </c>
      <c r="G578" s="0" t="n">
        <f aca="false">$B$3*D578</f>
        <v>-0.00381385693517508</v>
      </c>
      <c r="H578" s="0" t="n">
        <f aca="false">$B$4*D578+$C$4*E578</f>
        <v>0.00462846520826806</v>
      </c>
      <c r="I578" s="0" t="n">
        <f aca="false">$B$5*D578+$C$5*E578+$D$5*F578</f>
        <v>-0.00470775364879683</v>
      </c>
      <c r="J578" s="0" t="n">
        <f aca="false">SUMPRODUCT(G578:I578,Inputs!$B$4:$D$4)*Inputs!$B$2</f>
        <v>-1549.32930622867</v>
      </c>
    </row>
    <row r="579" customFormat="false" ht="15" hidden="false" customHeight="false" outlineLevel="0" collapsed="false">
      <c r="D579" s="0" t="n">
        <f aca="false">MC_Shocks!A566</f>
        <v>0.871297297457244</v>
      </c>
      <c r="E579" s="0" t="n">
        <f aca="false">MC_Shocks!B566</f>
        <v>-1.34597968024675</v>
      </c>
      <c r="F579" s="0" t="n">
        <f aca="false">MC_Shocks!C566</f>
        <v>0.126379579546412</v>
      </c>
      <c r="G579" s="0" t="n">
        <f aca="false">$B$3*D579</f>
        <v>0.0128348374037215</v>
      </c>
      <c r="H579" s="0" t="n">
        <f aca="false">$B$4*D579+$C$4*E579</f>
        <v>-0.00770764043292686</v>
      </c>
      <c r="I579" s="0" t="n">
        <f aca="false">$B$5*D579+$C$5*E579+$D$5*F579</f>
        <v>0.00530196779195311</v>
      </c>
      <c r="J579" s="0" t="n">
        <f aca="false">SUMPRODUCT(G579:I579,Inputs!$B$4:$D$4)*Inputs!$B$2</f>
        <v>4412.23316919647</v>
      </c>
    </row>
    <row r="580" customFormat="false" ht="15" hidden="false" customHeight="false" outlineLevel="0" collapsed="false">
      <c r="D580" s="0" t="n">
        <f aca="false">MC_Shocks!A567</f>
        <v>1.93892899905829</v>
      </c>
      <c r="E580" s="0" t="n">
        <f aca="false">MC_Shocks!B567</f>
        <v>-1.00033132460558</v>
      </c>
      <c r="F580" s="0" t="n">
        <f aca="false">MC_Shocks!C567</f>
        <v>-0.677744970524852</v>
      </c>
      <c r="G580" s="0" t="n">
        <f aca="false">$B$3*D580</f>
        <v>0.0285618221391244</v>
      </c>
      <c r="H580" s="0" t="n">
        <f aca="false">$B$4*D580+$C$4*E580</f>
        <v>0.00782646302551963</v>
      </c>
      <c r="I580" s="0" t="n">
        <f aca="false">$B$5*D580+$C$5*E580+$D$5*F580</f>
        <v>0.0108652600620347</v>
      </c>
      <c r="J580" s="0" t="n">
        <f aca="false">SUMPRODUCT(G580:I580,Inputs!$B$4:$D$4)*Inputs!$B$2</f>
        <v>17032.245781916</v>
      </c>
    </row>
    <row r="581" customFormat="false" ht="15" hidden="false" customHeight="false" outlineLevel="0" collapsed="false">
      <c r="D581" s="0" t="n">
        <f aca="false">MC_Shocks!A568</f>
        <v>0.513907849658915</v>
      </c>
      <c r="E581" s="0" t="n">
        <f aca="false">MC_Shocks!B568</f>
        <v>0.179581781939598</v>
      </c>
      <c r="F581" s="0" t="n">
        <f aca="false">MC_Shocks!C568</f>
        <v>0.350630099273559</v>
      </c>
      <c r="G581" s="0" t="n">
        <f aca="false">$B$3*D581</f>
        <v>0.00757023315706083</v>
      </c>
      <c r="H581" s="0" t="n">
        <f aca="false">$B$4*D581+$C$4*E581</f>
        <v>0.0076427028595057</v>
      </c>
      <c r="I581" s="0" t="n">
        <f aca="false">$B$5*D581+$C$5*E581+$D$5*F581</f>
        <v>0.00918972867964568</v>
      </c>
      <c r="J581" s="0" t="n">
        <f aca="false">SUMPRODUCT(G581:I581,Inputs!$B$4:$D$4)*Inputs!$B$2</f>
        <v>8077.82272456974</v>
      </c>
    </row>
    <row r="582" customFormat="false" ht="15" hidden="false" customHeight="false" outlineLevel="0" collapsed="false">
      <c r="D582" s="0" t="n">
        <f aca="false">MC_Shocks!A569</f>
        <v>0.489187130147664</v>
      </c>
      <c r="E582" s="0" t="n">
        <f aca="false">MC_Shocks!B569</f>
        <v>0.63472146856177</v>
      </c>
      <c r="F582" s="0" t="n">
        <f aca="false">MC_Shocks!C569</f>
        <v>1.10969984195622</v>
      </c>
      <c r="G582" s="0" t="n">
        <f aca="false">$B$3*D582</f>
        <v>0.00720607913482769</v>
      </c>
      <c r="H582" s="0" t="n">
        <f aca="false">$B$4*D582+$C$4*E582</f>
        <v>0.0130820504510811</v>
      </c>
      <c r="I582" s="0" t="n">
        <f aca="false">$B$5*D582+$C$5*E582+$D$5*F582</f>
        <v>0.0172810825751945</v>
      </c>
      <c r="J582" s="0" t="n">
        <f aca="false">SUMPRODUCT(G582:I582,Inputs!$B$4:$D$4)*Inputs!$B$2</f>
        <v>11991.3715618138</v>
      </c>
    </row>
    <row r="583" customFormat="false" ht="15" hidden="false" customHeight="false" outlineLevel="0" collapsed="false">
      <c r="D583" s="0" t="n">
        <f aca="false">MC_Shocks!A570</f>
        <v>0.409818656928513</v>
      </c>
      <c r="E583" s="0" t="n">
        <f aca="false">MC_Shocks!B570</f>
        <v>-0.241257654618543</v>
      </c>
      <c r="F583" s="0" t="n">
        <f aca="false">MC_Shocks!C570</f>
        <v>0.672573701202731</v>
      </c>
      <c r="G583" s="0" t="n">
        <f aca="false">$B$3*D583</f>
        <v>0.00603692429901872</v>
      </c>
      <c r="H583" s="0" t="n">
        <f aca="false">$B$4*D583+$C$4*E583</f>
        <v>0.00128079769374863</v>
      </c>
      <c r="I583" s="0" t="n">
        <f aca="false">$B$5*D583+$C$5*E583+$D$5*F583</f>
        <v>0.00933168137604244</v>
      </c>
      <c r="J583" s="0" t="n">
        <f aca="false">SUMPRODUCT(G583:I583,Inputs!$B$4:$D$4)*Inputs!$B$2</f>
        <v>5598.51344054481</v>
      </c>
    </row>
    <row r="584" customFormat="false" ht="15" hidden="false" customHeight="false" outlineLevel="0" collapsed="false">
      <c r="D584" s="0" t="n">
        <f aca="false">MC_Shocks!A571</f>
        <v>1.89988193489522</v>
      </c>
      <c r="E584" s="0" t="n">
        <f aca="false">MC_Shocks!B571</f>
        <v>-0.132633746382574</v>
      </c>
      <c r="F584" s="0" t="n">
        <f aca="false">MC_Shocks!C571</f>
        <v>-0.974529304670642</v>
      </c>
      <c r="G584" s="0" t="n">
        <f aca="false">$B$3*D584</f>
        <v>0.0279866307307632</v>
      </c>
      <c r="H584" s="0" t="n">
        <f aca="false">$B$4*D584+$C$4*E584</f>
        <v>0.0182810925090064</v>
      </c>
      <c r="I584" s="0" t="n">
        <f aca="false">$B$5*D584+$C$5*E584+$D$5*F584</f>
        <v>0.0110995851958309</v>
      </c>
      <c r="J584" s="0" t="n">
        <f aca="false">SUMPRODUCT(G584:I584,Inputs!$B$4:$D$4)*Inputs!$B$2</f>
        <v>20008.8556037565</v>
      </c>
    </row>
    <row r="585" customFormat="false" ht="15" hidden="false" customHeight="false" outlineLevel="0" collapsed="false">
      <c r="D585" s="0" t="n">
        <f aca="false">MC_Shocks!A572</f>
        <v>1.10708066928697</v>
      </c>
      <c r="E585" s="0" t="n">
        <f aca="false">MC_Shocks!B572</f>
        <v>-0.120381163953598</v>
      </c>
      <c r="F585" s="0" t="n">
        <f aca="false">MC_Shocks!C572</f>
        <v>-2.17266954601404</v>
      </c>
      <c r="G585" s="0" t="n">
        <f aca="false">$B$3*D585</f>
        <v>0.0163080964724314</v>
      </c>
      <c r="H585" s="0" t="n">
        <f aca="false">$B$4*D585+$C$4*E585</f>
        <v>0.0101129964664433</v>
      </c>
      <c r="I585" s="0" t="n">
        <f aca="false">$B$5*D585+$C$5*E585+$D$5*F585</f>
        <v>-0.00775188828081315</v>
      </c>
      <c r="J585" s="0" t="n">
        <f aca="false">SUMPRODUCT(G585:I585,Inputs!$B$4:$D$4)*Inputs!$B$2</f>
        <v>7231.5710446616</v>
      </c>
    </row>
    <row r="586" customFormat="false" ht="15" hidden="false" customHeight="false" outlineLevel="0" collapsed="false">
      <c r="D586" s="0" t="n">
        <f aca="false">MC_Shocks!A573</f>
        <v>0.847421677150422</v>
      </c>
      <c r="E586" s="0" t="n">
        <f aca="false">MC_Shocks!B573</f>
        <v>-0.535328185953923</v>
      </c>
      <c r="F586" s="0" t="n">
        <f aca="false">MC_Shocks!C573</f>
        <v>-0.0905332823041608</v>
      </c>
      <c r="G586" s="0" t="n">
        <f aca="false">$B$3*D586</f>
        <v>0.0124831323020927</v>
      </c>
      <c r="H586" s="0" t="n">
        <f aca="false">$B$4*D586+$C$4*E586</f>
        <v>0.00219195707124755</v>
      </c>
      <c r="I586" s="0" t="n">
        <f aca="false">$B$5*D586+$C$5*E586+$D$5*F586</f>
        <v>0.00618321997998708</v>
      </c>
      <c r="J586" s="0" t="n">
        <f aca="false">SUMPRODUCT(G586:I586,Inputs!$B$4:$D$4)*Inputs!$B$2</f>
        <v>7505.80603620748</v>
      </c>
    </row>
    <row r="587" customFormat="false" ht="15" hidden="false" customHeight="false" outlineLevel="0" collapsed="false">
      <c r="D587" s="0" t="n">
        <f aca="false">MC_Shocks!A574</f>
        <v>0.331980330569015</v>
      </c>
      <c r="E587" s="0" t="n">
        <f aca="false">MC_Shocks!B574</f>
        <v>0.190499679779066</v>
      </c>
      <c r="F587" s="0" t="n">
        <f aca="false">MC_Shocks!C574</f>
        <v>0.70945181713904</v>
      </c>
      <c r="G587" s="0" t="n">
        <f aca="false">$B$3*D587</f>
        <v>0.0048903096297003</v>
      </c>
      <c r="H587" s="0" t="n">
        <f aca="false">$B$4*D587+$C$4*E587</f>
        <v>0.00586983336176874</v>
      </c>
      <c r="I587" s="0" t="n">
        <f aca="false">$B$5*D587+$C$5*E587+$D$5*F587</f>
        <v>0.0104460588942997</v>
      </c>
      <c r="J587" s="0" t="n">
        <f aca="false">SUMPRODUCT(G587:I587,Inputs!$B$4:$D$4)*Inputs!$B$2</f>
        <v>6850.89152870064</v>
      </c>
    </row>
    <row r="588" customFormat="false" ht="15" hidden="false" customHeight="false" outlineLevel="0" collapsed="false">
      <c r="D588" s="0" t="n">
        <f aca="false">MC_Shocks!A575</f>
        <v>-0.435486370569843</v>
      </c>
      <c r="E588" s="0" t="n">
        <f aca="false">MC_Shocks!B575</f>
        <v>0.513105798176083</v>
      </c>
      <c r="F588" s="0" t="n">
        <f aca="false">MC_Shocks!C575</f>
        <v>-0.259546677583917</v>
      </c>
      <c r="G588" s="0" t="n">
        <f aca="false">$B$3*D588</f>
        <v>-0.00641502822757811</v>
      </c>
      <c r="H588" s="0" t="n">
        <f aca="false">$B$4*D588+$C$4*E588</f>
        <v>0.00185360820394848</v>
      </c>
      <c r="I588" s="0" t="n">
        <f aca="false">$B$5*D588+$C$5*E588+$D$5*F588</f>
        <v>-0.00496787989056828</v>
      </c>
      <c r="J588" s="0" t="n">
        <f aca="false">SUMPRODUCT(G588:I588,Inputs!$B$4:$D$4)*Inputs!$B$2</f>
        <v>-3500.29279701719</v>
      </c>
    </row>
    <row r="589" customFormat="false" ht="15" hidden="false" customHeight="false" outlineLevel="0" collapsed="false">
      <c r="D589" s="0" t="n">
        <f aca="false">MC_Shocks!A576</f>
        <v>0.738810480887503</v>
      </c>
      <c r="E589" s="0" t="n">
        <f aca="false">MC_Shocks!B576</f>
        <v>0.615367484013053</v>
      </c>
      <c r="F589" s="0" t="n">
        <f aca="false">MC_Shocks!C576</f>
        <v>-0.935438702044595</v>
      </c>
      <c r="G589" s="0" t="n">
        <f aca="false">$B$3*D589</f>
        <v>0.0108832110716167</v>
      </c>
      <c r="H589" s="0" t="n">
        <f aca="false">$B$4*D589+$C$4*E589</f>
        <v>0.0154598497514544</v>
      </c>
      <c r="I589" s="0" t="n">
        <f aca="false">$B$5*D589+$C$5*E589+$D$5*F589</f>
        <v>0.00193803843160017</v>
      </c>
      <c r="J589" s="0" t="n">
        <f aca="false">SUMPRODUCT(G589:I589,Inputs!$B$4:$D$4)*Inputs!$B$2</f>
        <v>9572.65088356305</v>
      </c>
    </row>
    <row r="590" customFormat="false" ht="15" hidden="false" customHeight="false" outlineLevel="0" collapsed="false">
      <c r="D590" s="0" t="n">
        <f aca="false">MC_Shocks!A577</f>
        <v>1.08598211617503</v>
      </c>
      <c r="E590" s="0" t="n">
        <f aca="false">MC_Shocks!B577</f>
        <v>-0.535963445114048</v>
      </c>
      <c r="F590" s="0" t="n">
        <f aca="false">MC_Shocks!C577</f>
        <v>0.808057798281145</v>
      </c>
      <c r="G590" s="0" t="n">
        <f aca="false">$B$3*D590</f>
        <v>0.0159972995728704</v>
      </c>
      <c r="H590" s="0" t="n">
        <f aca="false">$B$4*D590+$C$4*E590</f>
        <v>0.00468801430458579</v>
      </c>
      <c r="I590" s="0" t="n">
        <f aca="false">$B$5*D590+$C$5*E590+$D$5*F590</f>
        <v>0.0165807397438564</v>
      </c>
      <c r="J590" s="0" t="n">
        <f aca="false">SUMPRODUCT(G590:I590,Inputs!$B$4:$D$4)*Inputs!$B$2</f>
        <v>12779.5460436808</v>
      </c>
    </row>
    <row r="591" customFormat="false" ht="15" hidden="false" customHeight="false" outlineLevel="0" collapsed="false">
      <c r="D591" s="0" t="n">
        <f aca="false">MC_Shocks!A578</f>
        <v>0.367287313401341</v>
      </c>
      <c r="E591" s="0" t="n">
        <f aca="false">MC_Shocks!B578</f>
        <v>1.83818367679512</v>
      </c>
      <c r="F591" s="0" t="n">
        <f aca="false">MC_Shocks!C578</f>
        <v>-0.223465982371852</v>
      </c>
      <c r="G591" s="0" t="n">
        <f aca="false">$B$3*D591</f>
        <v>0.00541040694343165</v>
      </c>
      <c r="H591" s="0" t="n">
        <f aca="false">$B$4*D591+$C$4*E591</f>
        <v>0.0268711534784925</v>
      </c>
      <c r="I591" s="0" t="n">
        <f aca="false">$B$5*D591+$C$5*E591+$D$5*F591</f>
        <v>0.00881532864642974</v>
      </c>
      <c r="J591" s="0" t="n">
        <f aca="false">SUMPRODUCT(G591:I591,Inputs!$B$4:$D$4)*Inputs!$B$2</f>
        <v>12870.1074148493</v>
      </c>
    </row>
    <row r="592" customFormat="false" ht="15" hidden="false" customHeight="false" outlineLevel="0" collapsed="false">
      <c r="D592" s="0" t="n">
        <f aca="false">MC_Shocks!A579</f>
        <v>-0.349316796118198</v>
      </c>
      <c r="E592" s="0" t="n">
        <f aca="false">MC_Shocks!B579</f>
        <v>-0.0194196058877326</v>
      </c>
      <c r="F592" s="0" t="n">
        <f aca="false">MC_Shocks!C579</f>
        <v>-0.303179782834275</v>
      </c>
      <c r="G592" s="0" t="n">
        <f aca="false">$B$3*D592</f>
        <v>-0.00514568826696723</v>
      </c>
      <c r="H592" s="0" t="n">
        <f aca="false">$B$4*D592+$C$4*E592</f>
        <v>-0.00390970142584851</v>
      </c>
      <c r="I592" s="0" t="n">
        <f aca="false">$B$5*D592+$C$5*E592+$D$5*F592</f>
        <v>-0.00643034566297722</v>
      </c>
      <c r="J592" s="0" t="n">
        <f aca="false">SUMPRODUCT(G592:I592,Inputs!$B$4:$D$4)*Inputs!$B$2</f>
        <v>-5160.28943343461</v>
      </c>
    </row>
    <row r="593" customFormat="false" ht="15" hidden="false" customHeight="false" outlineLevel="0" collapsed="false">
      <c r="D593" s="0" t="n">
        <f aca="false">MC_Shocks!A580</f>
        <v>0.79994190194205</v>
      </c>
      <c r="E593" s="0" t="n">
        <f aca="false">MC_Shocks!B580</f>
        <v>-1.61631060843659</v>
      </c>
      <c r="F593" s="0" t="n">
        <f aca="false">MC_Shocks!C580</f>
        <v>-1.05368241914635</v>
      </c>
      <c r="G593" s="0" t="n">
        <f aca="false">$B$3*D593</f>
        <v>0.0117837209799836</v>
      </c>
      <c r="H593" s="0" t="n">
        <f aca="false">$B$4*D593+$C$4*E593</f>
        <v>-0.0118414366942709</v>
      </c>
      <c r="I593" s="0" t="n">
        <f aca="false">$B$5*D593+$C$5*E593+$D$5*F593</f>
        <v>-0.0068037117847589</v>
      </c>
      <c r="J593" s="0" t="n">
        <f aca="false">SUMPRODUCT(G593:I593,Inputs!$B$4:$D$4)*Inputs!$B$2</f>
        <v>-880.056151715497</v>
      </c>
    </row>
    <row r="594" customFormat="false" ht="15" hidden="false" customHeight="false" outlineLevel="0" collapsed="false">
      <c r="D594" s="0" t="n">
        <f aca="false">MC_Shocks!A581</f>
        <v>-1.06780292157919</v>
      </c>
      <c r="E594" s="0" t="n">
        <f aca="false">MC_Shocks!B581</f>
        <v>0.950307591973576</v>
      </c>
      <c r="F594" s="0" t="n">
        <f aca="false">MC_Shocks!C581</f>
        <v>1.71061337258193</v>
      </c>
      <c r="G594" s="0" t="n">
        <f aca="false">$B$3*D594</f>
        <v>-0.015729506929132</v>
      </c>
      <c r="H594" s="0" t="n">
        <f aca="false">$B$4*D594+$C$4*E594</f>
        <v>0.000690822543649876</v>
      </c>
      <c r="I594" s="0" t="n">
        <f aca="false">$B$5*D594+$C$5*E594+$D$5*F594</f>
        <v>0.00722702106065815</v>
      </c>
      <c r="J594" s="0" t="n">
        <f aca="false">SUMPRODUCT(G594:I594,Inputs!$B$4:$D$4)*Inputs!$B$2</f>
        <v>-3916.44969036039</v>
      </c>
    </row>
    <row r="595" customFormat="false" ht="15" hidden="false" customHeight="false" outlineLevel="0" collapsed="false">
      <c r="D595" s="0" t="n">
        <f aca="false">MC_Shocks!A582</f>
        <v>-0.104449218537472</v>
      </c>
      <c r="E595" s="0" t="n">
        <f aca="false">MC_Shocks!B582</f>
        <v>-0.168821723190011</v>
      </c>
      <c r="F595" s="0" t="n">
        <f aca="false">MC_Shocks!C582</f>
        <v>0.0700521631131814</v>
      </c>
      <c r="G595" s="0" t="n">
        <f aca="false">$B$3*D595</f>
        <v>-0.00153861229776166</v>
      </c>
      <c r="H595" s="0" t="n">
        <f aca="false">$B$4*D595+$C$4*E595</f>
        <v>-0.00321015890202532</v>
      </c>
      <c r="I595" s="0" t="n">
        <f aca="false">$B$5*D595+$C$5*E595+$D$5*F595</f>
        <v>-0.00112512329585547</v>
      </c>
      <c r="J595" s="0" t="n">
        <f aca="false">SUMPRODUCT(G595:I595,Inputs!$B$4:$D$4)*Inputs!$B$2</f>
        <v>-1916.0295784689</v>
      </c>
    </row>
    <row r="596" customFormat="false" ht="15" hidden="false" customHeight="false" outlineLevel="0" collapsed="false">
      <c r="D596" s="0" t="n">
        <f aca="false">MC_Shocks!A583</f>
        <v>1.16187830260819</v>
      </c>
      <c r="E596" s="0" t="n">
        <f aca="false">MC_Shocks!B583</f>
        <v>-0.927353134190574</v>
      </c>
      <c r="F596" s="0" t="n">
        <f aca="false">MC_Shocks!C583</f>
        <v>0.238368982734785</v>
      </c>
      <c r="G596" s="0" t="n">
        <f aca="false">$B$3*D596</f>
        <v>0.0171153051207757</v>
      </c>
      <c r="H596" s="0" t="n">
        <f aca="false">$B$4*D596+$C$4*E596</f>
        <v>0.00058403839421515</v>
      </c>
      <c r="I596" s="0" t="n">
        <f aca="false">$B$5*D596+$C$5*E596+$D$5*F596</f>
        <v>0.010929346508076</v>
      </c>
      <c r="J596" s="0" t="n">
        <f aca="false">SUMPRODUCT(G596:I596,Inputs!$B$4:$D$4)*Inputs!$B$2</f>
        <v>10300.1375189976</v>
      </c>
    </row>
    <row r="597" customFormat="false" ht="15" hidden="false" customHeight="false" outlineLevel="0" collapsed="false">
      <c r="D597" s="0" t="n">
        <f aca="false">MC_Shocks!A584</f>
        <v>0.97519762978243</v>
      </c>
      <c r="E597" s="0" t="n">
        <f aca="false">MC_Shocks!B584</f>
        <v>0.501094169939845</v>
      </c>
      <c r="F597" s="0" t="n">
        <f aca="false">MC_Shocks!C584</f>
        <v>0.189581616598743</v>
      </c>
      <c r="G597" s="0" t="n">
        <f aca="false">$B$3*D597</f>
        <v>0.0143653642118249</v>
      </c>
      <c r="H597" s="0" t="n">
        <f aca="false">$B$4*D597+$C$4*E597</f>
        <v>0.0165102281554407</v>
      </c>
      <c r="I597" s="0" t="n">
        <f aca="false">$B$5*D597+$C$5*E597+$D$5*F597</f>
        <v>0.0138707231473325</v>
      </c>
      <c r="J597" s="0" t="n">
        <f aca="false">SUMPRODUCT(G597:I597,Inputs!$B$4:$D$4)*Inputs!$B$2</f>
        <v>14860.4310755619</v>
      </c>
    </row>
    <row r="598" customFormat="false" ht="15" hidden="false" customHeight="false" outlineLevel="0" collapsed="false">
      <c r="D598" s="0" t="n">
        <f aca="false">MC_Shocks!A585</f>
        <v>1.00104609256714</v>
      </c>
      <c r="E598" s="0" t="n">
        <f aca="false">MC_Shocks!B585</f>
        <v>-2.70323229299924</v>
      </c>
      <c r="F598" s="0" t="n">
        <f aca="false">MC_Shocks!C585</f>
        <v>0.677875319530908</v>
      </c>
      <c r="G598" s="0" t="n">
        <f aca="false">$B$3*D598</f>
        <v>0.0147461307055879</v>
      </c>
      <c r="H598" s="0" t="n">
        <f aca="false">$B$4*D598+$C$4*E598</f>
        <v>-0.0233399745478692</v>
      </c>
      <c r="I598" s="0" t="n">
        <f aca="false">$B$5*D598+$C$5*E598+$D$5*F598</f>
        <v>0.00642761771283384</v>
      </c>
      <c r="J598" s="0" t="n">
        <f aca="false">SUMPRODUCT(G598:I598,Inputs!$B$4:$D$4)*Inputs!$B$2</f>
        <v>824.745231724548</v>
      </c>
    </row>
    <row r="599" customFormat="false" ht="15" hidden="false" customHeight="false" outlineLevel="0" collapsed="false">
      <c r="D599" s="0" t="n">
        <f aca="false">MC_Shocks!A586</f>
        <v>-0.654075683127424</v>
      </c>
      <c r="E599" s="0" t="n">
        <f aca="false">MC_Shocks!B586</f>
        <v>-1.83063289685646</v>
      </c>
      <c r="F599" s="0" t="n">
        <f aca="false">MC_Shocks!C586</f>
        <v>0.511202599524981</v>
      </c>
      <c r="G599" s="0" t="n">
        <f aca="false">$B$3*D599</f>
        <v>-0.00963500640615782</v>
      </c>
      <c r="H599" s="0" t="n">
        <f aca="false">$B$4*D599+$C$4*E599</f>
        <v>-0.0297868378931302</v>
      </c>
      <c r="I599" s="0" t="n">
        <f aca="false">$B$5*D599+$C$5*E599+$D$5*F599</f>
        <v>-0.00930554035433512</v>
      </c>
      <c r="J599" s="0" t="n">
        <f aca="false">SUMPRODUCT(G599:I599,Inputs!$B$4:$D$4)*Inputs!$B$2</f>
        <v>-15581.7160367027</v>
      </c>
    </row>
    <row r="600" customFormat="false" ht="15" hidden="false" customHeight="false" outlineLevel="0" collapsed="false">
      <c r="D600" s="0" t="n">
        <f aca="false">MC_Shocks!A587</f>
        <v>1.37365854516296</v>
      </c>
      <c r="E600" s="0" t="n">
        <f aca="false">MC_Shocks!B587</f>
        <v>-0.137448514627692</v>
      </c>
      <c r="F600" s="0" t="n">
        <f aca="false">MC_Shocks!C587</f>
        <v>0.952874547202939</v>
      </c>
      <c r="G600" s="0" t="n">
        <f aca="false">$B$3*D600</f>
        <v>0.0202349807888212</v>
      </c>
      <c r="H600" s="0" t="n">
        <f aca="false">$B$4*D600+$C$4*E600</f>
        <v>0.012697387263917</v>
      </c>
      <c r="I600" s="0" t="n">
        <f aca="false">$B$5*D600+$C$5*E600+$D$5*F600</f>
        <v>0.0223896306384656</v>
      </c>
      <c r="J600" s="0" t="n">
        <f aca="false">SUMPRODUCT(G600:I600,Inputs!$B$4:$D$4)*Inputs!$B$2</f>
        <v>18620.0976862433</v>
      </c>
    </row>
    <row r="601" customFormat="false" ht="15" hidden="false" customHeight="false" outlineLevel="0" collapsed="false">
      <c r="D601" s="0" t="n">
        <f aca="false">MC_Shocks!A588</f>
        <v>1.61227825798865</v>
      </c>
      <c r="E601" s="0" t="n">
        <f aca="false">MC_Shocks!B588</f>
        <v>1.31491445358405</v>
      </c>
      <c r="F601" s="0" t="n">
        <f aca="false">MC_Shocks!C588</f>
        <v>1.63996452937139</v>
      </c>
      <c r="G601" s="0" t="n">
        <f aca="false">$B$3*D601</f>
        <v>0.0237500212054256</v>
      </c>
      <c r="H601" s="0" t="n">
        <f aca="false">$B$4*D601+$C$4*E601</f>
        <v>0.033387123346203</v>
      </c>
      <c r="I601" s="0" t="n">
        <f aca="false">$B$5*D601+$C$5*E601+$D$5*F601</f>
        <v>0.0363739127419185</v>
      </c>
      <c r="J601" s="0" t="n">
        <f aca="false">SUMPRODUCT(G601:I601,Inputs!$B$4:$D$4)*Inputs!$B$2</f>
        <v>30428.3193086067</v>
      </c>
    </row>
    <row r="602" customFormat="false" ht="15" hidden="false" customHeight="false" outlineLevel="0" collapsed="false">
      <c r="D602" s="0" t="n">
        <f aca="false">MC_Shocks!A589</f>
        <v>0.742127491071892</v>
      </c>
      <c r="E602" s="0" t="n">
        <f aca="false">MC_Shocks!B589</f>
        <v>0.0754336389015928</v>
      </c>
      <c r="F602" s="0" t="n">
        <f aca="false">MC_Shocks!C589</f>
        <v>-1.60196581189717</v>
      </c>
      <c r="G602" s="0" t="n">
        <f aca="false">$B$3*D602</f>
        <v>0.0109320730232231</v>
      </c>
      <c r="H602" s="0" t="n">
        <f aca="false">$B$4*D602+$C$4*E602</f>
        <v>0.00873413005833784</v>
      </c>
      <c r="I602" s="0" t="n">
        <f aca="false">$B$5*D602+$C$5*E602+$D$5*F602</f>
        <v>-0.0058868431541271</v>
      </c>
      <c r="J602" s="0" t="n">
        <f aca="false">SUMPRODUCT(G602:I602,Inputs!$B$4:$D$4)*Inputs!$B$2</f>
        <v>5227.01528055245</v>
      </c>
    </row>
    <row r="603" customFormat="false" ht="15" hidden="false" customHeight="false" outlineLevel="0" collapsed="false">
      <c r="D603" s="0" t="n">
        <f aca="false">MC_Shocks!A590</f>
        <v>-0.246062488129949</v>
      </c>
      <c r="E603" s="0" t="n">
        <f aca="false">MC_Shocks!B590</f>
        <v>-0.843246595316192</v>
      </c>
      <c r="F603" s="0" t="n">
        <f aca="false">MC_Shocks!C590</f>
        <v>2.17094271749781</v>
      </c>
      <c r="G603" s="0" t="n">
        <f aca="false">$B$3*D603</f>
        <v>-0.00362467786313548</v>
      </c>
      <c r="H603" s="0" t="n">
        <f aca="false">$B$4*D603+$C$4*E603</f>
        <v>-0.0131410842528069</v>
      </c>
      <c r="I603" s="0" t="n">
        <f aca="false">$B$5*D603+$C$5*E603+$D$5*F603</f>
        <v>0.0132539245481769</v>
      </c>
      <c r="J603" s="0" t="n">
        <f aca="false">SUMPRODUCT(G603:I603,Inputs!$B$4:$D$4)*Inputs!$B$2</f>
        <v>-1416.01905664317</v>
      </c>
    </row>
    <row r="604" customFormat="false" ht="15" hidden="false" customHeight="false" outlineLevel="0" collapsed="false">
      <c r="D604" s="0" t="n">
        <f aca="false">MC_Shocks!A591</f>
        <v>-0.175885812432337</v>
      </c>
      <c r="E604" s="0" t="n">
        <f aca="false">MC_Shocks!B591</f>
        <v>0.123204806784486</v>
      </c>
      <c r="F604" s="0" t="n">
        <f aca="false">MC_Shocks!C591</f>
        <v>0.551485376040468</v>
      </c>
      <c r="G604" s="0" t="n">
        <f aca="false">$B$3*D604</f>
        <v>-0.00259092483217678</v>
      </c>
      <c r="H604" s="0" t="n">
        <f aca="false">$B$4*D604+$C$4*E604</f>
        <v>-0.0003035042153934</v>
      </c>
      <c r="I604" s="0" t="n">
        <f aca="false">$B$5*D604+$C$5*E604+$D$5*F604</f>
        <v>0.00342844886374417</v>
      </c>
      <c r="J604" s="0" t="n">
        <f aca="false">SUMPRODUCT(G604:I604,Inputs!$B$4:$D$4)*Inputs!$B$2</f>
        <v>-98.8865383654841</v>
      </c>
    </row>
    <row r="605" customFormat="false" ht="15" hidden="false" customHeight="false" outlineLevel="0" collapsed="false">
      <c r="D605" s="0" t="n">
        <f aca="false">MC_Shocks!A592</f>
        <v>0.0436024463724537</v>
      </c>
      <c r="E605" s="0" t="n">
        <f aca="false">MC_Shocks!B592</f>
        <v>1.69505104043075</v>
      </c>
      <c r="F605" s="0" t="n">
        <f aca="false">MC_Shocks!C592</f>
        <v>-0.622649361734452</v>
      </c>
      <c r="G605" s="0" t="n">
        <f aca="false">$B$3*D605</f>
        <v>0.000642295472771613</v>
      </c>
      <c r="H605" s="0" t="n">
        <f aca="false">$B$4*D605+$C$4*E605</f>
        <v>0.0216814770162036</v>
      </c>
      <c r="I605" s="0" t="n">
        <f aca="false">$B$5*D605+$C$5*E605+$D$5*F605</f>
        <v>0.00135250466381552</v>
      </c>
      <c r="J605" s="0" t="n">
        <f aca="false">SUMPRODUCT(G605:I605,Inputs!$B$4:$D$4)*Inputs!$B$2</f>
        <v>7167.11269311437</v>
      </c>
    </row>
    <row r="606" customFormat="false" ht="15" hidden="false" customHeight="false" outlineLevel="0" collapsed="false">
      <c r="D606" s="0" t="n">
        <f aca="false">MC_Shocks!A593</f>
        <v>0.194607455237243</v>
      </c>
      <c r="E606" s="0" t="n">
        <f aca="false">MC_Shocks!B593</f>
        <v>-0.742470585698048</v>
      </c>
      <c r="F606" s="0" t="n">
        <f aca="false">MC_Shocks!C593</f>
        <v>-1.32002251122071</v>
      </c>
      <c r="G606" s="0" t="n">
        <f aca="false">$B$3*D606</f>
        <v>0.00286670812914416</v>
      </c>
      <c r="H606" s="0" t="n">
        <f aca="false">$B$4*D606+$C$4*E606</f>
        <v>-0.00725384196541142</v>
      </c>
      <c r="I606" s="0" t="n">
        <f aca="false">$B$5*D606+$C$5*E606+$D$5*F606</f>
        <v>-0.0122806762874609</v>
      </c>
      <c r="J606" s="0" t="n">
        <f aca="false">SUMPRODUCT(G606:I606,Inputs!$B$4:$D$4)*Inputs!$B$2</f>
        <v>-4713.67222420404</v>
      </c>
    </row>
    <row r="607" customFormat="false" ht="15" hidden="false" customHeight="false" outlineLevel="0" collapsed="false">
      <c r="D607" s="0" t="n">
        <f aca="false">MC_Shocks!A594</f>
        <v>-0.611769090905285</v>
      </c>
      <c r="E607" s="0" t="n">
        <f aca="false">MC_Shocks!B594</f>
        <v>-0.037036797048412</v>
      </c>
      <c r="F607" s="0" t="n">
        <f aca="false">MC_Shocks!C594</f>
        <v>-0.42930222451726</v>
      </c>
      <c r="G607" s="0" t="n">
        <f aca="false">$B$3*D607</f>
        <v>-0.00901179979934134</v>
      </c>
      <c r="H607" s="0" t="n">
        <f aca="false">$B$4*D607+$C$4*E607</f>
        <v>-0.00688507544495652</v>
      </c>
      <c r="I607" s="0" t="n">
        <f aca="false">$B$5*D607+$C$5*E607+$D$5*F607</f>
        <v>-0.0103823743347718</v>
      </c>
      <c r="J607" s="0" t="n">
        <f aca="false">SUMPRODUCT(G607:I607,Inputs!$B$4:$D$4)*Inputs!$B$2</f>
        <v>-8784.95485365505</v>
      </c>
    </row>
    <row r="608" customFormat="false" ht="15" hidden="false" customHeight="false" outlineLevel="0" collapsed="false">
      <c r="D608" s="0" t="n">
        <f aca="false">MC_Shocks!A595</f>
        <v>-0.692420979873856</v>
      </c>
      <c r="E608" s="0" t="n">
        <f aca="false">MC_Shocks!B595</f>
        <v>-1.40631746367183</v>
      </c>
      <c r="F608" s="0" t="n">
        <f aca="false">MC_Shocks!C595</f>
        <v>-0.0831055726286948</v>
      </c>
      <c r="G608" s="0" t="n">
        <f aca="false">$B$3*D608</f>
        <v>-0.0101998602744921</v>
      </c>
      <c r="H608" s="0" t="n">
        <f aca="false">$B$4*D608+$C$4*E608</f>
        <v>-0.0248764503637927</v>
      </c>
      <c r="I608" s="0" t="n">
        <f aca="false">$B$5*D608+$C$5*E608+$D$5*F608</f>
        <v>-0.0133298427040613</v>
      </c>
      <c r="J608" s="0" t="n">
        <f aca="false">SUMPRODUCT(G608:I608,Inputs!$B$4:$D$4)*Inputs!$B$2</f>
        <v>-15541.832030153</v>
      </c>
    </row>
    <row r="609" customFormat="false" ht="15" hidden="false" customHeight="false" outlineLevel="0" collapsed="false">
      <c r="D609" s="0" t="n">
        <f aca="false">MC_Shocks!A596</f>
        <v>-1.504720374031</v>
      </c>
      <c r="E609" s="0" t="n">
        <f aca="false">MC_Shocks!B596</f>
        <v>0.760055963689603</v>
      </c>
      <c r="F609" s="0" t="n">
        <f aca="false">MC_Shocks!C596</f>
        <v>0.0824397529345033</v>
      </c>
      <c r="G609" s="0" t="n">
        <f aca="false">$B$3*D609</f>
        <v>-0.0221656160246527</v>
      </c>
      <c r="H609" s="0" t="n">
        <f aca="false">$B$4*D609+$C$4*E609</f>
        <v>-0.00627736060397703</v>
      </c>
      <c r="I609" s="0" t="n">
        <f aca="false">$B$5*D609+$C$5*E609+$D$5*F609</f>
        <v>-0.0123783424864668</v>
      </c>
      <c r="J609" s="0" t="n">
        <f aca="false">SUMPRODUCT(G609:I609,Inputs!$B$4:$D$4)*Inputs!$B$2</f>
        <v>-14462.9573369942</v>
      </c>
    </row>
    <row r="610" customFormat="false" ht="15" hidden="false" customHeight="false" outlineLevel="0" collapsed="false">
      <c r="D610" s="0" t="n">
        <f aca="false">MC_Shocks!A597</f>
        <v>-1.45755149946493</v>
      </c>
      <c r="E610" s="0" t="n">
        <f aca="false">MC_Shocks!B597</f>
        <v>-0.309209077049863</v>
      </c>
      <c r="F610" s="0" t="n">
        <f aca="false">MC_Shocks!C597</f>
        <v>-0.752156405590583</v>
      </c>
      <c r="G610" s="0" t="n">
        <f aca="false">$B$3*D610</f>
        <v>-0.0214707844931665</v>
      </c>
      <c r="H610" s="0" t="n">
        <f aca="false">$B$4*D610+$C$4*E610</f>
        <v>-0.0191705761469335</v>
      </c>
      <c r="I610" s="0" t="n">
        <f aca="false">$B$5*D610+$C$5*E610+$D$5*F610</f>
        <v>-0.0231922630707591</v>
      </c>
      <c r="J610" s="0" t="n">
        <f aca="false">SUMPRODUCT(G610:I610,Inputs!$B$4:$D$4)*Inputs!$B$2</f>
        <v>-21297.1655625744</v>
      </c>
    </row>
    <row r="611" customFormat="false" ht="15" hidden="false" customHeight="false" outlineLevel="0" collapsed="false">
      <c r="D611" s="0" t="n">
        <f aca="false">MC_Shocks!A598</f>
        <v>0.31917451041918</v>
      </c>
      <c r="E611" s="0" t="n">
        <f aca="false">MC_Shocks!B598</f>
        <v>1.34045044602315</v>
      </c>
      <c r="F611" s="0" t="n">
        <f aca="false">MC_Shocks!C598</f>
        <v>-1.87517246964575</v>
      </c>
      <c r="G611" s="0" t="n">
        <f aca="false">$B$3*D611</f>
        <v>0.00470167066579661</v>
      </c>
      <c r="H611" s="0" t="n">
        <f aca="false">$B$4*D611+$C$4*E611</f>
        <v>0.0201340048153909</v>
      </c>
      <c r="I611" s="0" t="n">
        <f aca="false">$B$5*D611+$C$5*E611+$D$5*F611</f>
        <v>-0.00802698190431755</v>
      </c>
      <c r="J611" s="0" t="n">
        <f aca="false">SUMPRODUCT(G611:I611,Inputs!$B$4:$D$4)*Inputs!$B$2</f>
        <v>5512.77513964065</v>
      </c>
    </row>
    <row r="612" customFormat="false" ht="15" hidden="false" customHeight="false" outlineLevel="0" collapsed="false">
      <c r="D612" s="0" t="n">
        <f aca="false">MC_Shocks!A599</f>
        <v>0.115026079147417</v>
      </c>
      <c r="E612" s="0" t="n">
        <f aca="false">MC_Shocks!B599</f>
        <v>-0.16013279556664</v>
      </c>
      <c r="F612" s="0" t="n">
        <f aca="false">MC_Shocks!C599</f>
        <v>0.671340076450466</v>
      </c>
      <c r="G612" s="0" t="n">
        <f aca="false">$B$3*D612</f>
        <v>0.00169441708054551</v>
      </c>
      <c r="H612" s="0" t="n">
        <f aca="false">$B$4*D612+$C$4*E612</f>
        <v>-0.00079767722469894</v>
      </c>
      <c r="I612" s="0" t="n">
        <f aca="false">$B$5*D612+$C$5*E612+$D$5*F612</f>
        <v>0.00650061064524728</v>
      </c>
      <c r="J612" s="0" t="n">
        <f aca="false">SUMPRODUCT(G612:I612,Inputs!$B$4:$D$4)*Inputs!$B$2</f>
        <v>2388.64685838271</v>
      </c>
    </row>
    <row r="613" customFormat="false" ht="15" hidden="false" customHeight="false" outlineLevel="0" collapsed="false">
      <c r="D613" s="0" t="n">
        <f aca="false">MC_Shocks!A600</f>
        <v>0.213196628237689</v>
      </c>
      <c r="E613" s="0" t="n">
        <f aca="false">MC_Shocks!B600</f>
        <v>-0.751969331738819</v>
      </c>
      <c r="F613" s="0" t="n">
        <f aca="false">MC_Shocks!C600</f>
        <v>-0.319053935666618</v>
      </c>
      <c r="G613" s="0" t="n">
        <f aca="false">$B$3*D613</f>
        <v>0.00314054005038007</v>
      </c>
      <c r="H613" s="0" t="n">
        <f aca="false">$B$4*D613+$C$4*E613</f>
        <v>-0.00717765792580985</v>
      </c>
      <c r="I613" s="0" t="n">
        <f aca="false">$B$5*D613+$C$5*E613+$D$5*F613</f>
        <v>-0.00335053344570104</v>
      </c>
      <c r="J613" s="0" t="n">
        <f aca="false">SUMPRODUCT(G613:I613,Inputs!$B$4:$D$4)*Inputs!$B$2</f>
        <v>-1902.24139130124</v>
      </c>
    </row>
    <row r="614" customFormat="false" ht="15" hidden="false" customHeight="false" outlineLevel="0" collapsed="false">
      <c r="D614" s="0" t="n">
        <f aca="false">MC_Shocks!A601</f>
        <v>-0.796025856803489</v>
      </c>
      <c r="E614" s="0" t="n">
        <f aca="false">MC_Shocks!B601</f>
        <v>1.0760071385986</v>
      </c>
      <c r="F614" s="0" t="n">
        <f aca="false">MC_Shocks!C601</f>
        <v>0.0213116486719422</v>
      </c>
      <c r="G614" s="0" t="n">
        <f aca="false">$B$3*D614</f>
        <v>-0.0117260348115934</v>
      </c>
      <c r="H614" s="0" t="n">
        <f aca="false">$B$4*D614+$C$4*E614</f>
        <v>0.00511737658740103</v>
      </c>
      <c r="I614" s="0" t="n">
        <f aca="false">$B$5*D614+$C$5*E614+$D$5*F614</f>
        <v>-0.00422107762052729</v>
      </c>
      <c r="J614" s="0" t="n">
        <f aca="false">SUMPRODUCT(G614:I614,Inputs!$B$4:$D$4)*Inputs!$B$2</f>
        <v>-4421.52423457523</v>
      </c>
    </row>
    <row r="615" customFormat="false" ht="15" hidden="false" customHeight="false" outlineLevel="0" collapsed="false">
      <c r="D615" s="0" t="n">
        <f aca="false">MC_Shocks!A602</f>
        <v>1.90119068575301</v>
      </c>
      <c r="E615" s="0" t="n">
        <f aca="false">MC_Shocks!B602</f>
        <v>-0.0606608138146208</v>
      </c>
      <c r="F615" s="0" t="n">
        <f aca="false">MC_Shocks!C602</f>
        <v>-0.708406766910463</v>
      </c>
      <c r="G615" s="0" t="n">
        <f aca="false">$B$3*D615</f>
        <v>0.0280059095745181</v>
      </c>
      <c r="H615" s="0" t="n">
        <f aca="false">$B$4*D615+$C$4*E615</f>
        <v>0.0191960059545266</v>
      </c>
      <c r="I615" s="0" t="n">
        <f aca="false">$B$5*D615+$C$5*E615+$D$5*F615</f>
        <v>0.0137141594700493</v>
      </c>
      <c r="J615" s="0" t="n">
        <f aca="false">SUMPRODUCT(G615:I615,Inputs!$B$4:$D$4)*Inputs!$B$2</f>
        <v>21075.41345718</v>
      </c>
    </row>
    <row r="616" customFormat="false" ht="15" hidden="false" customHeight="false" outlineLevel="0" collapsed="false">
      <c r="D616" s="0" t="n">
        <f aca="false">MC_Shocks!A603</f>
        <v>-1.51371439261283</v>
      </c>
      <c r="E616" s="0" t="n">
        <f aca="false">MC_Shocks!B603</f>
        <v>-1.80313967625595</v>
      </c>
      <c r="F616" s="0" t="n">
        <f aca="false">MC_Shocks!C603</f>
        <v>-1.58413594300549</v>
      </c>
      <c r="G616" s="0" t="n">
        <f aca="false">$B$3*D616</f>
        <v>-0.0222981044031208</v>
      </c>
      <c r="H616" s="0" t="n">
        <f aca="false">$B$4*D616+$C$4*E616</f>
        <v>-0.0384656537114945</v>
      </c>
      <c r="I616" s="0" t="n">
        <f aca="false">$B$5*D616+$C$5*E616+$D$5*F616</f>
        <v>-0.0366679023203992</v>
      </c>
      <c r="J616" s="0" t="n">
        <f aca="false">SUMPRODUCT(G616:I616,Inputs!$B$4:$D$4)*Inputs!$B$2</f>
        <v>-31459.3085708164</v>
      </c>
    </row>
    <row r="617" customFormat="false" ht="15" hidden="false" customHeight="false" outlineLevel="0" collapsed="false">
      <c r="D617" s="0" t="n">
        <f aca="false">MC_Shocks!A604</f>
        <v>0.267126651011483</v>
      </c>
      <c r="E617" s="0" t="n">
        <f aca="false">MC_Shocks!B604</f>
        <v>0.508725023229934</v>
      </c>
      <c r="F617" s="0" t="n">
        <f aca="false">MC_Shocks!C604</f>
        <v>-1.58119070203213</v>
      </c>
      <c r="G617" s="0" t="n">
        <f aca="false">$B$3*D617</f>
        <v>0.00393496816980692</v>
      </c>
      <c r="H617" s="0" t="n">
        <f aca="false">$B$4*D617+$C$4*E617</f>
        <v>0.00917362108323133</v>
      </c>
      <c r="I617" s="0" t="n">
        <f aca="false">$B$5*D617+$C$5*E617+$D$5*F617</f>
        <v>-0.00911654374916081</v>
      </c>
      <c r="J617" s="0" t="n">
        <f aca="false">SUMPRODUCT(G617:I617,Inputs!$B$4:$D$4)*Inputs!$B$2</f>
        <v>1591.11046814392</v>
      </c>
    </row>
    <row r="618" customFormat="false" ht="15" hidden="false" customHeight="false" outlineLevel="0" collapsed="false">
      <c r="D618" s="0" t="n">
        <f aca="false">MC_Shocks!A605</f>
        <v>0.895038314076115</v>
      </c>
      <c r="E618" s="0" t="n">
        <f aca="false">MC_Shocks!B605</f>
        <v>-0.48306105168344</v>
      </c>
      <c r="F618" s="0" t="n">
        <f aca="false">MC_Shocks!C605</f>
        <v>0.146793011985549</v>
      </c>
      <c r="G618" s="0" t="n">
        <f aca="false">$B$3*D618</f>
        <v>0.0131845596959764</v>
      </c>
      <c r="H618" s="0" t="n">
        <f aca="false">$B$4*D618+$C$4*E618</f>
        <v>0.00334619661308784</v>
      </c>
      <c r="I618" s="0" t="n">
        <f aca="false">$B$5*D618+$C$5*E618+$D$5*F618</f>
        <v>0.00896249644859506</v>
      </c>
      <c r="J618" s="0" t="n">
        <f aca="false">SUMPRODUCT(G618:I618,Inputs!$B$4:$D$4)*Inputs!$B$2</f>
        <v>8966.43179689543</v>
      </c>
    </row>
    <row r="619" customFormat="false" ht="15" hidden="false" customHeight="false" outlineLevel="0" collapsed="false">
      <c r="D619" s="0" t="n">
        <f aca="false">MC_Shocks!A606</f>
        <v>1.61222062825542</v>
      </c>
      <c r="E619" s="0" t="n">
        <f aca="false">MC_Shocks!B606</f>
        <v>0.896839315865532</v>
      </c>
      <c r="F619" s="0" t="n">
        <f aca="false">MC_Shocks!C606</f>
        <v>-0.268530647905832</v>
      </c>
      <c r="G619" s="0" t="n">
        <f aca="false">$B$3*D619</f>
        <v>0.0237491722779038</v>
      </c>
      <c r="H619" s="0" t="n">
        <f aca="false">$B$4*D619+$C$4*E619</f>
        <v>0.0281517806880045</v>
      </c>
      <c r="I619" s="0" t="n">
        <f aca="false">$B$5*D619+$C$5*E619+$D$5*F619</f>
        <v>0.0180894992813582</v>
      </c>
      <c r="J619" s="0" t="n">
        <f aca="false">SUMPRODUCT(G619:I619,Inputs!$B$4:$D$4)*Inputs!$B$2</f>
        <v>23372.0529019703</v>
      </c>
    </row>
    <row r="620" customFormat="false" ht="15" hidden="false" customHeight="false" outlineLevel="0" collapsed="false">
      <c r="D620" s="0" t="n">
        <f aca="false">MC_Shocks!A607</f>
        <v>-0.891192225415287</v>
      </c>
      <c r="E620" s="0" t="n">
        <f aca="false">MC_Shocks!B607</f>
        <v>-2.15181540132931</v>
      </c>
      <c r="F620" s="0" t="n">
        <f aca="false">MC_Shocks!C607</f>
        <v>-0.71915331924242</v>
      </c>
      <c r="G620" s="0" t="n">
        <f aca="false">$B$3*D620</f>
        <v>-0.0131279040369424</v>
      </c>
      <c r="H620" s="0" t="n">
        <f aca="false">$B$4*D620+$C$4*E620</f>
        <v>-0.03629723430747</v>
      </c>
      <c r="I620" s="0" t="n">
        <f aca="false">$B$5*D620+$C$5*E620+$D$5*F620</f>
        <v>-0.0237987365346696</v>
      </c>
      <c r="J620" s="0" t="n">
        <f aca="false">SUMPRODUCT(G620:I620,Inputs!$B$4:$D$4)*Inputs!$B$2</f>
        <v>-23279.9528674188</v>
      </c>
    </row>
    <row r="621" customFormat="false" ht="15" hidden="false" customHeight="false" outlineLevel="0" collapsed="false">
      <c r="D621" s="0" t="n">
        <f aca="false">MC_Shocks!A608</f>
        <v>-0.211130238827694</v>
      </c>
      <c r="E621" s="0" t="n">
        <f aca="false">MC_Shocks!B608</f>
        <v>-0.987179527151184</v>
      </c>
      <c r="F621" s="0" t="n">
        <f aca="false">MC_Shocks!C608</f>
        <v>-0.131256967092305</v>
      </c>
      <c r="G621" s="0" t="n">
        <f aca="false">$B$3*D621</f>
        <v>-0.0031101006444879</v>
      </c>
      <c r="H621" s="0" t="n">
        <f aca="false">$B$4*D621+$C$4*E621</f>
        <v>-0.0145766142732812</v>
      </c>
      <c r="I621" s="0" t="n">
        <f aca="false">$B$5*D621+$C$5*E621+$D$5*F621</f>
        <v>-0.00708245662137254</v>
      </c>
      <c r="J621" s="0" t="n">
        <f aca="false">SUMPRODUCT(G621:I621,Inputs!$B$4:$D$4)*Inputs!$B$2</f>
        <v>-7741.7615261913</v>
      </c>
    </row>
    <row r="622" customFormat="false" ht="15" hidden="false" customHeight="false" outlineLevel="0" collapsed="false">
      <c r="D622" s="0" t="n">
        <f aca="false">MC_Shocks!A609</f>
        <v>0.0768518829587682</v>
      </c>
      <c r="E622" s="0" t="n">
        <f aca="false">MC_Shocks!B609</f>
        <v>-0.224855981808079</v>
      </c>
      <c r="F622" s="0" t="n">
        <f aca="false">MC_Shocks!C609</f>
        <v>-0.65000258082346</v>
      </c>
      <c r="G622" s="0" t="n">
        <f aca="false">$B$3*D622</f>
        <v>0.00113208364679224</v>
      </c>
      <c r="H622" s="0" t="n">
        <f aca="false">$B$4*D622+$C$4*E622</f>
        <v>-0.00200876849508173</v>
      </c>
      <c r="I622" s="0" t="n">
        <f aca="false">$B$5*D622+$C$5*E622+$D$5*F622</f>
        <v>-0.00572145541444474</v>
      </c>
      <c r="J622" s="0" t="n">
        <f aca="false">SUMPRODUCT(G622:I622,Inputs!$B$4:$D$4)*Inputs!$B$2</f>
        <v>-1866.23371414104</v>
      </c>
    </row>
    <row r="623" customFormat="false" ht="15" hidden="false" customHeight="false" outlineLevel="0" collapsed="false">
      <c r="D623" s="0" t="n">
        <f aca="false">MC_Shocks!A610</f>
        <v>0.168654671966728</v>
      </c>
      <c r="E623" s="0" t="n">
        <f aca="false">MC_Shocks!B610</f>
        <v>0.441940649569409</v>
      </c>
      <c r="F623" s="0" t="n">
        <f aca="false">MC_Shocks!C610</f>
        <v>-1.09039907744285</v>
      </c>
      <c r="G623" s="0" t="n">
        <f aca="false">$B$3*D623</f>
        <v>0.00248440491940945</v>
      </c>
      <c r="H623" s="0" t="n">
        <f aca="false">$B$4*D623+$C$4*E623</f>
        <v>0.00730381559609803</v>
      </c>
      <c r="I623" s="0" t="n">
        <f aca="false">$B$5*D623+$C$5*E623+$D$5*F623</f>
        <v>-0.00611060317881406</v>
      </c>
      <c r="J623" s="0" t="n">
        <f aca="false">SUMPRODUCT(G623:I623,Inputs!$B$4:$D$4)*Inputs!$B$2</f>
        <v>1351.72569294897</v>
      </c>
    </row>
    <row r="624" customFormat="false" ht="15" hidden="false" customHeight="false" outlineLevel="0" collapsed="false">
      <c r="D624" s="0" t="n">
        <f aca="false">MC_Shocks!A611</f>
        <v>1.41093237974627</v>
      </c>
      <c r="E624" s="0" t="n">
        <f aca="false">MC_Shocks!B611</f>
        <v>-0.0985881322842617</v>
      </c>
      <c r="F624" s="0" t="n">
        <f aca="false">MC_Shocks!C611</f>
        <v>0.0188496229448477</v>
      </c>
      <c r="G624" s="0" t="n">
        <f aca="false">$B$3*D624</f>
        <v>0.0207840512469601</v>
      </c>
      <c r="H624" s="0" t="n">
        <f aca="false">$B$4*D624+$C$4*E624</f>
        <v>0.0135751986929285</v>
      </c>
      <c r="I624" s="0" t="n">
        <f aca="false">$B$5*D624+$C$5*E624+$D$5*F624</f>
        <v>0.0147478205734351</v>
      </c>
      <c r="J624" s="0" t="n">
        <f aca="false">SUMPRODUCT(G624:I624,Inputs!$B$4:$D$4)*Inputs!$B$2</f>
        <v>16810.5262786931</v>
      </c>
    </row>
    <row r="625" customFormat="false" ht="15" hidden="false" customHeight="false" outlineLevel="0" collapsed="false">
      <c r="D625" s="0" t="n">
        <f aca="false">MC_Shocks!A612</f>
        <v>0.708214423256557</v>
      </c>
      <c r="E625" s="0" t="n">
        <f aca="false">MC_Shocks!B612</f>
        <v>0.233216131263502</v>
      </c>
      <c r="F625" s="0" t="n">
        <f aca="false">MC_Shocks!C612</f>
        <v>0.953136633913245</v>
      </c>
      <c r="G625" s="0" t="n">
        <f aca="false">$B$3*D625</f>
        <v>0.0104325090827157</v>
      </c>
      <c r="H625" s="0" t="n">
        <f aca="false">$B$4*D625+$C$4*E625</f>
        <v>0.0103537687290024</v>
      </c>
      <c r="I625" s="0" t="n">
        <f aca="false">$B$5*D625+$C$5*E625+$D$5*F625</f>
        <v>0.0167276653770057</v>
      </c>
      <c r="J625" s="0" t="n">
        <f aca="false">SUMPRODUCT(G625:I625,Inputs!$B$4:$D$4)*Inputs!$B$2</f>
        <v>12297.4338648887</v>
      </c>
    </row>
    <row r="626" customFormat="false" ht="15" hidden="false" customHeight="false" outlineLevel="0" collapsed="false">
      <c r="D626" s="0" t="n">
        <f aca="false">MC_Shocks!A613</f>
        <v>0.287124165201824</v>
      </c>
      <c r="E626" s="0" t="n">
        <f aca="false">MC_Shocks!B613</f>
        <v>-0.612437374640438</v>
      </c>
      <c r="F626" s="0" t="n">
        <f aca="false">MC_Shocks!C613</f>
        <v>0.361503525206102</v>
      </c>
      <c r="G626" s="0" t="n">
        <f aca="false">$B$3*D626</f>
        <v>0.00422954597219501</v>
      </c>
      <c r="H626" s="0" t="n">
        <f aca="false">$B$4*D626+$C$4*E626</f>
        <v>-0.0046546034428661</v>
      </c>
      <c r="I626" s="0" t="n">
        <f aca="false">$B$5*D626+$C$5*E626+$D$5*F626</f>
        <v>0.00391701903425479</v>
      </c>
      <c r="J626" s="0" t="n">
        <f aca="false">SUMPRODUCT(G626:I626,Inputs!$B$4:$D$4)*Inputs!$B$2</f>
        <v>1470.54306629461</v>
      </c>
    </row>
    <row r="627" customFormat="false" ht="15" hidden="false" customHeight="false" outlineLevel="0" collapsed="false">
      <c r="D627" s="0" t="n">
        <f aca="false">MC_Shocks!A614</f>
        <v>-1.14372620732066</v>
      </c>
      <c r="E627" s="0" t="n">
        <f aca="false">MC_Shocks!B614</f>
        <v>0.108559705776523</v>
      </c>
      <c r="F627" s="0" t="n">
        <f aca="false">MC_Shocks!C614</f>
        <v>-0.0332299906444608</v>
      </c>
      <c r="G627" s="0" t="n">
        <f aca="false">$B$3*D627</f>
        <v>-0.0168479116693876</v>
      </c>
      <c r="H627" s="0" t="n">
        <f aca="false">$B$4*D627+$C$4*E627</f>
        <v>-0.0106456574860438</v>
      </c>
      <c r="I627" s="0" t="n">
        <f aca="false">$B$5*D627+$C$5*E627+$D$5*F627</f>
        <v>-0.012004870227384</v>
      </c>
      <c r="J627" s="0" t="n">
        <f aca="false">SUMPRODUCT(G627:I627,Inputs!$B$4:$D$4)*Inputs!$B$2</f>
        <v>-13534.3229817834</v>
      </c>
    </row>
    <row r="628" customFormat="false" ht="15" hidden="false" customHeight="false" outlineLevel="0" collapsed="false">
      <c r="D628" s="0" t="n">
        <f aca="false">MC_Shocks!A615</f>
        <v>-0.20811685727254</v>
      </c>
      <c r="E628" s="0" t="n">
        <f aca="false">MC_Shocks!B615</f>
        <v>-0.128537511438931</v>
      </c>
      <c r="F628" s="0" t="n">
        <f aca="false">MC_Shocks!C615</f>
        <v>-1.88184904549764</v>
      </c>
      <c r="G628" s="0" t="n">
        <f aca="false">$B$3*D628</f>
        <v>-0.00306571136150877</v>
      </c>
      <c r="H628" s="0" t="n">
        <f aca="false">$B$4*D628+$C$4*E628</f>
        <v>-0.00379388918386515</v>
      </c>
      <c r="I628" s="0" t="n">
        <f aca="false">$B$5*D628+$C$5*E628+$D$5*F628</f>
        <v>-0.0191719924372926</v>
      </c>
      <c r="J628" s="0" t="n">
        <f aca="false">SUMPRODUCT(G628:I628,Inputs!$B$4:$D$4)*Inputs!$B$2</f>
        <v>-8116.04903095083</v>
      </c>
    </row>
    <row r="629" customFormat="false" ht="15" hidden="false" customHeight="false" outlineLevel="0" collapsed="false">
      <c r="D629" s="0" t="n">
        <f aca="false">MC_Shocks!A616</f>
        <v>-0.548724907740962</v>
      </c>
      <c r="E629" s="0" t="n">
        <f aca="false">MC_Shocks!B616</f>
        <v>0.0928449011411147</v>
      </c>
      <c r="F629" s="0" t="n">
        <f aca="false">MC_Shocks!C616</f>
        <v>0.1598563919974</v>
      </c>
      <c r="G629" s="0" t="n">
        <f aca="false">$B$3*D629</f>
        <v>-0.00808311352598097</v>
      </c>
      <c r="H629" s="0" t="n">
        <f aca="false">$B$4*D629+$C$4*E629</f>
        <v>-0.00459708766699828</v>
      </c>
      <c r="I629" s="0" t="n">
        <f aca="false">$B$5*D629+$C$5*E629+$D$5*F629</f>
        <v>-0.00406695100045307</v>
      </c>
      <c r="J629" s="0" t="n">
        <f aca="false">SUMPRODUCT(G629:I629,Inputs!$B$4:$D$4)*Inputs!$B$2</f>
        <v>-5832.45701062779</v>
      </c>
    </row>
    <row r="630" customFormat="false" ht="15" hidden="false" customHeight="false" outlineLevel="0" collapsed="false">
      <c r="D630" s="0" t="n">
        <f aca="false">MC_Shocks!A617</f>
        <v>-1.02767514092596</v>
      </c>
      <c r="E630" s="0" t="n">
        <f aca="false">MC_Shocks!B617</f>
        <v>1.2657078408647</v>
      </c>
      <c r="F630" s="0" t="n">
        <f aca="false">MC_Shocks!C617</f>
        <v>-0.866174848214501</v>
      </c>
      <c r="G630" s="0" t="n">
        <f aca="false">$B$3*D630</f>
        <v>-0.0151383957876657</v>
      </c>
      <c r="H630" s="0" t="n">
        <f aca="false">$B$4*D630+$C$4*E630</f>
        <v>0.00506115816804242</v>
      </c>
      <c r="I630" s="0" t="n">
        <f aca="false">$B$5*D630+$C$5*E630+$D$5*F630</f>
        <v>-0.013740362201628</v>
      </c>
      <c r="J630" s="0" t="n">
        <f aca="false">SUMPRODUCT(G630:I630,Inputs!$B$4:$D$4)*Inputs!$B$2</f>
        <v>-8659.11952514196</v>
      </c>
    </row>
    <row r="631" customFormat="false" ht="15" hidden="false" customHeight="false" outlineLevel="0" collapsed="false">
      <c r="D631" s="0" t="n">
        <f aca="false">MC_Shocks!A618</f>
        <v>0.969457200526737</v>
      </c>
      <c r="E631" s="0" t="n">
        <f aca="false">MC_Shocks!B618</f>
        <v>0.427194361871685</v>
      </c>
      <c r="F631" s="0" t="n">
        <f aca="false">MC_Shocks!C618</f>
        <v>-0.646227309843803</v>
      </c>
      <c r="G631" s="0" t="n">
        <f aca="false">$B$3*D631</f>
        <v>0.0142808035499941</v>
      </c>
      <c r="H631" s="0" t="n">
        <f aca="false">$B$4*D631+$C$4*E631</f>
        <v>0.0155246718137084</v>
      </c>
      <c r="I631" s="0" t="n">
        <f aca="false">$B$5*D631+$C$5*E631+$D$5*F631</f>
        <v>0.00621139325845055</v>
      </c>
      <c r="J631" s="0" t="n">
        <f aca="false">SUMPRODUCT(G631:I631,Inputs!$B$4:$D$4)*Inputs!$B$2</f>
        <v>12233.1409416453</v>
      </c>
    </row>
    <row r="632" customFormat="false" ht="15" hidden="false" customHeight="false" outlineLevel="0" collapsed="false">
      <c r="D632" s="0" t="n">
        <f aca="false">MC_Shocks!A619</f>
        <v>1.77531089260951</v>
      </c>
      <c r="E632" s="0" t="n">
        <f aca="false">MC_Shocks!B619</f>
        <v>-1.19363683175648</v>
      </c>
      <c r="F632" s="0" t="n">
        <f aca="false">MC_Shocks!C619</f>
        <v>0.919154173610002</v>
      </c>
      <c r="G632" s="0" t="n">
        <f aca="false">$B$3*D632</f>
        <v>0.0261516094611976</v>
      </c>
      <c r="H632" s="0" t="n">
        <f aca="false">$B$4*D632+$C$4*E632</f>
        <v>0.00368868482321216</v>
      </c>
      <c r="I632" s="0" t="n">
        <f aca="false">$B$5*D632+$C$5*E632+$D$5*F632</f>
        <v>0.0223969925315405</v>
      </c>
      <c r="J632" s="0" t="n">
        <f aca="false">SUMPRODUCT(G632:I632,Inputs!$B$4:$D$4)*Inputs!$B$2</f>
        <v>18286.3469909048</v>
      </c>
    </row>
    <row r="633" customFormat="false" ht="15" hidden="false" customHeight="false" outlineLevel="0" collapsed="false">
      <c r="D633" s="0" t="n">
        <f aca="false">MC_Shocks!A620</f>
        <v>1.00058231804298</v>
      </c>
      <c r="E633" s="0" t="n">
        <f aca="false">MC_Shocks!B620</f>
        <v>-0.670620209076645</v>
      </c>
      <c r="F633" s="0" t="n">
        <f aca="false">MC_Shocks!C620</f>
        <v>1.39246530006433</v>
      </c>
      <c r="G633" s="0" t="n">
        <f aca="false">$B$3*D633</f>
        <v>0.0147392989724619</v>
      </c>
      <c r="H633" s="0" t="n">
        <f aca="false">$B$4*D633+$C$4*E633</f>
        <v>0.00210558558873565</v>
      </c>
      <c r="I633" s="0" t="n">
        <f aca="false">$B$5*D633+$C$5*E633+$D$5*F633</f>
        <v>0.0202912398766186</v>
      </c>
      <c r="J633" s="0" t="n">
        <f aca="false">SUMPRODUCT(G633:I633,Inputs!$B$4:$D$4)*Inputs!$B$2</f>
        <v>12614.767228591</v>
      </c>
    </row>
    <row r="634" customFormat="false" ht="15" hidden="false" customHeight="false" outlineLevel="0" collapsed="false">
      <c r="D634" s="0" t="n">
        <f aca="false">MC_Shocks!A621</f>
        <v>-0.250046514598953</v>
      </c>
      <c r="E634" s="0" t="n">
        <f aca="false">MC_Shocks!B621</f>
        <v>0.288693629279857</v>
      </c>
      <c r="F634" s="0" t="n">
        <f aca="false">MC_Shocks!C621</f>
        <v>0.260321838771221</v>
      </c>
      <c r="G634" s="0" t="n">
        <f aca="false">$B$3*D634</f>
        <v>-0.0036833654455382</v>
      </c>
      <c r="H634" s="0" t="n">
        <f aca="false">$B$4*D634+$C$4*E634</f>
        <v>0.00099017293299125</v>
      </c>
      <c r="I634" s="0" t="n">
        <f aca="false">$B$5*D634+$C$5*E634+$D$5*F634</f>
        <v>0.000711371403304296</v>
      </c>
      <c r="J634" s="0" t="n">
        <f aca="false">SUMPRODUCT(G634:I634,Inputs!$B$4:$D$4)*Inputs!$B$2</f>
        <v>-962.882877326615</v>
      </c>
    </row>
    <row r="635" customFormat="false" ht="15" hidden="false" customHeight="false" outlineLevel="0" collapsed="false">
      <c r="D635" s="0" t="n">
        <f aca="false">MC_Shocks!A622</f>
        <v>-0.134308741470548</v>
      </c>
      <c r="E635" s="0" t="n">
        <f aca="false">MC_Shocks!B622</f>
        <v>0.810808273159782</v>
      </c>
      <c r="F635" s="0" t="n">
        <f aca="false">MC_Shocks!C622</f>
        <v>0.793488720552213</v>
      </c>
      <c r="G635" s="0" t="n">
        <f aca="false">$B$3*D635</f>
        <v>-0.0019784645995158</v>
      </c>
      <c r="H635" s="0" t="n">
        <f aca="false">$B$4*D635+$C$4*E635</f>
        <v>0.00874241701565206</v>
      </c>
      <c r="I635" s="0" t="n">
        <f aca="false">$B$5*D635+$C$5*E635+$D$5*F635</f>
        <v>0.00856291645455671</v>
      </c>
      <c r="J635" s="0" t="n">
        <f aca="false">SUMPRODUCT(G635:I635,Inputs!$B$4:$D$4)*Inputs!$B$2</f>
        <v>4400.21420125631</v>
      </c>
    </row>
    <row r="636" customFormat="false" ht="15" hidden="false" customHeight="false" outlineLevel="0" collapsed="false">
      <c r="D636" s="0" t="n">
        <f aca="false">MC_Shocks!A623</f>
        <v>-1.74853197323818</v>
      </c>
      <c r="E636" s="0" t="n">
        <f aca="false">MC_Shocks!B623</f>
        <v>1.30434024287815</v>
      </c>
      <c r="F636" s="0" t="n">
        <f aca="false">MC_Shocks!C623</f>
        <v>-1.66249198803567</v>
      </c>
      <c r="G636" s="0" t="n">
        <f aca="false">$B$3*D636</f>
        <v>-0.0257571366710472</v>
      </c>
      <c r="H636" s="0" t="n">
        <f aca="false">$B$4*D636+$C$4*E636</f>
        <v>-0.00202148176548455</v>
      </c>
      <c r="I636" s="0" t="n">
        <f aca="false">$B$5*D636+$C$5*E636+$D$5*F636</f>
        <v>-0.0282106299357964</v>
      </c>
      <c r="J636" s="0" t="n">
        <f aca="false">SUMPRODUCT(G636:I636,Inputs!$B$4:$D$4)*Inputs!$B$2</f>
        <v>-19372.4881788032</v>
      </c>
    </row>
    <row r="637" customFormat="false" ht="15" hidden="false" customHeight="false" outlineLevel="0" collapsed="false">
      <c r="D637" s="0" t="n">
        <f aca="false">MC_Shocks!A624</f>
        <v>1.03254620434166</v>
      </c>
      <c r="E637" s="0" t="n">
        <f aca="false">MC_Shocks!B624</f>
        <v>1.12670513682758</v>
      </c>
      <c r="F637" s="0" t="n">
        <f aca="false">MC_Shocks!C624</f>
        <v>-1.0909664302152</v>
      </c>
      <c r="G637" s="0" t="n">
        <f aca="false">$B$3*D637</f>
        <v>0.0152101500638538</v>
      </c>
      <c r="H637" s="0" t="n">
        <f aca="false">$B$4*D637+$C$4*E637</f>
        <v>0.0249454815444057</v>
      </c>
      <c r="I637" s="0" t="n">
        <f aca="false">$B$5*D637+$C$5*E637+$D$5*F637</f>
        <v>0.00560237858592224</v>
      </c>
      <c r="J637" s="0" t="n">
        <f aca="false">SUMPRODUCT(G637:I637,Inputs!$B$4:$D$4)*Inputs!$B$2</f>
        <v>15248.4180646399</v>
      </c>
    </row>
    <row r="638" customFormat="false" ht="15" hidden="false" customHeight="false" outlineLevel="0" collapsed="false">
      <c r="D638" s="0" t="n">
        <f aca="false">MC_Shocks!A625</f>
        <v>-0.410814287954585</v>
      </c>
      <c r="E638" s="0" t="n">
        <f aca="false">MC_Shocks!B625</f>
        <v>-1.10570466848594</v>
      </c>
      <c r="F638" s="0" t="n">
        <f aca="false">MC_Shocks!C625</f>
        <v>-0.214921030288735</v>
      </c>
      <c r="G638" s="0" t="n">
        <f aca="false">$B$3*D638</f>
        <v>-0.00605159066189053</v>
      </c>
      <c r="H638" s="0" t="n">
        <f aca="false">$B$4*D638+$C$4*E638</f>
        <v>-0.0181566245004342</v>
      </c>
      <c r="I638" s="0" t="n">
        <f aca="false">$B$5*D638+$C$5*E638+$D$5*F638</f>
        <v>-0.0103751049898373</v>
      </c>
      <c r="J638" s="0" t="n">
        <f aca="false">SUMPRODUCT(G638:I638,Inputs!$B$4:$D$4)*Inputs!$B$2</f>
        <v>-10980.1551118376</v>
      </c>
    </row>
    <row r="639" customFormat="false" ht="15" hidden="false" customHeight="false" outlineLevel="0" collapsed="false">
      <c r="D639" s="0" t="n">
        <f aca="false">MC_Shocks!A626</f>
        <v>-0.308034284185741</v>
      </c>
      <c r="E639" s="0" t="n">
        <f aca="false">MC_Shocks!B626</f>
        <v>0.77966053226934</v>
      </c>
      <c r="F639" s="0" t="n">
        <f aca="false">MC_Shocks!C626</f>
        <v>1.31030874611961</v>
      </c>
      <c r="G639" s="0" t="n">
        <f aca="false">$B$3*D639</f>
        <v>-0.00453756710118768</v>
      </c>
      <c r="H639" s="0" t="n">
        <f aca="false">$B$4*D639+$C$4*E639</f>
        <v>0.00652893247592396</v>
      </c>
      <c r="I639" s="0" t="n">
        <f aca="false">$B$5*D639+$C$5*E639+$D$5*F639</f>
        <v>0.0111328019109471</v>
      </c>
      <c r="J639" s="0" t="n">
        <f aca="false">SUMPRODUCT(G639:I639,Inputs!$B$4:$D$4)*Inputs!$B$2</f>
        <v>3483.49347558625</v>
      </c>
    </row>
    <row r="640" customFormat="false" ht="15" hidden="false" customHeight="false" outlineLevel="0" collapsed="false">
      <c r="D640" s="0" t="n">
        <f aca="false">MC_Shocks!A627</f>
        <v>1.39568381078996</v>
      </c>
      <c r="E640" s="0" t="n">
        <f aca="false">MC_Shocks!B627</f>
        <v>-0.562168026578302</v>
      </c>
      <c r="F640" s="0" t="n">
        <f aca="false">MC_Shocks!C627</f>
        <v>-0.209221873744528</v>
      </c>
      <c r="G640" s="0" t="n">
        <f aca="false">$B$3*D640</f>
        <v>0.0205594288318959</v>
      </c>
      <c r="H640" s="0" t="n">
        <f aca="false">$B$4*D640+$C$4*E640</f>
        <v>0.00761063965992306</v>
      </c>
      <c r="I640" s="0" t="n">
        <f aca="false">$B$5*D640+$C$5*E640+$D$5*F640</f>
        <v>0.010852979307638</v>
      </c>
      <c r="J640" s="0" t="n">
        <f aca="false">SUMPRODUCT(G640:I640,Inputs!$B$4:$D$4)*Inputs!$B$2</f>
        <v>13762.8572230267</v>
      </c>
    </row>
    <row r="641" customFormat="false" ht="15" hidden="false" customHeight="false" outlineLevel="0" collapsed="false">
      <c r="D641" s="0" t="n">
        <f aca="false">MC_Shocks!A628</f>
        <v>-1.68343819222095</v>
      </c>
      <c r="E641" s="0" t="n">
        <f aca="false">MC_Shocks!B628</f>
        <v>-0.805870066496189</v>
      </c>
      <c r="F641" s="0" t="n">
        <f aca="false">MC_Shocks!C628</f>
        <v>0.964851633097458</v>
      </c>
      <c r="G641" s="0" t="n">
        <f aca="false">$B$3*D641</f>
        <v>-0.0247982583435374</v>
      </c>
      <c r="H641" s="0" t="n">
        <f aca="false">$B$4*D641+$C$4*E641</f>
        <v>-0.0277602743162729</v>
      </c>
      <c r="I641" s="0" t="n">
        <f aca="false">$B$5*D641+$C$5*E641+$D$5*F641</f>
        <v>-0.0124037481785507</v>
      </c>
      <c r="J641" s="0" t="n">
        <f aca="false">SUMPRODUCT(G641:I641,Inputs!$B$4:$D$4)*Inputs!$B$2</f>
        <v>-21968.5100858621</v>
      </c>
    </row>
    <row r="642" customFormat="false" ht="15" hidden="false" customHeight="false" outlineLevel="0" collapsed="false">
      <c r="D642" s="0" t="n">
        <f aca="false">MC_Shocks!A629</f>
        <v>1.61558282354823</v>
      </c>
      <c r="E642" s="0" t="n">
        <f aca="false">MC_Shocks!B629</f>
        <v>-1.23434887187992</v>
      </c>
      <c r="F642" s="0" t="n">
        <f aca="false">MC_Shocks!C629</f>
        <v>-0.592464259152894</v>
      </c>
      <c r="G642" s="0" t="n">
        <f aca="false">$B$3*D642</f>
        <v>0.023798699838736</v>
      </c>
      <c r="H642" s="0" t="n">
        <f aca="false">$B$4*D642+$C$4*E642</f>
        <v>0.00150236749370082</v>
      </c>
      <c r="I642" s="0" t="n">
        <f aca="false">$B$5*D642+$C$5*E642+$D$5*F642</f>
        <v>0.00730983426330941</v>
      </c>
      <c r="J642" s="0" t="n">
        <f aca="false">SUMPRODUCT(G642:I642,Inputs!$B$4:$D$4)*Inputs!$B$2</f>
        <v>12163.1404625975</v>
      </c>
    </row>
    <row r="643" customFormat="false" ht="15" hidden="false" customHeight="false" outlineLevel="0" collapsed="false">
      <c r="D643" s="0" t="n">
        <f aca="false">MC_Shocks!A630</f>
        <v>-0.026405756958927</v>
      </c>
      <c r="E643" s="0" t="n">
        <f aca="false">MC_Shocks!B630</f>
        <v>0.280161158819607</v>
      </c>
      <c r="F643" s="0" t="n">
        <f aca="false">MC_Shocks!C630</f>
        <v>-0.809603519921646</v>
      </c>
      <c r="G643" s="0" t="n">
        <f aca="false">$B$3*D643</f>
        <v>-0.000388975838762597</v>
      </c>
      <c r="H643" s="0" t="n">
        <f aca="false">$B$4*D643+$C$4*E643</f>
        <v>0.00323074678557243</v>
      </c>
      <c r="I643" s="0" t="n">
        <f aca="false">$B$5*D643+$C$5*E643+$D$5*F643</f>
        <v>-0.0063234187486236</v>
      </c>
      <c r="J643" s="0" t="n">
        <f aca="false">SUMPRODUCT(G643:I643,Inputs!$B$4:$D$4)*Inputs!$B$2</f>
        <v>-1083.39192442039</v>
      </c>
    </row>
    <row r="644" customFormat="false" ht="15" hidden="false" customHeight="false" outlineLevel="0" collapsed="false">
      <c r="D644" s="0" t="n">
        <f aca="false">MC_Shocks!A631</f>
        <v>0.42406104446409</v>
      </c>
      <c r="E644" s="0" t="n">
        <f aca="false">MC_Shocks!B631</f>
        <v>-0.473839347070916</v>
      </c>
      <c r="F644" s="0" t="n">
        <f aca="false">MC_Shocks!C631</f>
        <v>-0.0144522708782791</v>
      </c>
      <c r="G644" s="0" t="n">
        <f aca="false">$B$3*D644</f>
        <v>0.00624672493629074</v>
      </c>
      <c r="H644" s="0" t="n">
        <f aca="false">$B$4*D644+$C$4*E644</f>
        <v>-0.00148187529000782</v>
      </c>
      <c r="I644" s="0" t="n">
        <f aca="false">$B$5*D644+$C$5*E644+$D$5*F644</f>
        <v>0.00259349703311111</v>
      </c>
      <c r="J644" s="0" t="n">
        <f aca="false">SUMPRODUCT(G644:I644,Inputs!$B$4:$D$4)*Inputs!$B$2</f>
        <v>2832.17649744728</v>
      </c>
    </row>
    <row r="645" customFormat="false" ht="15" hidden="false" customHeight="false" outlineLevel="0" collapsed="false">
      <c r="D645" s="0" t="n">
        <f aca="false">MC_Shocks!A632</f>
        <v>0.5462842480037</v>
      </c>
      <c r="E645" s="0" t="n">
        <f aca="false">MC_Shocks!B632</f>
        <v>0.00642226981093782</v>
      </c>
      <c r="F645" s="0" t="n">
        <f aca="false">MC_Shocks!C632</f>
        <v>-0.436385890526569</v>
      </c>
      <c r="G645" s="0" t="n">
        <f aca="false">$B$3*D645</f>
        <v>0.00804716084831631</v>
      </c>
      <c r="H645" s="0" t="n">
        <f aca="false">$B$4*D645+$C$4*E645</f>
        <v>0.00581439842272044</v>
      </c>
      <c r="I645" s="0" t="n">
        <f aca="false">$B$5*D645+$C$5*E645+$D$5*F645</f>
        <v>0.00199020850487865</v>
      </c>
      <c r="J645" s="0" t="n">
        <f aca="false">SUMPRODUCT(G645:I645,Inputs!$B$4:$D$4)*Inputs!$B$2</f>
        <v>5560.24641760625</v>
      </c>
    </row>
    <row r="646" customFormat="false" ht="15" hidden="false" customHeight="false" outlineLevel="0" collapsed="false">
      <c r="D646" s="0" t="n">
        <f aca="false">MC_Shocks!A633</f>
        <v>-0.109609803925831</v>
      </c>
      <c r="E646" s="0" t="n">
        <f aca="false">MC_Shocks!B633</f>
        <v>-0.0883629592053353</v>
      </c>
      <c r="F646" s="0" t="n">
        <f aca="false">MC_Shocks!C633</f>
        <v>-0.370011029882128</v>
      </c>
      <c r="G646" s="0" t="n">
        <f aca="false">$B$3*D646</f>
        <v>-0.00161463144135468</v>
      </c>
      <c r="H646" s="0" t="n">
        <f aca="false">$B$4*D646+$C$4*E646</f>
        <v>-0.00225689832566018</v>
      </c>
      <c r="I646" s="0" t="n">
        <f aca="false">$B$5*D646+$C$5*E646+$D$5*F646</f>
        <v>-0.00473368522707837</v>
      </c>
      <c r="J646" s="0" t="n">
        <f aca="false">SUMPRODUCT(G646:I646,Inputs!$B$4:$D$4)*Inputs!$B$2</f>
        <v>-2743.02764236344</v>
      </c>
    </row>
    <row r="647" customFormat="false" ht="15" hidden="false" customHeight="false" outlineLevel="0" collapsed="false">
      <c r="D647" s="0" t="n">
        <f aca="false">MC_Shocks!A634</f>
        <v>-0.258796062667102</v>
      </c>
      <c r="E647" s="0" t="n">
        <f aca="false">MC_Shocks!B634</f>
        <v>1.59864717050472</v>
      </c>
      <c r="F647" s="0" t="n">
        <f aca="false">MC_Shocks!C634</f>
        <v>0.560919447941239</v>
      </c>
      <c r="G647" s="0" t="n">
        <f aca="false">$B$3*D647</f>
        <v>-0.00381225259707473</v>
      </c>
      <c r="H647" s="0" t="n">
        <f aca="false">$B$4*D647+$C$4*E647</f>
        <v>0.0173003223960425</v>
      </c>
      <c r="I647" s="0" t="n">
        <f aca="false">$B$5*D647+$C$5*E647+$D$5*F647</f>
        <v>0.0081554336927133</v>
      </c>
      <c r="J647" s="0" t="n">
        <f aca="false">SUMPRODUCT(G647:I647,Inputs!$B$4:$D$4)*Inputs!$B$2</f>
        <v>6111.82578779684</v>
      </c>
    </row>
    <row r="648" customFormat="false" ht="15" hidden="false" customHeight="false" outlineLevel="0" collapsed="false">
      <c r="D648" s="0" t="n">
        <f aca="false">MC_Shocks!A635</f>
        <v>-0.29548031802916</v>
      </c>
      <c r="E648" s="0" t="n">
        <f aca="false">MC_Shocks!B635</f>
        <v>0.696954404510736</v>
      </c>
      <c r="F648" s="0" t="n">
        <f aca="false">MC_Shocks!C635</f>
        <v>-0.33381948975601</v>
      </c>
      <c r="G648" s="0" t="n">
        <f aca="false">$B$3*D648</f>
        <v>-0.00435263812819331</v>
      </c>
      <c r="H648" s="0" t="n">
        <f aca="false">$B$4*D648+$C$4*E648</f>
        <v>0.0056251359899024</v>
      </c>
      <c r="I648" s="0" t="n">
        <f aca="false">$B$5*D648+$C$5*E648+$D$5*F648</f>
        <v>-0.00344668322960012</v>
      </c>
      <c r="J648" s="0" t="n">
        <f aca="false">SUMPRODUCT(G648:I648,Inputs!$B$4:$D$4)*Inputs!$B$2</f>
        <v>-1087.51942318664</v>
      </c>
    </row>
    <row r="649" customFormat="false" ht="15" hidden="false" customHeight="false" outlineLevel="0" collapsed="false">
      <c r="D649" s="0" t="n">
        <f aca="false">MC_Shocks!A636</f>
        <v>1.17312463758664</v>
      </c>
      <c r="E649" s="0" t="n">
        <f aca="false">MC_Shocks!B636</f>
        <v>0.369642192198094</v>
      </c>
      <c r="F649" s="0" t="n">
        <f aca="false">MC_Shocks!C636</f>
        <v>-0.107302144004229</v>
      </c>
      <c r="G649" s="0" t="n">
        <f aca="false">$B$3*D649</f>
        <v>0.0172809717437039</v>
      </c>
      <c r="H649" s="0" t="n">
        <f aca="false">$B$4*D649+$C$4*E649</f>
        <v>0.0169418210373323</v>
      </c>
      <c r="I649" s="0" t="n">
        <f aca="false">$B$5*D649+$C$5*E649+$D$5*F649</f>
        <v>0.0128753419834032</v>
      </c>
      <c r="J649" s="0" t="n">
        <f aca="false">SUMPRODUCT(G649:I649,Inputs!$B$4:$D$4)*Inputs!$B$2</f>
        <v>15857.5376037022</v>
      </c>
    </row>
    <row r="650" customFormat="false" ht="15" hidden="false" customHeight="false" outlineLevel="0" collapsed="false">
      <c r="D650" s="0" t="n">
        <f aca="false">MC_Shocks!A637</f>
        <v>0.447716925810278</v>
      </c>
      <c r="E650" s="0" t="n">
        <f aca="false">MC_Shocks!B637</f>
        <v>-1.5708761520685</v>
      </c>
      <c r="F650" s="0" t="n">
        <f aca="false">MC_Shocks!C637</f>
        <v>-1.12676746890981</v>
      </c>
      <c r="G650" s="0" t="n">
        <f aca="false">$B$3*D650</f>
        <v>0.00659519312459584</v>
      </c>
      <c r="H650" s="0" t="n">
        <f aca="false">$B$4*D650+$C$4*E650</f>
        <v>-0.0149696227103521</v>
      </c>
      <c r="I650" s="0" t="n">
        <f aca="false">$B$5*D650+$C$5*E650+$D$5*F650</f>
        <v>-0.0110064295482314</v>
      </c>
      <c r="J650" s="0" t="n">
        <f aca="false">SUMPRODUCT(G650:I650,Inputs!$B$4:$D$4)*Inputs!$B$2</f>
        <v>-5154.73842773671</v>
      </c>
    </row>
    <row r="651" customFormat="false" ht="15" hidden="false" customHeight="false" outlineLevel="0" collapsed="false">
      <c r="D651" s="0" t="n">
        <f aca="false">MC_Shocks!A638</f>
        <v>-1.19392500639906</v>
      </c>
      <c r="E651" s="0" t="n">
        <f aca="false">MC_Shocks!B638</f>
        <v>0.142943094763707</v>
      </c>
      <c r="F651" s="0" t="n">
        <f aca="false">MC_Shocks!C638</f>
        <v>1.73251499948509</v>
      </c>
      <c r="G651" s="0" t="n">
        <f aca="false">$B$3*D651</f>
        <v>-0.0175873761735396</v>
      </c>
      <c r="H651" s="0" t="n">
        <f aca="false">$B$4*D651+$C$4*E651</f>
        <v>-0.0107420451474265</v>
      </c>
      <c r="I651" s="0" t="n">
        <f aca="false">$B$5*D651+$C$5*E651+$D$5*F651</f>
        <v>0.00306019641159574</v>
      </c>
      <c r="J651" s="0" t="n">
        <f aca="false">SUMPRODUCT(G651:I651,Inputs!$B$4:$D$4)*Inputs!$B$2</f>
        <v>-9339.50509016508</v>
      </c>
    </row>
    <row r="652" customFormat="false" ht="15" hidden="false" customHeight="false" outlineLevel="0" collapsed="false">
      <c r="D652" s="0" t="n">
        <f aca="false">MC_Shocks!A639</f>
        <v>2.23130014619263</v>
      </c>
      <c r="E652" s="0" t="n">
        <f aca="false">MC_Shocks!B639</f>
        <v>0.638051101440757</v>
      </c>
      <c r="F652" s="0" t="n">
        <f aca="false">MC_Shocks!C639</f>
        <v>0.500844474944457</v>
      </c>
      <c r="G652" s="0" t="n">
        <f aca="false">$B$3*D652</f>
        <v>0.0328686599383005</v>
      </c>
      <c r="H652" s="0" t="n">
        <f aca="false">$B$4*D652+$C$4*E652</f>
        <v>0.031409550473634</v>
      </c>
      <c r="I652" s="0" t="n">
        <f aca="false">$B$5*D652+$C$5*E652+$D$5*F652</f>
        <v>0.0304211111797473</v>
      </c>
      <c r="J652" s="0" t="n">
        <f aca="false">SUMPRODUCT(G652:I652,Inputs!$B$4:$D$4)*Inputs!$B$2</f>
        <v>31696.6624713346</v>
      </c>
    </row>
    <row r="653" customFormat="false" ht="15" hidden="false" customHeight="false" outlineLevel="0" collapsed="false">
      <c r="D653" s="0" t="n">
        <f aca="false">MC_Shocks!A640</f>
        <v>-1.80105773415274</v>
      </c>
      <c r="E653" s="0" t="n">
        <f aca="false">MC_Shocks!B640</f>
        <v>-0.542673799734022</v>
      </c>
      <c r="F653" s="0" t="n">
        <f aca="false">MC_Shocks!C640</f>
        <v>-0.787783751908239</v>
      </c>
      <c r="G653" s="0" t="n">
        <f aca="false">$B$3*D653</f>
        <v>-0.0265308790008037</v>
      </c>
      <c r="H653" s="0" t="n">
        <f aca="false">$B$4*D653+$C$4*E653</f>
        <v>-0.0256993565610084</v>
      </c>
      <c r="I653" s="0" t="n">
        <f aca="false">$B$5*D653+$C$5*E653+$D$5*F653</f>
        <v>-0.0280184384507748</v>
      </c>
      <c r="J653" s="0" t="n">
        <f aca="false">SUMPRODUCT(G653:I653,Inputs!$B$4:$D$4)*Inputs!$B$2</f>
        <v>-26727.6901038565</v>
      </c>
    </row>
    <row r="654" customFormat="false" ht="15" hidden="false" customHeight="false" outlineLevel="0" collapsed="false">
      <c r="D654" s="0" t="n">
        <f aca="false">MC_Shocks!A641</f>
        <v>-0.620847598251116</v>
      </c>
      <c r="E654" s="0" t="n">
        <f aca="false">MC_Shocks!B641</f>
        <v>-0.16814381858479</v>
      </c>
      <c r="F654" s="0" t="n">
        <f aca="false">MC_Shocks!C641</f>
        <v>-0.472090577697127</v>
      </c>
      <c r="G654" s="0" t="n">
        <f aca="false">$B$3*D654</f>
        <v>-0.00914553275822034</v>
      </c>
      <c r="H654" s="0" t="n">
        <f aca="false">$B$4*D654+$C$4*E654</f>
        <v>-0.00862196350125216</v>
      </c>
      <c r="I654" s="0" t="n">
        <f aca="false">$B$5*D654+$C$5*E654+$D$5*F654</f>
        <v>-0.0113441812990668</v>
      </c>
      <c r="J654" s="0" t="n">
        <f aca="false">SUMPRODUCT(G654:I654,Inputs!$B$4:$D$4)*Inputs!$B$2</f>
        <v>-9648.05654338381</v>
      </c>
    </row>
    <row r="655" customFormat="false" ht="15" hidden="false" customHeight="false" outlineLevel="0" collapsed="false">
      <c r="D655" s="0" t="n">
        <f aca="false">MC_Shocks!A642</f>
        <v>-1.97929981037579</v>
      </c>
      <c r="E655" s="0" t="n">
        <f aca="false">MC_Shocks!B642</f>
        <v>0.747910256117534</v>
      </c>
      <c r="F655" s="0" t="n">
        <f aca="false">MC_Shocks!C642</f>
        <v>-1.07274302573981</v>
      </c>
      <c r="G655" s="0" t="n">
        <f aca="false">$B$3*D655</f>
        <v>-0.0291565132975024</v>
      </c>
      <c r="H655" s="0" t="n">
        <f aca="false">$B$4*D655+$C$4*E655</f>
        <v>-0.0114107844086428</v>
      </c>
      <c r="I655" s="0" t="n">
        <f aca="false">$B$5*D655+$C$5*E655+$D$5*F655</f>
        <v>-0.027572612378107</v>
      </c>
      <c r="J655" s="0" t="n">
        <f aca="false">SUMPRODUCT(G655:I655,Inputs!$B$4:$D$4)*Inputs!$B$2</f>
        <v>-23357.6243550259</v>
      </c>
    </row>
    <row r="656" customFormat="false" ht="15" hidden="false" customHeight="false" outlineLevel="0" collapsed="false">
      <c r="D656" s="0" t="n">
        <f aca="false">MC_Shocks!A643</f>
        <v>0.23924686411115</v>
      </c>
      <c r="E656" s="0" t="n">
        <f aca="false">MC_Shocks!B643</f>
        <v>2.07408266974997</v>
      </c>
      <c r="F656" s="0" t="n">
        <f aca="false">MC_Shocks!C643</f>
        <v>-0.919384591586423</v>
      </c>
      <c r="G656" s="0" t="n">
        <f aca="false">$B$3*D656</f>
        <v>0.00352427880722026</v>
      </c>
      <c r="H656" s="0" t="n">
        <f aca="false">$B$4*D656+$C$4*E656</f>
        <v>0.0284808994498416</v>
      </c>
      <c r="I656" s="0" t="n">
        <f aca="false">$B$5*D656+$C$5*E656+$D$5*F656</f>
        <v>0.00224510209852491</v>
      </c>
      <c r="J656" s="0" t="n">
        <f aca="false">SUMPRODUCT(G656:I656,Inputs!$B$4:$D$4)*Inputs!$B$2</f>
        <v>10627.5119873981</v>
      </c>
    </row>
    <row r="657" customFormat="false" ht="15" hidden="false" customHeight="false" outlineLevel="0" collapsed="false">
      <c r="D657" s="0" t="n">
        <f aca="false">MC_Shocks!A644</f>
        <v>-2.53028752274633</v>
      </c>
      <c r="E657" s="0" t="n">
        <f aca="false">MC_Shocks!B644</f>
        <v>-0.286004221880111</v>
      </c>
      <c r="F657" s="0" t="n">
        <f aca="false">MC_Shocks!C644</f>
        <v>1.10095963499857</v>
      </c>
      <c r="G657" s="0" t="n">
        <f aca="false">$B$3*D657</f>
        <v>-0.0372729595671769</v>
      </c>
      <c r="H657" s="0" t="n">
        <f aca="false">$B$4*D657+$C$4*E657</f>
        <v>-0.0301398285201034</v>
      </c>
      <c r="I657" s="0" t="n">
        <f aca="false">$B$5*D657+$C$5*E657+$D$5*F657</f>
        <v>-0.0182395375994781</v>
      </c>
      <c r="J657" s="0" t="n">
        <f aca="false">SUMPRODUCT(G657:I657,Inputs!$B$4:$D$4)*Inputs!$B$2</f>
        <v>-29422.9936627452</v>
      </c>
    </row>
    <row r="658" customFormat="false" ht="15" hidden="false" customHeight="false" outlineLevel="0" collapsed="false">
      <c r="D658" s="0" t="n">
        <f aca="false">MC_Shocks!A645</f>
        <v>1.95834745422059</v>
      </c>
      <c r="E658" s="0" t="n">
        <f aca="false">MC_Shocks!B645</f>
        <v>-1.22954959445242</v>
      </c>
      <c r="F658" s="0" t="n">
        <f aca="false">MC_Shocks!C645</f>
        <v>0.496699223236522</v>
      </c>
      <c r="G658" s="0" t="n">
        <f aca="false">$B$3*D658</f>
        <v>0.0288478699845234</v>
      </c>
      <c r="H658" s="0" t="n">
        <f aca="false">$B$4*D658+$C$4*E658</f>
        <v>0.00516023337143348</v>
      </c>
      <c r="I658" s="0" t="n">
        <f aca="false">$B$5*D658+$C$5*E658+$D$5*F658</f>
        <v>0.020501411616887</v>
      </c>
      <c r="J658" s="0" t="n">
        <f aca="false">SUMPRODUCT(G658:I658,Inputs!$B$4:$D$4)*Inputs!$B$2</f>
        <v>19237.6414903055</v>
      </c>
    </row>
    <row r="659" customFormat="false" ht="15" hidden="false" customHeight="false" outlineLevel="0" collapsed="false">
      <c r="D659" s="0" t="n">
        <f aca="false">MC_Shocks!A646</f>
        <v>-0.465310456780053</v>
      </c>
      <c r="E659" s="0" t="n">
        <f aca="false">MC_Shocks!B646</f>
        <v>-0.105948354304136</v>
      </c>
      <c r="F659" s="0" t="n">
        <f aca="false">MC_Shocks!C646</f>
        <v>2.64434334701704</v>
      </c>
      <c r="G659" s="0" t="n">
        <f aca="false">$B$3*D659</f>
        <v>-0.00685435852085427</v>
      </c>
      <c r="H659" s="0" t="n">
        <f aca="false">$B$4*D659+$C$4*E659</f>
        <v>-0.00621064064220918</v>
      </c>
      <c r="I659" s="0" t="n">
        <f aca="false">$B$5*D659+$C$5*E659+$D$5*F659</f>
        <v>0.0178375256029182</v>
      </c>
      <c r="J659" s="0" t="n">
        <f aca="false">SUMPRODUCT(G659:I659,Inputs!$B$4:$D$4)*Inputs!$B$2</f>
        <v>746.322079871003</v>
      </c>
    </row>
    <row r="660" customFormat="false" ht="15" hidden="false" customHeight="false" outlineLevel="0" collapsed="false">
      <c r="D660" s="0" t="n">
        <f aca="false">MC_Shocks!A647</f>
        <v>-1.50297032839515</v>
      </c>
      <c r="E660" s="0" t="n">
        <f aca="false">MC_Shocks!B647</f>
        <v>0.253739661494573</v>
      </c>
      <c r="F660" s="0" t="n">
        <f aca="false">MC_Shocks!C647</f>
        <v>0.467693171765433</v>
      </c>
      <c r="G660" s="0" t="n">
        <f aca="false">$B$3*D660</f>
        <v>-0.02213983659064</v>
      </c>
      <c r="H660" s="0" t="n">
        <f aca="false">$B$4*D660+$C$4*E660</f>
        <v>-0.0125986009096252</v>
      </c>
      <c r="I660" s="0" t="n">
        <f aca="false">$B$5*D660+$C$5*E660+$D$5*F660</f>
        <v>-0.0108801580246719</v>
      </c>
      <c r="J660" s="0" t="n">
        <f aca="false">SUMPRODUCT(G660:I660,Inputs!$B$4:$D$4)*Inputs!$B$2</f>
        <v>-15899.5623165452</v>
      </c>
    </row>
    <row r="661" customFormat="false" ht="15" hidden="false" customHeight="false" outlineLevel="0" collapsed="false">
      <c r="D661" s="0" t="n">
        <f aca="false">MC_Shocks!A648</f>
        <v>1.08578632493935</v>
      </c>
      <c r="E661" s="0" t="n">
        <f aca="false">MC_Shocks!B648</f>
        <v>0.0979831534708954</v>
      </c>
      <c r="F661" s="0" t="n">
        <f aca="false">MC_Shocks!C648</f>
        <v>0.308050539504102</v>
      </c>
      <c r="G661" s="0" t="n">
        <f aca="false">$B$3*D661</f>
        <v>0.0159944154268018</v>
      </c>
      <c r="H661" s="0" t="n">
        <f aca="false">$B$4*D661+$C$4*E661</f>
        <v>0.0126236333204593</v>
      </c>
      <c r="I661" s="0" t="n">
        <f aca="false">$B$5*D661+$C$5*E661+$D$5*F661</f>
        <v>0.0145715082330878</v>
      </c>
      <c r="J661" s="0" t="n">
        <f aca="false">SUMPRODUCT(G661:I661,Inputs!$B$4:$D$4)*Inputs!$B$2</f>
        <v>14556.3086367848</v>
      </c>
    </row>
    <row r="662" customFormat="false" ht="15" hidden="false" customHeight="false" outlineLevel="0" collapsed="false">
      <c r="D662" s="0" t="n">
        <f aca="false">MC_Shocks!A649</f>
        <v>-0.391648567421791</v>
      </c>
      <c r="E662" s="0" t="n">
        <f aca="false">MC_Shocks!B649</f>
        <v>0.269126941245107</v>
      </c>
      <c r="F662" s="0" t="n">
        <f aca="false">MC_Shocks!C649</f>
        <v>-0.343192275497411</v>
      </c>
      <c r="G662" s="0" t="n">
        <f aca="false">$B$3*D662</f>
        <v>-0.00576926577980785</v>
      </c>
      <c r="H662" s="0" t="n">
        <f aca="false">$B$4*D662+$C$4*E662</f>
        <v>-0.000741125665267667</v>
      </c>
      <c r="I662" s="0" t="n">
        <f aca="false">$B$5*D662+$C$5*E662+$D$5*F662</f>
        <v>-0.00614935534404295</v>
      </c>
      <c r="J662" s="0" t="n">
        <f aca="false">SUMPRODUCT(G662:I662,Inputs!$B$4:$D$4)*Inputs!$B$2</f>
        <v>-4374.85061471633</v>
      </c>
    </row>
    <row r="663" customFormat="false" ht="15" hidden="false" customHeight="false" outlineLevel="0" collapsed="false">
      <c r="D663" s="0" t="n">
        <f aca="false">MC_Shocks!A650</f>
        <v>0.621571889856051</v>
      </c>
      <c r="E663" s="0" t="n">
        <f aca="false">MC_Shocks!B650</f>
        <v>-0.369610336043634</v>
      </c>
      <c r="F663" s="0" t="n">
        <f aca="false">MC_Shocks!C650</f>
        <v>0.377100393902187</v>
      </c>
      <c r="G663" s="0" t="n">
        <f aca="false">$B$3*D663</f>
        <v>0.00915620209578095</v>
      </c>
      <c r="H663" s="0" t="n">
        <f aca="false">$B$4*D663+$C$4*E663</f>
        <v>0.00189632175726041</v>
      </c>
      <c r="I663" s="0" t="n">
        <f aca="false">$B$5*D663+$C$5*E663+$D$5*F663</f>
        <v>0.00850677485012999</v>
      </c>
      <c r="J663" s="0" t="n">
        <f aca="false">SUMPRODUCT(G663:I663,Inputs!$B$4:$D$4)*Inputs!$B$2</f>
        <v>6783.4098205295</v>
      </c>
    </row>
    <row r="664" customFormat="false" ht="15" hidden="false" customHeight="false" outlineLevel="0" collapsed="false">
      <c r="D664" s="0" t="n">
        <f aca="false">MC_Shocks!A651</f>
        <v>-0.0292628136849784</v>
      </c>
      <c r="E664" s="0" t="n">
        <f aca="false">MC_Shocks!B651</f>
        <v>1.12605025077217</v>
      </c>
      <c r="F664" s="0" t="n">
        <f aca="false">MC_Shocks!C651</f>
        <v>-0.0513937235884862</v>
      </c>
      <c r="G664" s="0" t="n">
        <f aca="false">$B$3*D664</f>
        <v>-0.000431062344297612</v>
      </c>
      <c r="H664" s="0" t="n">
        <f aca="false">$B$4*D664+$C$4*E664</f>
        <v>0.0137921738255226</v>
      </c>
      <c r="I664" s="0" t="n">
        <f aca="false">$B$5*D664+$C$5*E664+$D$5*F664</f>
        <v>0.00345476384302711</v>
      </c>
      <c r="J664" s="0" t="n">
        <f aca="false">SUMPRODUCT(G664:I664,Inputs!$B$4:$D$4)*Inputs!$B$2</f>
        <v>5001.65636284587</v>
      </c>
    </row>
    <row r="665" customFormat="false" ht="15" hidden="false" customHeight="false" outlineLevel="0" collapsed="false">
      <c r="D665" s="0" t="n">
        <f aca="false">MC_Shocks!A652</f>
        <v>-1.77303246820688</v>
      </c>
      <c r="E665" s="0" t="n">
        <f aca="false">MC_Shocks!B652</f>
        <v>1.26192150071399</v>
      </c>
      <c r="F665" s="0" t="n">
        <f aca="false">MC_Shocks!C652</f>
        <v>-0.905732300862619</v>
      </c>
      <c r="G665" s="0" t="n">
        <f aca="false">$B$3*D665</f>
        <v>-0.026118046626985</v>
      </c>
      <c r="H665" s="0" t="n">
        <f aca="false">$B$4*D665+$C$4*E665</f>
        <v>-0.00280977427094127</v>
      </c>
      <c r="I665" s="0" t="n">
        <f aca="false">$B$5*D665+$C$5*E665+$D$5*F665</f>
        <v>-0.0219996629541201</v>
      </c>
      <c r="J665" s="0" t="n">
        <f aca="false">SUMPRODUCT(G665:I665,Inputs!$B$4:$D$4)*Inputs!$B$2</f>
        <v>-17890.0498183124</v>
      </c>
    </row>
    <row r="666" customFormat="false" ht="15" hidden="false" customHeight="false" outlineLevel="0" collapsed="false">
      <c r="D666" s="0" t="n">
        <f aca="false">MC_Shocks!A653</f>
        <v>-0.65376633864882</v>
      </c>
      <c r="E666" s="0" t="n">
        <f aca="false">MC_Shocks!B653</f>
        <v>-0.595661294043492</v>
      </c>
      <c r="F666" s="0" t="n">
        <f aca="false">MC_Shocks!C653</f>
        <v>1.37443809317082</v>
      </c>
      <c r="G666" s="0" t="n">
        <f aca="false">$B$3*D666</f>
        <v>-0.00963044953894819</v>
      </c>
      <c r="H666" s="0" t="n">
        <f aca="false">$B$4*D666+$C$4*E666</f>
        <v>-0.0143204554699721</v>
      </c>
      <c r="I666" s="0" t="n">
        <f aca="false">$B$5*D666+$C$5*E666+$D$5*F666</f>
        <v>0.00288267725907678</v>
      </c>
      <c r="J666" s="0" t="n">
        <f aca="false">SUMPRODUCT(G666:I666,Inputs!$B$4:$D$4)*Inputs!$B$2</f>
        <v>-7283.51327884788</v>
      </c>
    </row>
    <row r="667" customFormat="false" ht="15" hidden="false" customHeight="false" outlineLevel="0" collapsed="false">
      <c r="D667" s="0" t="n">
        <f aca="false">MC_Shocks!A654</f>
        <v>-2.1356742139787</v>
      </c>
      <c r="E667" s="0" t="n">
        <f aca="false">MC_Shocks!B654</f>
        <v>3.13774853365999</v>
      </c>
      <c r="F667" s="0" t="n">
        <f aca="false">MC_Shocks!C654</f>
        <v>1.05605680906605</v>
      </c>
      <c r="G667" s="0" t="n">
        <f aca="false">$B$3*D667</f>
        <v>-0.0314600210097431</v>
      </c>
      <c r="H667" s="0" t="n">
        <f aca="false">$B$4*D667+$C$4*E667</f>
        <v>0.0168711302134309</v>
      </c>
      <c r="I667" s="0" t="n">
        <f aca="false">$B$5*D667+$C$5*E667+$D$5*F667</f>
        <v>-0.00163520408382345</v>
      </c>
      <c r="J667" s="0" t="n">
        <f aca="false">SUMPRODUCT(G667:I667,Inputs!$B$4:$D$4)*Inputs!$B$2</f>
        <v>-8013.23056501499</v>
      </c>
    </row>
    <row r="668" customFormat="false" ht="15" hidden="false" customHeight="false" outlineLevel="0" collapsed="false">
      <c r="D668" s="0" t="n">
        <f aca="false">MC_Shocks!A655</f>
        <v>0.22323891412916</v>
      </c>
      <c r="E668" s="0" t="n">
        <f aca="false">MC_Shocks!B655</f>
        <v>-0.0548940006162864</v>
      </c>
      <c r="F668" s="0" t="n">
        <f aca="false">MC_Shocks!C655</f>
        <v>0.285554074857657</v>
      </c>
      <c r="G668" s="0" t="n">
        <f aca="false">$B$3*D668</f>
        <v>0.00328847016212823</v>
      </c>
      <c r="H668" s="0" t="n">
        <f aca="false">$B$4*D668+$C$4*E668</f>
        <v>0.00165586114535056</v>
      </c>
      <c r="I668" s="0" t="n">
        <f aca="false">$B$5*D668+$C$5*E668+$D$5*F668</f>
        <v>0.00466171161684509</v>
      </c>
      <c r="J668" s="0" t="n">
        <f aca="false">SUMPRODUCT(G668:I668,Inputs!$B$4:$D$4)*Inputs!$B$2</f>
        <v>3210.65989350999</v>
      </c>
    </row>
    <row r="669" customFormat="false" ht="15" hidden="false" customHeight="false" outlineLevel="0" collapsed="false">
      <c r="D669" s="0" t="n">
        <f aca="false">MC_Shocks!A656</f>
        <v>0.521122428379338</v>
      </c>
      <c r="E669" s="0" t="n">
        <f aca="false">MC_Shocks!B656</f>
        <v>0.645215585950057</v>
      </c>
      <c r="F669" s="0" t="n">
        <f aca="false">MC_Shocks!C656</f>
        <v>0.555604466003449</v>
      </c>
      <c r="G669" s="0" t="n">
        <f aca="false">$B$3*D669</f>
        <v>0.00767650910338043</v>
      </c>
      <c r="H669" s="0" t="n">
        <f aca="false">$B$4*D669+$C$4*E669</f>
        <v>0.0135486515007279</v>
      </c>
      <c r="I669" s="0" t="n">
        <f aca="false">$B$5*D669+$C$5*E669+$D$5*F669</f>
        <v>0.0128047855491678</v>
      </c>
      <c r="J669" s="0" t="n">
        <f aca="false">SUMPRODUCT(G669:I669,Inputs!$B$4:$D$4)*Inputs!$B$2</f>
        <v>10976.6347563209</v>
      </c>
    </row>
    <row r="670" customFormat="false" ht="15" hidden="false" customHeight="false" outlineLevel="0" collapsed="false">
      <c r="D670" s="0" t="n">
        <f aca="false">MC_Shocks!A657</f>
        <v>0.0895806812552488</v>
      </c>
      <c r="E670" s="0" t="n">
        <f aca="false">MC_Shocks!B657</f>
        <v>-0.197338420307326</v>
      </c>
      <c r="F670" s="0" t="n">
        <f aca="false">MC_Shocks!C657</f>
        <v>-0.151273283653512</v>
      </c>
      <c r="G670" s="0" t="n">
        <f aca="false">$B$3*D670</f>
        <v>0.00131958802326268</v>
      </c>
      <c r="H670" s="0" t="n">
        <f aca="false">$B$4*D670+$C$4*E670</f>
        <v>-0.00153061407231913</v>
      </c>
      <c r="I670" s="0" t="n">
        <f aca="false">$B$5*D670+$C$5*E670+$D$5*F670</f>
        <v>-0.0011145824567326</v>
      </c>
      <c r="J670" s="0" t="n">
        <f aca="false">SUMPRODUCT(G670:I670,Inputs!$B$4:$D$4)*Inputs!$B$2</f>
        <v>-265.723749410445</v>
      </c>
    </row>
    <row r="671" customFormat="false" ht="15" hidden="false" customHeight="false" outlineLevel="0" collapsed="false">
      <c r="D671" s="0" t="n">
        <f aca="false">MC_Shocks!A658</f>
        <v>-0.194908280352681</v>
      </c>
      <c r="E671" s="0" t="n">
        <f aca="false">MC_Shocks!B658</f>
        <v>1.13377009686707</v>
      </c>
      <c r="F671" s="0" t="n">
        <f aca="false">MC_Shocks!C658</f>
        <v>0.593556722280862</v>
      </c>
      <c r="G671" s="0" t="n">
        <f aca="false">$B$3*D671</f>
        <v>-0.00287113949999183</v>
      </c>
      <c r="H671" s="0" t="n">
        <f aca="false">$B$4*D671+$C$4*E671</f>
        <v>0.0121501633256839</v>
      </c>
      <c r="I671" s="0" t="n">
        <f aca="false">$B$5*D671+$C$5*E671+$D$5*F671</f>
        <v>0.00737821643312636</v>
      </c>
      <c r="J671" s="0" t="n">
        <f aca="false">SUMPRODUCT(G671:I671,Inputs!$B$4:$D$4)*Inputs!$B$2</f>
        <v>4710.05812764634</v>
      </c>
    </row>
    <row r="672" customFormat="false" ht="15" hidden="false" customHeight="false" outlineLevel="0" collapsed="false">
      <c r="D672" s="0" t="n">
        <f aca="false">MC_Shocks!A659</f>
        <v>-2.94038863466428</v>
      </c>
      <c r="E672" s="0" t="n">
        <f aca="false">MC_Shocks!B659</f>
        <v>0.655900776529761</v>
      </c>
      <c r="F672" s="0" t="n">
        <f aca="false">MC_Shocks!C659</f>
        <v>0.194736194718775</v>
      </c>
      <c r="G672" s="0" t="n">
        <f aca="false">$B$3*D672</f>
        <v>-0.0433140446318423</v>
      </c>
      <c r="H672" s="0" t="n">
        <f aca="false">$B$4*D672+$C$4*E672</f>
        <v>-0.0226507537948848</v>
      </c>
      <c r="I672" s="0" t="n">
        <f aca="false">$B$5*D672+$C$5*E672+$D$5*F672</f>
        <v>-0.0269983401074145</v>
      </c>
      <c r="J672" s="0" t="n">
        <f aca="false">SUMPRODUCT(G672:I672,Inputs!$B$4:$D$4)*Inputs!$B$2</f>
        <v>-32220.3460234267</v>
      </c>
    </row>
    <row r="673" customFormat="false" ht="15" hidden="false" customHeight="false" outlineLevel="0" collapsed="false">
      <c r="D673" s="0" t="n">
        <f aca="false">MC_Shocks!A660</f>
        <v>-0.0187087564458974</v>
      </c>
      <c r="E673" s="0" t="n">
        <f aca="false">MC_Shocks!B660</f>
        <v>-0.388518453088886</v>
      </c>
      <c r="F673" s="0" t="n">
        <f aca="false">MC_Shocks!C660</f>
        <v>1.12411271998601</v>
      </c>
      <c r="G673" s="0" t="n">
        <f aca="false">$B$3*D673</f>
        <v>-0.000275593471608011</v>
      </c>
      <c r="H673" s="0" t="n">
        <f aca="false">$B$4*D673+$C$4*E673</f>
        <v>-0.00506103062639574</v>
      </c>
      <c r="I673" s="0" t="n">
        <f aca="false">$B$5*D673+$C$5*E673+$D$5*F673</f>
        <v>0.00819490037628157</v>
      </c>
      <c r="J673" s="0" t="n">
        <f aca="false">SUMPRODUCT(G673:I673,Inputs!$B$4:$D$4)*Inputs!$B$2</f>
        <v>829.923536322545</v>
      </c>
    </row>
    <row r="674" customFormat="false" ht="15" hidden="false" customHeight="false" outlineLevel="0" collapsed="false">
      <c r="D674" s="0" t="n">
        <f aca="false">MC_Shocks!A661</f>
        <v>0.947526462122858</v>
      </c>
      <c r="E674" s="0" t="n">
        <f aca="false">MC_Shocks!B661</f>
        <v>-0.772877667823609</v>
      </c>
      <c r="F674" s="0" t="n">
        <f aca="false">MC_Shocks!C661</f>
        <v>0.407052287124535</v>
      </c>
      <c r="G674" s="0" t="n">
        <f aca="false">$B$3*D674</f>
        <v>0.0139577479610708</v>
      </c>
      <c r="H674" s="0" t="n">
        <f aca="false">$B$4*D674+$C$4*E674</f>
        <v>0.000268323038529479</v>
      </c>
      <c r="I674" s="0" t="n">
        <f aca="false">$B$5*D674+$C$5*E674+$D$5*F674</f>
        <v>0.010713790708007</v>
      </c>
      <c r="J674" s="0" t="n">
        <f aca="false">SUMPRODUCT(G674:I674,Inputs!$B$4:$D$4)*Inputs!$B$2</f>
        <v>8877.73330838928</v>
      </c>
    </row>
    <row r="675" customFormat="false" ht="15" hidden="false" customHeight="false" outlineLevel="0" collapsed="false">
      <c r="D675" s="0" t="n">
        <f aca="false">MC_Shocks!A662</f>
        <v>-0.971656734541286</v>
      </c>
      <c r="E675" s="0" t="n">
        <f aca="false">MC_Shocks!B662</f>
        <v>-1.37961816478893</v>
      </c>
      <c r="F675" s="0" t="n">
        <f aca="false">MC_Shocks!C662</f>
        <v>-0.626717224589965</v>
      </c>
      <c r="G675" s="0" t="n">
        <f aca="false">$B$3*D675</f>
        <v>-0.0143132042719097</v>
      </c>
      <c r="H675" s="0" t="n">
        <f aca="false">$B$4*D675+$C$4*E675</f>
        <v>-0.0274731004932171</v>
      </c>
      <c r="I675" s="0" t="n">
        <f aca="false">$B$5*D675+$C$5*E675+$D$5*F675</f>
        <v>-0.0209511379123596</v>
      </c>
      <c r="J675" s="0" t="n">
        <f aca="false">SUMPRODUCT(G675:I675,Inputs!$B$4:$D$4)*Inputs!$B$2</f>
        <v>-20252.5532304369</v>
      </c>
    </row>
    <row r="676" customFormat="false" ht="15" hidden="false" customHeight="false" outlineLevel="0" collapsed="false">
      <c r="D676" s="0" t="n">
        <f aca="false">MC_Shocks!A663</f>
        <v>0.862393472382759</v>
      </c>
      <c r="E676" s="0" t="n">
        <f aca="false">MC_Shocks!B663</f>
        <v>0.953125045376087</v>
      </c>
      <c r="F676" s="0" t="n">
        <f aca="false">MC_Shocks!C663</f>
        <v>0.513085420097293</v>
      </c>
      <c r="G676" s="0" t="n">
        <f aca="false">$B$3*D676</f>
        <v>0.0127036776406467</v>
      </c>
      <c r="H676" s="0" t="n">
        <f aca="false">$B$4*D676+$C$4*E676</f>
        <v>0.020986096519129</v>
      </c>
      <c r="I676" s="0" t="n">
        <f aca="false">$B$5*D676+$C$5*E676+$D$5*F676</f>
        <v>0.0172013596504849</v>
      </c>
      <c r="J676" s="0" t="n">
        <f aca="false">SUMPRODUCT(G676:I676,Inputs!$B$4:$D$4)*Inputs!$B$2</f>
        <v>16537.7079071428</v>
      </c>
    </row>
    <row r="677" customFormat="false" ht="15" hidden="false" customHeight="false" outlineLevel="0" collapsed="false">
      <c r="D677" s="0" t="n">
        <f aca="false">MC_Shocks!A664</f>
        <v>0.725095786847997</v>
      </c>
      <c r="E677" s="0" t="n">
        <f aca="false">MC_Shocks!B664</f>
        <v>0.516178287114958</v>
      </c>
      <c r="F677" s="0" t="n">
        <f aca="false">MC_Shocks!C664</f>
        <v>-0.641481595222952</v>
      </c>
      <c r="G677" s="0" t="n">
        <f aca="false">$B$3*D677</f>
        <v>0.0106811837400129</v>
      </c>
      <c r="H677" s="0" t="n">
        <f aca="false">$B$4*D677+$C$4*E677</f>
        <v>0.0140739432355777</v>
      </c>
      <c r="I677" s="0" t="n">
        <f aca="false">$B$5*D677+$C$5*E677+$D$5*F677</f>
        <v>0.00399654331312603</v>
      </c>
      <c r="J677" s="0" t="n">
        <f aca="false">SUMPRODUCT(G677:I677,Inputs!$B$4:$D$4)*Inputs!$B$2</f>
        <v>9693.61946061629</v>
      </c>
    </row>
    <row r="678" customFormat="false" ht="15" hidden="false" customHeight="false" outlineLevel="0" collapsed="false">
      <c r="D678" s="0" t="n">
        <f aca="false">MC_Shocks!A665</f>
        <v>0.431922544673941</v>
      </c>
      <c r="E678" s="0" t="n">
        <f aca="false">MC_Shocks!B665</f>
        <v>0.800409525227682</v>
      </c>
      <c r="F678" s="0" t="n">
        <f aca="false">MC_Shocks!C665</f>
        <v>0.754291329813574</v>
      </c>
      <c r="G678" s="0" t="n">
        <f aca="false">$B$3*D678</f>
        <v>0.00636253050258508</v>
      </c>
      <c r="H678" s="0" t="n">
        <f aca="false">$B$4*D678+$C$4*E678</f>
        <v>0.0145555695953726</v>
      </c>
      <c r="I678" s="0" t="n">
        <f aca="false">$B$5*D678+$C$5*E678+$D$5*F678</f>
        <v>0.0141809997010691</v>
      </c>
      <c r="J678" s="0" t="n">
        <f aca="false">SUMPRODUCT(G678:I678,Inputs!$B$4:$D$4)*Inputs!$B$2</f>
        <v>11165.9829899665</v>
      </c>
    </row>
    <row r="679" customFormat="false" ht="15" hidden="false" customHeight="false" outlineLevel="0" collapsed="false">
      <c r="D679" s="0" t="n">
        <f aca="false">MC_Shocks!A666</f>
        <v>1.18891337147464</v>
      </c>
      <c r="E679" s="0" t="n">
        <f aca="false">MC_Shocks!B666</f>
        <v>0.708303847201064</v>
      </c>
      <c r="F679" s="0" t="n">
        <f aca="false">MC_Shocks!C666</f>
        <v>0.351448207541583</v>
      </c>
      <c r="G679" s="0" t="n">
        <f aca="false">$B$3*D679</f>
        <v>0.017513551177675</v>
      </c>
      <c r="H679" s="0" t="n">
        <f aca="false">$B$4*D679+$C$4*E679</f>
        <v>0.0213479428862367</v>
      </c>
      <c r="I679" s="0" t="n">
        <f aca="false">$B$5*D679+$C$5*E679+$D$5*F679</f>
        <v>0.018329105921661</v>
      </c>
      <c r="J679" s="0" t="n">
        <f aca="false">SUMPRODUCT(G679:I679,Inputs!$B$4:$D$4)*Inputs!$B$2</f>
        <v>18908.5351134393</v>
      </c>
    </row>
    <row r="680" customFormat="false" ht="15" hidden="false" customHeight="false" outlineLevel="0" collapsed="false">
      <c r="D680" s="0" t="n">
        <f aca="false">MC_Shocks!A667</f>
        <v>1.07015023831643</v>
      </c>
      <c r="E680" s="0" t="n">
        <f aca="false">MC_Shocks!B667</f>
        <v>-0.0265212592490601</v>
      </c>
      <c r="F680" s="0" t="n">
        <f aca="false">MC_Shocks!C667</f>
        <v>-0.881874651227718</v>
      </c>
      <c r="G680" s="0" t="n">
        <f aca="false">$B$3*D680</f>
        <v>0.0157640845971052</v>
      </c>
      <c r="H680" s="0" t="n">
        <f aca="false">$B$4*D680+$C$4*E680</f>
        <v>0.0109005862506307</v>
      </c>
      <c r="I680" s="0" t="n">
        <f aca="false">$B$5*D680+$C$5*E680+$D$5*F680</f>
        <v>0.00351575033334397</v>
      </c>
      <c r="J680" s="0" t="n">
        <f aca="false">SUMPRODUCT(G680:I680,Inputs!$B$4:$D$4)*Inputs!$B$2</f>
        <v>10630.5348140345</v>
      </c>
    </row>
    <row r="681" customFormat="false" ht="15" hidden="false" customHeight="false" outlineLevel="0" collapsed="false">
      <c r="D681" s="0" t="n">
        <f aca="false">MC_Shocks!A668</f>
        <v>-0.163066963943764</v>
      </c>
      <c r="E681" s="0" t="n">
        <f aca="false">MC_Shocks!B668</f>
        <v>-0.744902644806449</v>
      </c>
      <c r="F681" s="0" t="n">
        <f aca="false">MC_Shocks!C668</f>
        <v>-0.675178274974382</v>
      </c>
      <c r="G681" s="0" t="n">
        <f aca="false">$B$3*D681</f>
        <v>-0.00240209395144994</v>
      </c>
      <c r="H681" s="0" t="n">
        <f aca="false">$B$4*D681+$C$4*E681</f>
        <v>-0.0110385659962152</v>
      </c>
      <c r="I681" s="0" t="n">
        <f aca="false">$B$5*D681+$C$5*E681+$D$5*F681</f>
        <v>-0.0104310973051233</v>
      </c>
      <c r="J681" s="0" t="n">
        <f aca="false">SUMPRODUCT(G681:I681,Inputs!$B$4:$D$4)*Inputs!$B$2</f>
        <v>-7401.73657098154</v>
      </c>
    </row>
    <row r="682" customFormat="false" ht="15" hidden="false" customHeight="false" outlineLevel="0" collapsed="false">
      <c r="D682" s="0" t="n">
        <f aca="false">MC_Shocks!A669</f>
        <v>-0.144518670715518</v>
      </c>
      <c r="E682" s="0" t="n">
        <f aca="false">MC_Shocks!B669</f>
        <v>-0.792419920999961</v>
      </c>
      <c r="F682" s="0" t="n">
        <f aca="false">MC_Shocks!C669</f>
        <v>-0.30796152963904</v>
      </c>
      <c r="G682" s="0" t="n">
        <f aca="false">$B$3*D682</f>
        <v>-0.00212886421873317</v>
      </c>
      <c r="H682" s="0" t="n">
        <f aca="false">$B$4*D682+$C$4*E682</f>
        <v>-0.0114388427845681</v>
      </c>
      <c r="I682" s="0" t="n">
        <f aca="false">$B$5*D682+$C$5*E682+$D$5*F682</f>
        <v>-0.00719550808727312</v>
      </c>
      <c r="J682" s="0" t="n">
        <f aca="false">SUMPRODUCT(G682:I682,Inputs!$B$4:$D$4)*Inputs!$B$2</f>
        <v>-6441.85094904564</v>
      </c>
    </row>
    <row r="683" customFormat="false" ht="15" hidden="false" customHeight="false" outlineLevel="0" collapsed="false">
      <c r="D683" s="0" t="n">
        <f aca="false">MC_Shocks!A670</f>
        <v>-1.89361466695379</v>
      </c>
      <c r="E683" s="0" t="n">
        <f aca="false">MC_Shocks!B670</f>
        <v>0.213293707372939</v>
      </c>
      <c r="F683" s="0" t="n">
        <f aca="false">MC_Shocks!C670</f>
        <v>0.00120547536222424</v>
      </c>
      <c r="G683" s="0" t="n">
        <f aca="false">$B$3*D683</f>
        <v>-0.0278943093552367</v>
      </c>
      <c r="H683" s="0" t="n">
        <f aca="false">$B$4*D683+$C$4*E683</f>
        <v>-0.0172053621083272</v>
      </c>
      <c r="I683" s="0" t="n">
        <f aca="false">$B$5*D683+$C$5*E683+$D$5*F683</f>
        <v>-0.0192577747189817</v>
      </c>
      <c r="J683" s="0" t="n">
        <f aca="false">SUMPRODUCT(G683:I683,Inputs!$B$4:$D$4)*Inputs!$B$2</f>
        <v>-22096.6647902873</v>
      </c>
    </row>
    <row r="684" customFormat="false" ht="15" hidden="false" customHeight="false" outlineLevel="0" collapsed="false">
      <c r="D684" s="0" t="n">
        <f aca="false">MC_Shocks!A671</f>
        <v>-0.817088631068191</v>
      </c>
      <c r="E684" s="0" t="n">
        <f aca="false">MC_Shocks!B671</f>
        <v>0.659245668432405</v>
      </c>
      <c r="F684" s="0" t="n">
        <f aca="false">MC_Shocks!C671</f>
        <v>0.937570137626558</v>
      </c>
      <c r="G684" s="0" t="n">
        <f aca="false">$B$3*D684</f>
        <v>-0.0120363046629376</v>
      </c>
      <c r="H684" s="0" t="n">
        <f aca="false">$B$4*D684+$C$4*E684</f>
        <v>-0.000321994706542702</v>
      </c>
      <c r="I684" s="0" t="n">
        <f aca="false">$B$5*D684+$C$5*E684+$D$5*F684</f>
        <v>0.0020223069861499</v>
      </c>
      <c r="J684" s="0" t="n">
        <f aca="false">SUMPRODUCT(G684:I684,Inputs!$B$4:$D$4)*Inputs!$B$2</f>
        <v>-4304.4281812929</v>
      </c>
    </row>
    <row r="685" customFormat="false" ht="15" hidden="false" customHeight="false" outlineLevel="0" collapsed="false">
      <c r="D685" s="0" t="n">
        <f aca="false">MC_Shocks!A672</f>
        <v>-1.60755986436897</v>
      </c>
      <c r="E685" s="0" t="n">
        <f aca="false">MC_Shocks!B672</f>
        <v>-0.762724778566214</v>
      </c>
      <c r="F685" s="0" t="n">
        <f aca="false">MC_Shocks!C672</f>
        <v>-0.769142349787298</v>
      </c>
      <c r="G685" s="0" t="n">
        <f aca="false">$B$3*D685</f>
        <v>-0.0236805158654091</v>
      </c>
      <c r="H685" s="0" t="n">
        <f aca="false">$B$4*D685+$C$4*E685</f>
        <v>-0.0264236055253209</v>
      </c>
      <c r="I685" s="0" t="n">
        <f aca="false">$B$5*D685+$C$5*E685+$D$5*F685</f>
        <v>-0.0266283324424504</v>
      </c>
      <c r="J685" s="0" t="n">
        <f aca="false">SUMPRODUCT(G685:I685,Inputs!$B$4:$D$4)*Inputs!$B$2</f>
        <v>-25387.787736495</v>
      </c>
    </row>
    <row r="686" customFormat="false" ht="15" hidden="false" customHeight="false" outlineLevel="0" collapsed="false">
      <c r="D686" s="0" t="n">
        <f aca="false">MC_Shocks!A673</f>
        <v>-0.939903101108865</v>
      </c>
      <c r="E686" s="0" t="n">
        <f aca="false">MC_Shocks!B673</f>
        <v>0.829474841931749</v>
      </c>
      <c r="F686" s="0" t="n">
        <f aca="false">MC_Shocks!C673</f>
        <v>-0.193826138772804</v>
      </c>
      <c r="G686" s="0" t="n">
        <f aca="false">$B$3*D686</f>
        <v>-0.0138454503568317</v>
      </c>
      <c r="H686" s="0" t="n">
        <f aca="false">$B$4*D686+$C$4*E686</f>
        <v>0.000520350129657732</v>
      </c>
      <c r="I686" s="0" t="n">
        <f aca="false">$B$5*D686+$C$5*E686+$D$5*F686</f>
        <v>-0.00855323959215356</v>
      </c>
      <c r="J686" s="0" t="n">
        <f aca="false">SUMPRODUCT(G686:I686,Inputs!$B$4:$D$4)*Inputs!$B$2</f>
        <v>-7948.04698148142</v>
      </c>
    </row>
    <row r="687" customFormat="false" ht="15" hidden="false" customHeight="false" outlineLevel="0" collapsed="false">
      <c r="D687" s="0" t="n">
        <f aca="false">MC_Shocks!A674</f>
        <v>-0.264514841310611</v>
      </c>
      <c r="E687" s="0" t="n">
        <f aca="false">MC_Shocks!B674</f>
        <v>-2.00386236440675</v>
      </c>
      <c r="F687" s="0" t="n">
        <f aca="false">MC_Shocks!C674</f>
        <v>0.635418030209226</v>
      </c>
      <c r="G687" s="0" t="n">
        <f aca="false">$B$3*D687</f>
        <v>-0.00389649432977781</v>
      </c>
      <c r="H687" s="0" t="n">
        <f aca="false">$B$4*D687+$C$4*E687</f>
        <v>-0.0278668890878488</v>
      </c>
      <c r="I687" s="0" t="n">
        <f aca="false">$B$5*D687+$C$5*E687+$D$5*F687</f>
        <v>-0.004737626941582</v>
      </c>
      <c r="J687" s="0" t="n">
        <f aca="false">SUMPRODUCT(G687:I687,Inputs!$B$4:$D$4)*Inputs!$B$2</f>
        <v>-11339.9525407404</v>
      </c>
    </row>
    <row r="688" customFormat="false" ht="15" hidden="false" customHeight="false" outlineLevel="0" collapsed="false">
      <c r="D688" s="0" t="n">
        <f aca="false">MC_Shocks!A675</f>
        <v>-1.23925839485347</v>
      </c>
      <c r="E688" s="0" t="n">
        <f aca="false">MC_Shocks!B675</f>
        <v>0.0599326302663283</v>
      </c>
      <c r="F688" s="0" t="n">
        <f aca="false">MC_Shocks!C675</f>
        <v>0.277376937958192</v>
      </c>
      <c r="G688" s="0" t="n">
        <f aca="false">$B$3*D688</f>
        <v>-0.0182551696712014</v>
      </c>
      <c r="H688" s="0" t="n">
        <f aca="false">$B$4*D688+$C$4*E688</f>
        <v>-0.0122572575701387</v>
      </c>
      <c r="I688" s="0" t="n">
        <f aca="false">$B$5*D688+$C$5*E688+$D$5*F688</f>
        <v>-0.0104782674709842</v>
      </c>
      <c r="J688" s="0" t="n">
        <f aca="false">SUMPRODUCT(G688:I688,Inputs!$B$4:$D$4)*Inputs!$B$2</f>
        <v>-14122.7253808174</v>
      </c>
    </row>
    <row r="689" customFormat="false" ht="15" hidden="false" customHeight="false" outlineLevel="0" collapsed="false">
      <c r="D689" s="0" t="n">
        <f aca="false">MC_Shocks!A676</f>
        <v>1.36065859583865</v>
      </c>
      <c r="E689" s="0" t="n">
        <f aca="false">MC_Shocks!B676</f>
        <v>-1.30882039911911</v>
      </c>
      <c r="F689" s="0" t="n">
        <f aca="false">MC_Shocks!C676</f>
        <v>-3.01951215582083</v>
      </c>
      <c r="G689" s="0" t="n">
        <f aca="false">$B$3*D689</f>
        <v>0.0200434821622089</v>
      </c>
      <c r="H689" s="0" t="n">
        <f aca="false">$B$4*D689+$C$4*E689</f>
        <v>-0.00210586509821954</v>
      </c>
      <c r="I689" s="0" t="n">
        <f aca="false">$B$5*D689+$C$5*E689+$D$5*F689</f>
        <v>-0.0169318600889626</v>
      </c>
      <c r="J689" s="0" t="n">
        <f aca="false">SUMPRODUCT(G689:I689,Inputs!$B$4:$D$4)*Inputs!$B$2</f>
        <v>2306.07530872891</v>
      </c>
    </row>
    <row r="690" customFormat="false" ht="15" hidden="false" customHeight="false" outlineLevel="0" collapsed="false">
      <c r="D690" s="0" t="n">
        <f aca="false">MC_Shocks!A677</f>
        <v>0.183849544753695</v>
      </c>
      <c r="E690" s="0" t="n">
        <f aca="false">MC_Shocks!B677</f>
        <v>1.80051118151085</v>
      </c>
      <c r="F690" s="0" t="n">
        <f aca="false">MC_Shocks!C677</f>
        <v>1.23894635293944</v>
      </c>
      <c r="G690" s="0" t="n">
        <f aca="false">$B$3*D690</f>
        <v>0.00270823635118377</v>
      </c>
      <c r="H690" s="0" t="n">
        <f aca="false">$B$4*D690+$C$4*E690</f>
        <v>0.0244740293731467</v>
      </c>
      <c r="I690" s="0" t="n">
        <f aca="false">$B$5*D690+$C$5*E690+$D$5*F690</f>
        <v>0.0195414692762493</v>
      </c>
      <c r="J690" s="0" t="n">
        <f aca="false">SUMPRODUCT(G690:I690,Inputs!$B$4:$D$4)*Inputs!$B$2</f>
        <v>14287.9441352923</v>
      </c>
    </row>
    <row r="691" customFormat="false" ht="15" hidden="false" customHeight="false" outlineLevel="0" collapsed="false">
      <c r="D691" s="0" t="n">
        <f aca="false">MC_Shocks!A678</f>
        <v>0.209659415274626</v>
      </c>
      <c r="E691" s="0" t="n">
        <f aca="false">MC_Shocks!B678</f>
        <v>-0.491636185632047</v>
      </c>
      <c r="F691" s="0" t="n">
        <f aca="false">MC_Shocks!C678</f>
        <v>0.80712259663731</v>
      </c>
      <c r="G691" s="0" t="n">
        <f aca="false">$B$3*D691</f>
        <v>0.0030884343530759</v>
      </c>
      <c r="H691" s="0" t="n">
        <f aca="false">$B$4*D691+$C$4*E691</f>
        <v>-0.00395514258651043</v>
      </c>
      <c r="I691" s="0" t="n">
        <f aca="false">$B$5*D691+$C$5*E691+$D$5*F691</f>
        <v>0.00745203186018387</v>
      </c>
      <c r="J691" s="0" t="n">
        <f aca="false">SUMPRODUCT(G691:I691,Inputs!$B$4:$D$4)*Inputs!$B$2</f>
        <v>2284.44052333239</v>
      </c>
    </row>
    <row r="692" customFormat="false" ht="15" hidden="false" customHeight="false" outlineLevel="0" collapsed="false">
      <c r="D692" s="0" t="n">
        <f aca="false">MC_Shocks!A679</f>
        <v>-0.973546199704469</v>
      </c>
      <c r="E692" s="0" t="n">
        <f aca="false">MC_Shocks!B679</f>
        <v>0.476357769356219</v>
      </c>
      <c r="F692" s="0" t="n">
        <f aca="false">MC_Shocks!C679</f>
        <v>0.505470159166627</v>
      </c>
      <c r="G692" s="0" t="n">
        <f aca="false">$B$3*D692</f>
        <v>-0.0143410374560825</v>
      </c>
      <c r="H692" s="0" t="n">
        <f aca="false">$B$4*D692+$C$4*E692</f>
        <v>-0.00425417413039424</v>
      </c>
      <c r="I692" s="0" t="n">
        <f aca="false">$B$5*D692+$C$5*E692+$D$5*F692</f>
        <v>-0.00410557001182662</v>
      </c>
      <c r="J692" s="0" t="n">
        <f aca="false">SUMPRODUCT(G692:I692,Inputs!$B$4:$D$4)*Inputs!$B$2</f>
        <v>-8244.33822509927</v>
      </c>
    </row>
    <row r="693" customFormat="false" ht="15" hidden="false" customHeight="false" outlineLevel="0" collapsed="false">
      <c r="D693" s="0" t="n">
        <f aca="false">MC_Shocks!A680</f>
        <v>1.06020990749888</v>
      </c>
      <c r="E693" s="0" t="n">
        <f aca="false">MC_Shocks!B680</f>
        <v>2.75966003891108</v>
      </c>
      <c r="F693" s="0" t="n">
        <f aca="false">MC_Shocks!C680</f>
        <v>0.392415967178767</v>
      </c>
      <c r="G693" s="0" t="n">
        <f aca="false">$B$3*D693</f>
        <v>0.0156176563571064</v>
      </c>
      <c r="H693" s="0" t="n">
        <f aca="false">$B$4*D693+$C$4*E693</f>
        <v>0.0456821515377764</v>
      </c>
      <c r="I693" s="0" t="n">
        <f aca="false">$B$5*D693+$C$5*E693+$D$5*F693</f>
        <v>0.0250028471729692</v>
      </c>
      <c r="J693" s="0" t="n">
        <f aca="false">SUMPRODUCT(G693:I693,Inputs!$B$4:$D$4)*Inputs!$B$2</f>
        <v>27452.5621560662</v>
      </c>
    </row>
    <row r="694" customFormat="false" ht="15" hidden="false" customHeight="false" outlineLevel="0" collapsed="false">
      <c r="D694" s="0" t="n">
        <f aca="false">MC_Shocks!A681</f>
        <v>-0.508963625707499</v>
      </c>
      <c r="E694" s="0" t="n">
        <f aca="false">MC_Shocks!B681</f>
        <v>-0.0255743121919944</v>
      </c>
      <c r="F694" s="0" t="n">
        <f aca="false">MC_Shocks!C681</f>
        <v>-1.76907590488912</v>
      </c>
      <c r="G694" s="0" t="n">
        <f aca="false">$B$3*D694</f>
        <v>-0.00749740117343227</v>
      </c>
      <c r="H694" s="0" t="n">
        <f aca="false">$B$4*D694+$C$4*E694</f>
        <v>-0.00566247209453749</v>
      </c>
      <c r="I694" s="0" t="n">
        <f aca="false">$B$5*D694+$C$5*E694+$D$5*F694</f>
        <v>-0.0209867487386733</v>
      </c>
      <c r="J694" s="0" t="n">
        <f aca="false">SUMPRODUCT(G694:I694,Inputs!$B$4:$D$4)*Inputs!$B$2</f>
        <v>-10993.7267193361</v>
      </c>
    </row>
    <row r="695" customFormat="false" ht="15" hidden="false" customHeight="false" outlineLevel="0" collapsed="false">
      <c r="D695" s="0" t="n">
        <f aca="false">MC_Shocks!A682</f>
        <v>-0.694713131089058</v>
      </c>
      <c r="E695" s="0" t="n">
        <f aca="false">MC_Shocks!B682</f>
        <v>-0.409282438113104</v>
      </c>
      <c r="F695" s="0" t="n">
        <f aca="false">MC_Shocks!C682</f>
        <v>-0.524088397934593</v>
      </c>
      <c r="G695" s="0" t="n">
        <f aca="false">$B$3*D695</f>
        <v>-0.010233625314551</v>
      </c>
      <c r="H695" s="0" t="n">
        <f aca="false">$B$4*D695+$C$4*E695</f>
        <v>-0.0124165887954727</v>
      </c>
      <c r="I695" s="0" t="n">
        <f aca="false">$B$5*D695+$C$5*E695+$D$5*F695</f>
        <v>-0.0134850926089056</v>
      </c>
      <c r="J695" s="0" t="n">
        <f aca="false">SUMPRODUCT(G695:I695,Inputs!$B$4:$D$4)*Inputs!$B$2</f>
        <v>-11863.9545471339</v>
      </c>
    </row>
    <row r="696" customFormat="false" ht="15" hidden="false" customHeight="false" outlineLevel="0" collapsed="false">
      <c r="D696" s="0" t="n">
        <f aca="false">MC_Shocks!A683</f>
        <v>0.152354872033722</v>
      </c>
      <c r="E696" s="0" t="n">
        <f aca="false">MC_Shocks!B683</f>
        <v>-0.822419932382201</v>
      </c>
      <c r="F696" s="0" t="n">
        <f aca="false">MC_Shocks!C683</f>
        <v>1.12103066732447</v>
      </c>
      <c r="G696" s="0" t="n">
        <f aca="false">$B$3*D696</f>
        <v>0.00224429711411285</v>
      </c>
      <c r="H696" s="0" t="n">
        <f aca="false">$B$4*D696+$C$4*E696</f>
        <v>-0.00869838881555318</v>
      </c>
      <c r="I696" s="0" t="n">
        <f aca="false">$B$5*D696+$C$5*E696+$D$5*F696</f>
        <v>0.00835647186959962</v>
      </c>
      <c r="J696" s="0" t="n">
        <f aca="false">SUMPRODUCT(G696:I696,Inputs!$B$4:$D$4)*Inputs!$B$2</f>
        <v>795.14376185907</v>
      </c>
    </row>
    <row r="697" customFormat="false" ht="15" hidden="false" customHeight="false" outlineLevel="0" collapsed="false">
      <c r="D697" s="0" t="n">
        <f aca="false">MC_Shocks!A684</f>
        <v>0.000207064918197094</v>
      </c>
      <c r="E697" s="0" t="n">
        <f aca="false">MC_Shocks!B684</f>
        <v>-0.00930032113861442</v>
      </c>
      <c r="F697" s="0" t="n">
        <f aca="false">MC_Shocks!C684</f>
        <v>-0.327894716512918</v>
      </c>
      <c r="G697" s="0" t="n">
        <f aca="false">$B$3*D697</f>
        <v>3.05021554047114E-006</v>
      </c>
      <c r="H697" s="0" t="n">
        <f aca="false">$B$4*D697+$C$4*E697</f>
        <v>-0.000114276319033894</v>
      </c>
      <c r="I697" s="0" t="n">
        <f aca="false">$B$5*D697+$C$5*E697+$D$5*F697</f>
        <v>-0.00290505011886789</v>
      </c>
      <c r="J697" s="0" t="n">
        <f aca="false">SUMPRODUCT(G697:I697,Inputs!$B$4:$D$4)*Inputs!$B$2</f>
        <v>-904.577845154346</v>
      </c>
    </row>
    <row r="698" customFormat="false" ht="15" hidden="false" customHeight="false" outlineLevel="0" collapsed="false">
      <c r="D698" s="0" t="n">
        <f aca="false">MC_Shocks!A685</f>
        <v>0.155190683858979</v>
      </c>
      <c r="E698" s="0" t="n">
        <f aca="false">MC_Shocks!B685</f>
        <v>0.825098264667635</v>
      </c>
      <c r="F698" s="0" t="n">
        <f aca="false">MC_Shocks!C685</f>
        <v>-0.8671302157109</v>
      </c>
      <c r="G698" s="0" t="n">
        <f aca="false">$B$3*D698</f>
        <v>0.00228607066694142</v>
      </c>
      <c r="H698" s="0" t="n">
        <f aca="false">$B$4*D698+$C$4*E698</f>
        <v>0.0119600268797615</v>
      </c>
      <c r="I698" s="0" t="n">
        <f aca="false">$B$5*D698+$C$5*E698+$D$5*F698</f>
        <v>-0.00286314317087716</v>
      </c>
      <c r="J698" s="0" t="n">
        <f aca="false">SUMPRODUCT(G698:I698,Inputs!$B$4:$D$4)*Inputs!$B$2</f>
        <v>3643.49337944187</v>
      </c>
    </row>
    <row r="699" customFormat="false" ht="15" hidden="false" customHeight="false" outlineLevel="0" collapsed="false">
      <c r="D699" s="0" t="n">
        <f aca="false">MC_Shocks!A686</f>
        <v>-0.658116489075257</v>
      </c>
      <c r="E699" s="0" t="n">
        <f aca="false">MC_Shocks!B686</f>
        <v>-0.303726028776665</v>
      </c>
      <c r="F699" s="0" t="n">
        <f aca="false">MC_Shocks!C686</f>
        <v>-1.34587092347322</v>
      </c>
      <c r="G699" s="0" t="n">
        <f aca="false">$B$3*D699</f>
        <v>-0.00969453039122214</v>
      </c>
      <c r="H699" s="0" t="n">
        <f aca="false">$B$4*D699+$C$4*E699</f>
        <v>-0.0107107814312233</v>
      </c>
      <c r="I699" s="0" t="n">
        <f aca="false">$B$5*D699+$C$5*E699+$D$5*F699</f>
        <v>-0.0199011507289552</v>
      </c>
      <c r="J699" s="0" t="n">
        <f aca="false">SUMPRODUCT(G699:I699,Inputs!$B$4:$D$4)*Inputs!$B$2</f>
        <v>-13061.3918045424</v>
      </c>
    </row>
    <row r="700" customFormat="false" ht="15" hidden="false" customHeight="false" outlineLevel="0" collapsed="false">
      <c r="D700" s="0" t="n">
        <f aca="false">MC_Shocks!A687</f>
        <v>-0.819257859721498</v>
      </c>
      <c r="E700" s="0" t="n">
        <f aca="false">MC_Shocks!B687</f>
        <v>-0.476220873544659</v>
      </c>
      <c r="F700" s="0" t="n">
        <f aca="false">MC_Shocks!C687</f>
        <v>0.874389180712728</v>
      </c>
      <c r="G700" s="0" t="n">
        <f aca="false">$B$3*D700</f>
        <v>-0.0120682589650317</v>
      </c>
      <c r="H700" s="0" t="n">
        <f aca="false">$B$4*D700+$C$4*E700</f>
        <v>-0.0145619917265198</v>
      </c>
      <c r="I700" s="0" t="n">
        <f aca="false">$B$5*D700+$C$5*E700+$D$5*F700</f>
        <v>-0.0028044913685581</v>
      </c>
      <c r="J700" s="0" t="n">
        <f aca="false">SUMPRODUCT(G700:I700,Inputs!$B$4:$D$4)*Inputs!$B$2</f>
        <v>-10037.248514536</v>
      </c>
    </row>
    <row r="701" customFormat="false" ht="15" hidden="false" customHeight="false" outlineLevel="0" collapsed="false">
      <c r="D701" s="0" t="n">
        <f aca="false">MC_Shocks!A688</f>
        <v>0.262561329001925</v>
      </c>
      <c r="E701" s="0" t="n">
        <f aca="false">MC_Shocks!B688</f>
        <v>0.193589911367544</v>
      </c>
      <c r="F701" s="0" t="n">
        <f aca="false">MC_Shocks!C688</f>
        <v>0.850897962167972</v>
      </c>
      <c r="G701" s="0" t="n">
        <f aca="false">$B$3*D701</f>
        <v>0.00386771768497319</v>
      </c>
      <c r="H701" s="0" t="n">
        <f aca="false">$B$4*D701+$C$4*E701</f>
        <v>0.0051798808884154</v>
      </c>
      <c r="I701" s="0" t="n">
        <f aca="false">$B$5*D701+$C$5*E701+$D$5*F701</f>
        <v>0.0109610889960902</v>
      </c>
      <c r="J701" s="0" t="n">
        <f aca="false">SUMPRODUCT(G701:I701,Inputs!$B$4:$D$4)*Inputs!$B$2</f>
        <v>6389.37803934095</v>
      </c>
    </row>
    <row r="702" customFormat="false" ht="15" hidden="false" customHeight="false" outlineLevel="0" collapsed="false">
      <c r="D702" s="0" t="n">
        <f aca="false">MC_Shocks!A689</f>
        <v>-0.137371788399397</v>
      </c>
      <c r="E702" s="0" t="n">
        <f aca="false">MC_Shocks!B689</f>
        <v>0.39046484992889</v>
      </c>
      <c r="F702" s="0" t="n">
        <f aca="false">MC_Shocks!C689</f>
        <v>-0.103221752932496</v>
      </c>
      <c r="G702" s="0" t="n">
        <f aca="false">$B$3*D702</f>
        <v>-0.00202358548925857</v>
      </c>
      <c r="H702" s="0" t="n">
        <f aca="false">$B$4*D702+$C$4*E702</f>
        <v>0.00344712717268988</v>
      </c>
      <c r="I702" s="0" t="n">
        <f aca="false">$B$5*D702+$C$5*E702+$D$5*F702</f>
        <v>-0.000898376206549728</v>
      </c>
      <c r="J702" s="0" t="n">
        <f aca="false">SUMPRODUCT(G702:I702,Inputs!$B$4:$D$4)*Inputs!$B$2</f>
        <v>-44.8089058613834</v>
      </c>
    </row>
    <row r="703" customFormat="false" ht="15" hidden="false" customHeight="false" outlineLevel="0" collapsed="false">
      <c r="D703" s="0" t="n">
        <f aca="false">MC_Shocks!A690</f>
        <v>0.265362349399628</v>
      </c>
      <c r="E703" s="0" t="n">
        <f aca="false">MC_Shocks!B690</f>
        <v>-0.582758657611582</v>
      </c>
      <c r="F703" s="0" t="n">
        <f aca="false">MC_Shocks!C690</f>
        <v>-2.43881715827643</v>
      </c>
      <c r="G703" s="0" t="n">
        <f aca="false">$B$3*D703</f>
        <v>0.00390897873498901</v>
      </c>
      <c r="H703" s="0" t="n">
        <f aca="false">$B$4*D703+$C$4*E703</f>
        <v>-0.00451141428639755</v>
      </c>
      <c r="I703" s="0" t="n">
        <f aca="false">$B$5*D703+$C$5*E703+$D$5*F703</f>
        <v>-0.0207339324892023</v>
      </c>
      <c r="J703" s="0" t="n">
        <f aca="false">SUMPRODUCT(G703:I703,Inputs!$B$4:$D$4)*Inputs!$B$2</f>
        <v>-6010.01253868435</v>
      </c>
    </row>
    <row r="704" customFormat="false" ht="15" hidden="false" customHeight="false" outlineLevel="0" collapsed="false">
      <c r="D704" s="0" t="n">
        <f aca="false">MC_Shocks!A691</f>
        <v>-0.134279162186304</v>
      </c>
      <c r="E704" s="0" t="n">
        <f aca="false">MC_Shocks!B691</f>
        <v>1.42274813609994</v>
      </c>
      <c r="F704" s="0" t="n">
        <f aca="false">MC_Shocks!C691</f>
        <v>0.926215402241592</v>
      </c>
      <c r="G704" s="0" t="n">
        <f aca="false">$B$3*D704</f>
        <v>-0.001978028875332</v>
      </c>
      <c r="H704" s="0" t="n">
        <f aca="false">$B$4*D704+$C$4*E704</f>
        <v>0.0164048542620978</v>
      </c>
      <c r="I704" s="0" t="n">
        <f aca="false">$B$5*D704+$C$5*E704+$D$5*F704</f>
        <v>0.0120165872954426</v>
      </c>
      <c r="J704" s="0" t="n">
        <f aca="false">SUMPRODUCT(G704:I704,Inputs!$B$4:$D$4)*Inputs!$B$2</f>
        <v>7735.22091712932</v>
      </c>
    </row>
    <row r="705" customFormat="false" ht="15" hidden="false" customHeight="false" outlineLevel="0" collapsed="false">
      <c r="D705" s="0" t="n">
        <f aca="false">MC_Shocks!A692</f>
        <v>0.965397484591171</v>
      </c>
      <c r="E705" s="0" t="n">
        <f aca="false">MC_Shocks!B692</f>
        <v>1.23613072180622</v>
      </c>
      <c r="F705" s="0" t="n">
        <f aca="false">MC_Shocks!C692</f>
        <v>0.0886575909614374</v>
      </c>
      <c r="G705" s="0" t="n">
        <f aca="false">$B$3*D705</f>
        <v>0.0142210010071762</v>
      </c>
      <c r="H705" s="0" t="n">
        <f aca="false">$B$4*D705+$C$4*E705</f>
        <v>0.0256107885011629</v>
      </c>
      <c r="I705" s="0" t="n">
        <f aca="false">$B$5*D705+$C$5*E705+$D$5*F705</f>
        <v>0.0156341767025101</v>
      </c>
      <c r="J705" s="0" t="n">
        <f aca="false">SUMPRODUCT(G705:I705,Inputs!$B$4:$D$4)*Inputs!$B$2</f>
        <v>18061.8899639724</v>
      </c>
    </row>
    <row r="706" customFormat="false" ht="15" hidden="false" customHeight="false" outlineLevel="0" collapsed="false">
      <c r="D706" s="0" t="n">
        <f aca="false">MC_Shocks!A693</f>
        <v>0.197315707405596</v>
      </c>
      <c r="E706" s="0" t="n">
        <f aca="false">MC_Shocks!B693</f>
        <v>-0.61765189543435</v>
      </c>
      <c r="F706" s="0" t="n">
        <f aca="false">MC_Shocks!C693</f>
        <v>-0.31607285602705</v>
      </c>
      <c r="G706" s="0" t="n">
        <f aca="false">$B$3*D706</f>
        <v>0.00290660263625502</v>
      </c>
      <c r="H706" s="0" t="n">
        <f aca="false">$B$4*D706+$C$4*E706</f>
        <v>-0.00566255475071048</v>
      </c>
      <c r="I706" s="0" t="n">
        <f aca="false">$B$5*D706+$C$5*E706+$D$5*F706</f>
        <v>-0.00298992624715246</v>
      </c>
      <c r="J706" s="0" t="n">
        <f aca="false">SUMPRODUCT(G706:I706,Inputs!$B$4:$D$4)*Inputs!$B$2</f>
        <v>-1433.10324485687</v>
      </c>
    </row>
    <row r="707" customFormat="false" ht="15" hidden="false" customHeight="false" outlineLevel="0" collapsed="false">
      <c r="D707" s="0" t="n">
        <f aca="false">MC_Shocks!A694</f>
        <v>0.615771149771142</v>
      </c>
      <c r="E707" s="0" t="n">
        <f aca="false">MC_Shocks!B694</f>
        <v>1.20388443716882</v>
      </c>
      <c r="F707" s="0" t="n">
        <f aca="false">MC_Shocks!C694</f>
        <v>-0.139446275681</v>
      </c>
      <c r="G707" s="0" t="n">
        <f aca="false">$B$3*D707</f>
        <v>0.00907075301195119</v>
      </c>
      <c r="H707" s="0" t="n">
        <f aca="false">$B$4*D707+$C$4*E707</f>
        <v>0.0215372346257845</v>
      </c>
      <c r="I707" s="0" t="n">
        <f aca="false">$B$5*D707+$C$5*E707+$D$5*F707</f>
        <v>0.00981021921929895</v>
      </c>
      <c r="J707" s="0" t="n">
        <f aca="false">SUMPRODUCT(G707:I707,Inputs!$B$4:$D$4)*Inputs!$B$2</f>
        <v>13032.5373583055</v>
      </c>
    </row>
    <row r="708" customFormat="false" ht="15" hidden="false" customHeight="false" outlineLevel="0" collapsed="false">
      <c r="D708" s="0" t="n">
        <f aca="false">MC_Shocks!A695</f>
        <v>-0.450189264851412</v>
      </c>
      <c r="E708" s="0" t="n">
        <f aca="false">MC_Shocks!B695</f>
        <v>0.000527958856597293</v>
      </c>
      <c r="F708" s="0" t="n">
        <f aca="false">MC_Shocks!C695</f>
        <v>0.601206748929115</v>
      </c>
      <c r="G708" s="0" t="n">
        <f aca="false">$B$3*D708</f>
        <v>-0.00663161246124755</v>
      </c>
      <c r="H708" s="0" t="n">
        <f aca="false">$B$4*D708+$C$4*E708</f>
        <v>-0.00471872873392516</v>
      </c>
      <c r="I708" s="0" t="n">
        <f aca="false">$B$5*D708+$C$5*E708+$D$5*F708</f>
        <v>0.00049799965973568</v>
      </c>
      <c r="J708" s="0" t="n">
        <f aca="false">SUMPRODUCT(G708:I708,Inputs!$B$4:$D$4)*Inputs!$B$2</f>
        <v>-3918.86370675586</v>
      </c>
    </row>
    <row r="709" customFormat="false" ht="15" hidden="false" customHeight="false" outlineLevel="0" collapsed="false">
      <c r="D709" s="0" t="n">
        <f aca="false">MC_Shocks!A696</f>
        <v>-1.44385481613354</v>
      </c>
      <c r="E709" s="0" t="n">
        <f aca="false">MC_Shocks!B696</f>
        <v>-2.29618095313724</v>
      </c>
      <c r="F709" s="0" t="n">
        <f aca="false">MC_Shocks!C696</f>
        <v>-0.550536849491584</v>
      </c>
      <c r="G709" s="0" t="n">
        <f aca="false">$B$3*D709</f>
        <v>-0.0212690224722791</v>
      </c>
      <c r="H709" s="0" t="n">
        <f aca="false">$B$4*D709+$C$4*E709</f>
        <v>-0.0439057760692219</v>
      </c>
      <c r="I709" s="0" t="n">
        <f aca="false">$B$5*D709+$C$5*E709+$D$5*F709</f>
        <v>-0.0287186124457033</v>
      </c>
      <c r="J709" s="0" t="n">
        <f aca="false">SUMPRODUCT(G709:I709,Inputs!$B$4:$D$4)*Inputs!$B$2</f>
        <v>-30294.9255433892</v>
      </c>
    </row>
    <row r="710" customFormat="false" ht="15" hidden="false" customHeight="false" outlineLevel="0" collapsed="false">
      <c r="D710" s="0" t="n">
        <f aca="false">MC_Shocks!A697</f>
        <v>-1.22071242591416</v>
      </c>
      <c r="E710" s="0" t="n">
        <f aca="false">MC_Shocks!B697</f>
        <v>-0.508140197647311</v>
      </c>
      <c r="F710" s="0" t="n">
        <f aca="false">MC_Shocks!C697</f>
        <v>-0.147780318817472</v>
      </c>
      <c r="G710" s="0" t="n">
        <f aca="false">$B$3*D710</f>
        <v>-0.0179819741769364</v>
      </c>
      <c r="H710" s="0" t="n">
        <f aca="false">$B$4*D710+$C$4*E710</f>
        <v>-0.0191754584226551</v>
      </c>
      <c r="I710" s="0" t="n">
        <f aca="false">$B$5*D710+$C$5*E710+$D$5*F710</f>
        <v>-0.016132644187302</v>
      </c>
      <c r="J710" s="0" t="n">
        <f aca="false">SUMPRODUCT(G710:I710,Inputs!$B$4:$D$4)*Inputs!$B$2</f>
        <v>-17785.2204537617</v>
      </c>
    </row>
    <row r="711" customFormat="false" ht="15" hidden="false" customHeight="false" outlineLevel="0" collapsed="false">
      <c r="D711" s="0" t="n">
        <f aca="false">MC_Shocks!A698</f>
        <v>-0.453248409023013</v>
      </c>
      <c r="E711" s="0" t="n">
        <f aca="false">MC_Shocks!B698</f>
        <v>1.45246753447075</v>
      </c>
      <c r="F711" s="0" t="n">
        <f aca="false">MC_Shocks!C698</f>
        <v>0.32674476460232</v>
      </c>
      <c r="G711" s="0" t="n">
        <f aca="false">$B$3*D711</f>
        <v>-0.00667667586056216</v>
      </c>
      <c r="H711" s="0" t="n">
        <f aca="false">$B$4*D711+$C$4*E711</f>
        <v>0.0134289627148402</v>
      </c>
      <c r="I711" s="0" t="n">
        <f aca="false">$B$5*D711+$C$5*E711+$D$5*F711</f>
        <v>0.00349620171374438</v>
      </c>
      <c r="J711" s="0" t="n">
        <f aca="false">SUMPRODUCT(G711:I711,Inputs!$B$4:$D$4)*Inputs!$B$2</f>
        <v>2406.87898435052</v>
      </c>
    </row>
    <row r="712" customFormat="false" ht="15" hidden="false" customHeight="false" outlineLevel="0" collapsed="false">
      <c r="D712" s="0" t="n">
        <f aca="false">MC_Shocks!A699</f>
        <v>0.300474359610828</v>
      </c>
      <c r="E712" s="0" t="n">
        <f aca="false">MC_Shocks!B699</f>
        <v>0.622207144043402</v>
      </c>
      <c r="F712" s="0" t="n">
        <f aca="false">MC_Shocks!C699</f>
        <v>-1.13883311778077</v>
      </c>
      <c r="G712" s="0" t="n">
        <f aca="false">$B$3*D712</f>
        <v>0.00442620396143438</v>
      </c>
      <c r="H712" s="0" t="n">
        <f aca="false">$B$4*D712+$C$4*E712</f>
        <v>0.0109445647323783</v>
      </c>
      <c r="I712" s="0" t="n">
        <f aca="false">$B$5*D712+$C$5*E712+$D$5*F712</f>
        <v>-0.00446321322094671</v>
      </c>
      <c r="J712" s="0" t="n">
        <f aca="false">SUMPRODUCT(G712:I712,Inputs!$B$4:$D$4)*Inputs!$B$2</f>
        <v>3714.88703800323</v>
      </c>
    </row>
    <row r="713" customFormat="false" ht="15" hidden="false" customHeight="false" outlineLevel="0" collapsed="false">
      <c r="D713" s="0" t="n">
        <f aca="false">MC_Shocks!A700</f>
        <v>1.03911178742027</v>
      </c>
      <c r="E713" s="0" t="n">
        <f aca="false">MC_Shocks!B700</f>
        <v>-0.0757642865354599</v>
      </c>
      <c r="F713" s="0" t="n">
        <f aca="false">MC_Shocks!C700</f>
        <v>0.670480617241213</v>
      </c>
      <c r="G713" s="0" t="n">
        <f aca="false">$B$3*D713</f>
        <v>0.0153068658364386</v>
      </c>
      <c r="H713" s="0" t="n">
        <f aca="false">$B$4*D713+$C$4*E713</f>
        <v>0.00995822195713207</v>
      </c>
      <c r="I713" s="0" t="n">
        <f aca="false">$B$5*D713+$C$5*E713+$D$5*F713</f>
        <v>0.0166014843320066</v>
      </c>
      <c r="J713" s="0" t="n">
        <f aca="false">SUMPRODUCT(G713:I713,Inputs!$B$4:$D$4)*Inputs!$B$2</f>
        <v>14090.658221317</v>
      </c>
    </row>
    <row r="714" customFormat="false" ht="15" hidden="false" customHeight="false" outlineLevel="0" collapsed="false">
      <c r="D714" s="0" t="n">
        <f aca="false">MC_Shocks!A701</f>
        <v>-1.07185723304016</v>
      </c>
      <c r="E714" s="0" t="n">
        <f aca="false">MC_Shocks!B701</f>
        <v>-1.55375876601606</v>
      </c>
      <c r="F714" s="0" t="n">
        <f aca="false">MC_Shocks!C701</f>
        <v>0.817889658025029</v>
      </c>
      <c r="G714" s="0" t="n">
        <f aca="false">$B$3*D714</f>
        <v>-0.0157892298601423</v>
      </c>
      <c r="H714" s="0" t="n">
        <f aca="false">$B$4*D714+$C$4*E714</f>
        <v>-0.0307052613006697</v>
      </c>
      <c r="I714" s="0" t="n">
        <f aca="false">$B$5*D714+$C$5*E714+$D$5*F714</f>
        <v>-0.0100097405957833</v>
      </c>
      <c r="J714" s="0" t="n">
        <f aca="false">SUMPRODUCT(G714:I714,Inputs!$B$4:$D$4)*Inputs!$B$2</f>
        <v>-18530.1925129928</v>
      </c>
    </row>
    <row r="715" customFormat="false" ht="15" hidden="false" customHeight="false" outlineLevel="0" collapsed="false">
      <c r="D715" s="0" t="n">
        <f aca="false">MC_Shocks!A702</f>
        <v>0.376409526097517</v>
      </c>
      <c r="E715" s="0" t="n">
        <f aca="false">MC_Shocks!B702</f>
        <v>-0.90205155435751</v>
      </c>
      <c r="F715" s="0" t="n">
        <f aca="false">MC_Shocks!C702</f>
        <v>-0.869663081274694</v>
      </c>
      <c r="G715" s="0" t="n">
        <f aca="false">$B$3*D715</f>
        <v>0.00554478371363313</v>
      </c>
      <c r="H715" s="0" t="n">
        <f aca="false">$B$4*D715+$C$4*E715</f>
        <v>-0.00734370626572555</v>
      </c>
      <c r="I715" s="0" t="n">
        <f aca="false">$B$5*D715+$C$5*E715+$D$5*F715</f>
        <v>-0.00700621075922337</v>
      </c>
      <c r="J715" s="0" t="n">
        <f aca="false">SUMPRODUCT(G715:I715,Inputs!$B$4:$D$4)*Inputs!$B$2</f>
        <v>-2087.06162203143</v>
      </c>
    </row>
    <row r="716" customFormat="false" ht="15" hidden="false" customHeight="false" outlineLevel="0" collapsed="false">
      <c r="D716" s="0" t="n">
        <f aca="false">MC_Shocks!A703</f>
        <v>1.12543478441477</v>
      </c>
      <c r="E716" s="0" t="n">
        <f aca="false">MC_Shocks!B703</f>
        <v>-1.18941189286733</v>
      </c>
      <c r="F716" s="0" t="n">
        <f aca="false">MC_Shocks!C703</f>
        <v>1.64267295325596</v>
      </c>
      <c r="G716" s="0" t="n">
        <f aca="false">$B$3*D716</f>
        <v>0.0165784658217246</v>
      </c>
      <c r="H716" s="0" t="n">
        <f aca="false">$B$4*D716+$C$4*E716</f>
        <v>-0.00307973474311767</v>
      </c>
      <c r="I716" s="0" t="n">
        <f aca="false">$B$5*D716+$C$5*E716+$D$5*F716</f>
        <v>0.0218642184061487</v>
      </c>
      <c r="J716" s="0" t="n">
        <f aca="false">SUMPRODUCT(G716:I716,Inputs!$B$4:$D$4)*Inputs!$B$2</f>
        <v>12266.7314275991</v>
      </c>
    </row>
    <row r="717" customFormat="false" ht="15" hidden="false" customHeight="false" outlineLevel="0" collapsed="false">
      <c r="D717" s="0" t="n">
        <f aca="false">MC_Shocks!A704</f>
        <v>-0.900620734647869</v>
      </c>
      <c r="E717" s="0" t="n">
        <f aca="false">MC_Shocks!B704</f>
        <v>0.638391925608383</v>
      </c>
      <c r="F717" s="0" t="n">
        <f aca="false">MC_Shocks!C704</f>
        <v>-0.328618475748985</v>
      </c>
      <c r="G717" s="0" t="n">
        <f aca="false">$B$3*D717</f>
        <v>-0.0132667927759673</v>
      </c>
      <c r="H717" s="0" t="n">
        <f aca="false">$B$4*D717+$C$4*E717</f>
        <v>-0.00145988667835828</v>
      </c>
      <c r="I717" s="0" t="n">
        <f aca="false">$B$5*D717+$C$5*E717+$D$5*F717</f>
        <v>-0.0100330435758597</v>
      </c>
      <c r="J717" s="0" t="n">
        <f aca="false">SUMPRODUCT(G717:I717,Inputs!$B$4:$D$4)*Inputs!$B$2</f>
        <v>-8754.5961866523</v>
      </c>
    </row>
    <row r="718" customFormat="false" ht="15" hidden="false" customHeight="false" outlineLevel="0" collapsed="false">
      <c r="D718" s="0" t="n">
        <f aca="false">MC_Shocks!A705</f>
        <v>0.603187431082343</v>
      </c>
      <c r="E718" s="0" t="n">
        <f aca="false">MC_Shocks!B705</f>
        <v>-0.544114002114193</v>
      </c>
      <c r="F718" s="0" t="n">
        <f aca="false">MC_Shocks!C705</f>
        <v>-0.162792906072294</v>
      </c>
      <c r="G718" s="0" t="n">
        <f aca="false">$B$3*D718</f>
        <v>0.00888538576270545</v>
      </c>
      <c r="H718" s="0" t="n">
        <f aca="false">$B$4*D718+$C$4*E718</f>
        <v>-0.00048161607795231</v>
      </c>
      <c r="I718" s="0" t="n">
        <f aca="false">$B$5*D718+$C$5*E718+$D$5*F718</f>
        <v>0.00292915738169483</v>
      </c>
      <c r="J718" s="0" t="n">
        <f aca="false">SUMPRODUCT(G718:I718,Inputs!$B$4:$D$4)*Inputs!$B$2</f>
        <v>4288.41669620494</v>
      </c>
    </row>
    <row r="719" customFormat="false" ht="15" hidden="false" customHeight="false" outlineLevel="0" collapsed="false">
      <c r="D719" s="0" t="n">
        <f aca="false">MC_Shocks!A706</f>
        <v>0.0409191753957211</v>
      </c>
      <c r="E719" s="0" t="n">
        <f aca="false">MC_Shocks!B706</f>
        <v>-1.00218745578147</v>
      </c>
      <c r="F719" s="0" t="n">
        <f aca="false">MC_Shocks!C706</f>
        <v>0.740824345420126</v>
      </c>
      <c r="G719" s="0" t="n">
        <f aca="false">$B$3*D719</f>
        <v>0.00060276895662495</v>
      </c>
      <c r="H719" s="0" t="n">
        <f aca="false">$B$4*D719+$C$4*E719</f>
        <v>-0.0121189330238844</v>
      </c>
      <c r="I719" s="0" t="n">
        <f aca="false">$B$5*D719+$C$5*E719+$D$5*F719</f>
        <v>0.00317197466224941</v>
      </c>
      <c r="J719" s="0" t="n">
        <f aca="false">SUMPRODUCT(G719:I719,Inputs!$B$4:$D$4)*Inputs!$B$2</f>
        <v>-2442.9799258405</v>
      </c>
    </row>
    <row r="720" customFormat="false" ht="15" hidden="false" customHeight="false" outlineLevel="0" collapsed="false">
      <c r="D720" s="0" t="n">
        <f aca="false">MC_Shocks!A707</f>
        <v>-0.513213566471585</v>
      </c>
      <c r="E720" s="0" t="n">
        <f aca="false">MC_Shocks!B707</f>
        <v>-0.228599915340019</v>
      </c>
      <c r="F720" s="0" t="n">
        <f aca="false">MC_Shocks!C707</f>
        <v>-0.994349374608512</v>
      </c>
      <c r="G720" s="0" t="n">
        <f aca="false">$B$3*D720</f>
        <v>-0.00756000586512784</v>
      </c>
      <c r="H720" s="0" t="n">
        <f aca="false">$B$4*D720+$C$4*E720</f>
        <v>-0.00824917369854239</v>
      </c>
      <c r="I720" s="0" t="n">
        <f aca="false">$B$5*D720+$C$5*E720+$D$5*F720</f>
        <v>-0.0150049830160554</v>
      </c>
      <c r="J720" s="0" t="n">
        <f aca="false">SUMPRODUCT(G720:I720,Inputs!$B$4:$D$4)*Inputs!$B$2</f>
        <v>-10000.2493604305</v>
      </c>
    </row>
    <row r="721" customFormat="false" ht="15" hidden="false" customHeight="false" outlineLevel="0" collapsed="false">
      <c r="D721" s="0" t="n">
        <f aca="false">MC_Shocks!A708</f>
        <v>-2.56233365879531</v>
      </c>
      <c r="E721" s="0" t="n">
        <f aca="false">MC_Shocks!B708</f>
        <v>-0.191027762600169</v>
      </c>
      <c r="F721" s="0" t="n">
        <f aca="false">MC_Shocks!C708</f>
        <v>2.41261542161292</v>
      </c>
      <c r="G721" s="0" t="n">
        <f aca="false">$B$3*D721</f>
        <v>-0.0377450222566935</v>
      </c>
      <c r="H721" s="0" t="n">
        <f aca="false">$B$4*D721+$C$4*E721</f>
        <v>-0.0292869910880842</v>
      </c>
      <c r="I721" s="0" t="n">
        <f aca="false">$B$5*D721+$C$5*E721+$D$5*F721</f>
        <v>-0.00673321421068232</v>
      </c>
      <c r="J721" s="0" t="n">
        <f aca="false">SUMPRODUCT(G721:I721,Inputs!$B$4:$D$4)*Inputs!$B$2</f>
        <v>-25904.0704923074</v>
      </c>
    </row>
    <row r="722" customFormat="false" ht="15" hidden="false" customHeight="false" outlineLevel="0" collapsed="false">
      <c r="D722" s="0" t="n">
        <f aca="false">MC_Shocks!A709</f>
        <v>0.784604287898024</v>
      </c>
      <c r="E722" s="0" t="n">
        <f aca="false">MC_Shocks!B709</f>
        <v>-0.0192603797343946</v>
      </c>
      <c r="F722" s="0" t="n">
        <f aca="false">MC_Shocks!C709</f>
        <v>-0.262890829208268</v>
      </c>
      <c r="G722" s="0" t="n">
        <f aca="false">$B$3*D722</f>
        <v>0.0115577868665752</v>
      </c>
      <c r="H722" s="0" t="n">
        <f aca="false">$B$4*D722+$C$4*E722</f>
        <v>0.00799431283440389</v>
      </c>
      <c r="I722" s="0" t="n">
        <f aca="false">$B$5*D722+$C$5*E722+$D$5*F722</f>
        <v>0.0059394189940245</v>
      </c>
      <c r="J722" s="0" t="n">
        <f aca="false">SUMPRODUCT(G722:I722,Inputs!$B$4:$D$4)*Inputs!$B$2</f>
        <v>8803.2342951586</v>
      </c>
    </row>
    <row r="723" customFormat="false" ht="15" hidden="false" customHeight="false" outlineLevel="0" collapsed="false">
      <c r="D723" s="0" t="n">
        <f aca="false">MC_Shocks!A710</f>
        <v>0.0224658928120464</v>
      </c>
      <c r="E723" s="0" t="n">
        <f aca="false">MC_Shocks!B710</f>
        <v>0.54711911517521</v>
      </c>
      <c r="F723" s="0" t="n">
        <f aca="false">MC_Shocks!C710</f>
        <v>-1.18081281530885</v>
      </c>
      <c r="G723" s="0" t="n">
        <f aca="false">$B$3*D723</f>
        <v>0.000330938799206134</v>
      </c>
      <c r="H723" s="0" t="n">
        <f aca="false">$B$4*D723+$C$4*E723</f>
        <v>0.00708631288668931</v>
      </c>
      <c r="I723" s="0" t="n">
        <f aca="false">$B$5*D723+$C$5*E723+$D$5*F723</f>
        <v>-0.00805810985263714</v>
      </c>
      <c r="J723" s="0" t="n">
        <f aca="false">SUMPRODUCT(G723:I723,Inputs!$B$4:$D$4)*Inputs!$B$2</f>
        <v>-159.163570101895</v>
      </c>
    </row>
    <row r="724" customFormat="false" ht="15" hidden="false" customHeight="false" outlineLevel="0" collapsed="false">
      <c r="D724" s="0" t="n">
        <f aca="false">MC_Shocks!A711</f>
        <v>1.11432169466887</v>
      </c>
      <c r="E724" s="0" t="n">
        <f aca="false">MC_Shocks!B711</f>
        <v>0.715381315441244</v>
      </c>
      <c r="F724" s="0" t="n">
        <f aca="false">MC_Shocks!C711</f>
        <v>0.718185725707935</v>
      </c>
      <c r="G724" s="0" t="n">
        <f aca="false">$B$3*D724</f>
        <v>0.0164147619971428</v>
      </c>
      <c r="H724" s="0" t="n">
        <f aca="false">$B$4*D724+$C$4*E724</f>
        <v>0.0206536206287444</v>
      </c>
      <c r="I724" s="0" t="n">
        <f aca="false">$B$5*D724+$C$5*E724+$D$5*F724</f>
        <v>0.0207778488714029</v>
      </c>
      <c r="J724" s="0" t="n">
        <f aca="false">SUMPRODUCT(G724:I724,Inputs!$B$4:$D$4)*Inputs!$B$2</f>
        <v>18995.3456489013</v>
      </c>
    </row>
    <row r="725" customFormat="false" ht="15" hidden="false" customHeight="false" outlineLevel="0" collapsed="false">
      <c r="D725" s="0" t="n">
        <f aca="false">MC_Shocks!A712</f>
        <v>0.438475738809727</v>
      </c>
      <c r="E725" s="0" t="n">
        <f aca="false">MC_Shocks!B712</f>
        <v>0.0196166576939899</v>
      </c>
      <c r="F725" s="0" t="n">
        <f aca="false">MC_Shocks!C712</f>
        <v>0.67286123596682</v>
      </c>
      <c r="G725" s="0" t="n">
        <f aca="false">$B$3*D725</f>
        <v>0.00645906377710952</v>
      </c>
      <c r="H725" s="0" t="n">
        <f aca="false">$B$4*D725+$C$4*E725</f>
        <v>0.00484801124597921</v>
      </c>
      <c r="I725" s="0" t="n">
        <f aca="false">$B$5*D725+$C$5*E725+$D$5*F725</f>
        <v>0.0106143979860293</v>
      </c>
      <c r="J725" s="0" t="n">
        <f aca="false">SUMPRODUCT(G725:I725,Inputs!$B$4:$D$4)*Inputs!$B$2</f>
        <v>7222.34828044637</v>
      </c>
    </row>
    <row r="726" customFormat="false" ht="15" hidden="false" customHeight="false" outlineLevel="0" collapsed="false">
      <c r="D726" s="0" t="n">
        <f aca="false">MC_Shocks!A713</f>
        <v>0.591814133741378</v>
      </c>
      <c r="E726" s="0" t="n">
        <f aca="false">MC_Shocks!B713</f>
        <v>-0.354040710941024</v>
      </c>
      <c r="F726" s="0" t="n">
        <f aca="false">MC_Shocks!C713</f>
        <v>-0.573601772896901</v>
      </c>
      <c r="G726" s="0" t="n">
        <f aca="false">$B$3*D726</f>
        <v>0.00871784889263657</v>
      </c>
      <c r="H726" s="0" t="n">
        <f aca="false">$B$4*D726+$C$4*E726</f>
        <v>0.00177892223037924</v>
      </c>
      <c r="I726" s="0" t="n">
        <f aca="false">$B$5*D726+$C$5*E726+$D$5*F726</f>
        <v>-7.86523493204877E-005</v>
      </c>
      <c r="J726" s="0" t="n">
        <f aca="false">SUMPRODUCT(G726:I726,Inputs!$B$4:$D$4)*Inputs!$B$2</f>
        <v>3997.22052137225</v>
      </c>
    </row>
    <row r="727" customFormat="false" ht="15" hidden="false" customHeight="false" outlineLevel="0" collapsed="false">
      <c r="D727" s="0" t="n">
        <f aca="false">MC_Shocks!A714</f>
        <v>0.101856295261987</v>
      </c>
      <c r="E727" s="0" t="n">
        <f aca="false">MC_Shocks!B714</f>
        <v>1.54902015149519</v>
      </c>
      <c r="F727" s="0" t="n">
        <f aca="false">MC_Shocks!C714</f>
        <v>-1.2391070756539</v>
      </c>
      <c r="G727" s="0" t="n">
        <f aca="false">$B$3*D727</f>
        <v>0.00150041666839578</v>
      </c>
      <c r="H727" s="0" t="n">
        <f aca="false">$B$4*D727+$C$4*E727</f>
        <v>0.0204644698050125</v>
      </c>
      <c r="I727" s="0" t="n">
        <f aca="false">$B$5*D727+$C$5*E727+$D$5*F727</f>
        <v>-0.00397711289575172</v>
      </c>
      <c r="J727" s="0" t="n">
        <f aca="false">SUMPRODUCT(G727:I727,Inputs!$B$4:$D$4)*Inputs!$B$2</f>
        <v>5546.37374013654</v>
      </c>
    </row>
    <row r="728" customFormat="false" ht="15" hidden="false" customHeight="false" outlineLevel="0" collapsed="false">
      <c r="D728" s="0" t="n">
        <f aca="false">MC_Shocks!A715</f>
        <v>-1.46752526575244</v>
      </c>
      <c r="E728" s="0" t="n">
        <f aca="false">MC_Shocks!B715</f>
        <v>0.164760841236517</v>
      </c>
      <c r="F728" s="0" t="n">
        <f aca="false">MC_Shocks!C715</f>
        <v>0.0508877018560181</v>
      </c>
      <c r="G728" s="0" t="n">
        <f aca="false">$B$3*D728</f>
        <v>-0.0216177052617451</v>
      </c>
      <c r="H728" s="0" t="n">
        <f aca="false">$B$4*D728+$C$4*E728</f>
        <v>-0.0133406653442703</v>
      </c>
      <c r="I728" s="0" t="n">
        <f aca="false">$B$5*D728+$C$5*E728+$D$5*F728</f>
        <v>-0.0144889233752213</v>
      </c>
      <c r="J728" s="0" t="n">
        <f aca="false">SUMPRODUCT(G728:I728,Inputs!$B$4:$D$4)*Inputs!$B$2</f>
        <v>-16995.9587205455</v>
      </c>
    </row>
    <row r="729" customFormat="false" ht="15" hidden="false" customHeight="false" outlineLevel="0" collapsed="false">
      <c r="D729" s="0" t="n">
        <f aca="false">MC_Shocks!A716</f>
        <v>0.173341664370408</v>
      </c>
      <c r="E729" s="0" t="n">
        <f aca="false">MC_Shocks!B716</f>
        <v>0.2439531979085</v>
      </c>
      <c r="F729" s="0" t="n">
        <f aca="false">MC_Shocks!C716</f>
        <v>-0.223202254634805</v>
      </c>
      <c r="G729" s="0" t="n">
        <f aca="false">$B$3*D729</f>
        <v>0.0025534476968739</v>
      </c>
      <c r="H729" s="0" t="n">
        <f aca="false">$B$4*D729+$C$4*E729</f>
        <v>0.00487400199929186</v>
      </c>
      <c r="I729" s="0" t="n">
        <f aca="false">$B$5*D729+$C$5*E729+$D$5*F729</f>
        <v>0.000794787224204759</v>
      </c>
      <c r="J729" s="0" t="n">
        <f aca="false">SUMPRODUCT(G729:I729,Inputs!$B$4:$D$4)*Inputs!$B$2</f>
        <v>2722.01584579854</v>
      </c>
    </row>
    <row r="730" customFormat="false" ht="15" hidden="false" customHeight="false" outlineLevel="0" collapsed="false">
      <c r="D730" s="0" t="n">
        <f aca="false">MC_Shocks!A717</f>
        <v>1.48986343860208</v>
      </c>
      <c r="E730" s="0" t="n">
        <f aca="false">MC_Shocks!B717</f>
        <v>-1.60090397847652</v>
      </c>
      <c r="F730" s="0" t="n">
        <f aca="false">MC_Shocks!C717</f>
        <v>-0.828497024780246</v>
      </c>
      <c r="G730" s="0" t="n">
        <f aca="false">$B$3*D730</f>
        <v>0.0219467626538179</v>
      </c>
      <c r="H730" s="0" t="n">
        <f aca="false">$B$4*D730+$C$4*E730</f>
        <v>-0.00440687895447782</v>
      </c>
      <c r="I730" s="0" t="n">
        <f aca="false">$B$5*D730+$C$5*E730+$D$5*F730</f>
        <v>0.00253777250545578</v>
      </c>
      <c r="J730" s="0" t="n">
        <f aca="false">SUMPRODUCT(G730:I730,Inputs!$B$4:$D$4)*Inputs!$B$2</f>
        <v>8217.97312682055</v>
      </c>
    </row>
    <row r="731" customFormat="false" ht="15" hidden="false" customHeight="false" outlineLevel="0" collapsed="false">
      <c r="D731" s="0" t="n">
        <f aca="false">MC_Shocks!A718</f>
        <v>-0.103254760149047</v>
      </c>
      <c r="E731" s="0" t="n">
        <f aca="false">MC_Shocks!B718</f>
        <v>-1.64318881115417</v>
      </c>
      <c r="F731" s="0" t="n">
        <f aca="false">MC_Shocks!C718</f>
        <v>-0.175854404432071</v>
      </c>
      <c r="G731" s="0" t="n">
        <f aca="false">$B$3*D731</f>
        <v>-0.00152101706448632</v>
      </c>
      <c r="H731" s="0" t="n">
        <f aca="false">$B$4*D731+$C$4*E731</f>
        <v>-0.0216582386248057</v>
      </c>
      <c r="I731" s="0" t="n">
        <f aca="false">$B$5*D731+$C$5*E731+$D$5*F731</f>
        <v>-0.00878558206531261</v>
      </c>
      <c r="J731" s="0" t="n">
        <f aca="false">SUMPRODUCT(G731:I731,Inputs!$B$4:$D$4)*Inputs!$B$2</f>
        <v>-9741.55303283001</v>
      </c>
    </row>
    <row r="732" customFormat="false" ht="15" hidden="false" customHeight="false" outlineLevel="0" collapsed="false">
      <c r="D732" s="0" t="n">
        <f aca="false">MC_Shocks!A719</f>
        <v>1.66147016572802</v>
      </c>
      <c r="E732" s="0" t="n">
        <f aca="false">MC_Shocks!B719</f>
        <v>0.0208864882959618</v>
      </c>
      <c r="F732" s="0" t="n">
        <f aca="false">MC_Shocks!C719</f>
        <v>0.230700905718684</v>
      </c>
      <c r="G732" s="0" t="n">
        <f aca="false">$B$3*D732</f>
        <v>0.0244746534741774</v>
      </c>
      <c r="H732" s="0" t="n">
        <f aca="false">$B$4*D732+$C$4*E732</f>
        <v>0.0177008754759773</v>
      </c>
      <c r="I732" s="0" t="n">
        <f aca="false">$B$5*D732+$C$5*E732+$D$5*F732</f>
        <v>0.019705871809332</v>
      </c>
      <c r="J732" s="0" t="n">
        <f aca="false">SUMPRODUCT(G732:I732,Inputs!$B$4:$D$4)*Inputs!$B$2</f>
        <v>21011.8855752638</v>
      </c>
    </row>
    <row r="733" customFormat="false" ht="15" hidden="false" customHeight="false" outlineLevel="0" collapsed="false">
      <c r="D733" s="0" t="n">
        <f aca="false">MC_Shocks!A720</f>
        <v>-1.26016476517258</v>
      </c>
      <c r="E733" s="0" t="n">
        <f aca="false">MC_Shocks!B720</f>
        <v>-0.616361408039478</v>
      </c>
      <c r="F733" s="0" t="n">
        <f aca="false">MC_Shocks!C720</f>
        <v>-0.375196380323937</v>
      </c>
      <c r="G733" s="0" t="n">
        <f aca="false">$B$3*D733</f>
        <v>-0.0185631355796586</v>
      </c>
      <c r="H733" s="0" t="n">
        <f aca="false">$B$4*D733+$C$4*E733</f>
        <v>-0.0209446062493414</v>
      </c>
      <c r="I733" s="0" t="n">
        <f aca="false">$B$5*D733+$C$5*E733+$D$5*F733</f>
        <v>-0.018948037181152</v>
      </c>
      <c r="J733" s="0" t="n">
        <f aca="false">SUMPRODUCT(G733:I733,Inputs!$B$4:$D$4)*Inputs!$B$2</f>
        <v>-19393.0472610115</v>
      </c>
    </row>
    <row r="734" customFormat="false" ht="15" hidden="false" customHeight="false" outlineLevel="0" collapsed="false">
      <c r="D734" s="0" t="n">
        <f aca="false">MC_Shocks!A721</f>
        <v>-0.317715096756234</v>
      </c>
      <c r="E734" s="0" t="n">
        <f aca="false">MC_Shocks!B721</f>
        <v>1.28164379500377</v>
      </c>
      <c r="F734" s="0" t="n">
        <f aca="false">MC_Shocks!C721</f>
        <v>0.557691060725125</v>
      </c>
      <c r="G734" s="0" t="n">
        <f aca="false">$B$3*D734</f>
        <v>-0.00468017245029273</v>
      </c>
      <c r="H734" s="0" t="n">
        <f aca="false">$B$4*D734+$C$4*E734</f>
        <v>0.0127126745763345</v>
      </c>
      <c r="I734" s="0" t="n">
        <f aca="false">$B$5*D734+$C$5*E734+$D$5*F734</f>
        <v>0.00631616192967294</v>
      </c>
      <c r="J734" s="0" t="n">
        <f aca="false">SUMPRODUCT(G734:I734,Inputs!$B$4:$D$4)*Inputs!$B$2</f>
        <v>3836.58197168514</v>
      </c>
    </row>
    <row r="735" customFormat="false" ht="15" hidden="false" customHeight="false" outlineLevel="0" collapsed="false">
      <c r="D735" s="0" t="n">
        <f aca="false">MC_Shocks!A722</f>
        <v>-1.11145795693703</v>
      </c>
      <c r="E735" s="0" t="n">
        <f aca="false">MC_Shocks!B722</f>
        <v>0.246504778432005</v>
      </c>
      <c r="F735" s="0" t="n">
        <f aca="false">MC_Shocks!C722</f>
        <v>0.498221748496785</v>
      </c>
      <c r="G735" s="0" t="n">
        <f aca="false">$B$3*D735</f>
        <v>-0.0163725770755754</v>
      </c>
      <c r="H735" s="0" t="n">
        <f aca="false">$B$4*D735+$C$4*E735</f>
        <v>-0.0085797424674428</v>
      </c>
      <c r="I735" s="0" t="n">
        <f aca="false">$B$5*D735+$C$5*E735+$D$5*F735</f>
        <v>-0.00649092320381075</v>
      </c>
      <c r="J735" s="0" t="n">
        <f aca="false">SUMPRODUCT(G735:I735,Inputs!$B$4:$D$4)*Inputs!$B$2</f>
        <v>-11070.2305316062</v>
      </c>
    </row>
    <row r="736" customFormat="false" ht="15" hidden="false" customHeight="false" outlineLevel="0" collapsed="false">
      <c r="D736" s="0" t="n">
        <f aca="false">MC_Shocks!A723</f>
        <v>1.14014903852127</v>
      </c>
      <c r="E736" s="0" t="n">
        <f aca="false">MC_Shocks!B723</f>
        <v>1.58054068656837</v>
      </c>
      <c r="F736" s="0" t="n">
        <f aca="false">MC_Shocks!C723</f>
        <v>-1.01509419182787</v>
      </c>
      <c r="G736" s="0" t="n">
        <f aca="false">$B$3*D736</f>
        <v>0.0167952173938057</v>
      </c>
      <c r="H736" s="0" t="n">
        <f aca="false">$B$4*D736+$C$4*E736</f>
        <v>0.0317574129128079</v>
      </c>
      <c r="I736" s="0" t="n">
        <f aca="false">$B$5*D736+$C$5*E736+$D$5*F736</f>
        <v>0.00910612842412443</v>
      </c>
      <c r="J736" s="0" t="n">
        <f aca="false">SUMPRODUCT(G736:I736,Inputs!$B$4:$D$4)*Inputs!$B$2</f>
        <v>18977.149358602</v>
      </c>
    </row>
    <row r="737" customFormat="false" ht="15" hidden="false" customHeight="false" outlineLevel="0" collapsed="false">
      <c r="D737" s="0" t="n">
        <f aca="false">MC_Shocks!A724</f>
        <v>-0.810857511210338</v>
      </c>
      <c r="E737" s="0" t="n">
        <f aca="false">MC_Shocks!B724</f>
        <v>-1.25757785891462</v>
      </c>
      <c r="F737" s="0" t="n">
        <f aca="false">MC_Shocks!C724</f>
        <v>-0.234019859106981</v>
      </c>
      <c r="G737" s="0" t="n">
        <f aca="false">$B$3*D737</f>
        <v>-0.0119445157747453</v>
      </c>
      <c r="H737" s="0" t="n">
        <f aca="false">$B$4*D737+$C$4*E737</f>
        <v>-0.0242572250616211</v>
      </c>
      <c r="I737" s="0" t="n">
        <f aca="false">$B$5*D737+$C$5*E737+$D$5*F737</f>
        <v>-0.015350195404649</v>
      </c>
      <c r="J737" s="0" t="n">
        <f aca="false">SUMPRODUCT(G737:I737,Inputs!$B$4:$D$4)*Inputs!$B$2</f>
        <v>-16660.0324497791</v>
      </c>
    </row>
    <row r="738" customFormat="false" ht="15" hidden="false" customHeight="false" outlineLevel="0" collapsed="false">
      <c r="D738" s="0" t="n">
        <f aca="false">MC_Shocks!A725</f>
        <v>0.466358374446335</v>
      </c>
      <c r="E738" s="0" t="n">
        <f aca="false">MC_Shocks!B725</f>
        <v>0.987334516589102</v>
      </c>
      <c r="F738" s="0" t="n">
        <f aca="false">MC_Shocks!C725</f>
        <v>-0.0759510236425228</v>
      </c>
      <c r="G738" s="0" t="n">
        <f aca="false">$B$3*D738</f>
        <v>0.00686979510363544</v>
      </c>
      <c r="H738" s="0" t="n">
        <f aca="false">$B$4*D738+$C$4*E738</f>
        <v>0.0172575160460827</v>
      </c>
      <c r="I738" s="0" t="n">
        <f aca="false">$B$5*D738+$C$5*E738+$D$5*F738</f>
        <v>0.00797251603539305</v>
      </c>
      <c r="J738" s="0" t="n">
        <f aca="false">SUMPRODUCT(G738:I738,Inputs!$B$4:$D$4)*Inputs!$B$2</f>
        <v>10316.9276658969</v>
      </c>
    </row>
    <row r="739" customFormat="false" ht="15" hidden="false" customHeight="false" outlineLevel="0" collapsed="false">
      <c r="D739" s="0" t="n">
        <f aca="false">MC_Shocks!A726</f>
        <v>-0.319847523254844</v>
      </c>
      <c r="E739" s="0" t="n">
        <f aca="false">MC_Shocks!B726</f>
        <v>0.15175799224874</v>
      </c>
      <c r="F739" s="0" t="n">
        <f aca="false">MC_Shocks!C726</f>
        <v>-0.835142901630023</v>
      </c>
      <c r="G739" s="0" t="n">
        <f aca="false">$B$3*D739</f>
        <v>-0.00471158463011346</v>
      </c>
      <c r="H739" s="0" t="n">
        <f aca="false">$B$4*D739+$C$4*E739</f>
        <v>-0.00145705946687789</v>
      </c>
      <c r="I739" s="0" t="n">
        <f aca="false">$B$5*D739+$C$5*E739+$D$5*F739</f>
        <v>-0.0101374138452348</v>
      </c>
      <c r="J739" s="0" t="n">
        <f aca="false">SUMPRODUCT(G739:I739,Inputs!$B$4:$D$4)*Inputs!$B$2</f>
        <v>-5362.97584567918</v>
      </c>
    </row>
    <row r="740" customFormat="false" ht="15" hidden="false" customHeight="false" outlineLevel="0" collapsed="false">
      <c r="D740" s="0" t="n">
        <f aca="false">MC_Shocks!A727</f>
        <v>2.08953872169477</v>
      </c>
      <c r="E740" s="0" t="n">
        <f aca="false">MC_Shocks!B727</f>
        <v>-1.60766102711806</v>
      </c>
      <c r="F740" s="0" t="n">
        <f aca="false">MC_Shocks!C727</f>
        <v>0.184740578895725</v>
      </c>
      <c r="G740" s="0" t="n">
        <f aca="false">$B$3*D740</f>
        <v>0.0307804119443496</v>
      </c>
      <c r="H740" s="0" t="n">
        <f aca="false">$B$4*D740+$C$4*E740</f>
        <v>0.00180291105098869</v>
      </c>
      <c r="I740" s="0" t="n">
        <f aca="false">$B$5*D740+$C$5*E740+$D$5*F740</f>
        <v>0.0177434612994256</v>
      </c>
      <c r="J740" s="0" t="n">
        <f aca="false">SUMPRODUCT(G740:I740,Inputs!$B$4:$D$4)*Inputs!$B$2</f>
        <v>18176.0764828641</v>
      </c>
    </row>
    <row r="741" customFormat="false" ht="15" hidden="false" customHeight="false" outlineLevel="0" collapsed="false">
      <c r="D741" s="0" t="n">
        <f aca="false">MC_Shocks!A728</f>
        <v>2.02360621922964</v>
      </c>
      <c r="E741" s="0" t="n">
        <f aca="false">MC_Shocks!B728</f>
        <v>0.00679984455999777</v>
      </c>
      <c r="F741" s="0" t="n">
        <f aca="false">MC_Shocks!C728</f>
        <v>-0.190039035001495</v>
      </c>
      <c r="G741" s="0" t="n">
        <f aca="false">$B$3*D741</f>
        <v>0.0298091786451874</v>
      </c>
      <c r="H741" s="0" t="n">
        <f aca="false">$B$4*D741+$C$4*E741</f>
        <v>0.0213255989076602</v>
      </c>
      <c r="I741" s="0" t="n">
        <f aca="false">$B$5*D741+$C$5*E741+$D$5*F741</f>
        <v>0.0198049431602594</v>
      </c>
      <c r="J741" s="0" t="n">
        <f aca="false">SUMPRODUCT(G741:I741,Inputs!$B$4:$D$4)*Inputs!$B$2</f>
        <v>24262.8340784509</v>
      </c>
    </row>
    <row r="742" customFormat="false" ht="15" hidden="false" customHeight="false" outlineLevel="0" collapsed="false">
      <c r="D742" s="0" t="n">
        <f aca="false">MC_Shocks!A729</f>
        <v>-0.357445422810427</v>
      </c>
      <c r="E742" s="0" t="n">
        <f aca="false">MC_Shocks!B729</f>
        <v>-0.180391681762408</v>
      </c>
      <c r="F742" s="0" t="n">
        <f aca="false">MC_Shocks!C729</f>
        <v>1.37284847467653</v>
      </c>
      <c r="G742" s="0" t="n">
        <f aca="false">$B$3*D742</f>
        <v>-0.00526542879894729</v>
      </c>
      <c r="H742" s="0" t="n">
        <f aca="false">$B$4*D742+$C$4*E742</f>
        <v>-0.00601056091198623</v>
      </c>
      <c r="I742" s="0" t="n">
        <f aca="false">$B$5*D742+$C$5*E742+$D$5*F742</f>
        <v>0.0075633386999232</v>
      </c>
      <c r="J742" s="0" t="n">
        <f aca="false">SUMPRODUCT(G742:I742,Inputs!$B$4:$D$4)*Inputs!$B$2</f>
        <v>-1640.33818319782</v>
      </c>
    </row>
    <row r="743" customFormat="false" ht="15" hidden="false" customHeight="false" outlineLevel="0" collapsed="false">
      <c r="D743" s="0" t="n">
        <f aca="false">MC_Shocks!A730</f>
        <v>-2.21186191132951</v>
      </c>
      <c r="E743" s="0" t="n">
        <f aca="false">MC_Shocks!B730</f>
        <v>1.53343370129633</v>
      </c>
      <c r="F743" s="0" t="n">
        <f aca="false">MC_Shocks!C730</f>
        <v>-1.42395715245015</v>
      </c>
      <c r="G743" s="0" t="n">
        <f aca="false">$B$3*D743</f>
        <v>-0.0325823207236471</v>
      </c>
      <c r="H743" s="0" t="n">
        <f aca="false">$B$4*D743+$C$4*E743</f>
        <v>-0.00401626048175296</v>
      </c>
      <c r="I743" s="0" t="n">
        <f aca="false">$B$5*D743+$C$5*E743+$D$5*F743</f>
        <v>-0.0301733926829477</v>
      </c>
      <c r="J743" s="0" t="n">
        <f aca="false">SUMPRODUCT(G743:I743,Inputs!$B$4:$D$4)*Inputs!$B$2</f>
        <v>-23289.824238869</v>
      </c>
    </row>
    <row r="744" customFormat="false" ht="15" hidden="false" customHeight="false" outlineLevel="0" collapsed="false">
      <c r="D744" s="0" t="n">
        <f aca="false">MC_Shocks!A731</f>
        <v>-0.266652329234415</v>
      </c>
      <c r="E744" s="0" t="n">
        <f aca="false">MC_Shocks!B731</f>
        <v>-0.429244420298662</v>
      </c>
      <c r="F744" s="0" t="n">
        <f aca="false">MC_Shocks!C731</f>
        <v>0.58855326977072</v>
      </c>
      <c r="G744" s="0" t="n">
        <f aca="false">$B$3*D744</f>
        <v>-0.00392798106804098</v>
      </c>
      <c r="H744" s="0" t="n">
        <f aca="false">$B$4*D744+$C$4*E744</f>
        <v>-0.00817346220751705</v>
      </c>
      <c r="I744" s="0" t="n">
        <f aca="false">$B$5*D744+$C$5*E744+$D$5*F744</f>
        <v>0.000723359928140065</v>
      </c>
      <c r="J744" s="0" t="n">
        <f aca="false">SUMPRODUCT(G744:I744,Inputs!$B$4:$D$4)*Inputs!$B$2</f>
        <v>-3806.22311102949</v>
      </c>
    </row>
    <row r="745" customFormat="false" ht="15" hidden="false" customHeight="false" outlineLevel="0" collapsed="false">
      <c r="D745" s="0" t="n">
        <f aca="false">MC_Shocks!A732</f>
        <v>-1.59812435188375</v>
      </c>
      <c r="E745" s="0" t="n">
        <f aca="false">MC_Shocks!B732</f>
        <v>0.462172666081943</v>
      </c>
      <c r="F745" s="0" t="n">
        <f aca="false">MC_Shocks!C732</f>
        <v>2.02430962328685</v>
      </c>
      <c r="G745" s="0" t="n">
        <f aca="false">$B$3*D745</f>
        <v>-0.0235415239634233</v>
      </c>
      <c r="H745" s="0" t="n">
        <f aca="false">$B$4*D745+$C$4*E745</f>
        <v>-0.0109875707362821</v>
      </c>
      <c r="I745" s="0" t="n">
        <f aca="false">$B$5*D745+$C$5*E745+$D$5*F745</f>
        <v>0.00252801340374534</v>
      </c>
      <c r="J745" s="0" t="n">
        <f aca="false">SUMPRODUCT(G745:I745,Inputs!$B$4:$D$4)*Inputs!$B$2</f>
        <v>-11954.4767851304</v>
      </c>
    </row>
    <row r="746" customFormat="false" ht="15" hidden="false" customHeight="false" outlineLevel="0" collapsed="false">
      <c r="D746" s="0" t="n">
        <f aca="false">MC_Shocks!A733</f>
        <v>-1.36317400459281</v>
      </c>
      <c r="E746" s="0" t="n">
        <f aca="false">MC_Shocks!B733</f>
        <v>0.189706167610396</v>
      </c>
      <c r="F746" s="0" t="n">
        <f aca="false">MC_Shocks!C733</f>
        <v>-0.661982177796609</v>
      </c>
      <c r="G746" s="0" t="n">
        <f aca="false">$B$3*D746</f>
        <v>-0.0200805359467871</v>
      </c>
      <c r="H746" s="0" t="n">
        <f aca="false">$B$4*D746+$C$4*E746</f>
        <v>-0.0119330175247309</v>
      </c>
      <c r="I746" s="0" t="n">
        <f aca="false">$B$5*D746+$C$5*E746+$D$5*F746</f>
        <v>-0.019534629879098</v>
      </c>
      <c r="J746" s="0" t="n">
        <f aca="false">SUMPRODUCT(G746:I746,Inputs!$B$4:$D$4)*Inputs!$B$2</f>
        <v>-17472.5085998635</v>
      </c>
    </row>
    <row r="747" customFormat="false" ht="15" hidden="false" customHeight="false" outlineLevel="0" collapsed="false">
      <c r="D747" s="0" t="n">
        <f aca="false">MC_Shocks!A734</f>
        <v>0.425887206193036</v>
      </c>
      <c r="E747" s="0" t="n">
        <f aca="false">MC_Shocks!B734</f>
        <v>0.0191477774157521</v>
      </c>
      <c r="F747" s="0" t="n">
        <f aca="false">MC_Shocks!C734</f>
        <v>-0.64148690904431</v>
      </c>
      <c r="G747" s="0" t="n">
        <f aca="false">$B$3*D747</f>
        <v>0.00627362561523503</v>
      </c>
      <c r="H747" s="0" t="n">
        <f aca="false">$B$4*D747+$C$4*E747</f>
        <v>0.00471000686350918</v>
      </c>
      <c r="I747" s="0" t="n">
        <f aca="false">$B$5*D747+$C$5*E747+$D$5*F747</f>
        <v>-0.00103474207051806</v>
      </c>
      <c r="J747" s="0" t="n">
        <f aca="false">SUMPRODUCT(G747:I747,Inputs!$B$4:$D$4)*Inputs!$B$2</f>
        <v>3612.02968399135</v>
      </c>
    </row>
    <row r="748" customFormat="false" ht="15" hidden="false" customHeight="false" outlineLevel="0" collapsed="false">
      <c r="D748" s="0" t="n">
        <f aca="false">MC_Shocks!A735</f>
        <v>0.487872284871074</v>
      </c>
      <c r="E748" s="0" t="n">
        <f aca="false">MC_Shocks!B735</f>
        <v>1.80434810978674</v>
      </c>
      <c r="F748" s="0" t="n">
        <f aca="false">MC_Shocks!C735</f>
        <v>-0.190903791727299</v>
      </c>
      <c r="G748" s="0" t="n">
        <f aca="false">$B$3*D748</f>
        <v>0.00718671051588978</v>
      </c>
      <c r="H748" s="0" t="n">
        <f aca="false">$B$4*D748+$C$4*E748</f>
        <v>0.0277131976001679</v>
      </c>
      <c r="I748" s="0" t="n">
        <f aca="false">$B$5*D748+$C$5*E748+$D$5*F748</f>
        <v>0.0102517718652756</v>
      </c>
      <c r="J748" s="0" t="n">
        <f aca="false">SUMPRODUCT(G748:I748,Inputs!$B$4:$D$4)*Inputs!$B$2</f>
        <v>14264.175045989</v>
      </c>
    </row>
    <row r="749" customFormat="false" ht="15" hidden="false" customHeight="false" outlineLevel="0" collapsed="false">
      <c r="D749" s="0" t="n">
        <f aca="false">MC_Shocks!A736</f>
        <v>0.719757942148182</v>
      </c>
      <c r="E749" s="0" t="n">
        <f aca="false">MC_Shocks!B736</f>
        <v>-1.29327295787116</v>
      </c>
      <c r="F749" s="0" t="n">
        <f aca="false">MC_Shocks!C736</f>
        <v>-0.956436376818009</v>
      </c>
      <c r="G749" s="0" t="n">
        <f aca="false">$B$3*D749</f>
        <v>0.0106025534389568</v>
      </c>
      <c r="H749" s="0" t="n">
        <f aca="false">$B$4*D749+$C$4*E749</f>
        <v>-0.00863830568209974</v>
      </c>
      <c r="I749" s="0" t="n">
        <f aca="false">$B$5*D749+$C$5*E749+$D$5*F749</f>
        <v>-0.00559231917369734</v>
      </c>
      <c r="J749" s="0" t="n">
        <f aca="false">SUMPRODUCT(G749:I749,Inputs!$B$4:$D$4)*Inputs!$B$2</f>
        <v>-28.1660811563948</v>
      </c>
    </row>
    <row r="750" customFormat="false" ht="15" hidden="false" customHeight="false" outlineLevel="0" collapsed="false">
      <c r="D750" s="0" t="n">
        <f aca="false">MC_Shocks!A737</f>
        <v>0.472406277880377</v>
      </c>
      <c r="E750" s="0" t="n">
        <f aca="false">MC_Shocks!B737</f>
        <v>1.48411602853597</v>
      </c>
      <c r="F750" s="0" t="n">
        <f aca="false">MC_Shocks!C737</f>
        <v>0.35561334878566</v>
      </c>
      <c r="G750" s="0" t="n">
        <f aca="false">$B$3*D750</f>
        <v>0.00695888508180464</v>
      </c>
      <c r="H750" s="0" t="n">
        <f aca="false">$B$4*D750+$C$4*E750</f>
        <v>0.0235412207309589</v>
      </c>
      <c r="I750" s="0" t="n">
        <f aca="false">$B$5*D750+$C$5*E750+$D$5*F750</f>
        <v>0.0136767822311747</v>
      </c>
      <c r="J750" s="0" t="n">
        <f aca="false">SUMPRODUCT(G750:I750,Inputs!$B$4:$D$4)*Inputs!$B$2</f>
        <v>13948.9549213619</v>
      </c>
    </row>
    <row r="751" customFormat="false" ht="15" hidden="false" customHeight="false" outlineLevel="0" collapsed="false">
      <c r="D751" s="0" t="n">
        <f aca="false">MC_Shocks!A738</f>
        <v>-0.313058030523154</v>
      </c>
      <c r="E751" s="0" t="n">
        <f aca="false">MC_Shocks!B738</f>
        <v>-0.000708594576645917</v>
      </c>
      <c r="F751" s="0" t="n">
        <f aca="false">MC_Shocks!C738</f>
        <v>-1.25040773396972</v>
      </c>
      <c r="G751" s="0" t="n">
        <f aca="false">$B$3*D751</f>
        <v>-0.00461157050689823</v>
      </c>
      <c r="H751" s="0" t="n">
        <f aca="false">$B$4*D751+$C$4*E751</f>
        <v>-0.00329483569384828</v>
      </c>
      <c r="I751" s="0" t="n">
        <f aca="false">$B$5*D751+$C$5*E751+$D$5*F751</f>
        <v>-0.0142739980105817</v>
      </c>
      <c r="J751" s="0" t="n">
        <f aca="false">SUMPRODUCT(G751:I751,Inputs!$B$4:$D$4)*Inputs!$B$2</f>
        <v>-7115.27831408827</v>
      </c>
    </row>
    <row r="752" customFormat="false" ht="15" hidden="false" customHeight="false" outlineLevel="0" collapsed="false">
      <c r="D752" s="0" t="n">
        <f aca="false">MC_Shocks!A739</f>
        <v>0.604515326355367</v>
      </c>
      <c r="E752" s="0" t="n">
        <f aca="false">MC_Shocks!B739</f>
        <v>0.882333062323409</v>
      </c>
      <c r="F752" s="0" t="n">
        <f aca="false">MC_Shocks!C739</f>
        <v>-0.45209033283308</v>
      </c>
      <c r="G752" s="0" t="n">
        <f aca="false">$B$3*D752</f>
        <v>0.00890494661749998</v>
      </c>
      <c r="H752" s="0" t="n">
        <f aca="false">$B$4*D752+$C$4*E752</f>
        <v>0.0173929303375103</v>
      </c>
      <c r="I752" s="0" t="n">
        <f aca="false">$B$5*D752+$C$5*E752+$D$5*F752</f>
        <v>0.00574846259593924</v>
      </c>
      <c r="J752" s="0" t="n">
        <f aca="false">SUMPRODUCT(G752:I752,Inputs!$B$4:$D$4)*Inputs!$B$2</f>
        <v>10504.3965270349</v>
      </c>
    </row>
    <row r="753" customFormat="false" ht="15" hidden="false" customHeight="false" outlineLevel="0" collapsed="false">
      <c r="D753" s="0" t="n">
        <f aca="false">MC_Shocks!A740</f>
        <v>-0.470042147759502</v>
      </c>
      <c r="E753" s="0" t="n">
        <f aca="false">MC_Shocks!B740</f>
        <v>0.265878229652049</v>
      </c>
      <c r="F753" s="0" t="n">
        <f aca="false">MC_Shocks!C740</f>
        <v>-0.436719736040596</v>
      </c>
      <c r="G753" s="0" t="n">
        <f aca="false">$B$3*D753</f>
        <v>-0.0069240597405678</v>
      </c>
      <c r="H753" s="0" t="n">
        <f aca="false">$B$4*D753+$C$4*E753</f>
        <v>-0.0016046485586354</v>
      </c>
      <c r="I753" s="0" t="n">
        <f aca="false">$B$5*D753+$C$5*E753+$D$5*F753</f>
        <v>-0.00781157891095869</v>
      </c>
      <c r="J753" s="0" t="n">
        <f aca="false">SUMPRODUCT(G753:I753,Inputs!$B$4:$D$4)*Inputs!$B$2</f>
        <v>-5594.49213710535</v>
      </c>
    </row>
    <row r="754" customFormat="false" ht="15" hidden="false" customHeight="false" outlineLevel="0" collapsed="false">
      <c r="D754" s="0" t="n">
        <f aca="false">MC_Shocks!A741</f>
        <v>-0.0661326146258225</v>
      </c>
      <c r="E754" s="0" t="n">
        <f aca="false">MC_Shocks!B741</f>
        <v>2.09972178916652</v>
      </c>
      <c r="F754" s="0" t="n">
        <f aca="false">MC_Shocks!C741</f>
        <v>-0.247025700745997</v>
      </c>
      <c r="G754" s="0" t="n">
        <f aca="false">$B$3*D754</f>
        <v>-0.000974181095571522</v>
      </c>
      <c r="H754" s="0" t="n">
        <f aca="false">$B$4*D754+$C$4*E754</f>
        <v>0.0255965613635001</v>
      </c>
      <c r="I754" s="0" t="n">
        <f aca="false">$B$5*D754+$C$5*E754+$D$5*F754</f>
        <v>0.00499496551493377</v>
      </c>
      <c r="J754" s="0" t="n">
        <f aca="false">SUMPRODUCT(G754:I754,Inputs!$B$4:$D$4)*Inputs!$B$2</f>
        <v>8787.78562530155</v>
      </c>
    </row>
    <row r="755" customFormat="false" ht="15" hidden="false" customHeight="false" outlineLevel="0" collapsed="false">
      <c r="D755" s="0" t="n">
        <f aca="false">MC_Shocks!A742</f>
        <v>-0.358340152021222</v>
      </c>
      <c r="E755" s="0" t="n">
        <f aca="false">MC_Shocks!B742</f>
        <v>-0.647541805635159</v>
      </c>
      <c r="F755" s="0" t="n">
        <f aca="false">MC_Shocks!C742</f>
        <v>0.744191971499937</v>
      </c>
      <c r="G755" s="0" t="n">
        <f aca="false">$B$3*D755</f>
        <v>-0.00527860880532906</v>
      </c>
      <c r="H755" s="0" t="n">
        <f aca="false">$B$4*D755+$C$4*E755</f>
        <v>-0.0118691601773749</v>
      </c>
      <c r="I755" s="0" t="n">
        <f aca="false">$B$5*D755+$C$5*E755+$D$5*F755</f>
        <v>0.000298027481150241</v>
      </c>
      <c r="J755" s="0" t="n">
        <f aca="false">SUMPRODUCT(G755:I755,Inputs!$B$4:$D$4)*Inputs!$B$2</f>
        <v>-5582.78333099902</v>
      </c>
    </row>
    <row r="756" customFormat="false" ht="15" hidden="false" customHeight="false" outlineLevel="0" collapsed="false">
      <c r="D756" s="0" t="n">
        <f aca="false">MC_Shocks!A743</f>
        <v>-0.181224173218103</v>
      </c>
      <c r="E756" s="0" t="n">
        <f aca="false">MC_Shocks!B743</f>
        <v>-0.649373038321426</v>
      </c>
      <c r="F756" s="0" t="n">
        <f aca="false">MC_Shocks!C743</f>
        <v>1.32130403227301</v>
      </c>
      <c r="G756" s="0" t="n">
        <f aca="false">$B$3*D756</f>
        <v>-0.00266956273555106</v>
      </c>
      <c r="H756" s="0" t="n">
        <f aca="false">$B$4*D756+$C$4*E756</f>
        <v>-0.010033019693242</v>
      </c>
      <c r="I756" s="0" t="n">
        <f aca="false">$B$5*D756+$C$5*E756+$D$5*F756</f>
        <v>0.0072237118004729</v>
      </c>
      <c r="J756" s="0" t="n">
        <f aca="false">SUMPRODUCT(G756:I756,Inputs!$B$4:$D$4)*Inputs!$B$2</f>
        <v>-1910.61746205115</v>
      </c>
    </row>
    <row r="757" customFormat="false" ht="15" hidden="false" customHeight="false" outlineLevel="0" collapsed="false">
      <c r="D757" s="0" t="n">
        <f aca="false">MC_Shocks!A744</f>
        <v>1.41960300451364</v>
      </c>
      <c r="E757" s="0" t="n">
        <f aca="false">MC_Shocks!B744</f>
        <v>-0.600423565738705</v>
      </c>
      <c r="F757" s="0" t="n">
        <f aca="false">MC_Shocks!C744</f>
        <v>-1.86653995136062</v>
      </c>
      <c r="G757" s="0" t="n">
        <f aca="false">$B$3*D757</f>
        <v>0.0209117758013718</v>
      </c>
      <c r="H757" s="0" t="n">
        <f aca="false">$B$4*D757+$C$4*E757</f>
        <v>0.0073827042955684</v>
      </c>
      <c r="I757" s="0" t="n">
        <f aca="false">$B$5*D757+$C$5*E757+$D$5*F757</f>
        <v>-0.00355522428192408</v>
      </c>
      <c r="J757" s="0" t="n">
        <f aca="false">SUMPRODUCT(G757:I757,Inputs!$B$4:$D$4)*Inputs!$B$2</f>
        <v>9512.95432464201</v>
      </c>
    </row>
    <row r="758" customFormat="false" ht="15" hidden="false" customHeight="false" outlineLevel="0" collapsed="false">
      <c r="D758" s="0" t="n">
        <f aca="false">MC_Shocks!A745</f>
        <v>1.00751368983692</v>
      </c>
      <c r="E758" s="0" t="n">
        <f aca="false">MC_Shocks!B745</f>
        <v>-0.684629825760004</v>
      </c>
      <c r="F758" s="0" t="n">
        <f aca="false">MC_Shocks!C745</f>
        <v>0.790625599162769</v>
      </c>
      <c r="G758" s="0" t="n">
        <f aca="false">$B$3*D758</f>
        <v>0.01484140307656</v>
      </c>
      <c r="H758" s="0" t="n">
        <f aca="false">$B$4*D758+$C$4*E758</f>
        <v>0.00200292457402904</v>
      </c>
      <c r="I758" s="0" t="n">
        <f aca="false">$B$5*D758+$C$5*E758+$D$5*F758</f>
        <v>0.0150400002883358</v>
      </c>
      <c r="J758" s="0" t="n">
        <f aca="false">SUMPRODUCT(G758:I758,Inputs!$B$4:$D$4)*Inputs!$B$2</f>
        <v>11049.4386893335</v>
      </c>
    </row>
    <row r="759" customFormat="false" ht="15" hidden="false" customHeight="false" outlineLevel="0" collapsed="false">
      <c r="D759" s="0" t="n">
        <f aca="false">MC_Shocks!A746</f>
        <v>-1.97010381771184</v>
      </c>
      <c r="E759" s="0" t="n">
        <f aca="false">MC_Shocks!B746</f>
        <v>0.892597338299309</v>
      </c>
      <c r="F759" s="0" t="n">
        <f aca="false">MC_Shocks!C746</f>
        <v>-1.21117192928078</v>
      </c>
      <c r="G759" s="0" t="n">
        <f aca="false">$B$3*D759</f>
        <v>-0.0290210496951796</v>
      </c>
      <c r="H759" s="0" t="n">
        <f aca="false">$B$4*D759+$C$4*E759</f>
        <v>-0.00950262663144254</v>
      </c>
      <c r="I759" s="0" t="n">
        <f aca="false">$B$5*D759+$C$5*E759+$D$5*F759</f>
        <v>-0.0281462305653156</v>
      </c>
      <c r="J759" s="0" t="n">
        <f aca="false">SUMPRODUCT(G759:I759,Inputs!$B$4:$D$4)*Inputs!$B$2</f>
        <v>-22903.0770370993</v>
      </c>
    </row>
    <row r="760" customFormat="false" ht="15" hidden="false" customHeight="false" outlineLevel="0" collapsed="false">
      <c r="D760" s="0" t="n">
        <f aca="false">MC_Shocks!A747</f>
        <v>0.730764119066525</v>
      </c>
      <c r="E760" s="0" t="n">
        <f aca="false">MC_Shocks!B747</f>
        <v>0.0142730678364341</v>
      </c>
      <c r="F760" s="0" t="n">
        <f aca="false">MC_Shocks!C747</f>
        <v>-0.953939419396645</v>
      </c>
      <c r="G760" s="0" t="n">
        <f aca="false">$B$3*D760</f>
        <v>0.0107646823605038</v>
      </c>
      <c r="H760" s="0" t="n">
        <f aca="false">$B$4*D760+$C$4*E760</f>
        <v>0.00784906196509511</v>
      </c>
      <c r="I760" s="0" t="n">
        <f aca="false">$B$5*D760+$C$5*E760+$D$5*F760</f>
        <v>-0.000559344563626733</v>
      </c>
      <c r="J760" s="0" t="n">
        <f aca="false">SUMPRODUCT(G760:I760,Inputs!$B$4:$D$4)*Inputs!$B$2</f>
        <v>6492.78816464203</v>
      </c>
    </row>
    <row r="761" customFormat="false" ht="15" hidden="false" customHeight="false" outlineLevel="0" collapsed="false">
      <c r="D761" s="0" t="n">
        <f aca="false">MC_Shocks!A748</f>
        <v>-0.407036312926781</v>
      </c>
      <c r="E761" s="0" t="n">
        <f aca="false">MC_Shocks!B748</f>
        <v>0.686318456956701</v>
      </c>
      <c r="F761" s="0" t="n">
        <f aca="false">MC_Shocks!C748</f>
        <v>0.105894453115234</v>
      </c>
      <c r="G761" s="0" t="n">
        <f aca="false">$B$3*D761</f>
        <v>-0.00599593836578139</v>
      </c>
      <c r="H761" s="0" t="n">
        <f aca="false">$B$4*D761+$C$4*E761</f>
        <v>0.00432103322062178</v>
      </c>
      <c r="I761" s="0" t="n">
        <f aca="false">$B$5*D761+$C$5*E761+$D$5*F761</f>
        <v>-0.000816669230322708</v>
      </c>
      <c r="J761" s="0" t="n">
        <f aca="false">SUMPRODUCT(G761:I761,Inputs!$B$4:$D$4)*Inputs!$B$2</f>
        <v>-1347.06614922283</v>
      </c>
    </row>
    <row r="762" customFormat="false" ht="15" hidden="false" customHeight="false" outlineLevel="0" collapsed="false">
      <c r="D762" s="0" t="n">
        <f aca="false">MC_Shocks!A749</f>
        <v>0.584412980472484</v>
      </c>
      <c r="E762" s="0" t="n">
        <f aca="false">MC_Shocks!B749</f>
        <v>1.97644058451549</v>
      </c>
      <c r="F762" s="0" t="n">
        <f aca="false">MC_Shocks!C749</f>
        <v>-1.56424161171105</v>
      </c>
      <c r="G762" s="0" t="n">
        <f aca="false">$B$3*D762</f>
        <v>0.00860882456869628</v>
      </c>
      <c r="H762" s="0" t="n">
        <f aca="false">$B$4*D762+$C$4*E762</f>
        <v>0.0308812991894109</v>
      </c>
      <c r="I762" s="0" t="n">
        <f aca="false">$B$5*D762+$C$5*E762+$D$5*F762</f>
        <v>-0.000111742323950951</v>
      </c>
      <c r="J762" s="0" t="n">
        <f aca="false">SUMPRODUCT(G762:I762,Inputs!$B$4:$D$4)*Inputs!$B$2</f>
        <v>12674.3968871165</v>
      </c>
    </row>
    <row r="763" customFormat="false" ht="15" hidden="false" customHeight="false" outlineLevel="0" collapsed="false">
      <c r="D763" s="0" t="n">
        <f aca="false">MC_Shocks!A750</f>
        <v>1.61721257496862</v>
      </c>
      <c r="E763" s="0" t="n">
        <f aca="false">MC_Shocks!B750</f>
        <v>0.104355937523213</v>
      </c>
      <c r="F763" s="0" t="n">
        <f aca="false">MC_Shocks!C750</f>
        <v>-0.898784048323128</v>
      </c>
      <c r="G763" s="0" t="n">
        <f aca="false">$B$3*D763</f>
        <v>0.0238227072522219</v>
      </c>
      <c r="H763" s="0" t="n">
        <f aca="false">$B$4*D763+$C$4*E763</f>
        <v>0.0182814575397925</v>
      </c>
      <c r="I763" s="0" t="n">
        <f aca="false">$B$5*D763+$C$5*E763+$D$5*F763</f>
        <v>0.0096547776420238</v>
      </c>
      <c r="J763" s="0" t="n">
        <f aca="false">SUMPRODUCT(G763:I763,Inputs!$B$4:$D$4)*Inputs!$B$2</f>
        <v>17909.9534554337</v>
      </c>
    </row>
    <row r="764" customFormat="false" ht="15" hidden="false" customHeight="false" outlineLevel="0" collapsed="false">
      <c r="D764" s="0" t="n">
        <f aca="false">MC_Shocks!A751</f>
        <v>-1.33031362573899</v>
      </c>
      <c r="E764" s="0" t="n">
        <f aca="false">MC_Shocks!B751</f>
        <v>-0.189120390777034</v>
      </c>
      <c r="F764" s="0" t="n">
        <f aca="false">MC_Shocks!C751</f>
        <v>0.921650111924459</v>
      </c>
      <c r="G764" s="0" t="n">
        <f aca="false">$B$3*D764</f>
        <v>-0.0195964788736797</v>
      </c>
      <c r="H764" s="0" t="n">
        <f aca="false">$B$4*D764+$C$4*E764</f>
        <v>-0.0163314083499787</v>
      </c>
      <c r="I764" s="0" t="n">
        <f aca="false">$B$5*D764+$C$5*E764+$D$5*F764</f>
        <v>-0.00673147505771165</v>
      </c>
      <c r="J764" s="0" t="n">
        <f aca="false">SUMPRODUCT(G764:I764,Inputs!$B$4:$D$4)*Inputs!$B$2</f>
        <v>-14757.456571779</v>
      </c>
    </row>
    <row r="765" customFormat="false" ht="15" hidden="false" customHeight="false" outlineLevel="0" collapsed="false">
      <c r="D765" s="0" t="n">
        <f aca="false">MC_Shocks!A752</f>
        <v>-0.127549120377534</v>
      </c>
      <c r="E765" s="0" t="n">
        <f aca="false">MC_Shocks!B752</f>
        <v>1.51115493024735</v>
      </c>
      <c r="F765" s="0" t="n">
        <f aca="false">MC_Shocks!C752</f>
        <v>-1.45117569005156</v>
      </c>
      <c r="G765" s="0" t="n">
        <f aca="false">$B$3*D765</f>
        <v>-0.00187889050707595</v>
      </c>
      <c r="H765" s="0" t="n">
        <f aca="false">$B$4*D765+$C$4*E765</f>
        <v>0.0175824405436058</v>
      </c>
      <c r="I765" s="0" t="n">
        <f aca="false">$B$5*D765+$C$5*E765+$D$5*F765</f>
        <v>-0.00840764290358336</v>
      </c>
      <c r="J765" s="0" t="n">
        <f aca="false">SUMPRODUCT(G765:I765,Inputs!$B$4:$D$4)*Inputs!$B$2</f>
        <v>2000.88308917635</v>
      </c>
    </row>
    <row r="766" customFormat="false" ht="15" hidden="false" customHeight="false" outlineLevel="0" collapsed="false">
      <c r="D766" s="0" t="n">
        <f aca="false">MC_Shocks!A753</f>
        <v>-0.0120889478460546</v>
      </c>
      <c r="E766" s="0" t="n">
        <f aca="false">MC_Shocks!B753</f>
        <v>-1.25239344441312</v>
      </c>
      <c r="F766" s="0" t="n">
        <f aca="false">MC_Shocks!C753</f>
        <v>0.363631882624968</v>
      </c>
      <c r="G766" s="0" t="n">
        <f aca="false">$B$3*D766</f>
        <v>-0.000178078917998473</v>
      </c>
      <c r="H766" s="0" t="n">
        <f aca="false">$B$4*D766+$C$4*E766</f>
        <v>-0.0158081648070973</v>
      </c>
      <c r="I766" s="0" t="n">
        <f aca="false">$B$5*D766+$C$5*E766+$D$5*F766</f>
        <v>-0.00163062860148545</v>
      </c>
      <c r="J766" s="0" t="n">
        <f aca="false">SUMPRODUCT(G766:I766,Inputs!$B$4:$D$4)*Inputs!$B$2</f>
        <v>-5302.8695897742</v>
      </c>
    </row>
    <row r="767" customFormat="false" ht="15" hidden="false" customHeight="false" outlineLevel="0" collapsed="false">
      <c r="D767" s="0" t="n">
        <f aca="false">MC_Shocks!A754</f>
        <v>0.8868873900973</v>
      </c>
      <c r="E767" s="0" t="n">
        <f aca="false">MC_Shocks!B754</f>
        <v>-0.420761793681053</v>
      </c>
      <c r="F767" s="0" t="n">
        <f aca="false">MC_Shocks!C754</f>
        <v>-2.60421385662713</v>
      </c>
      <c r="G767" s="0" t="n">
        <f aca="false">$B$3*D767</f>
        <v>0.0130644907088884</v>
      </c>
      <c r="H767" s="0" t="n">
        <f aca="false">$B$4*D767+$C$4*E767</f>
        <v>0.0040406935827574</v>
      </c>
      <c r="I767" s="0" t="n">
        <f aca="false">$B$5*D767+$C$5*E767+$D$5*F767</f>
        <v>-0.0149901128755483</v>
      </c>
      <c r="J767" s="0" t="n">
        <f aca="false">SUMPRODUCT(G767:I767,Inputs!$B$4:$D$4)*Inputs!$B$2</f>
        <v>1940.97049571811</v>
      </c>
    </row>
    <row r="768" customFormat="false" ht="15" hidden="false" customHeight="false" outlineLevel="0" collapsed="false">
      <c r="D768" s="0" t="n">
        <f aca="false">MC_Shocks!A755</f>
        <v>0.198948146796495</v>
      </c>
      <c r="E768" s="0" t="n">
        <f aca="false">MC_Shocks!B755</f>
        <v>0.43673855173351</v>
      </c>
      <c r="F768" s="0" t="n">
        <f aca="false">MC_Shocks!C755</f>
        <v>0.404294754961698</v>
      </c>
      <c r="G768" s="0" t="n">
        <f aca="false">$B$3*D768</f>
        <v>0.00293064964548455</v>
      </c>
      <c r="H768" s="0" t="n">
        <f aca="false">$B$4*D768+$C$4*E768</f>
        <v>0.00755665048747193</v>
      </c>
      <c r="I768" s="0" t="n">
        <f aca="false">$B$5*D768+$C$5*E768+$D$5*F768</f>
        <v>0.00728479784818047</v>
      </c>
      <c r="J768" s="0" t="n">
        <f aca="false">SUMPRODUCT(G768:I768,Inputs!$B$4:$D$4)*Inputs!$B$2</f>
        <v>5624.69435888954</v>
      </c>
    </row>
    <row r="769" customFormat="false" ht="15" hidden="false" customHeight="false" outlineLevel="0" collapsed="false">
      <c r="D769" s="0" t="n">
        <f aca="false">MC_Shocks!A756</f>
        <v>1.23578219182215</v>
      </c>
      <c r="E769" s="0" t="n">
        <f aca="false">MC_Shocks!B756</f>
        <v>-1.07105367964905</v>
      </c>
      <c r="F769" s="0" t="n">
        <f aca="false">MC_Shocks!C756</f>
        <v>0.680216105450449</v>
      </c>
      <c r="G769" s="0" t="n">
        <f aca="false">$B$3*D769</f>
        <v>0.0182039626941804</v>
      </c>
      <c r="H769" s="0" t="n">
        <f aca="false">$B$4*D769+$C$4*E769</f>
        <v>-0.000439522345323363</v>
      </c>
      <c r="I769" s="0" t="n">
        <f aca="false">$B$5*D769+$C$5*E769+$D$5*F769</f>
        <v>0.015045283292591</v>
      </c>
      <c r="J769" s="0" t="n">
        <f aca="false">SUMPRODUCT(G769:I769,Inputs!$B$4:$D$4)*Inputs!$B$2</f>
        <v>11663.3133618525</v>
      </c>
    </row>
    <row r="770" customFormat="false" ht="15" hidden="false" customHeight="false" outlineLevel="0" collapsed="false">
      <c r="D770" s="0" t="n">
        <f aca="false">MC_Shocks!A757</f>
        <v>1.19250751247798</v>
      </c>
      <c r="E770" s="0" t="n">
        <f aca="false">MC_Shocks!B757</f>
        <v>-1.77858758400652</v>
      </c>
      <c r="F770" s="0" t="n">
        <f aca="false">MC_Shocks!C757</f>
        <v>0.319651825918977</v>
      </c>
      <c r="G770" s="0" t="n">
        <f aca="false">$B$3*D770</f>
        <v>0.0175664954660579</v>
      </c>
      <c r="H770" s="0" t="n">
        <f aca="false">$B$4*D770+$C$4*E770</f>
        <v>-0.00975281216788506</v>
      </c>
      <c r="I770" s="0" t="n">
        <f aca="false">$B$5*D770+$C$5*E770+$D$5*F770</f>
        <v>0.00877960120719554</v>
      </c>
      <c r="J770" s="0" t="n">
        <f aca="false">SUMPRODUCT(G770:I770,Inputs!$B$4:$D$4)*Inputs!$B$2</f>
        <v>6734.6348982163</v>
      </c>
    </row>
    <row r="771" customFormat="false" ht="15" hidden="false" customHeight="false" outlineLevel="0" collapsed="false">
      <c r="D771" s="0" t="n">
        <f aca="false">MC_Shocks!A758</f>
        <v>-0.504179831007672</v>
      </c>
      <c r="E771" s="0" t="n">
        <f aca="false">MC_Shocks!B758</f>
        <v>-0.0815226731016459</v>
      </c>
      <c r="F771" s="0" t="n">
        <f aca="false">MC_Shocks!C758</f>
        <v>0.347676483538336</v>
      </c>
      <c r="G771" s="0" t="n">
        <f aca="false">$B$3*D771</f>
        <v>-0.00742693242835036</v>
      </c>
      <c r="H771" s="0" t="n">
        <f aca="false">$B$4*D771+$C$4*E771</f>
        <v>-0.00631279172553811</v>
      </c>
      <c r="I771" s="0" t="n">
        <f aca="false">$B$5*D771+$C$5*E771+$D$5*F771</f>
        <v>-0.00260225910529654</v>
      </c>
      <c r="J771" s="0" t="n">
        <f aca="false">SUMPRODUCT(G771:I771,Inputs!$B$4:$D$4)*Inputs!$B$2</f>
        <v>-5645.28822059054</v>
      </c>
    </row>
    <row r="772" customFormat="false" ht="15" hidden="false" customHeight="false" outlineLevel="0" collapsed="false">
      <c r="D772" s="0" t="n">
        <f aca="false">MC_Shocks!A759</f>
        <v>-0.487228564113552</v>
      </c>
      <c r="E772" s="0" t="n">
        <f aca="false">MC_Shocks!B759</f>
        <v>-0.675708079161612</v>
      </c>
      <c r="F772" s="0" t="n">
        <f aca="false">MC_Shocks!C759</f>
        <v>0.0341524174880246</v>
      </c>
      <c r="G772" s="0" t="n">
        <f aca="false">$B$3*D772</f>
        <v>-0.00717722804500378</v>
      </c>
      <c r="H772" s="0" t="n">
        <f aca="false">$B$4*D772+$C$4*E772</f>
        <v>-0.0135746878870502</v>
      </c>
      <c r="I772" s="0" t="n">
        <f aca="false">$B$5*D772+$C$5*E772+$D$5*F772</f>
        <v>-0.00739334909971373</v>
      </c>
      <c r="J772" s="0" t="n">
        <f aca="false">SUMPRODUCT(G772:I772,Inputs!$B$4:$D$4)*Inputs!$B$2</f>
        <v>-9161.3023140307</v>
      </c>
    </row>
    <row r="773" customFormat="false" ht="15" hidden="false" customHeight="false" outlineLevel="0" collapsed="false">
      <c r="D773" s="0" t="n">
        <f aca="false">MC_Shocks!A760</f>
        <v>-1.0872459388628</v>
      </c>
      <c r="E773" s="0" t="n">
        <f aca="false">MC_Shocks!B760</f>
        <v>-1.08582512888519</v>
      </c>
      <c r="F773" s="0" t="n">
        <f aca="false">MC_Shocks!C760</f>
        <v>0.679373282956503</v>
      </c>
      <c r="G773" s="0" t="n">
        <f aca="false">$B$3*D773</f>
        <v>-0.0160159165922873</v>
      </c>
      <c r="H773" s="0" t="n">
        <f aca="false">$B$4*D773+$C$4*E773</f>
        <v>-0.025007768091412</v>
      </c>
      <c r="I773" s="0" t="n">
        <f aca="false">$B$5*D773+$C$5*E773+$D$5*F773</f>
        <v>-0.00963465888523416</v>
      </c>
      <c r="J773" s="0" t="n">
        <f aca="false">SUMPRODUCT(G773:I773,Inputs!$B$4:$D$4)*Inputs!$B$2</f>
        <v>-16799.0947299088</v>
      </c>
    </row>
    <row r="774" customFormat="false" ht="15" hidden="false" customHeight="false" outlineLevel="0" collapsed="false">
      <c r="D774" s="0" t="n">
        <f aca="false">MC_Shocks!A761</f>
        <v>-1.14879403515866</v>
      </c>
      <c r="E774" s="0" t="n">
        <f aca="false">MC_Shocks!B761</f>
        <v>0.666312500909212</v>
      </c>
      <c r="F774" s="0" t="n">
        <f aca="false">MC_Shocks!C761</f>
        <v>0.462591292853951</v>
      </c>
      <c r="G774" s="0" t="n">
        <f aca="false">$B$3*D774</f>
        <v>-0.0169225644273848</v>
      </c>
      <c r="H774" s="0" t="n">
        <f aca="false">$B$4*D774+$C$4*E774</f>
        <v>-0.00371520308808124</v>
      </c>
      <c r="I774" s="0" t="n">
        <f aca="false">$B$5*D774+$C$5*E774+$D$5*F774</f>
        <v>-0.00562726262083009</v>
      </c>
      <c r="J774" s="0" t="n">
        <f aca="false">SUMPRODUCT(G774:I774,Inputs!$B$4:$D$4)*Inputs!$B$2</f>
        <v>-9571.76548362731</v>
      </c>
    </row>
    <row r="775" customFormat="false" ht="15" hidden="false" customHeight="false" outlineLevel="0" collapsed="false">
      <c r="D775" s="0" t="n">
        <f aca="false">MC_Shocks!A762</f>
        <v>-1.7258067287906</v>
      </c>
      <c r="E775" s="0" t="n">
        <f aca="false">MC_Shocks!B762</f>
        <v>-0.677564652335655</v>
      </c>
      <c r="F775" s="0" t="n">
        <f aca="false">MC_Shocks!C762</f>
        <v>1.19410940304737</v>
      </c>
      <c r="G775" s="0" t="n">
        <f aca="false">$B$3*D775</f>
        <v>-0.0254223774352551</v>
      </c>
      <c r="H775" s="0" t="n">
        <f aca="false">$B$4*D775+$C$4*E775</f>
        <v>-0.0265984709484714</v>
      </c>
      <c r="I775" s="0" t="n">
        <f aca="false">$B$5*D775+$C$5*E775+$D$5*F775</f>
        <v>-0.0103641019055178</v>
      </c>
      <c r="J775" s="0" t="n">
        <f aca="false">SUMPRODUCT(G775:I775,Inputs!$B$4:$D$4)*Inputs!$B$2</f>
        <v>-21257.7228302988</v>
      </c>
    </row>
    <row r="776" customFormat="false" ht="15" hidden="false" customHeight="false" outlineLevel="0" collapsed="false">
      <c r="D776" s="0" t="n">
        <f aca="false">MC_Shocks!A763</f>
        <v>-0.981165531139682</v>
      </c>
      <c r="E776" s="0" t="n">
        <f aca="false">MC_Shocks!B763</f>
        <v>-0.464404262309388</v>
      </c>
      <c r="F776" s="0" t="n">
        <f aca="false">MC_Shocks!C763</f>
        <v>0.462060893251897</v>
      </c>
      <c r="G776" s="0" t="n">
        <f aca="false">$B$3*D776</f>
        <v>-0.0144532757017209</v>
      </c>
      <c r="H776" s="0" t="n">
        <f aca="false">$B$4*D776+$C$4*E776</f>
        <v>-0.0161134732766172</v>
      </c>
      <c r="I776" s="0" t="n">
        <f aca="false">$B$5*D776+$C$5*E776+$D$5*F776</f>
        <v>-0.00808809194040073</v>
      </c>
      <c r="J776" s="0" t="n">
        <f aca="false">SUMPRODUCT(G776:I776,Inputs!$B$4:$D$4)*Inputs!$B$2</f>
        <v>-13041.7798457937</v>
      </c>
    </row>
    <row r="777" customFormat="false" ht="15" hidden="false" customHeight="false" outlineLevel="0" collapsed="false">
      <c r="D777" s="0" t="n">
        <f aca="false">MC_Shocks!A764</f>
        <v>0.783390509282596</v>
      </c>
      <c r="E777" s="0" t="n">
        <f aca="false">MC_Shocks!B764</f>
        <v>-0.251538886044496</v>
      </c>
      <c r="F777" s="0" t="n">
        <f aca="false">MC_Shocks!C764</f>
        <v>-0.597510194691642</v>
      </c>
      <c r="G777" s="0" t="n">
        <f aca="false">$B$3*D777</f>
        <v>0.0115399070324261</v>
      </c>
      <c r="H777" s="0" t="n">
        <f aca="false">$B$4*D777+$C$4*E777</f>
        <v>0.00507320289190673</v>
      </c>
      <c r="I777" s="0" t="n">
        <f aca="false">$B$5*D777+$C$5*E777+$D$5*F777</f>
        <v>0.00212574028543494</v>
      </c>
      <c r="J777" s="0" t="n">
        <f aca="false">SUMPRODUCT(G777:I777,Inputs!$B$4:$D$4)*Inputs!$B$2</f>
        <v>6775.64576617293</v>
      </c>
    </row>
    <row r="778" customFormat="false" ht="15" hidden="false" customHeight="false" outlineLevel="0" collapsed="false">
      <c r="D778" s="0" t="n">
        <f aca="false">MC_Shocks!A765</f>
        <v>1.42236986169851</v>
      </c>
      <c r="E778" s="0" t="n">
        <f aca="false">MC_Shocks!B765</f>
        <v>1.73889966379758</v>
      </c>
      <c r="F778" s="0" t="n">
        <f aca="false">MC_Shocks!C765</f>
        <v>0.978858050781795</v>
      </c>
      <c r="G778" s="0" t="n">
        <f aca="false">$B$3*D778</f>
        <v>0.0209525336026306</v>
      </c>
      <c r="H778" s="0" t="n">
        <f aca="false">$B$4*D778+$C$4*E778</f>
        <v>0.0367025184011796</v>
      </c>
      <c r="I778" s="0" t="n">
        <f aca="false">$B$5*D778+$C$5*E778+$D$5*F778</f>
        <v>0.0301570831155679</v>
      </c>
      <c r="J778" s="0" t="n">
        <f aca="false">SUMPRODUCT(G778:I778,Inputs!$B$4:$D$4)*Inputs!$B$2</f>
        <v>28438.8938960765</v>
      </c>
    </row>
    <row r="779" customFormat="false" ht="15" hidden="false" customHeight="false" outlineLevel="0" collapsed="false">
      <c r="D779" s="0" t="n">
        <f aca="false">MC_Shocks!A766</f>
        <v>0.0853181425650241</v>
      </c>
      <c r="E779" s="0" t="n">
        <f aca="false">MC_Shocks!B766</f>
        <v>-0.808265721640926</v>
      </c>
      <c r="F779" s="0" t="n">
        <f aca="false">MC_Shocks!C766</f>
        <v>-0.830444406556565</v>
      </c>
      <c r="G779" s="0" t="n">
        <f aca="false">$B$3*D779</f>
        <v>0.00125679775503189</v>
      </c>
      <c r="H779" s="0" t="n">
        <f aca="false">$B$4*D779+$C$4*E779</f>
        <v>-0.0092248035676846</v>
      </c>
      <c r="I779" s="0" t="n">
        <f aca="false">$B$5*D779+$C$5*E779+$D$5*F779</f>
        <v>-0.00939629538231343</v>
      </c>
      <c r="J779" s="0" t="n">
        <f aca="false">SUMPRODUCT(G779:I779,Inputs!$B$4:$D$4)*Inputs!$B$2</f>
        <v>-5083.61058298666</v>
      </c>
    </row>
    <row r="780" customFormat="false" ht="15" hidden="false" customHeight="false" outlineLevel="0" collapsed="false">
      <c r="D780" s="0" t="n">
        <f aca="false">MC_Shocks!A767</f>
        <v>0.522514105265758</v>
      </c>
      <c r="E780" s="0" t="n">
        <f aca="false">MC_Shocks!B767</f>
        <v>0.418398220888684</v>
      </c>
      <c r="F780" s="0" t="n">
        <f aca="false">MC_Shocks!C767</f>
        <v>1.40159859294643</v>
      </c>
      <c r="G780" s="0" t="n">
        <f aca="false">$B$3*D780</f>
        <v>0.00769700950732732</v>
      </c>
      <c r="H780" s="0" t="n">
        <f aca="false">$B$4*D780+$C$4*E780</f>
        <v>0.010723268500753</v>
      </c>
      <c r="I780" s="0" t="n">
        <f aca="false">$B$5*D780+$C$5*E780+$D$5*F780</f>
        <v>0.0193815974615849</v>
      </c>
      <c r="J780" s="0" t="n">
        <f aca="false">SUMPRODUCT(G780:I780,Inputs!$B$4:$D$4)*Inputs!$B$2</f>
        <v>12110.2635916323</v>
      </c>
    </row>
    <row r="781" customFormat="false" ht="15" hidden="false" customHeight="false" outlineLevel="0" collapsed="false">
      <c r="D781" s="0" t="n">
        <f aca="false">MC_Shocks!A768</f>
        <v>0.650450092536139</v>
      </c>
      <c r="E781" s="0" t="n">
        <f aca="false">MC_Shocks!B768</f>
        <v>-1.50308030175982</v>
      </c>
      <c r="F781" s="0" t="n">
        <f aca="false">MC_Shocks!C768</f>
        <v>1.05194761772292</v>
      </c>
      <c r="G781" s="0" t="n">
        <f aca="false">$B$3*D781</f>
        <v>0.00958159884266898</v>
      </c>
      <c r="H781" s="0" t="n">
        <f aca="false">$B$4*D781+$C$4*E781</f>
        <v>-0.0119927916631777</v>
      </c>
      <c r="I781" s="0" t="n">
        <f aca="false">$B$5*D781+$C$5*E781+$D$5*F781</f>
        <v>0.0104817534380328</v>
      </c>
      <c r="J781" s="0" t="n">
        <f aca="false">SUMPRODUCT(G781:I781,Inputs!$B$4:$D$4)*Inputs!$B$2</f>
        <v>3379.32806952414</v>
      </c>
    </row>
    <row r="782" customFormat="false" ht="15" hidden="false" customHeight="false" outlineLevel="0" collapsed="false">
      <c r="D782" s="0" t="n">
        <f aca="false">MC_Shocks!A769</f>
        <v>-0.998060627314413</v>
      </c>
      <c r="E782" s="0" t="n">
        <f aca="false">MC_Shocks!B769</f>
        <v>-0.383971271952352</v>
      </c>
      <c r="F782" s="0" t="n">
        <f aca="false">MC_Shocks!C769</f>
        <v>0.250200206251695</v>
      </c>
      <c r="G782" s="0" t="n">
        <f aca="false">$B$3*D782</f>
        <v>-0.0147021526498713</v>
      </c>
      <c r="H782" s="0" t="n">
        <f aca="false">$B$4*D782+$C$4*E782</f>
        <v>-0.0152837048212474</v>
      </c>
      <c r="I782" s="0" t="n">
        <f aca="false">$B$5*D782+$C$5*E782+$D$5*F782</f>
        <v>-0.00982199669458234</v>
      </c>
      <c r="J782" s="0" t="n">
        <f aca="false">SUMPRODUCT(G782:I782,Inputs!$B$4:$D$4)*Inputs!$B$2</f>
        <v>-13412.5715146974</v>
      </c>
    </row>
    <row r="783" customFormat="false" ht="15" hidden="false" customHeight="false" outlineLevel="0" collapsed="false">
      <c r="D783" s="0" t="n">
        <f aca="false">MC_Shocks!A770</f>
        <v>1.99566748978396</v>
      </c>
      <c r="E783" s="0" t="n">
        <f aca="false">MC_Shocks!B770</f>
        <v>3.10991855600536</v>
      </c>
      <c r="F783" s="0" t="n">
        <f aca="false">MC_Shocks!C770</f>
        <v>0.606723059136183</v>
      </c>
      <c r="G783" s="0" t="n">
        <f aca="false">$B$3*D783</f>
        <v>0.0293976210164099</v>
      </c>
      <c r="H783" s="0" t="n">
        <f aca="false">$B$4*D783+$C$4*E783</f>
        <v>0.0598866346168914</v>
      </c>
      <c r="I783" s="0" t="n">
        <f aca="false">$B$5*D783+$C$5*E783+$D$5*F783</f>
        <v>0.0381044283014424</v>
      </c>
      <c r="J783" s="0" t="n">
        <f aca="false">SUMPRODUCT(G783:I783,Inputs!$B$4:$D$4)*Inputs!$B$2</f>
        <v>41156.3672820641</v>
      </c>
    </row>
    <row r="784" customFormat="false" ht="15" hidden="false" customHeight="false" outlineLevel="0" collapsed="false">
      <c r="D784" s="0" t="n">
        <f aca="false">MC_Shocks!A771</f>
        <v>-0.183196618720388</v>
      </c>
      <c r="E784" s="0" t="n">
        <f aca="false">MC_Shocks!B771</f>
        <v>0.53450564848055</v>
      </c>
      <c r="F784" s="0" t="n">
        <f aca="false">MC_Shocks!C771</f>
        <v>0.887655425873836</v>
      </c>
      <c r="G784" s="0" t="n">
        <f aca="false">$B$3*D784</f>
        <v>-0.00269861827994838</v>
      </c>
      <c r="H784" s="0" t="n">
        <f aca="false">$B$4*D784+$C$4*E784</f>
        <v>0.00476967556959553</v>
      </c>
      <c r="I784" s="0" t="n">
        <f aca="false">$B$5*D784+$C$5*E784+$D$5*F784</f>
        <v>0.00783550118749635</v>
      </c>
      <c r="J784" s="0" t="n">
        <f aca="false">SUMPRODUCT(G784:I784,Inputs!$B$4:$D$4)*Inputs!$B$2</f>
        <v>2702.10571514821</v>
      </c>
    </row>
    <row r="785" customFormat="false" ht="15" hidden="false" customHeight="false" outlineLevel="0" collapsed="false">
      <c r="D785" s="0" t="n">
        <f aca="false">MC_Shocks!A772</f>
        <v>-0.320667625557192</v>
      </c>
      <c r="E785" s="0" t="n">
        <f aca="false">MC_Shocks!B772</f>
        <v>1.79521135591232</v>
      </c>
      <c r="F785" s="0" t="n">
        <f aca="false">MC_Shocks!C772</f>
        <v>0.230070759191402</v>
      </c>
      <c r="G785" s="0" t="n">
        <f aca="false">$B$3*D785</f>
        <v>-0.00472366532832723</v>
      </c>
      <c r="H785" s="0" t="n">
        <f aca="false">$B$4*D785+$C$4*E785</f>
        <v>0.0191120865496851</v>
      </c>
      <c r="I785" s="0" t="n">
        <f aca="false">$B$5*D785+$C$5*E785+$D$5*F785</f>
        <v>0.00533725692302812</v>
      </c>
      <c r="J785" s="0" t="n">
        <f aca="false">SUMPRODUCT(G785:I785,Inputs!$B$4:$D$4)*Inputs!$B$2</f>
        <v>5445.33691048307</v>
      </c>
    </row>
    <row r="786" customFormat="false" ht="15" hidden="false" customHeight="false" outlineLevel="0" collapsed="false">
      <c r="D786" s="0" t="n">
        <f aca="false">MC_Shocks!A773</f>
        <v>0.497743089091394</v>
      </c>
      <c r="E786" s="0" t="n">
        <f aca="false">MC_Shocks!B773</f>
        <v>0.665924252054461</v>
      </c>
      <c r="F786" s="0" t="n">
        <f aca="false">MC_Shocks!C773</f>
        <v>0.421586610614456</v>
      </c>
      <c r="G786" s="0" t="n">
        <f aca="false">$B$3*D786</f>
        <v>0.00733211457898226</v>
      </c>
      <c r="H786" s="0" t="n">
        <f aca="false">$B$4*D786+$C$4*E786</f>
        <v>0.0135625481672861</v>
      </c>
      <c r="I786" s="0" t="n">
        <f aca="false">$B$5*D786+$C$5*E786+$D$5*F786</f>
        <v>0.0114605246006097</v>
      </c>
      <c r="J786" s="0" t="n">
        <f aca="false">SUMPRODUCT(G786:I786,Inputs!$B$4:$D$4)*Inputs!$B$2</f>
        <v>10439.7676619616</v>
      </c>
    </row>
    <row r="787" customFormat="false" ht="15" hidden="false" customHeight="false" outlineLevel="0" collapsed="false">
      <c r="D787" s="0" t="n">
        <f aca="false">MC_Shocks!A774</f>
        <v>0.838940500469612</v>
      </c>
      <c r="E787" s="0" t="n">
        <f aca="false">MC_Shocks!B774</f>
        <v>-0.617253186546923</v>
      </c>
      <c r="F787" s="0" t="n">
        <f aca="false">MC_Shocks!C774</f>
        <v>-0.558301753946031</v>
      </c>
      <c r="G787" s="0" t="n">
        <f aca="false">$B$3*D787</f>
        <v>0.0123581984545896</v>
      </c>
      <c r="H787" s="0" t="n">
        <f aca="false">$B$4*D787+$C$4*E787</f>
        <v>0.00107714911474958</v>
      </c>
      <c r="I787" s="0" t="n">
        <f aca="false">$B$5*D787+$C$5*E787+$D$5*F787</f>
        <v>0.00168892259205661</v>
      </c>
      <c r="J787" s="0" t="n">
        <f aca="false">SUMPRODUCT(G787:I787,Inputs!$B$4:$D$4)*Inputs!$B$2</f>
        <v>5773.10089387769</v>
      </c>
    </row>
    <row r="788" customFormat="false" ht="15" hidden="false" customHeight="false" outlineLevel="0" collapsed="false">
      <c r="D788" s="0" t="n">
        <f aca="false">MC_Shocks!A775</f>
        <v>-1.1001542329717</v>
      </c>
      <c r="E788" s="0" t="n">
        <f aca="false">MC_Shocks!B775</f>
        <v>0.439501230620226</v>
      </c>
      <c r="F788" s="0" t="n">
        <f aca="false">MC_Shocks!C775</f>
        <v>0.778936503512114</v>
      </c>
      <c r="G788" s="0" t="n">
        <f aca="false">$B$3*D788</f>
        <v>-0.0162060650714925</v>
      </c>
      <c r="H788" s="0" t="n">
        <f aca="false">$B$4*D788+$C$4*E788</f>
        <v>-0.006044577414645</v>
      </c>
      <c r="I788" s="0" t="n">
        <f aca="false">$B$5*D788+$C$5*E788+$D$5*F788</f>
        <v>-0.00318957961339674</v>
      </c>
      <c r="J788" s="0" t="n">
        <f aca="false">SUMPRODUCT(G788:I788,Inputs!$B$4:$D$4)*Inputs!$B$2</f>
        <v>-9252.67313700951</v>
      </c>
    </row>
    <row r="789" customFormat="false" ht="15" hidden="false" customHeight="false" outlineLevel="0" collapsed="false">
      <c r="D789" s="0" t="n">
        <f aca="false">MC_Shocks!A776</f>
        <v>0.457772866151886</v>
      </c>
      <c r="E789" s="0" t="n">
        <f aca="false">MC_Shocks!B776</f>
        <v>1.67449243334754</v>
      </c>
      <c r="F789" s="0" t="n">
        <f aca="false">MC_Shocks!C776</f>
        <v>-0.00559601882904656</v>
      </c>
      <c r="G789" s="0" t="n">
        <f aca="false">$B$3*D789</f>
        <v>0.00674332437623948</v>
      </c>
      <c r="H789" s="0" t="n">
        <f aca="false">$B$4*D789+$C$4*E789</f>
        <v>0.0257713350717161</v>
      </c>
      <c r="I789" s="0" t="n">
        <f aca="false">$B$5*D789+$C$5*E789+$D$5*F789</f>
        <v>0.0110700622038625</v>
      </c>
      <c r="J789" s="0" t="n">
        <f aca="false">SUMPRODUCT(G789:I789,Inputs!$B$4:$D$4)*Inputs!$B$2</f>
        <v>13749.7489331694</v>
      </c>
    </row>
    <row r="790" customFormat="false" ht="15" hidden="false" customHeight="false" outlineLevel="0" collapsed="false">
      <c r="D790" s="0" t="n">
        <f aca="false">MC_Shocks!A777</f>
        <v>0.668741655592513</v>
      </c>
      <c r="E790" s="0" t="n">
        <f aca="false">MC_Shocks!B777</f>
        <v>-1.09170087613931</v>
      </c>
      <c r="F790" s="0" t="n">
        <f aca="false">MC_Shocks!C777</f>
        <v>-0.387099702474401</v>
      </c>
      <c r="G790" s="0" t="n">
        <f aca="false">$B$3*D790</f>
        <v>0.0098510467548496</v>
      </c>
      <c r="H790" s="0" t="n">
        <f aca="false">$B$4*D790+$C$4*E790</f>
        <v>-0.0066498967665081</v>
      </c>
      <c r="I790" s="0" t="n">
        <f aca="false">$B$5*D790+$C$5*E790+$D$5*F790</f>
        <v>-0.000390891181095295</v>
      </c>
      <c r="J790" s="0" t="n">
        <f aca="false">SUMPRODUCT(G790:I790,Inputs!$B$4:$D$4)*Inputs!$B$2</f>
        <v>1828.18231765882</v>
      </c>
    </row>
    <row r="791" customFormat="false" ht="15" hidden="false" customHeight="false" outlineLevel="0" collapsed="false">
      <c r="D791" s="0" t="n">
        <f aca="false">MC_Shocks!A778</f>
        <v>0.695537757565778</v>
      </c>
      <c r="E791" s="0" t="n">
        <f aca="false">MC_Shocks!B778</f>
        <v>0.849102110743144</v>
      </c>
      <c r="F791" s="0" t="n">
        <f aca="false">MC_Shocks!C778</f>
        <v>-0.293966947664182</v>
      </c>
      <c r="G791" s="0" t="n">
        <f aca="false">$B$3*D791</f>
        <v>0.0102457726571152</v>
      </c>
      <c r="H791" s="0" t="n">
        <f aca="false">$B$4*D791+$C$4*E791</f>
        <v>0.0179322464194625</v>
      </c>
      <c r="I791" s="0" t="n">
        <f aca="false">$B$5*D791+$C$5*E791+$D$5*F791</f>
        <v>0.00797383718879265</v>
      </c>
      <c r="J791" s="0" t="n">
        <f aca="false">SUMPRODUCT(G791:I791,Inputs!$B$4:$D$4)*Inputs!$B$2</f>
        <v>11870.1341453226</v>
      </c>
    </row>
    <row r="792" customFormat="false" ht="15" hidden="false" customHeight="false" outlineLevel="0" collapsed="false">
      <c r="D792" s="0" t="n">
        <f aca="false">MC_Shocks!A779</f>
        <v>-0.0715992518580668</v>
      </c>
      <c r="E792" s="0" t="n">
        <f aca="false">MC_Shocks!B779</f>
        <v>-1.51787374668081</v>
      </c>
      <c r="F792" s="0" t="n">
        <f aca="false">MC_Shocks!C779</f>
        <v>-0.357029200806609</v>
      </c>
      <c r="G792" s="0" t="n">
        <f aca="false">$B$3*D792</f>
        <v>-0.00105470860349075</v>
      </c>
      <c r="H792" s="0" t="n">
        <f aca="false">$B$4*D792+$C$4*E792</f>
        <v>-0.019756896060346</v>
      </c>
      <c r="I792" s="0" t="n">
        <f aca="false">$B$5*D792+$C$5*E792+$D$5*F792</f>
        <v>-0.00956817326481004</v>
      </c>
      <c r="J792" s="0" t="n">
        <f aca="false">SUMPRODUCT(G792:I792,Inputs!$B$4:$D$4)*Inputs!$B$2</f>
        <v>-9219.40423894312</v>
      </c>
    </row>
    <row r="793" customFormat="false" ht="15" hidden="false" customHeight="false" outlineLevel="0" collapsed="false">
      <c r="D793" s="0" t="n">
        <f aca="false">MC_Shocks!A780</f>
        <v>0.890383163519786</v>
      </c>
      <c r="E793" s="0" t="n">
        <f aca="false">MC_Shocks!B780</f>
        <v>0.575205016106566</v>
      </c>
      <c r="F793" s="0" t="n">
        <f aca="false">MC_Shocks!C780</f>
        <v>0.50066572138121</v>
      </c>
      <c r="G793" s="0" t="n">
        <f aca="false">$B$3*D793</f>
        <v>0.0131159859718817</v>
      </c>
      <c r="H793" s="0" t="n">
        <f aca="false">$B$4*D793+$C$4*E793</f>
        <v>0.0165479319945498</v>
      </c>
      <c r="I793" s="0" t="n">
        <f aca="false">$B$5*D793+$C$5*E793+$D$5*F793</f>
        <v>0.0159745207404041</v>
      </c>
      <c r="J793" s="0" t="n">
        <f aca="false">SUMPRODUCT(G793:I793,Inputs!$B$4:$D$4)*Inputs!$B$2</f>
        <v>15003.1302092388</v>
      </c>
    </row>
    <row r="794" customFormat="false" ht="15" hidden="false" customHeight="false" outlineLevel="0" collapsed="false">
      <c r="D794" s="0" t="n">
        <f aca="false">MC_Shocks!A781</f>
        <v>0.0497736871809601</v>
      </c>
      <c r="E794" s="0" t="n">
        <f aca="false">MC_Shocks!B781</f>
        <v>0.00706315862817645</v>
      </c>
      <c r="F794" s="0" t="n">
        <f aca="false">MC_Shocks!C781</f>
        <v>-0.660321139473447</v>
      </c>
      <c r="G794" s="0" t="n">
        <f aca="false">$B$3*D794</f>
        <v>0.000733202299393873</v>
      </c>
      <c r="H794" s="0" t="n">
        <f aca="false">$B$4*D794+$C$4*E794</f>
        <v>0.000610879644694739</v>
      </c>
      <c r="I794" s="0" t="n">
        <f aca="false">$B$5*D794+$C$5*E794+$D$5*F794</f>
        <v>-0.00523066692470827</v>
      </c>
      <c r="J794" s="0" t="n">
        <f aca="false">SUMPRODUCT(G794:I794,Inputs!$B$4:$D$4)*Inputs!$B$2</f>
        <v>-1092.65526424651</v>
      </c>
    </row>
    <row r="795" customFormat="false" ht="15" hidden="false" customHeight="false" outlineLevel="0" collapsed="false">
      <c r="D795" s="0" t="n">
        <f aca="false">MC_Shocks!A782</f>
        <v>0.698828420202535</v>
      </c>
      <c r="E795" s="0" t="n">
        <f aca="false">MC_Shocks!B782</f>
        <v>0.42097294438939</v>
      </c>
      <c r="F795" s="0" t="n">
        <f aca="false">MC_Shocks!C782</f>
        <v>0.492018847992799</v>
      </c>
      <c r="G795" s="0" t="n">
        <f aca="false">$B$3*D795</f>
        <v>0.0102942464903482</v>
      </c>
      <c r="H795" s="0" t="n">
        <f aca="false">$B$4*D795+$C$4*E795</f>
        <v>0.0126061616260424</v>
      </c>
      <c r="I795" s="0" t="n">
        <f aca="false">$B$5*D795+$C$5*E795+$D$5*F795</f>
        <v>0.0132915265960205</v>
      </c>
      <c r="J795" s="0" t="n">
        <f aca="false">SUMPRODUCT(G795:I795,Inputs!$B$4:$D$4)*Inputs!$B$2</f>
        <v>11887.0050627581</v>
      </c>
    </row>
    <row r="796" customFormat="false" ht="15" hidden="false" customHeight="false" outlineLevel="0" collapsed="false">
      <c r="D796" s="0" t="n">
        <f aca="false">MC_Shocks!A783</f>
        <v>-0.52603484266758</v>
      </c>
      <c r="E796" s="0" t="n">
        <f aca="false">MC_Shocks!B783</f>
        <v>-2.15334291987124</v>
      </c>
      <c r="F796" s="0" t="n">
        <f aca="false">MC_Shocks!C783</f>
        <v>1.0971527117537</v>
      </c>
      <c r="G796" s="0" t="n">
        <f aca="false">$B$3*D796</f>
        <v>-0.00774887250773542</v>
      </c>
      <c r="H796" s="0" t="n">
        <f aca="false">$B$4*D796+$C$4*E796</f>
        <v>-0.0324835446024496</v>
      </c>
      <c r="I796" s="0" t="n">
        <f aca="false">$B$5*D796+$C$5*E796+$D$5*F796</f>
        <v>-0.00402361339102154</v>
      </c>
      <c r="J796" s="0" t="n">
        <f aca="false">SUMPRODUCT(G796:I796,Inputs!$B$4:$D$4)*Inputs!$B$2</f>
        <v>-14051.6964011355</v>
      </c>
    </row>
    <row r="797" customFormat="false" ht="15" hidden="false" customHeight="false" outlineLevel="0" collapsed="false">
      <c r="D797" s="0" t="n">
        <f aca="false">MC_Shocks!A784</f>
        <v>-0.478837456008404</v>
      </c>
      <c r="E797" s="0" t="n">
        <f aca="false">MC_Shocks!B784</f>
        <v>-0.862775764043121</v>
      </c>
      <c r="F797" s="0" t="n">
        <f aca="false">MC_Shocks!C784</f>
        <v>0.693478911913994</v>
      </c>
      <c r="G797" s="0" t="n">
        <f aca="false">$B$3*D797</f>
        <v>-0.00705362097256028</v>
      </c>
      <c r="H797" s="0" t="n">
        <f aca="false">$B$4*D797+$C$4*E797</f>
        <v>-0.0158288949331725</v>
      </c>
      <c r="I797" s="0" t="n">
        <f aca="false">$B$5*D797+$C$5*E797+$D$5*F797</f>
        <v>-0.00222882111650776</v>
      </c>
      <c r="J797" s="0" t="n">
        <f aca="false">SUMPRODUCT(G797:I797,Inputs!$B$4:$D$4)*Inputs!$B$2</f>
        <v>-8238.76320392819</v>
      </c>
    </row>
    <row r="798" customFormat="false" ht="15" hidden="false" customHeight="false" outlineLevel="0" collapsed="false">
      <c r="D798" s="0" t="n">
        <f aca="false">MC_Shocks!A785</f>
        <v>-0.39201263991913</v>
      </c>
      <c r="E798" s="0" t="n">
        <f aca="false">MC_Shocks!B785</f>
        <v>1.05993638404662</v>
      </c>
      <c r="F798" s="0" t="n">
        <f aca="false">MC_Shocks!C785</f>
        <v>0.617005949576698</v>
      </c>
      <c r="G798" s="0" t="n">
        <f aca="false">$B$3*D798</f>
        <v>-0.00577462883019277</v>
      </c>
      <c r="H798" s="0" t="n">
        <f aca="false">$B$4*D798+$C$4*E798</f>
        <v>0.00915681379873309</v>
      </c>
      <c r="I798" s="0" t="n">
        <f aca="false">$B$5*D798+$C$5*E798+$D$5*F798</f>
        <v>0.00521853260172088</v>
      </c>
      <c r="J798" s="0" t="n">
        <f aca="false">SUMPRODUCT(G798:I798,Inputs!$B$4:$D$4)*Inputs!$B$2</f>
        <v>2002.75238805908</v>
      </c>
    </row>
    <row r="799" customFormat="false" ht="15" hidden="false" customHeight="false" outlineLevel="0" collapsed="false">
      <c r="D799" s="0" t="n">
        <f aca="false">MC_Shocks!A786</f>
        <v>0.683569323200478</v>
      </c>
      <c r="E799" s="0" t="n">
        <f aca="false">MC_Shocks!B786</f>
        <v>-1.36595571120053</v>
      </c>
      <c r="F799" s="0" t="n">
        <f aca="false">MC_Shocks!C786</f>
        <v>1.2119439853864</v>
      </c>
      <c r="G799" s="0" t="n">
        <f aca="false">$B$3*D799</f>
        <v>0.0100694689895794</v>
      </c>
      <c r="H799" s="0" t="n">
        <f aca="false">$B$4*D799+$C$4*E799</f>
        <v>-0.00992821776023505</v>
      </c>
      <c r="I799" s="0" t="n">
        <f aca="false">$B$5*D799+$C$5*E799+$D$5*F799</f>
        <v>0.0127476150097445</v>
      </c>
      <c r="J799" s="0" t="n">
        <f aca="false">SUMPRODUCT(G799:I799,Inputs!$B$4:$D$4)*Inputs!$B$2</f>
        <v>4873.60677068461</v>
      </c>
    </row>
    <row r="800" customFormat="false" ht="15" hidden="false" customHeight="false" outlineLevel="0" collapsed="false">
      <c r="D800" s="0" t="n">
        <f aca="false">MC_Shocks!A787</f>
        <v>0.261250531233856</v>
      </c>
      <c r="E800" s="0" t="n">
        <f aca="false">MC_Shocks!B787</f>
        <v>-0.369277139246203</v>
      </c>
      <c r="F800" s="0" t="n">
        <f aca="false">MC_Shocks!C787</f>
        <v>0.143388467342251</v>
      </c>
      <c r="G800" s="0" t="n">
        <f aca="false">$B$3*D800</f>
        <v>0.00384840868875408</v>
      </c>
      <c r="H800" s="0" t="n">
        <f aca="false">$B$4*D800+$C$4*E800</f>
        <v>-0.00188156155377616</v>
      </c>
      <c r="I800" s="0" t="n">
        <f aca="false">$B$5*D800+$C$5*E800+$D$5*F800</f>
        <v>0.00264230675534881</v>
      </c>
      <c r="J800" s="0" t="n">
        <f aca="false">SUMPRODUCT(G800:I800,Inputs!$B$4:$D$4)*Inputs!$B$2</f>
        <v>1767.58703597342</v>
      </c>
    </row>
    <row r="801" customFormat="false" ht="15" hidden="false" customHeight="false" outlineLevel="0" collapsed="false">
      <c r="D801" s="0" t="n">
        <f aca="false">MC_Shocks!A788</f>
        <v>-1.77623523289832</v>
      </c>
      <c r="E801" s="0" t="n">
        <f aca="false">MC_Shocks!B788</f>
        <v>0.408652811480671</v>
      </c>
      <c r="F801" s="0" t="n">
        <f aca="false">MC_Shocks!C788</f>
        <v>-1.02937150818207</v>
      </c>
      <c r="G801" s="0" t="n">
        <f aca="false">$B$3*D801</f>
        <v>-0.0261652256601083</v>
      </c>
      <c r="H801" s="0" t="n">
        <f aca="false">$B$4*D801+$C$4*E801</f>
        <v>-0.013527207525542</v>
      </c>
      <c r="I801" s="0" t="n">
        <f aca="false">$B$5*D801+$C$5*E801+$D$5*F801</f>
        <v>-0.0263107053005893</v>
      </c>
      <c r="J801" s="0" t="n">
        <f aca="false">SUMPRODUCT(G801:I801,Inputs!$B$4:$D$4)*Inputs!$B$2</f>
        <v>-22417.4641118827</v>
      </c>
    </row>
    <row r="802" customFormat="false" ht="15" hidden="false" customHeight="false" outlineLevel="0" collapsed="false">
      <c r="D802" s="0" t="n">
        <f aca="false">MC_Shocks!A789</f>
        <v>-1.35267028584353</v>
      </c>
      <c r="E802" s="0" t="n">
        <f aca="false">MC_Shocks!B789</f>
        <v>-1.52235918621789</v>
      </c>
      <c r="F802" s="0" t="n">
        <f aca="false">MC_Shocks!C789</f>
        <v>1.11268837498993</v>
      </c>
      <c r="G802" s="0" t="n">
        <f aca="false">$B$3*D802</f>
        <v>-0.0199258085963467</v>
      </c>
      <c r="H802" s="0" t="n">
        <f aca="false">$B$4*D802+$C$4*E802</f>
        <v>-0.0332596148562342</v>
      </c>
      <c r="I802" s="0" t="n">
        <f aca="false">$B$5*D802+$C$5*E802+$D$5*F802</f>
        <v>-0.0102854940002113</v>
      </c>
      <c r="J802" s="0" t="n">
        <f aca="false">SUMPRODUCT(G802:I802,Inputs!$B$4:$D$4)*Inputs!$B$2</f>
        <v>-21033.8560954723</v>
      </c>
    </row>
    <row r="803" customFormat="false" ht="15" hidden="false" customHeight="false" outlineLevel="0" collapsed="false">
      <c r="D803" s="0" t="n">
        <f aca="false">MC_Shocks!A790</f>
        <v>-0.629263393692789</v>
      </c>
      <c r="E803" s="0" t="n">
        <f aca="false">MC_Shocks!B790</f>
        <v>1.5337277099165</v>
      </c>
      <c r="F803" s="0" t="n">
        <f aca="false">MC_Shocks!C790</f>
        <v>-0.535801463052298</v>
      </c>
      <c r="G803" s="0" t="n">
        <f aca="false">$B$3*D803</f>
        <v>-0.00926950349293061</v>
      </c>
      <c r="H803" s="0" t="n">
        <f aca="false">$B$4*D803+$C$4*E803</f>
        <v>0.0125989120328298</v>
      </c>
      <c r="I803" s="0" t="n">
        <f aca="false">$B$5*D803+$C$5*E803+$D$5*F803</f>
        <v>-0.00562096025786647</v>
      </c>
      <c r="J803" s="0" t="n">
        <f aca="false">SUMPRODUCT(G803:I803,Inputs!$B$4:$D$4)*Inputs!$B$2</f>
        <v>-1614.41586468326</v>
      </c>
    </row>
    <row r="804" customFormat="false" ht="15" hidden="false" customHeight="false" outlineLevel="0" collapsed="false">
      <c r="D804" s="0" t="n">
        <f aca="false">MC_Shocks!A791</f>
        <v>-1.70735795759295</v>
      </c>
      <c r="E804" s="0" t="n">
        <f aca="false">MC_Shocks!B791</f>
        <v>-1.11652443994866</v>
      </c>
      <c r="F804" s="0" t="n">
        <f aca="false">MC_Shocks!C791</f>
        <v>1.23581162000694</v>
      </c>
      <c r="G804" s="0" t="n">
        <f aca="false">$B$3*D804</f>
        <v>-0.0251506137338052</v>
      </c>
      <c r="H804" s="0" t="n">
        <f aca="false">$B$4*D804+$C$4*E804</f>
        <v>-0.0319010617892511</v>
      </c>
      <c r="I804" s="0" t="n">
        <f aca="false">$B$5*D804+$C$5*E804+$D$5*F804</f>
        <v>-0.0114464133137164</v>
      </c>
      <c r="J804" s="0" t="n">
        <f aca="false">SUMPRODUCT(G804:I804,Inputs!$B$4:$D$4)*Inputs!$B$2</f>
        <v>-23064.4880244123</v>
      </c>
    </row>
    <row r="805" customFormat="false" ht="15" hidden="false" customHeight="false" outlineLevel="0" collapsed="false">
      <c r="D805" s="0" t="n">
        <f aca="false">MC_Shocks!A792</f>
        <v>-0.155898177936668</v>
      </c>
      <c r="E805" s="0" t="n">
        <f aca="false">MC_Shocks!B792</f>
        <v>-0.548287296490601</v>
      </c>
      <c r="F805" s="0" t="n">
        <f aca="false">MC_Shocks!C792</f>
        <v>0.160018225852788</v>
      </c>
      <c r="G805" s="0" t="n">
        <f aca="false">$B$3*D805</f>
        <v>-0.00229649256481454</v>
      </c>
      <c r="H805" s="0" t="n">
        <f aca="false">$B$4*D805+$C$4*E805</f>
        <v>-0.00850149029322816</v>
      </c>
      <c r="I805" s="0" t="n">
        <f aca="false">$B$5*D805+$C$5*E805+$D$5*F805</f>
        <v>-0.00230264145600436</v>
      </c>
      <c r="J805" s="0" t="n">
        <f aca="false">SUMPRODUCT(G805:I805,Inputs!$B$4:$D$4)*Inputs!$B$2</f>
        <v>-4159.83655069557</v>
      </c>
    </row>
    <row r="806" customFormat="false" ht="15" hidden="false" customHeight="false" outlineLevel="0" collapsed="false">
      <c r="D806" s="0" t="n">
        <f aca="false">MC_Shocks!A793</f>
        <v>0.501782736167545</v>
      </c>
      <c r="E806" s="0" t="n">
        <f aca="false">MC_Shocks!B793</f>
        <v>1.11739881590246</v>
      </c>
      <c r="F806" s="0" t="n">
        <f aca="false">MC_Shocks!C793</f>
        <v>1.44849922989293</v>
      </c>
      <c r="G806" s="0" t="n">
        <f aca="false">$B$3*D806</f>
        <v>0.00739162149303115</v>
      </c>
      <c r="H806" s="0" t="n">
        <f aca="false">$B$4*D806+$C$4*E806</f>
        <v>0.0192578831601856</v>
      </c>
      <c r="I806" s="0" t="n">
        <f aca="false">$B$5*D806+$C$5*E806+$D$5*F806</f>
        <v>0.0221892977931453</v>
      </c>
      <c r="J806" s="0" t="n">
        <f aca="false">SUMPRODUCT(G806:I806,Inputs!$B$4:$D$4)*Inputs!$B$2</f>
        <v>15390.8028832117</v>
      </c>
    </row>
    <row r="807" customFormat="false" ht="15" hidden="false" customHeight="false" outlineLevel="0" collapsed="false">
      <c r="D807" s="0" t="n">
        <f aca="false">MC_Shocks!A794</f>
        <v>-0.359768645789086</v>
      </c>
      <c r="E807" s="0" t="n">
        <f aca="false">MC_Shocks!B794</f>
        <v>-1.32604768608204</v>
      </c>
      <c r="F807" s="0" t="n">
        <f aca="false">MC_Shocks!C794</f>
        <v>-0.413465161123276</v>
      </c>
      <c r="G807" s="0" t="n">
        <f aca="false">$B$3*D807</f>
        <v>-0.00529965154848489</v>
      </c>
      <c r="H807" s="0" t="n">
        <f aca="false">$B$4*D807+$C$4*E807</f>
        <v>-0.0203797570287038</v>
      </c>
      <c r="I807" s="0" t="n">
        <f aca="false">$B$5*D807+$C$5*E807+$D$5*F807</f>
        <v>-0.012398260594985</v>
      </c>
      <c r="J807" s="0" t="n">
        <f aca="false">SUMPRODUCT(G807:I807,Inputs!$B$4:$D$4)*Inputs!$B$2</f>
        <v>-11953.2659065006</v>
      </c>
    </row>
    <row r="808" customFormat="false" ht="15" hidden="false" customHeight="false" outlineLevel="0" collapsed="false">
      <c r="D808" s="0" t="n">
        <f aca="false">MC_Shocks!A795</f>
        <v>0.260280506582886</v>
      </c>
      <c r="E808" s="0" t="n">
        <f aca="false">MC_Shocks!B795</f>
        <v>-0.963758926210611</v>
      </c>
      <c r="F808" s="0" t="n">
        <f aca="false">MC_Shocks!C795</f>
        <v>-0.957150914895043</v>
      </c>
      <c r="G808" s="0" t="n">
        <f aca="false">$B$3*D808</f>
        <v>0.00383411952624992</v>
      </c>
      <c r="H808" s="0" t="n">
        <f aca="false">$B$4*D808+$C$4*E808</f>
        <v>-0.00933527667307706</v>
      </c>
      <c r="I808" s="0" t="n">
        <f aca="false">$B$5*D808+$C$5*E808+$D$5*F808</f>
        <v>-0.00923423571058756</v>
      </c>
      <c r="J808" s="0" t="n">
        <f aca="false">SUMPRODUCT(G808:I808,Inputs!$B$4:$D$4)*Inputs!$B$2</f>
        <v>-4037.20590459942</v>
      </c>
    </row>
    <row r="809" customFormat="false" ht="15" hidden="false" customHeight="false" outlineLevel="0" collapsed="false">
      <c r="D809" s="0" t="n">
        <f aca="false">MC_Shocks!A796</f>
        <v>0.343787881549885</v>
      </c>
      <c r="E809" s="0" t="n">
        <f aca="false">MC_Shocks!B796</f>
        <v>-0.0486523515704512</v>
      </c>
      <c r="F809" s="0" t="n">
        <f aca="false">MC_Shocks!C796</f>
        <v>0.0327969954115865</v>
      </c>
      <c r="G809" s="0" t="n">
        <f aca="false">$B$3*D809</f>
        <v>0.00506424336898528</v>
      </c>
      <c r="H809" s="0" t="n">
        <f aca="false">$B$4*D809+$C$4*E809</f>
        <v>0.00299933599581983</v>
      </c>
      <c r="I809" s="0" t="n">
        <f aca="false">$B$5*D809+$C$5*E809+$D$5*F809</f>
        <v>0.003748331639571</v>
      </c>
      <c r="J809" s="0" t="n">
        <f aca="false">SUMPRODUCT(G809:I809,Inputs!$B$4:$D$4)*Inputs!$B$2</f>
        <v>4049.99763821136</v>
      </c>
    </row>
    <row r="810" customFormat="false" ht="15" hidden="false" customHeight="false" outlineLevel="0" collapsed="false">
      <c r="D810" s="0" t="n">
        <f aca="false">MC_Shocks!A797</f>
        <v>-0.75849533470007</v>
      </c>
      <c r="E810" s="0" t="n">
        <f aca="false">MC_Shocks!B797</f>
        <v>-0.230400714205767</v>
      </c>
      <c r="F810" s="0" t="n">
        <f aca="false">MC_Shocks!C797</f>
        <v>-0.924233144268304</v>
      </c>
      <c r="G810" s="0" t="n">
        <f aca="false">$B$3*D810</f>
        <v>-0.0111731831612096</v>
      </c>
      <c r="H810" s="0" t="n">
        <f aca="false">$B$4*D810+$C$4*E810</f>
        <v>-0.0108462822776164</v>
      </c>
      <c r="I810" s="0" t="n">
        <f aca="false">$B$5*D810+$C$5*E810+$D$5*F810</f>
        <v>-0.0169967553215713</v>
      </c>
      <c r="J810" s="0" t="n">
        <f aca="false">SUMPRODUCT(G810:I810,Inputs!$B$4:$D$4)*Inputs!$B$2</f>
        <v>-12822.1845442402</v>
      </c>
    </row>
    <row r="811" customFormat="false" ht="15" hidden="false" customHeight="false" outlineLevel="0" collapsed="false">
      <c r="D811" s="0" t="n">
        <f aca="false">MC_Shocks!A798</f>
        <v>0.890198411124787</v>
      </c>
      <c r="E811" s="0" t="n">
        <f aca="false">MC_Shocks!B798</f>
        <v>1.03524933472375</v>
      </c>
      <c r="F811" s="0" t="n">
        <f aca="false">MC_Shocks!C798</f>
        <v>-1.84618786223809</v>
      </c>
      <c r="G811" s="0" t="n">
        <f aca="false">$B$3*D811</f>
        <v>0.0131132644358954</v>
      </c>
      <c r="H811" s="0" t="n">
        <f aca="false">$B$4*D811+$C$4*E811</f>
        <v>0.0223062285447807</v>
      </c>
      <c r="I811" s="0" t="n">
        <f aca="false">$B$5*D811+$C$5*E811+$D$5*F811</f>
        <v>-0.00286433952874525</v>
      </c>
      <c r="J811" s="0" t="n">
        <f aca="false">SUMPRODUCT(G811:I811,Inputs!$B$4:$D$4)*Inputs!$B$2</f>
        <v>11077.8724791688</v>
      </c>
    </row>
    <row r="812" customFormat="false" ht="15" hidden="false" customHeight="false" outlineLevel="0" collapsed="false">
      <c r="D812" s="0" t="n">
        <f aca="false">MC_Shocks!A799</f>
        <v>-0.92951086019241</v>
      </c>
      <c r="E812" s="0" t="n">
        <f aca="false">MC_Shocks!B799</f>
        <v>-1.49652925509008</v>
      </c>
      <c r="F812" s="0" t="n">
        <f aca="false">MC_Shocks!C799</f>
        <v>-0.650023934406898</v>
      </c>
      <c r="G812" s="0" t="n">
        <f aca="false">$B$3*D812</f>
        <v>-0.0136923651552452</v>
      </c>
      <c r="H812" s="0" t="n">
        <f aca="false">$B$4*D812+$C$4*E812</f>
        <v>-0.0284945721535475</v>
      </c>
      <c r="I812" s="0" t="n">
        <f aca="false">$B$5*D812+$C$5*E812+$D$5*F812</f>
        <v>-0.0211463146666604</v>
      </c>
      <c r="J812" s="0" t="n">
        <f aca="false">SUMPRODUCT(G812:I812,Inputs!$B$4:$D$4)*Inputs!$B$2</f>
        <v>-20369.2121081604</v>
      </c>
    </row>
    <row r="813" customFormat="false" ht="15" hidden="false" customHeight="false" outlineLevel="0" collapsed="false">
      <c r="D813" s="0" t="n">
        <f aca="false">MC_Shocks!A800</f>
        <v>-0.0834379697903609</v>
      </c>
      <c r="E813" s="0" t="n">
        <f aca="false">MC_Shocks!B800</f>
        <v>-1.44964521969853</v>
      </c>
      <c r="F813" s="0" t="n">
        <f aca="false">MC_Shocks!C800</f>
        <v>-0.921859813125313</v>
      </c>
      <c r="G813" s="0" t="n">
        <f aca="false">$B$3*D813</f>
        <v>-0.0012291014544418</v>
      </c>
      <c r="H813" s="0" t="n">
        <f aca="false">$B$4*D813+$C$4*E813</f>
        <v>-0.0190268667819931</v>
      </c>
      <c r="I813" s="0" t="n">
        <f aca="false">$B$5*D813+$C$5*E813+$D$5*F813</f>
        <v>-0.0143862750341981</v>
      </c>
      <c r="J813" s="0" t="n">
        <f aca="false">SUMPRODUCT(G813:I813,Inputs!$B$4:$D$4)*Inputs!$B$2</f>
        <v>-10515.5831266341</v>
      </c>
    </row>
    <row r="814" customFormat="false" ht="15" hidden="false" customHeight="false" outlineLevel="0" collapsed="false">
      <c r="D814" s="0" t="n">
        <f aca="false">MC_Shocks!A801</f>
        <v>-1.0039573720815</v>
      </c>
      <c r="E814" s="0" t="n">
        <f aca="false">MC_Shocks!B801</f>
        <v>0.207267329398944</v>
      </c>
      <c r="F814" s="0" t="n">
        <f aca="false">MC_Shocks!C801</f>
        <v>0.0693443370362504</v>
      </c>
      <c r="G814" s="0" t="n">
        <f aca="false">$B$3*D814</f>
        <v>-0.0147890159518897</v>
      </c>
      <c r="H814" s="0" t="n">
        <f aca="false">$B$4*D814+$C$4*E814</f>
        <v>-0.00794267371865575</v>
      </c>
      <c r="I814" s="0" t="n">
        <f aca="false">$B$5*D814+$C$5*E814+$D$5*F814</f>
        <v>-0.00925567062159278</v>
      </c>
      <c r="J814" s="0" t="n">
        <f aca="false">SUMPRODUCT(G814:I814,Inputs!$B$4:$D$4)*Inputs!$B$2</f>
        <v>-11075.1096828304</v>
      </c>
    </row>
    <row r="815" customFormat="false" ht="15" hidden="false" customHeight="false" outlineLevel="0" collapsed="false">
      <c r="D815" s="0" t="n">
        <f aca="false">MC_Shocks!A802</f>
        <v>-0.721737553337253</v>
      </c>
      <c r="E815" s="0" t="n">
        <f aca="false">MC_Shocks!B802</f>
        <v>0.176820872139398</v>
      </c>
      <c r="F815" s="0" t="n">
        <f aca="false">MC_Shocks!C802</f>
        <v>-0.546680084587265</v>
      </c>
      <c r="G815" s="0" t="n">
        <f aca="false">$B$3*D815</f>
        <v>-0.010631714539087</v>
      </c>
      <c r="H815" s="0" t="n">
        <f aca="false">$B$4*D815+$C$4*E815</f>
        <v>-0.00536162017975485</v>
      </c>
      <c r="I815" s="0" t="n">
        <f aca="false">$B$5*D815+$C$5*E815+$D$5*F815</f>
        <v>-0.0117754508282092</v>
      </c>
      <c r="J815" s="0" t="n">
        <f aca="false">SUMPRODUCT(G815:I815,Inputs!$B$4:$D$4)*Inputs!$B$2</f>
        <v>-9393.80711802401</v>
      </c>
    </row>
    <row r="816" customFormat="false" ht="15" hidden="false" customHeight="false" outlineLevel="0" collapsed="false">
      <c r="D816" s="0" t="n">
        <f aca="false">MC_Shocks!A803</f>
        <v>-0.271655110326053</v>
      </c>
      <c r="E816" s="0" t="n">
        <f aca="false">MC_Shocks!B803</f>
        <v>1.67345209029854</v>
      </c>
      <c r="F816" s="0" t="n">
        <f aca="false">MC_Shocks!C803</f>
        <v>1.34046105179035</v>
      </c>
      <c r="G816" s="0" t="n">
        <f aca="false">$B$3*D816</f>
        <v>-0.00400167564056517</v>
      </c>
      <c r="H816" s="0" t="n">
        <f aca="false">$B$4*D816+$C$4*E816</f>
        <v>0.0181019852598553</v>
      </c>
      <c r="I816" s="0" t="n">
        <f aca="false">$B$5*D816+$C$5*E816+$D$5*F816</f>
        <v>0.0151281375664043</v>
      </c>
      <c r="J816" s="0" t="n">
        <f aca="false">SUMPRODUCT(G816:I816,Inputs!$B$4:$D$4)*Inputs!$B$2</f>
        <v>8368.36659165179</v>
      </c>
    </row>
    <row r="817" customFormat="false" ht="15" hidden="false" customHeight="false" outlineLevel="0" collapsed="false">
      <c r="D817" s="0" t="n">
        <f aca="false">MC_Shocks!A804</f>
        <v>-1.2995812369276</v>
      </c>
      <c r="E817" s="0" t="n">
        <f aca="false">MC_Shocks!B804</f>
        <v>0.829732417879175</v>
      </c>
      <c r="F817" s="0" t="n">
        <f aca="false">MC_Shocks!C804</f>
        <v>0.811396554491592</v>
      </c>
      <c r="G817" s="0" t="n">
        <f aca="false">$B$3*D817</f>
        <v>-0.0191437686281949</v>
      </c>
      <c r="H817" s="0" t="n">
        <f aca="false">$B$4*D817+$C$4*E817</f>
        <v>-0.00325172854859784</v>
      </c>
      <c r="I817" s="0" t="n">
        <f aca="false">$B$5*D817+$C$5*E817+$D$5*F817</f>
        <v>-0.00355783031820286</v>
      </c>
      <c r="J817" s="0" t="n">
        <f aca="false">SUMPRODUCT(G817:I817,Inputs!$B$4:$D$4)*Inputs!$B$2</f>
        <v>-9700.37511131816</v>
      </c>
    </row>
    <row r="818" customFormat="false" ht="15" hidden="false" customHeight="false" outlineLevel="0" collapsed="false">
      <c r="D818" s="0" t="n">
        <f aca="false">MC_Shocks!A805</f>
        <v>-1.14826328875262</v>
      </c>
      <c r="E818" s="0" t="n">
        <f aca="false">MC_Shocks!B805</f>
        <v>0.818777643754861</v>
      </c>
      <c r="F818" s="0" t="n">
        <f aca="false">MC_Shocks!C805</f>
        <v>1.53793191841255</v>
      </c>
      <c r="G818" s="0" t="n">
        <f aca="false">$B$3*D818</f>
        <v>-0.0169147461501515</v>
      </c>
      <c r="H818" s="0" t="n">
        <f aca="false">$B$4*D818+$C$4*E818</f>
        <v>-0.00180060922656312</v>
      </c>
      <c r="I818" s="0" t="n">
        <f aca="false">$B$5*D818+$C$5*E818+$D$5*F818</f>
        <v>0.00436930061666115</v>
      </c>
      <c r="J818" s="0" t="n">
        <f aca="false">SUMPRODUCT(G818:I818,Inputs!$B$4:$D$4)*Inputs!$B$2</f>
        <v>-5995.2910430312</v>
      </c>
    </row>
    <row r="819" customFormat="false" ht="15" hidden="false" customHeight="false" outlineLevel="0" collapsed="false">
      <c r="D819" s="0" t="n">
        <f aca="false">MC_Shocks!A806</f>
        <v>-1.12254480624441</v>
      </c>
      <c r="E819" s="0" t="n">
        <f aca="false">MC_Shocks!B806</f>
        <v>-0.917502821014264</v>
      </c>
      <c r="F819" s="0" t="n">
        <f aca="false">MC_Shocks!C806</f>
        <v>1.0176614668435</v>
      </c>
      <c r="G819" s="0" t="n">
        <f aca="false">$B$3*D819</f>
        <v>-0.0165358943595783</v>
      </c>
      <c r="H819" s="0" t="n">
        <f aca="false">$B$4*D819+$C$4*E819</f>
        <v>-0.0232707057354588</v>
      </c>
      <c r="I819" s="0" t="n">
        <f aca="false">$B$5*D819+$C$5*E819+$D$5*F819</f>
        <v>-0.00641517100508647</v>
      </c>
      <c r="J819" s="0" t="n">
        <f aca="false">SUMPRODUCT(G819:I819,Inputs!$B$4:$D$4)*Inputs!$B$2</f>
        <v>-15520.1207659949</v>
      </c>
    </row>
    <row r="820" customFormat="false" ht="15" hidden="false" customHeight="false" outlineLevel="0" collapsed="false">
      <c r="D820" s="0" t="n">
        <f aca="false">MC_Shocks!A807</f>
        <v>0.271495310825648</v>
      </c>
      <c r="E820" s="0" t="n">
        <f aca="false">MC_Shocks!B807</f>
        <v>0.551476275239523</v>
      </c>
      <c r="F820" s="0" t="n">
        <f aca="false">MC_Shocks!C807</f>
        <v>0.340589216400497</v>
      </c>
      <c r="G820" s="0" t="n">
        <f aca="false">$B$3*D820</f>
        <v>0.0039993216787075</v>
      </c>
      <c r="H820" s="0" t="n">
        <f aca="false">$B$4*D820+$C$4*E820</f>
        <v>0.00975476638445034</v>
      </c>
      <c r="I820" s="0" t="n">
        <f aca="false">$B$5*D820+$C$5*E820+$D$5*F820</f>
        <v>0.00792500128235646</v>
      </c>
      <c r="J820" s="0" t="n">
        <f aca="false">SUMPRODUCT(G820:I820,Inputs!$B$4:$D$4)*Inputs!$B$2</f>
        <v>6903.65897152504</v>
      </c>
    </row>
    <row r="821" customFormat="false" ht="15" hidden="false" customHeight="false" outlineLevel="0" collapsed="false">
      <c r="D821" s="0" t="n">
        <f aca="false">MC_Shocks!A808</f>
        <v>0.390695920928144</v>
      </c>
      <c r="E821" s="0" t="n">
        <f aca="false">MC_Shocks!B808</f>
        <v>-1.32647212831108</v>
      </c>
      <c r="F821" s="0" t="n">
        <f aca="false">MC_Shocks!C808</f>
        <v>1.04731770662145</v>
      </c>
      <c r="G821" s="0" t="n">
        <f aca="false">$B$3*D821</f>
        <v>0.00575523261009085</v>
      </c>
      <c r="H821" s="0" t="n">
        <f aca="false">$B$4*D821+$C$4*E821</f>
        <v>-0.0125079406681712</v>
      </c>
      <c r="I821" s="0" t="n">
        <f aca="false">$B$5*D821+$C$5*E821+$D$5*F821</f>
        <v>0.00834965215021784</v>
      </c>
      <c r="J821" s="0" t="n">
        <f aca="false">SUMPRODUCT(G821:I821,Inputs!$B$4:$D$4)*Inputs!$B$2</f>
        <v>1054.60648865033</v>
      </c>
    </row>
    <row r="822" customFormat="false" ht="15" hidden="false" customHeight="false" outlineLevel="0" collapsed="false">
      <c r="D822" s="0" t="n">
        <f aca="false">MC_Shocks!A809</f>
        <v>1.16958999242777</v>
      </c>
      <c r="E822" s="0" t="n">
        <f aca="false">MC_Shocks!B809</f>
        <v>-0.229390744068028</v>
      </c>
      <c r="F822" s="0" t="n">
        <f aca="false">MC_Shocks!C809</f>
        <v>-0.0434769498138624</v>
      </c>
      <c r="G822" s="0" t="n">
        <f aca="false">$B$3*D822</f>
        <v>0.017228903872007</v>
      </c>
      <c r="H822" s="0" t="n">
        <f aca="false">$B$4*D822+$C$4*E822</f>
        <v>0.00940420164389833</v>
      </c>
      <c r="I822" s="0" t="n">
        <f aca="false">$B$5*D822+$C$5*E822+$D$5*F822</f>
        <v>0.011154679927794</v>
      </c>
      <c r="J822" s="0" t="n">
        <f aca="false">SUMPRODUCT(G822:I822,Inputs!$B$4:$D$4)*Inputs!$B$2</f>
        <v>13059.2260203105</v>
      </c>
    </row>
    <row r="823" customFormat="false" ht="15" hidden="false" customHeight="false" outlineLevel="0" collapsed="false">
      <c r="D823" s="0" t="n">
        <f aca="false">MC_Shocks!A810</f>
        <v>-1.53110750255572</v>
      </c>
      <c r="E823" s="0" t="n">
        <f aca="false">MC_Shocks!B810</f>
        <v>0.514254756017835</v>
      </c>
      <c r="F823" s="0" t="n">
        <f aca="false">MC_Shocks!C810</f>
        <v>0.572057441714144</v>
      </c>
      <c r="G823" s="0" t="n">
        <f aca="false">$B$3*D823</f>
        <v>-0.0225543174531482</v>
      </c>
      <c r="H823" s="0" t="n">
        <f aca="false">$B$4*D823+$C$4*E823</f>
        <v>-0.00963201692859643</v>
      </c>
      <c r="I823" s="0" t="n">
        <f aca="false">$B$5*D823+$C$5*E823+$D$5*F823</f>
        <v>-0.00928890266510977</v>
      </c>
      <c r="J823" s="0" t="n">
        <f aca="false">SUMPRODUCT(G823:I823,Inputs!$B$4:$D$4)*Inputs!$B$2</f>
        <v>-14698.0028593711</v>
      </c>
    </row>
    <row r="824" customFormat="false" ht="15" hidden="false" customHeight="false" outlineLevel="0" collapsed="false">
      <c r="D824" s="0" t="n">
        <f aca="false">MC_Shocks!A811</f>
        <v>-0.062191016999311</v>
      </c>
      <c r="E824" s="0" t="n">
        <f aca="false">MC_Shocks!B811</f>
        <v>1.1243533598705</v>
      </c>
      <c r="F824" s="0" t="n">
        <f aca="false">MC_Shocks!C811</f>
        <v>-0.334077230979941</v>
      </c>
      <c r="G824" s="0" t="n">
        <f aca="false">$B$3*D824</f>
        <v>-0.000916118520610246</v>
      </c>
      <c r="H824" s="0" t="n">
        <f aca="false">$B$4*D824+$C$4*E824</f>
        <v>0.013425301378857</v>
      </c>
      <c r="I824" s="0" t="n">
        <f aca="false">$B$5*D824+$C$5*E824+$D$5*F824</f>
        <v>0.000623099151564586</v>
      </c>
      <c r="J824" s="0" t="n">
        <f aca="false">SUMPRODUCT(G824:I824,Inputs!$B$4:$D$4)*Inputs!$B$2</f>
        <v>3848.07275088238</v>
      </c>
    </row>
    <row r="825" customFormat="false" ht="15" hidden="false" customHeight="false" outlineLevel="0" collapsed="false">
      <c r="D825" s="0" t="n">
        <f aca="false">MC_Shocks!A812</f>
        <v>0.5646059258936</v>
      </c>
      <c r="E825" s="0" t="n">
        <f aca="false">MC_Shocks!B812</f>
        <v>-1.01966433869212</v>
      </c>
      <c r="F825" s="0" t="n">
        <f aca="false">MC_Shocks!C812</f>
        <v>-0.0235521508742381</v>
      </c>
      <c r="G825" s="0" t="n">
        <f aca="false">$B$3*D825</f>
        <v>0.00831705237370782</v>
      </c>
      <c r="H825" s="0" t="n">
        <f aca="false">$B$4*D825+$C$4*E825</f>
        <v>-0.00684096798013982</v>
      </c>
      <c r="I825" s="0" t="n">
        <f aca="false">$B$5*D825+$C$5*E825+$D$5*F825</f>
        <v>0.00195998471716203</v>
      </c>
      <c r="J825" s="0" t="n">
        <f aca="false">SUMPRODUCT(G825:I825,Inputs!$B$4:$D$4)*Inputs!$B$2</f>
        <v>1862.52597058979</v>
      </c>
    </row>
    <row r="826" customFormat="false" ht="15" hidden="false" customHeight="false" outlineLevel="0" collapsed="false">
      <c r="D826" s="0" t="n">
        <f aca="false">MC_Shocks!A813</f>
        <v>-0.174354257902836</v>
      </c>
      <c r="E826" s="0" t="n">
        <f aca="false">MC_Shocks!B813</f>
        <v>0.225307922040942</v>
      </c>
      <c r="F826" s="0" t="n">
        <f aca="false">MC_Shocks!C813</f>
        <v>-0.369526928833359</v>
      </c>
      <c r="G826" s="0" t="n">
        <f aca="false">$B$3*D826</f>
        <v>-0.00256836392969442</v>
      </c>
      <c r="H826" s="0" t="n">
        <f aca="false">$B$4*D826+$C$4*E826</f>
        <v>0.000991009236784431</v>
      </c>
      <c r="I826" s="0" t="n">
        <f aca="false">$B$5*D826+$C$5*E826+$D$5*F826</f>
        <v>-0.00424139762678359</v>
      </c>
      <c r="J826" s="0" t="n">
        <f aca="false">SUMPRODUCT(G826:I826,Inputs!$B$4:$D$4)*Inputs!$B$2</f>
        <v>-2002.46208887752</v>
      </c>
    </row>
    <row r="827" customFormat="false" ht="15" hidden="false" customHeight="false" outlineLevel="0" collapsed="false">
      <c r="D827" s="0" t="n">
        <f aca="false">MC_Shocks!A814</f>
        <v>-0.131472595671668</v>
      </c>
      <c r="E827" s="0" t="n">
        <f aca="false">MC_Shocks!B814</f>
        <v>0.826047171441506</v>
      </c>
      <c r="F827" s="0" t="n">
        <f aca="false">MC_Shocks!C814</f>
        <v>-0.436764237238217</v>
      </c>
      <c r="G827" s="0" t="n">
        <f aca="false">$B$3*D827</f>
        <v>-0.00193668612701496</v>
      </c>
      <c r="H827" s="0" t="n">
        <f aca="false">$B$4*D827+$C$4*E827</f>
        <v>0.00896299310101642</v>
      </c>
      <c r="I827" s="0" t="n">
        <f aca="false">$B$5*D827+$C$5*E827+$D$5*F827</f>
        <v>-0.00212727664962739</v>
      </c>
      <c r="J827" s="0" t="n">
        <f aca="false">SUMPRODUCT(G827:I827,Inputs!$B$4:$D$4)*Inputs!$B$2</f>
        <v>1276.04048461072</v>
      </c>
    </row>
    <row r="828" customFormat="false" ht="15" hidden="false" customHeight="false" outlineLevel="0" collapsed="false">
      <c r="D828" s="0" t="n">
        <f aca="false">MC_Shocks!A815</f>
        <v>-1.60657710073868</v>
      </c>
      <c r="E828" s="0" t="n">
        <f aca="false">MC_Shocks!B815</f>
        <v>1.74958390420542</v>
      </c>
      <c r="F828" s="0" t="n">
        <f aca="false">MC_Shocks!C815</f>
        <v>1.38145407869049</v>
      </c>
      <c r="G828" s="0" t="n">
        <f aca="false">$B$3*D828</f>
        <v>-0.0236660390485546</v>
      </c>
      <c r="H828" s="0" t="n">
        <f aca="false">$B$4*D828+$C$4*E828</f>
        <v>0.0050434408327417</v>
      </c>
      <c r="I828" s="0" t="n">
        <f aca="false">$B$5*D828+$C$5*E828+$D$5*F828</f>
        <v>0.00162597900093622</v>
      </c>
      <c r="J828" s="0" t="n">
        <f aca="false">SUMPRODUCT(G828:I828,Inputs!$B$4:$D$4)*Inputs!$B$2</f>
        <v>-7465.58966931846</v>
      </c>
    </row>
    <row r="829" customFormat="false" ht="15" hidden="false" customHeight="false" outlineLevel="0" collapsed="false">
      <c r="D829" s="0" t="n">
        <f aca="false">MC_Shocks!A816</f>
        <v>-1.29226269510562</v>
      </c>
      <c r="E829" s="0" t="n">
        <f aca="false">MC_Shocks!B816</f>
        <v>0.689707805245194</v>
      </c>
      <c r="F829" s="0" t="n">
        <f aca="false">MC_Shocks!C816</f>
        <v>-0.502974770551343</v>
      </c>
      <c r="G829" s="0" t="n">
        <f aca="false">$B$3*D829</f>
        <v>-0.0190359612304311</v>
      </c>
      <c r="H829" s="0" t="n">
        <f aca="false">$B$4*D829+$C$4*E829</f>
        <v>-0.00492816517371156</v>
      </c>
      <c r="I829" s="0" t="n">
        <f aca="false">$B$5*D829+$C$5*E829+$D$5*F829</f>
        <v>-0.0155186085606009</v>
      </c>
      <c r="J829" s="0" t="n">
        <f aca="false">SUMPRODUCT(G829:I829,Inputs!$B$4:$D$4)*Inputs!$B$2</f>
        <v>-13748.4166124662</v>
      </c>
    </row>
    <row r="830" customFormat="false" ht="15" hidden="false" customHeight="false" outlineLevel="0" collapsed="false">
      <c r="D830" s="0" t="n">
        <f aca="false">MC_Shocks!A817</f>
        <v>0.26348721533106</v>
      </c>
      <c r="E830" s="0" t="n">
        <f aca="false">MC_Shocks!B817</f>
        <v>0.294224129013494</v>
      </c>
      <c r="F830" s="0" t="n">
        <f aca="false">MC_Shocks!C817</f>
        <v>-0.234407800316322</v>
      </c>
      <c r="G830" s="0" t="n">
        <f aca="false">$B$3*D830</f>
        <v>0.00388135665817264</v>
      </c>
      <c r="H830" s="0" t="n">
        <f aca="false">$B$4*D830+$C$4*E830</f>
        <v>0.00644964490799326</v>
      </c>
      <c r="I830" s="0" t="n">
        <f aca="false">$B$5*D830+$C$5*E830+$D$5*F830</f>
        <v>0.00184007835004332</v>
      </c>
      <c r="J830" s="0" t="n">
        <f aca="false">SUMPRODUCT(G830:I830,Inputs!$B$4:$D$4)*Inputs!$B$2</f>
        <v>4039.45964068003</v>
      </c>
    </row>
    <row r="831" customFormat="false" ht="15" hidden="false" customHeight="false" outlineLevel="0" collapsed="false">
      <c r="D831" s="0" t="n">
        <f aca="false">MC_Shocks!A818</f>
        <v>-0.783765665586397</v>
      </c>
      <c r="E831" s="0" t="n">
        <f aca="false">MC_Shocks!B818</f>
        <v>-0.690541052316259</v>
      </c>
      <c r="F831" s="0" t="n">
        <f aca="false">MC_Shocks!C818</f>
        <v>-0.916191915481243</v>
      </c>
      <c r="G831" s="0" t="n">
        <f aca="false">$B$3*D831</f>
        <v>-0.0115454333552717</v>
      </c>
      <c r="H831" s="0" t="n">
        <f aca="false">$B$4*D831+$C$4*E831</f>
        <v>-0.016872966286565</v>
      </c>
      <c r="I831" s="0" t="n">
        <f aca="false">$B$5*D831+$C$5*E831+$D$5*F831</f>
        <v>-0.0189165224343814</v>
      </c>
      <c r="J831" s="0" t="n">
        <f aca="false">SUMPRODUCT(G831:I831,Inputs!$B$4:$D$4)*Inputs!$B$2</f>
        <v>-15355.0199583926</v>
      </c>
    </row>
    <row r="832" customFormat="false" ht="15" hidden="false" customHeight="false" outlineLevel="0" collapsed="false">
      <c r="D832" s="0" t="n">
        <f aca="false">MC_Shocks!A819</f>
        <v>-0.831822208230445</v>
      </c>
      <c r="E832" s="0" t="n">
        <f aca="false">MC_Shocks!B819</f>
        <v>-0.0671782900493553</v>
      </c>
      <c r="F832" s="0" t="n">
        <f aca="false">MC_Shocks!C819</f>
        <v>-0.715759989110752</v>
      </c>
      <c r="G832" s="0" t="n">
        <f aca="false">$B$3*D832</f>
        <v>-0.0122533408775622</v>
      </c>
      <c r="H832" s="0" t="n">
        <f aca="false">$B$4*D832+$C$4*E832</f>
        <v>-0.0095722306572128</v>
      </c>
      <c r="I832" s="0" t="n">
        <f aca="false">$B$5*D832+$C$5*E832+$D$5*F832</f>
        <v>-0.0153365512470997</v>
      </c>
      <c r="J832" s="0" t="n">
        <f aca="false">SUMPRODUCT(G832:I832,Inputs!$B$4:$D$4)*Inputs!$B$2</f>
        <v>-12373.9709223186</v>
      </c>
    </row>
    <row r="833" customFormat="false" ht="15" hidden="false" customHeight="false" outlineLevel="0" collapsed="false">
      <c r="D833" s="0" t="n">
        <f aca="false">MC_Shocks!A820</f>
        <v>0.68205206571262</v>
      </c>
      <c r="E833" s="0" t="n">
        <f aca="false">MC_Shocks!B820</f>
        <v>1.48724615533593</v>
      </c>
      <c r="F833" s="0" t="n">
        <f aca="false">MC_Shocks!C820</f>
        <v>-0.580053241370043</v>
      </c>
      <c r="G833" s="0" t="n">
        <f aca="false">$B$3*D833</f>
        <v>0.0100471186928287</v>
      </c>
      <c r="H833" s="0" t="n">
        <f aca="false">$B$4*D833+$C$4*E833</f>
        <v>0.0257809265392881</v>
      </c>
      <c r="I833" s="0" t="n">
        <f aca="false">$B$5*D833+$C$5*E833+$D$5*F833</f>
        <v>0.00771347936100623</v>
      </c>
      <c r="J833" s="0" t="n">
        <f aca="false">SUMPRODUCT(G833:I833,Inputs!$B$4:$D$4)*Inputs!$B$2</f>
        <v>14067.1692472198</v>
      </c>
    </row>
    <row r="834" customFormat="false" ht="15" hidden="false" customHeight="false" outlineLevel="0" collapsed="false">
      <c r="D834" s="0" t="n">
        <f aca="false">MC_Shocks!A821</f>
        <v>0.239404500535377</v>
      </c>
      <c r="E834" s="0" t="n">
        <f aca="false">MC_Shocks!B821</f>
        <v>0.499685110302934</v>
      </c>
      <c r="F834" s="0" t="n">
        <f aca="false">MC_Shocks!C821</f>
        <v>0.472002270919274</v>
      </c>
      <c r="G834" s="0" t="n">
        <f aca="false">$B$3*D834</f>
        <v>0.00352660090540623</v>
      </c>
      <c r="H834" s="0" t="n">
        <f aca="false">$B$4*D834+$C$4*E834</f>
        <v>0.00876945082248775</v>
      </c>
      <c r="I834" s="0" t="n">
        <f aca="false">$B$5*D834+$C$5*E834+$D$5*F834</f>
        <v>0.00854227368944147</v>
      </c>
      <c r="J834" s="0" t="n">
        <f aca="false">SUMPRODUCT(G834:I834,Inputs!$B$4:$D$4)*Inputs!$B$2</f>
        <v>6604.15771574126</v>
      </c>
    </row>
    <row r="835" customFormat="false" ht="15" hidden="false" customHeight="false" outlineLevel="0" collapsed="false">
      <c r="D835" s="0" t="n">
        <f aca="false">MC_Shocks!A822</f>
        <v>0.0759552679160874</v>
      </c>
      <c r="E835" s="0" t="n">
        <f aca="false">MC_Shocks!B822</f>
        <v>0.742682418359722</v>
      </c>
      <c r="F835" s="0" t="n">
        <f aca="false">MC_Shocks!C822</f>
        <v>0.482248952680657</v>
      </c>
      <c r="G835" s="0" t="n">
        <f aca="false">$B$3*D835</f>
        <v>0.00111887586074709</v>
      </c>
      <c r="H835" s="0" t="n">
        <f aca="false">$B$4*D835+$C$4*E835</f>
        <v>0.0100964125105471</v>
      </c>
      <c r="I835" s="0" t="n">
        <f aca="false">$B$5*D835+$C$5*E835+$D$5*F835</f>
        <v>0.00780955470265571</v>
      </c>
      <c r="J835" s="0" t="n">
        <f aca="false">SUMPRODUCT(G835:I835,Inputs!$B$4:$D$4)*Inputs!$B$2</f>
        <v>5819.34050825968</v>
      </c>
    </row>
    <row r="836" customFormat="false" ht="15" hidden="false" customHeight="false" outlineLevel="0" collapsed="false">
      <c r="D836" s="0" t="n">
        <f aca="false">MC_Shocks!A823</f>
        <v>-1.2376624223273</v>
      </c>
      <c r="E836" s="0" t="n">
        <f aca="false">MC_Shocks!B823</f>
        <v>0.869156064389273</v>
      </c>
      <c r="F836" s="0" t="n">
        <f aca="false">MC_Shocks!C823</f>
        <v>0.887290837266742</v>
      </c>
      <c r="G836" s="0" t="n">
        <f aca="false">$B$3*D836</f>
        <v>-0.0182316598451821</v>
      </c>
      <c r="H836" s="0" t="n">
        <f aca="false">$B$4*D836+$C$4*E836</f>
        <v>-0.00210818238796045</v>
      </c>
      <c r="I836" s="0" t="n">
        <f aca="false">$B$5*D836+$C$5*E836+$D$5*F836</f>
        <v>-0.00208924967781412</v>
      </c>
      <c r="J836" s="0" t="n">
        <f aca="false">SUMPRODUCT(G836:I836,Inputs!$B$4:$D$4)*Inputs!$B$2</f>
        <v>-8551.89355780522</v>
      </c>
    </row>
    <row r="837" customFormat="false" ht="15" hidden="false" customHeight="false" outlineLevel="0" collapsed="false">
      <c r="D837" s="0" t="n">
        <f aca="false">MC_Shocks!A824</f>
        <v>-0.763286104178582</v>
      </c>
      <c r="E837" s="0" t="n">
        <f aca="false">MC_Shocks!B824</f>
        <v>0.037937835447602</v>
      </c>
      <c r="F837" s="0" t="n">
        <f aca="false">MC_Shocks!C824</f>
        <v>0.683328992811069</v>
      </c>
      <c r="G837" s="0" t="n">
        <f aca="false">$B$3*D837</f>
        <v>-0.0112437546498104</v>
      </c>
      <c r="H837" s="0" t="n">
        <f aca="false">$B$4*D837+$C$4*E837</f>
        <v>-0.00753668867218398</v>
      </c>
      <c r="I837" s="0" t="n">
        <f aca="false">$B$5*D837+$C$5*E837+$D$5*F837</f>
        <v>-0.00196046234030618</v>
      </c>
      <c r="J837" s="0" t="n">
        <f aca="false">SUMPRODUCT(G837:I837,Inputs!$B$4:$D$4)*Inputs!$B$2</f>
        <v>-7346.6471636712</v>
      </c>
    </row>
    <row r="838" customFormat="false" ht="15" hidden="false" customHeight="false" outlineLevel="0" collapsed="false">
      <c r="D838" s="0" t="n">
        <f aca="false">MC_Shocks!A825</f>
        <v>-0.209313819579362</v>
      </c>
      <c r="E838" s="0" t="n">
        <f aca="false">MC_Shocks!B825</f>
        <v>1.07297804776601</v>
      </c>
      <c r="F838" s="0" t="n">
        <f aca="false">MC_Shocks!C825</f>
        <v>2.36387249461936</v>
      </c>
      <c r="G838" s="0" t="n">
        <f aca="false">$B$3*D838</f>
        <v>-0.00308334347930745</v>
      </c>
      <c r="H838" s="0" t="n">
        <f aca="false">$B$4*D838+$C$4*E838</f>
        <v>0.0112377778929128</v>
      </c>
      <c r="I838" s="0" t="n">
        <f aca="false">$B$5*D838+$C$5*E838+$D$5*F838</f>
        <v>0.0225063622617894</v>
      </c>
      <c r="J838" s="0" t="n">
        <f aca="false">SUMPRODUCT(G838:I838,Inputs!$B$4:$D$4)*Inputs!$B$2</f>
        <v>8889.90465468767</v>
      </c>
    </row>
    <row r="839" customFormat="false" ht="15" hidden="false" customHeight="false" outlineLevel="0" collapsed="false">
      <c r="D839" s="0" t="n">
        <f aca="false">MC_Shocks!A826</f>
        <v>-0.785986032634982</v>
      </c>
      <c r="E839" s="0" t="n">
        <f aca="false">MC_Shocks!B826</f>
        <v>-1.38104460315378</v>
      </c>
      <c r="F839" s="0" t="n">
        <f aca="false">MC_Shocks!C826</f>
        <v>0.303818595604876</v>
      </c>
      <c r="G839" s="0" t="n">
        <f aca="false">$B$3*D839</f>
        <v>-0.0115781409627994</v>
      </c>
      <c r="H839" s="0" t="n">
        <f aca="false">$B$4*D839+$C$4*E839</f>
        <v>-0.0255420982836269</v>
      </c>
      <c r="I839" s="0" t="n">
        <f aca="false">$B$5*D839+$C$5*E839+$D$5*F839</f>
        <v>-0.0108372123229824</v>
      </c>
      <c r="J839" s="0" t="n">
        <f aca="false">SUMPRODUCT(G839:I839,Inputs!$B$4:$D$4)*Inputs!$B$2</f>
        <v>-15545.0495671025</v>
      </c>
    </row>
    <row r="840" customFormat="false" ht="15" hidden="false" customHeight="false" outlineLevel="0" collapsed="false">
      <c r="D840" s="0" t="n">
        <f aca="false">MC_Shocks!A827</f>
        <v>0.721562505126144</v>
      </c>
      <c r="E840" s="0" t="n">
        <f aca="false">MC_Shocks!B827</f>
        <v>-0.230866373844769</v>
      </c>
      <c r="F840" s="0" t="n">
        <f aca="false">MC_Shocks!C827</f>
        <v>1.45326066332103</v>
      </c>
      <c r="G840" s="0" t="n">
        <f aca="false">$B$3*D840</f>
        <v>0.0106291359527262</v>
      </c>
      <c r="H840" s="0" t="n">
        <f aca="false">$B$4*D840+$C$4*E840</f>
        <v>0.00468307663677285</v>
      </c>
      <c r="I840" s="0" t="n">
        <f aca="false">$B$5*D840+$C$5*E840+$D$5*F840</f>
        <v>0.0195131386622479</v>
      </c>
      <c r="J840" s="0" t="n">
        <f aca="false">SUMPRODUCT(G840:I840,Inputs!$B$4:$D$4)*Inputs!$B$2</f>
        <v>11510.5189707967</v>
      </c>
    </row>
    <row r="841" customFormat="false" ht="15" hidden="false" customHeight="false" outlineLevel="0" collapsed="false">
      <c r="D841" s="0" t="n">
        <f aca="false">MC_Shocks!A828</f>
        <v>-1.33860579972325</v>
      </c>
      <c r="E841" s="0" t="n">
        <f aca="false">MC_Shocks!B828</f>
        <v>0.692918623031611</v>
      </c>
      <c r="F841" s="0" t="n">
        <f aca="false">MC_Shocks!C828</f>
        <v>-0.605860820758893</v>
      </c>
      <c r="G841" s="0" t="n">
        <f aca="false">$B$3*D841</f>
        <v>-0.0197186285751903</v>
      </c>
      <c r="H841" s="0" t="n">
        <f aca="false">$B$4*D841+$C$4*E841</f>
        <v>-0.00537439533482615</v>
      </c>
      <c r="I841" s="0" t="n">
        <f aca="false">$B$5*D841+$C$5*E841+$D$5*F841</f>
        <v>-0.0168989950756798</v>
      </c>
      <c r="J841" s="0" t="n">
        <f aca="false">SUMPRODUCT(G841:I841,Inputs!$B$4:$D$4)*Inputs!$B$2</f>
        <v>-14569.4685532279</v>
      </c>
    </row>
    <row r="842" customFormat="false" ht="15" hidden="false" customHeight="false" outlineLevel="0" collapsed="false">
      <c r="D842" s="0" t="n">
        <f aca="false">MC_Shocks!A829</f>
        <v>1.7193779062073</v>
      </c>
      <c r="E842" s="0" t="n">
        <f aca="false">MC_Shocks!B829</f>
        <v>1.99251535316812</v>
      </c>
      <c r="F842" s="0" t="n">
        <f aca="false">MC_Shocks!C829</f>
        <v>-0.766656587783348</v>
      </c>
      <c r="G842" s="0" t="n">
        <f aca="false">$B$3*D842</f>
        <v>0.0253276762433716</v>
      </c>
      <c r="H842" s="0" t="n">
        <f aca="false">$B$4*D842+$C$4*E842</f>
        <v>0.0429955491959734</v>
      </c>
      <c r="I842" s="0" t="n">
        <f aca="false">$B$5*D842+$C$5*E842+$D$5*F842</f>
        <v>0.0189627426185151</v>
      </c>
      <c r="J842" s="0" t="n">
        <f aca="false">SUMPRODUCT(G842:I842,Inputs!$B$4:$D$4)*Inputs!$B$2</f>
        <v>28718.5580416952</v>
      </c>
    </row>
    <row r="843" customFormat="false" ht="15" hidden="false" customHeight="false" outlineLevel="0" collapsed="false">
      <c r="D843" s="0" t="n">
        <f aca="false">MC_Shocks!A830</f>
        <v>-0.54955713590858</v>
      </c>
      <c r="E843" s="0" t="n">
        <f aca="false">MC_Shocks!B830</f>
        <v>0.859587886979802</v>
      </c>
      <c r="F843" s="0" t="n">
        <f aca="false">MC_Shocks!C830</f>
        <v>-0.387130649789515</v>
      </c>
      <c r="G843" s="0" t="n">
        <f aca="false">$B$3*D843</f>
        <v>-0.00809537284693302</v>
      </c>
      <c r="H843" s="0" t="n">
        <f aca="false">$B$4*D843+$C$4*E843</f>
        <v>0.00499460067725894</v>
      </c>
      <c r="I843" s="0" t="n">
        <f aca="false">$B$5*D843+$C$5*E843+$D$5*F843</f>
        <v>-0.00599739060547621</v>
      </c>
      <c r="J843" s="0" t="n">
        <f aca="false">SUMPRODUCT(G843:I843,Inputs!$B$4:$D$4)*Inputs!$B$2</f>
        <v>-3538.98611723839</v>
      </c>
    </row>
    <row r="844" customFormat="false" ht="15" hidden="false" customHeight="false" outlineLevel="0" collapsed="false">
      <c r="D844" s="0" t="n">
        <f aca="false">MC_Shocks!A831</f>
        <v>-0.0454112179322382</v>
      </c>
      <c r="E844" s="0" t="n">
        <f aca="false">MC_Shocks!B831</f>
        <v>0.0253884205424102</v>
      </c>
      <c r="F844" s="0" t="n">
        <f aca="false">MC_Shocks!C831</f>
        <v>-1.91967315619766</v>
      </c>
      <c r="G844" s="0" t="n">
        <f aca="false">$B$3*D844</f>
        <v>-0.000668939981985701</v>
      </c>
      <c r="H844" s="0" t="n">
        <f aca="false">$B$4*D844+$C$4*E844</f>
        <v>-0.000158761992406874</v>
      </c>
      <c r="I844" s="0" t="n">
        <f aca="false">$B$5*D844+$C$5*E844+$D$5*F844</f>
        <v>-0.0172029561072322</v>
      </c>
      <c r="J844" s="0" t="n">
        <f aca="false">SUMPRODUCT(G844:I844,Inputs!$B$4:$D$4)*Inputs!$B$2</f>
        <v>-5476.091422686</v>
      </c>
    </row>
    <row r="845" customFormat="false" ht="15" hidden="false" customHeight="false" outlineLevel="0" collapsed="false">
      <c r="D845" s="0" t="n">
        <f aca="false">MC_Shocks!A832</f>
        <v>-0.0138377460942373</v>
      </c>
      <c r="E845" s="0" t="n">
        <f aca="false">MC_Shocks!B832</f>
        <v>-0.689727774064174</v>
      </c>
      <c r="F845" s="0" t="n">
        <f aca="false">MC_Shocks!C832</f>
        <v>-0.493122822399772</v>
      </c>
      <c r="G845" s="0" t="n">
        <f aca="false">$B$3*D845</f>
        <v>-0.000203839977091439</v>
      </c>
      <c r="H845" s="0" t="n">
        <f aca="false">$B$4*D845+$C$4*E845</f>
        <v>-0.0087813584146319</v>
      </c>
      <c r="I845" s="0" t="n">
        <f aca="false">$B$5*D845+$C$5*E845+$D$5*F845</f>
        <v>-0.00704832689287727</v>
      </c>
      <c r="J845" s="0" t="n">
        <f aca="false">SUMPRODUCT(G845:I845,Inputs!$B$4:$D$4)*Inputs!$B$2</f>
        <v>-4830.44158308933</v>
      </c>
    </row>
    <row r="846" customFormat="false" ht="15" hidden="false" customHeight="false" outlineLevel="0" collapsed="false">
      <c r="D846" s="0" t="n">
        <f aca="false">MC_Shocks!A833</f>
        <v>1.44363200346881</v>
      </c>
      <c r="E846" s="0" t="n">
        <f aca="false">MC_Shocks!B833</f>
        <v>-1.25650689427926</v>
      </c>
      <c r="F846" s="0" t="n">
        <f aca="false">MC_Shocks!C833</f>
        <v>0.813205186747977</v>
      </c>
      <c r="G846" s="0" t="n">
        <f aca="false">$B$3*D846</f>
        <v>0.021265740281078</v>
      </c>
      <c r="H846" s="0" t="n">
        <f aca="false">$B$4*D846+$C$4*E846</f>
        <v>-0.000579928281986442</v>
      </c>
      <c r="I846" s="0" t="n">
        <f aca="false">$B$5*D846+$C$5*E846+$D$5*F846</f>
        <v>0.0177186968719031</v>
      </c>
      <c r="J846" s="0" t="n">
        <f aca="false">SUMPRODUCT(G846:I846,Inputs!$B$4:$D$4)*Inputs!$B$2</f>
        <v>13647.9266894062</v>
      </c>
    </row>
    <row r="847" customFormat="false" ht="15" hidden="false" customHeight="false" outlineLevel="0" collapsed="false">
      <c r="D847" s="0" t="n">
        <f aca="false">MC_Shocks!A834</f>
        <v>-0.278962930331809</v>
      </c>
      <c r="E847" s="0" t="n">
        <f aca="false">MC_Shocks!B834</f>
        <v>-0.279760168495834</v>
      </c>
      <c r="F847" s="0" t="n">
        <f aca="false">MC_Shocks!C834</f>
        <v>0.790371896051711</v>
      </c>
      <c r="G847" s="0" t="n">
        <f aca="false">$B$3*D847</f>
        <v>-0.00410932509824541</v>
      </c>
      <c r="H847" s="0" t="n">
        <f aca="false">$B$4*D847+$C$4*E847</f>
        <v>-0.0064309793600229</v>
      </c>
      <c r="I847" s="0" t="n">
        <f aca="false">$B$5*D847+$C$5*E847+$D$5*F847</f>
        <v>0.00292043649779885</v>
      </c>
      <c r="J847" s="0" t="n">
        <f aca="false">SUMPRODUCT(G847:I847,Inputs!$B$4:$D$4)*Inputs!$B$2</f>
        <v>-2696.89289796538</v>
      </c>
    </row>
    <row r="848" customFormat="false" ht="15" hidden="false" customHeight="false" outlineLevel="0" collapsed="false">
      <c r="D848" s="0" t="n">
        <f aca="false">MC_Shocks!A835</f>
        <v>0.34005129456889</v>
      </c>
      <c r="E848" s="0" t="n">
        <f aca="false">MC_Shocks!B835</f>
        <v>0.570612997219531</v>
      </c>
      <c r="F848" s="0" t="n">
        <f aca="false">MC_Shocks!C835</f>
        <v>0.968184660532861</v>
      </c>
      <c r="G848" s="0" t="n">
        <f aca="false">$B$3*D848</f>
        <v>0.00500920074864674</v>
      </c>
      <c r="H848" s="0" t="n">
        <f aca="false">$B$4*D848+$C$4*E848</f>
        <v>0.0107139650233026</v>
      </c>
      <c r="I848" s="0" t="n">
        <f aca="false">$B$5*D848+$C$5*E848+$D$5*F848</f>
        <v>0.0142210029035193</v>
      </c>
      <c r="J848" s="0" t="n">
        <f aca="false">SUMPRODUCT(G848:I848,Inputs!$B$4:$D$4)*Inputs!$B$2</f>
        <v>9484.17067750529</v>
      </c>
    </row>
    <row r="849" customFormat="false" ht="15" hidden="false" customHeight="false" outlineLevel="0" collapsed="false">
      <c r="D849" s="0" t="n">
        <f aca="false">MC_Shocks!A836</f>
        <v>-0.331308383183323</v>
      </c>
      <c r="E849" s="0" t="n">
        <f aca="false">MC_Shocks!B836</f>
        <v>-0.61223673450775</v>
      </c>
      <c r="F849" s="0" t="n">
        <f aca="false">MC_Shocks!C836</f>
        <v>-1.0851505265578</v>
      </c>
      <c r="G849" s="0" t="n">
        <f aca="false">$B$3*D849</f>
        <v>-0.00488041136022973</v>
      </c>
      <c r="H849" s="0" t="n">
        <f aca="false">$B$4*D849+$C$4*E849</f>
        <v>-0.0111433691598219</v>
      </c>
      <c r="I849" s="0" t="n">
        <f aca="false">$B$5*D849+$C$5*E849+$D$5*F849</f>
        <v>-0.0153088088106614</v>
      </c>
      <c r="J849" s="0" t="n">
        <f aca="false">SUMPRODUCT(G849:I849,Inputs!$B$4:$D$4)*Inputs!$B$2</f>
        <v>-9887.8179352369</v>
      </c>
    </row>
    <row r="850" customFormat="false" ht="15" hidden="false" customHeight="false" outlineLevel="0" collapsed="false">
      <c r="D850" s="0" t="n">
        <f aca="false">MC_Shocks!A837</f>
        <v>-0.825410529978955</v>
      </c>
      <c r="E850" s="0" t="n">
        <f aca="false">MC_Shocks!B837</f>
        <v>2.94909442530873</v>
      </c>
      <c r="F850" s="0" t="n">
        <f aca="false">MC_Shocks!C837</f>
        <v>1.24467958073679</v>
      </c>
      <c r="G850" s="0" t="n">
        <f aca="false">$B$3*D850</f>
        <v>-0.0121588922340475</v>
      </c>
      <c r="H850" s="0" t="n">
        <f aca="false">$B$4*D850+$C$4*E850</f>
        <v>0.0282619559356633</v>
      </c>
      <c r="I850" s="0" t="n">
        <f aca="false">$B$5*D850+$C$5*E850+$D$5*F850</f>
        <v>0.0131959359431375</v>
      </c>
      <c r="J850" s="0" t="n">
        <f aca="false">SUMPRODUCT(G850:I850,Inputs!$B$4:$D$4)*Inputs!$B$2</f>
        <v>7573.81067002122</v>
      </c>
    </row>
    <row r="851" customFormat="false" ht="15" hidden="false" customHeight="false" outlineLevel="0" collapsed="false">
      <c r="D851" s="0" t="n">
        <f aca="false">MC_Shocks!A838</f>
        <v>-1.35107436620802</v>
      </c>
      <c r="E851" s="0" t="n">
        <f aca="false">MC_Shocks!B838</f>
        <v>-1.32245795674357</v>
      </c>
      <c r="F851" s="0" t="n">
        <f aca="false">MC_Shocks!C838</f>
        <v>0.481866061718492</v>
      </c>
      <c r="G851" s="0" t="n">
        <f aca="false">$B$3*D851</f>
        <v>-0.0199022995494451</v>
      </c>
      <c r="H851" s="0" t="n">
        <f aca="false">$B$4*D851+$C$4*E851</f>
        <v>-0.0307398911832867</v>
      </c>
      <c r="I851" s="0" t="n">
        <f aca="false">$B$5*D851+$C$5*E851+$D$5*F851</f>
        <v>-0.0150464467398328</v>
      </c>
      <c r="J851" s="0" t="n">
        <f aca="false">SUMPRODUCT(G851:I851,Inputs!$B$4:$D$4)*Inputs!$B$2</f>
        <v>-21696.8211967139</v>
      </c>
    </row>
    <row r="852" customFormat="false" ht="15" hidden="false" customHeight="false" outlineLevel="0" collapsed="false">
      <c r="D852" s="0" t="n">
        <f aca="false">MC_Shocks!A839</f>
        <v>0.547264797377967</v>
      </c>
      <c r="E852" s="0" t="n">
        <f aca="false">MC_Shocks!B839</f>
        <v>0.548883835317364</v>
      </c>
      <c r="F852" s="0" t="n">
        <f aca="false">MC_Shocks!C839</f>
        <v>-0.254955793553698</v>
      </c>
      <c r="G852" s="0" t="n">
        <f aca="false">$B$3*D852</f>
        <v>0.00806160504758305</v>
      </c>
      <c r="H852" s="0" t="n">
        <f aca="false">$B$4*D852+$C$4*E852</f>
        <v>0.0126168764613613</v>
      </c>
      <c r="I852" s="0" t="n">
        <f aca="false">$B$5*D852+$C$5*E852+$D$5*F852</f>
        <v>0.00562053521345996</v>
      </c>
      <c r="J852" s="0" t="n">
        <f aca="false">SUMPRODUCT(G852:I852,Inputs!$B$4:$D$4)*Inputs!$B$2</f>
        <v>8695.86552147958</v>
      </c>
    </row>
    <row r="853" customFormat="false" ht="15" hidden="false" customHeight="false" outlineLevel="0" collapsed="false">
      <c r="D853" s="0" t="n">
        <f aca="false">MC_Shocks!A840</f>
        <v>-0.1254542600029</v>
      </c>
      <c r="E853" s="0" t="n">
        <f aca="false">MC_Shocks!B840</f>
        <v>0.327879524159357</v>
      </c>
      <c r="F853" s="0" t="n">
        <f aca="false">MC_Shocks!C840</f>
        <v>0.0858930062933304</v>
      </c>
      <c r="G853" s="0" t="n">
        <f aca="false">$B$3*D853</f>
        <v>-0.00184803170334686</v>
      </c>
      <c r="H853" s="0" t="n">
        <f aca="false">$B$4*D853+$C$4*E853</f>
        <v>0.00278858389399504</v>
      </c>
      <c r="I853" s="0" t="n">
        <f aca="false">$B$5*D853+$C$5*E853+$D$5*F853</f>
        <v>0.000650329773361348</v>
      </c>
      <c r="J853" s="0" t="n">
        <f aca="false">SUMPRODUCT(G853:I853,Inputs!$B$4:$D$4)*Inputs!$B$2</f>
        <v>292.461418868173</v>
      </c>
    </row>
    <row r="854" customFormat="false" ht="15" hidden="false" customHeight="false" outlineLevel="0" collapsed="false">
      <c r="D854" s="0" t="n">
        <f aca="false">MC_Shocks!A841</f>
        <v>-2.21930037274754</v>
      </c>
      <c r="E854" s="0" t="n">
        <f aca="false">MC_Shocks!B841</f>
        <v>-0.229799630575194</v>
      </c>
      <c r="F854" s="0" t="n">
        <f aca="false">MC_Shocks!C841</f>
        <v>-0.851406434260314</v>
      </c>
      <c r="G854" s="0" t="n">
        <f aca="false">$B$3*D854</f>
        <v>-0.0326918946235236</v>
      </c>
      <c r="H854" s="0" t="n">
        <f aca="false">$B$4*D854+$C$4*E854</f>
        <v>-0.0261718615996573</v>
      </c>
      <c r="I854" s="0" t="n">
        <f aca="false">$B$5*D854+$C$5*E854+$D$5*F854</f>
        <v>-0.0318367639369791</v>
      </c>
      <c r="J854" s="0" t="n">
        <f aca="false">SUMPRODUCT(G854:I854,Inputs!$B$4:$D$4)*Inputs!$B$2</f>
        <v>-30479.3455104004</v>
      </c>
    </row>
    <row r="855" customFormat="false" ht="15" hidden="false" customHeight="false" outlineLevel="0" collapsed="false">
      <c r="D855" s="0" t="n">
        <f aca="false">MC_Shocks!A842</f>
        <v>0.175211418908512</v>
      </c>
      <c r="E855" s="0" t="n">
        <f aca="false">MC_Shocks!B842</f>
        <v>2.98525900260341</v>
      </c>
      <c r="F855" s="0" t="n">
        <f aca="false">MC_Shocks!C842</f>
        <v>0.367481665474304</v>
      </c>
      <c r="G855" s="0" t="n">
        <f aca="false">$B$3*D855</f>
        <v>0.00258099052932784</v>
      </c>
      <c r="H855" s="0" t="n">
        <f aca="false">$B$4*D855+$C$4*E855</f>
        <v>0.03921764186245</v>
      </c>
      <c r="I855" s="0" t="n">
        <f aca="false">$B$5*D855+$C$5*E855+$D$5*F855</f>
        <v>0.0162505087208018</v>
      </c>
      <c r="J855" s="0" t="n">
        <f aca="false">SUMPRODUCT(G855:I855,Inputs!$B$4:$D$4)*Inputs!$B$2</f>
        <v>17672.8413867067</v>
      </c>
    </row>
    <row r="856" customFormat="false" ht="15" hidden="false" customHeight="false" outlineLevel="0" collapsed="false">
      <c r="D856" s="0" t="n">
        <f aca="false">MC_Shocks!A843</f>
        <v>-0.313529686172398</v>
      </c>
      <c r="E856" s="0" t="n">
        <f aca="false">MC_Shocks!B843</f>
        <v>0.921801501977252</v>
      </c>
      <c r="F856" s="0" t="n">
        <f aca="false">MC_Shocks!C843</f>
        <v>0.482687887209213</v>
      </c>
      <c r="G856" s="0" t="n">
        <f aca="false">$B$3*D856</f>
        <v>-0.00461851833467901</v>
      </c>
      <c r="H856" s="0" t="n">
        <f aca="false">$B$4*D856+$C$4*E856</f>
        <v>0.00825100439846263</v>
      </c>
      <c r="I856" s="0" t="n">
        <f aca="false">$B$5*D856+$C$5*E856+$D$5*F856</f>
        <v>0.00435649186267367</v>
      </c>
      <c r="J856" s="0" t="n">
        <f aca="false">SUMPRODUCT(G856:I856,Inputs!$B$4:$D$4)*Inputs!$B$2</f>
        <v>1934.84154446929</v>
      </c>
    </row>
    <row r="857" customFormat="false" ht="15" hidden="false" customHeight="false" outlineLevel="0" collapsed="false">
      <c r="D857" s="0" t="n">
        <f aca="false">MC_Shocks!A844</f>
        <v>0.420094490451841</v>
      </c>
      <c r="E857" s="0" t="n">
        <f aca="false">MC_Shocks!B844</f>
        <v>0.606850593215671</v>
      </c>
      <c r="F857" s="0" t="n">
        <f aca="false">MC_Shocks!C844</f>
        <v>2.05654356482954</v>
      </c>
      <c r="G857" s="0" t="n">
        <f aca="false">$B$3*D857</f>
        <v>0.00618829473577381</v>
      </c>
      <c r="H857" s="0" t="n">
        <f aca="false">$B$4*D857+$C$4*E857</f>
        <v>0.0120078581588482</v>
      </c>
      <c r="I857" s="0" t="n">
        <f aca="false">$B$5*D857+$C$5*E857+$D$5*F857</f>
        <v>0.0247391388704314</v>
      </c>
      <c r="J857" s="0" t="n">
        <f aca="false">SUMPRODUCT(G857:I857,Inputs!$B$4:$D$4)*Inputs!$B$2</f>
        <v>13499.4170030934</v>
      </c>
    </row>
    <row r="858" customFormat="false" ht="15" hidden="false" customHeight="false" outlineLevel="0" collapsed="false">
      <c r="D858" s="0" t="n">
        <f aca="false">MC_Shocks!A845</f>
        <v>-1.13088843532592</v>
      </c>
      <c r="E858" s="0" t="n">
        <f aca="false">MC_Shocks!B845</f>
        <v>0.473632076811455</v>
      </c>
      <c r="F858" s="0" t="n">
        <f aca="false">MC_Shocks!C845</f>
        <v>-0.926381129981538</v>
      </c>
      <c r="G858" s="0" t="n">
        <f aca="false">$B$3*D858</f>
        <v>-0.0166588020317708</v>
      </c>
      <c r="H858" s="0" t="n">
        <f aca="false">$B$4*D858+$C$4*E858</f>
        <v>-0.00593982016178195</v>
      </c>
      <c r="I858" s="0" t="n">
        <f aca="false">$B$5*D858+$C$5*E858+$D$5*F858</f>
        <v>-0.0183264751794977</v>
      </c>
      <c r="J858" s="0" t="n">
        <f aca="false">SUMPRODUCT(G858:I858,Inputs!$B$4:$D$4)*Inputs!$B$2</f>
        <v>-13943.4094150922</v>
      </c>
    </row>
    <row r="859" customFormat="false" ht="15" hidden="false" customHeight="false" outlineLevel="0" collapsed="false">
      <c r="D859" s="0" t="n">
        <f aca="false">MC_Shocks!A846</f>
        <v>0.555512646342248</v>
      </c>
      <c r="E859" s="0" t="n">
        <f aca="false">MC_Shocks!B846</f>
        <v>-0.918686511486094</v>
      </c>
      <c r="F859" s="0" t="n">
        <f aca="false">MC_Shocks!C846</f>
        <v>-0.417366813605084</v>
      </c>
      <c r="G859" s="0" t="n">
        <f aca="false">$B$3*D859</f>
        <v>0.00818310180959062</v>
      </c>
      <c r="H859" s="0" t="n">
        <f aca="false">$B$4*D859+$C$4*E859</f>
        <v>-0.00567206617554607</v>
      </c>
      <c r="I859" s="0" t="n">
        <f aca="false">$B$5*D859+$C$5*E859+$D$5*F859</f>
        <v>-0.00120829682416186</v>
      </c>
      <c r="J859" s="0" t="n">
        <f aca="false">SUMPRODUCT(G859:I859,Inputs!$B$4:$D$4)*Inputs!$B$2</f>
        <v>1209.13182392387</v>
      </c>
    </row>
    <row r="860" customFormat="false" ht="15" hidden="false" customHeight="false" outlineLevel="0" collapsed="false">
      <c r="D860" s="0" t="n">
        <f aca="false">MC_Shocks!A847</f>
        <v>-0.295089914237906</v>
      </c>
      <c r="E860" s="0" t="n">
        <f aca="false">MC_Shocks!B847</f>
        <v>0.975816719344709</v>
      </c>
      <c r="F860" s="0" t="n">
        <f aca="false">MC_Shocks!C847</f>
        <v>0.918454443942414</v>
      </c>
      <c r="G860" s="0" t="n">
        <f aca="false">$B$3*D860</f>
        <v>-0.00434688719886395</v>
      </c>
      <c r="H860" s="0" t="n">
        <f aca="false">$B$4*D860+$C$4*E860</f>
        <v>0.00912088148963509</v>
      </c>
      <c r="I860" s="0" t="n">
        <f aca="false">$B$5*D860+$C$5*E860+$D$5*F860</f>
        <v>0.00857150393372167</v>
      </c>
      <c r="J860" s="0" t="n">
        <f aca="false">SUMPRODUCT(G860:I860,Inputs!$B$4:$D$4)*Inputs!$B$2</f>
        <v>3568.96074746145</v>
      </c>
    </row>
    <row r="861" customFormat="false" ht="15" hidden="false" customHeight="false" outlineLevel="0" collapsed="false">
      <c r="D861" s="0" t="n">
        <f aca="false">MC_Shocks!A848</f>
        <v>-1.24571737644638</v>
      </c>
      <c r="E861" s="0" t="n">
        <f aca="false">MC_Shocks!B848</f>
        <v>0.0549341109998487</v>
      </c>
      <c r="F861" s="0" t="n">
        <f aca="false">MC_Shocks!C848</f>
        <v>-0.709579854749173</v>
      </c>
      <c r="G861" s="0" t="n">
        <f aca="false">$B$3*D861</f>
        <v>-0.0183503151270413</v>
      </c>
      <c r="H861" s="0" t="n">
        <f aca="false">$B$4*D861+$C$4*E861</f>
        <v>-0.01238763991969</v>
      </c>
      <c r="I861" s="0" t="n">
        <f aca="false">$B$5*D861+$C$5*E861+$D$5*F861</f>
        <v>-0.0192113864552442</v>
      </c>
      <c r="J861" s="0" t="n">
        <f aca="false">SUMPRODUCT(G861:I861,Inputs!$B$4:$D$4)*Inputs!$B$2</f>
        <v>-16819.8339632967</v>
      </c>
    </row>
    <row r="862" customFormat="false" ht="15" hidden="false" customHeight="false" outlineLevel="0" collapsed="false">
      <c r="D862" s="0" t="n">
        <f aca="false">MC_Shocks!A849</f>
        <v>-1.25850491067534</v>
      </c>
      <c r="E862" s="0" t="n">
        <f aca="false">MC_Shocks!B849</f>
        <v>-0.21701705042437</v>
      </c>
      <c r="F862" s="0" t="n">
        <f aca="false">MC_Shocks!C849</f>
        <v>-0.30848278845582</v>
      </c>
      <c r="G862" s="0" t="n">
        <f aca="false">$B$3*D862</f>
        <v>-0.0185386847261461</v>
      </c>
      <c r="H862" s="0" t="n">
        <f aca="false">$B$4*D862+$C$4*E862</f>
        <v>-0.0159269750432003</v>
      </c>
      <c r="I862" s="0" t="n">
        <f aca="false">$B$5*D862+$C$5*E862+$D$5*F862</f>
        <v>-0.0168511771037126</v>
      </c>
      <c r="J862" s="0" t="n">
        <f aca="false">SUMPRODUCT(G862:I862,Inputs!$B$4:$D$4)*Inputs!$B$2</f>
        <v>-17248.9195345323</v>
      </c>
    </row>
    <row r="863" customFormat="false" ht="15" hidden="false" customHeight="false" outlineLevel="0" collapsed="false">
      <c r="D863" s="0" t="n">
        <f aca="false">MC_Shocks!A850</f>
        <v>2.42671648634552</v>
      </c>
      <c r="E863" s="0" t="n">
        <f aca="false">MC_Shocks!B850</f>
        <v>0.432959825360696</v>
      </c>
      <c r="F863" s="0" t="n">
        <f aca="false">MC_Shocks!C850</f>
        <v>-1.37761750075424</v>
      </c>
      <c r="G863" s="0" t="n">
        <f aca="false">$B$3*D863</f>
        <v>0.0357472835254645</v>
      </c>
      <c r="H863" s="0" t="n">
        <f aca="false">$B$4*D863+$C$4*E863</f>
        <v>0.0308927495420044</v>
      </c>
      <c r="I863" s="0" t="n">
        <f aca="false">$B$5*D863+$C$5*E863+$D$5*F863</f>
        <v>0.0152684956078632</v>
      </c>
      <c r="J863" s="0" t="n">
        <f aca="false">SUMPRODUCT(G863:I863,Inputs!$B$4:$D$4)*Inputs!$B$2</f>
        <v>28147.2869551461</v>
      </c>
    </row>
    <row r="864" customFormat="false" ht="15" hidden="false" customHeight="false" outlineLevel="0" collapsed="false">
      <c r="D864" s="0" t="n">
        <f aca="false">MC_Shocks!A851</f>
        <v>-0.564774004170942</v>
      </c>
      <c r="E864" s="0" t="n">
        <f aca="false">MC_Shocks!B851</f>
        <v>1.0213832954294</v>
      </c>
      <c r="F864" s="0" t="n">
        <f aca="false">MC_Shocks!C851</f>
        <v>2.08844277286993</v>
      </c>
      <c r="G864" s="0" t="n">
        <f aca="false">$B$3*D864</f>
        <v>-0.00831952828791882</v>
      </c>
      <c r="H864" s="0" t="n">
        <f aca="false">$B$4*D864+$C$4*E864</f>
        <v>0.00686072690874383</v>
      </c>
      <c r="I864" s="0" t="n">
        <f aca="false">$B$5*D864+$C$5*E864+$D$5*F864</f>
        <v>0.0161335719700382</v>
      </c>
      <c r="J864" s="0" t="n">
        <f aca="false">SUMPRODUCT(G864:I864,Inputs!$B$4:$D$4)*Inputs!$B$2</f>
        <v>3570.47834846707</v>
      </c>
    </row>
    <row r="865" customFormat="false" ht="15" hidden="false" customHeight="false" outlineLevel="0" collapsed="false">
      <c r="D865" s="0" t="n">
        <f aca="false">MC_Shocks!A852</f>
        <v>-1.58598331223796</v>
      </c>
      <c r="E865" s="0" t="n">
        <f aca="false">MC_Shocks!B852</f>
        <v>-1.87992438513905</v>
      </c>
      <c r="F865" s="0" t="n">
        <f aca="false">MC_Shocks!C852</f>
        <v>1.87096517537178</v>
      </c>
      <c r="G865" s="0" t="n">
        <f aca="false">$B$3*D865</f>
        <v>-0.0233626776956561</v>
      </c>
      <c r="H865" s="0" t="n">
        <f aca="false">$B$4*D865+$C$4*E865</f>
        <v>-0.0401856376436944</v>
      </c>
      <c r="I865" s="0" t="n">
        <f aca="false">$B$5*D865+$C$5*E865+$D$5*F865</f>
        <v>-0.00745370643616956</v>
      </c>
      <c r="J865" s="0" t="n">
        <f aca="false">SUMPRODUCT(G865:I865,Inputs!$B$4:$D$4)*Inputs!$B$2</f>
        <v>-23636.8743022216</v>
      </c>
    </row>
    <row r="866" customFormat="false" ht="15" hidden="false" customHeight="false" outlineLevel="0" collapsed="false">
      <c r="D866" s="0" t="n">
        <f aca="false">MC_Shocks!A853</f>
        <v>0.389614177370904</v>
      </c>
      <c r="E866" s="0" t="n">
        <f aca="false">MC_Shocks!B853</f>
        <v>-0.868292731876367</v>
      </c>
      <c r="F866" s="0" t="n">
        <f aca="false">MC_Shocks!C853</f>
        <v>0.534629086122435</v>
      </c>
      <c r="G866" s="0" t="n">
        <f aca="false">$B$3*D866</f>
        <v>0.00573929774754712</v>
      </c>
      <c r="H866" s="0" t="n">
        <f aca="false">$B$4*D866+$C$4*E866</f>
        <v>-0.00678241001685457</v>
      </c>
      <c r="I866" s="0" t="n">
        <f aca="false">$B$5*D866+$C$5*E866+$D$5*F866</f>
        <v>0.0055620005539617</v>
      </c>
      <c r="J866" s="0" t="n">
        <f aca="false">SUMPRODUCT(G866:I866,Inputs!$B$4:$D$4)*Inputs!$B$2</f>
        <v>1929.59626015099</v>
      </c>
    </row>
    <row r="867" customFormat="false" ht="15" hidden="false" customHeight="false" outlineLevel="0" collapsed="false">
      <c r="D867" s="0" t="n">
        <f aca="false">MC_Shocks!A854</f>
        <v>-2.63574773901688</v>
      </c>
      <c r="E867" s="0" t="n">
        <f aca="false">MC_Shocks!B854</f>
        <v>0.003375506597161</v>
      </c>
      <c r="F867" s="0" t="n">
        <f aca="false">MC_Shocks!C854</f>
        <v>0.327821172843085</v>
      </c>
      <c r="G867" s="0" t="n">
        <f aca="false">$B$3*D867</f>
        <v>-0.0388264645904841</v>
      </c>
      <c r="H867" s="0" t="n">
        <f aca="false">$B$4*D867+$C$4*E867</f>
        <v>-0.0276234380440615</v>
      </c>
      <c r="I867" s="0" t="n">
        <f aca="false">$B$5*D867+$C$5*E867+$D$5*F867</f>
        <v>-0.0250467516633514</v>
      </c>
      <c r="J867" s="0" t="n">
        <f aca="false">SUMPRODUCT(G867:I867,Inputs!$B$4:$D$4)*Inputs!$B$2</f>
        <v>-31331.6427484175</v>
      </c>
    </row>
    <row r="868" customFormat="false" ht="15" hidden="false" customHeight="false" outlineLevel="0" collapsed="false">
      <c r="D868" s="0" t="n">
        <f aca="false">MC_Shocks!A855</f>
        <v>0.92427013953783</v>
      </c>
      <c r="E868" s="0" t="n">
        <f aca="false">MC_Shocks!B855</f>
        <v>-1.01389595229254</v>
      </c>
      <c r="F868" s="0" t="n">
        <f aca="false">MC_Shocks!C855</f>
        <v>0.085687161403359</v>
      </c>
      <c r="G868" s="0" t="n">
        <f aca="false">$B$3*D868</f>
        <v>0.0136151655614026</v>
      </c>
      <c r="H868" s="0" t="n">
        <f aca="false">$B$4*D868+$C$4*E868</f>
        <v>-0.00299358408595979</v>
      </c>
      <c r="I868" s="0" t="n">
        <f aca="false">$B$5*D868+$C$5*E868+$D$5*F868</f>
        <v>0.0067499208201101</v>
      </c>
      <c r="J868" s="0" t="n">
        <f aca="false">SUMPRODUCT(G868:I868,Inputs!$B$4:$D$4)*Inputs!$B$2</f>
        <v>6572.96724480613</v>
      </c>
    </row>
    <row r="869" customFormat="false" ht="15" hidden="false" customHeight="false" outlineLevel="0" collapsed="false">
      <c r="D869" s="0" t="n">
        <f aca="false">MC_Shocks!A856</f>
        <v>-0.925424626059587</v>
      </c>
      <c r="E869" s="0" t="n">
        <f aca="false">MC_Shocks!B856</f>
        <v>0.255383755674317</v>
      </c>
      <c r="F869" s="0" t="n">
        <f aca="false">MC_Shocks!C856</f>
        <v>-0.895346322363024</v>
      </c>
      <c r="G869" s="0" t="n">
        <f aca="false">$B$3*D869</f>
        <v>-0.0136321719802619</v>
      </c>
      <c r="H869" s="0" t="n">
        <f aca="false">$B$4*D869+$C$4*E869</f>
        <v>-0.00651589940496971</v>
      </c>
      <c r="I869" s="0" t="n">
        <f aca="false">$B$5*D869+$C$5*E869+$D$5*F869</f>
        <v>-0.0166942486120879</v>
      </c>
      <c r="J869" s="0" t="n">
        <f aca="false">SUMPRODUCT(G869:I869,Inputs!$B$4:$D$4)*Inputs!$B$2</f>
        <v>-12415.913197222</v>
      </c>
    </row>
    <row r="870" customFormat="false" ht="15" hidden="false" customHeight="false" outlineLevel="0" collapsed="false">
      <c r="D870" s="0" t="n">
        <f aca="false">MC_Shocks!A857</f>
        <v>-0.408100839160221</v>
      </c>
      <c r="E870" s="0" t="n">
        <f aca="false">MC_Shocks!B857</f>
        <v>-0.995815394790229</v>
      </c>
      <c r="F870" s="0" t="n">
        <f aca="false">MC_Shocks!C857</f>
        <v>0.651136241823657</v>
      </c>
      <c r="G870" s="0" t="n">
        <f aca="false">$B$3*D870</f>
        <v>-0.00601161960473171</v>
      </c>
      <c r="H870" s="0" t="n">
        <f aca="false">$B$4*D870+$C$4*E870</f>
        <v>-0.0167522146420037</v>
      </c>
      <c r="I870" s="0" t="n">
        <f aca="false">$B$5*D870+$C$5*E870+$D$5*F870</f>
        <v>-0.00234815246695696</v>
      </c>
      <c r="J870" s="0" t="n">
        <f aca="false">SUMPRODUCT(G870:I870,Inputs!$B$4:$D$4)*Inputs!$B$2</f>
        <v>-8134.75797458089</v>
      </c>
    </row>
    <row r="871" customFormat="false" ht="15" hidden="false" customHeight="false" outlineLevel="0" collapsed="false">
      <c r="D871" s="0" t="n">
        <f aca="false">MC_Shocks!A858</f>
        <v>0.858451116656665</v>
      </c>
      <c r="E871" s="0" t="n">
        <f aca="false">MC_Shocks!B858</f>
        <v>-0.234620569957414</v>
      </c>
      <c r="F871" s="0" t="n">
        <f aca="false">MC_Shocks!C858</f>
        <v>0.0382379949600283</v>
      </c>
      <c r="G871" s="0" t="n">
        <f aca="false">$B$3*D871</f>
        <v>0.012645603898332</v>
      </c>
      <c r="H871" s="0" t="n">
        <f aca="false">$B$4*D871+$C$4*E871</f>
        <v>0.00607289950746063</v>
      </c>
      <c r="I871" s="0" t="n">
        <f aca="false">$B$5*D871+$C$5*E871+$D$5*F871</f>
        <v>0.00855378761753463</v>
      </c>
      <c r="J871" s="0" t="n">
        <f aca="false">SUMPRODUCT(G871:I871,Inputs!$B$4:$D$4)*Inputs!$B$2</f>
        <v>9446.24769683137</v>
      </c>
    </row>
    <row r="872" customFormat="false" ht="15" hidden="false" customHeight="false" outlineLevel="0" collapsed="false">
      <c r="D872" s="0" t="n">
        <f aca="false">MC_Shocks!A859</f>
        <v>-1.44859141463354</v>
      </c>
      <c r="E872" s="0" t="n">
        <f aca="false">MC_Shocks!B859</f>
        <v>-0.299676648006787</v>
      </c>
      <c r="F872" s="0" t="n">
        <f aca="false">MC_Shocks!C859</f>
        <v>-0.0502046170417448</v>
      </c>
      <c r="G872" s="0" t="n">
        <f aca="false">$B$3*D872</f>
        <v>-0.0213387959833088</v>
      </c>
      <c r="H872" s="0" t="n">
        <f aca="false">$B$4*D872+$C$4*E872</f>
        <v>-0.0189571720789442</v>
      </c>
      <c r="I872" s="0" t="n">
        <f aca="false">$B$5*D872+$C$5*E872+$D$5*F872</f>
        <v>-0.0169123757385921</v>
      </c>
      <c r="J872" s="0" t="n">
        <f aca="false">SUMPRODUCT(G872:I872,Inputs!$B$4:$D$4)*Inputs!$B$2</f>
        <v>-19296.3827385844</v>
      </c>
    </row>
    <row r="873" customFormat="false" ht="15" hidden="false" customHeight="false" outlineLevel="0" collapsed="false">
      <c r="D873" s="0" t="n">
        <f aca="false">MC_Shocks!A860</f>
        <v>2.62079309102998</v>
      </c>
      <c r="E873" s="0" t="n">
        <f aca="false">MC_Shocks!B860</f>
        <v>-1.11196702577416</v>
      </c>
      <c r="F873" s="0" t="n">
        <f aca="false">MC_Shocks!C860</f>
        <v>1.46417723875244</v>
      </c>
      <c r="G873" s="0" t="n">
        <f aca="false">$B$3*D873</f>
        <v>0.0386061718432187</v>
      </c>
      <c r="H873" s="0" t="n">
        <f aca="false">$B$4*D873+$C$4*E873</f>
        <v>0.0135857443021554</v>
      </c>
      <c r="I873" s="0" t="n">
        <f aca="false">$B$5*D873+$C$5*E873+$D$5*F873</f>
        <v>0.0364368512068915</v>
      </c>
      <c r="J873" s="0" t="n">
        <f aca="false">SUMPRODUCT(G873:I873,Inputs!$B$4:$D$4)*Inputs!$B$2</f>
        <v>30449.2473900015</v>
      </c>
    </row>
    <row r="874" customFormat="false" ht="15" hidden="false" customHeight="false" outlineLevel="0" collapsed="false">
      <c r="D874" s="0" t="n">
        <f aca="false">MC_Shocks!A861</f>
        <v>0.996858773465808</v>
      </c>
      <c r="E874" s="0" t="n">
        <f aca="false">MC_Shocks!B861</f>
        <v>0.280636404490136</v>
      </c>
      <c r="F874" s="0" t="n">
        <f aca="false">MC_Shocks!C861</f>
        <v>1.75862048419513</v>
      </c>
      <c r="G874" s="0" t="n">
        <f aca="false">$B$3*D874</f>
        <v>0.0146844484761353</v>
      </c>
      <c r="H874" s="0" t="n">
        <f aca="false">$B$4*D874+$C$4*E874</f>
        <v>0.0139772291941038</v>
      </c>
      <c r="I874" s="0" t="n">
        <f aca="false">$B$5*D874+$C$5*E874+$D$5*F874</f>
        <v>0.0270201708682436</v>
      </c>
      <c r="J874" s="0" t="n">
        <f aca="false">SUMPRODUCT(G874:I874,Inputs!$B$4:$D$4)*Inputs!$B$2</f>
        <v>18172.9994091584</v>
      </c>
    </row>
    <row r="875" customFormat="false" ht="15" hidden="false" customHeight="false" outlineLevel="0" collapsed="false">
      <c r="D875" s="0" t="n">
        <f aca="false">MC_Shocks!A862</f>
        <v>0.372105472606863</v>
      </c>
      <c r="E875" s="0" t="n">
        <f aca="false">MC_Shocks!B862</f>
        <v>0.389159195667929</v>
      </c>
      <c r="F875" s="0" t="n">
        <f aca="false">MC_Shocks!C862</f>
        <v>-0.0531206530175453</v>
      </c>
      <c r="G875" s="0" t="n">
        <f aca="false">$B$3*D875</f>
        <v>0.00548138190245952</v>
      </c>
      <c r="H875" s="0" t="n">
        <f aca="false">$B$4*D875+$C$4*E875</f>
        <v>0.00877842527883795</v>
      </c>
      <c r="I875" s="0" t="n">
        <f aca="false">$B$5*D875+$C$5*E875+$D$5*F875</f>
        <v>0.00493459372934725</v>
      </c>
      <c r="J875" s="0" t="n">
        <f aca="false">SUMPRODUCT(G875:I875,Inputs!$B$4:$D$4)*Inputs!$B$2</f>
        <v>6306.45846343937</v>
      </c>
    </row>
    <row r="876" customFormat="false" ht="15" hidden="false" customHeight="false" outlineLevel="0" collapsed="false">
      <c r="D876" s="0" t="n">
        <f aca="false">MC_Shocks!A863</f>
        <v>1.22356888241863</v>
      </c>
      <c r="E876" s="0" t="n">
        <f aca="false">MC_Shocks!B863</f>
        <v>1.09646923381088</v>
      </c>
      <c r="F876" s="0" t="n">
        <f aca="false">MC_Shocks!C863</f>
        <v>-0.625677287496212</v>
      </c>
      <c r="G876" s="0" t="n">
        <f aca="false">$B$3*D876</f>
        <v>0.0180240518407747</v>
      </c>
      <c r="H876" s="0" t="n">
        <f aca="false">$B$4*D876+$C$4*E876</f>
        <v>0.0265719352992248</v>
      </c>
      <c r="I876" s="0" t="n">
        <f aca="false">$B$5*D876+$C$5*E876+$D$5*F876</f>
        <v>0.0115895135669585</v>
      </c>
      <c r="J876" s="0" t="n">
        <f aca="false">SUMPRODUCT(G876:I876,Inputs!$B$4:$D$4)*Inputs!$B$2</f>
        <v>18658.0553961649</v>
      </c>
    </row>
    <row r="877" customFormat="false" ht="15" hidden="false" customHeight="false" outlineLevel="0" collapsed="false">
      <c r="D877" s="0" t="n">
        <f aca="false">MC_Shocks!A864</f>
        <v>-1.31924719459877</v>
      </c>
      <c r="E877" s="0" t="n">
        <f aca="false">MC_Shocks!B864</f>
        <v>-0.202980637395657</v>
      </c>
      <c r="F877" s="0" t="n">
        <f aca="false">MC_Shocks!C864</f>
        <v>-0.800038564397646</v>
      </c>
      <c r="G877" s="0" t="n">
        <f aca="false">$B$3*D877</f>
        <v>-0.0194334623640007</v>
      </c>
      <c r="H877" s="0" t="n">
        <f aca="false">$B$4*D877+$C$4*E877</f>
        <v>-0.0163887961088782</v>
      </c>
      <c r="I877" s="0" t="n">
        <f aca="false">$B$5*D877+$C$5*E877+$D$5*F877</f>
        <v>-0.0217484633562065</v>
      </c>
      <c r="J877" s="0" t="n">
        <f aca="false">SUMPRODUCT(G877:I877,Inputs!$B$4:$D$4)*Inputs!$B$2</f>
        <v>-19214.5627851257</v>
      </c>
    </row>
    <row r="878" customFormat="false" ht="15" hidden="false" customHeight="false" outlineLevel="0" collapsed="false">
      <c r="D878" s="0" t="n">
        <f aca="false">MC_Shocks!A865</f>
        <v>-0.0635245746153551</v>
      </c>
      <c r="E878" s="0" t="n">
        <f aca="false">MC_Shocks!B865</f>
        <v>1.23743813468414</v>
      </c>
      <c r="F878" s="0" t="n">
        <f aca="false">MC_Shocks!C865</f>
        <v>-0.45730165508679</v>
      </c>
      <c r="G878" s="0" t="n">
        <f aca="false">$B$3*D878</f>
        <v>-0.000935762785800062</v>
      </c>
      <c r="H878" s="0" t="n">
        <f aca="false">$B$4*D878+$C$4*E878</f>
        <v>0.0148272434987339</v>
      </c>
      <c r="I878" s="0" t="n">
        <f aca="false">$B$5*D878+$C$5*E878+$D$5*F878</f>
        <v>-4.72019000013618E-005</v>
      </c>
      <c r="J878" s="0" t="n">
        <f aca="false">SUMPRODUCT(G878:I878,Inputs!$B$4:$D$4)*Inputs!$B$2</f>
        <v>4059.70736529975</v>
      </c>
    </row>
    <row r="879" customFormat="false" ht="15" hidden="false" customHeight="false" outlineLevel="0" collapsed="false">
      <c r="D879" s="0" t="n">
        <f aca="false">MC_Shocks!A866</f>
        <v>-0.0428233813115749</v>
      </c>
      <c r="E879" s="0" t="n">
        <f aca="false">MC_Shocks!B866</f>
        <v>0.0580227348083952</v>
      </c>
      <c r="F879" s="0" t="n">
        <f aca="false">MC_Shocks!C866</f>
        <v>0.848430882205285</v>
      </c>
      <c r="G879" s="0" t="n">
        <f aca="false">$B$3*D879</f>
        <v>-0.000630819282712856</v>
      </c>
      <c r="H879" s="0" t="n">
        <f aca="false">$B$4*D879+$C$4*E879</f>
        <v>0.000277016547872531</v>
      </c>
      <c r="I879" s="0" t="n">
        <f aca="false">$B$5*D879+$C$5*E879+$D$5*F879</f>
        <v>0.00719583568125066</v>
      </c>
      <c r="J879" s="0" t="n">
        <f aca="false">SUMPRODUCT(G879:I879,Inputs!$B$4:$D$4)*Inputs!$B$2</f>
        <v>1989.52795565181</v>
      </c>
    </row>
    <row r="880" customFormat="false" ht="15" hidden="false" customHeight="false" outlineLevel="0" collapsed="false">
      <c r="D880" s="0" t="n">
        <f aca="false">MC_Shocks!A867</f>
        <v>-2.24688933398461</v>
      </c>
      <c r="E880" s="0" t="n">
        <f aca="false">MC_Shocks!B867</f>
        <v>-0.606700294765297</v>
      </c>
      <c r="F880" s="0" t="n">
        <f aca="false">MC_Shocks!C867</f>
        <v>0.211283692279473</v>
      </c>
      <c r="G880" s="0" t="n">
        <f aca="false">$B$3*D880</f>
        <v>-0.0330982999144028</v>
      </c>
      <c r="H880" s="0" t="n">
        <f aca="false">$B$4*D880+$C$4*E880</f>
        <v>-0.0311806350081217</v>
      </c>
      <c r="I880" s="0" t="n">
        <f aca="false">$B$5*D880+$C$5*E880+$D$5*F880</f>
        <v>-0.0242305550070373</v>
      </c>
      <c r="J880" s="0" t="n">
        <f aca="false">SUMPRODUCT(G880:I880,Inputs!$B$4:$D$4)*Inputs!$B$2</f>
        <v>-29862.6769703088</v>
      </c>
    </row>
    <row r="881" customFormat="false" ht="15" hidden="false" customHeight="false" outlineLevel="0" collapsed="false">
      <c r="D881" s="0" t="n">
        <f aca="false">MC_Shocks!A868</f>
        <v>1.20007895642686</v>
      </c>
      <c r="E881" s="0" t="n">
        <f aca="false">MC_Shocks!B868</f>
        <v>-0.491902447506205</v>
      </c>
      <c r="F881" s="0" t="n">
        <f aca="false">MC_Shocks!C868</f>
        <v>-1.87655270604187</v>
      </c>
      <c r="G881" s="0" t="n">
        <f aca="false">$B$3*D881</f>
        <v>0.0176780282944954</v>
      </c>
      <c r="H881" s="0" t="n">
        <f aca="false">$B$4*D881+$C$4*E881</f>
        <v>0.00643730321651814</v>
      </c>
      <c r="I881" s="0" t="n">
        <f aca="false">$B$5*D881+$C$5*E881+$D$5*F881</f>
        <v>-0.00556302615630629</v>
      </c>
      <c r="J881" s="0" t="n">
        <f aca="false">SUMPRODUCT(G881:I881,Inputs!$B$4:$D$4)*Inputs!$B$2</f>
        <v>7333.49443586171</v>
      </c>
    </row>
    <row r="882" customFormat="false" ht="15" hidden="false" customHeight="false" outlineLevel="0" collapsed="false">
      <c r="D882" s="0" t="n">
        <f aca="false">MC_Shocks!A869</f>
        <v>0.619711445966136</v>
      </c>
      <c r="E882" s="0" t="n">
        <f aca="false">MC_Shocks!B869</f>
        <v>-0.635362388825629</v>
      </c>
      <c r="F882" s="0" t="n">
        <f aca="false">MC_Shocks!C869</f>
        <v>-1.18966665909036</v>
      </c>
      <c r="G882" s="0" t="n">
        <f aca="false">$B$3*D882</f>
        <v>0.00912879641588789</v>
      </c>
      <c r="H882" s="0" t="n">
        <f aca="false">$B$4*D882+$C$4*E882</f>
        <v>-0.00145069959668394</v>
      </c>
      <c r="I882" s="0" t="n">
        <f aca="false">$B$5*D882+$C$5*E882+$D$5*F882</f>
        <v>-0.00623294547974246</v>
      </c>
      <c r="J882" s="0" t="n">
        <f aca="false">SUMPRODUCT(G882:I882,Inputs!$B$4:$D$4)*Inputs!$B$2</f>
        <v>1346.42504342723</v>
      </c>
    </row>
    <row r="883" customFormat="false" ht="15" hidden="false" customHeight="false" outlineLevel="0" collapsed="false">
      <c r="D883" s="0" t="n">
        <f aca="false">MC_Shocks!A870</f>
        <v>-0.624345389713224</v>
      </c>
      <c r="E883" s="0" t="n">
        <f aca="false">MC_Shocks!B870</f>
        <v>-0.18452535765585</v>
      </c>
      <c r="F883" s="0" t="n">
        <f aca="false">MC_Shocks!C870</f>
        <v>-0.604744664538213</v>
      </c>
      <c r="G883" s="0" t="n">
        <f aca="false">$B$3*D883</f>
        <v>-0.00919705774839223</v>
      </c>
      <c r="H883" s="0" t="n">
        <f aca="false">$B$4*D883+$C$4*E883</f>
        <v>-0.00886379150121503</v>
      </c>
      <c r="I883" s="0" t="n">
        <f aca="false">$B$5*D883+$C$5*E883+$D$5*F883</f>
        <v>-0.0126046471944721</v>
      </c>
      <c r="J883" s="0" t="n">
        <f aca="false">SUMPRODUCT(G883:I883,Inputs!$B$4:$D$4)*Inputs!$B$2</f>
        <v>-10119.354708063</v>
      </c>
    </row>
    <row r="884" customFormat="false" ht="15" hidden="false" customHeight="false" outlineLevel="0" collapsed="false">
      <c r="D884" s="0" t="n">
        <f aca="false">MC_Shocks!A871</f>
        <v>-2.20556605709907</v>
      </c>
      <c r="E884" s="0" t="n">
        <f aca="false">MC_Shocks!B871</f>
        <v>0.897066196887132</v>
      </c>
      <c r="F884" s="0" t="n">
        <f aca="false">MC_Shocks!C871</f>
        <v>1.27487504127872</v>
      </c>
      <c r="G884" s="0" t="n">
        <f aca="false">$B$3*D884</f>
        <v>-0.0324895782514725</v>
      </c>
      <c r="H884" s="0" t="n">
        <f aca="false">$B$4*D884+$C$4*E884</f>
        <v>-0.0119181634375028</v>
      </c>
      <c r="I884" s="0" t="n">
        <f aca="false">$B$5*D884+$C$5*E884+$D$5*F884</f>
        <v>-0.00884638263580863</v>
      </c>
      <c r="J884" s="0" t="n">
        <f aca="false">SUMPRODUCT(G884:I884,Inputs!$B$4:$D$4)*Inputs!$B$2</f>
        <v>-19225.1951225824</v>
      </c>
    </row>
    <row r="885" customFormat="false" ht="15" hidden="false" customHeight="false" outlineLevel="0" collapsed="false">
      <c r="D885" s="0" t="n">
        <f aca="false">MC_Shocks!A872</f>
        <v>0.651521991339506</v>
      </c>
      <c r="E885" s="0" t="n">
        <f aca="false">MC_Shocks!B872</f>
        <v>-1.13768567042482</v>
      </c>
      <c r="F885" s="0" t="n">
        <f aca="false">MC_Shocks!C872</f>
        <v>-0.201491533947518</v>
      </c>
      <c r="G885" s="0" t="n">
        <f aca="false">$B$3*D885</f>
        <v>0.00959738868489</v>
      </c>
      <c r="H885" s="0" t="n">
        <f aca="false">$B$4*D885+$C$4*E885</f>
        <v>-0.00740641790176898</v>
      </c>
      <c r="I885" s="0" t="n">
        <f aca="false">$B$5*D885+$C$5*E885+$D$5*F885</f>
        <v>0.000880467624898113</v>
      </c>
      <c r="J885" s="0" t="n">
        <f aca="false">SUMPRODUCT(G885:I885,Inputs!$B$4:$D$4)*Inputs!$B$2</f>
        <v>1881.17039089474</v>
      </c>
    </row>
    <row r="886" customFormat="false" ht="15" hidden="false" customHeight="false" outlineLevel="0" collapsed="false">
      <c r="D886" s="0" t="n">
        <f aca="false">MC_Shocks!A873</f>
        <v>-0.00652131522945806</v>
      </c>
      <c r="E886" s="0" t="n">
        <f aca="false">MC_Shocks!B873</f>
        <v>0.59879438956191</v>
      </c>
      <c r="F886" s="0" t="n">
        <f aca="false">MC_Shocks!C873</f>
        <v>0.668340488718081</v>
      </c>
      <c r="G886" s="0" t="n">
        <f aca="false">$B$3*D886</f>
        <v>-9.60636752492787E-005</v>
      </c>
      <c r="H886" s="0" t="n">
        <f aca="false">$B$4*D886+$C$4*E886</f>
        <v>0.00742908176582358</v>
      </c>
      <c r="I886" s="0" t="n">
        <f aca="false">$B$5*D886+$C$5*E886+$D$5*F886</f>
        <v>0.00802714053117779</v>
      </c>
      <c r="J886" s="0" t="n">
        <f aca="false">SUMPRODUCT(G886:I886,Inputs!$B$4:$D$4)*Inputs!$B$2</f>
        <v>4598.4412190007</v>
      </c>
    </row>
    <row r="887" customFormat="false" ht="15" hidden="false" customHeight="false" outlineLevel="0" collapsed="false">
      <c r="D887" s="0" t="n">
        <f aca="false">MC_Shocks!A874</f>
        <v>-0.734173798778496</v>
      </c>
      <c r="E887" s="0" t="n">
        <f aca="false">MC_Shocks!B874</f>
        <v>0.0819955564135604</v>
      </c>
      <c r="F887" s="0" t="n">
        <f aca="false">MC_Shocks!C874</f>
        <v>0.457280404615241</v>
      </c>
      <c r="G887" s="0" t="n">
        <f aca="false">$B$3*D887</f>
        <v>-0.0108149094010669</v>
      </c>
      <c r="H887" s="0" t="n">
        <f aca="false">$B$4*D887+$C$4*E887</f>
        <v>-0.00667946731116531</v>
      </c>
      <c r="I887" s="0" t="n">
        <f aca="false">$B$5*D887+$C$5*E887+$D$5*F887</f>
        <v>-0.00346727475462336</v>
      </c>
      <c r="J887" s="0" t="n">
        <f aca="false">SUMPRODUCT(G887:I887,Inputs!$B$4:$D$4)*Inputs!$B$2</f>
        <v>-7369.98638016336</v>
      </c>
    </row>
    <row r="888" customFormat="false" ht="15" hidden="false" customHeight="false" outlineLevel="0" collapsed="false">
      <c r="D888" s="0" t="n">
        <f aca="false">MC_Shocks!A875</f>
        <v>1.45582232214677</v>
      </c>
      <c r="E888" s="0" t="n">
        <f aca="false">MC_Shocks!B875</f>
        <v>0.704506539824723</v>
      </c>
      <c r="F888" s="0" t="n">
        <f aca="false">MC_Shocks!C875</f>
        <v>0.789056687375519</v>
      </c>
      <c r="G888" s="0" t="n">
        <f aca="false">$B$3*D888</f>
        <v>0.0214453124645195</v>
      </c>
      <c r="H888" s="0" t="n">
        <f aca="false">$B$4*D888+$C$4*E888</f>
        <v>0.024101963571007</v>
      </c>
      <c r="I888" s="0" t="n">
        <f aca="false">$B$5*D888+$C$5*E888+$D$5*F888</f>
        <v>0.024976889592768</v>
      </c>
      <c r="J888" s="0" t="n">
        <f aca="false">SUMPRODUCT(G888:I888,Inputs!$B$4:$D$4)*Inputs!$B$2</f>
        <v>23301.7809349403</v>
      </c>
    </row>
    <row r="889" customFormat="false" ht="15" hidden="false" customHeight="false" outlineLevel="0" collapsed="false">
      <c r="D889" s="0" t="n">
        <f aca="false">MC_Shocks!A876</f>
        <v>0.0838266279293609</v>
      </c>
      <c r="E889" s="0" t="n">
        <f aca="false">MC_Shocks!B876</f>
        <v>1.4104591452035</v>
      </c>
      <c r="F889" s="0" t="n">
        <f aca="false">MC_Shocks!C876</f>
        <v>0.409762795959497</v>
      </c>
      <c r="G889" s="0" t="n">
        <f aca="false">$B$3*D889</f>
        <v>0.00123482666905483</v>
      </c>
      <c r="H889" s="0" t="n">
        <f aca="false">$B$4*D889+$C$4*E889</f>
        <v>0.0185402956540999</v>
      </c>
      <c r="I889" s="0" t="n">
        <f aca="false">$B$5*D889+$C$5*E889+$D$5*F889</f>
        <v>0.00975762619374035</v>
      </c>
      <c r="J889" s="0" t="n">
        <f aca="false">SUMPRODUCT(G889:I889,Inputs!$B$4:$D$4)*Inputs!$B$2</f>
        <v>8983.307221974</v>
      </c>
    </row>
    <row r="890" customFormat="false" ht="15" hidden="false" customHeight="false" outlineLevel="0" collapsed="false">
      <c r="D890" s="0" t="n">
        <f aca="false">MC_Shocks!A877</f>
        <v>-0.86108791017357</v>
      </c>
      <c r="E890" s="0" t="n">
        <f aca="false">MC_Shocks!B877</f>
        <v>1.40336997012519</v>
      </c>
      <c r="F890" s="0" t="n">
        <f aca="false">MC_Shocks!C877</f>
        <v>0.697903272539028</v>
      </c>
      <c r="G890" s="0" t="n">
        <f aca="false">$B$3*D890</f>
        <v>-0.0126844457679848</v>
      </c>
      <c r="H890" s="0" t="n">
        <f aca="false">$B$4*D890+$C$4*E890</f>
        <v>0.00853338804913402</v>
      </c>
      <c r="I890" s="0" t="n">
        <f aca="false">$B$5*D890+$C$5*E890+$D$5*F890</f>
        <v>0.00224194971779995</v>
      </c>
      <c r="J890" s="0" t="n">
        <f aca="false">SUMPRODUCT(G890:I890,Inputs!$B$4:$D$4)*Inputs!$B$2</f>
        <v>-1841.17697711372</v>
      </c>
    </row>
    <row r="891" customFormat="false" ht="15" hidden="false" customHeight="false" outlineLevel="0" collapsed="false">
      <c r="D891" s="0" t="n">
        <f aca="false">MC_Shocks!A878</f>
        <v>-0.443044021128482</v>
      </c>
      <c r="E891" s="0" t="n">
        <f aca="false">MC_Shocks!B878</f>
        <v>-0.479492967399243</v>
      </c>
      <c r="F891" s="0" t="n">
        <f aca="false">MC_Shocks!C878</f>
        <v>0.296575545140762</v>
      </c>
      <c r="G891" s="0" t="n">
        <f aca="false">$B$3*D891</f>
        <v>-0.00652635786943211</v>
      </c>
      <c r="H891" s="0" t="n">
        <f aca="false">$B$4*D891+$C$4*E891</f>
        <v>-0.0106540936146739</v>
      </c>
      <c r="I891" s="0" t="n">
        <f aca="false">$B$5*D891+$C$5*E891+$D$5*F891</f>
        <v>-0.00389175604326631</v>
      </c>
      <c r="J891" s="0" t="n">
        <f aca="false">SUMPRODUCT(G891:I891,Inputs!$B$4:$D$4)*Inputs!$B$2</f>
        <v>-6974.29804515491</v>
      </c>
    </row>
    <row r="892" customFormat="false" ht="15" hidden="false" customHeight="false" outlineLevel="0" collapsed="false">
      <c r="D892" s="0" t="n">
        <f aca="false">MC_Shocks!A879</f>
        <v>0.463184795267585</v>
      </c>
      <c r="E892" s="0" t="n">
        <f aca="false">MC_Shocks!B879</f>
        <v>0.197292265631206</v>
      </c>
      <c r="F892" s="0" t="n">
        <f aca="false">MC_Shocks!C879</f>
        <v>0.311308673442885</v>
      </c>
      <c r="G892" s="0" t="n">
        <f aca="false">$B$3*D892</f>
        <v>0.00682304599415701</v>
      </c>
      <c r="H892" s="0" t="n">
        <f aca="false">$B$4*D892+$C$4*E892</f>
        <v>0.007332050233174</v>
      </c>
      <c r="I892" s="0" t="n">
        <f aca="false">$B$5*D892+$C$5*E892+$D$5*F892</f>
        <v>0.00837404372464747</v>
      </c>
      <c r="J892" s="0" t="n">
        <f aca="false">SUMPRODUCT(G892:I892,Inputs!$B$4:$D$4)*Inputs!$B$2</f>
        <v>7441.04658500924</v>
      </c>
    </row>
    <row r="893" customFormat="false" ht="15" hidden="false" customHeight="false" outlineLevel="0" collapsed="false">
      <c r="D893" s="0" t="n">
        <f aca="false">MC_Shocks!A880</f>
        <v>1.69995737457638</v>
      </c>
      <c r="E893" s="0" t="n">
        <f aca="false">MC_Shocks!B880</f>
        <v>1.07154315223489</v>
      </c>
      <c r="F893" s="0" t="n">
        <f aca="false">MC_Shocks!C880</f>
        <v>0.190635591265024</v>
      </c>
      <c r="G893" s="0" t="n">
        <f aca="false">$B$3*D893</f>
        <v>0.0250415978100928</v>
      </c>
      <c r="H893" s="0" t="n">
        <f aca="false">$B$4*D893+$C$4*E893</f>
        <v>0.0312601700148073</v>
      </c>
      <c r="I893" s="0" t="n">
        <f aca="false">$B$5*D893+$C$5*E893+$D$5*F893</f>
        <v>0.0236956092105363</v>
      </c>
      <c r="J893" s="0" t="n">
        <f aca="false">SUMPRODUCT(G893:I893,Inputs!$B$4:$D$4)*Inputs!$B$2</f>
        <v>26503.3728916402</v>
      </c>
    </row>
    <row r="894" customFormat="false" ht="15" hidden="false" customHeight="false" outlineLevel="0" collapsed="false">
      <c r="D894" s="0" t="n">
        <f aca="false">MC_Shocks!A881</f>
        <v>0.941310580767483</v>
      </c>
      <c r="E894" s="0" t="n">
        <f aca="false">MC_Shocks!B881</f>
        <v>-1.03252390352754</v>
      </c>
      <c r="F894" s="0" t="n">
        <f aca="false">MC_Shocks!C881</f>
        <v>0.397927049946809</v>
      </c>
      <c r="G894" s="0" t="n">
        <f aca="false">$B$3*D894</f>
        <v>0.013866183547007</v>
      </c>
      <c r="H894" s="0" t="n">
        <f aca="false">$B$4*D894+$C$4*E894</f>
        <v>-0.0030479632529074</v>
      </c>
      <c r="I894" s="0" t="n">
        <f aca="false">$B$5*D894+$C$5*E894+$D$5*F894</f>
        <v>0.0095960615650383</v>
      </c>
      <c r="J894" s="0" t="n">
        <f aca="false">SUMPRODUCT(G894:I894,Inputs!$B$4:$D$4)*Inputs!$B$2</f>
        <v>7510.90291244207</v>
      </c>
    </row>
    <row r="895" customFormat="false" ht="15" hidden="false" customHeight="false" outlineLevel="0" collapsed="false">
      <c r="D895" s="0" t="n">
        <f aca="false">MC_Shocks!A882</f>
        <v>1.80930634973311</v>
      </c>
      <c r="E895" s="0" t="n">
        <f aca="false">MC_Shocks!B882</f>
        <v>-0.218045895392374</v>
      </c>
      <c r="F895" s="0" t="n">
        <f aca="false">MC_Shocks!C882</f>
        <v>-0.847633928619085</v>
      </c>
      <c r="G895" s="0" t="n">
        <f aca="false">$B$3*D895</f>
        <v>0.026652387055619</v>
      </c>
      <c r="H895" s="0" t="n">
        <f aca="false">$B$4*D895+$C$4*E895</f>
        <v>0.016260931032499</v>
      </c>
      <c r="I895" s="0" t="n">
        <f aca="false">$B$5*D895+$C$5*E895+$D$5*F895</f>
        <v>0.010931663487695</v>
      </c>
      <c r="J895" s="0" t="n">
        <f aca="false">SUMPRODUCT(G895:I895,Inputs!$B$4:$D$4)*Inputs!$B$2</f>
        <v>18818.7331783058</v>
      </c>
    </row>
    <row r="896" customFormat="false" ht="15" hidden="false" customHeight="false" outlineLevel="0" collapsed="false">
      <c r="D896" s="0" t="n">
        <f aca="false">MC_Shocks!A883</f>
        <v>-0.652088888593061</v>
      </c>
      <c r="E896" s="0" t="n">
        <f aca="false">MC_Shocks!B883</f>
        <v>-1.08963303734239</v>
      </c>
      <c r="F896" s="0" t="n">
        <f aca="false">MC_Shocks!C883</f>
        <v>-0.784761908127703</v>
      </c>
      <c r="G896" s="0" t="n">
        <f aca="false">$B$3*D896</f>
        <v>-0.00960573949017223</v>
      </c>
      <c r="H896" s="0" t="n">
        <f aca="false">$B$4*D896+$C$4*E896</f>
        <v>-0.0204878909817684</v>
      </c>
      <c r="I896" s="0" t="n">
        <f aca="false">$B$5*D896+$C$5*E896+$D$5*F896</f>
        <v>-0.0178636794820509</v>
      </c>
      <c r="J896" s="0" t="n">
        <f aca="false">SUMPRODUCT(G896:I896,Inputs!$B$4:$D$4)*Inputs!$B$2</f>
        <v>-15347.7669352147</v>
      </c>
    </row>
    <row r="897" customFormat="false" ht="15" hidden="false" customHeight="false" outlineLevel="0" collapsed="false">
      <c r="D897" s="0" t="n">
        <f aca="false">MC_Shocks!A884</f>
        <v>-0.370508098590029</v>
      </c>
      <c r="E897" s="0" t="n">
        <f aca="false">MC_Shocks!B884</f>
        <v>-1.40556701917864</v>
      </c>
      <c r="F897" s="0" t="n">
        <f aca="false">MC_Shocks!C884</f>
        <v>0.0156183339496031</v>
      </c>
      <c r="G897" s="0" t="n">
        <f aca="false">$B$3*D897</f>
        <v>-0.00545785143147238</v>
      </c>
      <c r="H897" s="0" t="n">
        <f aca="false">$B$4*D897+$C$4*E897</f>
        <v>-0.0214881471460736</v>
      </c>
      <c r="I897" s="0" t="n">
        <f aca="false">$B$5*D897+$C$5*E897+$D$5*F897</f>
        <v>-0.00905086038925634</v>
      </c>
      <c r="J897" s="0" t="n">
        <f aca="false">SUMPRODUCT(G897:I897,Inputs!$B$4:$D$4)*Inputs!$B$2</f>
        <v>-11344.8428331879</v>
      </c>
    </row>
    <row r="898" customFormat="false" ht="15" hidden="false" customHeight="false" outlineLevel="0" collapsed="false">
      <c r="D898" s="0" t="n">
        <f aca="false">MC_Shocks!A885</f>
        <v>0.902277173786647</v>
      </c>
      <c r="E898" s="0" t="n">
        <f aca="false">MC_Shocks!B885</f>
        <v>-0.90775618014692</v>
      </c>
      <c r="F898" s="0" t="n">
        <f aca="false">MC_Shocks!C885</f>
        <v>1.51928392364177</v>
      </c>
      <c r="G898" s="0" t="n">
        <f aca="false">$B$3*D898</f>
        <v>0.0132911933187871</v>
      </c>
      <c r="H898" s="0" t="n">
        <f aca="false">$B$4*D898+$C$4*E898</f>
        <v>-0.00189544881957711</v>
      </c>
      <c r="I898" s="0" t="n">
        <f aca="false">$B$5*D898+$C$5*E898+$D$5*F898</f>
        <v>0.0194727954816168</v>
      </c>
      <c r="J898" s="0" t="n">
        <f aca="false">SUMPRODUCT(G898:I898,Inputs!$B$4:$D$4)*Inputs!$B$2</f>
        <v>10589.6813261267</v>
      </c>
    </row>
    <row r="899" customFormat="false" ht="15" hidden="false" customHeight="false" outlineLevel="0" collapsed="false">
      <c r="D899" s="0" t="n">
        <f aca="false">MC_Shocks!A886</f>
        <v>0.510792088527595</v>
      </c>
      <c r="E899" s="0" t="n">
        <f aca="false">MC_Shocks!B886</f>
        <v>1.03058058562406</v>
      </c>
      <c r="F899" s="0" t="n">
        <f aca="false">MC_Shocks!C886</f>
        <v>-0.657834553852137</v>
      </c>
      <c r="G899" s="0" t="n">
        <f aca="false">$B$3*D899</f>
        <v>0.0075243357491083</v>
      </c>
      <c r="H899" s="0" t="n">
        <f aca="false">$B$4*D899+$C$4*E899</f>
        <v>0.0182653933825012</v>
      </c>
      <c r="I899" s="0" t="n">
        <f aca="false">$B$5*D899+$C$5*E899+$D$5*F899</f>
        <v>0.00350783365645415</v>
      </c>
      <c r="J899" s="0" t="n">
        <f aca="false">SUMPRODUCT(G899:I899,Inputs!$B$4:$D$4)*Inputs!$B$2</f>
        <v>9541.70241132993</v>
      </c>
    </row>
    <row r="900" customFormat="false" ht="15" hidden="false" customHeight="false" outlineLevel="0" collapsed="false">
      <c r="D900" s="0" t="n">
        <f aca="false">MC_Shocks!A887</f>
        <v>0.854525227066616</v>
      </c>
      <c r="E900" s="0" t="n">
        <f aca="false">MC_Shocks!B887</f>
        <v>-1.09193390039531</v>
      </c>
      <c r="F900" s="0" t="n">
        <f aca="false">MC_Shocks!C887</f>
        <v>0.890247500836509</v>
      </c>
      <c r="G900" s="0" t="n">
        <f aca="false">$B$3*D900</f>
        <v>0.0125877727140734</v>
      </c>
      <c r="H900" s="0" t="n">
        <f aca="false">$B$4*D900+$C$4*E900</f>
        <v>-0.00470276704745115</v>
      </c>
      <c r="I900" s="0" t="n">
        <f aca="false">$B$5*D900+$C$5*E900+$D$5*F900</f>
        <v>0.012766842964379</v>
      </c>
      <c r="J900" s="0" t="n">
        <f aca="false">SUMPRODUCT(G900:I900,Inputs!$B$4:$D$4)*Inputs!$B$2</f>
        <v>7454.33186070772</v>
      </c>
    </row>
    <row r="901" customFormat="false" ht="15" hidden="false" customHeight="false" outlineLevel="0" collapsed="false">
      <c r="D901" s="0" t="n">
        <f aca="false">MC_Shocks!A888</f>
        <v>0.171839339793531</v>
      </c>
      <c r="E901" s="0" t="n">
        <f aca="false">MC_Shocks!B888</f>
        <v>0.553251219984784</v>
      </c>
      <c r="F901" s="0" t="n">
        <f aca="false">MC_Shocks!C888</f>
        <v>-1.17559460562485</v>
      </c>
      <c r="G901" s="0" t="n">
        <f aca="false">$B$3*D901</f>
        <v>0.00253131737266871</v>
      </c>
      <c r="H901" s="0" t="n">
        <f aca="false">$B$4*D901+$C$4*E901</f>
        <v>0.00873096765011339</v>
      </c>
      <c r="I901" s="0" t="n">
        <f aca="false">$B$5*D901+$C$5*E901+$D$5*F901</f>
        <v>-0.00640652398721798</v>
      </c>
      <c r="J901" s="0" t="n">
        <f aca="false">SUMPRODUCT(G901:I901,Inputs!$B$4:$D$4)*Inputs!$B$2</f>
        <v>1709.86004793611</v>
      </c>
    </row>
    <row r="902" customFormat="false" ht="15" hidden="false" customHeight="false" outlineLevel="0" collapsed="false">
      <c r="D902" s="0" t="n">
        <f aca="false">MC_Shocks!A889</f>
        <v>-0.895069842276605</v>
      </c>
      <c r="E902" s="0" t="n">
        <f aca="false">MC_Shocks!B889</f>
        <v>0.597228218253385</v>
      </c>
      <c r="F902" s="0" t="n">
        <f aca="false">MC_Shocks!C889</f>
        <v>-0.948348004224201</v>
      </c>
      <c r="G902" s="0" t="n">
        <f aca="false">$B$3*D902</f>
        <v>-0.0131850241291017</v>
      </c>
      <c r="H902" s="0" t="n">
        <f aca="false">$B$4*D902+$C$4*E902</f>
        <v>-0.00191703527425833</v>
      </c>
      <c r="I902" s="0" t="n">
        <f aca="false">$B$5*D902+$C$5*E902+$D$5*F902</f>
        <v>-0.0155572755391958</v>
      </c>
      <c r="J902" s="0" t="n">
        <f aca="false">SUMPRODUCT(G902:I902,Inputs!$B$4:$D$4)*Inputs!$B$2</f>
        <v>-10516.3028956769</v>
      </c>
    </row>
    <row r="903" customFormat="false" ht="15" hidden="false" customHeight="false" outlineLevel="0" collapsed="false">
      <c r="D903" s="0" t="n">
        <f aca="false">MC_Shocks!A890</f>
        <v>0.463206292099123</v>
      </c>
      <c r="E903" s="0" t="n">
        <f aca="false">MC_Shocks!B890</f>
        <v>-1.36713780646025</v>
      </c>
      <c r="F903" s="0" t="n">
        <f aca="false">MC_Shocks!C890</f>
        <v>0.848174212666668</v>
      </c>
      <c r="G903" s="0" t="n">
        <f aca="false">$B$3*D903</f>
        <v>0.00682336265798495</v>
      </c>
      <c r="H903" s="0" t="n">
        <f aca="false">$B$4*D903+$C$4*E903</f>
        <v>-0.0122560240004001</v>
      </c>
      <c r="I903" s="0" t="n">
        <f aca="false">$B$5*D903+$C$5*E903+$D$5*F903</f>
        <v>0.00722128562849437</v>
      </c>
      <c r="J903" s="0" t="n">
        <f aca="false">SUMPRODUCT(G903:I903,Inputs!$B$4:$D$4)*Inputs!$B$2</f>
        <v>1218.92355162225</v>
      </c>
    </row>
    <row r="904" customFormat="false" ht="15" hidden="false" customHeight="false" outlineLevel="0" collapsed="false">
      <c r="D904" s="0" t="n">
        <f aca="false">MC_Shocks!A891</f>
        <v>-1.23252331476851</v>
      </c>
      <c r="E904" s="0" t="n">
        <f aca="false">MC_Shocks!B891</f>
        <v>0.552299937679523</v>
      </c>
      <c r="F904" s="0" t="n">
        <f aca="false">MC_Shocks!C891</f>
        <v>0.625630933646001</v>
      </c>
      <c r="G904" s="0" t="n">
        <f aca="false">$B$3*D904</f>
        <v>-0.0181559570855044</v>
      </c>
      <c r="H904" s="0" t="n">
        <f aca="false">$B$4*D904+$C$4*E904</f>
        <v>-0.00602161050101526</v>
      </c>
      <c r="I904" s="0" t="n">
        <f aca="false">$B$5*D904+$C$5*E904+$D$5*F904</f>
        <v>-0.00551306020101301</v>
      </c>
      <c r="J904" s="0" t="n">
        <f aca="false">SUMPRODUCT(G904:I904,Inputs!$B$4:$D$4)*Inputs!$B$2</f>
        <v>-10722.7840448102</v>
      </c>
    </row>
    <row r="905" customFormat="false" ht="15" hidden="false" customHeight="false" outlineLevel="0" collapsed="false">
      <c r="D905" s="0" t="n">
        <f aca="false">MC_Shocks!A892</f>
        <v>-0.696771818429575</v>
      </c>
      <c r="E905" s="0" t="n">
        <f aca="false">MC_Shocks!B892</f>
        <v>0.582026567084727</v>
      </c>
      <c r="F905" s="0" t="n">
        <f aca="false">MC_Shocks!C892</f>
        <v>0.260442263333556</v>
      </c>
      <c r="G905" s="0" t="n">
        <f aca="false">$B$3*D905</f>
        <v>-0.0102639512634065</v>
      </c>
      <c r="H905" s="0" t="n">
        <f aca="false">$B$4*D905+$C$4*E905</f>
        <v>-2.59724716645798E-005</v>
      </c>
      <c r="I905" s="0" t="n">
        <f aca="false">$B$5*D905+$C$5*E905+$D$5*F905</f>
        <v>-0.00292353035174361</v>
      </c>
      <c r="J905" s="0" t="n">
        <f aca="false">SUMPRODUCT(G905:I905,Inputs!$B$4:$D$4)*Inputs!$B$2</f>
        <v>-4990.43135238506</v>
      </c>
    </row>
    <row r="906" customFormat="false" ht="15" hidden="false" customHeight="false" outlineLevel="0" collapsed="false">
      <c r="D906" s="0" t="n">
        <f aca="false">MC_Shocks!A893</f>
        <v>-0.538841856192738</v>
      </c>
      <c r="E906" s="0" t="n">
        <f aca="false">MC_Shocks!B893</f>
        <v>-1.00855468407621</v>
      </c>
      <c r="F906" s="0" t="n">
        <f aca="false">MC_Shocks!C893</f>
        <v>-1.96262569167258</v>
      </c>
      <c r="G906" s="0" t="n">
        <f aca="false">$B$3*D906</f>
        <v>-0.00793752905091806</v>
      </c>
      <c r="H906" s="0" t="n">
        <f aca="false">$B$4*D906+$C$4*E906</f>
        <v>-0.0182840259527469</v>
      </c>
      <c r="I906" s="0" t="n">
        <f aca="false">$B$5*D906+$C$5*E906+$D$5*F906</f>
        <v>-0.0266784477187234</v>
      </c>
      <c r="J906" s="0" t="n">
        <f aca="false">SUMPRODUCT(G906:I906,Inputs!$B$4:$D$4)*Inputs!$B$2</f>
        <v>-16663.7537218083</v>
      </c>
    </row>
    <row r="907" customFormat="false" ht="15" hidden="false" customHeight="false" outlineLevel="0" collapsed="false">
      <c r="D907" s="0" t="n">
        <f aca="false">MC_Shocks!A894</f>
        <v>0.349650047299694</v>
      </c>
      <c r="E907" s="0" t="n">
        <f aca="false">MC_Shocks!B894</f>
        <v>-1.56480277136206</v>
      </c>
      <c r="F907" s="0" t="n">
        <f aca="false">MC_Shocks!C894</f>
        <v>0.0953441994413082</v>
      </c>
      <c r="G907" s="0" t="n">
        <f aca="false">$B$3*D907</f>
        <v>0.00515059729714738</v>
      </c>
      <c r="H907" s="0" t="n">
        <f aca="false">$B$4*D907+$C$4*E907</f>
        <v>-0.0159229208786183</v>
      </c>
      <c r="I907" s="0" t="n">
        <f aca="false">$B$5*D907+$C$5*E907+$D$5*F907</f>
        <v>-0.00131694451054835</v>
      </c>
      <c r="J907" s="0" t="n">
        <f aca="false">SUMPRODUCT(G907:I907,Inputs!$B$4:$D$4)*Inputs!$B$2</f>
        <v>-3111.72069789105</v>
      </c>
    </row>
    <row r="908" customFormat="false" ht="15" hidden="false" customHeight="false" outlineLevel="0" collapsed="false">
      <c r="D908" s="0" t="n">
        <f aca="false">MC_Shocks!A895</f>
        <v>-0.263448216082249</v>
      </c>
      <c r="E908" s="0" t="n">
        <f aca="false">MC_Shocks!B895</f>
        <v>0.679142775438196</v>
      </c>
      <c r="F908" s="0" t="n">
        <f aca="false">MC_Shocks!C895</f>
        <v>-0.302045499489864</v>
      </c>
      <c r="G908" s="0" t="n">
        <f aca="false">$B$3*D908</f>
        <v>-0.0038807821711189</v>
      </c>
      <c r="H908" s="0" t="n">
        <f aca="false">$B$4*D908+$C$4*E908</f>
        <v>0.00573833558924435</v>
      </c>
      <c r="I908" s="0" t="n">
        <f aca="false">$B$5*D908+$C$5*E908+$D$5*F908</f>
        <v>-0.00289556323108561</v>
      </c>
      <c r="J908" s="0" t="n">
        <f aca="false">SUMPRODUCT(G908:I908,Inputs!$B$4:$D$4)*Inputs!$B$2</f>
        <v>-699.481160999938</v>
      </c>
    </row>
    <row r="909" customFormat="false" ht="15" hidden="false" customHeight="false" outlineLevel="0" collapsed="false">
      <c r="D909" s="0" t="n">
        <f aca="false">MC_Shocks!A896</f>
        <v>-0.329447786347091</v>
      </c>
      <c r="E909" s="0" t="n">
        <f aca="false">MC_Shocks!B896</f>
        <v>0.731870704288296</v>
      </c>
      <c r="F909" s="0" t="n">
        <f aca="false">MC_Shocks!C896</f>
        <v>0.335058029084118</v>
      </c>
      <c r="G909" s="0" t="n">
        <f aca="false">$B$3*D909</f>
        <v>-0.00485300342732715</v>
      </c>
      <c r="H909" s="0" t="n">
        <f aca="false">$B$4*D909+$C$4*E909</f>
        <v>0.00570579048572024</v>
      </c>
      <c r="I909" s="0" t="n">
        <f aca="false">$B$5*D909+$C$5*E909+$D$5*F909</f>
        <v>0.00218357839863124</v>
      </c>
      <c r="J909" s="0" t="n">
        <f aca="false">SUMPRODUCT(G909:I909,Inputs!$B$4:$D$4)*Inputs!$B$2</f>
        <v>425.609294374582</v>
      </c>
    </row>
    <row r="910" customFormat="false" ht="15" hidden="false" customHeight="false" outlineLevel="0" collapsed="false">
      <c r="D910" s="0" t="n">
        <f aca="false">MC_Shocks!A897</f>
        <v>0.316155957182778</v>
      </c>
      <c r="E910" s="0" t="n">
        <f aca="false">MC_Shocks!B897</f>
        <v>0.469267589808526</v>
      </c>
      <c r="F910" s="0" t="n">
        <f aca="false">MC_Shocks!C897</f>
        <v>-1.53557212320711</v>
      </c>
      <c r="G910" s="0" t="n">
        <f aca="false">$B$3*D910</f>
        <v>0.00465720520022388</v>
      </c>
      <c r="H910" s="0" t="n">
        <f aca="false">$B$4*D910+$C$4*E910</f>
        <v>0.00919420100965949</v>
      </c>
      <c r="I910" s="0" t="n">
        <f aca="false">$B$5*D910+$C$5*E910+$D$5*F910</f>
        <v>-0.00834504727807264</v>
      </c>
      <c r="J910" s="0" t="n">
        <f aca="false">SUMPRODUCT(G910:I910,Inputs!$B$4:$D$4)*Inputs!$B$2</f>
        <v>2117.62819956561</v>
      </c>
    </row>
    <row r="911" customFormat="false" ht="15" hidden="false" customHeight="false" outlineLevel="0" collapsed="false">
      <c r="D911" s="0" t="n">
        <f aca="false">MC_Shocks!A898</f>
        <v>0.756788679986982</v>
      </c>
      <c r="E911" s="0" t="n">
        <f aca="false">MC_Shocks!B898</f>
        <v>0.612468794013602</v>
      </c>
      <c r="F911" s="0" t="n">
        <f aca="false">MC_Shocks!C898</f>
        <v>-1.0166831285765</v>
      </c>
      <c r="G911" s="0" t="n">
        <f aca="false">$B$3*D911</f>
        <v>0.0111480429067744</v>
      </c>
      <c r="H911" s="0" t="n">
        <f aca="false">$B$4*D911+$C$4*E911</f>
        <v>0.0156122604025822</v>
      </c>
      <c r="I911" s="0" t="n">
        <f aca="false">$B$5*D911+$C$5*E911+$D$5*F911</f>
        <v>0.00140598461793223</v>
      </c>
      <c r="J911" s="0" t="n">
        <f aca="false">SUMPRODUCT(G911:I911,Inputs!$B$4:$D$4)*Inputs!$B$2</f>
        <v>9564.69066886408</v>
      </c>
    </row>
    <row r="912" customFormat="false" ht="15" hidden="false" customHeight="false" outlineLevel="0" collapsed="false">
      <c r="D912" s="0" t="n">
        <f aca="false">MC_Shocks!A899</f>
        <v>-0.244080473674201</v>
      </c>
      <c r="E912" s="0" t="n">
        <f aca="false">MC_Shocks!B899</f>
        <v>-0.0393072876276312</v>
      </c>
      <c r="F912" s="0" t="n">
        <f aca="false">MC_Shocks!C899</f>
        <v>-0.134496784401733</v>
      </c>
      <c r="G912" s="0" t="n">
        <f aca="false">$B$3*D912</f>
        <v>-0.00359548136115437</v>
      </c>
      <c r="H912" s="0" t="n">
        <f aca="false">$B$4*D912+$C$4*E912</f>
        <v>-0.00305411983019561</v>
      </c>
      <c r="I912" s="0" t="n">
        <f aca="false">$B$5*D912+$C$5*E912+$D$5*F912</f>
        <v>-0.00391189390339707</v>
      </c>
      <c r="J912" s="0" t="n">
        <f aca="false">SUMPRODUCT(G912:I912,Inputs!$B$4:$D$4)*Inputs!$B$2</f>
        <v>-3527.99666453955</v>
      </c>
    </row>
    <row r="913" customFormat="false" ht="15" hidden="false" customHeight="false" outlineLevel="0" collapsed="false">
      <c r="D913" s="0" t="n">
        <f aca="false">MC_Shocks!A900</f>
        <v>0.333859966568535</v>
      </c>
      <c r="E913" s="0" t="n">
        <f aca="false">MC_Shocks!B900</f>
        <v>1.43136678183118</v>
      </c>
      <c r="F913" s="0" t="n">
        <f aca="false">MC_Shocks!C900</f>
        <v>1.08176672767283</v>
      </c>
      <c r="G913" s="0" t="n">
        <f aca="false">$B$3*D913</f>
        <v>0.00491799802320552</v>
      </c>
      <c r="H913" s="0" t="n">
        <f aca="false">$B$4*D913+$C$4*E913</f>
        <v>0.0214265159110356</v>
      </c>
      <c r="I913" s="0" t="n">
        <f aca="false">$B$5*D913+$C$5*E913+$D$5*F913</f>
        <v>0.0183724112617437</v>
      </c>
      <c r="J913" s="0" t="n">
        <f aca="false">SUMPRODUCT(G913:I913,Inputs!$B$4:$D$4)*Inputs!$B$2</f>
        <v>13906.877361116</v>
      </c>
    </row>
    <row r="914" customFormat="false" ht="15" hidden="false" customHeight="false" outlineLevel="0" collapsed="false">
      <c r="D914" s="0" t="n">
        <f aca="false">MC_Shocks!A901</f>
        <v>-1.31221919343141</v>
      </c>
      <c r="E914" s="0" t="n">
        <f aca="false">MC_Shocks!B901</f>
        <v>0.622069990306049</v>
      </c>
      <c r="F914" s="0" t="n">
        <f aca="false">MC_Shocks!C901</f>
        <v>1.32893331953541</v>
      </c>
      <c r="G914" s="0" t="n">
        <f aca="false">$B$3*D914</f>
        <v>-0.0193299348395616</v>
      </c>
      <c r="H914" s="0" t="n">
        <f aca="false">$B$4*D914+$C$4*E914</f>
        <v>-0.00598453150181714</v>
      </c>
      <c r="I914" s="0" t="n">
        <f aca="false">$B$5*D914+$C$5*E914+$D$5*F914</f>
        <v>6.4650505503026E-005</v>
      </c>
      <c r="J914" s="0" t="n">
        <f aca="false">SUMPRODUCT(G914:I914,Inputs!$B$4:$D$4)*Inputs!$B$2</f>
        <v>-9507.93823471888</v>
      </c>
    </row>
    <row r="915" customFormat="false" ht="15" hidden="false" customHeight="false" outlineLevel="0" collapsed="false">
      <c r="D915" s="0" t="n">
        <f aca="false">MC_Shocks!A902</f>
        <v>0.386808520689203</v>
      </c>
      <c r="E915" s="0" t="n">
        <f aca="false">MC_Shocks!B902</f>
        <v>1.09098042518597</v>
      </c>
      <c r="F915" s="0" t="n">
        <f aca="false">MC_Shocks!C902</f>
        <v>2.01227044570077</v>
      </c>
      <c r="G915" s="0" t="n">
        <f aca="false">$B$3*D915</f>
        <v>0.00569796840172522</v>
      </c>
      <c r="H915" s="0" t="n">
        <f aca="false">$B$4*D915+$C$4*E915</f>
        <v>0.0177202889009593</v>
      </c>
      <c r="I915" s="0" t="n">
        <f aca="false">$B$5*D915+$C$5*E915+$D$5*F915</f>
        <v>0.0258107805637955</v>
      </c>
      <c r="J915" s="0" t="n">
        <f aca="false">SUMPRODUCT(G915:I915,Inputs!$B$4:$D$4)*Inputs!$B$2</f>
        <v>15338.5082001165</v>
      </c>
    </row>
    <row r="916" customFormat="false" ht="15" hidden="false" customHeight="false" outlineLevel="0" collapsed="false">
      <c r="D916" s="0" t="n">
        <f aca="false">MC_Shocks!A903</f>
        <v>1.02370954610698</v>
      </c>
      <c r="E916" s="0" t="n">
        <f aca="false">MC_Shocks!B903</f>
        <v>0.249308595641729</v>
      </c>
      <c r="F916" s="0" t="n">
        <f aca="false">MC_Shocks!C903</f>
        <v>1.04508847408475</v>
      </c>
      <c r="G916" s="0" t="n">
        <f aca="false">$B$3*D916</f>
        <v>0.0150799797167572</v>
      </c>
      <c r="H916" s="0" t="n">
        <f aca="false">$B$4*D916+$C$4*E916</f>
        <v>0.0138668071025009</v>
      </c>
      <c r="I916" s="0" t="n">
        <f aca="false">$B$5*D916+$C$5*E916+$D$5*F916</f>
        <v>0.0209367424814099</v>
      </c>
      <c r="J916" s="0" t="n">
        <f aca="false">SUMPRODUCT(G916:I916,Inputs!$B$4:$D$4)*Inputs!$B$2</f>
        <v>16473.0567618761</v>
      </c>
    </row>
    <row r="917" customFormat="false" ht="15" hidden="false" customHeight="false" outlineLevel="0" collapsed="false">
      <c r="D917" s="0" t="n">
        <f aca="false">MC_Shocks!A904</f>
        <v>0.144887833096891</v>
      </c>
      <c r="E917" s="0" t="n">
        <f aca="false">MC_Shocks!B904</f>
        <v>0.0239030432849555</v>
      </c>
      <c r="F917" s="0" t="n">
        <f aca="false">MC_Shocks!C904</f>
        <v>-0.351414235713733</v>
      </c>
      <c r="G917" s="0" t="n">
        <f aca="false">$B$3*D917</f>
        <v>0.00213430224677977</v>
      </c>
      <c r="H917" s="0" t="n">
        <f aca="false">$B$4*D917+$C$4*E917</f>
        <v>0.00182008296402062</v>
      </c>
      <c r="I917" s="0" t="n">
        <f aca="false">$B$5*D917+$C$5*E917+$D$5*F917</f>
        <v>-0.0014536073659207</v>
      </c>
      <c r="J917" s="0" t="n">
        <f aca="false">SUMPRODUCT(G917:I917,Inputs!$B$4:$D$4)*Inputs!$B$2</f>
        <v>963.663578141882</v>
      </c>
    </row>
    <row r="918" customFormat="false" ht="15" hidden="false" customHeight="false" outlineLevel="0" collapsed="false">
      <c r="D918" s="0" t="n">
        <f aca="false">MC_Shocks!A905</f>
        <v>1.56341335883211</v>
      </c>
      <c r="E918" s="0" t="n">
        <f aca="false">MC_Shocks!B905</f>
        <v>-0.818428665942001</v>
      </c>
      <c r="F918" s="0" t="n">
        <f aca="false">MC_Shocks!C905</f>
        <v>1.53236772467812</v>
      </c>
      <c r="G918" s="0" t="n">
        <f aca="false">$B$3*D918</f>
        <v>0.0230302060088748</v>
      </c>
      <c r="H918" s="0" t="n">
        <f aca="false">$B$4*D918+$C$4*E918</f>
        <v>0.00616253484268231</v>
      </c>
      <c r="I918" s="0" t="n">
        <f aca="false">$B$5*D918+$C$5*E918+$D$5*F918</f>
        <v>0.026927886467394</v>
      </c>
      <c r="J918" s="0" t="n">
        <f aca="false">SUMPRODUCT(G918:I918,Inputs!$B$4:$D$4)*Inputs!$B$2</f>
        <v>19139.2087965728</v>
      </c>
    </row>
    <row r="919" customFormat="false" ht="15" hidden="false" customHeight="false" outlineLevel="0" collapsed="false">
      <c r="D919" s="0" t="n">
        <f aca="false">MC_Shocks!A906</f>
        <v>0.499864123740371</v>
      </c>
      <c r="E919" s="0" t="n">
        <f aca="false">MC_Shocks!B906</f>
        <v>-1.39930617480194</v>
      </c>
      <c r="F919" s="0" t="n">
        <f aca="false">MC_Shocks!C906</f>
        <v>0.367649292991422</v>
      </c>
      <c r="G919" s="0" t="n">
        <f aca="false">$B$3*D919</f>
        <v>0.00736335894864429</v>
      </c>
      <c r="H919" s="0" t="n">
        <f aca="false">$B$4*D919+$C$4*E919</f>
        <v>-0.0122740325554787</v>
      </c>
      <c r="I919" s="0" t="n">
        <f aca="false">$B$5*D919+$C$5*E919+$D$5*F919</f>
        <v>0.00327983098909934</v>
      </c>
      <c r="J919" s="0" t="n">
        <f aca="false">SUMPRODUCT(G919:I919,Inputs!$B$4:$D$4)*Inputs!$B$2</f>
        <v>247.083109543915</v>
      </c>
    </row>
    <row r="920" customFormat="false" ht="15" hidden="false" customHeight="false" outlineLevel="0" collapsed="false">
      <c r="D920" s="0" t="n">
        <f aca="false">MC_Shocks!A907</f>
        <v>-2.10002650765162</v>
      </c>
      <c r="E920" s="0" t="n">
        <f aca="false">MC_Shocks!B907</f>
        <v>0.625508016831036</v>
      </c>
      <c r="F920" s="0" t="n">
        <f aca="false">MC_Shocks!C907</f>
        <v>0.885231482988991</v>
      </c>
      <c r="G920" s="0" t="n">
        <f aca="false">$B$3*D920</f>
        <v>-0.0309349045932698</v>
      </c>
      <c r="H920" s="0" t="n">
        <f aca="false">$B$4*D920+$C$4*E920</f>
        <v>-0.0142105767896939</v>
      </c>
      <c r="I920" s="0" t="n">
        <f aca="false">$B$5*D920+$C$5*E920+$D$5*F920</f>
        <v>-0.012157847793828</v>
      </c>
      <c r="J920" s="0" t="n">
        <f aca="false">SUMPRODUCT(G920:I920,Inputs!$B$4:$D$4)*Inputs!$B$2</f>
        <v>-20284.4892123645</v>
      </c>
    </row>
    <row r="921" customFormat="false" ht="15" hidden="false" customHeight="false" outlineLevel="0" collapsed="false">
      <c r="D921" s="0" t="n">
        <f aca="false">MC_Shocks!A908</f>
        <v>-0.592355955652054</v>
      </c>
      <c r="E921" s="0" t="n">
        <f aca="false">MC_Shocks!B908</f>
        <v>0.123547695955582</v>
      </c>
      <c r="F921" s="0" t="n">
        <f aca="false">MC_Shocks!C908</f>
        <v>1.95415743375029</v>
      </c>
      <c r="G921" s="0" t="n">
        <f aca="false">$B$3*D921</f>
        <v>-0.00872583032003866</v>
      </c>
      <c r="H921" s="0" t="n">
        <f aca="false">$B$4*D921+$C$4*E921</f>
        <v>-0.0046706228693834</v>
      </c>
      <c r="I921" s="0" t="n">
        <f aca="false">$B$5*D921+$C$5*E921+$D$5*F921</f>
        <v>0.0113040945054656</v>
      </c>
      <c r="J921" s="0" t="n">
        <f aca="false">SUMPRODUCT(G921:I921,Inputs!$B$4:$D$4)*Inputs!$B$2</f>
        <v>-1500.2906371908</v>
      </c>
    </row>
    <row r="922" customFormat="false" ht="15" hidden="false" customHeight="false" outlineLevel="0" collapsed="false">
      <c r="D922" s="0" t="n">
        <f aca="false">MC_Shocks!A909</f>
        <v>-0.505746704261937</v>
      </c>
      <c r="E922" s="0" t="n">
        <f aca="false">MC_Shocks!B909</f>
        <v>-1.0589075870566</v>
      </c>
      <c r="F922" s="0" t="n">
        <f aca="false">MC_Shocks!C909</f>
        <v>1.4816634024626</v>
      </c>
      <c r="G922" s="0" t="n">
        <f aca="false">$B$3*D922</f>
        <v>-0.00745001360111358</v>
      </c>
      <c r="H922" s="0" t="n">
        <f aca="false">$B$4*D922+$C$4*E922</f>
        <v>-0.0185671189861268</v>
      </c>
      <c r="I922" s="0" t="n">
        <f aca="false">$B$5*D922+$C$5*E922+$D$5*F922</f>
        <v>0.00365652245322493</v>
      </c>
      <c r="J922" s="0" t="n">
        <f aca="false">SUMPRODUCT(G922:I922,Inputs!$B$4:$D$4)*Inputs!$B$2</f>
        <v>-7453.18440031601</v>
      </c>
    </row>
    <row r="923" customFormat="false" ht="15" hidden="false" customHeight="false" outlineLevel="0" collapsed="false">
      <c r="D923" s="0" t="n">
        <f aca="false">MC_Shocks!A910</f>
        <v>1.9625871905308</v>
      </c>
      <c r="E923" s="0" t="n">
        <f aca="false">MC_Shocks!B910</f>
        <v>0.00369567184784733</v>
      </c>
      <c r="F923" s="0" t="n">
        <f aca="false">MC_Shocks!C910</f>
        <v>1.01146303540836</v>
      </c>
      <c r="G923" s="0" t="n">
        <f aca="false">$B$3*D923</f>
        <v>0.0289103243572558</v>
      </c>
      <c r="H923" s="0" t="n">
        <f aca="false">$B$4*D923+$C$4*E923</f>
        <v>0.0206462549835848</v>
      </c>
      <c r="I923" s="0" t="n">
        <f aca="false">$B$5*D923+$C$5*E923+$D$5*F923</f>
        <v>0.0296721279081552</v>
      </c>
      <c r="J923" s="0" t="n">
        <f aca="false">SUMPRODUCT(G923:I923,Inputs!$B$4:$D$4)*Inputs!$B$2</f>
        <v>26659.6446104243</v>
      </c>
    </row>
    <row r="924" customFormat="false" ht="15" hidden="false" customHeight="false" outlineLevel="0" collapsed="false">
      <c r="D924" s="0" t="n">
        <f aca="false">MC_Shocks!A911</f>
        <v>1.34147591553088</v>
      </c>
      <c r="E924" s="0" t="n">
        <f aca="false">MC_Shocks!B911</f>
        <v>-0.742484232538384</v>
      </c>
      <c r="F924" s="0" t="n">
        <f aca="false">MC_Shocks!C911</f>
        <v>-0.485305835367868</v>
      </c>
      <c r="G924" s="0" t="n">
        <f aca="false">$B$3*D924</f>
        <v>0.0197609074504127</v>
      </c>
      <c r="H924" s="0" t="n">
        <f aca="false">$B$4*D924+$C$4*E924</f>
        <v>0.0047839078003577</v>
      </c>
      <c r="I924" s="0" t="n">
        <f aca="false">$B$5*D924+$C$5*E924+$D$5*F924</f>
        <v>0.00718500976888162</v>
      </c>
      <c r="J924" s="0" t="n">
        <f aca="false">SUMPRODUCT(G924:I924,Inputs!$B$4:$D$4)*Inputs!$B$2</f>
        <v>11495.0382509369</v>
      </c>
    </row>
    <row r="925" customFormat="false" ht="15" hidden="false" customHeight="false" outlineLevel="0" collapsed="false">
      <c r="D925" s="0" t="n">
        <f aca="false">MC_Shocks!A912</f>
        <v>1.23087451315474</v>
      </c>
      <c r="E925" s="0" t="n">
        <f aca="false">MC_Shocks!B912</f>
        <v>1.68501427870851</v>
      </c>
      <c r="F925" s="0" t="n">
        <f aca="false">MC_Shocks!C912</f>
        <v>0.562880860174355</v>
      </c>
      <c r="G925" s="0" t="n">
        <f aca="false">$B$3*D925</f>
        <v>0.0181316690489346</v>
      </c>
      <c r="H925" s="0" t="n">
        <f aca="false">$B$4*D925+$C$4*E925</f>
        <v>0.0340178168738579</v>
      </c>
      <c r="I925" s="0" t="n">
        <f aca="false">$B$5*D925+$C$5*E925+$D$5*F925</f>
        <v>0.0242820361887929</v>
      </c>
      <c r="J925" s="0" t="n">
        <f aca="false">SUMPRODUCT(G925:I925,Inputs!$B$4:$D$4)*Inputs!$B$2</f>
        <v>24742.6235383691</v>
      </c>
    </row>
    <row r="926" customFormat="false" ht="15" hidden="false" customHeight="false" outlineLevel="0" collapsed="false">
      <c r="D926" s="0" t="n">
        <f aca="false">MC_Shocks!A913</f>
        <v>-0.879814353502054</v>
      </c>
      <c r="E926" s="0" t="n">
        <f aca="false">MC_Shocks!B913</f>
        <v>1.98706111169944</v>
      </c>
      <c r="F926" s="0" t="n">
        <f aca="false">MC_Shocks!C913</f>
        <v>-0.530970897811965</v>
      </c>
      <c r="G926" s="0" t="n">
        <f aca="false">$B$3*D926</f>
        <v>-0.0129602997801257</v>
      </c>
      <c r="H926" s="0" t="n">
        <f aca="false">$B$4*D926+$C$4*E926</f>
        <v>0.0156452521947593</v>
      </c>
      <c r="I926" s="0" t="n">
        <f aca="false">$B$5*D926+$C$5*E926+$D$5*F926</f>
        <v>-0.00653680783022619</v>
      </c>
      <c r="J926" s="0" t="n">
        <f aca="false">SUMPRODUCT(G926:I926,Inputs!$B$4:$D$4)*Inputs!$B$2</f>
        <v>-2451.58660269033</v>
      </c>
    </row>
    <row r="927" customFormat="false" ht="15" hidden="false" customHeight="false" outlineLevel="0" collapsed="false">
      <c r="D927" s="0" t="n">
        <f aca="false">MC_Shocks!A914</f>
        <v>-0.335137781171452</v>
      </c>
      <c r="E927" s="0" t="n">
        <f aca="false">MC_Shocks!B914</f>
        <v>0.342337834489622</v>
      </c>
      <c r="F927" s="0" t="n">
        <f aca="false">MC_Shocks!C914</f>
        <v>1.55416042071477</v>
      </c>
      <c r="G927" s="0" t="n">
        <f aca="false">$B$3*D927</f>
        <v>-0.00493682115362082</v>
      </c>
      <c r="H927" s="0" t="n">
        <f aca="false">$B$4*D927+$C$4*E927</f>
        <v>0.000768707642614083</v>
      </c>
      <c r="I927" s="0" t="n">
        <f aca="false">$B$5*D927+$C$5*E927+$D$5*F927</f>
        <v>0.011344772898455</v>
      </c>
      <c r="J927" s="0" t="n">
        <f aca="false">SUMPRODUCT(G927:I927,Inputs!$B$4:$D$4)*Inputs!$B$2</f>
        <v>1659.31570087239</v>
      </c>
    </row>
    <row r="928" customFormat="false" ht="15" hidden="false" customHeight="false" outlineLevel="0" collapsed="false">
      <c r="D928" s="0" t="n">
        <f aca="false">MC_Shocks!A915</f>
        <v>0.853975976552224</v>
      </c>
      <c r="E928" s="0" t="n">
        <f aca="false">MC_Shocks!B915</f>
        <v>0.41486550036191</v>
      </c>
      <c r="F928" s="0" t="n">
        <f aca="false">MC_Shocks!C915</f>
        <v>0.463288530118106</v>
      </c>
      <c r="G928" s="0" t="n">
        <f aca="false">$B$3*D928</f>
        <v>0.0125796818579825</v>
      </c>
      <c r="H928" s="0" t="n">
        <f aca="false">$B$4*D928+$C$4*E928</f>
        <v>0.0141581714552993</v>
      </c>
      <c r="I928" s="0" t="n">
        <f aca="false">$B$5*D928+$C$5*E928+$D$5*F928</f>
        <v>0.0146610886959508</v>
      </c>
      <c r="J928" s="0" t="n">
        <f aca="false">SUMPRODUCT(G928:I928,Inputs!$B$4:$D$4)*Inputs!$B$2</f>
        <v>13677.650788568</v>
      </c>
    </row>
    <row r="929" customFormat="false" ht="15" hidden="false" customHeight="false" outlineLevel="0" collapsed="false">
      <c r="D929" s="0" t="n">
        <f aca="false">MC_Shocks!A916</f>
        <v>0.0435146686434661</v>
      </c>
      <c r="E929" s="0" t="n">
        <f aca="false">MC_Shocks!B916</f>
        <v>0.558139514518506</v>
      </c>
      <c r="F929" s="0" t="n">
        <f aca="false">MC_Shocks!C916</f>
        <v>-2.5295600776943</v>
      </c>
      <c r="G929" s="0" t="n">
        <f aca="false">$B$3*D929</f>
        <v>0.000641002443535195</v>
      </c>
      <c r="H929" s="0" t="n">
        <f aca="false">$B$4*D929+$C$4*E929</f>
        <v>0.0074452349022557</v>
      </c>
      <c r="I929" s="0" t="n">
        <f aca="false">$B$5*D929+$C$5*E929+$D$5*F929</f>
        <v>-0.0196091301198466</v>
      </c>
      <c r="J929" s="0" t="n">
        <f aca="false">SUMPRODUCT(G929:I929,Inputs!$B$4:$D$4)*Inputs!$B$2</f>
        <v>-3392.76758786319</v>
      </c>
    </row>
    <row r="930" customFormat="false" ht="15" hidden="false" customHeight="false" outlineLevel="0" collapsed="false">
      <c r="D930" s="0" t="n">
        <f aca="false">MC_Shocks!A917</f>
        <v>-0.296607459069798</v>
      </c>
      <c r="E930" s="0" t="n">
        <f aca="false">MC_Shocks!B917</f>
        <v>0.241321934916781</v>
      </c>
      <c r="F930" s="0" t="n">
        <f aca="false">MC_Shocks!C917</f>
        <v>-1.15101408361951</v>
      </c>
      <c r="G930" s="0" t="n">
        <f aca="false">$B$3*D930</f>
        <v>-0.00436924172839943</v>
      </c>
      <c r="H930" s="0" t="n">
        <f aca="false">$B$4*D930+$C$4*E930</f>
        <v>-9.16896774474226E-005</v>
      </c>
      <c r="I930" s="0" t="n">
        <f aca="false">$B$5*D930+$C$5*E930+$D$5*F930</f>
        <v>-0.0123229797184728</v>
      </c>
      <c r="J930" s="0" t="n">
        <f aca="false">SUMPRODUCT(G930:I930,Inputs!$B$4:$D$4)*Inputs!$B$2</f>
        <v>-5472.09751013584</v>
      </c>
    </row>
    <row r="931" customFormat="false" ht="15" hidden="false" customHeight="false" outlineLevel="0" collapsed="false">
      <c r="D931" s="0" t="n">
        <f aca="false">MC_Shocks!A918</f>
        <v>0.38632331781156</v>
      </c>
      <c r="E931" s="0" t="n">
        <f aca="false">MC_Shocks!B918</f>
        <v>-0.204471220986122</v>
      </c>
      <c r="F931" s="0" t="n">
        <f aca="false">MC_Shocks!C918</f>
        <v>1.75547569831549</v>
      </c>
      <c r="G931" s="0" t="n">
        <f aca="false">$B$3*D931</f>
        <v>0.00569082101350247</v>
      </c>
      <c r="H931" s="0" t="n">
        <f aca="false">$B$4*D931+$C$4*E931</f>
        <v>0.00149478724299128</v>
      </c>
      <c r="I931" s="0" t="n">
        <f aca="false">$B$5*D931+$C$5*E931+$D$5*F931</f>
        <v>0.0187068641082805</v>
      </c>
      <c r="J931" s="0" t="n">
        <f aca="false">SUMPRODUCT(G931:I931,Inputs!$B$4:$D$4)*Inputs!$B$2</f>
        <v>8336.82381078253</v>
      </c>
    </row>
    <row r="932" customFormat="false" ht="15" hidden="false" customHeight="false" outlineLevel="0" collapsed="false">
      <c r="D932" s="0" t="n">
        <f aca="false">MC_Shocks!A919</f>
        <v>1.57301972521486</v>
      </c>
      <c r="E932" s="0" t="n">
        <f aca="false">MC_Shocks!B919</f>
        <v>-0.465805569118163</v>
      </c>
      <c r="F932" s="0" t="n">
        <f aca="false">MC_Shocks!C919</f>
        <v>-0.150837711566695</v>
      </c>
      <c r="G932" s="0" t="n">
        <f aca="false">$B$3*D932</f>
        <v>0.0231717147119581</v>
      </c>
      <c r="H932" s="0" t="n">
        <f aca="false">$B$4*D932+$C$4*E932</f>
        <v>0.0106785763099027</v>
      </c>
      <c r="I932" s="0" t="n">
        <f aca="false">$B$5*D932+$C$5*E932+$D$5*F932</f>
        <v>0.0136043851982322</v>
      </c>
      <c r="J932" s="0" t="n">
        <f aca="false">SUMPRODUCT(G932:I932,Inputs!$B$4:$D$4)*Inputs!$B$2</f>
        <v>16553.5743372237</v>
      </c>
    </row>
    <row r="933" customFormat="false" ht="15" hidden="false" customHeight="false" outlineLevel="0" collapsed="false">
      <c r="D933" s="0" t="n">
        <f aca="false">MC_Shocks!A920</f>
        <v>-0.0739475656083926</v>
      </c>
      <c r="E933" s="0" t="n">
        <f aca="false">MC_Shocks!B920</f>
        <v>-0.451659476159623</v>
      </c>
      <c r="F933" s="0" t="n">
        <f aca="false">MC_Shocks!C920</f>
        <v>0.195024984028127</v>
      </c>
      <c r="G933" s="0" t="n">
        <f aca="false">$B$3*D933</f>
        <v>-0.00108930095818565</v>
      </c>
      <c r="H933" s="0" t="n">
        <f aca="false">$B$4*D933+$C$4*E933</f>
        <v>-0.00643142752995555</v>
      </c>
      <c r="I933" s="0" t="n">
        <f aca="false">$B$5*D933+$C$5*E933+$D$5*F933</f>
        <v>-0.000765837184962742</v>
      </c>
      <c r="J933" s="0" t="n">
        <f aca="false">SUMPRODUCT(G933:I933,Inputs!$B$4:$D$4)*Inputs!$B$2</f>
        <v>-2594.89979774975</v>
      </c>
    </row>
    <row r="934" customFormat="false" ht="15" hidden="false" customHeight="false" outlineLevel="0" collapsed="false">
      <c r="D934" s="0" t="n">
        <f aca="false">MC_Shocks!A921</f>
        <v>-0.75828206888759</v>
      </c>
      <c r="E934" s="0" t="n">
        <f aca="false">MC_Shocks!B921</f>
        <v>-1.13061533493753</v>
      </c>
      <c r="F934" s="0" t="n">
        <f aca="false">MC_Shocks!C921</f>
        <v>0.622711223900269</v>
      </c>
      <c r="G934" s="0" t="n">
        <f aca="false">$B$3*D934</f>
        <v>-0.0111700416020254</v>
      </c>
      <c r="H934" s="0" t="n">
        <f aca="false">$B$4*D934+$C$4*E934</f>
        <v>-0.0221156718536032</v>
      </c>
      <c r="I934" s="0" t="n">
        <f aca="false">$B$5*D934+$C$5*E934+$D$5*F934</f>
        <v>-0.00681264251453909</v>
      </c>
      <c r="J934" s="0" t="n">
        <f aca="false">SUMPRODUCT(G934:I934,Inputs!$B$4:$D$4)*Inputs!$B$2</f>
        <v>-13146.5109512529</v>
      </c>
    </row>
    <row r="935" customFormat="false" ht="15" hidden="false" customHeight="false" outlineLevel="0" collapsed="false">
      <c r="D935" s="0" t="n">
        <f aca="false">MC_Shocks!A922</f>
        <v>0.629529584221811</v>
      </c>
      <c r="E935" s="0" t="n">
        <f aca="false">MC_Shocks!B922</f>
        <v>-0.804315759659992</v>
      </c>
      <c r="F935" s="0" t="n">
        <f aca="false">MC_Shocks!C922</f>
        <v>0.8953554307626</v>
      </c>
      <c r="G935" s="0" t="n">
        <f aca="false">$B$3*D935</f>
        <v>0.00927342467134856</v>
      </c>
      <c r="H935" s="0" t="n">
        <f aca="false">$B$4*D935+$C$4*E935</f>
        <v>-0.00346311790239589</v>
      </c>
      <c r="I935" s="0" t="n">
        <f aca="false">$B$5*D935+$C$5*E935+$D$5*F935</f>
        <v>0.0115039232286419</v>
      </c>
      <c r="J935" s="0" t="n">
        <f aca="false">SUMPRODUCT(G935:I935,Inputs!$B$4:$D$4)*Inputs!$B$2</f>
        <v>6121.61146641324</v>
      </c>
    </row>
    <row r="936" customFormat="false" ht="15" hidden="false" customHeight="false" outlineLevel="0" collapsed="false">
      <c r="D936" s="0" t="n">
        <f aca="false">MC_Shocks!A923</f>
        <v>-0.631577729165331</v>
      </c>
      <c r="E936" s="0" t="n">
        <f aca="false">MC_Shocks!B923</f>
        <v>0.253165238037981</v>
      </c>
      <c r="F936" s="0" t="n">
        <f aca="false">MC_Shocks!C923</f>
        <v>0.820344012612456</v>
      </c>
      <c r="G936" s="0" t="n">
        <f aca="false">$B$3*D936</f>
        <v>-0.00930359532309517</v>
      </c>
      <c r="H936" s="0" t="n">
        <f aca="false">$B$4*D936+$C$4*E936</f>
        <v>-0.00345936079523486</v>
      </c>
      <c r="I936" s="0" t="n">
        <f aca="false">$B$5*D936+$C$5*E936+$D$5*F936</f>
        <v>0.00144119055573948</v>
      </c>
      <c r="J936" s="0" t="n">
        <f aca="false">SUMPRODUCT(G936:I936,Inputs!$B$4:$D$4)*Inputs!$B$2</f>
        <v>-4326.88920108668</v>
      </c>
    </row>
    <row r="937" customFormat="false" ht="15" hidden="false" customHeight="false" outlineLevel="0" collapsed="false">
      <c r="D937" s="0" t="n">
        <f aca="false">MC_Shocks!A924</f>
        <v>-0.033612564703713</v>
      </c>
      <c r="E937" s="0" t="n">
        <f aca="false">MC_Shocks!B924</f>
        <v>0.454740912141134</v>
      </c>
      <c r="F937" s="0" t="n">
        <f aca="false">MC_Shocks!C924</f>
        <v>-0.516429643887572</v>
      </c>
      <c r="G937" s="0" t="n">
        <f aca="false">$B$3*D937</f>
        <v>-0.000495137313008129</v>
      </c>
      <c r="H937" s="0" t="n">
        <f aca="false">$B$4*D937+$C$4*E937</f>
        <v>0.00534102269293494</v>
      </c>
      <c r="I937" s="0" t="n">
        <f aca="false">$B$5*D937+$C$5*E937+$D$5*F937</f>
        <v>-0.00317802591723262</v>
      </c>
      <c r="J937" s="0" t="n">
        <f aca="false">SUMPRODUCT(G937:I937,Inputs!$B$4:$D$4)*Inputs!$B$2</f>
        <v>450.844107507443</v>
      </c>
    </row>
    <row r="938" customFormat="false" ht="15" hidden="false" customHeight="false" outlineLevel="0" collapsed="false">
      <c r="D938" s="0" t="n">
        <f aca="false">MC_Shocks!A925</f>
        <v>-0.196466583428097</v>
      </c>
      <c r="E938" s="0" t="n">
        <f aca="false">MC_Shocks!B925</f>
        <v>-0.20585943088034</v>
      </c>
      <c r="F938" s="0" t="n">
        <f aca="false">MC_Shocks!C925</f>
        <v>-0.746578346540239</v>
      </c>
      <c r="G938" s="0" t="n">
        <f aca="false">$B$3*D938</f>
        <v>-0.00289409442784143</v>
      </c>
      <c r="H938" s="0" t="n">
        <f aca="false">$B$4*D938+$C$4*E938</f>
        <v>-0.00463975521464727</v>
      </c>
      <c r="I938" s="0" t="n">
        <f aca="false">$B$5*D938+$C$5*E938+$D$5*F938</f>
        <v>-0.00939274378413931</v>
      </c>
      <c r="J938" s="0" t="n">
        <f aca="false">SUMPRODUCT(G938:I938,Inputs!$B$4:$D$4)*Inputs!$B$2</f>
        <v>-5367.38747077255</v>
      </c>
    </row>
    <row r="939" customFormat="false" ht="15" hidden="false" customHeight="false" outlineLevel="0" collapsed="false">
      <c r="D939" s="0" t="n">
        <f aca="false">MC_Shocks!A926</f>
        <v>-0.176774163115782</v>
      </c>
      <c r="E939" s="0" t="n">
        <f aca="false">MC_Shocks!B926</f>
        <v>-1.54861829886375</v>
      </c>
      <c r="F939" s="0" t="n">
        <f aca="false">MC_Shocks!C926</f>
        <v>-0.491153747142105</v>
      </c>
      <c r="G939" s="0" t="n">
        <f aca="false">$B$3*D939</f>
        <v>-0.00260401087825174</v>
      </c>
      <c r="H939" s="0" t="n">
        <f aca="false">$B$4*D939+$C$4*E939</f>
        <v>-0.0212458015602055</v>
      </c>
      <c r="I939" s="0" t="n">
        <f aca="false">$B$5*D939+$C$5*E939+$D$5*F939</f>
        <v>-0.0119727634348284</v>
      </c>
      <c r="J939" s="0" t="n">
        <f aca="false">SUMPRODUCT(G939:I939,Inputs!$B$4:$D$4)*Inputs!$B$2</f>
        <v>-11007.1738498109</v>
      </c>
    </row>
    <row r="940" customFormat="false" ht="15" hidden="false" customHeight="false" outlineLevel="0" collapsed="false">
      <c r="D940" s="0" t="n">
        <f aca="false">MC_Shocks!A927</f>
        <v>-0.284875493369671</v>
      </c>
      <c r="E940" s="0" t="n">
        <f aca="false">MC_Shocks!B927</f>
        <v>-0.25617975249538</v>
      </c>
      <c r="F940" s="0" t="n">
        <f aca="false">MC_Shocks!C927</f>
        <v>-0.241497445870779</v>
      </c>
      <c r="G940" s="0" t="n">
        <f aca="false">$B$3*D940</f>
        <v>-0.00419642141479738</v>
      </c>
      <c r="H940" s="0" t="n">
        <f aca="false">$B$4*D940+$C$4*E940</f>
        <v>-0.00619778817056379</v>
      </c>
      <c r="I940" s="0" t="n">
        <f aca="false">$B$5*D940+$C$5*E940+$D$5*F940</f>
        <v>-0.00609335801509175</v>
      </c>
      <c r="J940" s="0" t="n">
        <f aca="false">SUMPRODUCT(G940:I940,Inputs!$B$4:$D$4)*Inputs!$B$2</f>
        <v>-5365.91242161562</v>
      </c>
    </row>
    <row r="941" customFormat="false" ht="15" hidden="false" customHeight="false" outlineLevel="0" collapsed="false">
      <c r="D941" s="0" t="n">
        <f aca="false">MC_Shocks!A928</f>
        <v>-0.0617641998601289</v>
      </c>
      <c r="E941" s="0" t="n">
        <f aca="false">MC_Shocks!B928</f>
        <v>0.479441518086064</v>
      </c>
      <c r="F941" s="0" t="n">
        <f aca="false">MC_Shocks!C928</f>
        <v>0.874517074132523</v>
      </c>
      <c r="G941" s="0" t="n">
        <f aca="false">$B$3*D941</f>
        <v>-0.000909831196411593</v>
      </c>
      <c r="H941" s="0" t="n">
        <f aca="false">$B$4*D941+$C$4*E941</f>
        <v>0.00535481098196429</v>
      </c>
      <c r="I941" s="0" t="n">
        <f aca="false">$B$5*D941+$C$5*E941+$D$5*F941</f>
        <v>0.00880111413699937</v>
      </c>
      <c r="J941" s="0" t="n">
        <f aca="false">SUMPRODUCT(G941:I941,Inputs!$B$4:$D$4)*Inputs!$B$2</f>
        <v>3882.84505712446</v>
      </c>
    </row>
    <row r="942" customFormat="false" ht="15" hidden="false" customHeight="false" outlineLevel="0" collapsed="false">
      <c r="D942" s="0" t="n">
        <f aca="false">MC_Shocks!A929</f>
        <v>-0.649765226848267</v>
      </c>
      <c r="E942" s="0" t="n">
        <f aca="false">MC_Shocks!B929</f>
        <v>-1.20320085538914</v>
      </c>
      <c r="F942" s="0" t="n">
        <f aca="false">MC_Shocks!C929</f>
        <v>-1.0420444122431</v>
      </c>
      <c r="G942" s="0" t="n">
        <f aca="false">$B$3*D942</f>
        <v>-0.0095715102772931</v>
      </c>
      <c r="H942" s="0" t="n">
        <f aca="false">$B$4*D942+$C$4*E942</f>
        <v>-0.0218854888388664</v>
      </c>
      <c r="I942" s="0" t="n">
        <f aca="false">$B$5*D942+$C$5*E942+$D$5*F942</f>
        <v>-0.0205180201218394</v>
      </c>
      <c r="J942" s="0" t="n">
        <f aca="false">SUMPRODUCT(G942:I942,Inputs!$B$4:$D$4)*Inputs!$B$2</f>
        <v>-16549.656799129</v>
      </c>
    </row>
    <row r="943" customFormat="false" ht="15" hidden="false" customHeight="false" outlineLevel="0" collapsed="false">
      <c r="D943" s="0" t="n">
        <f aca="false">MC_Shocks!A930</f>
        <v>-0.487202921194927</v>
      </c>
      <c r="E943" s="0" t="n">
        <f aca="false">MC_Shocks!B930</f>
        <v>-0.351921317816509</v>
      </c>
      <c r="F943" s="0" t="n">
        <f aca="false">MC_Shocks!C930</f>
        <v>-0.769996066197457</v>
      </c>
      <c r="G943" s="0" t="n">
        <f aca="false">$B$3*D943</f>
        <v>-0.00717685030632369</v>
      </c>
      <c r="H943" s="0" t="n">
        <f aca="false">$B$4*D943+$C$4*E943</f>
        <v>-0.0095202700093854</v>
      </c>
      <c r="I943" s="0" t="n">
        <f aca="false">$B$5*D943+$C$5*E943+$D$5*F943</f>
        <v>-0.0132255840119928</v>
      </c>
      <c r="J943" s="0" t="n">
        <f aca="false">SUMPRODUCT(G943:I943,Inputs!$B$4:$D$4)*Inputs!$B$2</f>
        <v>-9694.49632894293</v>
      </c>
    </row>
    <row r="944" customFormat="false" ht="15" hidden="false" customHeight="false" outlineLevel="0" collapsed="false">
      <c r="D944" s="0" t="n">
        <f aca="false">MC_Shocks!A931</f>
        <v>-1.29611666424989</v>
      </c>
      <c r="E944" s="0" t="n">
        <f aca="false">MC_Shocks!B931</f>
        <v>-0.456120827474188</v>
      </c>
      <c r="F944" s="0" t="n">
        <f aca="false">MC_Shocks!C931</f>
        <v>0.181426620113971</v>
      </c>
      <c r="G944" s="0" t="n">
        <f aca="false">$B$3*D944</f>
        <v>-0.0190927329746683</v>
      </c>
      <c r="H944" s="0" t="n">
        <f aca="false">$B$4*D944+$C$4*E944</f>
        <v>-0.0193155900097826</v>
      </c>
      <c r="I944" s="0" t="n">
        <f aca="false">$B$5*D944+$C$5*E944+$D$5*F944</f>
        <v>-0.0138530596270173</v>
      </c>
      <c r="J944" s="0" t="n">
        <f aca="false">SUMPRODUCT(G944:I944,Inputs!$B$4:$D$4)*Inputs!$B$2</f>
        <v>-17587.6880809073</v>
      </c>
    </row>
    <row r="945" customFormat="false" ht="15" hidden="false" customHeight="false" outlineLevel="0" collapsed="false">
      <c r="D945" s="0" t="n">
        <f aca="false">MC_Shocks!A932</f>
        <v>0.595029465835565</v>
      </c>
      <c r="E945" s="0" t="n">
        <f aca="false">MC_Shocks!B932</f>
        <v>-0.557423053108321</v>
      </c>
      <c r="F945" s="0" t="n">
        <f aca="false">MC_Shocks!C932</f>
        <v>-0.412997822143434</v>
      </c>
      <c r="G945" s="0" t="n">
        <f aca="false">$B$3*D945</f>
        <v>0.00876521305266356</v>
      </c>
      <c r="H945" s="0" t="n">
        <f aca="false">$B$4*D945+$C$4*E945</f>
        <v>-0.000733888081219427</v>
      </c>
      <c r="I945" s="0" t="n">
        <f aca="false">$B$5*D945+$C$5*E945+$D$5*F945</f>
        <v>0.00060103689597881</v>
      </c>
      <c r="J945" s="0" t="n">
        <f aca="false">SUMPRODUCT(G945:I945,Inputs!$B$4:$D$4)*Inputs!$B$2</f>
        <v>3466.22986549324</v>
      </c>
    </row>
    <row r="946" customFormat="false" ht="15" hidden="false" customHeight="false" outlineLevel="0" collapsed="false">
      <c r="D946" s="0" t="n">
        <f aca="false">MC_Shocks!A933</f>
        <v>-0.926698308847311</v>
      </c>
      <c r="E946" s="0" t="n">
        <f aca="false">MC_Shocks!B933</f>
        <v>-0.0314391703747764</v>
      </c>
      <c r="F946" s="0" t="n">
        <f aca="false">MC_Shocks!C933</f>
        <v>-0.848428634190815</v>
      </c>
      <c r="G946" s="0" t="n">
        <f aca="false">$B$3*D946</f>
        <v>-0.0136509342460603</v>
      </c>
      <c r="H946" s="0" t="n">
        <f aca="false">$B$4*D946+$C$4*E946</f>
        <v>-0.0101205912748567</v>
      </c>
      <c r="I946" s="0" t="n">
        <f aca="false">$B$5*D946+$C$5*E946+$D$5*F946</f>
        <v>-0.0173703854965911</v>
      </c>
      <c r="J946" s="0" t="n">
        <f aca="false">SUMPRODUCT(G946:I946,Inputs!$B$4:$D$4)*Inputs!$B$2</f>
        <v>-13707.6667298585</v>
      </c>
    </row>
    <row r="947" customFormat="false" ht="15" hidden="false" customHeight="false" outlineLevel="0" collapsed="false">
      <c r="D947" s="0" t="n">
        <f aca="false">MC_Shocks!A934</f>
        <v>0.5731278132412</v>
      </c>
      <c r="E947" s="0" t="n">
        <f aca="false">MC_Shocks!B934</f>
        <v>-1.78586649193411</v>
      </c>
      <c r="F947" s="0" t="n">
        <f aca="false">MC_Shocks!C934</f>
        <v>-0.359629672452462</v>
      </c>
      <c r="G947" s="0" t="n">
        <f aca="false">$B$3*D947</f>
        <v>0.0084425859186855</v>
      </c>
      <c r="H947" s="0" t="n">
        <f aca="false">$B$4*D947+$C$4*E947</f>
        <v>-0.0163451712620913</v>
      </c>
      <c r="I947" s="0" t="n">
        <f aca="false">$B$5*D947+$C$5*E947+$D$5*F947</f>
        <v>-0.0037619063737566</v>
      </c>
      <c r="J947" s="0" t="n">
        <f aca="false">SUMPRODUCT(G947:I947,Inputs!$B$4:$D$4)*Inputs!$B$2</f>
        <v>-2655.08892328018</v>
      </c>
    </row>
    <row r="948" customFormat="false" ht="15" hidden="false" customHeight="false" outlineLevel="0" collapsed="false">
      <c r="D948" s="0" t="n">
        <f aca="false">MC_Shocks!A935</f>
        <v>0.301107339191742</v>
      </c>
      <c r="E948" s="0" t="n">
        <f aca="false">MC_Shocks!B935</f>
        <v>0.183834516322504</v>
      </c>
      <c r="F948" s="0" t="n">
        <f aca="false">MC_Shocks!C935</f>
        <v>2.6930336639805</v>
      </c>
      <c r="G948" s="0" t="n">
        <f aca="false">$B$3*D948</f>
        <v>0.00443552820704447</v>
      </c>
      <c r="H948" s="0" t="n">
        <f aca="false">$B$4*D948+$C$4*E948</f>
        <v>0.00546232515124516</v>
      </c>
      <c r="I948" s="0" t="n">
        <f aca="false">$B$5*D948+$C$5*E948+$D$5*F948</f>
        <v>0.027470566937682</v>
      </c>
      <c r="J948" s="0" t="n">
        <f aca="false">SUMPRODUCT(G948:I948,Inputs!$B$4:$D$4)*Inputs!$B$2</f>
        <v>11654.0789094959</v>
      </c>
    </row>
    <row r="949" customFormat="false" ht="15" hidden="false" customHeight="false" outlineLevel="0" collapsed="false">
      <c r="D949" s="0" t="n">
        <f aca="false">MC_Shocks!A936</f>
        <v>0.349800024567908</v>
      </c>
      <c r="E949" s="0" t="n">
        <f aca="false">MC_Shocks!B936</f>
        <v>-1.00405459684201</v>
      </c>
      <c r="F949" s="0" t="n">
        <f aca="false">MC_Shocks!C936</f>
        <v>-0.095464247089073</v>
      </c>
      <c r="G949" s="0" t="n">
        <f aca="false">$B$3*D949</f>
        <v>0.00515280657044295</v>
      </c>
      <c r="H949" s="0" t="n">
        <f aca="false">$B$4*D949+$C$4*E949</f>
        <v>-0.00890019334605771</v>
      </c>
      <c r="I949" s="0" t="n">
        <f aca="false">$B$5*D949+$C$5*E949+$D$5*F949</f>
        <v>-0.000887860965843129</v>
      </c>
      <c r="J949" s="0" t="n">
        <f aca="false">SUMPRODUCT(G949:I949,Inputs!$B$4:$D$4)*Inputs!$B$2</f>
        <v>-875.293665393072</v>
      </c>
    </row>
    <row r="950" customFormat="false" ht="15" hidden="false" customHeight="false" outlineLevel="0" collapsed="false">
      <c r="D950" s="0" t="n">
        <f aca="false">MC_Shocks!A937</f>
        <v>-1.77624633346645</v>
      </c>
      <c r="E950" s="0" t="n">
        <f aca="false">MC_Shocks!B937</f>
        <v>-0.0805997492967609</v>
      </c>
      <c r="F950" s="0" t="n">
        <f aca="false">MC_Shocks!C937</f>
        <v>-0.833056057000759</v>
      </c>
      <c r="G950" s="0" t="n">
        <f aca="false">$B$3*D950</f>
        <v>-0.0261653891794805</v>
      </c>
      <c r="H950" s="0" t="n">
        <f aca="false">$B$4*D950+$C$4*E950</f>
        <v>-0.0196532775394857</v>
      </c>
      <c r="I950" s="0" t="n">
        <f aca="false">$B$5*D950+$C$5*E950+$D$5*F950</f>
        <v>-0.0264224488350398</v>
      </c>
      <c r="J950" s="0" t="n">
        <f aca="false">SUMPRODUCT(G950:I950,Inputs!$B$4:$D$4)*Inputs!$B$2</f>
        <v>-24288.8735841498</v>
      </c>
    </row>
    <row r="951" customFormat="false" ht="15" hidden="false" customHeight="false" outlineLevel="0" collapsed="false">
      <c r="D951" s="0" t="n">
        <f aca="false">MC_Shocks!A938</f>
        <v>0.915390275560162</v>
      </c>
      <c r="E951" s="0" t="n">
        <f aca="false">MC_Shocks!B938</f>
        <v>-0.549540274595535</v>
      </c>
      <c r="F951" s="0" t="n">
        <f aca="false">MC_Shocks!C938</f>
        <v>-0.116765915795247</v>
      </c>
      <c r="G951" s="0" t="n">
        <f aca="false">$B$3*D951</f>
        <v>0.0134843587625601</v>
      </c>
      <c r="H951" s="0" t="n">
        <f aca="false">$B$4*D951+$C$4*E951</f>
        <v>0.00272742834427193</v>
      </c>
      <c r="I951" s="0" t="n">
        <f aca="false">$B$5*D951+$C$5*E951+$D$5*F951</f>
        <v>0.00662048412458915</v>
      </c>
      <c r="J951" s="0" t="n">
        <f aca="false">SUMPRODUCT(G951:I951,Inputs!$B$4:$D$4)*Inputs!$B$2</f>
        <v>8198.11724568235</v>
      </c>
    </row>
    <row r="952" customFormat="false" ht="15" hidden="false" customHeight="false" outlineLevel="0" collapsed="false">
      <c r="D952" s="0" t="n">
        <f aca="false">MC_Shocks!A939</f>
        <v>-0.635557841404403</v>
      </c>
      <c r="E952" s="0" t="n">
        <f aca="false">MC_Shocks!B939</f>
        <v>1.73885135185333</v>
      </c>
      <c r="F952" s="0" t="n">
        <f aca="false">MC_Shocks!C939</f>
        <v>-0.321242766117912</v>
      </c>
      <c r="G952" s="0" t="n">
        <f aca="false">$B$3*D952</f>
        <v>-0.0093622252460688</v>
      </c>
      <c r="H952" s="0" t="n">
        <f aca="false">$B$4*D952+$C$4*E952</f>
        <v>0.0151012057951434</v>
      </c>
      <c r="I952" s="0" t="n">
        <f aca="false">$B$5*D952+$C$5*E952+$D$5*F952</f>
        <v>-0.00304025231641234</v>
      </c>
      <c r="J952" s="0" t="n">
        <f aca="false">SUMPRODUCT(G952:I952,Inputs!$B$4:$D$4)*Inputs!$B$2</f>
        <v>-126.604054808207</v>
      </c>
    </row>
    <row r="953" customFormat="false" ht="15" hidden="false" customHeight="false" outlineLevel="0" collapsed="false">
      <c r="D953" s="0" t="n">
        <f aca="false">MC_Shocks!A940</f>
        <v>1.8325570434792</v>
      </c>
      <c r="E953" s="0" t="n">
        <f aca="false">MC_Shocks!B940</f>
        <v>0.814151762118267</v>
      </c>
      <c r="F953" s="0" t="n">
        <f aca="false">MC_Shocks!C940</f>
        <v>0.482066727335386</v>
      </c>
      <c r="G953" s="0" t="n">
        <f aca="false">$B$3*D953</f>
        <v>0.0269948865384313</v>
      </c>
      <c r="H953" s="0" t="n">
        <f aca="false">$B$4*D953+$C$4*E953</f>
        <v>0.0294291718806054</v>
      </c>
      <c r="I953" s="0" t="n">
        <f aca="false">$B$5*D953+$C$5*E953+$D$5*F953</f>
        <v>0.0266902980617828</v>
      </c>
      <c r="J953" s="0" t="n">
        <f aca="false">SUMPRODUCT(G953:I953,Inputs!$B$4:$D$4)*Inputs!$B$2</f>
        <v>27633.795598089</v>
      </c>
    </row>
    <row r="954" customFormat="false" ht="15" hidden="false" customHeight="false" outlineLevel="0" collapsed="false">
      <c r="D954" s="0" t="n">
        <f aca="false">MC_Shocks!A941</f>
        <v>0.36873314731752</v>
      </c>
      <c r="E954" s="0" t="n">
        <f aca="false">MC_Shocks!B941</f>
        <v>0.393797298216252</v>
      </c>
      <c r="F954" s="0" t="n">
        <f aca="false">MC_Shocks!C941</f>
        <v>-1.92767257934561</v>
      </c>
      <c r="G954" s="0" t="n">
        <f aca="false">$B$3*D954</f>
        <v>0.00543170511947454</v>
      </c>
      <c r="H954" s="0" t="n">
        <f aca="false">$B$4*D954+$C$4*E954</f>
        <v>0.00880110210026142</v>
      </c>
      <c r="I954" s="0" t="n">
        <f aca="false">$B$5*D954+$C$5*E954+$D$5*F954</f>
        <v>-0.0115052752662206</v>
      </c>
      <c r="J954" s="0" t="n">
        <f aca="false">SUMPRODUCT(G954:I954,Inputs!$B$4:$D$4)*Inputs!$B$2</f>
        <v>1361.43009800207</v>
      </c>
    </row>
    <row r="955" customFormat="false" ht="15" hidden="false" customHeight="false" outlineLevel="0" collapsed="false">
      <c r="D955" s="0" t="n">
        <f aca="false">MC_Shocks!A942</f>
        <v>-0.278883394150757</v>
      </c>
      <c r="E955" s="0" t="n">
        <f aca="false">MC_Shocks!B942</f>
        <v>0.845157971184322</v>
      </c>
      <c r="F955" s="0" t="n">
        <f aca="false">MC_Shocks!C942</f>
        <v>-0.0488971834741055</v>
      </c>
      <c r="G955" s="0" t="n">
        <f aca="false">$B$3*D955</f>
        <v>-0.0041081534729523</v>
      </c>
      <c r="H955" s="0" t="n">
        <f aca="false">$B$4*D955+$C$4*E955</f>
        <v>0.00765500651498926</v>
      </c>
      <c r="I955" s="0" t="n">
        <f aca="false">$B$5*D955+$C$5*E955+$D$5*F955</f>
        <v>-0.000220059028659891</v>
      </c>
      <c r="J955" s="0" t="n">
        <f aca="false">SUMPRODUCT(G955:I955,Inputs!$B$4:$D$4)*Inputs!$B$2</f>
        <v>587.222856717889</v>
      </c>
    </row>
    <row r="956" customFormat="false" ht="15" hidden="false" customHeight="false" outlineLevel="0" collapsed="false">
      <c r="D956" s="0" t="n">
        <f aca="false">MC_Shocks!A943</f>
        <v>-1.40518984680358</v>
      </c>
      <c r="E956" s="0" t="n">
        <f aca="false">MC_Shocks!B943</f>
        <v>-0.0524044505774695</v>
      </c>
      <c r="F956" s="0" t="n">
        <f aca="false">MC_Shocks!C943</f>
        <v>1.70410551625549</v>
      </c>
      <c r="G956" s="0" t="n">
        <f aca="false">$B$3*D956</f>
        <v>-0.020699459596303</v>
      </c>
      <c r="H956" s="0" t="n">
        <f aca="false">$B$4*D956+$C$4*E956</f>
        <v>-0.0154055080947441</v>
      </c>
      <c r="I956" s="0" t="n">
        <f aca="false">$B$5*D956+$C$5*E956+$D$5*F956</f>
        <v>-0.000158697038531825</v>
      </c>
      <c r="J956" s="0" t="n">
        <f aca="false">SUMPRODUCT(G956:I956,Inputs!$B$4:$D$4)*Inputs!$B$2</f>
        <v>-12949.045378504</v>
      </c>
    </row>
    <row r="957" customFormat="false" ht="15" hidden="false" customHeight="false" outlineLevel="0" collapsed="false">
      <c r="D957" s="0" t="n">
        <f aca="false">MC_Shocks!A944</f>
        <v>1.24689171553472</v>
      </c>
      <c r="E957" s="0" t="n">
        <f aca="false">MC_Shocks!B944</f>
        <v>-0.0620040093660318</v>
      </c>
      <c r="F957" s="0" t="n">
        <f aca="false">MC_Shocks!C944</f>
        <v>0.951449277058087</v>
      </c>
      <c r="G957" s="0" t="n">
        <f aca="false">$B$3*D957</f>
        <v>0.0183676139885201</v>
      </c>
      <c r="H957" s="0" t="n">
        <f aca="false">$B$4*D957+$C$4*E957</f>
        <v>0.0123114436633377</v>
      </c>
      <c r="I957" s="0" t="n">
        <f aca="false">$B$5*D957+$C$5*E957+$D$5*F957</f>
        <v>0.021316196816732</v>
      </c>
      <c r="J957" s="0" t="n">
        <f aca="false">SUMPRODUCT(G957:I957,Inputs!$B$4:$D$4)*Inputs!$B$2</f>
        <v>17435.337739429</v>
      </c>
    </row>
    <row r="958" customFormat="false" ht="15" hidden="false" customHeight="false" outlineLevel="0" collapsed="false">
      <c r="D958" s="0" t="n">
        <f aca="false">MC_Shocks!A945</f>
        <v>-0.366507020368052</v>
      </c>
      <c r="E958" s="0" t="n">
        <f aca="false">MC_Shocks!B945</f>
        <v>-1.70387158682672</v>
      </c>
      <c r="F958" s="0" t="n">
        <f aca="false">MC_Shocks!C945</f>
        <v>-0.924465988129554</v>
      </c>
      <c r="G958" s="0" t="n">
        <f aca="false">$B$3*D958</f>
        <v>-0.00539891266445391</v>
      </c>
      <c r="H958" s="0" t="n">
        <f aca="false">$B$4*D958+$C$4*E958</f>
        <v>-0.0251812354890964</v>
      </c>
      <c r="I958" s="0" t="n">
        <f aca="false">$B$5*D958+$C$5*E958+$D$5*F958</f>
        <v>-0.0183604371411101</v>
      </c>
      <c r="J958" s="0" t="n">
        <f aca="false">SUMPRODUCT(G958:I958,Inputs!$B$4:$D$4)*Inputs!$B$2</f>
        <v>-15222.0668548435</v>
      </c>
    </row>
    <row r="959" customFormat="false" ht="15" hidden="false" customHeight="false" outlineLevel="0" collapsed="false">
      <c r="D959" s="0" t="n">
        <f aca="false">MC_Shocks!A946</f>
        <v>1.5628887685082</v>
      </c>
      <c r="E959" s="0" t="n">
        <f aca="false">MC_Shocks!B946</f>
        <v>-0.273993081829304</v>
      </c>
      <c r="F959" s="0" t="n">
        <f aca="false">MC_Shocks!C946</f>
        <v>-0.243383979375018</v>
      </c>
      <c r="G959" s="0" t="n">
        <f aca="false">$B$3*D959</f>
        <v>0.0230224784151699</v>
      </c>
      <c r="H959" s="0" t="n">
        <f aca="false">$B$4*D959+$C$4*E959</f>
        <v>0.0129739312006454</v>
      </c>
      <c r="I959" s="0" t="n">
        <f aca="false">$B$5*D959+$C$5*E959+$D$5*F959</f>
        <v>0.0134043023621672</v>
      </c>
      <c r="J959" s="0" t="n">
        <f aca="false">SUMPRODUCT(G959:I959,Inputs!$B$4:$D$4)*Inputs!$B$2</f>
        <v>17122.4614349117</v>
      </c>
    </row>
    <row r="960" customFormat="false" ht="15" hidden="false" customHeight="false" outlineLevel="0" collapsed="false">
      <c r="D960" s="0" t="n">
        <f aca="false">MC_Shocks!A947</f>
        <v>-0.299838196274881</v>
      </c>
      <c r="E960" s="0" t="n">
        <f aca="false">MC_Shocks!B947</f>
        <v>1.90413658957301</v>
      </c>
      <c r="F960" s="0" t="n">
        <f aca="false">MC_Shocks!C947</f>
        <v>1.62595891536206</v>
      </c>
      <c r="G960" s="0" t="n">
        <f aca="false">$B$3*D960</f>
        <v>-0.00441683281681712</v>
      </c>
      <c r="H960" s="0" t="n">
        <f aca="false">$B$4*D960+$C$4*E960</f>
        <v>0.0206945770993947</v>
      </c>
      <c r="I960" s="0" t="n">
        <f aca="false">$B$5*D960+$C$5*E960+$D$5*F960</f>
        <v>0.0181940138757388</v>
      </c>
      <c r="J960" s="0" t="n">
        <f aca="false">SUMPRODUCT(G960:I960,Inputs!$B$4:$D$4)*Inputs!$B$2</f>
        <v>9899.84416581319</v>
      </c>
    </row>
    <row r="961" customFormat="false" ht="15" hidden="false" customHeight="false" outlineLevel="0" collapsed="false">
      <c r="D961" s="0" t="n">
        <f aca="false">MC_Shocks!A948</f>
        <v>2.21878023344813</v>
      </c>
      <c r="E961" s="0" t="n">
        <f aca="false">MC_Shocks!B948</f>
        <v>-0.159045210400051</v>
      </c>
      <c r="F961" s="0" t="n">
        <f aca="false">MC_Shocks!C948</f>
        <v>0.295624488747095</v>
      </c>
      <c r="G961" s="0" t="n">
        <f aca="false">$B$3*D961</f>
        <v>0.0326842325966189</v>
      </c>
      <c r="H961" s="0" t="n">
        <f aca="false">$B$4*D961+$C$4*E961</f>
        <v>0.0212976581550314</v>
      </c>
      <c r="I961" s="0" t="n">
        <f aca="false">$B$5*D961+$C$5*E961+$D$5*F961</f>
        <v>0.0255069356888974</v>
      </c>
      <c r="J961" s="0" t="n">
        <f aca="false">SUMPRODUCT(G961:I961,Inputs!$B$4:$D$4)*Inputs!$B$2</f>
        <v>27115.0711918262</v>
      </c>
    </row>
    <row r="962" customFormat="false" ht="15" hidden="false" customHeight="false" outlineLevel="0" collapsed="false">
      <c r="D962" s="0" t="n">
        <f aca="false">MC_Shocks!A949</f>
        <v>-1.51664254942079</v>
      </c>
      <c r="E962" s="0" t="n">
        <f aca="false">MC_Shocks!B949</f>
        <v>1.47693442611827</v>
      </c>
      <c r="F962" s="0" t="n">
        <f aca="false">MC_Shocks!C949</f>
        <v>-1.16777955126794</v>
      </c>
      <c r="G962" s="0" t="n">
        <f aca="false">$B$3*D962</f>
        <v>-0.0223412382641261</v>
      </c>
      <c r="H962" s="0" t="n">
        <f aca="false">$B$4*D962+$C$4*E962</f>
        <v>0.00257356793127835</v>
      </c>
      <c r="I962" s="0" t="n">
        <f aca="false">$B$5*D962+$C$5*E962+$D$5*F962</f>
        <v>-0.0207734299249065</v>
      </c>
      <c r="J962" s="0" t="n">
        <f aca="false">SUMPRODUCT(G962:I962,Inputs!$B$4:$D$4)*Inputs!$B$2</f>
        <v>-14396.4539037389</v>
      </c>
    </row>
    <row r="963" customFormat="false" ht="15" hidden="false" customHeight="false" outlineLevel="0" collapsed="false">
      <c r="D963" s="0" t="n">
        <f aca="false">MC_Shocks!A950</f>
        <v>0.216775563762629</v>
      </c>
      <c r="E963" s="0" t="n">
        <f aca="false">MC_Shocks!B950</f>
        <v>-1.09730252763284</v>
      </c>
      <c r="F963" s="0" t="n">
        <f aca="false">MC_Shocks!C950</f>
        <v>-0.588866826738696</v>
      </c>
      <c r="G963" s="0" t="n">
        <f aca="false">$B$3*D963</f>
        <v>0.00319326035110299</v>
      </c>
      <c r="H963" s="0" t="n">
        <f aca="false">$B$4*D963+$C$4*E963</f>
        <v>-0.0114640248086447</v>
      </c>
      <c r="I963" s="0" t="n">
        <f aca="false">$B$5*D963+$C$5*E963+$D$5*F963</f>
        <v>-0.00696889589671412</v>
      </c>
      <c r="J963" s="0" t="n">
        <f aca="false">SUMPRODUCT(G963:I963,Inputs!$B$4:$D$4)*Inputs!$B$2</f>
        <v>-4252.57207116645</v>
      </c>
    </row>
    <row r="964" customFormat="false" ht="15" hidden="false" customHeight="false" outlineLevel="0" collapsed="false">
      <c r="D964" s="0" t="n">
        <f aca="false">MC_Shocks!A951</f>
        <v>-0.8372624310497</v>
      </c>
      <c r="E964" s="0" t="n">
        <f aca="false">MC_Shocks!B951</f>
        <v>-0.607875260675818</v>
      </c>
      <c r="F964" s="0" t="n">
        <f aca="false">MC_Shocks!C951</f>
        <v>-0.539122703148979</v>
      </c>
      <c r="G964" s="0" t="n">
        <f aca="false">$B$3*D964</f>
        <v>-0.0123334792821331</v>
      </c>
      <c r="H964" s="0" t="n">
        <f aca="false">$B$4*D964+$C$4*E964</f>
        <v>-0.0163994243695627</v>
      </c>
      <c r="I964" s="0" t="n">
        <f aca="false">$B$5*D964+$C$5*E964+$D$5*F964</f>
        <v>-0.0158707817620046</v>
      </c>
      <c r="J964" s="0" t="n">
        <f aca="false">SUMPRODUCT(G964:I964,Inputs!$B$4:$D$4)*Inputs!$B$2</f>
        <v>-14614.4535523234</v>
      </c>
    </row>
    <row r="965" customFormat="false" ht="15" hidden="false" customHeight="false" outlineLevel="0" collapsed="false">
      <c r="D965" s="0" t="n">
        <f aca="false">MC_Shocks!A952</f>
        <v>-0.548268794925077</v>
      </c>
      <c r="E965" s="0" t="n">
        <f aca="false">MC_Shocks!B952</f>
        <v>0.833333911780307</v>
      </c>
      <c r="F965" s="0" t="n">
        <f aca="false">MC_Shocks!C952</f>
        <v>-1.10486279306252</v>
      </c>
      <c r="G965" s="0" t="n">
        <f aca="false">$B$3*D965</f>
        <v>-0.00807639465534208</v>
      </c>
      <c r="H965" s="0" t="n">
        <f aca="false">$B$4*D965+$C$4*E965</f>
        <v>0.00467939632756346</v>
      </c>
      <c r="I965" s="0" t="n">
        <f aca="false">$B$5*D965+$C$5*E965+$D$5*F965</f>
        <v>-0.0123695070766888</v>
      </c>
      <c r="J965" s="0" t="n">
        <f aca="false">SUMPRODUCT(G965:I965,Inputs!$B$4:$D$4)*Inputs!$B$2</f>
        <v>-5537.59108687442</v>
      </c>
    </row>
    <row r="966" customFormat="false" ht="15" hidden="false" customHeight="false" outlineLevel="0" collapsed="false">
      <c r="D966" s="0" t="n">
        <f aca="false">MC_Shocks!A953</f>
        <v>0.220541427013867</v>
      </c>
      <c r="E966" s="0" t="n">
        <f aca="false">MC_Shocks!B953</f>
        <v>1.21795915230556</v>
      </c>
      <c r="F966" s="0" t="n">
        <f aca="false">MC_Shocks!C953</f>
        <v>-0.513196364513396</v>
      </c>
      <c r="G966" s="0" t="n">
        <f aca="false">$B$3*D966</f>
        <v>0.00324873423201062</v>
      </c>
      <c r="H966" s="0" t="n">
        <f aca="false">$B$4*D966+$C$4*E966</f>
        <v>0.0175649994501455</v>
      </c>
      <c r="I966" s="0" t="n">
        <f aca="false">$B$5*D966+$C$5*E966+$D$5*F966</f>
        <v>0.00240049743375463</v>
      </c>
      <c r="J966" s="0" t="n">
        <f aca="false">SUMPRODUCT(G966:I966,Inputs!$B$4:$D$4)*Inputs!$B$2</f>
        <v>7289.1427579743</v>
      </c>
    </row>
    <row r="967" customFormat="false" ht="15" hidden="false" customHeight="false" outlineLevel="0" collapsed="false">
      <c r="D967" s="0" t="n">
        <f aca="false">MC_Shocks!A954</f>
        <v>-0.717918890747602</v>
      </c>
      <c r="E967" s="0" t="n">
        <f aca="false">MC_Shocks!B954</f>
        <v>-0.230524625180251</v>
      </c>
      <c r="F967" s="0" t="n">
        <f aca="false">MC_Shocks!C954</f>
        <v>1.17972520836071</v>
      </c>
      <c r="G967" s="0" t="n">
        <f aca="false">$B$3*D967</f>
        <v>-0.0105754628858558</v>
      </c>
      <c r="H967" s="0" t="n">
        <f aca="false">$B$4*D967+$C$4*E967</f>
        <v>-0.0104219296440416</v>
      </c>
      <c r="I967" s="0" t="n">
        <f aca="false">$B$5*D967+$C$5*E967+$D$5*F967</f>
        <v>0.00186391720624786</v>
      </c>
      <c r="J967" s="0" t="n">
        <f aca="false">SUMPRODUCT(G967:I967,Inputs!$B$4:$D$4)*Inputs!$B$2</f>
        <v>-6797.58888568044</v>
      </c>
    </row>
    <row r="968" customFormat="false" ht="15" hidden="false" customHeight="false" outlineLevel="0" collapsed="false">
      <c r="D968" s="0" t="n">
        <f aca="false">MC_Shocks!A955</f>
        <v>0.194107630953358</v>
      </c>
      <c r="E968" s="0" t="n">
        <f aca="false">MC_Shocks!B955</f>
        <v>-0.531214294607599</v>
      </c>
      <c r="F968" s="0" t="n">
        <f aca="false">MC_Shocks!C955</f>
        <v>0.48387665118804</v>
      </c>
      <c r="G968" s="0" t="n">
        <f aca="false">$B$3*D968</f>
        <v>0.00285934535706531</v>
      </c>
      <c r="H968" s="0" t="n">
        <f aca="false">$B$4*D968+$C$4*E968</f>
        <v>-0.00461393869060613</v>
      </c>
      <c r="I968" s="0" t="n">
        <f aca="false">$B$5*D968+$C$5*E968+$D$5*F968</f>
        <v>0.00430737132757013</v>
      </c>
      <c r="J968" s="0" t="n">
        <f aca="false">SUMPRODUCT(G968:I968,Inputs!$B$4:$D$4)*Inputs!$B$2</f>
        <v>1051.76793391532</v>
      </c>
    </row>
    <row r="969" customFormat="false" ht="15" hidden="false" customHeight="false" outlineLevel="0" collapsed="false">
      <c r="D969" s="0" t="n">
        <f aca="false">MC_Shocks!A956</f>
        <v>-1.10229214983642</v>
      </c>
      <c r="E969" s="0" t="n">
        <f aca="false">MC_Shocks!B956</f>
        <v>0.681359510442948</v>
      </c>
      <c r="F969" s="0" t="n">
        <f aca="false">MC_Shocks!C956</f>
        <v>0.408607307701768</v>
      </c>
      <c r="G969" s="0" t="n">
        <f aca="false">$B$3*D969</f>
        <v>-0.0162375581283647</v>
      </c>
      <c r="H969" s="0" t="n">
        <f aca="false">$B$4*D969+$C$4*E969</f>
        <v>-0.00303869922702117</v>
      </c>
      <c r="I969" s="0" t="n">
        <f aca="false">$B$5*D969+$C$5*E969+$D$5*F969</f>
        <v>-0.00555106651140875</v>
      </c>
      <c r="J969" s="0" t="n">
        <f aca="false">SUMPRODUCT(G969:I969,Inputs!$B$4:$D$4)*Inputs!$B$2</f>
        <v>-9071.95297287487</v>
      </c>
    </row>
    <row r="970" customFormat="false" ht="15" hidden="false" customHeight="false" outlineLevel="0" collapsed="false">
      <c r="D970" s="0" t="n">
        <f aca="false">MC_Shocks!A957</f>
        <v>-0.307808471138884</v>
      </c>
      <c r="E970" s="0" t="n">
        <f aca="false">MC_Shocks!B957</f>
        <v>-0.838585798447231</v>
      </c>
      <c r="F970" s="0" t="n">
        <f aca="false">MC_Shocks!C957</f>
        <v>-0.886680922283457</v>
      </c>
      <c r="G970" s="0" t="n">
        <f aca="false">$B$3*D970</f>
        <v>-0.0045342407121945</v>
      </c>
      <c r="H970" s="0" t="n">
        <f aca="false">$B$4*D970+$C$4*E970</f>
        <v>-0.0137308329998426</v>
      </c>
      <c r="I970" s="0" t="n">
        <f aca="false">$B$5*D970+$C$5*E970+$D$5*F970</f>
        <v>-0.0141684212013096</v>
      </c>
      <c r="J970" s="0" t="n">
        <f aca="false">SUMPRODUCT(G970:I970,Inputs!$B$4:$D$4)*Inputs!$B$2</f>
        <v>-10183.4725452235</v>
      </c>
    </row>
    <row r="971" customFormat="false" ht="15" hidden="false" customHeight="false" outlineLevel="0" collapsed="false">
      <c r="D971" s="0" t="n">
        <f aca="false">MC_Shocks!A958</f>
        <v>0.53481733634591</v>
      </c>
      <c r="E971" s="0" t="n">
        <f aca="false">MC_Shocks!B958</f>
        <v>1.22898050248906</v>
      </c>
      <c r="F971" s="0" t="n">
        <f aca="false">MC_Shocks!C958</f>
        <v>-0.637307747028795</v>
      </c>
      <c r="G971" s="0" t="n">
        <f aca="false">$B$3*D971</f>
        <v>0.00787824497186395</v>
      </c>
      <c r="H971" s="0" t="n">
        <f aca="false">$B$4*D971+$C$4*E971</f>
        <v>0.0210017448939386</v>
      </c>
      <c r="I971" s="0" t="n">
        <f aca="false">$B$5*D971+$C$5*E971+$D$5*F971</f>
        <v>0.00468490990839065</v>
      </c>
      <c r="J971" s="0" t="n">
        <f aca="false">SUMPRODUCT(G971:I971,Inputs!$B$4:$D$4)*Inputs!$B$2</f>
        <v>10857.2944294444</v>
      </c>
    </row>
    <row r="972" customFormat="false" ht="15" hidden="false" customHeight="false" outlineLevel="0" collapsed="false">
      <c r="D972" s="0" t="n">
        <f aca="false">MC_Shocks!A959</f>
        <v>0.458386703551484</v>
      </c>
      <c r="E972" s="0" t="n">
        <f aca="false">MC_Shocks!B959</f>
        <v>-2.08702701860207</v>
      </c>
      <c r="F972" s="0" t="n">
        <f aca="false">MC_Shocks!C959</f>
        <v>-0.5846177306572</v>
      </c>
      <c r="G972" s="0" t="n">
        <f aca="false">$B$3*D972</f>
        <v>0.00675236664371714</v>
      </c>
      <c r="H972" s="0" t="n">
        <f aca="false">$B$4*D972+$C$4*E972</f>
        <v>-0.0213203775062463</v>
      </c>
      <c r="I972" s="0" t="n">
        <f aca="false">$B$5*D972+$C$5*E972+$D$5*F972</f>
        <v>-0.0080760885395016</v>
      </c>
      <c r="J972" s="0" t="n">
        <f aca="false">SUMPRODUCT(G972:I972,Inputs!$B$4:$D$4)*Inputs!$B$2</f>
        <v>-6117.99315623751</v>
      </c>
    </row>
    <row r="973" customFormat="false" ht="15" hidden="false" customHeight="false" outlineLevel="0" collapsed="false">
      <c r="D973" s="0" t="n">
        <f aca="false">MC_Shocks!A960</f>
        <v>-0.031058932870902</v>
      </c>
      <c r="E973" s="0" t="n">
        <f aca="false">MC_Shocks!B960</f>
        <v>-0.909683416981834</v>
      </c>
      <c r="F973" s="0" t="n">
        <f aca="false">MC_Shocks!C960</f>
        <v>-0.936506374789596</v>
      </c>
      <c r="G973" s="0" t="n">
        <f aca="false">$B$3*D973</f>
        <v>-0.000457520474922268</v>
      </c>
      <c r="H973" s="0" t="n">
        <f aca="false">$B$4*D973+$C$4*E973</f>
        <v>-0.0117161924152354</v>
      </c>
      <c r="I973" s="0" t="n">
        <f aca="false">$B$5*D973+$C$5*E973+$D$5*F973</f>
        <v>-0.0119383081124126</v>
      </c>
      <c r="J973" s="0" t="n">
        <f aca="false">SUMPRODUCT(G973:I973,Inputs!$B$4:$D$4)*Inputs!$B$2</f>
        <v>-7279.35834826333</v>
      </c>
    </row>
    <row r="974" customFormat="false" ht="15" hidden="false" customHeight="false" outlineLevel="0" collapsed="false">
      <c r="D974" s="0" t="n">
        <f aca="false">MC_Shocks!A961</f>
        <v>-0.667779556468886</v>
      </c>
      <c r="E974" s="0" t="n">
        <f aca="false">MC_Shocks!B961</f>
        <v>0.292192728326373</v>
      </c>
      <c r="F974" s="0" t="n">
        <f aca="false">MC_Shocks!C961</f>
        <v>-0.187329018406375</v>
      </c>
      <c r="G974" s="0" t="n">
        <f aca="false">$B$3*D974</f>
        <v>-0.00983687434107758</v>
      </c>
      <c r="H974" s="0" t="n">
        <f aca="false">$B$4*D974+$C$4*E974</f>
        <v>-0.00335068248692633</v>
      </c>
      <c r="I974" s="0" t="n">
        <f aca="false">$B$5*D974+$C$5*E974+$D$5*F974</f>
        <v>-0.00762379376726777</v>
      </c>
      <c r="J974" s="0" t="n">
        <f aca="false">SUMPRODUCT(G974:I974,Inputs!$B$4:$D$4)*Inputs!$B$2</f>
        <v>-7227.09261268926</v>
      </c>
    </row>
    <row r="975" customFormat="false" ht="15" hidden="false" customHeight="false" outlineLevel="0" collapsed="false">
      <c r="D975" s="0" t="n">
        <f aca="false">MC_Shocks!A962</f>
        <v>-2.23823123332497</v>
      </c>
      <c r="E975" s="0" t="n">
        <f aca="false">MC_Shocks!B962</f>
        <v>-2.12070015263507</v>
      </c>
      <c r="F975" s="0" t="n">
        <f aca="false">MC_Shocks!C962</f>
        <v>-0.606865177857175</v>
      </c>
      <c r="G975" s="0" t="n">
        <f aca="false">$B$3*D975</f>
        <v>-0.032970759849128</v>
      </c>
      <c r="H975" s="0" t="n">
        <f aca="false">$B$4*D975+$C$4*E975</f>
        <v>-0.0500466175173875</v>
      </c>
      <c r="I975" s="0" t="n">
        <f aca="false">$B$5*D975+$C$5*E975+$D$5*F975</f>
        <v>-0.0369732468278878</v>
      </c>
      <c r="J975" s="0" t="n">
        <f aca="false">SUMPRODUCT(G975:I975,Inputs!$B$4:$D$4)*Inputs!$B$2</f>
        <v>-39294.2632432338</v>
      </c>
    </row>
    <row r="976" customFormat="false" ht="15" hidden="false" customHeight="false" outlineLevel="0" collapsed="false">
      <c r="D976" s="0" t="n">
        <f aca="false">MC_Shocks!A963</f>
        <v>0.457686586053552</v>
      </c>
      <c r="E976" s="0" t="n">
        <f aca="false">MC_Shocks!B963</f>
        <v>-2.74750484272524</v>
      </c>
      <c r="F976" s="0" t="n">
        <f aca="false">MC_Shocks!C963</f>
        <v>-0.499730176151631</v>
      </c>
      <c r="G976" s="0" t="n">
        <f aca="false">$B$3*D976</f>
        <v>0.0067420534081824</v>
      </c>
      <c r="H976" s="0" t="n">
        <f aca="false">$B$4*D976+$C$4*E976</f>
        <v>-0.0295975989623047</v>
      </c>
      <c r="I976" s="0" t="n">
        <f aca="false">$B$5*D976+$C$5*E976+$D$5*F976</f>
        <v>-0.00981220534081963</v>
      </c>
      <c r="J976" s="0" t="n">
        <f aca="false">SUMPRODUCT(G976:I976,Inputs!$B$4:$D$4)*Inputs!$B$2</f>
        <v>-9126.11992766435</v>
      </c>
    </row>
    <row r="977" customFormat="false" ht="15" hidden="false" customHeight="false" outlineLevel="0" collapsed="false">
      <c r="D977" s="0" t="n">
        <f aca="false">MC_Shocks!A964</f>
        <v>-0.526247856517421</v>
      </c>
      <c r="E977" s="0" t="n">
        <f aca="false">MC_Shocks!B964</f>
        <v>1.38833777820845</v>
      </c>
      <c r="F977" s="0" t="n">
        <f aca="false">MC_Shocks!C964</f>
        <v>-0.385021811712864</v>
      </c>
      <c r="G977" s="0" t="n">
        <f aca="false">$B$3*D977</f>
        <v>-0.00775201035532823</v>
      </c>
      <c r="H977" s="0" t="n">
        <f aca="false">$B$4*D977+$C$4*E977</f>
        <v>0.0118597641497657</v>
      </c>
      <c r="I977" s="0" t="n">
        <f aca="false">$B$5*D977+$C$5*E977+$D$5*F977</f>
        <v>-0.00375266551974432</v>
      </c>
      <c r="J977" s="0" t="n">
        <f aca="false">SUMPRODUCT(G977:I977,Inputs!$B$4:$D$4)*Inputs!$B$2</f>
        <v>-668.67455312488</v>
      </c>
    </row>
    <row r="978" customFormat="false" ht="15" hidden="false" customHeight="false" outlineLevel="0" collapsed="false">
      <c r="D978" s="0" t="n">
        <f aca="false">MC_Shocks!A965</f>
        <v>0.382988984740929</v>
      </c>
      <c r="E978" s="0" t="n">
        <f aca="false">MC_Shocks!B965</f>
        <v>0.141257140087463</v>
      </c>
      <c r="F978" s="0" t="n">
        <f aca="false">MC_Shocks!C965</f>
        <v>-2.1305664798072</v>
      </c>
      <c r="G978" s="0" t="n">
        <f aca="false">$B$3*D978</f>
        <v>0.0056417038832918</v>
      </c>
      <c r="H978" s="0" t="n">
        <f aca="false">$B$4*D978+$C$4*E978</f>
        <v>0.00578866943734348</v>
      </c>
      <c r="I978" s="0" t="n">
        <f aca="false">$B$5*D978+$C$5*E978+$D$5*F978</f>
        <v>-0.014076921395693</v>
      </c>
      <c r="J978" s="0" t="n">
        <f aca="false">SUMPRODUCT(G978:I978,Inputs!$B$4:$D$4)*Inputs!$B$2</f>
        <v>-229.794034188143</v>
      </c>
    </row>
    <row r="979" customFormat="false" ht="15" hidden="false" customHeight="false" outlineLevel="0" collapsed="false">
      <c r="D979" s="0" t="n">
        <f aca="false">MC_Shocks!A966</f>
        <v>0.768207216631737</v>
      </c>
      <c r="E979" s="0" t="n">
        <f aca="false">MC_Shocks!B966</f>
        <v>0.215396505456288</v>
      </c>
      <c r="F979" s="0" t="n">
        <f aca="false">MC_Shocks!C966</f>
        <v>0.50826863967459</v>
      </c>
      <c r="G979" s="0" t="n">
        <f aca="false">$B$3*D979</f>
        <v>0.011316246184406</v>
      </c>
      <c r="H979" s="0" t="n">
        <f aca="false">$B$4*D979+$C$4*E979</f>
        <v>0.0107603531087387</v>
      </c>
      <c r="I979" s="0" t="n">
        <f aca="false">$B$5*D979+$C$5*E979+$D$5*F979</f>
        <v>0.0133995662210214</v>
      </c>
      <c r="J979" s="0" t="n">
        <f aca="false">SUMPRODUCT(G979:I979,Inputs!$B$4:$D$4)*Inputs!$B$2</f>
        <v>11774.4742726904</v>
      </c>
    </row>
    <row r="980" customFormat="false" ht="15" hidden="false" customHeight="false" outlineLevel="0" collapsed="false">
      <c r="D980" s="0" t="n">
        <f aca="false">MC_Shocks!A967</f>
        <v>3.92623770643633</v>
      </c>
      <c r="E980" s="0" t="n">
        <f aca="false">MC_Shocks!B967</f>
        <v>-2.08411293949859</v>
      </c>
      <c r="F980" s="0" t="n">
        <f aca="false">MC_Shocks!C967</f>
        <v>1.72469664976111</v>
      </c>
      <c r="G980" s="0" t="n">
        <f aca="false">$B$3*D980</f>
        <v>0.0578363122639474</v>
      </c>
      <c r="H980" s="0" t="n">
        <f aca="false">$B$4*D980+$C$4*E980</f>
        <v>0.0151158510222538</v>
      </c>
      <c r="I980" s="0" t="n">
        <f aca="false">$B$5*D980+$C$5*E980+$D$5*F980</f>
        <v>0.048913950641936</v>
      </c>
      <c r="J980" s="0" t="n">
        <f aca="false">SUMPRODUCT(G980:I980,Inputs!$B$4:$D$4)*Inputs!$B$2</f>
        <v>42343.4654048359</v>
      </c>
    </row>
    <row r="981" customFormat="false" ht="15" hidden="false" customHeight="false" outlineLevel="0" collapsed="false">
      <c r="D981" s="0" t="n">
        <f aca="false">MC_Shocks!A968</f>
        <v>-0.287447519400356</v>
      </c>
      <c r="E981" s="0" t="n">
        <f aca="false">MC_Shocks!B968</f>
        <v>0.287328904403009</v>
      </c>
      <c r="F981" s="0" t="n">
        <f aca="false">MC_Shocks!C968</f>
        <v>-0.0455122453012422</v>
      </c>
      <c r="G981" s="0" t="n">
        <f aca="false">$B$3*D981</f>
        <v>-0.00423430921268028</v>
      </c>
      <c r="H981" s="0" t="n">
        <f aca="false">$B$4*D981+$C$4*E981</f>
        <v>0.000580511509582225</v>
      </c>
      <c r="I981" s="0" t="n">
        <f aca="false">$B$5*D981+$C$5*E981+$D$5*F981</f>
        <v>-0.00236925267483613</v>
      </c>
      <c r="J981" s="0" t="n">
        <f aca="false">SUMPRODUCT(G981:I981,Inputs!$B$4:$D$4)*Inputs!$B$2</f>
        <v>-2230.34603464828</v>
      </c>
    </row>
    <row r="982" customFormat="false" ht="15" hidden="false" customHeight="false" outlineLevel="0" collapsed="false">
      <c r="D982" s="0" t="n">
        <f aca="false">MC_Shocks!A969</f>
        <v>-0.424236333398044</v>
      </c>
      <c r="E982" s="0" t="n">
        <f aca="false">MC_Shocks!B969</f>
        <v>-0.569832928238759</v>
      </c>
      <c r="F982" s="0" t="n">
        <f aca="false">MC_Shocks!C969</f>
        <v>0.329508735573009</v>
      </c>
      <c r="G982" s="0" t="n">
        <f aca="false">$B$3*D982</f>
        <v>-0.00624930706867258</v>
      </c>
      <c r="H982" s="0" t="n">
        <f aca="false">$B$4*D982+$C$4*E982</f>
        <v>-0.0115878324865299</v>
      </c>
      <c r="I982" s="0" t="n">
        <f aca="false">$B$5*D982+$C$5*E982+$D$5*F982</f>
        <v>-0.0037421125399019</v>
      </c>
      <c r="J982" s="0" t="n">
        <f aca="false">SUMPRODUCT(G982:I982,Inputs!$B$4:$D$4)*Inputs!$B$2</f>
        <v>-7098.70633539857</v>
      </c>
    </row>
    <row r="983" customFormat="false" ht="15" hidden="false" customHeight="false" outlineLevel="0" collapsed="false">
      <c r="D983" s="0" t="n">
        <f aca="false">MC_Shocks!A970</f>
        <v>-1.51717369667168</v>
      </c>
      <c r="E983" s="0" t="n">
        <f aca="false">MC_Shocks!B970</f>
        <v>0.750579167521766</v>
      </c>
      <c r="F983" s="0" t="n">
        <f aca="false">MC_Shocks!C970</f>
        <v>-0.416194404885254</v>
      </c>
      <c r="G983" s="0" t="n">
        <f aca="false">$B$3*D983</f>
        <v>-0.0223490624460931</v>
      </c>
      <c r="H983" s="0" t="n">
        <f aca="false">$B$4*D983+$C$4*E983</f>
        <v>-0.00652673429996166</v>
      </c>
      <c r="I983" s="0" t="n">
        <f aca="false">$B$5*D983+$C$5*E983+$D$5*F983</f>
        <v>-0.016913931731667</v>
      </c>
      <c r="J983" s="0" t="n">
        <f aca="false">SUMPRODUCT(G983:I983,Inputs!$B$4:$D$4)*Inputs!$B$2</f>
        <v>-15971.8247879258</v>
      </c>
    </row>
    <row r="984" customFormat="false" ht="15" hidden="false" customHeight="false" outlineLevel="0" collapsed="false">
      <c r="D984" s="0" t="n">
        <f aca="false">MC_Shocks!A971</f>
        <v>-1.13006933904036</v>
      </c>
      <c r="E984" s="0" t="n">
        <f aca="false">MC_Shocks!B971</f>
        <v>-0.450012857995814</v>
      </c>
      <c r="F984" s="0" t="n">
        <f aca="false">MC_Shocks!C971</f>
        <v>1.25714921686257</v>
      </c>
      <c r="G984" s="0" t="n">
        <f aca="false">$B$3*D984</f>
        <v>-0.0166467361529097</v>
      </c>
      <c r="H984" s="0" t="n">
        <f aca="false">$B$4*D984+$C$4*E984</f>
        <v>-0.0174962227604726</v>
      </c>
      <c r="I984" s="0" t="n">
        <f aca="false">$B$5*D984+$C$5*E984+$D$5*F984</f>
        <v>-0.00264701235423287</v>
      </c>
      <c r="J984" s="0" t="n">
        <f aca="false">SUMPRODUCT(G984:I984,Inputs!$B$4:$D$4)*Inputs!$B$2</f>
        <v>-12701.6649955755</v>
      </c>
    </row>
    <row r="985" customFormat="false" ht="15" hidden="false" customHeight="false" outlineLevel="0" collapsed="false">
      <c r="D985" s="0" t="n">
        <f aca="false">MC_Shocks!A972</f>
        <v>-0.535335087016223</v>
      </c>
      <c r="E985" s="0" t="n">
        <f aca="false">MC_Shocks!B972</f>
        <v>0.35845361820962</v>
      </c>
      <c r="F985" s="0" t="n">
        <f aca="false">MC_Shocks!C972</f>
        <v>-0.730956275715473</v>
      </c>
      <c r="G985" s="0" t="n">
        <f aca="false">$B$3*D985</f>
        <v>-0.00788587181253995</v>
      </c>
      <c r="H985" s="0" t="n">
        <f aca="false">$B$4*D985+$C$4*E985</f>
        <v>-0.00113084477337079</v>
      </c>
      <c r="I985" s="0" t="n">
        <f aca="false">$B$5*D985+$C$5*E985+$D$5*F985</f>
        <v>-0.0107345373395479</v>
      </c>
      <c r="J985" s="0" t="n">
        <f aca="false">SUMPRODUCT(G985:I985,Inputs!$B$4:$D$4)*Inputs!$B$2</f>
        <v>-6713.9633588916</v>
      </c>
    </row>
    <row r="986" customFormat="false" ht="15" hidden="false" customHeight="false" outlineLevel="0" collapsed="false">
      <c r="D986" s="0" t="n">
        <f aca="false">MC_Shocks!A973</f>
        <v>0.75792184992362</v>
      </c>
      <c r="E986" s="0" t="n">
        <f aca="false">MC_Shocks!B973</f>
        <v>0.685507738790204</v>
      </c>
      <c r="F986" s="0" t="n">
        <f aca="false">MC_Shocks!C973</f>
        <v>1.84860883329641</v>
      </c>
      <c r="G986" s="0" t="n">
        <f aca="false">$B$3*D986</f>
        <v>0.0111647353169655</v>
      </c>
      <c r="H986" s="0" t="n">
        <f aca="false">$B$4*D986+$C$4*E986</f>
        <v>0.0165386784783597</v>
      </c>
      <c r="I986" s="0" t="n">
        <f aca="false">$B$5*D986+$C$5*E986+$D$5*F986</f>
        <v>0.0267919936564412</v>
      </c>
      <c r="J986" s="0" t="n">
        <f aca="false">SUMPRODUCT(G986:I986,Inputs!$B$4:$D$4)*Inputs!$B$2</f>
        <v>17465.0957672265</v>
      </c>
    </row>
    <row r="987" customFormat="false" ht="15" hidden="false" customHeight="false" outlineLevel="0" collapsed="false">
      <c r="D987" s="0" t="n">
        <f aca="false">MC_Shocks!A974</f>
        <v>-0.175563945499216</v>
      </c>
      <c r="E987" s="0" t="n">
        <f aca="false">MC_Shocks!B974</f>
        <v>0.668654804757907</v>
      </c>
      <c r="F987" s="0" t="n">
        <f aca="false">MC_Shocks!C974</f>
        <v>0.0980675395389446</v>
      </c>
      <c r="G987" s="0" t="n">
        <f aca="false">$B$3*D987</f>
        <v>-0.00258618350018333</v>
      </c>
      <c r="H987" s="0" t="n">
        <f aca="false">$B$4*D987+$C$4*E987</f>
        <v>0.00652947836719937</v>
      </c>
      <c r="I987" s="0" t="n">
        <f aca="false">$B$5*D987+$C$5*E987+$D$5*F987</f>
        <v>0.00150157213322418</v>
      </c>
      <c r="J987" s="0" t="n">
        <f aca="false">SUMPRODUCT(G987:I987,Inputs!$B$4:$D$4)*Inputs!$B$2</f>
        <v>1374.84175005373</v>
      </c>
    </row>
    <row r="988" customFormat="false" ht="15" hidden="false" customHeight="false" outlineLevel="0" collapsed="false">
      <c r="D988" s="0" t="n">
        <f aca="false">MC_Shocks!A975</f>
        <v>1.29587178186301</v>
      </c>
      <c r="E988" s="0" t="n">
        <f aca="false">MC_Shocks!B975</f>
        <v>-0.71883238760873</v>
      </c>
      <c r="F988" s="0" t="n">
        <f aca="false">MC_Shocks!C975</f>
        <v>0.745005312877281</v>
      </c>
      <c r="G988" s="0" t="n">
        <f aca="false">$B$3*D988</f>
        <v>0.0190891256805474</v>
      </c>
      <c r="H988" s="0" t="n">
        <f aca="false">$B$4*D988+$C$4*E988</f>
        <v>0.00460137715691646</v>
      </c>
      <c r="I988" s="0" t="n">
        <f aca="false">$B$5*D988+$C$5*E988+$D$5*F988</f>
        <v>0.0175680754062489</v>
      </c>
      <c r="J988" s="0" t="n">
        <f aca="false">SUMPRODUCT(G988:I988,Inputs!$B$4:$D$4)*Inputs!$B$2</f>
        <v>14286.4860411686</v>
      </c>
    </row>
    <row r="989" customFormat="false" ht="15" hidden="false" customHeight="false" outlineLevel="0" collapsed="false">
      <c r="D989" s="0" t="n">
        <f aca="false">MC_Shocks!A976</f>
        <v>-0.194697296116682</v>
      </c>
      <c r="E989" s="0" t="n">
        <f aca="false">MC_Shocks!B976</f>
        <v>-0.0641881771084978</v>
      </c>
      <c r="F989" s="0" t="n">
        <f aca="false">MC_Shocks!C976</f>
        <v>0.0917524844483729</v>
      </c>
      <c r="G989" s="0" t="n">
        <f aca="false">$B$3*D989</f>
        <v>-0.00286803155007427</v>
      </c>
      <c r="H989" s="0" t="n">
        <f aca="false">$B$4*D989+$C$4*E989</f>
        <v>-0.00284731198193205</v>
      </c>
      <c r="I989" s="0" t="n">
        <f aca="false">$B$5*D989+$C$5*E989+$D$5*F989</f>
        <v>-0.00149971861874981</v>
      </c>
      <c r="J989" s="0" t="n">
        <f aca="false">SUMPRODUCT(G989:I989,Inputs!$B$4:$D$4)*Inputs!$B$2</f>
        <v>-2451.32180023427</v>
      </c>
    </row>
    <row r="990" customFormat="false" ht="15" hidden="false" customHeight="false" outlineLevel="0" collapsed="false">
      <c r="D990" s="0" t="n">
        <f aca="false">MC_Shocks!A977</f>
        <v>0.252240396426677</v>
      </c>
      <c r="E990" s="0" t="n">
        <f aca="false">MC_Shocks!B977</f>
        <v>-0.116229043121958</v>
      </c>
      <c r="F990" s="0" t="n">
        <f aca="false">MC_Shocks!C977</f>
        <v>0.214713183170526</v>
      </c>
      <c r="G990" s="0" t="n">
        <f aca="false">$B$3*D990</f>
        <v>0.00371568290666656</v>
      </c>
      <c r="H990" s="0" t="n">
        <f aca="false">$B$4*D990+$C$4*E990</f>
        <v>0.00119229169901343</v>
      </c>
      <c r="I990" s="0" t="n">
        <f aca="false">$B$5*D990+$C$5*E990+$D$5*F990</f>
        <v>0.00411886777863866</v>
      </c>
      <c r="J990" s="0" t="n">
        <f aca="false">SUMPRODUCT(G990:I990,Inputs!$B$4:$D$4)*Inputs!$B$2</f>
        <v>3079.62100596225</v>
      </c>
    </row>
    <row r="991" customFormat="false" ht="15" hidden="false" customHeight="false" outlineLevel="0" collapsed="false">
      <c r="D991" s="0" t="n">
        <f aca="false">MC_Shocks!A978</f>
        <v>1.57811805756218</v>
      </c>
      <c r="E991" s="0" t="n">
        <f aca="false">MC_Shocks!B978</f>
        <v>0.985449685615218</v>
      </c>
      <c r="F991" s="0" t="n">
        <f aca="false">MC_Shocks!C978</f>
        <v>0.869154592496897</v>
      </c>
      <c r="G991" s="0" t="n">
        <f aca="false">$B$3*D991</f>
        <v>0.0232468168233718</v>
      </c>
      <c r="H991" s="0" t="n">
        <f aca="false">$B$4*D991+$C$4*E991</f>
        <v>0.0289033229883079</v>
      </c>
      <c r="I991" s="0" t="n">
        <f aca="false">$B$5*D991+$C$5*E991+$D$5*F991</f>
        <v>0.0280261797999474</v>
      </c>
      <c r="J991" s="0" t="n">
        <f aca="false">SUMPRODUCT(G991:I991,Inputs!$B$4:$D$4)*Inputs!$B$2</f>
        <v>26377.5775658253</v>
      </c>
    </row>
    <row r="992" customFormat="false" ht="15" hidden="false" customHeight="false" outlineLevel="0" collapsed="false">
      <c r="D992" s="0" t="n">
        <f aca="false">MC_Shocks!A979</f>
        <v>-0.455539526023871</v>
      </c>
      <c r="E992" s="0" t="n">
        <f aca="false">MC_Shocks!B979</f>
        <v>-0.889240828228324</v>
      </c>
      <c r="F992" s="0" t="n">
        <f aca="false">MC_Shocks!C979</f>
        <v>0.955300558237753</v>
      </c>
      <c r="G992" s="0" t="n">
        <f aca="false">$B$3*D992</f>
        <v>-0.00671042566589809</v>
      </c>
      <c r="H992" s="0" t="n">
        <f aca="false">$B$4*D992+$C$4*E992</f>
        <v>-0.0159157222208049</v>
      </c>
      <c r="I992" s="0" t="n">
        <f aca="false">$B$5*D992+$C$5*E992+$D$5*F992</f>
        <v>0.000212619285834381</v>
      </c>
      <c r="J992" s="0" t="n">
        <f aca="false">SUMPRODUCT(G992:I992,Inputs!$B$4:$D$4)*Inputs!$B$2</f>
        <v>-7395.1011468504</v>
      </c>
    </row>
    <row r="993" customFormat="false" ht="15" hidden="false" customHeight="false" outlineLevel="0" collapsed="false">
      <c r="D993" s="0" t="n">
        <f aca="false">MC_Shocks!A980</f>
        <v>0.876046792529794</v>
      </c>
      <c r="E993" s="0" t="n">
        <f aca="false">MC_Shocks!B980</f>
        <v>1.47267067575098</v>
      </c>
      <c r="F993" s="0" t="n">
        <f aca="false">MC_Shocks!C980</f>
        <v>-0.60398062596923</v>
      </c>
      <c r="G993" s="0" t="n">
        <f aca="false">$B$3*D993</f>
        <v>0.0129048008905633</v>
      </c>
      <c r="H993" s="0" t="n">
        <f aca="false">$B$4*D993+$C$4*E993</f>
        <v>0.0276346607983904</v>
      </c>
      <c r="I993" s="0" t="n">
        <f aca="false">$B$5*D993+$C$5*E993+$D$5*F993</f>
        <v>0.00950508403151324</v>
      </c>
      <c r="J993" s="0" t="n">
        <f aca="false">SUMPRODUCT(G993:I993,Inputs!$B$4:$D$4)*Inputs!$B$2</f>
        <v>16303.8438051964</v>
      </c>
    </row>
    <row r="994" customFormat="false" ht="15" hidden="false" customHeight="false" outlineLevel="0" collapsed="false">
      <c r="D994" s="0" t="n">
        <f aca="false">MC_Shocks!A981</f>
        <v>-0.229548655360347</v>
      </c>
      <c r="E994" s="0" t="n">
        <f aca="false">MC_Shocks!B981</f>
        <v>-1.63948416252543</v>
      </c>
      <c r="F994" s="0" t="n">
        <f aca="false">MC_Shocks!C981</f>
        <v>-0.392471106060873</v>
      </c>
      <c r="G994" s="0" t="n">
        <f aca="false">$B$3*D994</f>
        <v>-0.00338141719983647</v>
      </c>
      <c r="H994" s="0" t="n">
        <f aca="false">$B$4*D994+$C$4*E994</f>
        <v>-0.0229374761431566</v>
      </c>
      <c r="I994" s="0" t="n">
        <f aca="false">$B$5*D994+$C$5*E994+$D$5*F994</f>
        <v>-0.0120076692030148</v>
      </c>
      <c r="J994" s="0" t="n">
        <f aca="false">SUMPRODUCT(G994:I994,Inputs!$B$4:$D$4)*Inputs!$B$2</f>
        <v>-11836.110483786</v>
      </c>
    </row>
    <row r="995" customFormat="false" ht="15" hidden="false" customHeight="false" outlineLevel="0" collapsed="false">
      <c r="D995" s="0" t="n">
        <f aca="false">MC_Shocks!A982</f>
        <v>0.996570510579447</v>
      </c>
      <c r="E995" s="0" t="n">
        <f aca="false">MC_Shocks!B982</f>
        <v>-0.466495379228198</v>
      </c>
      <c r="F995" s="0" t="n">
        <f aca="false">MC_Shocks!C982</f>
        <v>0.640479795200824</v>
      </c>
      <c r="G995" s="0" t="n">
        <f aca="false">$B$3*D995</f>
        <v>0.0146802021559795</v>
      </c>
      <c r="H995" s="0" t="n">
        <f aca="false">$B$4*D995+$C$4*E995</f>
        <v>0.00461933254643538</v>
      </c>
      <c r="I995" s="0" t="n">
        <f aca="false">$B$5*D995+$C$5*E995+$D$5*F995</f>
        <v>0.014425255064396</v>
      </c>
      <c r="J995" s="0" t="n">
        <f aca="false">SUMPRODUCT(G995:I995,Inputs!$B$4:$D$4)*Inputs!$B$2</f>
        <v>11585.4571456412</v>
      </c>
    </row>
    <row r="996" customFormat="false" ht="15" hidden="false" customHeight="false" outlineLevel="0" collapsed="false">
      <c r="D996" s="0" t="n">
        <f aca="false">MC_Shocks!A983</f>
        <v>-0.190503105997811</v>
      </c>
      <c r="E996" s="0" t="n">
        <f aca="false">MC_Shocks!B983</f>
        <v>0.324057028221561</v>
      </c>
      <c r="F996" s="0" t="n">
        <f aca="false">MC_Shocks!C983</f>
        <v>-1.14769138981567</v>
      </c>
      <c r="G996" s="0" t="n">
        <f aca="false">$B$3*D996</f>
        <v>-0.00280624810557938</v>
      </c>
      <c r="H996" s="0" t="n">
        <f aca="false">$B$4*D996+$C$4*E996</f>
        <v>0.00205794748206675</v>
      </c>
      <c r="I996" s="0" t="n">
        <f aca="false">$B$5*D996+$C$5*E996+$D$5*F996</f>
        <v>-0.0108597802291124</v>
      </c>
      <c r="J996" s="0" t="n">
        <f aca="false">SUMPRODUCT(G996:I996,Inputs!$B$4:$D$4)*Inputs!$B$2</f>
        <v>-3763.04906634543</v>
      </c>
    </row>
    <row r="997" customFormat="false" ht="15" hidden="false" customHeight="false" outlineLevel="0" collapsed="false">
      <c r="D997" s="0" t="n">
        <f aca="false">MC_Shocks!A984</f>
        <v>0.0852094496339011</v>
      </c>
      <c r="E997" s="0" t="n">
        <f aca="false">MC_Shocks!B984</f>
        <v>-2.99113597090072</v>
      </c>
      <c r="F997" s="0" t="n">
        <f aca="false">MC_Shocks!C984</f>
        <v>-0.186896158161985</v>
      </c>
      <c r="G997" s="0" t="n">
        <f aca="false">$B$3*D997</f>
        <v>0.00125519662978799</v>
      </c>
      <c r="H997" s="0" t="n">
        <f aca="false">$B$4*D997+$C$4*E997</f>
        <v>-0.0365577618186433</v>
      </c>
      <c r="I997" s="0" t="n">
        <f aca="false">$B$5*D997+$C$5*E997+$D$5*F997</f>
        <v>-0.0119308430046255</v>
      </c>
      <c r="J997" s="0" t="n">
        <f aca="false">SUMPRODUCT(G997:I997,Inputs!$B$4:$D$4)*Inputs!$B$2</f>
        <v>-14044.5027950654</v>
      </c>
    </row>
    <row r="998" customFormat="false" ht="15" hidden="false" customHeight="false" outlineLevel="0" collapsed="false">
      <c r="D998" s="0" t="n">
        <f aca="false">MC_Shocks!A985</f>
        <v>-1.63047324371514</v>
      </c>
      <c r="E998" s="0" t="n">
        <f aca="false">MC_Shocks!B985</f>
        <v>1.20599451654682</v>
      </c>
      <c r="F998" s="0" t="n">
        <f aca="false">MC_Shocks!C985</f>
        <v>0.777407352764511</v>
      </c>
      <c r="G998" s="0" t="n">
        <f aca="false">$B$3*D998</f>
        <v>-0.0240180464639041</v>
      </c>
      <c r="H998" s="0" t="n">
        <f aca="false">$B$4*D998+$C$4*E998</f>
        <v>-0.00201368856684959</v>
      </c>
      <c r="I998" s="0" t="n">
        <f aca="false">$B$5*D998+$C$5*E998+$D$5*F998</f>
        <v>-0.00595362343981733</v>
      </c>
      <c r="J998" s="0" t="n">
        <f aca="false">SUMPRODUCT(G998:I998,Inputs!$B$4:$D$4)*Inputs!$B$2</f>
        <v>-11997.4121875617</v>
      </c>
    </row>
    <row r="999" customFormat="false" ht="15" hidden="false" customHeight="false" outlineLevel="0" collapsed="false">
      <c r="D999" s="0" t="n">
        <f aca="false">MC_Shocks!A986</f>
        <v>0.466670981966081</v>
      </c>
      <c r="E999" s="0" t="n">
        <f aca="false">MC_Shocks!B986</f>
        <v>1.52100622715938</v>
      </c>
      <c r="F999" s="0" t="n">
        <f aca="false">MC_Shocks!C986</f>
        <v>-0.948916520824837</v>
      </c>
      <c r="G999" s="0" t="n">
        <f aca="false">$B$3*D999</f>
        <v>0.00687440003779377</v>
      </c>
      <c r="H999" s="0" t="n">
        <f aca="false">$B$4*D999+$C$4*E999</f>
        <v>0.0239429249680695</v>
      </c>
      <c r="I999" s="0" t="n">
        <f aca="false">$B$5*D999+$C$5*E999+$D$5*F999</f>
        <v>0.00232612086985756</v>
      </c>
      <c r="J999" s="0" t="n">
        <f aca="false">SUMPRODUCT(G999:I999,Inputs!$B$4:$D$4)*Inputs!$B$2</f>
        <v>10630.4737664956</v>
      </c>
    </row>
    <row r="1000" customFormat="false" ht="15" hidden="false" customHeight="false" outlineLevel="0" collapsed="false">
      <c r="D1000" s="0" t="n">
        <f aca="false">MC_Shocks!A987</f>
        <v>1.74736319791556</v>
      </c>
      <c r="E1000" s="0" t="n">
        <f aca="false">MC_Shocks!B987</f>
        <v>0.932191564260385</v>
      </c>
      <c r="F1000" s="0" t="n">
        <f aca="false">MC_Shocks!C987</f>
        <v>-0.236555287218946</v>
      </c>
      <c r="G1000" s="0" t="n">
        <f aca="false">$B$3*D1000</f>
        <v>0.0257399197678488</v>
      </c>
      <c r="H1000" s="0" t="n">
        <f aca="false">$B$4*D1000+$C$4*E1000</f>
        <v>0.0300129300755223</v>
      </c>
      <c r="I1000" s="0" t="n">
        <f aca="false">$B$5*D1000+$C$5*E1000+$D$5*F1000</f>
        <v>0.0199340565377514</v>
      </c>
      <c r="J1000" s="0" t="n">
        <f aca="false">SUMPRODUCT(G1000:I1000,Inputs!$B$4:$D$4)*Inputs!$B$2</f>
        <v>25280.0638911216</v>
      </c>
    </row>
    <row r="1001" customFormat="false" ht="15" hidden="false" customHeight="false" outlineLevel="0" collapsed="false">
      <c r="D1001" s="0" t="n">
        <f aca="false">MC_Shocks!A988</f>
        <v>1.13562014718294</v>
      </c>
      <c r="E1001" s="0" t="n">
        <f aca="false">MC_Shocks!B988</f>
        <v>-1.10629351241163</v>
      </c>
      <c r="F1001" s="0" t="n">
        <f aca="false">MC_Shocks!C988</f>
        <v>-0.824514161527674</v>
      </c>
      <c r="G1001" s="0" t="n">
        <f aca="false">$B$3*D1001</f>
        <v>0.0167285035590261</v>
      </c>
      <c r="H1001" s="0" t="n">
        <f aca="false">$B$4*D1001+$C$4*E1001</f>
        <v>-0.00193209670762378</v>
      </c>
      <c r="I1001" s="0" t="n">
        <f aca="false">$B$5*D1001+$C$5*E1001+$D$5*F1001</f>
        <v>0.000670175382299521</v>
      </c>
      <c r="J1001" s="0" t="n">
        <f aca="false">SUMPRODUCT(G1001:I1001,Inputs!$B$4:$D$4)*Inputs!$B$2</f>
        <v>6312.82502601317</v>
      </c>
    </row>
    <row r="1002" customFormat="false" ht="15" hidden="false" customHeight="false" outlineLevel="0" collapsed="false">
      <c r="D1002" s="0" t="n">
        <f aca="false">MC_Shocks!A989</f>
        <v>-0.6085897232397</v>
      </c>
      <c r="E1002" s="0" t="n">
        <f aca="false">MC_Shocks!B989</f>
        <v>-0.528977708064015</v>
      </c>
      <c r="F1002" s="0" t="n">
        <f aca="false">MC_Shocks!C989</f>
        <v>-1.05655764276025</v>
      </c>
      <c r="G1002" s="0" t="n">
        <f aca="false">$B$3*D1002</f>
        <v>-0.00896496542127829</v>
      </c>
      <c r="H1002" s="0" t="n">
        <f aca="false">$B$4*D1002+$C$4*E1002</f>
        <v>-0.0130113181766202</v>
      </c>
      <c r="I1002" s="0" t="n">
        <f aca="false">$B$5*D1002+$C$5*E1002+$D$5*F1002</f>
        <v>-0.0176850363292576</v>
      </c>
      <c r="J1002" s="0" t="n">
        <f aca="false">SUMPRODUCT(G1002:I1002,Inputs!$B$4:$D$4)*Inputs!$B$2</f>
        <v>-12794.8925202746</v>
      </c>
    </row>
    <row r="1003" customFormat="false" ht="15" hidden="false" customHeight="false" outlineLevel="0" collapsed="false">
      <c r="D1003" s="0" t="n">
        <f aca="false">MC_Shocks!A990</f>
        <v>1.22308306709533</v>
      </c>
      <c r="E1003" s="0" t="n">
        <f aca="false">MC_Shocks!B990</f>
        <v>-0.258854400369832</v>
      </c>
      <c r="F1003" s="0" t="n">
        <f aca="false">MC_Shocks!C990</f>
        <v>0.35250496835688</v>
      </c>
      <c r="G1003" s="0" t="n">
        <f aca="false">$B$3*D1003</f>
        <v>0.0180168954307858</v>
      </c>
      <c r="H1003" s="0" t="n">
        <f aca="false">$B$4*D1003+$C$4*E1003</f>
        <v>0.00959676733607267</v>
      </c>
      <c r="I1003" s="0" t="n">
        <f aca="false">$B$5*D1003+$C$5*E1003+$D$5*F1003</f>
        <v>0.0150801495486704</v>
      </c>
      <c r="J1003" s="0" t="n">
        <f aca="false">SUMPRODUCT(G1003:I1003,Inputs!$B$4:$D$4)*Inputs!$B$2</f>
        <v>14609.8332377373</v>
      </c>
    </row>
    <row r="1004" customFormat="false" ht="15" hidden="false" customHeight="false" outlineLevel="0" collapsed="false">
      <c r="D1004" s="0" t="n">
        <f aca="false">MC_Shocks!A991</f>
        <v>-0.570351366413681</v>
      </c>
      <c r="E1004" s="0" t="n">
        <f aca="false">MC_Shocks!B991</f>
        <v>-1.82060330054852</v>
      </c>
      <c r="F1004" s="0" t="n">
        <f aca="false">MC_Shocks!C991</f>
        <v>0.270057358391422</v>
      </c>
      <c r="G1004" s="0" t="n">
        <f aca="false">$B$3*D1004</f>
        <v>-0.00840168685507622</v>
      </c>
      <c r="H1004" s="0" t="n">
        <f aca="false">$B$4*D1004+$C$4*E1004</f>
        <v>-0.0287824580163649</v>
      </c>
      <c r="I1004" s="0" t="n">
        <f aca="false">$B$5*D1004+$C$5*E1004+$D$5*F1004</f>
        <v>-0.0104932517996072</v>
      </c>
      <c r="J1004" s="0" t="n">
        <f aca="false">SUMPRODUCT(G1004:I1004,Inputs!$B$4:$D$4)*Inputs!$B$2</f>
        <v>-15143.3876868221</v>
      </c>
    </row>
    <row r="1005" customFormat="false" ht="15" hidden="false" customHeight="false" outlineLevel="0" collapsed="false">
      <c r="D1005" s="0" t="n">
        <f aca="false">MC_Shocks!A992</f>
        <v>-1.91225497541978</v>
      </c>
      <c r="E1005" s="0" t="n">
        <f aca="false">MC_Shocks!B992</f>
        <v>-0.0686340460854686</v>
      </c>
      <c r="F1005" s="0" t="n">
        <f aca="false">MC_Shocks!C992</f>
        <v>-1.36831503883281</v>
      </c>
      <c r="G1005" s="0" t="n">
        <f aca="false">$B$3*D1005</f>
        <v>-0.0281688945387492</v>
      </c>
      <c r="H1005" s="0" t="n">
        <f aca="false">$B$4*D1005+$C$4*E1005</f>
        <v>-0.0209310472980726</v>
      </c>
      <c r="I1005" s="0" t="n">
        <f aca="false">$B$5*D1005+$C$5*E1005+$D$5*F1005</f>
        <v>-0.0325079381380268</v>
      </c>
      <c r="J1005" s="0" t="n">
        <f aca="false">SUMPRODUCT(G1005:I1005,Inputs!$B$4:$D$4)*Inputs!$B$2</f>
        <v>-27299.2534463295</v>
      </c>
    </row>
    <row r="1006" customFormat="false" ht="15" hidden="false" customHeight="false" outlineLevel="0" collapsed="false">
      <c r="D1006" s="0" t="n">
        <f aca="false">MC_Shocks!A993</f>
        <v>1.98727599923081</v>
      </c>
      <c r="E1006" s="0" t="n">
        <f aca="false">MC_Shocks!B993</f>
        <v>0.911362722174722</v>
      </c>
      <c r="F1006" s="0" t="n">
        <f aca="false">MC_Shocks!C993</f>
        <v>0.10575379127148</v>
      </c>
      <c r="G1006" s="0" t="n">
        <f aca="false">$B$3*D1006</f>
        <v>0.0292740083102314</v>
      </c>
      <c r="H1006" s="0" t="n">
        <f aca="false">$B$4*D1006+$C$4*E1006</f>
        <v>0.0322703373950055</v>
      </c>
      <c r="I1006" s="0" t="n">
        <f aca="false">$B$5*D1006+$C$5*E1006+$D$5*F1006</f>
        <v>0.0253971631326804</v>
      </c>
      <c r="J1006" s="0" t="n">
        <f aca="false">SUMPRODUCT(G1006:I1006,Inputs!$B$4:$D$4)*Inputs!$B$2</f>
        <v>29009.8534823983</v>
      </c>
    </row>
    <row r="1007" customFormat="false" ht="15" hidden="false" customHeight="false" outlineLevel="0" collapsed="false">
      <c r="D1007" s="0" t="n">
        <f aca="false">MC_Shocks!A994</f>
        <v>1.26370667765467</v>
      </c>
      <c r="E1007" s="0" t="n">
        <f aca="false">MC_Shocks!B994</f>
        <v>-0.846315977465736</v>
      </c>
      <c r="F1007" s="0" t="n">
        <f aca="false">MC_Shocks!C994</f>
        <v>0.543479378670093</v>
      </c>
      <c r="G1007" s="0" t="n">
        <f aca="false">$B$3*D1007</f>
        <v>0.0186153105042664</v>
      </c>
      <c r="H1007" s="0" t="n">
        <f aca="false">$B$4*D1007+$C$4*E1007</f>
        <v>0.0026675334960768</v>
      </c>
      <c r="I1007" s="0" t="n">
        <f aca="false">$B$5*D1007+$C$5*E1007+$D$5*F1007</f>
        <v>0.014984605130027</v>
      </c>
      <c r="J1007" s="0" t="n">
        <f aca="false">SUMPRODUCT(G1007:I1007,Inputs!$B$4:$D$4)*Inputs!$B$2</f>
        <v>12741.7657895377</v>
      </c>
    </row>
    <row r="1008" customFormat="false" ht="15" hidden="false" customHeight="false" outlineLevel="0" collapsed="false">
      <c r="D1008" s="0" t="n">
        <f aca="false">MC_Shocks!A995</f>
        <v>0.199810433718714</v>
      </c>
      <c r="E1008" s="0" t="n">
        <f aca="false">MC_Shocks!B995</f>
        <v>0.26402008133367</v>
      </c>
      <c r="F1008" s="0" t="n">
        <f aca="false">MC_Shocks!C995</f>
        <v>1.27235350010677</v>
      </c>
      <c r="G1008" s="0" t="n">
        <f aca="false">$B$3*D1008</f>
        <v>0.00294335175356446</v>
      </c>
      <c r="H1008" s="0" t="n">
        <f aca="false">$B$4*D1008+$C$4*E1008</f>
        <v>0.00540308554391011</v>
      </c>
      <c r="I1008" s="0" t="n">
        <f aca="false">$B$5*D1008+$C$5*E1008+$D$5*F1008</f>
        <v>0.0142517962902987</v>
      </c>
      <c r="J1008" s="0" t="n">
        <f aca="false">SUMPRODUCT(G1008:I1008,Inputs!$B$4:$D$4)*Inputs!$B$2</f>
        <v>7073.80525168842</v>
      </c>
    </row>
    <row r="1009" customFormat="false" ht="15" hidden="false" customHeight="false" outlineLevel="0" collapsed="false">
      <c r="D1009" s="0" t="n">
        <f aca="false">MC_Shocks!A996</f>
        <v>0.732492102779802</v>
      </c>
      <c r="E1009" s="0" t="n">
        <f aca="false">MC_Shocks!B996</f>
        <v>0.288723662825023</v>
      </c>
      <c r="F1009" s="0" t="n">
        <f aca="false">MC_Shocks!C996</f>
        <v>-1.6548874362283</v>
      </c>
      <c r="G1009" s="0" t="n">
        <f aca="false">$B$3*D1009</f>
        <v>0.0107901368064902</v>
      </c>
      <c r="H1009" s="0" t="n">
        <f aca="false">$B$4*D1009+$C$4*E1009</f>
        <v>0.0113036078134683</v>
      </c>
      <c r="I1009" s="0" t="n">
        <f aca="false">$B$5*D1009+$C$5*E1009+$D$5*F1009</f>
        <v>-0.00565415796743904</v>
      </c>
      <c r="J1009" s="0" t="n">
        <f aca="false">SUMPRODUCT(G1009:I1009,Inputs!$B$4:$D$4)*Inputs!$B$2</f>
        <v>6010.88967640483</v>
      </c>
    </row>
    <row r="1010" customFormat="false" ht="15" hidden="false" customHeight="false" outlineLevel="0" collapsed="false">
      <c r="D1010" s="0" t="n">
        <f aca="false">MC_Shocks!A997</f>
        <v>-0.960046295279464</v>
      </c>
      <c r="E1010" s="0" t="n">
        <f aca="false">MC_Shocks!B997</f>
        <v>-0.122708933595724</v>
      </c>
      <c r="F1010" s="0" t="n">
        <f aca="false">MC_Shocks!C997</f>
        <v>0.0933723742766512</v>
      </c>
      <c r="G1010" s="0" t="n">
        <f aca="false">$B$3*D1010</f>
        <v>-0.0141421741303654</v>
      </c>
      <c r="H1010" s="0" t="n">
        <f aca="false">$B$4*D1010+$C$4*E1010</f>
        <v>-0.0116134159035976</v>
      </c>
      <c r="I1010" s="0" t="n">
        <f aca="false">$B$5*D1010+$C$5*E1010+$D$5*F1010</f>
        <v>-0.00981503400453701</v>
      </c>
      <c r="J1010" s="0" t="n">
        <f aca="false">SUMPRODUCT(G1010:I1010,Inputs!$B$4:$D$4)*Inputs!$B$2</f>
        <v>-12085.4046245865</v>
      </c>
    </row>
    <row r="1011" customFormat="false" ht="15" hidden="false" customHeight="false" outlineLevel="0" collapsed="false">
      <c r="D1011" s="0" t="n">
        <f aca="false">MC_Shocks!A998</f>
        <v>-1.13020372467392</v>
      </c>
      <c r="E1011" s="0" t="n">
        <f aca="false">MC_Shocks!B998</f>
        <v>2.41167667557842</v>
      </c>
      <c r="F1011" s="0" t="n">
        <f aca="false">MC_Shocks!C998</f>
        <v>1.51639405525357</v>
      </c>
      <c r="G1011" s="0" t="n">
        <f aca="false">$B$3*D1011</f>
        <v>-0.0166487157501852</v>
      </c>
      <c r="H1011" s="0" t="n">
        <f aca="false">$B$4*D1011+$C$4*E1011</f>
        <v>0.0183337110952711</v>
      </c>
      <c r="I1011" s="0" t="n">
        <f aca="false">$B$5*D1011+$C$5*E1011+$D$5*F1011</f>
        <v>0.0103346167393927</v>
      </c>
      <c r="J1011" s="0" t="n">
        <f aca="false">SUMPRODUCT(G1011:I1011,Inputs!$B$4:$D$4)*Inputs!$B$2</f>
        <v>1941.01205032504</v>
      </c>
    </row>
    <row r="1012" customFormat="false" ht="15" hidden="false" customHeight="false" outlineLevel="0" collapsed="false">
      <c r="D1012" s="0" t="n">
        <f aca="false">MC_Shocks!A999</f>
        <v>0.602118320392484</v>
      </c>
      <c r="E1012" s="0" t="n">
        <f aca="false">MC_Shocks!B999</f>
        <v>0.0720368612837448</v>
      </c>
      <c r="F1012" s="0" t="n">
        <f aca="false">MC_Shocks!C999</f>
        <v>-0.212208969901152</v>
      </c>
      <c r="G1012" s="0" t="n">
        <f aca="false">$B$3*D1012</f>
        <v>0.00886963699140664</v>
      </c>
      <c r="H1012" s="0" t="n">
        <f aca="false">$B$4*D1012+$C$4*E1012</f>
        <v>0.00722201507327844</v>
      </c>
      <c r="I1012" s="0" t="n">
        <f aca="false">$B$5*D1012+$C$5*E1012+$D$5*F1012</f>
        <v>0.00479133699583412</v>
      </c>
      <c r="J1012" s="0" t="n">
        <f aca="false">SUMPRODUCT(G1012:I1012,Inputs!$B$4:$D$4)*Inputs!$B$2</f>
        <v>7151.86041729642</v>
      </c>
    </row>
    <row r="1013" customFormat="false" ht="15" hidden="false" customHeight="false" outlineLevel="0" collapsed="false">
      <c r="D1013" s="0" t="n">
        <f aca="false">MC_Shocks!A1000</f>
        <v>-0.951918460022236</v>
      </c>
      <c r="E1013" s="0" t="n">
        <f aca="false">MC_Shocks!B1000</f>
        <v>0.0774805185188625</v>
      </c>
      <c r="F1013" s="0" t="n">
        <f aca="false">MC_Shocks!C1000</f>
        <v>0.257752540142751</v>
      </c>
      <c r="G1013" s="0" t="n">
        <f aca="false">$B$3*D1013</f>
        <v>-0.0140224452567935</v>
      </c>
      <c r="H1013" s="0" t="n">
        <f aca="false">$B$4*D1013+$C$4*E1013</f>
        <v>-0.00902152217842158</v>
      </c>
      <c r="I1013" s="0" t="n">
        <f aca="false">$B$5*D1013+$C$5*E1013+$D$5*F1013</f>
        <v>-0.00753953732008933</v>
      </c>
      <c r="J1013" s="0" t="n">
        <f aca="false">SUMPRODUCT(G1013:I1013,Inputs!$B$4:$D$4)*Inputs!$B$2</f>
        <v>-10577.2959522707</v>
      </c>
    </row>
    <row r="1014" customFormat="false" ht="15" hidden="false" customHeight="false" outlineLevel="0" collapsed="false">
      <c r="D1014" s="0" t="n">
        <f aca="false">MC_Shocks!A1001</f>
        <v>-1.24176057548162</v>
      </c>
      <c r="E1014" s="0" t="n">
        <f aca="false">MC_Shocks!B1001</f>
        <v>0.334176417244897</v>
      </c>
      <c r="F1014" s="0" t="n">
        <f aca="false">MC_Shocks!C1001</f>
        <v>-0.155259048824749</v>
      </c>
      <c r="G1014" s="0" t="n">
        <f aca="false">$B$3*D1014</f>
        <v>-0.0182920285959459</v>
      </c>
      <c r="H1014" s="0" t="n">
        <f aca="false">$B$4*D1014+$C$4*E1014</f>
        <v>-0.00884970241500045</v>
      </c>
      <c r="I1014" s="0" t="n">
        <f aca="false">$B$5*D1014+$C$5*E1014+$D$5*F1014</f>
        <v>-0.0132682089586304</v>
      </c>
      <c r="J1014" s="0" t="n">
        <f aca="false">SUMPRODUCT(G1014:I1014,Inputs!$B$4:$D$4)*Inputs!$B$2</f>
        <v>-13952.1848504676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32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" t="s">
        <v>24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H3" s="1" t="s">
        <v>55</v>
      </c>
      <c r="I3" s="1" t="s">
        <v>6</v>
      </c>
      <c r="J3" s="1" t="s">
        <v>7</v>
      </c>
    </row>
    <row r="4" customFormat="false" ht="15" hidden="false" customHeight="false" outlineLevel="0" collapsed="false">
      <c r="A4" s="3" t="n">
        <f aca="false">Returns!A252</f>
        <v>45295</v>
      </c>
      <c r="B4" s="0" t="n">
        <f aca="false">-Returns!F252</f>
        <v>-5834.14237431519</v>
      </c>
      <c r="C4" s="0" t="n">
        <f aca="false">-PERCENTILE(Returns!$F$2:$F$251,0.01)</f>
        <v>35195.7004209655</v>
      </c>
      <c r="D4" s="0" t="n">
        <f aca="false">NORMSINV(0.99)*STDEV(Returns!$F$2:$F$251)</f>
        <v>31258.965278014</v>
      </c>
      <c r="E4" s="0" t="n">
        <f aca="false">IF(B4&gt;C4,1,0)</f>
        <v>0</v>
      </c>
      <c r="F4" s="0" t="n">
        <f aca="false">IF(B4&gt;D4,1,0)</f>
        <v>0</v>
      </c>
      <c r="H4" s="0" t="s">
        <v>56</v>
      </c>
      <c r="I4" s="0" t="n">
        <f aca="false">COUNT(B4:B253)</f>
        <v>250</v>
      </c>
      <c r="J4" s="0" t="n">
        <f aca="false">COUNT(B4:B253)</f>
        <v>250</v>
      </c>
    </row>
    <row r="5" customFormat="false" ht="15" hidden="false" customHeight="false" outlineLevel="0" collapsed="false">
      <c r="A5" s="3" t="n">
        <f aca="false">Returns!A253</f>
        <v>45296</v>
      </c>
      <c r="B5" s="0" t="n">
        <f aca="false">-Returns!F253</f>
        <v>-11069.8174876184</v>
      </c>
      <c r="C5" s="0" t="n">
        <f aca="false">-PERCENTILE(Returns!$F$3:$F$252,0.01)</f>
        <v>35195.7004209655</v>
      </c>
      <c r="D5" s="0" t="n">
        <f aca="false">NORMSINV(0.99)*STDEV(Returns!$F$3:$F$252)</f>
        <v>31263.5981630729</v>
      </c>
      <c r="E5" s="0" t="n">
        <f aca="false">IF(B5&gt;C5,1,0)</f>
        <v>0</v>
      </c>
      <c r="F5" s="0" t="n">
        <f aca="false">IF(B5&gt;D5,1,0)</f>
        <v>0</v>
      </c>
      <c r="H5" s="0" t="s">
        <v>57</v>
      </c>
      <c r="I5" s="0" t="n">
        <f aca="false">SUM(E4:E253)</f>
        <v>4</v>
      </c>
      <c r="J5" s="0" t="n">
        <f aca="false">SUM(F4:F253)</f>
        <v>4</v>
      </c>
    </row>
    <row r="6" customFormat="false" ht="15" hidden="false" customHeight="false" outlineLevel="0" collapsed="false">
      <c r="A6" s="3" t="n">
        <f aca="false">Returns!A254</f>
        <v>45299</v>
      </c>
      <c r="B6" s="0" t="n">
        <f aca="false">-Returns!F254</f>
        <v>2075.3149469211</v>
      </c>
      <c r="C6" s="0" t="n">
        <f aca="false">-PERCENTILE(Returns!$F$4:$F$253,0.01)</f>
        <v>35195.7004209655</v>
      </c>
      <c r="D6" s="0" t="n">
        <f aca="false">NORMSINV(0.99)*STDEV(Returns!$F$4:$F$253)</f>
        <v>31216.6050928742</v>
      </c>
      <c r="E6" s="0" t="n">
        <f aca="false">IF(B6&gt;C6,1,0)</f>
        <v>0</v>
      </c>
      <c r="F6" s="0" t="n">
        <f aca="false">IF(B6&gt;D6,1,0)</f>
        <v>0</v>
      </c>
      <c r="H6" s="0" t="s">
        <v>58</v>
      </c>
      <c r="I6" s="0" t="n">
        <f aca="false">I4*0.01</f>
        <v>2.5</v>
      </c>
      <c r="J6" s="0" t="n">
        <f aca="false">J4*0.01</f>
        <v>2.5</v>
      </c>
    </row>
    <row r="7" customFormat="false" ht="15" hidden="false" customHeight="false" outlineLevel="0" collapsed="false">
      <c r="A7" s="3" t="n">
        <f aca="false">Returns!A255</f>
        <v>45300</v>
      </c>
      <c r="B7" s="0" t="n">
        <f aca="false">-Returns!F255</f>
        <v>12554.3429318342</v>
      </c>
      <c r="C7" s="0" t="n">
        <f aca="false">-PERCENTILE(Returns!$F$5:$F$254,0.01)</f>
        <v>35195.7004209655</v>
      </c>
      <c r="D7" s="0" t="n">
        <f aca="false">NORMSINV(0.99)*STDEV(Returns!$F$5:$F$254)</f>
        <v>31204.2459512285</v>
      </c>
      <c r="E7" s="0" t="n">
        <f aca="false">IF(B7&gt;C7,1,0)</f>
        <v>0</v>
      </c>
      <c r="F7" s="0" t="n">
        <f aca="false">IF(B7&gt;D7,1,0)</f>
        <v>0</v>
      </c>
      <c r="H7" s="0" t="s">
        <v>59</v>
      </c>
      <c r="I7" s="0" t="n">
        <f aca="false">IF(I5=0,-2*I4*LN(0.99),-2*((I4-I5)*LN(0.99)+I5*LN(0.01)-((I4-I5)*LN(1-I5/I4)+I5*LN(I5/I4))))</f>
        <v>0.769138364385846</v>
      </c>
      <c r="J7" s="0" t="n">
        <f aca="false">IF(J5=0,-2*J4*LN(0.99),-2*((J4-J5)*LN(0.99)+J5*LN(0.01)-((J4-J5)*LN(1-J5/J4)+J5*LN(J5/J4))))</f>
        <v>0.769138364385846</v>
      </c>
    </row>
    <row r="8" customFormat="false" ht="15" hidden="false" customHeight="false" outlineLevel="0" collapsed="false">
      <c r="A8" s="3" t="n">
        <f aca="false">Returns!A256</f>
        <v>45301</v>
      </c>
      <c r="B8" s="0" t="n">
        <f aca="false">-Returns!F256</f>
        <v>1320.91199887235</v>
      </c>
      <c r="C8" s="0" t="n">
        <f aca="false">-PERCENTILE(Returns!$F$6:$F$255,0.01)</f>
        <v>35195.7004209655</v>
      </c>
      <c r="D8" s="0" t="n">
        <f aca="false">NORMSINV(0.99)*STDEV(Returns!$F$6:$F$255)</f>
        <v>31232.9809617598</v>
      </c>
      <c r="E8" s="0" t="n">
        <f aca="false">IF(B8&gt;C8,1,0)</f>
        <v>0</v>
      </c>
      <c r="F8" s="0" t="n">
        <f aca="false">IF(B8&gt;D8,1,0)</f>
        <v>0</v>
      </c>
      <c r="H8" s="0" t="s">
        <v>60</v>
      </c>
      <c r="I8" s="0" t="n">
        <f aca="false">CHIINV(0.05,1)</f>
        <v>3.84145882069413</v>
      </c>
      <c r="J8" s="0" t="n">
        <f aca="false">CHIINV(0.05,1)</f>
        <v>3.84145882069413</v>
      </c>
    </row>
    <row r="9" customFormat="false" ht="15" hidden="false" customHeight="false" outlineLevel="0" collapsed="false">
      <c r="A9" s="3" t="n">
        <f aca="false">Returns!A257</f>
        <v>45302</v>
      </c>
      <c r="B9" s="0" t="n">
        <f aca="false">-Returns!F257</f>
        <v>8930.57414510651</v>
      </c>
      <c r="C9" s="0" t="n">
        <f aca="false">-PERCENTILE(Returns!$F$7:$F$256,0.01)</f>
        <v>35195.7004209655</v>
      </c>
      <c r="D9" s="0" t="n">
        <f aca="false">NORMSINV(0.99)*STDEV(Returns!$F$7:$F$256)</f>
        <v>31219.4519781827</v>
      </c>
      <c r="E9" s="0" t="n">
        <f aca="false">IF(B9&gt;C9,1,0)</f>
        <v>0</v>
      </c>
      <c r="F9" s="0" t="n">
        <f aca="false">IF(B9&gt;D9,1,0)</f>
        <v>0</v>
      </c>
      <c r="H9" s="0" t="s">
        <v>11</v>
      </c>
      <c r="I9" s="0" t="str">
        <f aca="false">IF(I7&gt;I8,"Reject model","Do not reject")</f>
        <v>Do not reject</v>
      </c>
      <c r="J9" s="0" t="str">
        <f aca="false">IF(J7&gt;J8,"Reject model","Do not reject")</f>
        <v>Do not reject</v>
      </c>
    </row>
    <row r="10" customFormat="false" ht="15" hidden="false" customHeight="false" outlineLevel="0" collapsed="false">
      <c r="A10" s="3" t="n">
        <f aca="false">Returns!A258</f>
        <v>45303</v>
      </c>
      <c r="B10" s="0" t="n">
        <f aca="false">-Returns!F258</f>
        <v>8828.03716407846</v>
      </c>
      <c r="C10" s="0" t="n">
        <f aca="false">-PERCENTILE(Returns!$F$8:$F$257,0.01)</f>
        <v>35195.7004209655</v>
      </c>
      <c r="D10" s="0" t="n">
        <f aca="false">NORMSINV(0.99)*STDEV(Returns!$F$8:$F$257)</f>
        <v>31245.3386174448</v>
      </c>
      <c r="E10" s="0" t="n">
        <f aca="false">IF(B10&gt;C10,1,0)</f>
        <v>0</v>
      </c>
      <c r="F10" s="0" t="n">
        <f aca="false">IF(B10&gt;D10,1,0)</f>
        <v>0</v>
      </c>
      <c r="H10" s="0" t="s">
        <v>61</v>
      </c>
      <c r="I10" s="0" t="str">
        <f aca="false">IF(I5&lt;=4,"Green",IF(I5&lt;=9,"Yellow","Red"))</f>
        <v>Green</v>
      </c>
      <c r="J10" s="0" t="str">
        <f aca="false">IF(J5&lt;=4,"Green",IF(J5&lt;=9,"Yellow","Red"))</f>
        <v>Green</v>
      </c>
    </row>
    <row r="11" customFormat="false" ht="15" hidden="false" customHeight="false" outlineLevel="0" collapsed="false">
      <c r="A11" s="3" t="n">
        <f aca="false">Returns!A259</f>
        <v>45307</v>
      </c>
      <c r="B11" s="0" t="n">
        <f aca="false">-Returns!F259</f>
        <v>21542.6623112953</v>
      </c>
      <c r="C11" s="0" t="n">
        <f aca="false">-PERCENTILE(Returns!$F$9:$F$258,0.01)</f>
        <v>35195.7004209655</v>
      </c>
      <c r="D11" s="0" t="n">
        <f aca="false">NORMSINV(0.99)*STDEV(Returns!$F$9:$F$258)</f>
        <v>31136.7817073767</v>
      </c>
      <c r="E11" s="0" t="n">
        <f aca="false">IF(B11&gt;C11,1,0)</f>
        <v>0</v>
      </c>
      <c r="F11" s="0" t="n">
        <f aca="false">IF(B11&gt;D11,1,0)</f>
        <v>0</v>
      </c>
    </row>
    <row r="12" customFormat="false" ht="15" hidden="false" customHeight="false" outlineLevel="0" collapsed="false">
      <c r="A12" s="3" t="n">
        <f aca="false">Returns!A260</f>
        <v>45308</v>
      </c>
      <c r="B12" s="0" t="n">
        <f aca="false">-Returns!F260</f>
        <v>10646.1533962493</v>
      </c>
      <c r="C12" s="0" t="n">
        <f aca="false">-PERCENTILE(Returns!$F$10:$F$259,0.01)</f>
        <v>35195.7004209655</v>
      </c>
      <c r="D12" s="0" t="n">
        <f aca="false">NORMSINV(0.99)*STDEV(Returns!$F$10:$F$259)</f>
        <v>31294.2408360077</v>
      </c>
      <c r="E12" s="0" t="n">
        <f aca="false">IF(B12&gt;C12,1,0)</f>
        <v>0</v>
      </c>
      <c r="F12" s="0" t="n">
        <f aca="false">IF(B12&gt;D12,1,0)</f>
        <v>0</v>
      </c>
    </row>
    <row r="13" customFormat="false" ht="15" hidden="false" customHeight="false" outlineLevel="0" collapsed="false">
      <c r="A13" s="3" t="n">
        <f aca="false">Returns!A261</f>
        <v>45309</v>
      </c>
      <c r="B13" s="0" t="n">
        <f aca="false">-Returns!F261</f>
        <v>1689.99618714802</v>
      </c>
      <c r="C13" s="0" t="n">
        <f aca="false">-PERCENTILE(Returns!$F$11:$F$260,0.01)</f>
        <v>35195.7004209655</v>
      </c>
      <c r="D13" s="0" t="n">
        <f aca="false">NORMSINV(0.99)*STDEV(Returns!$F$11:$F$260)</f>
        <v>31181.9844712917</v>
      </c>
      <c r="E13" s="0" t="n">
        <f aca="false">IF(B13&gt;C13,1,0)</f>
        <v>0</v>
      </c>
      <c r="F13" s="0" t="n">
        <f aca="false">IF(B13&gt;D13,1,0)</f>
        <v>0</v>
      </c>
    </row>
    <row r="14" customFormat="false" ht="15" hidden="false" customHeight="false" outlineLevel="0" collapsed="false">
      <c r="A14" s="3" t="n">
        <f aca="false">Returns!A262</f>
        <v>45310</v>
      </c>
      <c r="B14" s="0" t="n">
        <f aca="false">-Returns!F262</f>
        <v>-16548.4831630857</v>
      </c>
      <c r="C14" s="0" t="n">
        <f aca="false">-PERCENTILE(Returns!$F$12:$F$261,0.01)</f>
        <v>35195.7004209655</v>
      </c>
      <c r="D14" s="0" t="n">
        <f aca="false">NORMSINV(0.99)*STDEV(Returns!$F$12:$F$261)</f>
        <v>31074.5148367505</v>
      </c>
      <c r="E14" s="0" t="n">
        <f aca="false">IF(B14&gt;C14,1,0)</f>
        <v>0</v>
      </c>
      <c r="F14" s="0" t="n">
        <f aca="false">IF(B14&gt;D14,1,0)</f>
        <v>0</v>
      </c>
    </row>
    <row r="15" customFormat="false" ht="15" hidden="false" customHeight="false" outlineLevel="0" collapsed="false">
      <c r="A15" s="3" t="n">
        <f aca="false">Returns!A263</f>
        <v>45313</v>
      </c>
      <c r="B15" s="0" t="n">
        <f aca="false">-Returns!F263</f>
        <v>-3954.86675671736</v>
      </c>
      <c r="C15" s="0" t="n">
        <f aca="false">-PERCENTILE(Returns!$F$13:$F$262,0.01)</f>
        <v>35195.7004209655</v>
      </c>
      <c r="D15" s="0" t="n">
        <f aca="false">NORMSINV(0.99)*STDEV(Returns!$F$13:$F$262)</f>
        <v>31109.460245985</v>
      </c>
      <c r="E15" s="0" t="n">
        <f aca="false">IF(B15&gt;C15,1,0)</f>
        <v>0</v>
      </c>
      <c r="F15" s="0" t="n">
        <f aca="false">IF(B15&gt;D15,1,0)</f>
        <v>0</v>
      </c>
    </row>
    <row r="16" customFormat="false" ht="15" hidden="false" customHeight="false" outlineLevel="0" collapsed="false">
      <c r="A16" s="3" t="n">
        <f aca="false">Returns!A264</f>
        <v>45314</v>
      </c>
      <c r="B16" s="0" t="n">
        <f aca="false">-Returns!F264</f>
        <v>-2892.3604764332</v>
      </c>
      <c r="C16" s="0" t="n">
        <f aca="false">-PERCENTILE(Returns!$F$14:$F$263,0.01)</f>
        <v>35195.7004209655</v>
      </c>
      <c r="D16" s="0" t="n">
        <f aca="false">NORMSINV(0.99)*STDEV(Returns!$F$14:$F$263)</f>
        <v>31054.5986055753</v>
      </c>
      <c r="E16" s="0" t="n">
        <f aca="false">IF(B16&gt;C16,1,0)</f>
        <v>0</v>
      </c>
      <c r="F16" s="0" t="n">
        <f aca="false">IF(B16&gt;D16,1,0)</f>
        <v>0</v>
      </c>
    </row>
    <row r="17" customFormat="false" ht="15" hidden="false" customHeight="false" outlineLevel="0" collapsed="false">
      <c r="A17" s="3" t="n">
        <f aca="false">Returns!A265</f>
        <v>45315</v>
      </c>
      <c r="B17" s="0" t="n">
        <f aca="false">-Returns!F265</f>
        <v>-8331.69091381194</v>
      </c>
      <c r="C17" s="0" t="n">
        <f aca="false">-PERCENTILE(Returns!$F$15:$F$264,0.01)</f>
        <v>35195.7004209655</v>
      </c>
      <c r="D17" s="0" t="n">
        <f aca="false">NORMSINV(0.99)*STDEV(Returns!$F$15:$F$264)</f>
        <v>31056.9896502619</v>
      </c>
      <c r="E17" s="0" t="n">
        <f aca="false">IF(B17&gt;C17,1,0)</f>
        <v>0</v>
      </c>
      <c r="F17" s="0" t="n">
        <f aca="false">IF(B17&gt;D17,1,0)</f>
        <v>0</v>
      </c>
    </row>
    <row r="18" customFormat="false" ht="15" hidden="false" customHeight="false" outlineLevel="0" collapsed="false">
      <c r="A18" s="3" t="n">
        <f aca="false">Returns!A266</f>
        <v>45316</v>
      </c>
      <c r="B18" s="0" t="n">
        <f aca="false">-Returns!F266</f>
        <v>-10927.9390668586</v>
      </c>
      <c r="C18" s="0" t="n">
        <f aca="false">-PERCENTILE(Returns!$F$16:$F$265,0.01)</f>
        <v>35195.7004209655</v>
      </c>
      <c r="D18" s="0" t="n">
        <f aca="false">NORMSINV(0.99)*STDEV(Returns!$F$16:$F$265)</f>
        <v>31072.1155359625</v>
      </c>
      <c r="E18" s="0" t="n">
        <f aca="false">IF(B18&gt;C18,1,0)</f>
        <v>0</v>
      </c>
      <c r="F18" s="0" t="n">
        <f aca="false">IF(B18&gt;D18,1,0)</f>
        <v>0</v>
      </c>
    </row>
    <row r="19" customFormat="false" ht="15" hidden="false" customHeight="false" outlineLevel="0" collapsed="false">
      <c r="A19" s="3" t="n">
        <f aca="false">Returns!A267</f>
        <v>45317</v>
      </c>
      <c r="B19" s="0" t="n">
        <f aca="false">-Returns!F267</f>
        <v>2160.34394380918</v>
      </c>
      <c r="C19" s="0" t="n">
        <f aca="false">-PERCENTILE(Returns!$F$17:$F$266,0.01)</f>
        <v>35195.7004209655</v>
      </c>
      <c r="D19" s="0" t="n">
        <f aca="false">NORMSINV(0.99)*STDEV(Returns!$F$17:$F$266)</f>
        <v>31084.1385518193</v>
      </c>
      <c r="E19" s="0" t="n">
        <f aca="false">IF(B19&gt;C19,1,0)</f>
        <v>0</v>
      </c>
      <c r="F19" s="0" t="n">
        <f aca="false">IF(B19&gt;D19,1,0)</f>
        <v>0</v>
      </c>
    </row>
    <row r="20" customFormat="false" ht="15" hidden="false" customHeight="false" outlineLevel="0" collapsed="false">
      <c r="A20" s="3" t="n">
        <f aca="false">Returns!A268</f>
        <v>45320</v>
      </c>
      <c r="B20" s="0" t="n">
        <f aca="false">-Returns!F268</f>
        <v>-2277.99460714093</v>
      </c>
      <c r="C20" s="0" t="n">
        <f aca="false">-PERCENTILE(Returns!$F$18:$F$267,0.01)</f>
        <v>35195.7004209655</v>
      </c>
      <c r="D20" s="0" t="n">
        <f aca="false">NORMSINV(0.99)*STDEV(Returns!$F$18:$F$267)</f>
        <v>31083.5850165512</v>
      </c>
      <c r="E20" s="0" t="n">
        <f aca="false">IF(B20&gt;C20,1,0)</f>
        <v>0</v>
      </c>
      <c r="F20" s="0" t="n">
        <f aca="false">IF(B20&gt;D20,1,0)</f>
        <v>0</v>
      </c>
    </row>
    <row r="21" customFormat="false" ht="15" hidden="false" customHeight="false" outlineLevel="0" collapsed="false">
      <c r="A21" s="3" t="n">
        <f aca="false">Returns!A269</f>
        <v>45321</v>
      </c>
      <c r="B21" s="0" t="n">
        <f aca="false">-Returns!F269</f>
        <v>-21391.3092225085</v>
      </c>
      <c r="C21" s="0" t="n">
        <f aca="false">-PERCENTILE(Returns!$F$19:$F$268,0.01)</f>
        <v>35195.7004209655</v>
      </c>
      <c r="D21" s="0" t="n">
        <f aca="false">NORMSINV(0.99)*STDEV(Returns!$F$19:$F$268)</f>
        <v>31074.9686748913</v>
      </c>
      <c r="E21" s="0" t="n">
        <f aca="false">IF(B21&gt;C21,1,0)</f>
        <v>0</v>
      </c>
      <c r="F21" s="0" t="n">
        <f aca="false">IF(B21&gt;D21,1,0)</f>
        <v>0</v>
      </c>
    </row>
    <row r="22" customFormat="false" ht="15" hidden="false" customHeight="false" outlineLevel="0" collapsed="false">
      <c r="A22" s="3" t="n">
        <f aca="false">Returns!A270</f>
        <v>45322</v>
      </c>
      <c r="B22" s="0" t="n">
        <f aca="false">-Returns!F270</f>
        <v>12464.4432345926</v>
      </c>
      <c r="C22" s="0" t="n">
        <f aca="false">-PERCENTILE(Returns!$F$20:$F$269,0.01)</f>
        <v>35195.7004209655</v>
      </c>
      <c r="D22" s="0" t="n">
        <f aca="false">NORMSINV(0.99)*STDEV(Returns!$F$20:$F$269)</f>
        <v>31208.4473322382</v>
      </c>
      <c r="E22" s="0" t="n">
        <f aca="false">IF(B22&gt;C22,1,0)</f>
        <v>0</v>
      </c>
      <c r="F22" s="0" t="n">
        <f aca="false">IF(B22&gt;D22,1,0)</f>
        <v>0</v>
      </c>
    </row>
    <row r="23" customFormat="false" ht="15" hidden="false" customHeight="false" outlineLevel="0" collapsed="false">
      <c r="A23" s="3" t="n">
        <f aca="false">Returns!A271</f>
        <v>45323</v>
      </c>
      <c r="B23" s="0" t="n">
        <f aca="false">-Returns!F271</f>
        <v>6980.96895470492</v>
      </c>
      <c r="C23" s="0" t="n">
        <f aca="false">-PERCENTILE(Returns!$F$21:$F$270,0.01)</f>
        <v>35195.7004209655</v>
      </c>
      <c r="D23" s="0" t="n">
        <f aca="false">NORMSINV(0.99)*STDEV(Returns!$F$21:$F$270)</f>
        <v>31256.6829811662</v>
      </c>
      <c r="E23" s="0" t="n">
        <f aca="false">IF(B23&gt;C23,1,0)</f>
        <v>0</v>
      </c>
      <c r="F23" s="0" t="n">
        <f aca="false">IF(B23&gt;D23,1,0)</f>
        <v>0</v>
      </c>
    </row>
    <row r="24" customFormat="false" ht="15" hidden="false" customHeight="false" outlineLevel="0" collapsed="false">
      <c r="A24" s="3" t="n">
        <f aca="false">Returns!A272</f>
        <v>45324</v>
      </c>
      <c r="B24" s="0" t="n">
        <f aca="false">-Returns!F272</f>
        <v>-3130.52583438216</v>
      </c>
      <c r="C24" s="0" t="n">
        <f aca="false">-PERCENTILE(Returns!$F$22:$F$271,0.01)</f>
        <v>35195.7004209655</v>
      </c>
      <c r="D24" s="0" t="n">
        <f aca="false">NORMSINV(0.99)*STDEV(Returns!$F$22:$F$271)</f>
        <v>31272.3183168402</v>
      </c>
      <c r="E24" s="0" t="n">
        <f aca="false">IF(B24&gt;C24,1,0)</f>
        <v>0</v>
      </c>
      <c r="F24" s="0" t="n">
        <f aca="false">IF(B24&gt;D24,1,0)</f>
        <v>0</v>
      </c>
    </row>
    <row r="25" customFormat="false" ht="15" hidden="false" customHeight="false" outlineLevel="0" collapsed="false">
      <c r="A25" s="3" t="n">
        <f aca="false">Returns!A273</f>
        <v>45327</v>
      </c>
      <c r="B25" s="0" t="n">
        <f aca="false">-Returns!F273</f>
        <v>9642.10107914219</v>
      </c>
      <c r="C25" s="0" t="n">
        <f aca="false">-PERCENTILE(Returns!$F$23:$F$272,0.01)</f>
        <v>35195.7004209655</v>
      </c>
      <c r="D25" s="0" t="n">
        <f aca="false">NORMSINV(0.99)*STDEV(Returns!$F$23:$F$272)</f>
        <v>31246.7039621923</v>
      </c>
      <c r="E25" s="0" t="n">
        <f aca="false">IF(B25&gt;C25,1,0)</f>
        <v>0</v>
      </c>
      <c r="F25" s="0" t="n">
        <f aca="false">IF(B25&gt;D25,1,0)</f>
        <v>0</v>
      </c>
    </row>
    <row r="26" customFormat="false" ht="15" hidden="false" customHeight="false" outlineLevel="0" collapsed="false">
      <c r="A26" s="3" t="n">
        <f aca="false">Returns!A274</f>
        <v>45328</v>
      </c>
      <c r="B26" s="0" t="n">
        <f aca="false">-Returns!F274</f>
        <v>-2559.80804033408</v>
      </c>
      <c r="C26" s="0" t="n">
        <f aca="false">-PERCENTILE(Returns!$F$24:$F$273,0.01)</f>
        <v>35195.7004209655</v>
      </c>
      <c r="D26" s="0" t="n">
        <f aca="false">NORMSINV(0.99)*STDEV(Returns!$F$24:$F$273)</f>
        <v>31280.3307179371</v>
      </c>
      <c r="E26" s="0" t="n">
        <f aca="false">IF(B26&gt;C26,1,0)</f>
        <v>0</v>
      </c>
      <c r="F26" s="0" t="n">
        <f aca="false">IF(B26&gt;D26,1,0)</f>
        <v>0</v>
      </c>
    </row>
    <row r="27" customFormat="false" ht="15" hidden="false" customHeight="false" outlineLevel="0" collapsed="false">
      <c r="A27" s="3" t="n">
        <f aca="false">Returns!A275</f>
        <v>45329</v>
      </c>
      <c r="B27" s="0" t="n">
        <f aca="false">-Returns!F275</f>
        <v>-1673.02814322093</v>
      </c>
      <c r="C27" s="0" t="n">
        <f aca="false">-PERCENTILE(Returns!$F$25:$F$274,0.01)</f>
        <v>35195.7004209655</v>
      </c>
      <c r="D27" s="0" t="n">
        <f aca="false">NORMSINV(0.99)*STDEV(Returns!$F$25:$F$274)</f>
        <v>31254.576413724</v>
      </c>
      <c r="E27" s="0" t="n">
        <f aca="false">IF(B27&gt;C27,1,0)</f>
        <v>0</v>
      </c>
      <c r="F27" s="0" t="n">
        <f aca="false">IF(B27&gt;D27,1,0)</f>
        <v>0</v>
      </c>
    </row>
    <row r="28" customFormat="false" ht="15" hidden="false" customHeight="false" outlineLevel="0" collapsed="false">
      <c r="A28" s="3" t="n">
        <f aca="false">Returns!A276</f>
        <v>45330</v>
      </c>
      <c r="B28" s="0" t="n">
        <f aca="false">-Returns!F276</f>
        <v>3205.41285481032</v>
      </c>
      <c r="C28" s="0" t="n">
        <f aca="false">-PERCENTILE(Returns!$F$26:$F$275,0.01)</f>
        <v>35195.7004209655</v>
      </c>
      <c r="D28" s="0" t="n">
        <f aca="false">NORMSINV(0.99)*STDEV(Returns!$F$26:$F$275)</f>
        <v>31242.9199842338</v>
      </c>
      <c r="E28" s="0" t="n">
        <f aca="false">IF(B28&gt;C28,1,0)</f>
        <v>0</v>
      </c>
      <c r="F28" s="0" t="n">
        <f aca="false">IF(B28&gt;D28,1,0)</f>
        <v>0</v>
      </c>
    </row>
    <row r="29" customFormat="false" ht="15" hidden="false" customHeight="false" outlineLevel="0" collapsed="false">
      <c r="A29" s="3" t="n">
        <f aca="false">Returns!A277</f>
        <v>45331</v>
      </c>
      <c r="B29" s="0" t="n">
        <f aca="false">-Returns!F277</f>
        <v>-866.405755163363</v>
      </c>
      <c r="C29" s="0" t="n">
        <f aca="false">-PERCENTILE(Returns!$F$27:$F$276,0.01)</f>
        <v>35195.7004209655</v>
      </c>
      <c r="D29" s="0" t="n">
        <f aca="false">NORMSINV(0.99)*STDEV(Returns!$F$27:$F$276)</f>
        <v>31160.8020861466</v>
      </c>
      <c r="E29" s="0" t="n">
        <f aca="false">IF(B29&gt;C29,1,0)</f>
        <v>0</v>
      </c>
      <c r="F29" s="0" t="n">
        <f aca="false">IF(B29&gt;D29,1,0)</f>
        <v>0</v>
      </c>
    </row>
    <row r="30" customFormat="false" ht="15" hidden="false" customHeight="false" outlineLevel="0" collapsed="false">
      <c r="A30" s="3" t="n">
        <f aca="false">Returns!A278</f>
        <v>45334</v>
      </c>
      <c r="B30" s="0" t="n">
        <f aca="false">-Returns!F278</f>
        <v>-10130.8138911249</v>
      </c>
      <c r="C30" s="0" t="n">
        <f aca="false">-PERCENTILE(Returns!$F$28:$F$277,0.01)</f>
        <v>35195.7004209655</v>
      </c>
      <c r="D30" s="0" t="n">
        <f aca="false">NORMSINV(0.99)*STDEV(Returns!$F$28:$F$277)</f>
        <v>31160.1077112123</v>
      </c>
      <c r="E30" s="0" t="n">
        <f aca="false">IF(B30&gt;C30,1,0)</f>
        <v>0</v>
      </c>
      <c r="F30" s="0" t="n">
        <f aca="false">IF(B30&gt;D30,1,0)</f>
        <v>0</v>
      </c>
    </row>
    <row r="31" customFormat="false" ht="15" hidden="false" customHeight="false" outlineLevel="0" collapsed="false">
      <c r="A31" s="3" t="n">
        <f aca="false">Returns!A279</f>
        <v>45335</v>
      </c>
      <c r="B31" s="0" t="n">
        <f aca="false">-Returns!F279</f>
        <v>21548.063772526</v>
      </c>
      <c r="C31" s="0" t="n">
        <f aca="false">-PERCENTILE(Returns!$F$29:$F$278,0.01)</f>
        <v>35195.7004209655</v>
      </c>
      <c r="D31" s="0" t="n">
        <f aca="false">NORMSINV(0.99)*STDEV(Returns!$F$29:$F$278)</f>
        <v>31173.7390373266</v>
      </c>
      <c r="E31" s="0" t="n">
        <f aca="false">IF(B31&gt;C31,1,0)</f>
        <v>0</v>
      </c>
      <c r="F31" s="0" t="n">
        <f aca="false">IF(B31&gt;D31,1,0)</f>
        <v>0</v>
      </c>
    </row>
    <row r="32" customFormat="false" ht="15" hidden="false" customHeight="false" outlineLevel="0" collapsed="false">
      <c r="A32" s="3" t="n">
        <f aca="false">Returns!A280</f>
        <v>45336</v>
      </c>
      <c r="B32" s="0" t="n">
        <f aca="false">-Returns!F280</f>
        <v>-7610.37575581046</v>
      </c>
      <c r="C32" s="0" t="n">
        <f aca="false">-PERCENTILE(Returns!$F$30:$F$279,0.01)</f>
        <v>35195.7004209655</v>
      </c>
      <c r="D32" s="0" t="n">
        <f aca="false">NORMSINV(0.99)*STDEV(Returns!$F$30:$F$279)</f>
        <v>31330.142347932</v>
      </c>
      <c r="E32" s="0" t="n">
        <f aca="false">IF(B32&gt;C32,1,0)</f>
        <v>0</v>
      </c>
      <c r="F32" s="0" t="n">
        <f aca="false">IF(B32&gt;D32,1,0)</f>
        <v>0</v>
      </c>
    </row>
    <row r="33" customFormat="false" ht="15" hidden="false" customHeight="false" outlineLevel="0" collapsed="false">
      <c r="A33" s="3" t="n">
        <f aca="false">Returns!A281</f>
        <v>45337</v>
      </c>
      <c r="B33" s="0" t="n">
        <f aca="false">-Returns!F281</f>
        <v>-22931.2644605849</v>
      </c>
      <c r="C33" s="0" t="n">
        <f aca="false">-PERCENTILE(Returns!$F$31:$F$280,0.01)</f>
        <v>35195.7004209655</v>
      </c>
      <c r="D33" s="0" t="n">
        <f aca="false">NORMSINV(0.99)*STDEV(Returns!$F$31:$F$280)</f>
        <v>31348.3400795056</v>
      </c>
      <c r="E33" s="0" t="n">
        <f aca="false">IF(B33&gt;C33,1,0)</f>
        <v>0</v>
      </c>
      <c r="F33" s="0" t="n">
        <f aca="false">IF(B33&gt;D33,1,0)</f>
        <v>0</v>
      </c>
    </row>
    <row r="34" customFormat="false" ht="15" hidden="false" customHeight="false" outlineLevel="0" collapsed="false">
      <c r="A34" s="3" t="n">
        <f aca="false">Returns!A282</f>
        <v>45338</v>
      </c>
      <c r="B34" s="0" t="n">
        <f aca="false">-Returns!F282</f>
        <v>-1196.11102287316</v>
      </c>
      <c r="C34" s="0" t="n">
        <f aca="false">-PERCENTILE(Returns!$F$32:$F$281,0.01)</f>
        <v>35195.7004209655</v>
      </c>
      <c r="D34" s="0" t="n">
        <f aca="false">NORMSINV(0.99)*STDEV(Returns!$F$32:$F$281)</f>
        <v>31477.750356306</v>
      </c>
      <c r="E34" s="0" t="n">
        <f aca="false">IF(B34&gt;C34,1,0)</f>
        <v>0</v>
      </c>
      <c r="F34" s="0" t="n">
        <f aca="false">IF(B34&gt;D34,1,0)</f>
        <v>0</v>
      </c>
    </row>
    <row r="35" customFormat="false" ht="15" hidden="false" customHeight="false" outlineLevel="0" collapsed="false">
      <c r="A35" s="3" t="n">
        <f aca="false">Returns!A283</f>
        <v>45342</v>
      </c>
      <c r="B35" s="0" t="n">
        <f aca="false">-Returns!F283</f>
        <v>3600.50599777732</v>
      </c>
      <c r="C35" s="0" t="n">
        <f aca="false">-PERCENTILE(Returns!$F$33:$F$282,0.01)</f>
        <v>35195.7004209655</v>
      </c>
      <c r="D35" s="0" t="n">
        <f aca="false">NORMSINV(0.99)*STDEV(Returns!$F$33:$F$282)</f>
        <v>31477.4435800135</v>
      </c>
      <c r="E35" s="0" t="n">
        <f aca="false">IF(B35&gt;C35,1,0)</f>
        <v>0</v>
      </c>
      <c r="F35" s="0" t="n">
        <f aca="false">IF(B35&gt;D35,1,0)</f>
        <v>0</v>
      </c>
    </row>
    <row r="36" customFormat="false" ht="15" hidden="false" customHeight="false" outlineLevel="0" collapsed="false">
      <c r="A36" s="3" t="n">
        <f aca="false">Returns!A284</f>
        <v>45343</v>
      </c>
      <c r="B36" s="0" t="n">
        <f aca="false">-Returns!F284</f>
        <v>-676.28764223543</v>
      </c>
      <c r="C36" s="0" t="n">
        <f aca="false">-PERCENTILE(Returns!$F$34:$F$283,0.01)</f>
        <v>35195.7004209655</v>
      </c>
      <c r="D36" s="0" t="n">
        <f aca="false">NORMSINV(0.99)*STDEV(Returns!$F$34:$F$283)</f>
        <v>31335.8166488529</v>
      </c>
      <c r="E36" s="0" t="n">
        <f aca="false">IF(B36&gt;C36,1,0)</f>
        <v>0</v>
      </c>
      <c r="F36" s="0" t="n">
        <f aca="false">IF(B36&gt;D36,1,0)</f>
        <v>0</v>
      </c>
    </row>
    <row r="37" customFormat="false" ht="15" hidden="false" customHeight="false" outlineLevel="0" collapsed="false">
      <c r="A37" s="3" t="n">
        <f aca="false">Returns!A285</f>
        <v>45344</v>
      </c>
      <c r="B37" s="0" t="n">
        <f aca="false">-Returns!F285</f>
        <v>-5333.32227375586</v>
      </c>
      <c r="C37" s="0" t="n">
        <f aca="false">-PERCENTILE(Returns!$F$35:$F$284,0.01)</f>
        <v>35195.7004209655</v>
      </c>
      <c r="D37" s="0" t="n">
        <f aca="false">NORMSINV(0.99)*STDEV(Returns!$F$35:$F$284)</f>
        <v>31321.0742530647</v>
      </c>
      <c r="E37" s="0" t="n">
        <f aca="false">IF(B37&gt;C37,1,0)</f>
        <v>0</v>
      </c>
      <c r="F37" s="0" t="n">
        <f aca="false">IF(B37&gt;D37,1,0)</f>
        <v>0</v>
      </c>
    </row>
    <row r="38" customFormat="false" ht="15" hidden="false" customHeight="false" outlineLevel="0" collapsed="false">
      <c r="A38" s="3" t="n">
        <f aca="false">Returns!A286</f>
        <v>45345</v>
      </c>
      <c r="B38" s="0" t="n">
        <f aca="false">-Returns!F286</f>
        <v>-7195.7405535946</v>
      </c>
      <c r="C38" s="0" t="n">
        <f aca="false">-PERCENTILE(Returns!$F$36:$F$285,0.01)</f>
        <v>35195.7004209655</v>
      </c>
      <c r="D38" s="0" t="n">
        <f aca="false">NORMSINV(0.99)*STDEV(Returns!$F$36:$F$285)</f>
        <v>31322.2186546482</v>
      </c>
      <c r="E38" s="0" t="n">
        <f aca="false">IF(B38&gt;C38,1,0)</f>
        <v>0</v>
      </c>
      <c r="F38" s="0" t="n">
        <f aca="false">IF(B38&gt;D38,1,0)</f>
        <v>0</v>
      </c>
    </row>
    <row r="39" customFormat="false" ht="15" hidden="false" customHeight="false" outlineLevel="0" collapsed="false">
      <c r="A39" s="3" t="n">
        <f aca="false">Returns!A287</f>
        <v>45348</v>
      </c>
      <c r="B39" s="0" t="n">
        <f aca="false">-Returns!F287</f>
        <v>7192.21622479644</v>
      </c>
      <c r="C39" s="0" t="n">
        <f aca="false">-PERCENTILE(Returns!$F$37:$F$286,0.01)</f>
        <v>35195.7004209655</v>
      </c>
      <c r="D39" s="0" t="n">
        <f aca="false">NORMSINV(0.99)*STDEV(Returns!$F$37:$F$286)</f>
        <v>31336.8550969909</v>
      </c>
      <c r="E39" s="0" t="n">
        <f aca="false">IF(B39&gt;C39,1,0)</f>
        <v>0</v>
      </c>
      <c r="F39" s="0" t="n">
        <f aca="false">IF(B39&gt;D39,1,0)</f>
        <v>0</v>
      </c>
    </row>
    <row r="40" customFormat="false" ht="15" hidden="false" customHeight="false" outlineLevel="0" collapsed="false">
      <c r="A40" s="3" t="n">
        <f aca="false">Returns!A288</f>
        <v>45349</v>
      </c>
      <c r="B40" s="0" t="n">
        <f aca="false">-Returns!F288</f>
        <v>-5486.73318088315</v>
      </c>
      <c r="C40" s="0" t="n">
        <f aca="false">-PERCENTILE(Returns!$F$38:$F$287,0.01)</f>
        <v>35195.7004209655</v>
      </c>
      <c r="D40" s="0" t="n">
        <f aca="false">NORMSINV(0.99)*STDEV(Returns!$F$38:$F$287)</f>
        <v>31356.7610119714</v>
      </c>
      <c r="E40" s="0" t="n">
        <f aca="false">IF(B40&gt;C40,1,0)</f>
        <v>0</v>
      </c>
      <c r="F40" s="0" t="n">
        <f aca="false">IF(B40&gt;D40,1,0)</f>
        <v>0</v>
      </c>
    </row>
    <row r="41" customFormat="false" ht="15" hidden="false" customHeight="false" outlineLevel="0" collapsed="false">
      <c r="A41" s="3" t="n">
        <f aca="false">Returns!A289</f>
        <v>45350</v>
      </c>
      <c r="B41" s="0" t="n">
        <f aca="false">-Returns!F289</f>
        <v>-4243.93576770962</v>
      </c>
      <c r="C41" s="0" t="n">
        <f aca="false">-PERCENTILE(Returns!$F$39:$F$288,0.01)</f>
        <v>35195.7004209655</v>
      </c>
      <c r="D41" s="0" t="n">
        <f aca="false">NORMSINV(0.99)*STDEV(Returns!$F$39:$F$288)</f>
        <v>31362.4299765423</v>
      </c>
      <c r="E41" s="0" t="n">
        <f aca="false">IF(B41&gt;C41,1,0)</f>
        <v>0</v>
      </c>
      <c r="F41" s="0" t="n">
        <f aca="false">IF(B41&gt;D41,1,0)</f>
        <v>0</v>
      </c>
    </row>
    <row r="42" customFormat="false" ht="15" hidden="false" customHeight="false" outlineLevel="0" collapsed="false">
      <c r="A42" s="3" t="n">
        <f aca="false">Returns!A290</f>
        <v>45351</v>
      </c>
      <c r="B42" s="0" t="n">
        <f aca="false">-Returns!F290</f>
        <v>-7529.71523157424</v>
      </c>
      <c r="C42" s="0" t="n">
        <f aca="false">-PERCENTILE(Returns!$F$40:$F$289,0.01)</f>
        <v>35195.7004209655</v>
      </c>
      <c r="D42" s="0" t="n">
        <f aca="false">NORMSINV(0.99)*STDEV(Returns!$F$40:$F$289)</f>
        <v>31358.8907351657</v>
      </c>
      <c r="E42" s="0" t="n">
        <f aca="false">IF(B42&gt;C42,1,0)</f>
        <v>0</v>
      </c>
      <c r="F42" s="0" t="n">
        <f aca="false">IF(B42&gt;D42,1,0)</f>
        <v>0</v>
      </c>
    </row>
    <row r="43" customFormat="false" ht="15" hidden="false" customHeight="false" outlineLevel="0" collapsed="false">
      <c r="A43" s="3" t="n">
        <f aca="false">Returns!A291</f>
        <v>45352</v>
      </c>
      <c r="B43" s="0" t="n">
        <f aca="false">-Returns!F291</f>
        <v>1609.52948597967</v>
      </c>
      <c r="C43" s="0" t="n">
        <f aca="false">-PERCENTILE(Returns!$F$41:$F$290,0.01)</f>
        <v>35195.7004209655</v>
      </c>
      <c r="D43" s="0" t="n">
        <f aca="false">NORMSINV(0.99)*STDEV(Returns!$F$41:$F$290)</f>
        <v>31349.5028174951</v>
      </c>
      <c r="E43" s="0" t="n">
        <f aca="false">IF(B43&gt;C43,1,0)</f>
        <v>0</v>
      </c>
      <c r="F43" s="0" t="n">
        <f aca="false">IF(B43&gt;D43,1,0)</f>
        <v>0</v>
      </c>
    </row>
    <row r="44" customFormat="false" ht="15" hidden="false" customHeight="false" outlineLevel="0" collapsed="false">
      <c r="A44" s="3" t="n">
        <f aca="false">Returns!A292</f>
        <v>45355</v>
      </c>
      <c r="B44" s="0" t="n">
        <f aca="false">-Returns!F292</f>
        <v>-21998.4570451137</v>
      </c>
      <c r="C44" s="0" t="n">
        <f aca="false">-PERCENTILE(Returns!$F$42:$F$291,0.01)</f>
        <v>35195.7004209655</v>
      </c>
      <c r="D44" s="0" t="n">
        <f aca="false">NORMSINV(0.99)*STDEV(Returns!$F$42:$F$291)</f>
        <v>31215.7112502812</v>
      </c>
      <c r="E44" s="0" t="n">
        <f aca="false">IF(B44&gt;C44,1,0)</f>
        <v>0</v>
      </c>
      <c r="F44" s="0" t="n">
        <f aca="false">IF(B44&gt;D44,1,0)</f>
        <v>0</v>
      </c>
    </row>
    <row r="45" customFormat="false" ht="15" hidden="false" customHeight="false" outlineLevel="0" collapsed="false">
      <c r="A45" s="3" t="n">
        <f aca="false">Returns!A293</f>
        <v>45356</v>
      </c>
      <c r="B45" s="0" t="n">
        <f aca="false">-Returns!F293</f>
        <v>-2980.93895182407</v>
      </c>
      <c r="C45" s="0" t="n">
        <f aca="false">-PERCENTILE(Returns!$F$43:$F$292,0.01)</f>
        <v>35195.7004209655</v>
      </c>
      <c r="D45" s="0" t="n">
        <f aca="false">NORMSINV(0.99)*STDEV(Returns!$F$43:$F$292)</f>
        <v>31373.4482264119</v>
      </c>
      <c r="E45" s="0" t="n">
        <f aca="false">IF(B45&gt;C45,1,0)</f>
        <v>0</v>
      </c>
      <c r="F45" s="0" t="n">
        <f aca="false">IF(B45&gt;D45,1,0)</f>
        <v>0</v>
      </c>
    </row>
    <row r="46" customFormat="false" ht="15" hidden="false" customHeight="false" outlineLevel="0" collapsed="false">
      <c r="A46" s="3" t="n">
        <f aca="false">Returns!A294</f>
        <v>45357</v>
      </c>
      <c r="B46" s="0" t="n">
        <f aca="false">-Returns!F294</f>
        <v>9585.1710011067</v>
      </c>
      <c r="C46" s="0" t="n">
        <f aca="false">-PERCENTILE(Returns!$F$44:$F$293,0.01)</f>
        <v>35195.7004209655</v>
      </c>
      <c r="D46" s="0" t="n">
        <f aca="false">NORMSINV(0.99)*STDEV(Returns!$F$44:$F$293)</f>
        <v>31074.6572230696</v>
      </c>
      <c r="E46" s="0" t="n">
        <f aca="false">IF(B46&gt;C46,1,0)</f>
        <v>0</v>
      </c>
      <c r="F46" s="0" t="n">
        <f aca="false">IF(B46&gt;D46,1,0)</f>
        <v>0</v>
      </c>
    </row>
    <row r="47" customFormat="false" ht="15" hidden="false" customHeight="false" outlineLevel="0" collapsed="false">
      <c r="A47" s="3" t="n">
        <f aca="false">Returns!A295</f>
        <v>45358</v>
      </c>
      <c r="B47" s="0" t="n">
        <f aca="false">-Returns!F295</f>
        <v>69.0961229086152</v>
      </c>
      <c r="C47" s="0" t="n">
        <f aca="false">-PERCENTILE(Returns!$F$45:$F$294,0.01)</f>
        <v>35195.7004209655</v>
      </c>
      <c r="D47" s="0" t="n">
        <f aca="false">NORMSINV(0.99)*STDEV(Returns!$F$45:$F$294)</f>
        <v>31091.2791869</v>
      </c>
      <c r="E47" s="0" t="n">
        <f aca="false">IF(B47&gt;C47,1,0)</f>
        <v>0</v>
      </c>
      <c r="F47" s="0" t="n">
        <f aca="false">IF(B47&gt;D47,1,0)</f>
        <v>0</v>
      </c>
    </row>
    <row r="48" customFormat="false" ht="15" hidden="false" customHeight="false" outlineLevel="0" collapsed="false">
      <c r="A48" s="3" t="n">
        <f aca="false">Returns!A296</f>
        <v>45359</v>
      </c>
      <c r="B48" s="0" t="n">
        <f aca="false">-Returns!F296</f>
        <v>-3610.0393210366</v>
      </c>
      <c r="C48" s="0" t="n">
        <f aca="false">-PERCENTILE(Returns!$F$46:$F$295,0.01)</f>
        <v>32497.9218394427</v>
      </c>
      <c r="D48" s="0" t="n">
        <f aca="false">NORMSINV(0.99)*STDEV(Returns!$F$46:$F$295)</f>
        <v>30055.2819428128</v>
      </c>
      <c r="E48" s="0" t="n">
        <f aca="false">IF(B48&gt;C48,1,0)</f>
        <v>0</v>
      </c>
      <c r="F48" s="0" t="n">
        <f aca="false">IF(B48&gt;D48,1,0)</f>
        <v>0</v>
      </c>
    </row>
    <row r="49" customFormat="false" ht="15" hidden="false" customHeight="false" outlineLevel="0" collapsed="false">
      <c r="A49" s="3" t="n">
        <f aca="false">Returns!A297</f>
        <v>45362</v>
      </c>
      <c r="B49" s="0" t="n">
        <f aca="false">-Returns!F297</f>
        <v>-2237.73395445223</v>
      </c>
      <c r="C49" s="0" t="n">
        <f aca="false">-PERCENTILE(Returns!$F$47:$F$296,0.01)</f>
        <v>32497.9218394427</v>
      </c>
      <c r="D49" s="0" t="n">
        <f aca="false">NORMSINV(0.99)*STDEV(Returns!$F$47:$F$296)</f>
        <v>30057.9819067517</v>
      </c>
      <c r="E49" s="0" t="n">
        <f aca="false">IF(B49&gt;C49,1,0)</f>
        <v>0</v>
      </c>
      <c r="F49" s="0" t="n">
        <f aca="false">IF(B49&gt;D49,1,0)</f>
        <v>0</v>
      </c>
    </row>
    <row r="50" customFormat="false" ht="15" hidden="false" customHeight="false" outlineLevel="0" collapsed="false">
      <c r="A50" s="3" t="n">
        <f aca="false">Returns!A298</f>
        <v>45363</v>
      </c>
      <c r="B50" s="0" t="n">
        <f aca="false">-Returns!F298</f>
        <v>-4243.27468845639</v>
      </c>
      <c r="C50" s="0" t="n">
        <f aca="false">-PERCENTILE(Returns!$F$48:$F$297,0.01)</f>
        <v>30889.9115398962</v>
      </c>
      <c r="D50" s="0" t="n">
        <f aca="false">NORMSINV(0.99)*STDEV(Returns!$F$48:$F$297)</f>
        <v>29660.7998762918</v>
      </c>
      <c r="E50" s="0" t="n">
        <f aca="false">IF(B50&gt;C50,1,0)</f>
        <v>0</v>
      </c>
      <c r="F50" s="0" t="n">
        <f aca="false">IF(B50&gt;D50,1,0)</f>
        <v>0</v>
      </c>
    </row>
    <row r="51" customFormat="false" ht="15" hidden="false" customHeight="false" outlineLevel="0" collapsed="false">
      <c r="A51" s="3" t="n">
        <f aca="false">Returns!A299</f>
        <v>45364</v>
      </c>
      <c r="B51" s="0" t="n">
        <f aca="false">-Returns!F299</f>
        <v>-12054.7769762594</v>
      </c>
      <c r="C51" s="0" t="n">
        <f aca="false">-PERCENTILE(Returns!$F$49:$F$298,0.01)</f>
        <v>30889.9115398962</v>
      </c>
      <c r="D51" s="0" t="n">
        <f aca="false">NORMSINV(0.99)*STDEV(Returns!$F$49:$F$298)</f>
        <v>29539.1983465475</v>
      </c>
      <c r="E51" s="0" t="n">
        <f aca="false">IF(B51&gt;C51,1,0)</f>
        <v>0</v>
      </c>
      <c r="F51" s="0" t="n">
        <f aca="false">IF(B51&gt;D51,1,0)</f>
        <v>0</v>
      </c>
    </row>
    <row r="52" customFormat="false" ht="15" hidden="false" customHeight="false" outlineLevel="0" collapsed="false">
      <c r="A52" s="3" t="n">
        <f aca="false">Returns!A300</f>
        <v>45365</v>
      </c>
      <c r="B52" s="0" t="n">
        <f aca="false">-Returns!F300</f>
        <v>11292.5904648616</v>
      </c>
      <c r="C52" s="0" t="n">
        <f aca="false">-PERCENTILE(Returns!$F$50:$F$299,0.01)</f>
        <v>27183.1737369164</v>
      </c>
      <c r="D52" s="0" t="n">
        <f aca="false">NORMSINV(0.99)*STDEV(Returns!$F$50:$F$299)</f>
        <v>29023.7205292147</v>
      </c>
      <c r="E52" s="0" t="n">
        <f aca="false">IF(B52&gt;C52,1,0)</f>
        <v>0</v>
      </c>
      <c r="F52" s="0" t="n">
        <f aca="false">IF(B52&gt;D52,1,0)</f>
        <v>0</v>
      </c>
    </row>
    <row r="53" customFormat="false" ht="15" hidden="false" customHeight="false" outlineLevel="0" collapsed="false">
      <c r="A53" s="3" t="n">
        <f aca="false">Returns!A301</f>
        <v>45366</v>
      </c>
      <c r="B53" s="0" t="n">
        <f aca="false">-Returns!F301</f>
        <v>-130.845125049853</v>
      </c>
      <c r="C53" s="0" t="n">
        <f aca="false">-PERCENTILE(Returns!$F$51:$F$300,0.01)</f>
        <v>27183.1737369164</v>
      </c>
      <c r="D53" s="0" t="n">
        <f aca="false">NORMSINV(0.99)*STDEV(Returns!$F$51:$F$300)</f>
        <v>28968.7342506176</v>
      </c>
      <c r="E53" s="0" t="n">
        <f aca="false">IF(B53&gt;C53,1,0)</f>
        <v>0</v>
      </c>
      <c r="F53" s="0" t="n">
        <f aca="false">IF(B53&gt;D53,1,0)</f>
        <v>0</v>
      </c>
    </row>
    <row r="54" customFormat="false" ht="15" hidden="false" customHeight="false" outlineLevel="0" collapsed="false">
      <c r="A54" s="3" t="n">
        <f aca="false">Returns!A302</f>
        <v>45369</v>
      </c>
      <c r="B54" s="0" t="n">
        <f aca="false">-Returns!F302</f>
        <v>-8541.67874333681</v>
      </c>
      <c r="C54" s="0" t="n">
        <f aca="false">-PERCENTILE(Returns!$F$52:$F$301,0.01)</f>
        <v>25074.0618999008</v>
      </c>
      <c r="D54" s="0" t="n">
        <f aca="false">NORMSINV(0.99)*STDEV(Returns!$F$52:$F$301)</f>
        <v>28406.3373036821</v>
      </c>
      <c r="E54" s="0" t="n">
        <f aca="false">IF(B54&gt;C54,1,0)</f>
        <v>0</v>
      </c>
      <c r="F54" s="0" t="n">
        <f aca="false">IF(B54&gt;D54,1,0)</f>
        <v>0</v>
      </c>
    </row>
    <row r="55" customFormat="false" ht="15" hidden="false" customHeight="false" outlineLevel="0" collapsed="false">
      <c r="A55" s="3" t="n">
        <f aca="false">Returns!A303</f>
        <v>45370</v>
      </c>
      <c r="B55" s="0" t="n">
        <f aca="false">-Returns!F303</f>
        <v>-4070.62223479415</v>
      </c>
      <c r="C55" s="0" t="n">
        <f aca="false">-PERCENTILE(Returns!$F$53:$F$302,0.01)</f>
        <v>25074.0618999008</v>
      </c>
      <c r="D55" s="0" t="n">
        <f aca="false">NORMSINV(0.99)*STDEV(Returns!$F$53:$F$302)</f>
        <v>28405.95333968</v>
      </c>
      <c r="E55" s="0" t="n">
        <f aca="false">IF(B55&gt;C55,1,0)</f>
        <v>0</v>
      </c>
      <c r="F55" s="0" t="n">
        <f aca="false">IF(B55&gt;D55,1,0)</f>
        <v>0</v>
      </c>
    </row>
    <row r="56" customFormat="false" ht="15" hidden="false" customHeight="false" outlineLevel="0" collapsed="false">
      <c r="A56" s="3" t="n">
        <f aca="false">Returns!A304</f>
        <v>45371</v>
      </c>
      <c r="B56" s="0" t="n">
        <f aca="false">-Returns!F304</f>
        <v>-20924.6877973451</v>
      </c>
      <c r="C56" s="0" t="n">
        <f aca="false">-PERCENTILE(Returns!$F$54:$F$303,0.01)</f>
        <v>25074.0618999008</v>
      </c>
      <c r="D56" s="0" t="n">
        <f aca="false">NORMSINV(0.99)*STDEV(Returns!$F$54:$F$303)</f>
        <v>28081.7418566701</v>
      </c>
      <c r="E56" s="0" t="n">
        <f aca="false">IF(B56&gt;C56,1,0)</f>
        <v>0</v>
      </c>
      <c r="F56" s="0" t="n">
        <f aca="false">IF(B56&gt;D56,1,0)</f>
        <v>0</v>
      </c>
    </row>
    <row r="57" customFormat="false" ht="15" hidden="false" customHeight="false" outlineLevel="0" collapsed="false">
      <c r="A57" s="3" t="n">
        <f aca="false">Returns!A305</f>
        <v>45372</v>
      </c>
      <c r="B57" s="0" t="n">
        <f aca="false">-Returns!F305</f>
        <v>-18322.5146651967</v>
      </c>
      <c r="C57" s="0" t="n">
        <f aca="false">-PERCENTILE(Returns!$F$55:$F$304,0.01)</f>
        <v>24781.8470325477</v>
      </c>
      <c r="D57" s="0" t="n">
        <f aca="false">NORMSINV(0.99)*STDEV(Returns!$F$55:$F$304)</f>
        <v>27974.7661615511</v>
      </c>
      <c r="E57" s="0" t="n">
        <f aca="false">IF(B57&gt;C57,1,0)</f>
        <v>0</v>
      </c>
      <c r="F57" s="0" t="n">
        <f aca="false">IF(B57&gt;D57,1,0)</f>
        <v>0</v>
      </c>
    </row>
    <row r="58" customFormat="false" ht="15" hidden="false" customHeight="false" outlineLevel="0" collapsed="false">
      <c r="A58" s="3" t="n">
        <f aca="false">Returns!A306</f>
        <v>45373</v>
      </c>
      <c r="B58" s="0" t="n">
        <f aca="false">-Returns!F306</f>
        <v>13329.0532801061</v>
      </c>
      <c r="C58" s="0" t="n">
        <f aca="false">-PERCENTILE(Returns!$F$56:$F$305,0.01)</f>
        <v>24781.8470325477</v>
      </c>
      <c r="D58" s="0" t="n">
        <f aca="false">NORMSINV(0.99)*STDEV(Returns!$F$56:$F$305)</f>
        <v>27992.611130013</v>
      </c>
      <c r="E58" s="0" t="n">
        <f aca="false">IF(B58&gt;C58,1,0)</f>
        <v>0</v>
      </c>
      <c r="F58" s="0" t="n">
        <f aca="false">IF(B58&gt;D58,1,0)</f>
        <v>0</v>
      </c>
    </row>
    <row r="59" customFormat="false" ht="15" hidden="false" customHeight="false" outlineLevel="0" collapsed="false">
      <c r="A59" s="3" t="n">
        <f aca="false">Returns!A307</f>
        <v>45376</v>
      </c>
      <c r="B59" s="0" t="n">
        <f aca="false">-Returns!F307</f>
        <v>7875.62631902106</v>
      </c>
      <c r="C59" s="0" t="n">
        <f aca="false">-PERCENTILE(Returns!$F$57:$F$306,0.01)</f>
        <v>24781.8470325477</v>
      </c>
      <c r="D59" s="0" t="n">
        <f aca="false">NORMSINV(0.99)*STDEV(Returns!$F$57:$F$306)</f>
        <v>28017.7234278741</v>
      </c>
      <c r="E59" s="0" t="n">
        <f aca="false">IF(B59&gt;C59,1,0)</f>
        <v>0</v>
      </c>
      <c r="F59" s="0" t="n">
        <f aca="false">IF(B59&gt;D59,1,0)</f>
        <v>0</v>
      </c>
    </row>
    <row r="60" customFormat="false" ht="15" hidden="false" customHeight="false" outlineLevel="0" collapsed="false">
      <c r="A60" s="3" t="n">
        <f aca="false">Returns!A308</f>
        <v>45377</v>
      </c>
      <c r="B60" s="0" t="n">
        <f aca="false">-Returns!F308</f>
        <v>-4190.65988506254</v>
      </c>
      <c r="C60" s="0" t="n">
        <f aca="false">-PERCENTILE(Returns!$F$58:$F$307,0.01)</f>
        <v>24781.8470325477</v>
      </c>
      <c r="D60" s="0" t="n">
        <f aca="false">NORMSINV(0.99)*STDEV(Returns!$F$58:$F$307)</f>
        <v>27765.0762811556</v>
      </c>
      <c r="E60" s="0" t="n">
        <f aca="false">IF(B60&gt;C60,1,0)</f>
        <v>0</v>
      </c>
      <c r="F60" s="0" t="n">
        <f aca="false">IF(B60&gt;D60,1,0)</f>
        <v>0</v>
      </c>
    </row>
    <row r="61" customFormat="false" ht="15" hidden="false" customHeight="false" outlineLevel="0" collapsed="false">
      <c r="A61" s="3" t="n">
        <f aca="false">Returns!A309</f>
        <v>45378</v>
      </c>
      <c r="B61" s="0" t="n">
        <f aca="false">-Returns!F309</f>
        <v>-20648.1441670823</v>
      </c>
      <c r="C61" s="0" t="n">
        <f aca="false">-PERCENTILE(Returns!$F$59:$F$308,0.01)</f>
        <v>24781.8470325477</v>
      </c>
      <c r="D61" s="0" t="n">
        <f aca="false">NORMSINV(0.99)*STDEV(Returns!$F$59:$F$308)</f>
        <v>27764.8829901054</v>
      </c>
      <c r="E61" s="0" t="n">
        <f aca="false">IF(B61&gt;C61,1,0)</f>
        <v>0</v>
      </c>
      <c r="F61" s="0" t="n">
        <f aca="false">IF(B61&gt;D61,1,0)</f>
        <v>0</v>
      </c>
    </row>
    <row r="62" customFormat="false" ht="15" hidden="false" customHeight="false" outlineLevel="0" collapsed="false">
      <c r="A62" s="3" t="n">
        <f aca="false">Returns!A310</f>
        <v>45379</v>
      </c>
      <c r="B62" s="0" t="n">
        <f aca="false">-Returns!F310</f>
        <v>-4542.47332983681</v>
      </c>
      <c r="C62" s="0" t="n">
        <f aca="false">-PERCENTILE(Returns!$F$60:$F$309,0.01)</f>
        <v>24781.8470325477</v>
      </c>
      <c r="D62" s="0" t="n">
        <f aca="false">NORMSINV(0.99)*STDEV(Returns!$F$60:$F$309)</f>
        <v>27871.8421031464</v>
      </c>
      <c r="E62" s="0" t="n">
        <f aca="false">IF(B62&gt;C62,1,0)</f>
        <v>0</v>
      </c>
      <c r="F62" s="0" t="n">
        <f aca="false">IF(B62&gt;D62,1,0)</f>
        <v>0</v>
      </c>
    </row>
    <row r="63" customFormat="false" ht="15" hidden="false" customHeight="false" outlineLevel="0" collapsed="false">
      <c r="A63" s="3" t="n">
        <f aca="false">Returns!A311</f>
        <v>45383</v>
      </c>
      <c r="B63" s="0" t="n">
        <f aca="false">-Returns!F311</f>
        <v>7920.57688120996</v>
      </c>
      <c r="C63" s="0" t="n">
        <f aca="false">-PERCENTILE(Returns!$F$61:$F$310,0.01)</f>
        <v>24781.8470325477</v>
      </c>
      <c r="D63" s="0" t="n">
        <f aca="false">NORMSINV(0.99)*STDEV(Returns!$F$61:$F$310)</f>
        <v>27857.7867533605</v>
      </c>
      <c r="E63" s="0" t="n">
        <f aca="false">IF(B63&gt;C63,1,0)</f>
        <v>0</v>
      </c>
      <c r="F63" s="0" t="n">
        <f aca="false">IF(B63&gt;D63,1,0)</f>
        <v>0</v>
      </c>
    </row>
    <row r="64" customFormat="false" ht="15" hidden="false" customHeight="false" outlineLevel="0" collapsed="false">
      <c r="A64" s="3" t="n">
        <f aca="false">Returns!A312</f>
        <v>45384</v>
      </c>
      <c r="B64" s="0" t="n">
        <f aca="false">-Returns!F312</f>
        <v>4566.87486278144</v>
      </c>
      <c r="C64" s="0" t="n">
        <f aca="false">-PERCENTILE(Returns!$F$62:$F$311,0.01)</f>
        <v>24781.8470325477</v>
      </c>
      <c r="D64" s="0" t="n">
        <f aca="false">NORMSINV(0.99)*STDEV(Returns!$F$62:$F$311)</f>
        <v>27829.0604446812</v>
      </c>
      <c r="E64" s="0" t="n">
        <f aca="false">IF(B64&gt;C64,1,0)</f>
        <v>0</v>
      </c>
      <c r="F64" s="0" t="n">
        <f aca="false">IF(B64&gt;D64,1,0)</f>
        <v>0</v>
      </c>
    </row>
    <row r="65" customFormat="false" ht="15" hidden="false" customHeight="false" outlineLevel="0" collapsed="false">
      <c r="A65" s="3" t="n">
        <f aca="false">Returns!A313</f>
        <v>45385</v>
      </c>
      <c r="B65" s="0" t="n">
        <f aca="false">-Returns!F313</f>
        <v>-932.797863717966</v>
      </c>
      <c r="C65" s="0" t="n">
        <f aca="false">-PERCENTILE(Returns!$F$63:$F$312,0.01)</f>
        <v>24781.8470325477</v>
      </c>
      <c r="D65" s="0" t="n">
        <f aca="false">NORMSINV(0.99)*STDEV(Returns!$F$63:$F$312)</f>
        <v>27835.9290397842</v>
      </c>
      <c r="E65" s="0" t="n">
        <f aca="false">IF(B65&gt;C65,1,0)</f>
        <v>0</v>
      </c>
      <c r="F65" s="0" t="n">
        <f aca="false">IF(B65&gt;D65,1,0)</f>
        <v>0</v>
      </c>
    </row>
    <row r="66" customFormat="false" ht="15" hidden="false" customHeight="false" outlineLevel="0" collapsed="false">
      <c r="A66" s="3" t="n">
        <f aca="false">Returns!A314</f>
        <v>45386</v>
      </c>
      <c r="B66" s="0" t="n">
        <f aca="false">-Returns!F314</f>
        <v>9582.45392390963</v>
      </c>
      <c r="C66" s="0" t="n">
        <f aca="false">-PERCENTILE(Returns!$F$64:$F$313,0.01)</f>
        <v>24781.8470325477</v>
      </c>
      <c r="D66" s="0" t="n">
        <f aca="false">NORMSINV(0.99)*STDEV(Returns!$F$64:$F$313)</f>
        <v>27658.9262920005</v>
      </c>
      <c r="E66" s="0" t="n">
        <f aca="false">IF(B66&gt;C66,1,0)</f>
        <v>0</v>
      </c>
      <c r="F66" s="0" t="n">
        <f aca="false">IF(B66&gt;D66,1,0)</f>
        <v>0</v>
      </c>
    </row>
    <row r="67" customFormat="false" ht="15" hidden="false" customHeight="false" outlineLevel="0" collapsed="false">
      <c r="A67" s="3" t="n">
        <f aca="false">Returns!A315</f>
        <v>45387</v>
      </c>
      <c r="B67" s="0" t="n">
        <f aca="false">-Returns!F315</f>
        <v>-5820.13582758177</v>
      </c>
      <c r="C67" s="0" t="n">
        <f aca="false">-PERCENTILE(Returns!$F$65:$F$314,0.01)</f>
        <v>24781.8470325477</v>
      </c>
      <c r="D67" s="0" t="n">
        <f aca="false">NORMSINV(0.99)*STDEV(Returns!$F$65:$F$314)</f>
        <v>27680.6949559813</v>
      </c>
      <c r="E67" s="0" t="n">
        <f aca="false">IF(B67&gt;C67,1,0)</f>
        <v>0</v>
      </c>
      <c r="F67" s="0" t="n">
        <f aca="false">IF(B67&gt;D67,1,0)</f>
        <v>0</v>
      </c>
    </row>
    <row r="68" customFormat="false" ht="15" hidden="false" customHeight="false" outlineLevel="0" collapsed="false">
      <c r="A68" s="3" t="n">
        <f aca="false">Returns!A316</f>
        <v>45390</v>
      </c>
      <c r="B68" s="0" t="n">
        <f aca="false">-Returns!F316</f>
        <v>-7608.74417265926</v>
      </c>
      <c r="C68" s="0" t="n">
        <f aca="false">-PERCENTILE(Returns!$F$66:$F$315,0.01)</f>
        <v>24781.8470325477</v>
      </c>
      <c r="D68" s="0" t="n">
        <f aca="false">NORMSINV(0.99)*STDEV(Returns!$F$66:$F$315)</f>
        <v>27687.5654117197</v>
      </c>
      <c r="E68" s="0" t="n">
        <f aca="false">IF(B68&gt;C68,1,0)</f>
        <v>0</v>
      </c>
      <c r="F68" s="0" t="n">
        <f aca="false">IF(B68&gt;D68,1,0)</f>
        <v>0</v>
      </c>
    </row>
    <row r="69" customFormat="false" ht="15" hidden="false" customHeight="false" outlineLevel="0" collapsed="false">
      <c r="A69" s="3" t="n">
        <f aca="false">Returns!A317</f>
        <v>45391</v>
      </c>
      <c r="B69" s="0" t="n">
        <f aca="false">-Returns!F317</f>
        <v>-1932.15601717101</v>
      </c>
      <c r="C69" s="0" t="n">
        <f aca="false">-PERCENTILE(Returns!$F$67:$F$316,0.01)</f>
        <v>24781.8470325477</v>
      </c>
      <c r="D69" s="0" t="n">
        <f aca="false">NORMSINV(0.99)*STDEV(Returns!$F$67:$F$316)</f>
        <v>27703.131904902</v>
      </c>
      <c r="E69" s="0" t="n">
        <f aca="false">IF(B69&gt;C69,1,0)</f>
        <v>0</v>
      </c>
      <c r="F69" s="0" t="n">
        <f aca="false">IF(B69&gt;D69,1,0)</f>
        <v>0</v>
      </c>
    </row>
    <row r="70" customFormat="false" ht="15" hidden="false" customHeight="false" outlineLevel="0" collapsed="false">
      <c r="A70" s="3" t="n">
        <f aca="false">Returns!A318</f>
        <v>45392</v>
      </c>
      <c r="B70" s="0" t="n">
        <f aca="false">-Returns!F318</f>
        <v>19986.4085692621</v>
      </c>
      <c r="C70" s="0" t="n">
        <f aca="false">-PERCENTILE(Returns!$F$68:$F$317,0.01)</f>
        <v>24781.8470325477</v>
      </c>
      <c r="D70" s="0" t="n">
        <f aca="false">NORMSINV(0.99)*STDEV(Returns!$F$68:$F$317)</f>
        <v>27639.9041547804</v>
      </c>
      <c r="E70" s="0" t="n">
        <f aca="false">IF(B70&gt;C70,1,0)</f>
        <v>0</v>
      </c>
      <c r="F70" s="0" t="n">
        <f aca="false">IF(B70&gt;D70,1,0)</f>
        <v>0</v>
      </c>
    </row>
    <row r="71" customFormat="false" ht="15" hidden="false" customHeight="false" outlineLevel="0" collapsed="false">
      <c r="A71" s="3" t="n">
        <f aca="false">Returns!A319</f>
        <v>45393</v>
      </c>
      <c r="B71" s="0" t="n">
        <f aca="false">-Returns!F319</f>
        <v>18720.5105601341</v>
      </c>
      <c r="C71" s="0" t="n">
        <f aca="false">-PERCENTILE(Returns!$F$69:$F$318,0.01)</f>
        <v>24781.8470325477</v>
      </c>
      <c r="D71" s="0" t="n">
        <f aca="false">NORMSINV(0.99)*STDEV(Returns!$F$69:$F$318)</f>
        <v>27814.0168358268</v>
      </c>
      <c r="E71" s="0" t="n">
        <f aca="false">IF(B71&gt;C71,1,0)</f>
        <v>0</v>
      </c>
      <c r="F71" s="0" t="n">
        <f aca="false">IF(B71&gt;D71,1,0)</f>
        <v>0</v>
      </c>
    </row>
    <row r="72" customFormat="false" ht="15" hidden="false" customHeight="false" outlineLevel="0" collapsed="false">
      <c r="A72" s="3" t="n">
        <f aca="false">Returns!A320</f>
        <v>45394</v>
      </c>
      <c r="B72" s="0" t="n">
        <f aca="false">-Returns!F320</f>
        <v>33657.3157715994</v>
      </c>
      <c r="C72" s="0" t="n">
        <f aca="false">-PERCENTILE(Returns!$F$70:$F$319,0.01)</f>
        <v>24781.8470325477</v>
      </c>
      <c r="D72" s="0" t="n">
        <f aca="false">NORMSINV(0.99)*STDEV(Returns!$F$70:$F$319)</f>
        <v>27966.1723174033</v>
      </c>
      <c r="E72" s="0" t="n">
        <f aca="false">IF(B72&gt;C72,1,0)</f>
        <v>1</v>
      </c>
      <c r="F72" s="0" t="n">
        <f aca="false">IF(B72&gt;D72,1,0)</f>
        <v>1</v>
      </c>
    </row>
    <row r="73" customFormat="false" ht="15" hidden="false" customHeight="false" outlineLevel="0" collapsed="false">
      <c r="A73" s="3" t="n">
        <f aca="false">Returns!A321</f>
        <v>45397</v>
      </c>
      <c r="B73" s="0" t="n">
        <f aca="false">-Returns!F321</f>
        <v>-4328.60025326236</v>
      </c>
      <c r="C73" s="0" t="n">
        <f aca="false">-PERCENTILE(Returns!$F$71:$F$320,0.01)</f>
        <v>27183.1737369164</v>
      </c>
      <c r="D73" s="0" t="n">
        <f aca="false">NORMSINV(0.99)*STDEV(Returns!$F$71:$F$320)</f>
        <v>27756.833713731</v>
      </c>
      <c r="E73" s="0" t="n">
        <f aca="false">IF(B73&gt;C73,1,0)</f>
        <v>0</v>
      </c>
      <c r="F73" s="0" t="n">
        <f aca="false">IF(B73&gt;D73,1,0)</f>
        <v>0</v>
      </c>
    </row>
    <row r="74" customFormat="false" ht="15" hidden="false" customHeight="false" outlineLevel="0" collapsed="false">
      <c r="A74" s="3" t="n">
        <f aca="false">Returns!A322</f>
        <v>45398</v>
      </c>
      <c r="B74" s="0" t="n">
        <f aca="false">-Returns!F322</f>
        <v>8062.74174868295</v>
      </c>
      <c r="C74" s="0" t="n">
        <f aca="false">-PERCENTILE(Returns!$F$72:$F$321,0.01)</f>
        <v>27183.1737369164</v>
      </c>
      <c r="D74" s="0" t="n">
        <f aca="false">NORMSINV(0.99)*STDEV(Returns!$F$72:$F$321)</f>
        <v>27609.3066240225</v>
      </c>
      <c r="E74" s="0" t="n">
        <f aca="false">IF(B74&gt;C74,1,0)</f>
        <v>0</v>
      </c>
      <c r="F74" s="0" t="n">
        <f aca="false">IF(B74&gt;D74,1,0)</f>
        <v>0</v>
      </c>
    </row>
    <row r="75" customFormat="false" ht="15" hidden="false" customHeight="false" outlineLevel="0" collapsed="false">
      <c r="A75" s="3" t="n">
        <f aca="false">Returns!A323</f>
        <v>45399</v>
      </c>
      <c r="B75" s="0" t="n">
        <f aca="false">-Returns!F323</f>
        <v>-6271.41692094626</v>
      </c>
      <c r="C75" s="0" t="n">
        <f aca="false">-PERCENTILE(Returns!$F$73:$F$322,0.01)</f>
        <v>27183.1737369164</v>
      </c>
      <c r="D75" s="0" t="n">
        <f aca="false">NORMSINV(0.99)*STDEV(Returns!$F$73:$F$322)</f>
        <v>27617.2491200292</v>
      </c>
      <c r="E75" s="0" t="n">
        <f aca="false">IF(B75&gt;C75,1,0)</f>
        <v>0</v>
      </c>
      <c r="F75" s="0" t="n">
        <f aca="false">IF(B75&gt;D75,1,0)</f>
        <v>0</v>
      </c>
    </row>
    <row r="76" customFormat="false" ht="15" hidden="false" customHeight="false" outlineLevel="0" collapsed="false">
      <c r="A76" s="3" t="n">
        <f aca="false">Returns!A324</f>
        <v>45400</v>
      </c>
      <c r="B76" s="0" t="n">
        <f aca="false">-Returns!F324</f>
        <v>-7752.78472939691</v>
      </c>
      <c r="C76" s="0" t="n">
        <f aca="false">-PERCENTILE(Returns!$F$74:$F$323,0.01)</f>
        <v>27183.1737369164</v>
      </c>
      <c r="D76" s="0" t="n">
        <f aca="false">NORMSINV(0.99)*STDEV(Returns!$F$74:$F$323)</f>
        <v>27622.7851768666</v>
      </c>
      <c r="E76" s="0" t="n">
        <f aca="false">IF(B76&gt;C76,1,0)</f>
        <v>0</v>
      </c>
      <c r="F76" s="0" t="n">
        <f aca="false">IF(B76&gt;D76,1,0)</f>
        <v>0</v>
      </c>
    </row>
    <row r="77" customFormat="false" ht="15" hidden="false" customHeight="false" outlineLevel="0" collapsed="false">
      <c r="A77" s="3" t="n">
        <f aca="false">Returns!A325</f>
        <v>45401</v>
      </c>
      <c r="B77" s="0" t="n">
        <f aca="false">-Returns!F325</f>
        <v>-21143.1741406403</v>
      </c>
      <c r="C77" s="0" t="n">
        <f aca="false">-PERCENTILE(Returns!$F$75:$F$324,0.01)</f>
        <v>27183.1737369164</v>
      </c>
      <c r="D77" s="0" t="n">
        <f aca="false">NORMSINV(0.99)*STDEV(Returns!$F$75:$F$324)</f>
        <v>27637.2590097261</v>
      </c>
      <c r="E77" s="0" t="n">
        <f aca="false">IF(B77&gt;C77,1,0)</f>
        <v>0</v>
      </c>
      <c r="F77" s="0" t="n">
        <f aca="false">IF(B77&gt;D77,1,0)</f>
        <v>0</v>
      </c>
    </row>
    <row r="78" customFormat="false" ht="15" hidden="false" customHeight="false" outlineLevel="0" collapsed="false">
      <c r="A78" s="3" t="n">
        <f aca="false">Returns!A326</f>
        <v>45404</v>
      </c>
      <c r="B78" s="0" t="n">
        <f aca="false">-Returns!F326</f>
        <v>-18496.8868387842</v>
      </c>
      <c r="C78" s="0" t="n">
        <f aca="false">-PERCENTILE(Returns!$F$76:$F$325,0.01)</f>
        <v>27183.1737369164</v>
      </c>
      <c r="D78" s="0" t="n">
        <f aca="false">NORMSINV(0.99)*STDEV(Returns!$F$76:$F$325)</f>
        <v>27799.6995987065</v>
      </c>
      <c r="E78" s="0" t="n">
        <f aca="false">IF(B78&gt;C78,1,0)</f>
        <v>0</v>
      </c>
      <c r="F78" s="0" t="n">
        <f aca="false">IF(B78&gt;D78,1,0)</f>
        <v>0</v>
      </c>
    </row>
    <row r="79" customFormat="false" ht="15" hidden="false" customHeight="false" outlineLevel="0" collapsed="false">
      <c r="A79" s="3" t="n">
        <f aca="false">Returns!A327</f>
        <v>45405</v>
      </c>
      <c r="B79" s="0" t="n">
        <f aca="false">-Returns!F327</f>
        <v>-16161.7994599226</v>
      </c>
      <c r="C79" s="0" t="n">
        <f aca="false">-PERCENTILE(Returns!$F$77:$F$326,0.01)</f>
        <v>27183.1737369164</v>
      </c>
      <c r="D79" s="0" t="n">
        <f aca="false">NORMSINV(0.99)*STDEV(Returns!$F$77:$F$326)</f>
        <v>27913.1184736431</v>
      </c>
      <c r="E79" s="0" t="n">
        <f aca="false">IF(B79&gt;C79,1,0)</f>
        <v>0</v>
      </c>
      <c r="F79" s="0" t="n">
        <f aca="false">IF(B79&gt;D79,1,0)</f>
        <v>0</v>
      </c>
    </row>
    <row r="80" customFormat="false" ht="15" hidden="false" customHeight="false" outlineLevel="0" collapsed="false">
      <c r="A80" s="3" t="n">
        <f aca="false">Returns!A328</f>
        <v>45406</v>
      </c>
      <c r="B80" s="0" t="n">
        <f aca="false">-Returns!F328</f>
        <v>-1848.8411696461</v>
      </c>
      <c r="C80" s="0" t="n">
        <f aca="false">-PERCENTILE(Returns!$F$78:$F$327,0.01)</f>
        <v>26547.7591959259</v>
      </c>
      <c r="D80" s="0" t="n">
        <f aca="false">NORMSINV(0.99)*STDEV(Returns!$F$78:$F$327)</f>
        <v>27730.479407621</v>
      </c>
      <c r="E80" s="0" t="n">
        <f aca="false">IF(B80&gt;C80,1,0)</f>
        <v>0</v>
      </c>
      <c r="F80" s="0" t="n">
        <f aca="false">IF(B80&gt;D80,1,0)</f>
        <v>0</v>
      </c>
    </row>
    <row r="81" customFormat="false" ht="15" hidden="false" customHeight="false" outlineLevel="0" collapsed="false">
      <c r="A81" s="3" t="n">
        <f aca="false">Returns!A329</f>
        <v>45407</v>
      </c>
      <c r="B81" s="0" t="n">
        <f aca="false">-Returns!F329</f>
        <v>6779.02766935746</v>
      </c>
      <c r="C81" s="0" t="n">
        <f aca="false">-PERCENTILE(Returns!$F$79:$F$328,0.01)</f>
        <v>26547.7591959259</v>
      </c>
      <c r="D81" s="0" t="n">
        <f aca="false">NORMSINV(0.99)*STDEV(Returns!$F$79:$F$328)</f>
        <v>27681.9062728913</v>
      </c>
      <c r="E81" s="0" t="n">
        <f aca="false">IF(B81&gt;C81,1,0)</f>
        <v>0</v>
      </c>
      <c r="F81" s="0" t="n">
        <f aca="false">IF(B81&gt;D81,1,0)</f>
        <v>0</v>
      </c>
    </row>
    <row r="82" customFormat="false" ht="15" hidden="false" customHeight="false" outlineLevel="0" collapsed="false">
      <c r="A82" s="3" t="n">
        <f aca="false">Returns!A330</f>
        <v>45408</v>
      </c>
      <c r="B82" s="0" t="n">
        <f aca="false">-Returns!F330</f>
        <v>-488.315776806739</v>
      </c>
      <c r="C82" s="0" t="n">
        <f aca="false">-PERCENTILE(Returns!$F$80:$F$329,0.01)</f>
        <v>26547.7591959259</v>
      </c>
      <c r="D82" s="0" t="n">
        <f aca="false">NORMSINV(0.99)*STDEV(Returns!$F$80:$F$329)</f>
        <v>27616.7043774681</v>
      </c>
      <c r="E82" s="0" t="n">
        <f aca="false">IF(B82&gt;C82,1,0)</f>
        <v>0</v>
      </c>
      <c r="F82" s="0" t="n">
        <f aca="false">IF(B82&gt;D82,1,0)</f>
        <v>0</v>
      </c>
    </row>
    <row r="83" customFormat="false" ht="15" hidden="false" customHeight="false" outlineLevel="0" collapsed="false">
      <c r="A83" s="3" t="n">
        <f aca="false">Returns!A331</f>
        <v>45411</v>
      </c>
      <c r="B83" s="0" t="n">
        <f aca="false">-Returns!F331</f>
        <v>2239.4192853907</v>
      </c>
      <c r="C83" s="0" t="n">
        <f aca="false">-PERCENTILE(Returns!$F$81:$F$330,0.01)</f>
        <v>26547.7591959259</v>
      </c>
      <c r="D83" s="0" t="n">
        <f aca="false">NORMSINV(0.99)*STDEV(Returns!$F$81:$F$330)</f>
        <v>27591.0762710881</v>
      </c>
      <c r="E83" s="0" t="n">
        <f aca="false">IF(B83&gt;C83,1,0)</f>
        <v>0</v>
      </c>
      <c r="F83" s="0" t="n">
        <f aca="false">IF(B83&gt;D83,1,0)</f>
        <v>0</v>
      </c>
    </row>
    <row r="84" customFormat="false" ht="15" hidden="false" customHeight="false" outlineLevel="0" collapsed="false">
      <c r="A84" s="3" t="n">
        <f aca="false">Returns!A332</f>
        <v>45412</v>
      </c>
      <c r="B84" s="0" t="n">
        <f aca="false">-Returns!F332</f>
        <v>11710.6003364382</v>
      </c>
      <c r="C84" s="0" t="n">
        <f aca="false">-PERCENTILE(Returns!$F$82:$F$331,0.01)</f>
        <v>26547.7591959259</v>
      </c>
      <c r="D84" s="0" t="n">
        <f aca="false">NORMSINV(0.99)*STDEV(Returns!$F$82:$F$331)</f>
        <v>27593.820937244</v>
      </c>
      <c r="E84" s="0" t="n">
        <f aca="false">IF(B84&gt;C84,1,0)</f>
        <v>0</v>
      </c>
      <c r="F84" s="0" t="n">
        <f aca="false">IF(B84&gt;D84,1,0)</f>
        <v>0</v>
      </c>
    </row>
    <row r="85" customFormat="false" ht="15" hidden="false" customHeight="false" outlineLevel="0" collapsed="false">
      <c r="A85" s="3" t="n">
        <f aca="false">Returns!A333</f>
        <v>45413</v>
      </c>
      <c r="B85" s="0" t="n">
        <f aca="false">-Returns!F333</f>
        <v>-2066.52699843772</v>
      </c>
      <c r="C85" s="0" t="n">
        <f aca="false">-PERCENTILE(Returns!$F$83:$F$332,0.01)</f>
        <v>26547.7591959259</v>
      </c>
      <c r="D85" s="0" t="n">
        <f aca="false">NORMSINV(0.99)*STDEV(Returns!$F$83:$F$332)</f>
        <v>27459.5620588002</v>
      </c>
      <c r="E85" s="0" t="n">
        <f aca="false">IF(B85&gt;C85,1,0)</f>
        <v>0</v>
      </c>
      <c r="F85" s="0" t="n">
        <f aca="false">IF(B85&gt;D85,1,0)</f>
        <v>0</v>
      </c>
    </row>
    <row r="86" customFormat="false" ht="15" hidden="false" customHeight="false" outlineLevel="0" collapsed="false">
      <c r="A86" s="3" t="n">
        <f aca="false">Returns!A334</f>
        <v>45414</v>
      </c>
      <c r="B86" s="0" t="n">
        <f aca="false">-Returns!F334</f>
        <v>-2629.76938822508</v>
      </c>
      <c r="C86" s="0" t="n">
        <f aca="false">-PERCENTILE(Returns!$F$84:$F$333,0.01)</f>
        <v>26547.7591959259</v>
      </c>
      <c r="D86" s="0" t="n">
        <f aca="false">NORMSINV(0.99)*STDEV(Returns!$F$84:$F$333)</f>
        <v>27327.9263355758</v>
      </c>
      <c r="E86" s="0" t="n">
        <f aca="false">IF(B86&gt;C86,1,0)</f>
        <v>0</v>
      </c>
      <c r="F86" s="0" t="n">
        <f aca="false">IF(B86&gt;D86,1,0)</f>
        <v>0</v>
      </c>
    </row>
    <row r="87" customFormat="false" ht="15" hidden="false" customHeight="false" outlineLevel="0" collapsed="false">
      <c r="A87" s="3" t="n">
        <f aca="false">Returns!A335</f>
        <v>45415</v>
      </c>
      <c r="B87" s="0" t="n">
        <f aca="false">-Returns!F335</f>
        <v>-3775.94140452915</v>
      </c>
      <c r="C87" s="0" t="n">
        <f aca="false">-PERCENTILE(Returns!$F$85:$F$334,0.01)</f>
        <v>26547.7591959259</v>
      </c>
      <c r="D87" s="0" t="n">
        <f aca="false">NORMSINV(0.99)*STDEV(Returns!$F$85:$F$334)</f>
        <v>27101.4649211587</v>
      </c>
      <c r="E87" s="0" t="n">
        <f aca="false">IF(B87&gt;C87,1,0)</f>
        <v>0</v>
      </c>
      <c r="F87" s="0" t="n">
        <f aca="false">IF(B87&gt;D87,1,0)</f>
        <v>0</v>
      </c>
    </row>
    <row r="88" customFormat="false" ht="15" hidden="false" customHeight="false" outlineLevel="0" collapsed="false">
      <c r="A88" s="3" t="n">
        <f aca="false">Returns!A336</f>
        <v>45418</v>
      </c>
      <c r="B88" s="0" t="n">
        <f aca="false">-Returns!F336</f>
        <v>-10301.075034577</v>
      </c>
      <c r="C88" s="0" t="n">
        <f aca="false">-PERCENTILE(Returns!$F$86:$F$335,0.01)</f>
        <v>26547.7591959259</v>
      </c>
      <c r="D88" s="0" t="n">
        <f aca="false">NORMSINV(0.99)*STDEV(Returns!$F$86:$F$335)</f>
        <v>26898.6589479421</v>
      </c>
      <c r="E88" s="0" t="n">
        <f aca="false">IF(B88&gt;C88,1,0)</f>
        <v>0</v>
      </c>
      <c r="F88" s="0" t="n">
        <f aca="false">IF(B88&gt;D88,1,0)</f>
        <v>0</v>
      </c>
    </row>
    <row r="89" customFormat="false" ht="15" hidden="false" customHeight="false" outlineLevel="0" collapsed="false">
      <c r="A89" s="3" t="n">
        <f aca="false">Returns!A337</f>
        <v>45419</v>
      </c>
      <c r="B89" s="0" t="n">
        <f aca="false">-Returns!F337</f>
        <v>-3818.70592167284</v>
      </c>
      <c r="C89" s="0" t="n">
        <f aca="false">-PERCENTILE(Returns!$F$87:$F$336,0.01)</f>
        <v>26547.7591959259</v>
      </c>
      <c r="D89" s="0" t="n">
        <f aca="false">NORMSINV(0.99)*STDEV(Returns!$F$87:$F$336)</f>
        <v>26930.829416412</v>
      </c>
      <c r="E89" s="0" t="n">
        <f aca="false">IF(B89&gt;C89,1,0)</f>
        <v>0</v>
      </c>
      <c r="F89" s="0" t="n">
        <f aca="false">IF(B89&gt;D89,1,0)</f>
        <v>0</v>
      </c>
    </row>
    <row r="90" customFormat="false" ht="15" hidden="false" customHeight="false" outlineLevel="0" collapsed="false">
      <c r="A90" s="3" t="n">
        <f aca="false">Returns!A338</f>
        <v>45420</v>
      </c>
      <c r="B90" s="0" t="n">
        <f aca="false">-Returns!F338</f>
        <v>-6551.40110555473</v>
      </c>
      <c r="C90" s="0" t="n">
        <f aca="false">-PERCENTILE(Returns!$F$88:$F$337,0.01)</f>
        <v>26547.7591959259</v>
      </c>
      <c r="D90" s="0" t="n">
        <f aca="false">NORMSINV(0.99)*STDEV(Returns!$F$88:$F$337)</f>
        <v>26928.2234275685</v>
      </c>
      <c r="E90" s="0" t="n">
        <f aca="false">IF(B90&gt;C90,1,0)</f>
        <v>0</v>
      </c>
      <c r="F90" s="0" t="n">
        <f aca="false">IF(B90&gt;D90,1,0)</f>
        <v>0</v>
      </c>
    </row>
    <row r="91" customFormat="false" ht="15" hidden="false" customHeight="false" outlineLevel="0" collapsed="false">
      <c r="A91" s="3" t="n">
        <f aca="false">Returns!A339</f>
        <v>45421</v>
      </c>
      <c r="B91" s="0" t="n">
        <f aca="false">-Returns!F339</f>
        <v>-15914.6057731356</v>
      </c>
      <c r="C91" s="0" t="n">
        <f aca="false">-PERCENTILE(Returns!$F$89:$F$338,0.01)</f>
        <v>26547.7591959259</v>
      </c>
      <c r="D91" s="0" t="n">
        <f aca="false">NORMSINV(0.99)*STDEV(Returns!$F$89:$F$338)</f>
        <v>26919.603846026</v>
      </c>
      <c r="E91" s="0" t="n">
        <f aca="false">IF(B91&gt;C91,1,0)</f>
        <v>0</v>
      </c>
      <c r="F91" s="0" t="n">
        <f aca="false">IF(B91&gt;D91,1,0)</f>
        <v>0</v>
      </c>
    </row>
    <row r="92" customFormat="false" ht="15" hidden="false" customHeight="false" outlineLevel="0" collapsed="false">
      <c r="A92" s="3" t="n">
        <f aca="false">Returns!A340</f>
        <v>45422</v>
      </c>
      <c r="B92" s="0" t="n">
        <f aca="false">-Returns!F340</f>
        <v>-4412.73520862022</v>
      </c>
      <c r="C92" s="0" t="n">
        <f aca="false">-PERCENTILE(Returns!$F$90:$F$339,0.01)</f>
        <v>26547.7591959259</v>
      </c>
      <c r="D92" s="0" t="n">
        <f aca="false">NORMSINV(0.99)*STDEV(Returns!$F$90:$F$339)</f>
        <v>26992.6380660327</v>
      </c>
      <c r="E92" s="0" t="n">
        <f aca="false">IF(B92&gt;C92,1,0)</f>
        <v>0</v>
      </c>
      <c r="F92" s="0" t="n">
        <f aca="false">IF(B92&gt;D92,1,0)</f>
        <v>0</v>
      </c>
    </row>
    <row r="93" customFormat="false" ht="15" hidden="false" customHeight="false" outlineLevel="0" collapsed="false">
      <c r="A93" s="3" t="n">
        <f aca="false">Returns!A341</f>
        <v>45425</v>
      </c>
      <c r="B93" s="0" t="n">
        <f aca="false">-Returns!F341</f>
        <v>1105.495477406</v>
      </c>
      <c r="C93" s="0" t="n">
        <f aca="false">-PERCENTILE(Returns!$F$91:$F$340,0.01)</f>
        <v>26547.7591959259</v>
      </c>
      <c r="D93" s="0" t="n">
        <f aca="false">NORMSINV(0.99)*STDEV(Returns!$F$91:$F$340)</f>
        <v>26944.8305682412</v>
      </c>
      <c r="E93" s="0" t="n">
        <f aca="false">IF(B93&gt;C93,1,0)</f>
        <v>0</v>
      </c>
      <c r="F93" s="0" t="n">
        <f aca="false">IF(B93&gt;D93,1,0)</f>
        <v>0</v>
      </c>
    </row>
    <row r="94" customFormat="false" ht="15" hidden="false" customHeight="false" outlineLevel="0" collapsed="false">
      <c r="A94" s="3" t="n">
        <f aca="false">Returns!A342</f>
        <v>45426</v>
      </c>
      <c r="B94" s="0" t="n">
        <f aca="false">-Returns!F342</f>
        <v>-10232.7477835241</v>
      </c>
      <c r="C94" s="0" t="n">
        <f aca="false">-PERCENTILE(Returns!$F$92:$F$341,0.01)</f>
        <v>26547.7591959259</v>
      </c>
      <c r="D94" s="0" t="n">
        <f aca="false">NORMSINV(0.99)*STDEV(Returns!$F$92:$F$341)</f>
        <v>26905.6047895894</v>
      </c>
      <c r="E94" s="0" t="n">
        <f aca="false">IF(B94&gt;C94,1,0)</f>
        <v>0</v>
      </c>
      <c r="F94" s="0" t="n">
        <f aca="false">IF(B94&gt;D94,1,0)</f>
        <v>0</v>
      </c>
    </row>
    <row r="95" customFormat="false" ht="15" hidden="false" customHeight="false" outlineLevel="0" collapsed="false">
      <c r="A95" s="3" t="n">
        <f aca="false">Returns!A343</f>
        <v>45427</v>
      </c>
      <c r="B95" s="0" t="n">
        <f aca="false">-Returns!F343</f>
        <v>-7866.8032750333</v>
      </c>
      <c r="C95" s="0" t="n">
        <f aca="false">-PERCENTILE(Returns!$F$93:$F$342,0.01)</f>
        <v>26547.7591959259</v>
      </c>
      <c r="D95" s="0" t="n">
        <f aca="false">NORMSINV(0.99)*STDEV(Returns!$F$93:$F$342)</f>
        <v>26886.4965563915</v>
      </c>
      <c r="E95" s="0" t="n">
        <f aca="false">IF(B95&gt;C95,1,0)</f>
        <v>0</v>
      </c>
      <c r="F95" s="0" t="n">
        <f aca="false">IF(B95&gt;D95,1,0)</f>
        <v>0</v>
      </c>
    </row>
    <row r="96" customFormat="false" ht="15" hidden="false" customHeight="false" outlineLevel="0" collapsed="false">
      <c r="A96" s="3" t="n">
        <f aca="false">Returns!A344</f>
        <v>45428</v>
      </c>
      <c r="B96" s="0" t="n">
        <f aca="false">-Returns!F344</f>
        <v>-273.927965433304</v>
      </c>
      <c r="C96" s="0" t="n">
        <f aca="false">-PERCENTILE(Returns!$F$94:$F$343,0.01)</f>
        <v>26547.7591959259</v>
      </c>
      <c r="D96" s="0" t="n">
        <f aca="false">NORMSINV(0.99)*STDEV(Returns!$F$94:$F$343)</f>
        <v>26508.7911616672</v>
      </c>
      <c r="E96" s="0" t="n">
        <f aca="false">IF(B96&gt;C96,1,0)</f>
        <v>0</v>
      </c>
      <c r="F96" s="0" t="n">
        <f aca="false">IF(B96&gt;D96,1,0)</f>
        <v>0</v>
      </c>
    </row>
    <row r="97" customFormat="false" ht="15" hidden="false" customHeight="false" outlineLevel="0" collapsed="false">
      <c r="A97" s="3" t="n">
        <f aca="false">Returns!A345</f>
        <v>45429</v>
      </c>
      <c r="B97" s="0" t="n">
        <f aca="false">-Returns!F345</f>
        <v>-7014.23105076142</v>
      </c>
      <c r="C97" s="0" t="n">
        <f aca="false">-PERCENTILE(Returns!$F$95:$F$344,0.01)</f>
        <v>26547.7591959259</v>
      </c>
      <c r="D97" s="0" t="n">
        <f aca="false">NORMSINV(0.99)*STDEV(Returns!$F$95:$F$344)</f>
        <v>26506.1919028021</v>
      </c>
      <c r="E97" s="0" t="n">
        <f aca="false">IF(B97&gt;C97,1,0)</f>
        <v>0</v>
      </c>
      <c r="F97" s="0" t="n">
        <f aca="false">IF(B97&gt;D97,1,0)</f>
        <v>0</v>
      </c>
    </row>
    <row r="98" customFormat="false" ht="15" hidden="false" customHeight="false" outlineLevel="0" collapsed="false">
      <c r="A98" s="3" t="n">
        <f aca="false">Returns!A346</f>
        <v>45432</v>
      </c>
      <c r="B98" s="0" t="n">
        <f aca="false">-Returns!F346</f>
        <v>21687.5735392952</v>
      </c>
      <c r="C98" s="0" t="n">
        <f aca="false">-PERCENTILE(Returns!$F$96:$F$345,0.01)</f>
        <v>26547.7591959259</v>
      </c>
      <c r="D98" s="0" t="n">
        <f aca="false">NORMSINV(0.99)*STDEV(Returns!$F$96:$F$345)</f>
        <v>26436.8548328302</v>
      </c>
      <c r="E98" s="0" t="n">
        <f aca="false">IF(B98&gt;C98,1,0)</f>
        <v>0</v>
      </c>
      <c r="F98" s="0" t="n">
        <f aca="false">IF(B98&gt;D98,1,0)</f>
        <v>0</v>
      </c>
    </row>
    <row r="99" customFormat="false" ht="15" hidden="false" customHeight="false" outlineLevel="0" collapsed="false">
      <c r="A99" s="3" t="n">
        <f aca="false">Returns!A347</f>
        <v>45433</v>
      </c>
      <c r="B99" s="0" t="n">
        <f aca="false">-Returns!F347</f>
        <v>-17891.6144545982</v>
      </c>
      <c r="C99" s="0" t="n">
        <f aca="false">-PERCENTILE(Returns!$F$97:$F$346,0.01)</f>
        <v>26547.7591959259</v>
      </c>
      <c r="D99" s="0" t="n">
        <f aca="false">NORMSINV(0.99)*STDEV(Returns!$F$97:$F$346)</f>
        <v>26652.1814409548</v>
      </c>
      <c r="E99" s="0" t="n">
        <f aca="false">IF(B99&gt;C99,1,0)</f>
        <v>0</v>
      </c>
      <c r="F99" s="0" t="n">
        <f aca="false">IF(B99&gt;D99,1,0)</f>
        <v>0</v>
      </c>
    </row>
    <row r="100" customFormat="false" ht="15" hidden="false" customHeight="false" outlineLevel="0" collapsed="false">
      <c r="A100" s="3" t="n">
        <f aca="false">Returns!A348</f>
        <v>45434</v>
      </c>
      <c r="B100" s="0" t="n">
        <f aca="false">-Returns!F348</f>
        <v>3945.55202815258</v>
      </c>
      <c r="C100" s="0" t="n">
        <f aca="false">-PERCENTILE(Returns!$F$98:$F$347,0.01)</f>
        <v>26547.7591959259</v>
      </c>
      <c r="D100" s="0" t="n">
        <f aca="false">NORMSINV(0.99)*STDEV(Returns!$F$98:$F$347)</f>
        <v>26762.5724396216</v>
      </c>
      <c r="E100" s="0" t="n">
        <f aca="false">IF(B100&gt;C100,1,0)</f>
        <v>0</v>
      </c>
      <c r="F100" s="0" t="n">
        <f aca="false">IF(B100&gt;D100,1,0)</f>
        <v>0</v>
      </c>
    </row>
    <row r="101" customFormat="false" ht="15" hidden="false" customHeight="false" outlineLevel="0" collapsed="false">
      <c r="A101" s="3" t="n">
        <f aca="false">Returns!A349</f>
        <v>45435</v>
      </c>
      <c r="B101" s="0" t="n">
        <f aca="false">-Returns!F349</f>
        <v>12768.0879649883</v>
      </c>
      <c r="C101" s="0" t="n">
        <f aca="false">-PERCENTILE(Returns!$F$99:$F$348,0.01)</f>
        <v>26547.7591959259</v>
      </c>
      <c r="D101" s="0" t="n">
        <f aca="false">NORMSINV(0.99)*STDEV(Returns!$F$99:$F$348)</f>
        <v>26678.3119806419</v>
      </c>
      <c r="E101" s="0" t="n">
        <f aca="false">IF(B101&gt;C101,1,0)</f>
        <v>0</v>
      </c>
      <c r="F101" s="0" t="n">
        <f aca="false">IF(B101&gt;D101,1,0)</f>
        <v>0</v>
      </c>
    </row>
    <row r="102" customFormat="false" ht="15" hidden="false" customHeight="false" outlineLevel="0" collapsed="false">
      <c r="A102" s="3" t="n">
        <f aca="false">Returns!A350</f>
        <v>45436</v>
      </c>
      <c r="B102" s="0" t="n">
        <f aca="false">-Returns!F350</f>
        <v>-11809.0172007008</v>
      </c>
      <c r="C102" s="0" t="n">
        <f aca="false">-PERCENTILE(Returns!$F$100:$F$349,0.01)</f>
        <v>26547.7591959259</v>
      </c>
      <c r="D102" s="0" t="n">
        <f aca="false">NORMSINV(0.99)*STDEV(Returns!$F$100:$F$349)</f>
        <v>26740.5572590779</v>
      </c>
      <c r="E102" s="0" t="n">
        <f aca="false">IF(B102&gt;C102,1,0)</f>
        <v>0</v>
      </c>
      <c r="F102" s="0" t="n">
        <f aca="false">IF(B102&gt;D102,1,0)</f>
        <v>0</v>
      </c>
    </row>
    <row r="103" customFormat="false" ht="15" hidden="false" customHeight="false" outlineLevel="0" collapsed="false">
      <c r="A103" s="3" t="n">
        <f aca="false">Returns!A351</f>
        <v>45440</v>
      </c>
      <c r="B103" s="0" t="n">
        <f aca="false">-Returns!F351</f>
        <v>6214.95734519822</v>
      </c>
      <c r="C103" s="0" t="n">
        <f aca="false">-PERCENTILE(Returns!$F$101:$F$350,0.01)</f>
        <v>26547.7591959259</v>
      </c>
      <c r="D103" s="0" t="n">
        <f aca="false">NORMSINV(0.99)*STDEV(Returns!$F$101:$F$350)</f>
        <v>26764.5536540037</v>
      </c>
      <c r="E103" s="0" t="n">
        <f aca="false">IF(B103&gt;C103,1,0)</f>
        <v>0</v>
      </c>
      <c r="F103" s="0" t="n">
        <f aca="false">IF(B103&gt;D103,1,0)</f>
        <v>0</v>
      </c>
    </row>
    <row r="104" customFormat="false" ht="15" hidden="false" customHeight="false" outlineLevel="0" collapsed="false">
      <c r="A104" s="3" t="n">
        <f aca="false">Returns!A352</f>
        <v>45441</v>
      </c>
      <c r="B104" s="0" t="n">
        <f aca="false">-Returns!F352</f>
        <v>11696.8025043263</v>
      </c>
      <c r="C104" s="0" t="n">
        <f aca="false">-PERCENTILE(Returns!$F$102:$F$351,0.01)</f>
        <v>26547.7591959259</v>
      </c>
      <c r="D104" s="0" t="n">
        <f aca="false">NORMSINV(0.99)*STDEV(Returns!$F$102:$F$351)</f>
        <v>26785.9372588206</v>
      </c>
      <c r="E104" s="0" t="n">
        <f aca="false">IF(B104&gt;C104,1,0)</f>
        <v>0</v>
      </c>
      <c r="F104" s="0" t="n">
        <f aca="false">IF(B104&gt;D104,1,0)</f>
        <v>0</v>
      </c>
    </row>
    <row r="105" customFormat="false" ht="15" hidden="false" customHeight="false" outlineLevel="0" collapsed="false">
      <c r="A105" s="3" t="n">
        <f aca="false">Returns!A353</f>
        <v>45442</v>
      </c>
      <c r="B105" s="0" t="n">
        <f aca="false">-Returns!F353</f>
        <v>-1634.21190471779</v>
      </c>
      <c r="C105" s="0" t="n">
        <f aca="false">-PERCENTILE(Returns!$F$103:$F$352,0.01)</f>
        <v>26547.7591959259</v>
      </c>
      <c r="D105" s="0" t="n">
        <f aca="false">NORMSINV(0.99)*STDEV(Returns!$F$103:$F$352)</f>
        <v>26730.2449219567</v>
      </c>
      <c r="E105" s="0" t="n">
        <f aca="false">IF(B105&gt;C105,1,0)</f>
        <v>0</v>
      </c>
      <c r="F105" s="0" t="n">
        <f aca="false">IF(B105&gt;D105,1,0)</f>
        <v>0</v>
      </c>
    </row>
    <row r="106" customFormat="false" ht="15" hidden="false" customHeight="false" outlineLevel="0" collapsed="false">
      <c r="A106" s="3" t="n">
        <f aca="false">Returns!A354</f>
        <v>45443</v>
      </c>
      <c r="B106" s="0" t="n">
        <f aca="false">-Returns!F354</f>
        <v>-18824.3109197152</v>
      </c>
      <c r="C106" s="0" t="n">
        <f aca="false">-PERCENTILE(Returns!$F$104:$F$353,0.01)</f>
        <v>26547.7591959259</v>
      </c>
      <c r="D106" s="0" t="n">
        <f aca="false">NORMSINV(0.99)*STDEV(Returns!$F$104:$F$353)</f>
        <v>26707.0318181589</v>
      </c>
      <c r="E106" s="0" t="n">
        <f aca="false">IF(B106&gt;C106,1,0)</f>
        <v>0</v>
      </c>
      <c r="F106" s="0" t="n">
        <f aca="false">IF(B106&gt;D106,1,0)</f>
        <v>0</v>
      </c>
    </row>
    <row r="107" customFormat="false" ht="15" hidden="false" customHeight="false" outlineLevel="0" collapsed="false">
      <c r="A107" s="3" t="n">
        <f aca="false">Returns!A355</f>
        <v>45446</v>
      </c>
      <c r="B107" s="0" t="n">
        <f aca="false">-Returns!F355</f>
        <v>3749.8806600446</v>
      </c>
      <c r="C107" s="0" t="n">
        <f aca="false">-PERCENTILE(Returns!$F$105:$F$354,0.01)</f>
        <v>26547.7591959259</v>
      </c>
      <c r="D107" s="0" t="n">
        <f aca="false">NORMSINV(0.99)*STDEV(Returns!$F$105:$F$354)</f>
        <v>26574.9794367334</v>
      </c>
      <c r="E107" s="0" t="n">
        <f aca="false">IF(B107&gt;C107,1,0)</f>
        <v>0</v>
      </c>
      <c r="F107" s="0" t="n">
        <f aca="false">IF(B107&gt;D107,1,0)</f>
        <v>0</v>
      </c>
    </row>
    <row r="108" customFormat="false" ht="15" hidden="false" customHeight="false" outlineLevel="0" collapsed="false">
      <c r="A108" s="3" t="n">
        <f aca="false">Returns!A356</f>
        <v>45447</v>
      </c>
      <c r="B108" s="0" t="n">
        <f aca="false">-Returns!F356</f>
        <v>9382.61774080274</v>
      </c>
      <c r="C108" s="0" t="n">
        <f aca="false">-PERCENTILE(Returns!$F$106:$F$355,0.01)</f>
        <v>26547.7591959259</v>
      </c>
      <c r="D108" s="0" t="n">
        <f aca="false">NORMSINV(0.99)*STDEV(Returns!$F$106:$F$355)</f>
        <v>26550.7620954034</v>
      </c>
      <c r="E108" s="0" t="n">
        <f aca="false">IF(B108&gt;C108,1,0)</f>
        <v>0</v>
      </c>
      <c r="F108" s="0" t="n">
        <f aca="false">IF(B108&gt;D108,1,0)</f>
        <v>0</v>
      </c>
    </row>
    <row r="109" customFormat="false" ht="15" hidden="false" customHeight="false" outlineLevel="0" collapsed="false">
      <c r="A109" s="3" t="n">
        <f aca="false">Returns!A357</f>
        <v>45448</v>
      </c>
      <c r="B109" s="0" t="n">
        <f aca="false">-Returns!F357</f>
        <v>1476.47262713523</v>
      </c>
      <c r="C109" s="0" t="n">
        <f aca="false">-PERCENTILE(Returns!$F$107:$F$356,0.01)</f>
        <v>26547.7591959259</v>
      </c>
      <c r="D109" s="0" t="n">
        <f aca="false">NORMSINV(0.99)*STDEV(Returns!$F$107:$F$356)</f>
        <v>26515.1703645709</v>
      </c>
      <c r="E109" s="0" t="n">
        <f aca="false">IF(B109&gt;C109,1,0)</f>
        <v>0</v>
      </c>
      <c r="F109" s="0" t="n">
        <f aca="false">IF(B109&gt;D109,1,0)</f>
        <v>0</v>
      </c>
    </row>
    <row r="110" customFormat="false" ht="15" hidden="false" customHeight="false" outlineLevel="0" collapsed="false">
      <c r="A110" s="3" t="n">
        <f aca="false">Returns!A358</f>
        <v>45449</v>
      </c>
      <c r="B110" s="0" t="n">
        <f aca="false">-Returns!F358</f>
        <v>2079.54765042378</v>
      </c>
      <c r="C110" s="0" t="n">
        <f aca="false">-PERCENTILE(Returns!$F$108:$F$357,0.01)</f>
        <v>26547.7591959259</v>
      </c>
      <c r="D110" s="0" t="n">
        <f aca="false">NORMSINV(0.99)*STDEV(Returns!$F$108:$F$357)</f>
        <v>26495.2263585071</v>
      </c>
      <c r="E110" s="0" t="n">
        <f aca="false">IF(B110&gt;C110,1,0)</f>
        <v>0</v>
      </c>
      <c r="F110" s="0" t="n">
        <f aca="false">IF(B110&gt;D110,1,0)</f>
        <v>0</v>
      </c>
    </row>
    <row r="111" customFormat="false" ht="15" hidden="false" customHeight="false" outlineLevel="0" collapsed="false">
      <c r="A111" s="3" t="n">
        <f aca="false">Returns!A359</f>
        <v>45450</v>
      </c>
      <c r="B111" s="0" t="n">
        <f aca="false">-Returns!F359</f>
        <v>-9448.22068422885</v>
      </c>
      <c r="C111" s="0" t="n">
        <f aca="false">-PERCENTILE(Returns!$F$109:$F$358,0.01)</f>
        <v>26547.7591959259</v>
      </c>
      <c r="D111" s="0" t="n">
        <f aca="false">NORMSINV(0.99)*STDEV(Returns!$F$109:$F$358)</f>
        <v>26492.084221181</v>
      </c>
      <c r="E111" s="0" t="n">
        <f aca="false">IF(B111&gt;C111,1,0)</f>
        <v>0</v>
      </c>
      <c r="F111" s="0" t="n">
        <f aca="false">IF(B111&gt;D111,1,0)</f>
        <v>0</v>
      </c>
    </row>
    <row r="112" customFormat="false" ht="15" hidden="false" customHeight="false" outlineLevel="0" collapsed="false">
      <c r="A112" s="3" t="n">
        <f aca="false">Returns!A360</f>
        <v>45453</v>
      </c>
      <c r="B112" s="0" t="n">
        <f aca="false">-Returns!F360</f>
        <v>3836.63556574623</v>
      </c>
      <c r="C112" s="0" t="n">
        <f aca="false">-PERCENTILE(Returns!$F$110:$F$359,0.01)</f>
        <v>26547.7591959259</v>
      </c>
      <c r="D112" s="0" t="n">
        <f aca="false">NORMSINV(0.99)*STDEV(Returns!$F$110:$F$359)</f>
        <v>26520.0812234545</v>
      </c>
      <c r="E112" s="0" t="n">
        <f aca="false">IF(B112&gt;C112,1,0)</f>
        <v>0</v>
      </c>
      <c r="F112" s="0" t="n">
        <f aca="false">IF(B112&gt;D112,1,0)</f>
        <v>0</v>
      </c>
    </row>
    <row r="113" customFormat="false" ht="15" hidden="false" customHeight="false" outlineLevel="0" collapsed="false">
      <c r="A113" s="3" t="n">
        <f aca="false">Returns!A361</f>
        <v>45454</v>
      </c>
      <c r="B113" s="0" t="n">
        <f aca="false">-Returns!F361</f>
        <v>19853.0452746441</v>
      </c>
      <c r="C113" s="0" t="n">
        <f aca="false">-PERCENTILE(Returns!$F$111:$F$360,0.01)</f>
        <v>26547.7591959259</v>
      </c>
      <c r="D113" s="0" t="n">
        <f aca="false">NORMSINV(0.99)*STDEV(Returns!$F$111:$F$360)</f>
        <v>26529.3519363135</v>
      </c>
      <c r="E113" s="0" t="n">
        <f aca="false">IF(B113&gt;C113,1,0)</f>
        <v>0</v>
      </c>
      <c r="F113" s="0" t="n">
        <f aca="false">IF(B113&gt;D113,1,0)</f>
        <v>0</v>
      </c>
    </row>
    <row r="114" customFormat="false" ht="15" hidden="false" customHeight="false" outlineLevel="0" collapsed="false">
      <c r="A114" s="3" t="n">
        <f aca="false">Returns!A362</f>
        <v>45455</v>
      </c>
      <c r="B114" s="0" t="n">
        <f aca="false">-Returns!F362</f>
        <v>960.128893300956</v>
      </c>
      <c r="C114" s="0" t="n">
        <f aca="false">-PERCENTILE(Returns!$F$112:$F$361,0.01)</f>
        <v>26547.7591959259</v>
      </c>
      <c r="D114" s="0" t="n">
        <f aca="false">NORMSINV(0.99)*STDEV(Returns!$F$112:$F$361)</f>
        <v>26686.4662121665</v>
      </c>
      <c r="E114" s="0" t="n">
        <f aca="false">IF(B114&gt;C114,1,0)</f>
        <v>0</v>
      </c>
      <c r="F114" s="0" t="n">
        <f aca="false">IF(B114&gt;D114,1,0)</f>
        <v>0</v>
      </c>
    </row>
    <row r="115" customFormat="false" ht="15" hidden="false" customHeight="false" outlineLevel="0" collapsed="false">
      <c r="A115" s="3" t="n">
        <f aca="false">Returns!A363</f>
        <v>45456</v>
      </c>
      <c r="B115" s="0" t="n">
        <f aca="false">-Returns!F363</f>
        <v>-1896.55160150718</v>
      </c>
      <c r="C115" s="0" t="n">
        <f aca="false">-PERCENTILE(Returns!$F$113:$F$362,0.01)</f>
        <v>26547.7591959259</v>
      </c>
      <c r="D115" s="0" t="n">
        <f aca="false">NORMSINV(0.99)*STDEV(Returns!$F$113:$F$362)</f>
        <v>26671.1789943828</v>
      </c>
      <c r="E115" s="0" t="n">
        <f aca="false">IF(B115&gt;C115,1,0)</f>
        <v>0</v>
      </c>
      <c r="F115" s="0" t="n">
        <f aca="false">IF(B115&gt;D115,1,0)</f>
        <v>0</v>
      </c>
    </row>
    <row r="116" customFormat="false" ht="15" hidden="false" customHeight="false" outlineLevel="0" collapsed="false">
      <c r="A116" s="3" t="n">
        <f aca="false">Returns!A364</f>
        <v>45457</v>
      </c>
      <c r="B116" s="0" t="n">
        <f aca="false">-Returns!F364</f>
        <v>-1007.30514623596</v>
      </c>
      <c r="C116" s="0" t="n">
        <f aca="false">-PERCENTILE(Returns!$F$114:$F$363,0.01)</f>
        <v>26547.7591959259</v>
      </c>
      <c r="D116" s="0" t="n">
        <f aca="false">NORMSINV(0.99)*STDEV(Returns!$F$114:$F$363)</f>
        <v>26633.6292568914</v>
      </c>
      <c r="E116" s="0" t="n">
        <f aca="false">IF(B116&gt;C116,1,0)</f>
        <v>0</v>
      </c>
      <c r="F116" s="0" t="n">
        <f aca="false">IF(B116&gt;D116,1,0)</f>
        <v>0</v>
      </c>
    </row>
    <row r="117" customFormat="false" ht="15" hidden="false" customHeight="false" outlineLevel="0" collapsed="false">
      <c r="A117" s="3" t="n">
        <f aca="false">Returns!A365</f>
        <v>45460</v>
      </c>
      <c r="B117" s="0" t="n">
        <f aca="false">-Returns!F365</f>
        <v>-9325.64259653469</v>
      </c>
      <c r="C117" s="0" t="n">
        <f aca="false">-PERCENTILE(Returns!$F$115:$F$364,0.01)</f>
        <v>26547.7591959259</v>
      </c>
      <c r="D117" s="0" t="n">
        <f aca="false">NORMSINV(0.99)*STDEV(Returns!$F$115:$F$364)</f>
        <v>26620.5071441678</v>
      </c>
      <c r="E117" s="0" t="n">
        <f aca="false">IF(B117&gt;C117,1,0)</f>
        <v>0</v>
      </c>
      <c r="F117" s="0" t="n">
        <f aca="false">IF(B117&gt;D117,1,0)</f>
        <v>0</v>
      </c>
    </row>
    <row r="118" customFormat="false" ht="15" hidden="false" customHeight="false" outlineLevel="0" collapsed="false">
      <c r="A118" s="3" t="n">
        <f aca="false">Returns!A366</f>
        <v>45461</v>
      </c>
      <c r="B118" s="0" t="n">
        <f aca="false">-Returns!F366</f>
        <v>-9379.50918135261</v>
      </c>
      <c r="C118" s="0" t="n">
        <f aca="false">-PERCENTILE(Returns!$F$116:$F$365,0.01)</f>
        <v>26547.7591959259</v>
      </c>
      <c r="D118" s="0" t="n">
        <f aca="false">NORMSINV(0.99)*STDEV(Returns!$F$116:$F$365)</f>
        <v>26597.6660922253</v>
      </c>
      <c r="E118" s="0" t="n">
        <f aca="false">IF(B118&gt;C118,1,0)</f>
        <v>0</v>
      </c>
      <c r="F118" s="0" t="n">
        <f aca="false">IF(B118&gt;D118,1,0)</f>
        <v>0</v>
      </c>
    </row>
    <row r="119" customFormat="false" ht="15" hidden="false" customHeight="false" outlineLevel="0" collapsed="false">
      <c r="A119" s="3" t="n">
        <f aca="false">Returns!A367</f>
        <v>45463</v>
      </c>
      <c r="B119" s="0" t="n">
        <f aca="false">-Returns!F367</f>
        <v>-2976.57302980639</v>
      </c>
      <c r="C119" s="0" t="n">
        <f aca="false">-PERCENTILE(Returns!$F$117:$F$366,0.01)</f>
        <v>26547.7591959259</v>
      </c>
      <c r="D119" s="0" t="n">
        <f aca="false">NORMSINV(0.99)*STDEV(Returns!$F$117:$F$366)</f>
        <v>26609.2980418916</v>
      </c>
      <c r="E119" s="0" t="n">
        <f aca="false">IF(B119&gt;C119,1,0)</f>
        <v>0</v>
      </c>
      <c r="F119" s="0" t="n">
        <f aca="false">IF(B119&gt;D119,1,0)</f>
        <v>0</v>
      </c>
    </row>
    <row r="120" customFormat="false" ht="15" hidden="false" customHeight="false" outlineLevel="0" collapsed="false">
      <c r="A120" s="3" t="n">
        <f aca="false">Returns!A368</f>
        <v>45464</v>
      </c>
      <c r="B120" s="0" t="n">
        <f aca="false">-Returns!F368</f>
        <v>12542.0353625559</v>
      </c>
      <c r="C120" s="0" t="n">
        <f aca="false">-PERCENTILE(Returns!$F$118:$F$367,0.01)</f>
        <v>26547.7591959259</v>
      </c>
      <c r="D120" s="0" t="n">
        <f aca="false">NORMSINV(0.99)*STDEV(Returns!$F$118:$F$367)</f>
        <v>26412.9181075376</v>
      </c>
      <c r="E120" s="0" t="n">
        <f aca="false">IF(B120&gt;C120,1,0)</f>
        <v>0</v>
      </c>
      <c r="F120" s="0" t="n">
        <f aca="false">IF(B120&gt;D120,1,0)</f>
        <v>0</v>
      </c>
    </row>
    <row r="121" customFormat="false" ht="15" hidden="false" customHeight="false" outlineLevel="0" collapsed="false">
      <c r="A121" s="3" t="n">
        <f aca="false">Returns!A369</f>
        <v>45467</v>
      </c>
      <c r="B121" s="0" t="n">
        <f aca="false">-Returns!F369</f>
        <v>-12140.9468009126</v>
      </c>
      <c r="C121" s="0" t="n">
        <f aca="false">-PERCENTILE(Returns!$F$119:$F$368,0.01)</f>
        <v>26547.7591959259</v>
      </c>
      <c r="D121" s="0" t="n">
        <f aca="false">NORMSINV(0.99)*STDEV(Returns!$F$119:$F$368)</f>
        <v>26458.7252129772</v>
      </c>
      <c r="E121" s="0" t="n">
        <f aca="false">IF(B121&gt;C121,1,0)</f>
        <v>0</v>
      </c>
      <c r="F121" s="0" t="n">
        <f aca="false">IF(B121&gt;D121,1,0)</f>
        <v>0</v>
      </c>
    </row>
    <row r="122" customFormat="false" ht="15" hidden="false" customHeight="false" outlineLevel="0" collapsed="false">
      <c r="A122" s="3" t="n">
        <f aca="false">Returns!A370</f>
        <v>45468</v>
      </c>
      <c r="B122" s="0" t="n">
        <f aca="false">-Returns!F370</f>
        <v>4313.87890833222</v>
      </c>
      <c r="C122" s="0" t="n">
        <f aca="false">-PERCENTILE(Returns!$F$120:$F$369,0.01)</f>
        <v>26547.7591959259</v>
      </c>
      <c r="D122" s="0" t="n">
        <f aca="false">NORMSINV(0.99)*STDEV(Returns!$F$120:$F$369)</f>
        <v>26502.3886343828</v>
      </c>
      <c r="E122" s="0" t="n">
        <f aca="false">IF(B122&gt;C122,1,0)</f>
        <v>0</v>
      </c>
      <c r="F122" s="0" t="n">
        <f aca="false">IF(B122&gt;D122,1,0)</f>
        <v>0</v>
      </c>
    </row>
    <row r="123" customFormat="false" ht="15" hidden="false" customHeight="false" outlineLevel="0" collapsed="false">
      <c r="A123" s="3" t="n">
        <f aca="false">Returns!A371</f>
        <v>45469</v>
      </c>
      <c r="B123" s="0" t="n">
        <f aca="false">-Returns!F371</f>
        <v>7008.02388043963</v>
      </c>
      <c r="C123" s="0" t="n">
        <f aca="false">-PERCENTILE(Returns!$F$121:$F$370,0.01)</f>
        <v>26547.7591959259</v>
      </c>
      <c r="D123" s="0" t="n">
        <f aca="false">NORMSINV(0.99)*STDEV(Returns!$F$121:$F$370)</f>
        <v>26510.6496277835</v>
      </c>
      <c r="E123" s="0" t="n">
        <f aca="false">IF(B123&gt;C123,1,0)</f>
        <v>0</v>
      </c>
      <c r="F123" s="0" t="n">
        <f aca="false">IF(B123&gt;D123,1,0)</f>
        <v>0</v>
      </c>
    </row>
    <row r="124" customFormat="false" ht="15" hidden="false" customHeight="false" outlineLevel="0" collapsed="false">
      <c r="A124" s="3" t="n">
        <f aca="false">Returns!A372</f>
        <v>45470</v>
      </c>
      <c r="B124" s="0" t="n">
        <f aca="false">-Returns!F372</f>
        <v>-1938.80063296827</v>
      </c>
      <c r="C124" s="0" t="n">
        <f aca="false">-PERCENTILE(Returns!$F$122:$F$371,0.01)</f>
        <v>26547.7591959259</v>
      </c>
      <c r="D124" s="0" t="n">
        <f aca="false">NORMSINV(0.99)*STDEV(Returns!$F$122:$F$371)</f>
        <v>26521.9043890009</v>
      </c>
      <c r="E124" s="0" t="n">
        <f aca="false">IF(B124&gt;C124,1,0)</f>
        <v>0</v>
      </c>
      <c r="F124" s="0" t="n">
        <f aca="false">IF(B124&gt;D124,1,0)</f>
        <v>0</v>
      </c>
    </row>
    <row r="125" customFormat="false" ht="15" hidden="false" customHeight="false" outlineLevel="0" collapsed="false">
      <c r="A125" s="3" t="n">
        <f aca="false">Returns!A373</f>
        <v>45471</v>
      </c>
      <c r="B125" s="0" t="n">
        <f aca="false">-Returns!F373</f>
        <v>-14522.0096797121</v>
      </c>
      <c r="C125" s="0" t="n">
        <f aca="false">-PERCENTILE(Returns!$F$123:$F$372,0.01)</f>
        <v>26547.7591959259</v>
      </c>
      <c r="D125" s="0" t="n">
        <f aca="false">NORMSINV(0.99)*STDEV(Returns!$F$123:$F$372)</f>
        <v>26300.8404980802</v>
      </c>
      <c r="E125" s="0" t="n">
        <f aca="false">IF(B125&gt;C125,1,0)</f>
        <v>0</v>
      </c>
      <c r="F125" s="0" t="n">
        <f aca="false">IF(B125&gt;D125,1,0)</f>
        <v>0</v>
      </c>
    </row>
    <row r="126" customFormat="false" ht="15" hidden="false" customHeight="false" outlineLevel="0" collapsed="false">
      <c r="A126" s="3" t="n">
        <f aca="false">Returns!A374</f>
        <v>45474</v>
      </c>
      <c r="B126" s="0" t="n">
        <f aca="false">-Returns!F374</f>
        <v>-14084.5503817987</v>
      </c>
      <c r="C126" s="0" t="n">
        <f aca="false">-PERCENTILE(Returns!$F$124:$F$373,0.01)</f>
        <v>26547.7591959259</v>
      </c>
      <c r="D126" s="0" t="n">
        <f aca="false">NORMSINV(0.99)*STDEV(Returns!$F$124:$F$373)</f>
        <v>26362.8472620751</v>
      </c>
      <c r="E126" s="0" t="n">
        <f aca="false">IF(B126&gt;C126,1,0)</f>
        <v>0</v>
      </c>
      <c r="F126" s="0" t="n">
        <f aca="false">IF(B126&gt;D126,1,0)</f>
        <v>0</v>
      </c>
    </row>
    <row r="127" customFormat="false" ht="15" hidden="false" customHeight="false" outlineLevel="0" collapsed="false">
      <c r="A127" s="3" t="n">
        <f aca="false">Returns!A375</f>
        <v>45475</v>
      </c>
      <c r="B127" s="0" t="n">
        <f aca="false">-Returns!F375</f>
        <v>-14826.0682658677</v>
      </c>
      <c r="C127" s="0" t="n">
        <f aca="false">-PERCENTILE(Returns!$F$125:$F$374,0.01)</f>
        <v>26547.7591959259</v>
      </c>
      <c r="D127" s="0" t="n">
        <f aca="false">NORMSINV(0.99)*STDEV(Returns!$F$125:$F$374)</f>
        <v>26383.0225508559</v>
      </c>
      <c r="E127" s="0" t="n">
        <f aca="false">IF(B127&gt;C127,1,0)</f>
        <v>0</v>
      </c>
      <c r="F127" s="0" t="n">
        <f aca="false">IF(B127&gt;D127,1,0)</f>
        <v>0</v>
      </c>
    </row>
    <row r="128" customFormat="false" ht="15" hidden="false" customHeight="false" outlineLevel="0" collapsed="false">
      <c r="A128" s="3" t="n">
        <f aca="false">Returns!A376</f>
        <v>45476</v>
      </c>
      <c r="B128" s="0" t="n">
        <f aca="false">-Returns!F376</f>
        <v>-1163.03964403505</v>
      </c>
      <c r="C128" s="0" t="n">
        <f aca="false">-PERCENTILE(Returns!$F$126:$F$375,0.01)</f>
        <v>26547.7591959259</v>
      </c>
      <c r="D128" s="0" t="n">
        <f aca="false">NORMSINV(0.99)*STDEV(Returns!$F$126:$F$375)</f>
        <v>26439.4798861656</v>
      </c>
      <c r="E128" s="0" t="n">
        <f aca="false">IF(B128&gt;C128,1,0)</f>
        <v>0</v>
      </c>
      <c r="F128" s="0" t="n">
        <f aca="false">IF(B128&gt;D128,1,0)</f>
        <v>0</v>
      </c>
    </row>
    <row r="129" customFormat="false" ht="15" hidden="false" customHeight="false" outlineLevel="0" collapsed="false">
      <c r="A129" s="3" t="n">
        <f aca="false">Returns!A377</f>
        <v>45478</v>
      </c>
      <c r="B129" s="0" t="n">
        <f aca="false">-Returns!F377</f>
        <v>10783.4282221406</v>
      </c>
      <c r="C129" s="0" t="n">
        <f aca="false">-PERCENTILE(Returns!$F$127:$F$376,0.01)</f>
        <v>26547.7591959259</v>
      </c>
      <c r="D129" s="0" t="n">
        <f aca="false">NORMSINV(0.99)*STDEV(Returns!$F$127:$F$376)</f>
        <v>26223.7989687805</v>
      </c>
      <c r="E129" s="0" t="n">
        <f aca="false">IF(B129&gt;C129,1,0)</f>
        <v>0</v>
      </c>
      <c r="F129" s="0" t="n">
        <f aca="false">IF(B129&gt;D129,1,0)</f>
        <v>0</v>
      </c>
    </row>
    <row r="130" customFormat="false" ht="15" hidden="false" customHeight="false" outlineLevel="0" collapsed="false">
      <c r="A130" s="3" t="n">
        <f aca="false">Returns!A378</f>
        <v>45481</v>
      </c>
      <c r="B130" s="0" t="n">
        <f aca="false">-Returns!F378</f>
        <v>-5293.88234304772</v>
      </c>
      <c r="C130" s="0" t="n">
        <f aca="false">-PERCENTILE(Returns!$F$128:$F$377,0.01)</f>
        <v>26547.7591959259</v>
      </c>
      <c r="D130" s="0" t="n">
        <f aca="false">NORMSINV(0.99)*STDEV(Returns!$F$128:$F$377)</f>
        <v>26276.1718887825</v>
      </c>
      <c r="E130" s="0" t="n">
        <f aca="false">IF(B130&gt;C130,1,0)</f>
        <v>0</v>
      </c>
      <c r="F130" s="0" t="n">
        <f aca="false">IF(B130&gt;D130,1,0)</f>
        <v>0</v>
      </c>
    </row>
    <row r="131" customFormat="false" ht="15" hidden="false" customHeight="false" outlineLevel="0" collapsed="false">
      <c r="A131" s="3" t="n">
        <f aca="false">Returns!A379</f>
        <v>45482</v>
      </c>
      <c r="B131" s="0" t="n">
        <f aca="false">-Returns!F379</f>
        <v>-16583.2649601107</v>
      </c>
      <c r="C131" s="0" t="n">
        <f aca="false">-PERCENTILE(Returns!$F$129:$F$378,0.01)</f>
        <v>26547.7591959259</v>
      </c>
      <c r="D131" s="0" t="n">
        <f aca="false">NORMSINV(0.99)*STDEV(Returns!$F$129:$F$378)</f>
        <v>26280.2719331973</v>
      </c>
      <c r="E131" s="0" t="n">
        <f aca="false">IF(B131&gt;C131,1,0)</f>
        <v>0</v>
      </c>
      <c r="F131" s="0" t="n">
        <f aca="false">IF(B131&gt;D131,1,0)</f>
        <v>0</v>
      </c>
    </row>
    <row r="132" customFormat="false" ht="15" hidden="false" customHeight="false" outlineLevel="0" collapsed="false">
      <c r="A132" s="3" t="n">
        <f aca="false">Returns!A380</f>
        <v>45483</v>
      </c>
      <c r="B132" s="0" t="n">
        <f aca="false">-Returns!F380</f>
        <v>-5111.11943615601</v>
      </c>
      <c r="C132" s="0" t="n">
        <f aca="false">-PERCENTILE(Returns!$F$130:$F$379,0.01)</f>
        <v>26547.7591959259</v>
      </c>
      <c r="D132" s="0" t="n">
        <f aca="false">NORMSINV(0.99)*STDEV(Returns!$F$130:$F$379)</f>
        <v>26293.3161132317</v>
      </c>
      <c r="E132" s="0" t="n">
        <f aca="false">IF(B132&gt;C132,1,0)</f>
        <v>0</v>
      </c>
      <c r="F132" s="0" t="n">
        <f aca="false">IF(B132&gt;D132,1,0)</f>
        <v>0</v>
      </c>
    </row>
    <row r="133" customFormat="false" ht="15" hidden="false" customHeight="false" outlineLevel="0" collapsed="false">
      <c r="A133" s="3" t="n">
        <f aca="false">Returns!A381</f>
        <v>45484</v>
      </c>
      <c r="B133" s="0" t="n">
        <f aca="false">-Returns!F381</f>
        <v>-3230.58234529556</v>
      </c>
      <c r="C133" s="0" t="n">
        <f aca="false">-PERCENTILE(Returns!$F$131:$F$380,0.01)</f>
        <v>26547.7591959259</v>
      </c>
      <c r="D133" s="0" t="n">
        <f aca="false">NORMSINV(0.99)*STDEV(Returns!$F$131:$F$380)</f>
        <v>26279.0142407826</v>
      </c>
      <c r="E133" s="0" t="n">
        <f aca="false">IF(B133&gt;C133,1,0)</f>
        <v>0</v>
      </c>
      <c r="F133" s="0" t="n">
        <f aca="false">IF(B133&gt;D133,1,0)</f>
        <v>0</v>
      </c>
    </row>
    <row r="134" customFormat="false" ht="15" hidden="false" customHeight="false" outlineLevel="0" collapsed="false">
      <c r="A134" s="3" t="n">
        <f aca="false">Returns!A382</f>
        <v>45485</v>
      </c>
      <c r="B134" s="0" t="n">
        <f aca="false">-Returns!F382</f>
        <v>8032.95015190944</v>
      </c>
      <c r="C134" s="0" t="n">
        <f aca="false">-PERCENTILE(Returns!$F$132:$F$381,0.01)</f>
        <v>26547.7591959259</v>
      </c>
      <c r="D134" s="0" t="n">
        <f aca="false">NORMSINV(0.99)*STDEV(Returns!$F$132:$F$381)</f>
        <v>26268.8404458445</v>
      </c>
      <c r="E134" s="0" t="n">
        <f aca="false">IF(B134&gt;C134,1,0)</f>
        <v>0</v>
      </c>
      <c r="F134" s="0" t="n">
        <f aca="false">IF(B134&gt;D134,1,0)</f>
        <v>0</v>
      </c>
    </row>
    <row r="135" customFormat="false" ht="15" hidden="false" customHeight="false" outlineLevel="0" collapsed="false">
      <c r="A135" s="3" t="n">
        <f aca="false">Returns!A383</f>
        <v>45488</v>
      </c>
      <c r="B135" s="0" t="n">
        <f aca="false">-Returns!F383</f>
        <v>-15360.8332257755</v>
      </c>
      <c r="C135" s="0" t="n">
        <f aca="false">-PERCENTILE(Returns!$F$133:$F$382,0.01)</f>
        <v>26547.7591959259</v>
      </c>
      <c r="D135" s="0" t="n">
        <f aca="false">NORMSINV(0.99)*STDEV(Returns!$F$133:$F$382)</f>
        <v>26289.4232641882</v>
      </c>
      <c r="E135" s="0" t="n">
        <f aca="false">IF(B135&gt;C135,1,0)</f>
        <v>0</v>
      </c>
      <c r="F135" s="0" t="n">
        <f aca="false">IF(B135&gt;D135,1,0)</f>
        <v>0</v>
      </c>
    </row>
    <row r="136" customFormat="false" ht="15" hidden="false" customHeight="false" outlineLevel="0" collapsed="false">
      <c r="A136" s="3" t="n">
        <f aca="false">Returns!A384</f>
        <v>45489</v>
      </c>
      <c r="B136" s="0" t="n">
        <f aca="false">-Returns!F384</f>
        <v>-25092.8099324883</v>
      </c>
      <c r="C136" s="0" t="n">
        <f aca="false">-PERCENTILE(Returns!$F$134:$F$383,0.01)</f>
        <v>26547.7591959259</v>
      </c>
      <c r="D136" s="0" t="n">
        <f aca="false">NORMSINV(0.99)*STDEV(Returns!$F$134:$F$383)</f>
        <v>26298.5043451026</v>
      </c>
      <c r="E136" s="0" t="n">
        <f aca="false">IF(B136&gt;C136,1,0)</f>
        <v>0</v>
      </c>
      <c r="F136" s="0" t="n">
        <f aca="false">IF(B136&gt;D136,1,0)</f>
        <v>0</v>
      </c>
    </row>
    <row r="137" customFormat="false" ht="15" hidden="false" customHeight="false" outlineLevel="0" collapsed="false">
      <c r="A137" s="3" t="n">
        <f aca="false">Returns!A385</f>
        <v>45490</v>
      </c>
      <c r="B137" s="0" t="n">
        <f aca="false">-Returns!F385</f>
        <v>-7100.96978169648</v>
      </c>
      <c r="C137" s="0" t="n">
        <f aca="false">-PERCENTILE(Returns!$F$135:$F$384,0.01)</f>
        <v>26547.7591959259</v>
      </c>
      <c r="D137" s="0" t="n">
        <f aca="false">NORMSINV(0.99)*STDEV(Returns!$F$135:$F$384)</f>
        <v>26130.5472346309</v>
      </c>
      <c r="E137" s="0" t="n">
        <f aca="false">IF(B137&gt;C137,1,0)</f>
        <v>0</v>
      </c>
      <c r="F137" s="0" t="n">
        <f aca="false">IF(B137&gt;D137,1,0)</f>
        <v>0</v>
      </c>
    </row>
    <row r="138" customFormat="false" ht="15" hidden="false" customHeight="false" outlineLevel="0" collapsed="false">
      <c r="A138" s="3" t="n">
        <f aca="false">Returns!A386</f>
        <v>45491</v>
      </c>
      <c r="B138" s="0" t="n">
        <f aca="false">-Returns!F386</f>
        <v>25696.7845266055</v>
      </c>
      <c r="C138" s="0" t="n">
        <f aca="false">-PERCENTILE(Returns!$F$136:$F$385,0.01)</f>
        <v>26547.7591959259</v>
      </c>
      <c r="D138" s="0" t="n">
        <f aca="false">NORMSINV(0.99)*STDEV(Returns!$F$136:$F$385)</f>
        <v>26082.4083237116</v>
      </c>
      <c r="E138" s="0" t="n">
        <f aca="false">IF(B138&gt;C138,1,0)</f>
        <v>0</v>
      </c>
      <c r="F138" s="0" t="n">
        <f aca="false">IF(B138&gt;D138,1,0)</f>
        <v>0</v>
      </c>
    </row>
    <row r="139" customFormat="false" ht="15" hidden="false" customHeight="false" outlineLevel="0" collapsed="false">
      <c r="A139" s="3" t="n">
        <f aca="false">Returns!A387</f>
        <v>45492</v>
      </c>
      <c r="B139" s="0" t="n">
        <f aca="false">-Returns!F387</f>
        <v>9037.6109113291</v>
      </c>
      <c r="C139" s="0" t="n">
        <f aca="false">-PERCENTILE(Returns!$F$137:$F$386,0.01)</f>
        <v>27320.1399839193</v>
      </c>
      <c r="D139" s="0" t="n">
        <f aca="false">NORMSINV(0.99)*STDEV(Returns!$F$137:$F$386)</f>
        <v>26359.3518170303</v>
      </c>
      <c r="E139" s="0" t="n">
        <f aca="false">IF(B139&gt;C139,1,0)</f>
        <v>0</v>
      </c>
      <c r="F139" s="0" t="n">
        <f aca="false">IF(B139&gt;D139,1,0)</f>
        <v>0</v>
      </c>
    </row>
    <row r="140" customFormat="false" ht="15" hidden="false" customHeight="false" outlineLevel="0" collapsed="false">
      <c r="A140" s="3" t="n">
        <f aca="false">Returns!A388</f>
        <v>45495</v>
      </c>
      <c r="B140" s="0" t="n">
        <f aca="false">-Returns!F388</f>
        <v>2246.53783297753</v>
      </c>
      <c r="C140" s="0" t="n">
        <f aca="false">-PERCENTILE(Returns!$F$138:$F$387,0.01)</f>
        <v>27320.1399839193</v>
      </c>
      <c r="D140" s="0" t="n">
        <f aca="false">NORMSINV(0.99)*STDEV(Returns!$F$138:$F$387)</f>
        <v>26401.2680235693</v>
      </c>
      <c r="E140" s="0" t="n">
        <f aca="false">IF(B140&gt;C140,1,0)</f>
        <v>0</v>
      </c>
      <c r="F140" s="0" t="n">
        <f aca="false">IF(B140&gt;D140,1,0)</f>
        <v>0</v>
      </c>
    </row>
    <row r="141" customFormat="false" ht="15" hidden="false" customHeight="false" outlineLevel="0" collapsed="false">
      <c r="A141" s="3" t="n">
        <f aca="false">Returns!A389</f>
        <v>45496</v>
      </c>
      <c r="B141" s="0" t="n">
        <f aca="false">-Returns!F389</f>
        <v>-3962.51986153482</v>
      </c>
      <c r="C141" s="0" t="n">
        <f aca="false">-PERCENTILE(Returns!$F$139:$F$388,0.01)</f>
        <v>27320.1399839193</v>
      </c>
      <c r="D141" s="0" t="n">
        <f aca="false">NORMSINV(0.99)*STDEV(Returns!$F$139:$F$388)</f>
        <v>26311.7468566386</v>
      </c>
      <c r="E141" s="0" t="n">
        <f aca="false">IF(B141&gt;C141,1,0)</f>
        <v>0</v>
      </c>
      <c r="F141" s="0" t="n">
        <f aca="false">IF(B141&gt;D141,1,0)</f>
        <v>0</v>
      </c>
    </row>
    <row r="142" customFormat="false" ht="15" hidden="false" customHeight="false" outlineLevel="0" collapsed="false">
      <c r="A142" s="3" t="n">
        <f aca="false">Returns!A390</f>
        <v>45497</v>
      </c>
      <c r="B142" s="0" t="n">
        <f aca="false">-Returns!F390</f>
        <v>9350.94476951097</v>
      </c>
      <c r="C142" s="0" t="n">
        <f aca="false">-PERCENTILE(Returns!$F$140:$F$389,0.01)</f>
        <v>27320.1399839193</v>
      </c>
      <c r="D142" s="0" t="n">
        <f aca="false">NORMSINV(0.99)*STDEV(Returns!$F$140:$F$389)</f>
        <v>26278.5791795311</v>
      </c>
      <c r="E142" s="0" t="n">
        <f aca="false">IF(B142&gt;C142,1,0)</f>
        <v>0</v>
      </c>
      <c r="F142" s="0" t="n">
        <f aca="false">IF(B142&gt;D142,1,0)</f>
        <v>0</v>
      </c>
    </row>
    <row r="143" customFormat="false" ht="15" hidden="false" customHeight="false" outlineLevel="0" collapsed="false">
      <c r="A143" s="3" t="n">
        <f aca="false">Returns!A391</f>
        <v>45498</v>
      </c>
      <c r="B143" s="0" t="n">
        <f aca="false">-Returns!F391</f>
        <v>-1146.50351510547</v>
      </c>
      <c r="C143" s="0" t="n">
        <f aca="false">-PERCENTILE(Returns!$F$141:$F$390,0.01)</f>
        <v>27320.1399839193</v>
      </c>
      <c r="D143" s="0" t="n">
        <f aca="false">NORMSINV(0.99)*STDEV(Returns!$F$141:$F$390)</f>
        <v>26322.5593237041</v>
      </c>
      <c r="E143" s="0" t="n">
        <f aca="false">IF(B143&gt;C143,1,0)</f>
        <v>0</v>
      </c>
      <c r="F143" s="0" t="n">
        <f aca="false">IF(B143&gt;D143,1,0)</f>
        <v>0</v>
      </c>
    </row>
    <row r="144" customFormat="false" ht="15" hidden="false" customHeight="false" outlineLevel="0" collapsed="false">
      <c r="A144" s="3" t="n">
        <f aca="false">Returns!A392</f>
        <v>45499</v>
      </c>
      <c r="B144" s="0" t="n">
        <f aca="false">-Returns!F392</f>
        <v>-8533.02741197376</v>
      </c>
      <c r="C144" s="0" t="n">
        <f aca="false">-PERCENTILE(Returns!$F$142:$F$391,0.01)</f>
        <v>27320.1399839193</v>
      </c>
      <c r="D144" s="0" t="n">
        <f aca="false">NORMSINV(0.99)*STDEV(Returns!$F$142:$F$391)</f>
        <v>26260.1947425352</v>
      </c>
      <c r="E144" s="0" t="n">
        <f aca="false">IF(B144&gt;C144,1,0)</f>
        <v>0</v>
      </c>
      <c r="F144" s="0" t="n">
        <f aca="false">IF(B144&gt;D144,1,0)</f>
        <v>0</v>
      </c>
    </row>
    <row r="145" customFormat="false" ht="15" hidden="false" customHeight="false" outlineLevel="0" collapsed="false">
      <c r="A145" s="3" t="n">
        <f aca="false">Returns!A393</f>
        <v>45502</v>
      </c>
      <c r="B145" s="0" t="n">
        <f aca="false">-Returns!F393</f>
        <v>11797.7985379637</v>
      </c>
      <c r="C145" s="0" t="n">
        <f aca="false">-PERCENTILE(Returns!$F$143:$F$392,0.01)</f>
        <v>27320.1399839193</v>
      </c>
      <c r="D145" s="0" t="n">
        <f aca="false">NORMSINV(0.99)*STDEV(Returns!$F$143:$F$392)</f>
        <v>26283.278613468</v>
      </c>
      <c r="E145" s="0" t="n">
        <f aca="false">IF(B145&gt;C145,1,0)</f>
        <v>0</v>
      </c>
      <c r="F145" s="0" t="n">
        <f aca="false">IF(B145&gt;D145,1,0)</f>
        <v>0</v>
      </c>
    </row>
    <row r="146" customFormat="false" ht="15" hidden="false" customHeight="false" outlineLevel="0" collapsed="false">
      <c r="A146" s="3" t="n">
        <f aca="false">Returns!A394</f>
        <v>45503</v>
      </c>
      <c r="B146" s="0" t="n">
        <f aca="false">-Returns!F394</f>
        <v>-13257.5864952143</v>
      </c>
      <c r="C146" s="0" t="n">
        <f aca="false">-PERCENTILE(Returns!$F$144:$F$393,0.01)</f>
        <v>27320.1399839193</v>
      </c>
      <c r="D146" s="0" t="n">
        <f aca="false">NORMSINV(0.99)*STDEV(Returns!$F$144:$F$393)</f>
        <v>26348.6895690184</v>
      </c>
      <c r="E146" s="0" t="n">
        <f aca="false">IF(B146&gt;C146,1,0)</f>
        <v>0</v>
      </c>
      <c r="F146" s="0" t="n">
        <f aca="false">IF(B146&gt;D146,1,0)</f>
        <v>0</v>
      </c>
    </row>
    <row r="147" customFormat="false" ht="15" hidden="false" customHeight="false" outlineLevel="0" collapsed="false">
      <c r="A147" s="3" t="n">
        <f aca="false">Returns!A395</f>
        <v>45504</v>
      </c>
      <c r="B147" s="0" t="n">
        <f aca="false">-Returns!F395</f>
        <v>10508.9726341565</v>
      </c>
      <c r="C147" s="0" t="n">
        <f aca="false">-PERCENTILE(Returns!$F$145:$F$394,0.01)</f>
        <v>27320.1399839193</v>
      </c>
      <c r="D147" s="0" t="n">
        <f aca="false">NORMSINV(0.99)*STDEV(Returns!$F$145:$F$394)</f>
        <v>26379.2374559436</v>
      </c>
      <c r="E147" s="0" t="n">
        <f aca="false">IF(B147&gt;C147,1,0)</f>
        <v>0</v>
      </c>
      <c r="F147" s="0" t="n">
        <f aca="false">IF(B147&gt;D147,1,0)</f>
        <v>0</v>
      </c>
    </row>
    <row r="148" customFormat="false" ht="15" hidden="false" customHeight="false" outlineLevel="0" collapsed="false">
      <c r="A148" s="3" t="n">
        <f aca="false">Returns!A396</f>
        <v>45505</v>
      </c>
      <c r="B148" s="0" t="n">
        <f aca="false">-Returns!F396</f>
        <v>19537.2235021554</v>
      </c>
      <c r="C148" s="0" t="n">
        <f aca="false">-PERCENTILE(Returns!$F$146:$F$395,0.01)</f>
        <v>27320.1399839193</v>
      </c>
      <c r="D148" s="0" t="n">
        <f aca="false">NORMSINV(0.99)*STDEV(Returns!$F$146:$F$395)</f>
        <v>26340.1025313692</v>
      </c>
      <c r="E148" s="0" t="n">
        <f aca="false">IF(B148&gt;C148,1,0)</f>
        <v>0</v>
      </c>
      <c r="F148" s="0" t="n">
        <f aca="false">IF(B148&gt;D148,1,0)</f>
        <v>0</v>
      </c>
    </row>
    <row r="149" customFormat="false" ht="15" hidden="false" customHeight="false" outlineLevel="0" collapsed="false">
      <c r="A149" s="3" t="n">
        <f aca="false">Returns!A397</f>
        <v>45506</v>
      </c>
      <c r="B149" s="0" t="n">
        <f aca="false">-Returns!F397</f>
        <v>50233.3616393437</v>
      </c>
      <c r="C149" s="0" t="n">
        <f aca="false">-PERCENTILE(Returns!$F$147:$F$396,0.01)</f>
        <v>27320.1399839193</v>
      </c>
      <c r="D149" s="0" t="n">
        <f aca="false">NORMSINV(0.99)*STDEV(Returns!$F$147:$F$396)</f>
        <v>26511.1600254732</v>
      </c>
      <c r="E149" s="0" t="n">
        <f aca="false">IF(B149&gt;C149,1,0)</f>
        <v>1</v>
      </c>
      <c r="F149" s="0" t="n">
        <f aca="false">IF(B149&gt;D149,1,0)</f>
        <v>1</v>
      </c>
    </row>
    <row r="150" customFormat="false" ht="15" hidden="false" customHeight="false" outlineLevel="0" collapsed="false">
      <c r="A150" s="3" t="n">
        <f aca="false">Returns!A398</f>
        <v>45509</v>
      </c>
      <c r="B150" s="0" t="n">
        <f aca="false">-Returns!F398</f>
        <v>28196.7909875886</v>
      </c>
      <c r="C150" s="0" t="n">
        <f aca="false">-PERCENTILE(Returns!$F$148:$F$397,0.01)</f>
        <v>30889.9115398962</v>
      </c>
      <c r="D150" s="0" t="n">
        <f aca="false">NORMSINV(0.99)*STDEV(Returns!$F$148:$F$397)</f>
        <v>27556.5624126816</v>
      </c>
      <c r="E150" s="0" t="n">
        <f aca="false">IF(B150&gt;C150,1,0)</f>
        <v>0</v>
      </c>
      <c r="F150" s="0" t="n">
        <f aca="false">IF(B150&gt;D150,1,0)</f>
        <v>1</v>
      </c>
    </row>
    <row r="151" customFormat="false" ht="15" hidden="false" customHeight="false" outlineLevel="0" collapsed="false">
      <c r="A151" s="3" t="n">
        <f aca="false">Returns!A399</f>
        <v>45510</v>
      </c>
      <c r="B151" s="0" t="n">
        <f aca="false">-Returns!F399</f>
        <v>-16131.9839824005</v>
      </c>
      <c r="C151" s="0" t="n">
        <f aca="false">-PERCENTILE(Returns!$F$149:$F$398,0.01)</f>
        <v>30889.9115398962</v>
      </c>
      <c r="D151" s="0" t="n">
        <f aca="false">NORMSINV(0.99)*STDEV(Returns!$F$149:$F$398)</f>
        <v>27862.3982863234</v>
      </c>
      <c r="E151" s="0" t="n">
        <f aca="false">IF(B151&gt;C151,1,0)</f>
        <v>0</v>
      </c>
      <c r="F151" s="0" t="n">
        <f aca="false">IF(B151&gt;D151,1,0)</f>
        <v>0</v>
      </c>
    </row>
    <row r="152" customFormat="false" ht="15" hidden="false" customHeight="false" outlineLevel="0" collapsed="false">
      <c r="A152" s="3" t="n">
        <f aca="false">Returns!A400</f>
        <v>45511</v>
      </c>
      <c r="B152" s="0" t="n">
        <f aca="false">-Returns!F400</f>
        <v>-403.843843023284</v>
      </c>
      <c r="C152" s="0" t="n">
        <f aca="false">-PERCENTILE(Returns!$F$150:$F$399,0.01)</f>
        <v>30889.9115398962</v>
      </c>
      <c r="D152" s="0" t="n">
        <f aca="false">NORMSINV(0.99)*STDEV(Returns!$F$150:$F$399)</f>
        <v>27909.0422108913</v>
      </c>
      <c r="E152" s="0" t="n">
        <f aca="false">IF(B152&gt;C152,1,0)</f>
        <v>0</v>
      </c>
      <c r="F152" s="0" t="n">
        <f aca="false">IF(B152&gt;D152,1,0)</f>
        <v>0</v>
      </c>
    </row>
    <row r="153" customFormat="false" ht="15" hidden="false" customHeight="false" outlineLevel="0" collapsed="false">
      <c r="A153" s="3" t="n">
        <f aca="false">Returns!A401</f>
        <v>45512</v>
      </c>
      <c r="B153" s="0" t="n">
        <f aca="false">-Returns!F401</f>
        <v>-22567.9865337167</v>
      </c>
      <c r="C153" s="0" t="n">
        <f aca="false">-PERCENTILE(Returns!$F$151:$F$400,0.01)</f>
        <v>30889.9115398962</v>
      </c>
      <c r="D153" s="0" t="n">
        <f aca="false">NORMSINV(0.99)*STDEV(Returns!$F$151:$F$400)</f>
        <v>27840.4567448492</v>
      </c>
      <c r="E153" s="0" t="n">
        <f aca="false">IF(B153&gt;C153,1,0)</f>
        <v>0</v>
      </c>
      <c r="F153" s="0" t="n">
        <f aca="false">IF(B153&gt;D153,1,0)</f>
        <v>0</v>
      </c>
    </row>
    <row r="154" customFormat="false" ht="15" hidden="false" customHeight="false" outlineLevel="0" collapsed="false">
      <c r="A154" s="3" t="n">
        <f aca="false">Returns!A402</f>
        <v>45513</v>
      </c>
      <c r="B154" s="0" t="n">
        <f aca="false">-Returns!F402</f>
        <v>-4230.51218752033</v>
      </c>
      <c r="C154" s="0" t="n">
        <f aca="false">-PERCENTILE(Returns!$F$152:$F$401,0.01)</f>
        <v>30889.9115398962</v>
      </c>
      <c r="D154" s="0" t="n">
        <f aca="false">NORMSINV(0.99)*STDEV(Returns!$F$152:$F$401)</f>
        <v>28023.4048976264</v>
      </c>
      <c r="E154" s="0" t="n">
        <f aca="false">IF(B154&gt;C154,1,0)</f>
        <v>0</v>
      </c>
      <c r="F154" s="0" t="n">
        <f aca="false">IF(B154&gt;D154,1,0)</f>
        <v>0</v>
      </c>
    </row>
    <row r="155" customFormat="false" ht="15" hidden="false" customHeight="false" outlineLevel="0" collapsed="false">
      <c r="A155" s="3" t="n">
        <f aca="false">Returns!A403</f>
        <v>45516</v>
      </c>
      <c r="B155" s="0" t="n">
        <f aca="false">-Returns!F403</f>
        <v>-273.894122453743</v>
      </c>
      <c r="C155" s="0" t="n">
        <f aca="false">-PERCENTILE(Returns!$F$153:$F$402,0.01)</f>
        <v>30889.9115398962</v>
      </c>
      <c r="D155" s="0" t="n">
        <f aca="false">NORMSINV(0.99)*STDEV(Returns!$F$153:$F$402)</f>
        <v>28018.0692185201</v>
      </c>
      <c r="E155" s="0" t="n">
        <f aca="false">IF(B155&gt;C155,1,0)</f>
        <v>0</v>
      </c>
      <c r="F155" s="0" t="n">
        <f aca="false">IF(B155&gt;D155,1,0)</f>
        <v>0</v>
      </c>
    </row>
    <row r="156" customFormat="false" ht="15" hidden="false" customHeight="false" outlineLevel="0" collapsed="false">
      <c r="A156" s="3" t="n">
        <f aca="false">Returns!A404</f>
        <v>45517</v>
      </c>
      <c r="B156" s="0" t="n">
        <f aca="false">-Returns!F404</f>
        <v>-11508.8831652364</v>
      </c>
      <c r="C156" s="0" t="n">
        <f aca="false">-PERCENTILE(Returns!$F$154:$F$403,0.01)</f>
        <v>30889.9115398962</v>
      </c>
      <c r="D156" s="0" t="n">
        <f aca="false">NORMSINV(0.99)*STDEV(Returns!$F$154:$F$403)</f>
        <v>28009.1572921367</v>
      </c>
      <c r="E156" s="0" t="n">
        <f aca="false">IF(B156&gt;C156,1,0)</f>
        <v>0</v>
      </c>
      <c r="F156" s="0" t="n">
        <f aca="false">IF(B156&gt;D156,1,0)</f>
        <v>0</v>
      </c>
    </row>
    <row r="157" customFormat="false" ht="15" hidden="false" customHeight="false" outlineLevel="0" collapsed="false">
      <c r="A157" s="3" t="n">
        <f aca="false">Returns!A405</f>
        <v>45518</v>
      </c>
      <c r="B157" s="0" t="n">
        <f aca="false">-Returns!F405</f>
        <v>-15469.1534570356</v>
      </c>
      <c r="C157" s="0" t="n">
        <f aca="false">-PERCENTILE(Returns!$F$155:$F$404,0.01)</f>
        <v>30889.9115398962</v>
      </c>
      <c r="D157" s="0" t="n">
        <f aca="false">NORMSINV(0.99)*STDEV(Returns!$F$155:$F$404)</f>
        <v>27806.3066532844</v>
      </c>
      <c r="E157" s="0" t="n">
        <f aca="false">IF(B157&gt;C157,1,0)</f>
        <v>0</v>
      </c>
      <c r="F157" s="0" t="n">
        <f aca="false">IF(B157&gt;D157,1,0)</f>
        <v>0</v>
      </c>
    </row>
    <row r="158" customFormat="false" ht="15" hidden="false" customHeight="false" outlineLevel="0" collapsed="false">
      <c r="A158" s="3" t="n">
        <f aca="false">Returns!A406</f>
        <v>45519</v>
      </c>
      <c r="B158" s="0" t="n">
        <f aca="false">-Returns!F406</f>
        <v>-7779.04257836129</v>
      </c>
      <c r="C158" s="0" t="n">
        <f aca="false">-PERCENTILE(Returns!$F$156:$F$405,0.01)</f>
        <v>30889.9115398962</v>
      </c>
      <c r="D158" s="0" t="n">
        <f aca="false">NORMSINV(0.99)*STDEV(Returns!$F$156:$F$405)</f>
        <v>27847.5900908393</v>
      </c>
      <c r="E158" s="0" t="n">
        <f aca="false">IF(B158&gt;C158,1,0)</f>
        <v>0</v>
      </c>
      <c r="F158" s="0" t="n">
        <f aca="false">IF(B158&gt;D158,1,0)</f>
        <v>0</v>
      </c>
    </row>
    <row r="159" customFormat="false" ht="15" hidden="false" customHeight="false" outlineLevel="0" collapsed="false">
      <c r="A159" s="3" t="n">
        <f aca="false">Returns!A407</f>
        <v>45520</v>
      </c>
      <c r="B159" s="0" t="n">
        <f aca="false">-Returns!F407</f>
        <v>-9298.44614452372</v>
      </c>
      <c r="C159" s="0" t="n">
        <f aca="false">-PERCENTILE(Returns!$F$157:$F$406,0.01)</f>
        <v>30889.9115398962</v>
      </c>
      <c r="D159" s="0" t="n">
        <f aca="false">NORMSINV(0.99)*STDEV(Returns!$F$157:$F$406)</f>
        <v>27849.6013914969</v>
      </c>
      <c r="E159" s="0" t="n">
        <f aca="false">IF(B159&gt;C159,1,0)</f>
        <v>0</v>
      </c>
      <c r="F159" s="0" t="n">
        <f aca="false">IF(B159&gt;D159,1,0)</f>
        <v>0</v>
      </c>
    </row>
    <row r="160" customFormat="false" ht="15" hidden="false" customHeight="false" outlineLevel="0" collapsed="false">
      <c r="A160" s="3" t="n">
        <f aca="false">Returns!A408</f>
        <v>45523</v>
      </c>
      <c r="B160" s="0" t="n">
        <f aca="false">-Returns!F408</f>
        <v>-6178.68706012993</v>
      </c>
      <c r="C160" s="0" t="n">
        <f aca="false">-PERCENTILE(Returns!$F$158:$F$407,0.01)</f>
        <v>30889.9115398962</v>
      </c>
      <c r="D160" s="0" t="n">
        <f aca="false">NORMSINV(0.99)*STDEV(Returns!$F$158:$F$407)</f>
        <v>27864.1236906107</v>
      </c>
      <c r="E160" s="0" t="n">
        <f aca="false">IF(B160&gt;C160,1,0)</f>
        <v>0</v>
      </c>
      <c r="F160" s="0" t="n">
        <f aca="false">IF(B160&gt;D160,1,0)</f>
        <v>0</v>
      </c>
    </row>
    <row r="161" customFormat="false" ht="15" hidden="false" customHeight="false" outlineLevel="0" collapsed="false">
      <c r="A161" s="3" t="n">
        <f aca="false">Returns!A409</f>
        <v>45524</v>
      </c>
      <c r="B161" s="0" t="n">
        <f aca="false">-Returns!F409</f>
        <v>12108.3790014909</v>
      </c>
      <c r="C161" s="0" t="n">
        <f aca="false">-PERCENTILE(Returns!$F$159:$F$408,0.01)</f>
        <v>30889.9115398962</v>
      </c>
      <c r="D161" s="0" t="n">
        <f aca="false">NORMSINV(0.99)*STDEV(Returns!$F$159:$F$408)</f>
        <v>27872.201550198</v>
      </c>
      <c r="E161" s="0" t="n">
        <f aca="false">IF(B161&gt;C161,1,0)</f>
        <v>0</v>
      </c>
      <c r="F161" s="0" t="n">
        <f aca="false">IF(B161&gt;D161,1,0)</f>
        <v>0</v>
      </c>
    </row>
    <row r="162" customFormat="false" ht="15" hidden="false" customHeight="false" outlineLevel="0" collapsed="false">
      <c r="A162" s="3" t="n">
        <f aca="false">Returns!A410</f>
        <v>45525</v>
      </c>
      <c r="B162" s="0" t="n">
        <f aca="false">-Returns!F410</f>
        <v>-346.100420694724</v>
      </c>
      <c r="C162" s="0" t="n">
        <f aca="false">-PERCENTILE(Returns!$F$160:$F$409,0.01)</f>
        <v>30889.9115398962</v>
      </c>
      <c r="D162" s="0" t="n">
        <f aca="false">NORMSINV(0.99)*STDEV(Returns!$F$160:$F$409)</f>
        <v>27759.4097717801</v>
      </c>
      <c r="E162" s="0" t="n">
        <f aca="false">IF(B162&gt;C162,1,0)</f>
        <v>0</v>
      </c>
      <c r="F162" s="0" t="n">
        <f aca="false">IF(B162&gt;D162,1,0)</f>
        <v>0</v>
      </c>
    </row>
    <row r="163" customFormat="false" ht="15" hidden="false" customHeight="false" outlineLevel="0" collapsed="false">
      <c r="A163" s="3" t="n">
        <f aca="false">Returns!A411</f>
        <v>45526</v>
      </c>
      <c r="B163" s="0" t="n">
        <f aca="false">-Returns!F411</f>
        <v>-7148.1856157456</v>
      </c>
      <c r="C163" s="0" t="n">
        <f aca="false">-PERCENTILE(Returns!$F$161:$F$410,0.01)</f>
        <v>30889.9115398962</v>
      </c>
      <c r="D163" s="0" t="n">
        <f aca="false">NORMSINV(0.99)*STDEV(Returns!$F$161:$F$410)</f>
        <v>27756.3786812811</v>
      </c>
      <c r="E163" s="0" t="n">
        <f aca="false">IF(B163&gt;C163,1,0)</f>
        <v>0</v>
      </c>
      <c r="F163" s="0" t="n">
        <f aca="false">IF(B163&gt;D163,1,0)</f>
        <v>0</v>
      </c>
    </row>
    <row r="164" customFormat="false" ht="15" hidden="false" customHeight="false" outlineLevel="0" collapsed="false">
      <c r="A164" s="3" t="n">
        <f aca="false">Returns!A412</f>
        <v>45527</v>
      </c>
      <c r="B164" s="0" t="n">
        <f aca="false">-Returns!F412</f>
        <v>-11056.6485851761</v>
      </c>
      <c r="C164" s="0" t="n">
        <f aca="false">-PERCENTILE(Returns!$F$162:$F$411,0.01)</f>
        <v>30889.9115398962</v>
      </c>
      <c r="D164" s="0" t="n">
        <f aca="false">NORMSINV(0.99)*STDEV(Returns!$F$162:$F$411)</f>
        <v>27769.592578822</v>
      </c>
      <c r="E164" s="0" t="n">
        <f aca="false">IF(B164&gt;C164,1,0)</f>
        <v>0</v>
      </c>
      <c r="F164" s="0" t="n">
        <f aca="false">IF(B164&gt;D164,1,0)</f>
        <v>0</v>
      </c>
    </row>
    <row r="165" customFormat="false" ht="15" hidden="false" customHeight="false" outlineLevel="0" collapsed="false">
      <c r="A165" s="3" t="n">
        <f aca="false">Returns!A413</f>
        <v>45530</v>
      </c>
      <c r="B165" s="0" t="n">
        <f aca="false">-Returns!F413</f>
        <v>-3994.75864637802</v>
      </c>
      <c r="C165" s="0" t="n">
        <f aca="false">-PERCENTILE(Returns!$F$163:$F$412,0.01)</f>
        <v>30889.9115398962</v>
      </c>
      <c r="D165" s="0" t="n">
        <f aca="false">NORMSINV(0.99)*STDEV(Returns!$F$163:$F$412)</f>
        <v>27800.2986817659</v>
      </c>
      <c r="E165" s="0" t="n">
        <f aca="false">IF(B165&gt;C165,1,0)</f>
        <v>0</v>
      </c>
      <c r="F165" s="0" t="n">
        <f aca="false">IF(B165&gt;D165,1,0)</f>
        <v>0</v>
      </c>
    </row>
    <row r="166" customFormat="false" ht="15" hidden="false" customHeight="false" outlineLevel="0" collapsed="false">
      <c r="A166" s="3" t="n">
        <f aca="false">Returns!A414</f>
        <v>45531</v>
      </c>
      <c r="B166" s="0" t="n">
        <f aca="false">-Returns!F414</f>
        <v>779.398740325703</v>
      </c>
      <c r="C166" s="0" t="n">
        <f aca="false">-PERCENTILE(Returns!$F$164:$F$413,0.01)</f>
        <v>30889.9115398962</v>
      </c>
      <c r="D166" s="0" t="n">
        <f aca="false">NORMSINV(0.99)*STDEV(Returns!$F$164:$F$413)</f>
        <v>27784.4831484342</v>
      </c>
      <c r="E166" s="0" t="n">
        <f aca="false">IF(B166&gt;C166,1,0)</f>
        <v>0</v>
      </c>
      <c r="F166" s="0" t="n">
        <f aca="false">IF(B166&gt;D166,1,0)</f>
        <v>0</v>
      </c>
    </row>
    <row r="167" customFormat="false" ht="15" hidden="false" customHeight="false" outlineLevel="0" collapsed="false">
      <c r="A167" s="3" t="n">
        <f aca="false">Returns!A415</f>
        <v>45532</v>
      </c>
      <c r="B167" s="0" t="n">
        <f aca="false">-Returns!F415</f>
        <v>-4473.98627240119</v>
      </c>
      <c r="C167" s="0" t="n">
        <f aca="false">-PERCENTILE(Returns!$F$165:$F$414,0.01)</f>
        <v>30889.9115398962</v>
      </c>
      <c r="D167" s="0" t="n">
        <f aca="false">NORMSINV(0.99)*STDEV(Returns!$F$165:$F$414)</f>
        <v>27745.0557274678</v>
      </c>
      <c r="E167" s="0" t="n">
        <f aca="false">IF(B167&gt;C167,1,0)</f>
        <v>0</v>
      </c>
      <c r="F167" s="0" t="n">
        <f aca="false">IF(B167&gt;D167,1,0)</f>
        <v>0</v>
      </c>
    </row>
    <row r="168" customFormat="false" ht="15" hidden="false" customHeight="false" outlineLevel="0" collapsed="false">
      <c r="A168" s="3" t="n">
        <f aca="false">Returns!A416</f>
        <v>45533</v>
      </c>
      <c r="B168" s="0" t="n">
        <f aca="false">-Returns!F416</f>
        <v>-4478.97563921725</v>
      </c>
      <c r="C168" s="0" t="n">
        <f aca="false">-PERCENTILE(Returns!$F$166:$F$415,0.01)</f>
        <v>30889.9115398962</v>
      </c>
      <c r="D168" s="0" t="n">
        <f aca="false">NORMSINV(0.99)*STDEV(Returns!$F$166:$F$415)</f>
        <v>27737.78192294</v>
      </c>
      <c r="E168" s="0" t="n">
        <f aca="false">IF(B168&gt;C168,1,0)</f>
        <v>0</v>
      </c>
      <c r="F168" s="0" t="n">
        <f aca="false">IF(B168&gt;D168,1,0)</f>
        <v>0</v>
      </c>
    </row>
    <row r="169" customFormat="false" ht="15" hidden="false" customHeight="false" outlineLevel="0" collapsed="false">
      <c r="A169" s="3" t="n">
        <f aca="false">Returns!A417</f>
        <v>45534</v>
      </c>
      <c r="B169" s="0" t="n">
        <f aca="false">-Returns!F417</f>
        <v>-11874.7826092629</v>
      </c>
      <c r="C169" s="0" t="n">
        <f aca="false">-PERCENTILE(Returns!$F$167:$F$416,0.01)</f>
        <v>30889.9115398962</v>
      </c>
      <c r="D169" s="0" t="n">
        <f aca="false">NORMSINV(0.99)*STDEV(Returns!$F$167:$F$416)</f>
        <v>27715.7909239625</v>
      </c>
      <c r="E169" s="0" t="n">
        <f aca="false">IF(B169&gt;C169,1,0)</f>
        <v>0</v>
      </c>
      <c r="F169" s="0" t="n">
        <f aca="false">IF(B169&gt;D169,1,0)</f>
        <v>0</v>
      </c>
    </row>
    <row r="170" customFormat="false" ht="15" hidden="false" customHeight="false" outlineLevel="0" collapsed="false">
      <c r="A170" s="3" t="n">
        <f aca="false">Returns!A418</f>
        <v>45538</v>
      </c>
      <c r="B170" s="0" t="n">
        <f aca="false">-Returns!F418</f>
        <v>21293.9583504887</v>
      </c>
      <c r="C170" s="0" t="n">
        <f aca="false">-PERCENTILE(Returns!$F$168:$F$417,0.01)</f>
        <v>30889.9115398962</v>
      </c>
      <c r="D170" s="0" t="n">
        <f aca="false">NORMSINV(0.99)*STDEV(Returns!$F$168:$F$417)</f>
        <v>27747.8206661695</v>
      </c>
      <c r="E170" s="0" t="n">
        <f aca="false">IF(B170&gt;C170,1,0)</f>
        <v>0</v>
      </c>
      <c r="F170" s="0" t="n">
        <f aca="false">IF(B170&gt;D170,1,0)</f>
        <v>0</v>
      </c>
    </row>
    <row r="171" customFormat="false" ht="15" hidden="false" customHeight="false" outlineLevel="0" collapsed="false">
      <c r="A171" s="3" t="n">
        <f aca="false">Returns!A419</f>
        <v>45539</v>
      </c>
      <c r="B171" s="0" t="n">
        <f aca="false">-Returns!F419</f>
        <v>595.249525471246</v>
      </c>
      <c r="C171" s="0" t="n">
        <f aca="false">-PERCENTILE(Returns!$F$169:$F$418,0.01)</f>
        <v>30889.9115398962</v>
      </c>
      <c r="D171" s="0" t="n">
        <f aca="false">NORMSINV(0.99)*STDEV(Returns!$F$169:$F$418)</f>
        <v>27888.3042467816</v>
      </c>
      <c r="E171" s="0" t="n">
        <f aca="false">IF(B171&gt;C171,1,0)</f>
        <v>0</v>
      </c>
      <c r="F171" s="0" t="n">
        <f aca="false">IF(B171&gt;D171,1,0)</f>
        <v>0</v>
      </c>
    </row>
    <row r="172" customFormat="false" ht="15" hidden="false" customHeight="false" outlineLevel="0" collapsed="false">
      <c r="A172" s="3" t="n">
        <f aca="false">Returns!A420</f>
        <v>45540</v>
      </c>
      <c r="B172" s="0" t="n">
        <f aca="false">-Returns!F420</f>
        <v>7563.58047717143</v>
      </c>
      <c r="C172" s="0" t="n">
        <f aca="false">-PERCENTILE(Returns!$F$170:$F$419,0.01)</f>
        <v>30889.9115398962</v>
      </c>
      <c r="D172" s="0" t="n">
        <f aca="false">NORMSINV(0.99)*STDEV(Returns!$F$170:$F$419)</f>
        <v>27869.5871260899</v>
      </c>
      <c r="E172" s="0" t="n">
        <f aca="false">IF(B172&gt;C172,1,0)</f>
        <v>0</v>
      </c>
      <c r="F172" s="0" t="n">
        <f aca="false">IF(B172&gt;D172,1,0)</f>
        <v>0</v>
      </c>
    </row>
    <row r="173" customFormat="false" ht="15" hidden="false" customHeight="false" outlineLevel="0" collapsed="false">
      <c r="A173" s="3" t="n">
        <f aca="false">Returns!A421</f>
        <v>45541</v>
      </c>
      <c r="B173" s="0" t="n">
        <f aca="false">-Returns!F421</f>
        <v>27248.4406735303</v>
      </c>
      <c r="C173" s="0" t="n">
        <f aca="false">-PERCENTILE(Returns!$F$171:$F$420,0.01)</f>
        <v>30889.9115398962</v>
      </c>
      <c r="D173" s="0" t="n">
        <f aca="false">NORMSINV(0.99)*STDEV(Returns!$F$171:$F$420)</f>
        <v>27871.1366445376</v>
      </c>
      <c r="E173" s="0" t="n">
        <f aca="false">IF(B173&gt;C173,1,0)</f>
        <v>0</v>
      </c>
      <c r="F173" s="0" t="n">
        <f aca="false">IF(B173&gt;D173,1,0)</f>
        <v>0</v>
      </c>
    </row>
    <row r="174" customFormat="false" ht="15" hidden="false" customHeight="false" outlineLevel="0" collapsed="false">
      <c r="A174" s="3" t="n">
        <f aca="false">Returns!A422</f>
        <v>45544</v>
      </c>
      <c r="B174" s="0" t="n">
        <f aca="false">-Returns!F422</f>
        <v>-18450.8251902994</v>
      </c>
      <c r="C174" s="0" t="n">
        <f aca="false">-PERCENTILE(Returns!$F$172:$F$421,0.01)</f>
        <v>30889.9115398962</v>
      </c>
      <c r="D174" s="0" t="n">
        <f aca="false">NORMSINV(0.99)*STDEV(Returns!$F$172:$F$421)</f>
        <v>28177.4413510798</v>
      </c>
      <c r="E174" s="0" t="n">
        <f aca="false">IF(B174&gt;C174,1,0)</f>
        <v>0</v>
      </c>
      <c r="F174" s="0" t="n">
        <f aca="false">IF(B174&gt;D174,1,0)</f>
        <v>0</v>
      </c>
    </row>
    <row r="175" customFormat="false" ht="15" hidden="false" customHeight="false" outlineLevel="0" collapsed="false">
      <c r="A175" s="3" t="n">
        <f aca="false">Returns!A423</f>
        <v>45545</v>
      </c>
      <c r="B175" s="0" t="n">
        <f aca="false">-Returns!F423</f>
        <v>27566.0419075976</v>
      </c>
      <c r="C175" s="0" t="n">
        <f aca="false">-PERCENTILE(Returns!$F$173:$F$422,0.01)</f>
        <v>30889.9115398962</v>
      </c>
      <c r="D175" s="0" t="n">
        <f aca="false">NORMSINV(0.99)*STDEV(Returns!$F$173:$F$422)</f>
        <v>28286.214621607</v>
      </c>
      <c r="E175" s="0" t="n">
        <f aca="false">IF(B175&gt;C175,1,0)</f>
        <v>0</v>
      </c>
      <c r="F175" s="0" t="n">
        <f aca="false">IF(B175&gt;D175,1,0)</f>
        <v>0</v>
      </c>
    </row>
    <row r="176" customFormat="false" ht="15" hidden="false" customHeight="false" outlineLevel="0" collapsed="false">
      <c r="A176" s="3" t="n">
        <f aca="false">Returns!A424</f>
        <v>45546</v>
      </c>
      <c r="B176" s="0" t="n">
        <f aca="false">-Returns!F424</f>
        <v>-2360.80933575174</v>
      </c>
      <c r="C176" s="0" t="n">
        <f aca="false">-PERCENTILE(Returns!$F$174:$F$423,0.01)</f>
        <v>30889.9115398962</v>
      </c>
      <c r="D176" s="0" t="n">
        <f aca="false">NORMSINV(0.99)*STDEV(Returns!$F$174:$F$423)</f>
        <v>28503.133629999</v>
      </c>
      <c r="E176" s="0" t="n">
        <f aca="false">IF(B176&gt;C176,1,0)</f>
        <v>0</v>
      </c>
      <c r="F176" s="0" t="n">
        <f aca="false">IF(B176&gt;D176,1,0)</f>
        <v>0</v>
      </c>
    </row>
    <row r="177" customFormat="false" ht="15" hidden="false" customHeight="false" outlineLevel="0" collapsed="false">
      <c r="A177" s="3" t="n">
        <f aca="false">Returns!A425</f>
        <v>45547</v>
      </c>
      <c r="B177" s="0" t="n">
        <f aca="false">-Returns!F425</f>
        <v>4123.16737645402</v>
      </c>
      <c r="C177" s="0" t="n">
        <f aca="false">-PERCENTILE(Returns!$F$175:$F$424,0.01)</f>
        <v>30889.9115398962</v>
      </c>
      <c r="D177" s="0" t="n">
        <f aca="false">NORMSINV(0.99)*STDEV(Returns!$F$175:$F$424)</f>
        <v>28497.6022466503</v>
      </c>
      <c r="E177" s="0" t="n">
        <f aca="false">IF(B177&gt;C177,1,0)</f>
        <v>0</v>
      </c>
      <c r="F177" s="0" t="n">
        <f aca="false">IF(B177&gt;D177,1,0)</f>
        <v>0</v>
      </c>
    </row>
    <row r="178" customFormat="false" ht="15" hidden="false" customHeight="false" outlineLevel="0" collapsed="false">
      <c r="A178" s="3" t="n">
        <f aca="false">Returns!A426</f>
        <v>45548</v>
      </c>
      <c r="B178" s="0" t="n">
        <f aca="false">-Returns!F426</f>
        <v>489.533414572275</v>
      </c>
      <c r="C178" s="0" t="n">
        <f aca="false">-PERCENTILE(Returns!$F$176:$F$425,0.01)</f>
        <v>30889.9115398962</v>
      </c>
      <c r="D178" s="0" t="n">
        <f aca="false">NORMSINV(0.99)*STDEV(Returns!$F$176:$F$425)</f>
        <v>28409.5777841082</v>
      </c>
      <c r="E178" s="0" t="n">
        <f aca="false">IF(B178&gt;C178,1,0)</f>
        <v>0</v>
      </c>
      <c r="F178" s="0" t="n">
        <f aca="false">IF(B178&gt;D178,1,0)</f>
        <v>0</v>
      </c>
    </row>
    <row r="179" customFormat="false" ht="15" hidden="false" customHeight="false" outlineLevel="0" collapsed="false">
      <c r="A179" s="3" t="n">
        <f aca="false">Returns!A427</f>
        <v>45551</v>
      </c>
      <c r="B179" s="0" t="n">
        <f aca="false">-Returns!F427</f>
        <v>-15909.9294518178</v>
      </c>
      <c r="C179" s="0" t="n">
        <f aca="false">-PERCENTILE(Returns!$F$177:$F$426,0.01)</f>
        <v>30889.9115398962</v>
      </c>
      <c r="D179" s="0" t="n">
        <f aca="false">NORMSINV(0.99)*STDEV(Returns!$F$177:$F$426)</f>
        <v>28384.6374819885</v>
      </c>
      <c r="E179" s="0" t="n">
        <f aca="false">IF(B179&gt;C179,1,0)</f>
        <v>0</v>
      </c>
      <c r="F179" s="0" t="n">
        <f aca="false">IF(B179&gt;D179,1,0)</f>
        <v>0</v>
      </c>
    </row>
    <row r="180" customFormat="false" ht="15" hidden="false" customHeight="false" outlineLevel="0" collapsed="false">
      <c r="A180" s="3" t="n">
        <f aca="false">Returns!A428</f>
        <v>45552</v>
      </c>
      <c r="B180" s="0" t="n">
        <f aca="false">-Returns!F428</f>
        <v>-5348.66408536385</v>
      </c>
      <c r="C180" s="0" t="n">
        <f aca="false">-PERCENTILE(Returns!$F$178:$F$427,0.01)</f>
        <v>30889.9115398962</v>
      </c>
      <c r="D180" s="0" t="n">
        <f aca="false">NORMSINV(0.99)*STDEV(Returns!$F$178:$F$427)</f>
        <v>28468.0769537297</v>
      </c>
      <c r="E180" s="0" t="n">
        <f aca="false">IF(B180&gt;C180,1,0)</f>
        <v>0</v>
      </c>
      <c r="F180" s="0" t="n">
        <f aca="false">IF(B180&gt;D180,1,0)</f>
        <v>0</v>
      </c>
    </row>
    <row r="181" customFormat="false" ht="15" hidden="false" customHeight="false" outlineLevel="0" collapsed="false">
      <c r="A181" s="3" t="n">
        <f aca="false">Returns!A429</f>
        <v>45553</v>
      </c>
      <c r="B181" s="0" t="n">
        <f aca="false">-Returns!F429</f>
        <v>4397.91961353441</v>
      </c>
      <c r="C181" s="0" t="n">
        <f aca="false">-PERCENTILE(Returns!$F$179:$F$428,0.01)</f>
        <v>30889.9115398962</v>
      </c>
      <c r="D181" s="0" t="n">
        <f aca="false">NORMSINV(0.99)*STDEV(Returns!$F$179:$F$428)</f>
        <v>28469.9837064514</v>
      </c>
      <c r="E181" s="0" t="n">
        <f aca="false">IF(B181&gt;C181,1,0)</f>
        <v>0</v>
      </c>
      <c r="F181" s="0" t="n">
        <f aca="false">IF(B181&gt;D181,1,0)</f>
        <v>0</v>
      </c>
    </row>
    <row r="182" customFormat="false" ht="15" hidden="false" customHeight="false" outlineLevel="0" collapsed="false">
      <c r="A182" s="3" t="n">
        <f aca="false">Returns!A430</f>
        <v>45554</v>
      </c>
      <c r="B182" s="0" t="n">
        <f aca="false">-Returns!F430</f>
        <v>-19253.9358441129</v>
      </c>
      <c r="C182" s="0" t="n">
        <f aca="false">-PERCENTILE(Returns!$F$180:$F$429,0.01)</f>
        <v>30889.9115398962</v>
      </c>
      <c r="D182" s="0" t="n">
        <f aca="false">NORMSINV(0.99)*STDEV(Returns!$F$180:$F$429)</f>
        <v>28453.5436614266</v>
      </c>
      <c r="E182" s="0" t="n">
        <f aca="false">IF(B182&gt;C182,1,0)</f>
        <v>0</v>
      </c>
      <c r="F182" s="0" t="n">
        <f aca="false">IF(B182&gt;D182,1,0)</f>
        <v>0</v>
      </c>
    </row>
    <row r="183" customFormat="false" ht="15" hidden="false" customHeight="false" outlineLevel="0" collapsed="false">
      <c r="A183" s="3" t="n">
        <f aca="false">Returns!A431</f>
        <v>45555</v>
      </c>
      <c r="B183" s="0" t="n">
        <f aca="false">-Returns!F431</f>
        <v>-1858.66632815089</v>
      </c>
      <c r="C183" s="0" t="n">
        <f aca="false">-PERCENTILE(Returns!$F$181:$F$430,0.01)</f>
        <v>30889.9115398962</v>
      </c>
      <c r="D183" s="0" t="n">
        <f aca="false">NORMSINV(0.99)*STDEV(Returns!$F$181:$F$430)</f>
        <v>28458.5676842017</v>
      </c>
      <c r="E183" s="0" t="n">
        <f aca="false">IF(B183&gt;C183,1,0)</f>
        <v>0</v>
      </c>
      <c r="F183" s="0" t="n">
        <f aca="false">IF(B183&gt;D183,1,0)</f>
        <v>0</v>
      </c>
    </row>
    <row r="184" customFormat="false" ht="15" hidden="false" customHeight="false" outlineLevel="0" collapsed="false">
      <c r="A184" s="3" t="n">
        <f aca="false">Returns!A432</f>
        <v>45558</v>
      </c>
      <c r="B184" s="0" t="n">
        <f aca="false">-Returns!F432</f>
        <v>2332.0844333983</v>
      </c>
      <c r="C184" s="0" t="n">
        <f aca="false">-PERCENTILE(Returns!$F$182:$F$431,0.01)</f>
        <v>30889.9115398962</v>
      </c>
      <c r="D184" s="0" t="n">
        <f aca="false">NORMSINV(0.99)*STDEV(Returns!$F$182:$F$431)</f>
        <v>28368.8367062399</v>
      </c>
      <c r="E184" s="0" t="n">
        <f aca="false">IF(B184&gt;C184,1,0)</f>
        <v>0</v>
      </c>
      <c r="F184" s="0" t="n">
        <f aca="false">IF(B184&gt;D184,1,0)</f>
        <v>0</v>
      </c>
    </row>
    <row r="185" customFormat="false" ht="15" hidden="false" customHeight="false" outlineLevel="0" collapsed="false">
      <c r="A185" s="3" t="n">
        <f aca="false">Returns!A433</f>
        <v>45559</v>
      </c>
      <c r="B185" s="0" t="n">
        <f aca="false">-Returns!F433</f>
        <v>2571.45513961143</v>
      </c>
      <c r="C185" s="0" t="n">
        <f aca="false">-PERCENTILE(Returns!$F$183:$F$432,0.01)</f>
        <v>30889.9115398962</v>
      </c>
      <c r="D185" s="0" t="n">
        <f aca="false">NORMSINV(0.99)*STDEV(Returns!$F$183:$F$432)</f>
        <v>28373.9443981698</v>
      </c>
      <c r="E185" s="0" t="n">
        <f aca="false">IF(B185&gt;C185,1,0)</f>
        <v>0</v>
      </c>
      <c r="F185" s="0" t="n">
        <f aca="false">IF(B185&gt;D185,1,0)</f>
        <v>0</v>
      </c>
    </row>
    <row r="186" customFormat="false" ht="15" hidden="false" customHeight="false" outlineLevel="0" collapsed="false">
      <c r="A186" s="3" t="n">
        <f aca="false">Returns!A434</f>
        <v>45560</v>
      </c>
      <c r="B186" s="0" t="n">
        <f aca="false">-Returns!F434</f>
        <v>4882.994840821</v>
      </c>
      <c r="C186" s="0" t="n">
        <f aca="false">-PERCENTILE(Returns!$F$184:$F$433,0.01)</f>
        <v>30889.9115398962</v>
      </c>
      <c r="D186" s="0" t="n">
        <f aca="false">NORMSINV(0.99)*STDEV(Returns!$F$184:$F$433)</f>
        <v>28310.9121872406</v>
      </c>
      <c r="E186" s="0" t="n">
        <f aca="false">IF(B186&gt;C186,1,0)</f>
        <v>0</v>
      </c>
      <c r="F186" s="0" t="n">
        <f aca="false">IF(B186&gt;D186,1,0)</f>
        <v>0</v>
      </c>
    </row>
    <row r="187" customFormat="false" ht="15" hidden="false" customHeight="false" outlineLevel="0" collapsed="false">
      <c r="A187" s="3" t="n">
        <f aca="false">Returns!A435</f>
        <v>45561</v>
      </c>
      <c r="B187" s="0" t="n">
        <f aca="false">-Returns!F435</f>
        <v>-7828.58499829296</v>
      </c>
      <c r="C187" s="0" t="n">
        <f aca="false">-PERCENTILE(Returns!$F$185:$F$434,0.01)</f>
        <v>30889.9115398962</v>
      </c>
      <c r="D187" s="0" t="n">
        <f aca="false">NORMSINV(0.99)*STDEV(Returns!$F$185:$F$434)</f>
        <v>28326.1878288614</v>
      </c>
      <c r="E187" s="0" t="n">
        <f aca="false">IF(B187&gt;C187,1,0)</f>
        <v>0</v>
      </c>
      <c r="F187" s="0" t="n">
        <f aca="false">IF(B187&gt;D187,1,0)</f>
        <v>0</v>
      </c>
    </row>
    <row r="188" customFormat="false" ht="15" hidden="false" customHeight="false" outlineLevel="0" collapsed="false">
      <c r="A188" s="3" t="n">
        <f aca="false">Returns!A436</f>
        <v>45562</v>
      </c>
      <c r="B188" s="0" t="n">
        <f aca="false">-Returns!F436</f>
        <v>950.507187073722</v>
      </c>
      <c r="C188" s="0" t="n">
        <f aca="false">-PERCENTILE(Returns!$F$186:$F$435,0.01)</f>
        <v>30889.9115398962</v>
      </c>
      <c r="D188" s="0" t="n">
        <f aca="false">NORMSINV(0.99)*STDEV(Returns!$F$186:$F$435)</f>
        <v>28313.1061338695</v>
      </c>
      <c r="E188" s="0" t="n">
        <f aca="false">IF(B188&gt;C188,1,0)</f>
        <v>0</v>
      </c>
      <c r="F188" s="0" t="n">
        <f aca="false">IF(B188&gt;D188,1,0)</f>
        <v>0</v>
      </c>
    </row>
    <row r="189" customFormat="false" ht="15" hidden="false" customHeight="false" outlineLevel="0" collapsed="false">
      <c r="A189" s="3" t="n">
        <f aca="false">Returns!A437</f>
        <v>45565</v>
      </c>
      <c r="B189" s="0" t="n">
        <f aca="false">-Returns!F437</f>
        <v>-3182.33264766943</v>
      </c>
      <c r="C189" s="0" t="n">
        <f aca="false">-PERCENTILE(Returns!$F$187:$F$436,0.01)</f>
        <v>30889.9115398962</v>
      </c>
      <c r="D189" s="0" t="n">
        <f aca="false">NORMSINV(0.99)*STDEV(Returns!$F$187:$F$436)</f>
        <v>28256.943418236</v>
      </c>
      <c r="E189" s="0" t="n">
        <f aca="false">IF(B189&gt;C189,1,0)</f>
        <v>0</v>
      </c>
      <c r="F189" s="0" t="n">
        <f aca="false">IF(B189&gt;D189,1,0)</f>
        <v>0</v>
      </c>
    </row>
    <row r="190" customFormat="false" ht="15" hidden="false" customHeight="false" outlineLevel="0" collapsed="false">
      <c r="A190" s="3" t="n">
        <f aca="false">Returns!A438</f>
        <v>45566</v>
      </c>
      <c r="B190" s="0" t="n">
        <f aca="false">-Returns!F438</f>
        <v>10293.5687301595</v>
      </c>
      <c r="C190" s="0" t="n">
        <f aca="false">-PERCENTILE(Returns!$F$188:$F$437,0.01)</f>
        <v>30889.9115398962</v>
      </c>
      <c r="D190" s="0" t="n">
        <f aca="false">NORMSINV(0.99)*STDEV(Returns!$F$188:$F$437)</f>
        <v>28144.6534597056</v>
      </c>
      <c r="E190" s="0" t="n">
        <f aca="false">IF(B190&gt;C190,1,0)</f>
        <v>0</v>
      </c>
      <c r="F190" s="0" t="n">
        <f aca="false">IF(B190&gt;D190,1,0)</f>
        <v>0</v>
      </c>
    </row>
    <row r="191" customFormat="false" ht="15" hidden="false" customHeight="false" outlineLevel="0" collapsed="false">
      <c r="A191" s="3" t="n">
        <f aca="false">Returns!A439</f>
        <v>45567</v>
      </c>
      <c r="B191" s="0" t="n">
        <f aca="false">-Returns!F439</f>
        <v>-846.425835041162</v>
      </c>
      <c r="C191" s="0" t="n">
        <f aca="false">-PERCENTILE(Returns!$F$189:$F$438,0.01)</f>
        <v>30889.9115398962</v>
      </c>
      <c r="D191" s="0" t="n">
        <f aca="false">NORMSINV(0.99)*STDEV(Returns!$F$189:$F$438)</f>
        <v>28001.7816988811</v>
      </c>
      <c r="E191" s="0" t="n">
        <f aca="false">IF(B191&gt;C191,1,0)</f>
        <v>0</v>
      </c>
      <c r="F191" s="0" t="n">
        <f aca="false">IF(B191&gt;D191,1,0)</f>
        <v>0</v>
      </c>
    </row>
    <row r="192" customFormat="false" ht="15" hidden="false" customHeight="false" outlineLevel="0" collapsed="false">
      <c r="A192" s="3" t="n">
        <f aca="false">Returns!A440</f>
        <v>45568</v>
      </c>
      <c r="B192" s="0" t="n">
        <f aca="false">-Returns!F440</f>
        <v>3698.67701288832</v>
      </c>
      <c r="C192" s="0" t="n">
        <f aca="false">-PERCENTILE(Returns!$F$190:$F$439,0.01)</f>
        <v>30889.9115398962</v>
      </c>
      <c r="D192" s="0" t="n">
        <f aca="false">NORMSINV(0.99)*STDEV(Returns!$F$190:$F$439)</f>
        <v>27993.5080820658</v>
      </c>
      <c r="E192" s="0" t="n">
        <f aca="false">IF(B192&gt;C192,1,0)</f>
        <v>0</v>
      </c>
      <c r="F192" s="0" t="n">
        <f aca="false">IF(B192&gt;D192,1,0)</f>
        <v>0</v>
      </c>
    </row>
    <row r="193" customFormat="false" ht="15" hidden="false" customHeight="false" outlineLevel="0" collapsed="false">
      <c r="A193" s="3" t="n">
        <f aca="false">Returns!A441</f>
        <v>45569</v>
      </c>
      <c r="B193" s="0" t="n">
        <f aca="false">-Returns!F441</f>
        <v>-29802.4087393752</v>
      </c>
      <c r="C193" s="0" t="n">
        <f aca="false">-PERCENTILE(Returns!$F$191:$F$440,0.01)</f>
        <v>30889.9115398962</v>
      </c>
      <c r="D193" s="0" t="n">
        <f aca="false">NORMSINV(0.99)*STDEV(Returns!$F$191:$F$440)</f>
        <v>28002.8987969866</v>
      </c>
      <c r="E193" s="0" t="n">
        <f aca="false">IF(B193&gt;C193,1,0)</f>
        <v>0</v>
      </c>
      <c r="F193" s="0" t="n">
        <f aca="false">IF(B193&gt;D193,1,0)</f>
        <v>0</v>
      </c>
    </row>
    <row r="194" customFormat="false" ht="15" hidden="false" customHeight="false" outlineLevel="0" collapsed="false">
      <c r="A194" s="3" t="n">
        <f aca="false">Returns!A442</f>
        <v>45572</v>
      </c>
      <c r="B194" s="0" t="n">
        <f aca="false">-Returns!F442</f>
        <v>2341.71732927261</v>
      </c>
      <c r="C194" s="0" t="n">
        <f aca="false">-PERCENTILE(Returns!$F$192:$F$441,0.01)</f>
        <v>30889.9115398962</v>
      </c>
      <c r="D194" s="0" t="n">
        <f aca="false">NORMSINV(0.99)*STDEV(Returns!$F$192:$F$441)</f>
        <v>28279.0170383664</v>
      </c>
      <c r="E194" s="0" t="n">
        <f aca="false">IF(B194&gt;C194,1,0)</f>
        <v>0</v>
      </c>
      <c r="F194" s="0" t="n">
        <f aca="false">IF(B194&gt;D194,1,0)</f>
        <v>0</v>
      </c>
    </row>
    <row r="195" customFormat="false" ht="15" hidden="false" customHeight="false" outlineLevel="0" collapsed="false">
      <c r="A195" s="3" t="n">
        <f aca="false">Returns!A443</f>
        <v>45573</v>
      </c>
      <c r="B195" s="0" t="n">
        <f aca="false">-Returns!F443</f>
        <v>985.122065607655</v>
      </c>
      <c r="C195" s="0" t="n">
        <f aca="false">-PERCENTILE(Returns!$F$193:$F$442,0.01)</f>
        <v>30889.9115398962</v>
      </c>
      <c r="D195" s="0" t="n">
        <f aca="false">NORMSINV(0.99)*STDEV(Returns!$F$193:$F$442)</f>
        <v>28284.2737317165</v>
      </c>
      <c r="E195" s="0" t="n">
        <f aca="false">IF(B195&gt;C195,1,0)</f>
        <v>0</v>
      </c>
      <c r="F195" s="0" t="n">
        <f aca="false">IF(B195&gt;D195,1,0)</f>
        <v>0</v>
      </c>
    </row>
    <row r="196" customFormat="false" ht="15" hidden="false" customHeight="false" outlineLevel="0" collapsed="false">
      <c r="A196" s="3" t="n">
        <f aca="false">Returns!A444</f>
        <v>45574</v>
      </c>
      <c r="B196" s="0" t="n">
        <f aca="false">-Returns!F444</f>
        <v>-11277.9107172267</v>
      </c>
      <c r="C196" s="0" t="n">
        <f aca="false">-PERCENTILE(Returns!$F$194:$F$443,0.01)</f>
        <v>30889.9115398962</v>
      </c>
      <c r="D196" s="0" t="n">
        <f aca="false">NORMSINV(0.99)*STDEV(Returns!$F$194:$F$443)</f>
        <v>28251.5453437051</v>
      </c>
      <c r="E196" s="0" t="n">
        <f aca="false">IF(B196&gt;C196,1,0)</f>
        <v>0</v>
      </c>
      <c r="F196" s="0" t="n">
        <f aca="false">IF(B196&gt;D196,1,0)</f>
        <v>0</v>
      </c>
    </row>
    <row r="197" customFormat="false" ht="15" hidden="false" customHeight="false" outlineLevel="0" collapsed="false">
      <c r="A197" s="3" t="n">
        <f aca="false">Returns!A445</f>
        <v>45575</v>
      </c>
      <c r="B197" s="0" t="n">
        <f aca="false">-Returns!F445</f>
        <v>5388.11516347584</v>
      </c>
      <c r="C197" s="0" t="n">
        <f aca="false">-PERCENTILE(Returns!$F$195:$F$444,0.01)</f>
        <v>30889.9115398962</v>
      </c>
      <c r="D197" s="0" t="n">
        <f aca="false">NORMSINV(0.99)*STDEV(Returns!$F$195:$F$444)</f>
        <v>28279.287859764</v>
      </c>
      <c r="E197" s="0" t="n">
        <f aca="false">IF(B197&gt;C197,1,0)</f>
        <v>0</v>
      </c>
      <c r="F197" s="0" t="n">
        <f aca="false">IF(B197&gt;D197,1,0)</f>
        <v>0</v>
      </c>
    </row>
    <row r="198" customFormat="false" ht="15" hidden="false" customHeight="false" outlineLevel="0" collapsed="false">
      <c r="A198" s="3" t="n">
        <f aca="false">Returns!A446</f>
        <v>45576</v>
      </c>
      <c r="B198" s="0" t="n">
        <f aca="false">-Returns!F446</f>
        <v>-38416.1576199205</v>
      </c>
      <c r="C198" s="0" t="n">
        <f aca="false">-PERCENTILE(Returns!$F$196:$F$445,0.01)</f>
        <v>30889.9115398962</v>
      </c>
      <c r="D198" s="0" t="n">
        <f aca="false">NORMSINV(0.99)*STDEV(Returns!$F$196:$F$445)</f>
        <v>28273.2170483597</v>
      </c>
      <c r="E198" s="0" t="n">
        <f aca="false">IF(B198&gt;C198,1,0)</f>
        <v>0</v>
      </c>
      <c r="F198" s="0" t="n">
        <f aca="false">IF(B198&gt;D198,1,0)</f>
        <v>0</v>
      </c>
    </row>
    <row r="199" customFormat="false" ht="15" hidden="false" customHeight="false" outlineLevel="0" collapsed="false">
      <c r="A199" s="3" t="n">
        <f aca="false">Returns!A447</f>
        <v>45579</v>
      </c>
      <c r="B199" s="0" t="n">
        <f aca="false">-Returns!F447</f>
        <v>-3156.26981886551</v>
      </c>
      <c r="C199" s="0" t="n">
        <f aca="false">-PERCENTILE(Returns!$F$197:$F$446,0.01)</f>
        <v>30889.9115398962</v>
      </c>
      <c r="D199" s="0" t="n">
        <f aca="false">NORMSINV(0.99)*STDEV(Returns!$F$197:$F$446)</f>
        <v>28785.1004668932</v>
      </c>
      <c r="E199" s="0" t="n">
        <f aca="false">IF(B199&gt;C199,1,0)</f>
        <v>0</v>
      </c>
      <c r="F199" s="0" t="n">
        <f aca="false">IF(B199&gt;D199,1,0)</f>
        <v>0</v>
      </c>
    </row>
    <row r="200" customFormat="false" ht="15" hidden="false" customHeight="false" outlineLevel="0" collapsed="false">
      <c r="A200" s="3" t="n">
        <f aca="false">Returns!A448</f>
        <v>45580</v>
      </c>
      <c r="B200" s="0" t="n">
        <f aca="false">-Returns!F448</f>
        <v>-3121.56017590959</v>
      </c>
      <c r="C200" s="0" t="n">
        <f aca="false">-PERCENTILE(Returns!$F$198:$F$447,0.01)</f>
        <v>30889.9115398962</v>
      </c>
      <c r="D200" s="0" t="n">
        <f aca="false">NORMSINV(0.99)*STDEV(Returns!$F$198:$F$447)</f>
        <v>28779.7103492205</v>
      </c>
      <c r="E200" s="0" t="n">
        <f aca="false">IF(B200&gt;C200,1,0)</f>
        <v>0</v>
      </c>
      <c r="F200" s="0" t="n">
        <f aca="false">IF(B200&gt;D200,1,0)</f>
        <v>0</v>
      </c>
    </row>
    <row r="201" customFormat="false" ht="15" hidden="false" customHeight="false" outlineLevel="0" collapsed="false">
      <c r="A201" s="3" t="n">
        <f aca="false">Returns!A449</f>
        <v>45581</v>
      </c>
      <c r="B201" s="0" t="n">
        <f aca="false">-Returns!F449</f>
        <v>-25785.9176335309</v>
      </c>
      <c r="C201" s="0" t="n">
        <f aca="false">-PERCENTILE(Returns!$F$199:$F$448,0.01)</f>
        <v>30889.9115398962</v>
      </c>
      <c r="D201" s="0" t="n">
        <f aca="false">NORMSINV(0.99)*STDEV(Returns!$F$199:$F$448)</f>
        <v>28739.6837300114</v>
      </c>
      <c r="E201" s="0" t="n">
        <f aca="false">IF(B201&gt;C201,1,0)</f>
        <v>0</v>
      </c>
      <c r="F201" s="0" t="n">
        <f aca="false">IF(B201&gt;D201,1,0)</f>
        <v>0</v>
      </c>
    </row>
    <row r="202" customFormat="false" ht="15" hidden="false" customHeight="false" outlineLevel="0" collapsed="false">
      <c r="A202" s="3" t="n">
        <f aca="false">Returns!A450</f>
        <v>45582</v>
      </c>
      <c r="B202" s="0" t="n">
        <f aca="false">-Returns!F450</f>
        <v>188.276198173574</v>
      </c>
      <c r="C202" s="0" t="n">
        <f aca="false">-PERCENTILE(Returns!$F$200:$F$449,0.01)</f>
        <v>30555.2202467901</v>
      </c>
      <c r="D202" s="0" t="n">
        <f aca="false">NORMSINV(0.99)*STDEV(Returns!$F$200:$F$449)</f>
        <v>28601.2742258844</v>
      </c>
      <c r="E202" s="0" t="n">
        <f aca="false">IF(B202&gt;C202,1,0)</f>
        <v>0</v>
      </c>
      <c r="F202" s="0" t="n">
        <f aca="false">IF(B202&gt;D202,1,0)</f>
        <v>0</v>
      </c>
    </row>
    <row r="203" customFormat="false" ht="15" hidden="false" customHeight="false" outlineLevel="0" collapsed="false">
      <c r="A203" s="3" t="n">
        <f aca="false">Returns!A451</f>
        <v>45583</v>
      </c>
      <c r="B203" s="0" t="n">
        <f aca="false">-Returns!F451</f>
        <v>-3753.00083793688</v>
      </c>
      <c r="C203" s="0" t="n">
        <f aca="false">-PERCENTILE(Returns!$F$201:$F$450,0.01)</f>
        <v>30555.2202467901</v>
      </c>
      <c r="D203" s="0" t="n">
        <f aca="false">NORMSINV(0.99)*STDEV(Returns!$F$201:$F$450)</f>
        <v>28512.0362756333</v>
      </c>
      <c r="E203" s="0" t="n">
        <f aca="false">IF(B203&gt;C203,1,0)</f>
        <v>0</v>
      </c>
      <c r="F203" s="0" t="n">
        <f aca="false">IF(B203&gt;D203,1,0)</f>
        <v>0</v>
      </c>
    </row>
    <row r="204" customFormat="false" ht="15" hidden="false" customHeight="false" outlineLevel="0" collapsed="false">
      <c r="A204" s="3" t="n">
        <f aca="false">Returns!A452</f>
        <v>45586</v>
      </c>
      <c r="B204" s="0" t="n">
        <f aca="false">-Returns!F452</f>
        <v>15194.3746001184</v>
      </c>
      <c r="C204" s="0" t="n">
        <f aca="false">-PERCENTILE(Returns!$F$202:$F$451,0.01)</f>
        <v>30555.2202467901</v>
      </c>
      <c r="D204" s="0" t="n">
        <f aca="false">NORMSINV(0.99)*STDEV(Returns!$F$202:$F$451)</f>
        <v>28427.9966675026</v>
      </c>
      <c r="E204" s="0" t="n">
        <f aca="false">IF(B204&gt;C204,1,0)</f>
        <v>0</v>
      </c>
      <c r="F204" s="0" t="n">
        <f aca="false">IF(B204&gt;D204,1,0)</f>
        <v>0</v>
      </c>
    </row>
    <row r="205" customFormat="false" ht="15" hidden="false" customHeight="false" outlineLevel="0" collapsed="false">
      <c r="A205" s="3" t="n">
        <f aca="false">Returns!A453</f>
        <v>45587</v>
      </c>
      <c r="B205" s="0" t="n">
        <f aca="false">-Returns!F453</f>
        <v>-5959.71116160096</v>
      </c>
      <c r="C205" s="0" t="n">
        <f aca="false">-PERCENTILE(Returns!$F$203:$F$452,0.01)</f>
        <v>30555.2202467901</v>
      </c>
      <c r="D205" s="0" t="n">
        <f aca="false">NORMSINV(0.99)*STDEV(Returns!$F$203:$F$452)</f>
        <v>28356.1681415921</v>
      </c>
      <c r="E205" s="0" t="n">
        <f aca="false">IF(B205&gt;C205,1,0)</f>
        <v>0</v>
      </c>
      <c r="F205" s="0" t="n">
        <f aca="false">IF(B205&gt;D205,1,0)</f>
        <v>0</v>
      </c>
    </row>
    <row r="206" customFormat="false" ht="15" hidden="false" customHeight="false" outlineLevel="0" collapsed="false">
      <c r="A206" s="3" t="n">
        <f aca="false">Returns!A454</f>
        <v>45588</v>
      </c>
      <c r="B206" s="0" t="n">
        <f aca="false">-Returns!F454</f>
        <v>1086.92694244055</v>
      </c>
      <c r="C206" s="0" t="n">
        <f aca="false">-PERCENTILE(Returns!$F$204:$F$453,0.01)</f>
        <v>30555.2202467901</v>
      </c>
      <c r="D206" s="0" t="n">
        <f aca="false">NORMSINV(0.99)*STDEV(Returns!$F$204:$F$453)</f>
        <v>28357.7427461363</v>
      </c>
      <c r="E206" s="0" t="n">
        <f aca="false">IF(B206&gt;C206,1,0)</f>
        <v>0</v>
      </c>
      <c r="F206" s="0" t="n">
        <f aca="false">IF(B206&gt;D206,1,0)</f>
        <v>0</v>
      </c>
    </row>
    <row r="207" customFormat="false" ht="15" hidden="false" customHeight="false" outlineLevel="0" collapsed="false">
      <c r="A207" s="3" t="n">
        <f aca="false">Returns!A455</f>
        <v>45589</v>
      </c>
      <c r="B207" s="0" t="n">
        <f aca="false">-Returns!F455</f>
        <v>-7238.50503664316</v>
      </c>
      <c r="C207" s="0" t="n">
        <f aca="false">-PERCENTILE(Returns!$F$205:$F$454,0.01)</f>
        <v>30555.2202467901</v>
      </c>
      <c r="D207" s="0" t="n">
        <f aca="false">NORMSINV(0.99)*STDEV(Returns!$F$205:$F$454)</f>
        <v>28355.4646787802</v>
      </c>
      <c r="E207" s="0" t="n">
        <f aca="false">IF(B207&gt;C207,1,0)</f>
        <v>0</v>
      </c>
      <c r="F207" s="0" t="n">
        <f aca="false">IF(B207&gt;D207,1,0)</f>
        <v>0</v>
      </c>
    </row>
    <row r="208" customFormat="false" ht="15" hidden="false" customHeight="false" outlineLevel="0" collapsed="false">
      <c r="A208" s="3" t="n">
        <f aca="false">Returns!A456</f>
        <v>45590</v>
      </c>
      <c r="B208" s="0" t="n">
        <f aca="false">-Returns!F456</f>
        <v>15990.5256381453</v>
      </c>
      <c r="C208" s="0" t="n">
        <f aca="false">-PERCENTILE(Returns!$F$206:$F$455,0.01)</f>
        <v>30555.2202467901</v>
      </c>
      <c r="D208" s="0" t="n">
        <f aca="false">NORMSINV(0.99)*STDEV(Returns!$F$206:$F$455)</f>
        <v>28338.807456015</v>
      </c>
      <c r="E208" s="0" t="n">
        <f aca="false">IF(B208&gt;C208,1,0)</f>
        <v>0</v>
      </c>
      <c r="F208" s="0" t="n">
        <f aca="false">IF(B208&gt;D208,1,0)</f>
        <v>0</v>
      </c>
    </row>
    <row r="209" customFormat="false" ht="15" hidden="false" customHeight="false" outlineLevel="0" collapsed="false">
      <c r="A209" s="3" t="n">
        <f aca="false">Returns!A457</f>
        <v>45593</v>
      </c>
      <c r="B209" s="0" t="n">
        <f aca="false">-Returns!F457</f>
        <v>-16602.1335636858</v>
      </c>
      <c r="C209" s="0" t="n">
        <f aca="false">-PERCENTILE(Returns!$F$207:$F$456,0.01)</f>
        <v>27887.723938393</v>
      </c>
      <c r="D209" s="0" t="n">
        <f aca="false">NORMSINV(0.99)*STDEV(Returns!$F$207:$F$456)</f>
        <v>27994.6402579927</v>
      </c>
      <c r="E209" s="0" t="n">
        <f aca="false">IF(B209&gt;C209,1,0)</f>
        <v>0</v>
      </c>
      <c r="F209" s="0" t="n">
        <f aca="false">IF(B209&gt;D209,1,0)</f>
        <v>0</v>
      </c>
    </row>
    <row r="210" customFormat="false" ht="15" hidden="false" customHeight="false" outlineLevel="0" collapsed="false">
      <c r="A210" s="3" t="n">
        <f aca="false">Returns!A458</f>
        <v>45594</v>
      </c>
      <c r="B210" s="0" t="n">
        <f aca="false">-Returns!F458</f>
        <v>4845.1099915874</v>
      </c>
      <c r="C210" s="0" t="n">
        <f aca="false">-PERCENTILE(Returns!$F$208:$F$457,0.01)</f>
        <v>27887.723938393</v>
      </c>
      <c r="D210" s="0" t="n">
        <f aca="false">NORMSINV(0.99)*STDEV(Returns!$F$208:$F$457)</f>
        <v>28004.9330954627</v>
      </c>
      <c r="E210" s="0" t="n">
        <f aca="false">IF(B210&gt;C210,1,0)</f>
        <v>0</v>
      </c>
      <c r="F210" s="0" t="n">
        <f aca="false">IF(B210&gt;D210,1,0)</f>
        <v>0</v>
      </c>
    </row>
    <row r="211" customFormat="false" ht="15" hidden="false" customHeight="false" outlineLevel="0" collapsed="false">
      <c r="A211" s="3" t="n">
        <f aca="false">Returns!A459</f>
        <v>45595</v>
      </c>
      <c r="B211" s="0" t="n">
        <f aca="false">-Returns!F459</f>
        <v>2345.85084157055</v>
      </c>
      <c r="C211" s="0" t="n">
        <f aca="false">-PERCENTILE(Returns!$F$209:$F$458,0.01)</f>
        <v>27887.723938393</v>
      </c>
      <c r="D211" s="0" t="n">
        <f aca="false">NORMSINV(0.99)*STDEV(Returns!$F$209:$F$458)</f>
        <v>27975.6175273573</v>
      </c>
      <c r="E211" s="0" t="n">
        <f aca="false">IF(B211&gt;C211,1,0)</f>
        <v>0</v>
      </c>
      <c r="F211" s="0" t="n">
        <f aca="false">IF(B211&gt;D211,1,0)</f>
        <v>0</v>
      </c>
    </row>
    <row r="212" customFormat="false" ht="15" hidden="false" customHeight="false" outlineLevel="0" collapsed="false">
      <c r="A212" s="3" t="n">
        <f aca="false">Returns!A460</f>
        <v>45596</v>
      </c>
      <c r="B212" s="0" t="n">
        <f aca="false">-Returns!F460</f>
        <v>9874.08064149901</v>
      </c>
      <c r="C212" s="0" t="n">
        <f aca="false">-PERCENTILE(Returns!$F$210:$F$459,0.01)</f>
        <v>27887.723938393</v>
      </c>
      <c r="D212" s="0" t="n">
        <f aca="false">NORMSINV(0.99)*STDEV(Returns!$F$210:$F$459)</f>
        <v>27982.6066276222</v>
      </c>
      <c r="E212" s="0" t="n">
        <f aca="false">IF(B212&gt;C212,1,0)</f>
        <v>0</v>
      </c>
      <c r="F212" s="0" t="n">
        <f aca="false">IF(B212&gt;D212,1,0)</f>
        <v>0</v>
      </c>
    </row>
    <row r="213" customFormat="false" ht="15" hidden="false" customHeight="false" outlineLevel="0" collapsed="false">
      <c r="A213" s="3" t="n">
        <f aca="false">Returns!A461</f>
        <v>45597</v>
      </c>
      <c r="B213" s="0" t="n">
        <f aca="false">-Returns!F461</f>
        <v>-2948.01800273684</v>
      </c>
      <c r="C213" s="0" t="n">
        <f aca="false">-PERCENTILE(Returns!$F$211:$F$460,0.01)</f>
        <v>27887.723938393</v>
      </c>
      <c r="D213" s="0" t="n">
        <f aca="false">NORMSINV(0.99)*STDEV(Returns!$F$211:$F$460)</f>
        <v>27706.949917391</v>
      </c>
      <c r="E213" s="0" t="n">
        <f aca="false">IF(B213&gt;C213,1,0)</f>
        <v>0</v>
      </c>
      <c r="F213" s="0" t="n">
        <f aca="false">IF(B213&gt;D213,1,0)</f>
        <v>0</v>
      </c>
    </row>
    <row r="214" customFormat="false" ht="15" hidden="false" customHeight="false" outlineLevel="0" collapsed="false">
      <c r="A214" s="3" t="n">
        <f aca="false">Returns!A462</f>
        <v>45600</v>
      </c>
      <c r="B214" s="0" t="n">
        <f aca="false">-Returns!F462</f>
        <v>10643.8270001181</v>
      </c>
      <c r="C214" s="0" t="n">
        <f aca="false">-PERCENTILE(Returns!$F$212:$F$461,0.01)</f>
        <v>27887.723938393</v>
      </c>
      <c r="D214" s="0" t="n">
        <f aca="false">NORMSINV(0.99)*STDEV(Returns!$F$212:$F$461)</f>
        <v>27510.0765437027</v>
      </c>
      <c r="E214" s="0" t="n">
        <f aca="false">IF(B214&gt;C214,1,0)</f>
        <v>0</v>
      </c>
      <c r="F214" s="0" t="n">
        <f aca="false">IF(B214&gt;D214,1,0)</f>
        <v>0</v>
      </c>
    </row>
    <row r="215" customFormat="false" ht="15" hidden="false" customHeight="false" outlineLevel="0" collapsed="false">
      <c r="A215" s="3" t="n">
        <f aca="false">Returns!A463</f>
        <v>45601</v>
      </c>
      <c r="B215" s="0" t="n">
        <f aca="false">-Returns!F463</f>
        <v>-11349.1870889102</v>
      </c>
      <c r="C215" s="0" t="n">
        <f aca="false">-PERCENTILE(Returns!$F$213:$F$462,0.01)</f>
        <v>27887.723938393</v>
      </c>
      <c r="D215" s="0" t="n">
        <f aca="false">NORMSINV(0.99)*STDEV(Returns!$F$213:$F$462)</f>
        <v>27570.4962423751</v>
      </c>
      <c r="E215" s="0" t="n">
        <f aca="false">IF(B215&gt;C215,1,0)</f>
        <v>0</v>
      </c>
      <c r="F215" s="0" t="n">
        <f aca="false">IF(B215&gt;D215,1,0)</f>
        <v>0</v>
      </c>
    </row>
    <row r="216" customFormat="false" ht="15" hidden="false" customHeight="false" outlineLevel="0" collapsed="false">
      <c r="A216" s="3" t="n">
        <f aca="false">Returns!A464</f>
        <v>45602</v>
      </c>
      <c r="B216" s="0" t="n">
        <f aca="false">-Returns!F464</f>
        <v>-100936.013506927</v>
      </c>
      <c r="C216" s="0" t="n">
        <f aca="false">-PERCENTILE(Returns!$F$214:$F$463,0.01)</f>
        <v>27887.723938393</v>
      </c>
      <c r="D216" s="0" t="n">
        <f aca="false">NORMSINV(0.99)*STDEV(Returns!$F$214:$F$463)</f>
        <v>27595.0343421571</v>
      </c>
      <c r="E216" s="0" t="n">
        <f aca="false">IF(B216&gt;C216,1,0)</f>
        <v>0</v>
      </c>
      <c r="F216" s="0" t="n">
        <f aca="false">IF(B216&gt;D216,1,0)</f>
        <v>0</v>
      </c>
    </row>
    <row r="217" customFormat="false" ht="15" hidden="false" customHeight="false" outlineLevel="0" collapsed="false">
      <c r="A217" s="3" t="n">
        <f aca="false">Returns!A465</f>
        <v>45603</v>
      </c>
      <c r="B217" s="0" t="n">
        <f aca="false">-Returns!F465</f>
        <v>28975.0863056614</v>
      </c>
      <c r="C217" s="0" t="n">
        <f aca="false">-PERCENTILE(Returns!$F$215:$F$464,0.01)</f>
        <v>27887.723938393</v>
      </c>
      <c r="D217" s="0" t="n">
        <f aca="false">NORMSINV(0.99)*STDEV(Returns!$F$215:$F$464)</f>
        <v>31211.3646123746</v>
      </c>
      <c r="E217" s="0" t="n">
        <f aca="false">IF(B217&gt;C217,1,0)</f>
        <v>1</v>
      </c>
      <c r="F217" s="0" t="n">
        <f aca="false">IF(B217&gt;D217,1,0)</f>
        <v>0</v>
      </c>
    </row>
    <row r="218" customFormat="false" ht="15" hidden="false" customHeight="false" outlineLevel="0" collapsed="false">
      <c r="A218" s="3" t="n">
        <f aca="false">Returns!A466</f>
        <v>45604</v>
      </c>
      <c r="B218" s="0" t="n">
        <f aca="false">-Returns!F466</f>
        <v>-5951.82072780883</v>
      </c>
      <c r="C218" s="0" t="n">
        <f aca="false">-PERCENTILE(Returns!$F$216:$F$465,0.01)</f>
        <v>28593.7215998057</v>
      </c>
      <c r="D218" s="0" t="n">
        <f aca="false">NORMSINV(0.99)*STDEV(Returns!$F$216:$F$465)</f>
        <v>31476.1861514818</v>
      </c>
      <c r="E218" s="0" t="n">
        <f aca="false">IF(B218&gt;C218,1,0)</f>
        <v>0</v>
      </c>
      <c r="F218" s="0" t="n">
        <f aca="false">IF(B218&gt;D218,1,0)</f>
        <v>0</v>
      </c>
    </row>
    <row r="219" customFormat="false" ht="15" hidden="false" customHeight="false" outlineLevel="0" collapsed="false">
      <c r="A219" s="3" t="n">
        <f aca="false">Returns!A467</f>
        <v>45607</v>
      </c>
      <c r="B219" s="0" t="n">
        <f aca="false">-Returns!F467</f>
        <v>-19231.3350383545</v>
      </c>
      <c r="C219" s="0" t="n">
        <f aca="false">-PERCENTILE(Returns!$F$217:$F$466,0.01)</f>
        <v>28593.7215998057</v>
      </c>
      <c r="D219" s="0" t="n">
        <f aca="false">NORMSINV(0.99)*STDEV(Returns!$F$217:$F$466)</f>
        <v>31446.9531998091</v>
      </c>
      <c r="E219" s="0" t="n">
        <f aca="false">IF(B219&gt;C219,1,0)</f>
        <v>0</v>
      </c>
      <c r="F219" s="0" t="n">
        <f aca="false">IF(B219&gt;D219,1,0)</f>
        <v>0</v>
      </c>
    </row>
    <row r="220" customFormat="false" ht="15" hidden="false" customHeight="false" outlineLevel="0" collapsed="false">
      <c r="A220" s="3" t="n">
        <f aca="false">Returns!A468</f>
        <v>45608</v>
      </c>
      <c r="B220" s="0" t="n">
        <f aca="false">-Returns!F468</f>
        <v>3715.75206527355</v>
      </c>
      <c r="C220" s="0" t="n">
        <f aca="false">-PERCENTILE(Returns!$F$218:$F$467,0.01)</f>
        <v>28593.7215998057</v>
      </c>
      <c r="D220" s="0" t="n">
        <f aca="false">NORMSINV(0.99)*STDEV(Returns!$F$218:$F$467)</f>
        <v>31539.2236485328</v>
      </c>
      <c r="E220" s="0" t="n">
        <f aca="false">IF(B220&gt;C220,1,0)</f>
        <v>0</v>
      </c>
      <c r="F220" s="0" t="n">
        <f aca="false">IF(B220&gt;D220,1,0)</f>
        <v>0</v>
      </c>
    </row>
    <row r="221" customFormat="false" ht="15" hidden="false" customHeight="false" outlineLevel="0" collapsed="false">
      <c r="A221" s="3" t="n">
        <f aca="false">Returns!A469</f>
        <v>45609</v>
      </c>
      <c r="B221" s="0" t="n">
        <f aca="false">-Returns!F469</f>
        <v>-3746.66035060233</v>
      </c>
      <c r="C221" s="0" t="n">
        <f aca="false">-PERCENTILE(Returns!$F$219:$F$468,0.01)</f>
        <v>28593.7215998057</v>
      </c>
      <c r="D221" s="0" t="n">
        <f aca="false">NORMSINV(0.99)*STDEV(Returns!$F$219:$F$468)</f>
        <v>31152.0355247885</v>
      </c>
      <c r="E221" s="0" t="n">
        <f aca="false">IF(B221&gt;C221,1,0)</f>
        <v>0</v>
      </c>
      <c r="F221" s="0" t="n">
        <f aca="false">IF(B221&gt;D221,1,0)</f>
        <v>0</v>
      </c>
    </row>
    <row r="222" customFormat="false" ht="15" hidden="false" customHeight="false" outlineLevel="0" collapsed="false">
      <c r="A222" s="3" t="n">
        <f aca="false">Returns!A470</f>
        <v>45610</v>
      </c>
      <c r="B222" s="0" t="n">
        <f aca="false">-Returns!F470</f>
        <v>-625.448384385566</v>
      </c>
      <c r="C222" s="0" t="n">
        <f aca="false">-PERCENTILE(Returns!$F$220:$F$469,0.01)</f>
        <v>28593.7215998057</v>
      </c>
      <c r="D222" s="0" t="n">
        <f aca="false">NORMSINV(0.99)*STDEV(Returns!$F$220:$F$469)</f>
        <v>31112.8131530682</v>
      </c>
      <c r="E222" s="0" t="n">
        <f aca="false">IF(B222&gt;C222,1,0)</f>
        <v>0</v>
      </c>
      <c r="F222" s="0" t="n">
        <f aca="false">IF(B222&gt;D222,1,0)</f>
        <v>0</v>
      </c>
    </row>
    <row r="223" customFormat="false" ht="15" hidden="false" customHeight="false" outlineLevel="0" collapsed="false">
      <c r="A223" s="3" t="n">
        <f aca="false">Returns!A471</f>
        <v>45611</v>
      </c>
      <c r="B223" s="0" t="n">
        <f aca="false">-Returns!F471</f>
        <v>-14823.7259761749</v>
      </c>
      <c r="C223" s="0" t="n">
        <f aca="false">-PERCENTILE(Returns!$F$221:$F$470,0.01)</f>
        <v>28593.7215998057</v>
      </c>
      <c r="D223" s="0" t="n">
        <f aca="false">NORMSINV(0.99)*STDEV(Returns!$F$221:$F$470)</f>
        <v>31112.5319886085</v>
      </c>
      <c r="E223" s="0" t="n">
        <f aca="false">IF(B223&gt;C223,1,0)</f>
        <v>0</v>
      </c>
      <c r="F223" s="0" t="n">
        <f aca="false">IF(B223&gt;D223,1,0)</f>
        <v>0</v>
      </c>
    </row>
    <row r="224" customFormat="false" ht="15" hidden="false" customHeight="false" outlineLevel="0" collapsed="false">
      <c r="A224" s="3" t="n">
        <f aca="false">Returns!A472</f>
        <v>45614</v>
      </c>
      <c r="B224" s="0" t="n">
        <f aca="false">-Returns!F472</f>
        <v>1276.73898704785</v>
      </c>
      <c r="C224" s="0" t="n">
        <f aca="false">-PERCENTILE(Returns!$F$222:$F$471,0.01)</f>
        <v>28593.7215998057</v>
      </c>
      <c r="D224" s="0" t="n">
        <f aca="false">NORMSINV(0.99)*STDEV(Returns!$F$222:$F$471)</f>
        <v>31145.490308619</v>
      </c>
      <c r="E224" s="0" t="n">
        <f aca="false">IF(B224&gt;C224,1,0)</f>
        <v>0</v>
      </c>
      <c r="F224" s="0" t="n">
        <f aca="false">IF(B224&gt;D224,1,0)</f>
        <v>0</v>
      </c>
    </row>
    <row r="225" customFormat="false" ht="15" hidden="false" customHeight="false" outlineLevel="0" collapsed="false">
      <c r="A225" s="3" t="n">
        <f aca="false">Returns!A473</f>
        <v>45615</v>
      </c>
      <c r="B225" s="0" t="n">
        <f aca="false">-Returns!F473</f>
        <v>8650.15516157054</v>
      </c>
      <c r="C225" s="0" t="n">
        <f aca="false">-PERCENTILE(Returns!$F$223:$F$472,0.01)</f>
        <v>28593.7215998057</v>
      </c>
      <c r="D225" s="0" t="n">
        <f aca="false">NORMSINV(0.99)*STDEV(Returns!$F$223:$F$472)</f>
        <v>31146.8001329549</v>
      </c>
      <c r="E225" s="0" t="n">
        <f aca="false">IF(B225&gt;C225,1,0)</f>
        <v>0</v>
      </c>
      <c r="F225" s="0" t="n">
        <f aca="false">IF(B225&gt;D225,1,0)</f>
        <v>0</v>
      </c>
    </row>
    <row r="226" customFormat="false" ht="15" hidden="false" customHeight="false" outlineLevel="0" collapsed="false">
      <c r="A226" s="3" t="n">
        <f aca="false">Returns!A474</f>
        <v>45616</v>
      </c>
      <c r="B226" s="0" t="n">
        <f aca="false">-Returns!F474</f>
        <v>7340.60229126658</v>
      </c>
      <c r="C226" s="0" t="n">
        <f aca="false">-PERCENTILE(Returns!$F$224:$F$473,0.01)</f>
        <v>28593.7215998057</v>
      </c>
      <c r="D226" s="0" t="n">
        <f aca="false">NORMSINV(0.99)*STDEV(Returns!$F$224:$F$473)</f>
        <v>31143.990346807</v>
      </c>
      <c r="E226" s="0" t="n">
        <f aca="false">IF(B226&gt;C226,1,0)</f>
        <v>0</v>
      </c>
      <c r="F226" s="0" t="n">
        <f aca="false">IF(B226&gt;D226,1,0)</f>
        <v>0</v>
      </c>
    </row>
    <row r="227" customFormat="false" ht="15" hidden="false" customHeight="false" outlineLevel="0" collapsed="false">
      <c r="A227" s="3" t="n">
        <f aca="false">Returns!A475</f>
        <v>45617</v>
      </c>
      <c r="B227" s="0" t="n">
        <f aca="false">-Returns!F475</f>
        <v>-16576.8429476343</v>
      </c>
      <c r="C227" s="0" t="n">
        <f aca="false">-PERCENTILE(Returns!$F$225:$F$474,0.01)</f>
        <v>28593.7215998057</v>
      </c>
      <c r="D227" s="0" t="n">
        <f aca="false">NORMSINV(0.99)*STDEV(Returns!$F$225:$F$474)</f>
        <v>31173.8544009241</v>
      </c>
      <c r="E227" s="0" t="n">
        <f aca="false">IF(B227&gt;C227,1,0)</f>
        <v>0</v>
      </c>
      <c r="F227" s="0" t="n">
        <f aca="false">IF(B227&gt;D227,1,0)</f>
        <v>0</v>
      </c>
    </row>
    <row r="228" customFormat="false" ht="15" hidden="false" customHeight="false" outlineLevel="0" collapsed="false">
      <c r="A228" s="3" t="n">
        <f aca="false">Returns!A476</f>
        <v>45618</v>
      </c>
      <c r="B228" s="0" t="n">
        <f aca="false">-Returns!F476</f>
        <v>-8945.62154122418</v>
      </c>
      <c r="C228" s="0" t="n">
        <f aca="false">-PERCENTILE(Returns!$F$226:$F$475,0.01)</f>
        <v>28593.7215998057</v>
      </c>
      <c r="D228" s="0" t="n">
        <f aca="false">NORMSINV(0.99)*STDEV(Returns!$F$226:$F$475)</f>
        <v>31247.6789976702</v>
      </c>
      <c r="E228" s="0" t="n">
        <f aca="false">IF(B228&gt;C228,1,0)</f>
        <v>0</v>
      </c>
      <c r="F228" s="0" t="n">
        <f aca="false">IF(B228&gt;D228,1,0)</f>
        <v>0</v>
      </c>
    </row>
    <row r="229" customFormat="false" ht="15" hidden="false" customHeight="false" outlineLevel="0" collapsed="false">
      <c r="A229" s="3" t="n">
        <f aca="false">Returns!A477</f>
        <v>45621</v>
      </c>
      <c r="B229" s="0" t="n">
        <f aca="false">-Returns!F477</f>
        <v>-3662.17420772645</v>
      </c>
      <c r="C229" s="0" t="n">
        <f aca="false">-PERCENTILE(Returns!$F$227:$F$476,0.01)</f>
        <v>28593.7215998057</v>
      </c>
      <c r="D229" s="0" t="n">
        <f aca="false">NORMSINV(0.99)*STDEV(Returns!$F$227:$F$476)</f>
        <v>31245.1285223846</v>
      </c>
      <c r="E229" s="0" t="n">
        <f aca="false">IF(B229&gt;C229,1,0)</f>
        <v>0</v>
      </c>
      <c r="F229" s="0" t="n">
        <f aca="false">IF(B229&gt;D229,1,0)</f>
        <v>0</v>
      </c>
    </row>
    <row r="230" customFormat="false" ht="15" hidden="false" customHeight="false" outlineLevel="0" collapsed="false">
      <c r="A230" s="3" t="n">
        <f aca="false">Returns!A478</f>
        <v>45622</v>
      </c>
      <c r="B230" s="0" t="n">
        <f aca="false">-Returns!F478</f>
        <v>4326.93402774186</v>
      </c>
      <c r="C230" s="0" t="n">
        <f aca="false">-PERCENTILE(Returns!$F$228:$F$477,0.01)</f>
        <v>28593.7215998057</v>
      </c>
      <c r="D230" s="0" t="n">
        <f aca="false">NORMSINV(0.99)*STDEV(Returns!$F$228:$F$477)</f>
        <v>31234.842007419</v>
      </c>
      <c r="E230" s="0" t="n">
        <f aca="false">IF(B230&gt;C230,1,0)</f>
        <v>0</v>
      </c>
      <c r="F230" s="0" t="n">
        <f aca="false">IF(B230&gt;D230,1,0)</f>
        <v>0</v>
      </c>
    </row>
    <row r="231" customFormat="false" ht="15" hidden="false" customHeight="false" outlineLevel="0" collapsed="false">
      <c r="A231" s="3" t="n">
        <f aca="false">Returns!A479</f>
        <v>45623</v>
      </c>
      <c r="B231" s="0" t="n">
        <f aca="false">-Returns!F479</f>
        <v>322.539964367469</v>
      </c>
      <c r="C231" s="0" t="n">
        <f aca="false">-PERCENTILE(Returns!$F$229:$F$478,0.01)</f>
        <v>28593.7215998057</v>
      </c>
      <c r="D231" s="0" t="n">
        <f aca="false">NORMSINV(0.99)*STDEV(Returns!$F$229:$F$478)</f>
        <v>31178.8883136104</v>
      </c>
      <c r="E231" s="0" t="n">
        <f aca="false">IF(B231&gt;C231,1,0)</f>
        <v>0</v>
      </c>
      <c r="F231" s="0" t="n">
        <f aca="false">IF(B231&gt;D231,1,0)</f>
        <v>0</v>
      </c>
    </row>
    <row r="232" customFormat="false" ht="15" hidden="false" customHeight="false" outlineLevel="0" collapsed="false">
      <c r="A232" s="3" t="n">
        <f aca="false">Returns!A480</f>
        <v>45625</v>
      </c>
      <c r="B232" s="0" t="n">
        <f aca="false">-Returns!F480</f>
        <v>836.207785274297</v>
      </c>
      <c r="C232" s="0" t="n">
        <f aca="false">-PERCENTILE(Returns!$F$230:$F$479,0.01)</f>
        <v>28593.7215998057</v>
      </c>
      <c r="D232" s="0" t="n">
        <f aca="false">NORMSINV(0.99)*STDEV(Returns!$F$230:$F$479)</f>
        <v>31148.1567882525</v>
      </c>
      <c r="E232" s="0" t="n">
        <f aca="false">IF(B232&gt;C232,1,0)</f>
        <v>0</v>
      </c>
      <c r="F232" s="0" t="n">
        <f aca="false">IF(B232&gt;D232,1,0)</f>
        <v>0</v>
      </c>
    </row>
    <row r="233" customFormat="false" ht="15" hidden="false" customHeight="false" outlineLevel="0" collapsed="false">
      <c r="A233" s="3" t="n">
        <f aca="false">Returns!A481</f>
        <v>45628</v>
      </c>
      <c r="B233" s="0" t="n">
        <f aca="false">-Returns!F481</f>
        <v>9904.80693454093</v>
      </c>
      <c r="C233" s="0" t="n">
        <f aca="false">-PERCENTILE(Returns!$F$231:$F$480,0.01)</f>
        <v>28593.7215998057</v>
      </c>
      <c r="D233" s="0" t="n">
        <f aca="false">NORMSINV(0.99)*STDEV(Returns!$F$231:$F$480)</f>
        <v>31113.4163574906</v>
      </c>
      <c r="E233" s="0" t="n">
        <f aca="false">IF(B233&gt;C233,1,0)</f>
        <v>0</v>
      </c>
      <c r="F233" s="0" t="n">
        <f aca="false">IF(B233&gt;D233,1,0)</f>
        <v>0</v>
      </c>
    </row>
    <row r="234" customFormat="false" ht="15" hidden="false" customHeight="false" outlineLevel="0" collapsed="false">
      <c r="A234" s="3" t="n">
        <f aca="false">Returns!A482</f>
        <v>45629</v>
      </c>
      <c r="B234" s="0" t="n">
        <f aca="false">-Returns!F482</f>
        <v>5089.78186152605</v>
      </c>
      <c r="C234" s="0" t="n">
        <f aca="false">-PERCENTILE(Returns!$F$232:$F$481,0.01)</f>
        <v>28593.7215998057</v>
      </c>
      <c r="D234" s="0" t="n">
        <f aca="false">NORMSINV(0.99)*STDEV(Returns!$F$232:$F$481)</f>
        <v>31161.9872201194</v>
      </c>
      <c r="E234" s="0" t="n">
        <f aca="false">IF(B234&gt;C234,1,0)</f>
        <v>0</v>
      </c>
      <c r="F234" s="0" t="n">
        <f aca="false">IF(B234&gt;D234,1,0)</f>
        <v>0</v>
      </c>
    </row>
    <row r="235" customFormat="false" ht="15" hidden="false" customHeight="false" outlineLevel="0" collapsed="false">
      <c r="A235" s="3" t="n">
        <f aca="false">Returns!A483</f>
        <v>45630</v>
      </c>
      <c r="B235" s="0" t="n">
        <f aca="false">-Returns!F483</f>
        <v>6260.96870274922</v>
      </c>
      <c r="C235" s="0" t="n">
        <f aca="false">-PERCENTILE(Returns!$F$233:$F$482,0.01)</f>
        <v>28593.7215998057</v>
      </c>
      <c r="D235" s="0" t="n">
        <f aca="false">NORMSINV(0.99)*STDEV(Returns!$F$233:$F$482)</f>
        <v>31155.7904480395</v>
      </c>
      <c r="E235" s="0" t="n">
        <f aca="false">IF(B235&gt;C235,1,0)</f>
        <v>0</v>
      </c>
      <c r="F235" s="0" t="n">
        <f aca="false">IF(B235&gt;D235,1,0)</f>
        <v>0</v>
      </c>
    </row>
    <row r="236" customFormat="false" ht="15" hidden="false" customHeight="false" outlineLevel="0" collapsed="false">
      <c r="A236" s="3" t="n">
        <f aca="false">Returns!A484</f>
        <v>45631</v>
      </c>
      <c r="B236" s="0" t="n">
        <f aca="false">-Returns!F484</f>
        <v>-8212.7967524303</v>
      </c>
      <c r="C236" s="0" t="n">
        <f aca="false">-PERCENTILE(Returns!$F$234:$F$483,0.01)</f>
        <v>28593.7215998057</v>
      </c>
      <c r="D236" s="0" t="n">
        <f aca="false">NORMSINV(0.99)*STDEV(Returns!$F$234:$F$483)</f>
        <v>31147.7104484</v>
      </c>
      <c r="E236" s="0" t="n">
        <f aca="false">IF(B236&gt;C236,1,0)</f>
        <v>0</v>
      </c>
      <c r="F236" s="0" t="n">
        <f aca="false">IF(B236&gt;D236,1,0)</f>
        <v>0</v>
      </c>
    </row>
    <row r="237" customFormat="false" ht="15" hidden="false" customHeight="false" outlineLevel="0" collapsed="false">
      <c r="A237" s="3" t="n">
        <f aca="false">Returns!A485</f>
        <v>45632</v>
      </c>
      <c r="B237" s="0" t="n">
        <f aca="false">-Returns!F485</f>
        <v>-2286.0888252447</v>
      </c>
      <c r="C237" s="0" t="n">
        <f aca="false">-PERCENTILE(Returns!$F$235:$F$484,0.01)</f>
        <v>28593.7215998057</v>
      </c>
      <c r="D237" s="0" t="n">
        <f aca="false">NORMSINV(0.99)*STDEV(Returns!$F$235:$F$484)</f>
        <v>31155.6431342277</v>
      </c>
      <c r="E237" s="0" t="n">
        <f aca="false">IF(B237&gt;C237,1,0)</f>
        <v>0</v>
      </c>
      <c r="F237" s="0" t="n">
        <f aca="false">IF(B237&gt;D237,1,0)</f>
        <v>0</v>
      </c>
    </row>
    <row r="238" customFormat="false" ht="15" hidden="false" customHeight="false" outlineLevel="0" collapsed="false">
      <c r="A238" s="3" t="n">
        <f aca="false">Returns!A486</f>
        <v>45635</v>
      </c>
      <c r="B238" s="0" t="n">
        <f aca="false">-Returns!F486</f>
        <v>14424.2654036697</v>
      </c>
      <c r="C238" s="0" t="n">
        <f aca="false">-PERCENTILE(Returns!$F$236:$F$485,0.01)</f>
        <v>28593.7215998057</v>
      </c>
      <c r="D238" s="0" t="n">
        <f aca="false">NORMSINV(0.99)*STDEV(Returns!$F$236:$F$485)</f>
        <v>31100.7878858435</v>
      </c>
      <c r="E238" s="0" t="n">
        <f aca="false">IF(B238&gt;C238,1,0)</f>
        <v>0</v>
      </c>
      <c r="F238" s="0" t="n">
        <f aca="false">IF(B238&gt;D238,1,0)</f>
        <v>0</v>
      </c>
    </row>
    <row r="239" customFormat="false" ht="15" hidden="false" customHeight="false" outlineLevel="0" collapsed="false">
      <c r="A239" s="3" t="n">
        <f aca="false">Returns!A487</f>
        <v>45636</v>
      </c>
      <c r="B239" s="0" t="n">
        <f aca="false">-Returns!F487</f>
        <v>6814.77053596906</v>
      </c>
      <c r="C239" s="0" t="n">
        <f aca="false">-PERCENTILE(Returns!$F$237:$F$486,0.01)</f>
        <v>28593.7215998057</v>
      </c>
      <c r="D239" s="0" t="n">
        <f aca="false">NORMSINV(0.99)*STDEV(Returns!$F$237:$F$486)</f>
        <v>31192.8991423549</v>
      </c>
      <c r="E239" s="0" t="n">
        <f aca="false">IF(B239&gt;C239,1,0)</f>
        <v>0</v>
      </c>
      <c r="F239" s="0" t="n">
        <f aca="false">IF(B239&gt;D239,1,0)</f>
        <v>0</v>
      </c>
    </row>
    <row r="240" customFormat="false" ht="15" hidden="false" customHeight="false" outlineLevel="0" collapsed="false">
      <c r="A240" s="3" t="n">
        <f aca="false">Returns!A488</f>
        <v>45637</v>
      </c>
      <c r="B240" s="0" t="n">
        <f aca="false">-Returns!F488</f>
        <v>-5145.10066853672</v>
      </c>
      <c r="C240" s="0" t="n">
        <f aca="false">-PERCENTILE(Returns!$F$238:$F$487,0.01)</f>
        <v>28593.7215998057</v>
      </c>
      <c r="D240" s="0" t="n">
        <f aca="false">NORMSINV(0.99)*STDEV(Returns!$F$238:$F$487)</f>
        <v>31214.2771062075</v>
      </c>
      <c r="E240" s="0" t="n">
        <f aca="false">IF(B240&gt;C240,1,0)</f>
        <v>0</v>
      </c>
      <c r="F240" s="0" t="n">
        <f aca="false">IF(B240&gt;D240,1,0)</f>
        <v>0</v>
      </c>
    </row>
    <row r="241" customFormat="false" ht="15" hidden="false" customHeight="false" outlineLevel="0" collapsed="false">
      <c r="A241" s="3" t="n">
        <f aca="false">Returns!A489</f>
        <v>45638</v>
      </c>
      <c r="B241" s="0" t="n">
        <f aca="false">-Returns!F489</f>
        <v>2547.10771045467</v>
      </c>
      <c r="C241" s="0" t="n">
        <f aca="false">-PERCENTILE(Returns!$F$239:$F$488,0.01)</f>
        <v>28593.7215998057</v>
      </c>
      <c r="D241" s="0" t="n">
        <f aca="false">NORMSINV(0.99)*STDEV(Returns!$F$239:$F$488)</f>
        <v>31089.1232372166</v>
      </c>
      <c r="E241" s="0" t="n">
        <f aca="false">IF(B241&gt;C241,1,0)</f>
        <v>0</v>
      </c>
      <c r="F241" s="0" t="n">
        <f aca="false">IF(B241&gt;D241,1,0)</f>
        <v>0</v>
      </c>
    </row>
    <row r="242" customFormat="false" ht="15" hidden="false" customHeight="false" outlineLevel="0" collapsed="false">
      <c r="A242" s="3" t="n">
        <f aca="false">Returns!A490</f>
        <v>45639</v>
      </c>
      <c r="B242" s="0" t="n">
        <f aca="false">-Returns!F490</f>
        <v>6521.64640914247</v>
      </c>
      <c r="C242" s="0" t="n">
        <f aca="false">-PERCENTILE(Returns!$F$240:$F$489,0.01)</f>
        <v>28593.7215998057</v>
      </c>
      <c r="D242" s="0" t="n">
        <f aca="false">NORMSINV(0.99)*STDEV(Returns!$F$240:$F$489)</f>
        <v>30493.8604277827</v>
      </c>
      <c r="E242" s="0" t="n">
        <f aca="false">IF(B242&gt;C242,1,0)</f>
        <v>0</v>
      </c>
      <c r="F242" s="0" t="n">
        <f aca="false">IF(B242&gt;D242,1,0)</f>
        <v>0</v>
      </c>
    </row>
    <row r="243" customFormat="false" ht="15" hidden="false" customHeight="false" outlineLevel="0" collapsed="false">
      <c r="A243" s="3" t="n">
        <f aca="false">Returns!A491</f>
        <v>45642</v>
      </c>
      <c r="B243" s="0" t="n">
        <f aca="false">-Returns!F491</f>
        <v>-1896.68526366275</v>
      </c>
      <c r="C243" s="0" t="n">
        <f aca="false">-PERCENTILE(Returns!$F$241:$F$490,0.01)</f>
        <v>28593.7215998057</v>
      </c>
      <c r="D243" s="0" t="n">
        <f aca="false">NORMSINV(0.99)*STDEV(Returns!$F$241:$F$490)</f>
        <v>30516.6916307133</v>
      </c>
      <c r="E243" s="0" t="n">
        <f aca="false">IF(B243&gt;C243,1,0)</f>
        <v>0</v>
      </c>
      <c r="F243" s="0" t="n">
        <f aca="false">IF(B243&gt;D243,1,0)</f>
        <v>0</v>
      </c>
    </row>
    <row r="244" customFormat="false" ht="15" hidden="false" customHeight="false" outlineLevel="0" collapsed="false">
      <c r="A244" s="3" t="n">
        <f aca="false">Returns!A492</f>
        <v>45643</v>
      </c>
      <c r="B244" s="0" t="n">
        <f aca="false">-Returns!F492</f>
        <v>7840.38791325614</v>
      </c>
      <c r="C244" s="0" t="n">
        <f aca="false">-PERCENTILE(Returns!$F$242:$F$491,0.01)</f>
        <v>28593.7215998057</v>
      </c>
      <c r="D244" s="0" t="n">
        <f aca="false">NORMSINV(0.99)*STDEV(Returns!$F$242:$F$491)</f>
        <v>30512.9082153419</v>
      </c>
      <c r="E244" s="0" t="n">
        <f aca="false">IF(B244&gt;C244,1,0)</f>
        <v>0</v>
      </c>
      <c r="F244" s="0" t="n">
        <f aca="false">IF(B244&gt;D244,1,0)</f>
        <v>0</v>
      </c>
    </row>
    <row r="245" customFormat="false" ht="15" hidden="false" customHeight="false" outlineLevel="0" collapsed="false">
      <c r="A245" s="3" t="n">
        <f aca="false">Returns!A493</f>
        <v>45644</v>
      </c>
      <c r="B245" s="0" t="n">
        <f aca="false">-Returns!F493</f>
        <v>40304.5648287058</v>
      </c>
      <c r="C245" s="0" t="n">
        <f aca="false">-PERCENTILE(Returns!$F$243:$F$492,0.01)</f>
        <v>28593.7215998057</v>
      </c>
      <c r="D245" s="0" t="n">
        <f aca="false">NORMSINV(0.99)*STDEV(Returns!$F$243:$F$492)</f>
        <v>30518.6349527916</v>
      </c>
      <c r="E245" s="0" t="n">
        <f aca="false">IF(B245&gt;C245,1,0)</f>
        <v>1</v>
      </c>
      <c r="F245" s="0" t="n">
        <f aca="false">IF(B245&gt;D245,1,0)</f>
        <v>1</v>
      </c>
    </row>
    <row r="246" customFormat="false" ht="15" hidden="false" customHeight="false" outlineLevel="0" collapsed="false">
      <c r="A246" s="3" t="n">
        <f aca="false">Returns!A494</f>
        <v>45645</v>
      </c>
      <c r="B246" s="0" t="n">
        <f aca="false">-Returns!F494</f>
        <v>-2301.84535699219</v>
      </c>
      <c r="C246" s="0" t="n">
        <f aca="false">-PERCENTILE(Returns!$F$244:$F$493,0.01)</f>
        <v>31363.0233332898</v>
      </c>
      <c r="D246" s="0" t="n">
        <f aca="false">NORMSINV(0.99)*STDEV(Returns!$F$244:$F$493)</f>
        <v>31069.4054599469</v>
      </c>
      <c r="E246" s="0" t="n">
        <f aca="false">IF(B246&gt;C246,1,0)</f>
        <v>0</v>
      </c>
      <c r="F246" s="0" t="n">
        <f aca="false">IF(B246&gt;D246,1,0)</f>
        <v>0</v>
      </c>
    </row>
    <row r="247" customFormat="false" ht="15" hidden="false" customHeight="false" outlineLevel="0" collapsed="false">
      <c r="A247" s="3" t="n">
        <f aca="false">Returns!A495</f>
        <v>45646</v>
      </c>
      <c r="B247" s="0" t="n">
        <f aca="false">-Returns!F495</f>
        <v>-20534.6565397601</v>
      </c>
      <c r="C247" s="0" t="n">
        <f aca="false">-PERCENTILE(Returns!$F$245:$F$494,0.01)</f>
        <v>31363.0233332898</v>
      </c>
      <c r="D247" s="0" t="n">
        <f aca="false">NORMSINV(0.99)*STDEV(Returns!$F$245:$F$494)</f>
        <v>31048.2271655485</v>
      </c>
      <c r="E247" s="0" t="n">
        <f aca="false">IF(B247&gt;C247,1,0)</f>
        <v>0</v>
      </c>
      <c r="F247" s="0" t="n">
        <f aca="false">IF(B247&gt;D247,1,0)</f>
        <v>0</v>
      </c>
    </row>
    <row r="248" customFormat="false" ht="15" hidden="false" customHeight="false" outlineLevel="0" collapsed="false">
      <c r="A248" s="3" t="n">
        <f aca="false">Returns!A496</f>
        <v>45649</v>
      </c>
      <c r="B248" s="0" t="n">
        <f aca="false">-Returns!F496</f>
        <v>-1864.55368797619</v>
      </c>
      <c r="C248" s="0" t="n">
        <f aca="false">-PERCENTILE(Returns!$F$246:$F$495,0.01)</f>
        <v>31363.0233332898</v>
      </c>
      <c r="D248" s="0" t="n">
        <f aca="false">NORMSINV(0.99)*STDEV(Returns!$F$246:$F$495)</f>
        <v>31177.2510406432</v>
      </c>
      <c r="E248" s="0" t="n">
        <f aca="false">IF(B248&gt;C248,1,0)</f>
        <v>0</v>
      </c>
      <c r="F248" s="0" t="n">
        <f aca="false">IF(B248&gt;D248,1,0)</f>
        <v>0</v>
      </c>
    </row>
    <row r="249" customFormat="false" ht="15" hidden="false" customHeight="false" outlineLevel="0" collapsed="false">
      <c r="A249" s="3" t="n">
        <f aca="false">Returns!A497</f>
        <v>45650</v>
      </c>
      <c r="B249" s="0" t="n">
        <f aca="false">-Returns!F497</f>
        <v>-16081.2488990027</v>
      </c>
      <c r="C249" s="0" t="n">
        <f aca="false">-PERCENTILE(Returns!$F$247:$F$496,0.01)</f>
        <v>31363.0233332898</v>
      </c>
      <c r="D249" s="0" t="n">
        <f aca="false">NORMSINV(0.99)*STDEV(Returns!$F$247:$F$496)</f>
        <v>31163.7533989016</v>
      </c>
      <c r="E249" s="0" t="n">
        <f aca="false">IF(B249&gt;C249,1,0)</f>
        <v>0</v>
      </c>
      <c r="F249" s="0" t="n">
        <f aca="false">IF(B249&gt;D249,1,0)</f>
        <v>0</v>
      </c>
    </row>
    <row r="250" customFormat="false" ht="15" hidden="false" customHeight="false" outlineLevel="0" collapsed="false">
      <c r="A250" s="3" t="n">
        <f aca="false">Returns!A498</f>
        <v>45652</v>
      </c>
      <c r="B250" s="0" t="n">
        <f aca="false">-Returns!F498</f>
        <v>-4796.40382194548</v>
      </c>
      <c r="C250" s="0" t="n">
        <f aca="false">-PERCENTILE(Returns!$F$248:$F$497,0.01)</f>
        <v>31363.0233332898</v>
      </c>
      <c r="D250" s="0" t="n">
        <f aca="false">NORMSINV(0.99)*STDEV(Returns!$F$248:$F$497)</f>
        <v>31235.047954242</v>
      </c>
      <c r="E250" s="0" t="n">
        <f aca="false">IF(B250&gt;C250,1,0)</f>
        <v>0</v>
      </c>
      <c r="F250" s="0" t="n">
        <f aca="false">IF(B250&gt;D250,1,0)</f>
        <v>0</v>
      </c>
    </row>
    <row r="251" customFormat="false" ht="15" hidden="false" customHeight="false" outlineLevel="0" collapsed="false">
      <c r="A251" s="3" t="n">
        <f aca="false">Returns!A499</f>
        <v>45653</v>
      </c>
      <c r="B251" s="0" t="n">
        <f aca="false">-Returns!F499</f>
        <v>7662.32413747696</v>
      </c>
      <c r="C251" s="0" t="n">
        <f aca="false">-PERCENTILE(Returns!$F$249:$F$498,0.01)</f>
        <v>31363.0233332898</v>
      </c>
      <c r="D251" s="0" t="n">
        <f aca="false">NORMSINV(0.99)*STDEV(Returns!$F$249:$F$498)</f>
        <v>31238.7401081032</v>
      </c>
      <c r="E251" s="0" t="n">
        <f aca="false">IF(B251&gt;C251,1,0)</f>
        <v>0</v>
      </c>
      <c r="F251" s="0" t="n">
        <f aca="false">IF(B251&gt;D251,1,0)</f>
        <v>0</v>
      </c>
    </row>
    <row r="252" customFormat="false" ht="15" hidden="false" customHeight="false" outlineLevel="0" collapsed="false">
      <c r="A252" s="3" t="n">
        <f aca="false">Returns!A500</f>
        <v>45656</v>
      </c>
      <c r="B252" s="0" t="n">
        <f aca="false">-Returns!F500</f>
        <v>8403.64926924153</v>
      </c>
      <c r="C252" s="0" t="n">
        <f aca="false">-PERCENTILE(Returns!$F$250:$F$499,0.01)</f>
        <v>31363.0233332898</v>
      </c>
      <c r="D252" s="0" t="n">
        <f aca="false">NORMSINV(0.99)*STDEV(Returns!$F$250:$F$499)</f>
        <v>31258.5834642976</v>
      </c>
      <c r="E252" s="0" t="n">
        <f aca="false">IF(B252&gt;C252,1,0)</f>
        <v>0</v>
      </c>
      <c r="F252" s="0" t="n">
        <f aca="false">IF(B252&gt;D252,1,0)</f>
        <v>0</v>
      </c>
    </row>
    <row r="253" customFormat="false" ht="15" hidden="false" customHeight="false" outlineLevel="0" collapsed="false">
      <c r="A253" s="3" t="n">
        <f aca="false">Returns!A501</f>
        <v>45657</v>
      </c>
      <c r="B253" s="0" t="n">
        <f aca="false">-Returns!F501</f>
        <v>-852.888434416761</v>
      </c>
      <c r="C253" s="0" t="n">
        <f aca="false">-PERCENTILE(Returns!$F$251:$F$500,0.01)</f>
        <v>31363.0233332898</v>
      </c>
      <c r="D253" s="0" t="n">
        <f aca="false">NORMSINV(0.99)*STDEV(Returns!$F$251:$F$500)</f>
        <v>31272.395913027</v>
      </c>
      <c r="E253" s="0" t="n">
        <f aca="false">IF(B253&gt;C253,1,0)</f>
        <v>0</v>
      </c>
      <c r="F253" s="0" t="n">
        <f aca="false">IF(B253&gt;D253,1,0)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2026-10-02T20:50:07Z</dcterms:created>
  <dc:creator>Deepak Chaudhary</dc:creator>
  <dc:description/>
  <dc:language>en-IN</dc:language>
  <cp:lastModifiedBy>Deepak Chaudhary</cp:lastModifiedBy>
  <dcterms:modified xsi:type="dcterms:W3CDTF">2026-10-02T20:50:08Z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